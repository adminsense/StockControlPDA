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lportbvba-my.sharepoint.com/personal/tom_allport_be/Documents/"/>
    </mc:Choice>
  </mc:AlternateContent>
  <xr:revisionPtr revIDLastSave="0" documentId="8_{F6CFEC26-4860-4421-84A1-FC2981B4F7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ventaris 2025 Beringen" sheetId="6" r:id="rId1"/>
    <sheet name="Blad1" sheetId="10" state="hidden" r:id="rId2"/>
    <sheet name="Investeringen 2024" sheetId="7" state="hidden" r:id="rId3"/>
    <sheet name="Werken in uitvoering" sheetId="8" state="hidden" r:id="rId4"/>
    <sheet name="Voorschotfacturen" sheetId="9" state="hidden" r:id="rId5"/>
  </sheets>
  <definedNames>
    <definedName name="_xlnm._FilterDatabase" localSheetId="0" hidden="1">'Inventaris 2025 Beringen'!$A$1:$I$11175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148" i="6" l="1"/>
  <c r="I11148" i="6" s="1"/>
  <c r="G11149" i="6"/>
  <c r="I11149" i="6" s="1"/>
  <c r="G11150" i="6"/>
  <c r="I11150" i="6" s="1"/>
  <c r="G11151" i="6"/>
  <c r="I11151" i="6" s="1"/>
  <c r="G11152" i="6"/>
  <c r="I11152" i="6" s="1"/>
  <c r="G11153" i="6"/>
  <c r="I11153" i="6" s="1"/>
  <c r="G11154" i="6"/>
  <c r="I11154" i="6" s="1"/>
  <c r="G11155" i="6"/>
  <c r="I11155" i="6" s="1"/>
  <c r="G11156" i="6"/>
  <c r="I11156" i="6" s="1"/>
  <c r="G11157" i="6"/>
  <c r="I11157" i="6" s="1"/>
  <c r="I11173" i="6"/>
  <c r="I9740" i="6"/>
  <c r="I9741" i="6"/>
  <c r="I9742" i="6"/>
  <c r="I9743" i="6"/>
  <c r="I9739" i="6"/>
  <c r="I9738" i="6"/>
  <c r="G8100" i="6"/>
  <c r="I8100" i="6" s="1"/>
  <c r="G7001" i="6"/>
  <c r="I7001" i="6" s="1"/>
  <c r="G6999" i="6"/>
  <c r="I6999" i="6" s="1"/>
  <c r="G6728" i="6"/>
  <c r="I6728" i="6" s="1"/>
  <c r="G6729" i="6"/>
  <c r="I6729" i="6" s="1"/>
  <c r="G6730" i="6"/>
  <c r="I6730" i="6" s="1"/>
  <c r="G6727" i="6"/>
  <c r="I6727" i="6" s="1"/>
  <c r="G6726" i="6"/>
  <c r="I6726" i="6" s="1"/>
  <c r="G6722" i="6"/>
  <c r="I6722" i="6" s="1"/>
  <c r="G6723" i="6"/>
  <c r="I6723" i="6" s="1"/>
  <c r="G6724" i="6"/>
  <c r="I6724" i="6" s="1"/>
  <c r="G6725" i="6"/>
  <c r="I6725" i="6" s="1"/>
  <c r="G6721" i="6"/>
  <c r="I6721" i="6" s="1"/>
  <c r="I9773" i="6"/>
  <c r="I9775" i="6"/>
  <c r="I9776" i="6"/>
  <c r="G7853" i="6"/>
  <c r="I7853" i="6" s="1"/>
  <c r="G6712" i="6"/>
  <c r="G6677" i="6"/>
  <c r="I6677" i="6" s="1"/>
  <c r="G6678" i="6"/>
  <c r="I6678" i="6" s="1"/>
  <c r="H4927" i="6"/>
  <c r="H4941" i="6"/>
  <c r="G9962" i="6"/>
  <c r="I9962" i="6" s="1"/>
  <c r="G9961" i="6"/>
  <c r="I9961" i="6" s="1"/>
  <c r="G9960" i="6"/>
  <c r="I9960" i="6" s="1"/>
  <c r="G10327" i="6"/>
  <c r="I10327" i="6" s="1"/>
  <c r="G10326" i="6"/>
  <c r="I10326" i="6" s="1"/>
  <c r="I51" i="6"/>
  <c r="I52" i="6"/>
  <c r="I53" i="6"/>
  <c r="I9771" i="6"/>
  <c r="I49" i="6"/>
  <c r="I50" i="6"/>
  <c r="I48" i="6"/>
  <c r="G10044" i="6"/>
  <c r="I10044" i="6" s="1"/>
  <c r="G10043" i="6"/>
  <c r="I10043" i="6" s="1"/>
  <c r="H9977" i="6"/>
  <c r="G9977" i="6" s="1"/>
  <c r="I9977" i="6" s="1"/>
  <c r="G9974" i="6"/>
  <c r="I9974" i="6" s="1"/>
  <c r="G9976" i="6"/>
  <c r="I9976" i="6" s="1"/>
  <c r="G9972" i="6"/>
  <c r="I9972" i="6" s="1"/>
  <c r="G9979" i="6"/>
  <c r="I9979" i="6" s="1"/>
  <c r="G9981" i="6"/>
  <c r="I9981" i="6" s="1"/>
  <c r="G9980" i="6"/>
  <c r="I9980" i="6" s="1"/>
  <c r="F9973" i="6"/>
  <c r="F9975" i="6"/>
  <c r="G9967" i="6"/>
  <c r="I9967" i="6" s="1"/>
  <c r="F148" i="6"/>
  <c r="G10146" i="6"/>
  <c r="I10146" i="6" s="1"/>
  <c r="G9971" i="6"/>
  <c r="I9971" i="6" s="1"/>
  <c r="G9970" i="6"/>
  <c r="I9970" i="6" s="1"/>
  <c r="G9969" i="6"/>
  <c r="I9969" i="6" s="1"/>
  <c r="I47" i="6"/>
  <c r="I5" i="6"/>
  <c r="G10179" i="6"/>
  <c r="I10179" i="6" s="1"/>
  <c r="G10180" i="6"/>
  <c r="I10180" i="6" s="1"/>
  <c r="G10178" i="6"/>
  <c r="I10178" i="6" s="1"/>
  <c r="G9968" i="6"/>
  <c r="I9968" i="6" s="1"/>
  <c r="G10118" i="6"/>
  <c r="I10118" i="6" s="1"/>
  <c r="G3508" i="6"/>
  <c r="I3508" i="6" s="1"/>
  <c r="G10102" i="6"/>
  <c r="I10102" i="6" s="1"/>
  <c r="F10101" i="6"/>
  <c r="G10177" i="6"/>
  <c r="I10177" i="6" s="1"/>
  <c r="G10042" i="6"/>
  <c r="I10042" i="6" s="1"/>
  <c r="F10141" i="6"/>
  <c r="G10041" i="6"/>
  <c r="I10041" i="6" s="1"/>
  <c r="G10100" i="6"/>
  <c r="I10100" i="6" s="1"/>
  <c r="G10099" i="6"/>
  <c r="I10099" i="6" s="1"/>
  <c r="G10085" i="6"/>
  <c r="I10085" i="6" s="1"/>
  <c r="G10040" i="6"/>
  <c r="I10040" i="6" s="1"/>
  <c r="G10011" i="6"/>
  <c r="I10011" i="6" s="1"/>
  <c r="G10035" i="6"/>
  <c r="I10035" i="6" s="1"/>
  <c r="G10034" i="6"/>
  <c r="I10034" i="6" s="1"/>
  <c r="G10078" i="6"/>
  <c r="I10078" i="6" s="1"/>
  <c r="G10072" i="6"/>
  <c r="I10072" i="6" s="1"/>
  <c r="G10073" i="6"/>
  <c r="I10073" i="6" s="1"/>
  <c r="G10074" i="6"/>
  <c r="I10074" i="6" s="1"/>
  <c r="G10079" i="6"/>
  <c r="I10079" i="6" s="1"/>
  <c r="G10175" i="6"/>
  <c r="I10175" i="6" s="1"/>
  <c r="G10163" i="6"/>
  <c r="I10163" i="6" s="1"/>
  <c r="G10162" i="6"/>
  <c r="I10162" i="6" s="1"/>
  <c r="G9991" i="6"/>
  <c r="I9991" i="6" s="1"/>
  <c r="G10145" i="6"/>
  <c r="I10145" i="6" s="1"/>
  <c r="G10157" i="6"/>
  <c r="I10157" i="6" s="1"/>
  <c r="G10009" i="6"/>
  <c r="I10009" i="6" s="1"/>
  <c r="H4995" i="6"/>
  <c r="H4994" i="6"/>
  <c r="H4993" i="6"/>
  <c r="I4993" i="6" s="1"/>
  <c r="H4992" i="6"/>
  <c r="H4991" i="6"/>
  <c r="H4990" i="6"/>
  <c r="H4989" i="6"/>
  <c r="H4988" i="6"/>
  <c r="I4988" i="6" s="1"/>
  <c r="H4987" i="6"/>
  <c r="H4986" i="6"/>
  <c r="I4986" i="6" s="1"/>
  <c r="H4985" i="6"/>
  <c r="I4985" i="6" s="1"/>
  <c r="H4984" i="6"/>
  <c r="I4984" i="6" s="1"/>
  <c r="H4983" i="6"/>
  <c r="I4983" i="6" s="1"/>
  <c r="H4982" i="6"/>
  <c r="H4981" i="6"/>
  <c r="H4980" i="6"/>
  <c r="H4979" i="6"/>
  <c r="I4979" i="6" s="1"/>
  <c r="H4978" i="6"/>
  <c r="I4978" i="6" s="1"/>
  <c r="H4977" i="6"/>
  <c r="H4976" i="6"/>
  <c r="H4975" i="6"/>
  <c r="H4974" i="6"/>
  <c r="I4974" i="6" s="1"/>
  <c r="H4973" i="6"/>
  <c r="I4973" i="6" s="1"/>
  <c r="H4972" i="6"/>
  <c r="H4971" i="6"/>
  <c r="I4971" i="6" s="1"/>
  <c r="H4970" i="6"/>
  <c r="H4969" i="6"/>
  <c r="H4968" i="6"/>
  <c r="I4968" i="6" s="1"/>
  <c r="H4967" i="6"/>
  <c r="I4967" i="6" s="1"/>
  <c r="H4966" i="6"/>
  <c r="H4965" i="6"/>
  <c r="H4964" i="6"/>
  <c r="I4964" i="6" s="1"/>
  <c r="H4963" i="6"/>
  <c r="H4962" i="6"/>
  <c r="H4961" i="6"/>
  <c r="H4960" i="6"/>
  <c r="H4959" i="6"/>
  <c r="H4958" i="6"/>
  <c r="H4957" i="6"/>
  <c r="I4957" i="6" s="1"/>
  <c r="H4956" i="6"/>
  <c r="I4956" i="6" s="1"/>
  <c r="H4955" i="6"/>
  <c r="I4955" i="6" s="1"/>
  <c r="H4954" i="6"/>
  <c r="H4953" i="6"/>
  <c r="H4952" i="6"/>
  <c r="H4951" i="6"/>
  <c r="H4950" i="6"/>
  <c r="I4950" i="6" s="1"/>
  <c r="H4949" i="6"/>
  <c r="H4948" i="6"/>
  <c r="H4947" i="6"/>
  <c r="H4946" i="6"/>
  <c r="H4945" i="6"/>
  <c r="I4945" i="6" s="1"/>
  <c r="H4944" i="6"/>
  <c r="I4944" i="6" s="1"/>
  <c r="H4943" i="6"/>
  <c r="H4942" i="6"/>
  <c r="I4942" i="6" s="1"/>
  <c r="F10502" i="6"/>
  <c r="F562" i="6"/>
  <c r="F429" i="6"/>
  <c r="I10449" i="6"/>
  <c r="I10441" i="6"/>
  <c r="I10442" i="6"/>
  <c r="I10443" i="6"/>
  <c r="I10444" i="6"/>
  <c r="I10445" i="6"/>
  <c r="I10446" i="6"/>
  <c r="I10439" i="6"/>
  <c r="I10422" i="6"/>
  <c r="I10423" i="6"/>
  <c r="I10424" i="6"/>
  <c r="I10425" i="6"/>
  <c r="I10426" i="6"/>
  <c r="I10427" i="6"/>
  <c r="I10428" i="6"/>
  <c r="I10429" i="6"/>
  <c r="I10430" i="6"/>
  <c r="I10431" i="6"/>
  <c r="I10432" i="6"/>
  <c r="I10433" i="6"/>
  <c r="I10434" i="6"/>
  <c r="I10435" i="6"/>
  <c r="I10436" i="6"/>
  <c r="I10437" i="6"/>
  <c r="I10438" i="6"/>
  <c r="I10440" i="6"/>
  <c r="I10421" i="6"/>
  <c r="G9831" i="6"/>
  <c r="G9832" i="6"/>
  <c r="G9833" i="6"/>
  <c r="G9834" i="6"/>
  <c r="G9817" i="6"/>
  <c r="G9818" i="6"/>
  <c r="G9819" i="6"/>
  <c r="G9820" i="6"/>
  <c r="G9821" i="6"/>
  <c r="G9822" i="6"/>
  <c r="G9798" i="6"/>
  <c r="G9799" i="6"/>
  <c r="G9800" i="6"/>
  <c r="G9801" i="6"/>
  <c r="G9802" i="6"/>
  <c r="G9803" i="6"/>
  <c r="G9804" i="6"/>
  <c r="G9805" i="6"/>
  <c r="I10228" i="6"/>
  <c r="I10232" i="6"/>
  <c r="I10306" i="6"/>
  <c r="I10320" i="6"/>
  <c r="I10323" i="6"/>
  <c r="I10451" i="6"/>
  <c r="I10480" i="6"/>
  <c r="I10660" i="6"/>
  <c r="I10661" i="6"/>
  <c r="I10662" i="6"/>
  <c r="I10663" i="6"/>
  <c r="I10664" i="6"/>
  <c r="I10665" i="6"/>
  <c r="I10666" i="6"/>
  <c r="I10667" i="6"/>
  <c r="I10668" i="6"/>
  <c r="I10669" i="6"/>
  <c r="I10670" i="6"/>
  <c r="G10657" i="6"/>
  <c r="I10657" i="6" s="1"/>
  <c r="I10587" i="6"/>
  <c r="I10588" i="6"/>
  <c r="I10589" i="6"/>
  <c r="I10590" i="6"/>
  <c r="I10591" i="6"/>
  <c r="I10592" i="6"/>
  <c r="I10593" i="6"/>
  <c r="I10594" i="6"/>
  <c r="I10595" i="6"/>
  <c r="I10596" i="6"/>
  <c r="I10597" i="6"/>
  <c r="I10598" i="6"/>
  <c r="I10599" i="6"/>
  <c r="I10600" i="6"/>
  <c r="I10601" i="6"/>
  <c r="I10602" i="6"/>
  <c r="I10603" i="6"/>
  <c r="I10604" i="6"/>
  <c r="I10605" i="6"/>
  <c r="I10606" i="6"/>
  <c r="I10607" i="6"/>
  <c r="I10608" i="6"/>
  <c r="I10609" i="6"/>
  <c r="I10610" i="6"/>
  <c r="I10611" i="6"/>
  <c r="I10612" i="6"/>
  <c r="I10613" i="6"/>
  <c r="I10614" i="6"/>
  <c r="I10615" i="6"/>
  <c r="I10616" i="6"/>
  <c r="I10617" i="6"/>
  <c r="I10618" i="6"/>
  <c r="I10619" i="6"/>
  <c r="I10620" i="6"/>
  <c r="I10621" i="6"/>
  <c r="I10622" i="6"/>
  <c r="I10623" i="6"/>
  <c r="I10624" i="6"/>
  <c r="I10625" i="6"/>
  <c r="I10626" i="6"/>
  <c r="I10627" i="6"/>
  <c r="I10628" i="6"/>
  <c r="I10629" i="6"/>
  <c r="I10630" i="6"/>
  <c r="I10631" i="6"/>
  <c r="I10632" i="6"/>
  <c r="I10633" i="6"/>
  <c r="I10634" i="6"/>
  <c r="I10635" i="6"/>
  <c r="I10636" i="6"/>
  <c r="I10637" i="6"/>
  <c r="I10638" i="6"/>
  <c r="I10639" i="6"/>
  <c r="I10640" i="6"/>
  <c r="I10641" i="6"/>
  <c r="I10642" i="6"/>
  <c r="I10643" i="6"/>
  <c r="I10644" i="6"/>
  <c r="I10645" i="6"/>
  <c r="I10646" i="6"/>
  <c r="I10647" i="6"/>
  <c r="I10648" i="6"/>
  <c r="I10649" i="6"/>
  <c r="I10650" i="6"/>
  <c r="I10651" i="6"/>
  <c r="I10652" i="6"/>
  <c r="I10653" i="6"/>
  <c r="I10654" i="6"/>
  <c r="I10655" i="6"/>
  <c r="I10656" i="6"/>
  <c r="I10586" i="6"/>
  <c r="I10482" i="6"/>
  <c r="I10452" i="6"/>
  <c r="I10453" i="6"/>
  <c r="I10454" i="6"/>
  <c r="I10455" i="6"/>
  <c r="I10456" i="6"/>
  <c r="I10457" i="6"/>
  <c r="I10458" i="6"/>
  <c r="I10459" i="6"/>
  <c r="I10460" i="6"/>
  <c r="I10461" i="6"/>
  <c r="I10463" i="6"/>
  <c r="I10464" i="6"/>
  <c r="I10465" i="6"/>
  <c r="I10466" i="6"/>
  <c r="I10467" i="6"/>
  <c r="I10468" i="6"/>
  <c r="I10469" i="6"/>
  <c r="I10470" i="6"/>
  <c r="I10471" i="6"/>
  <c r="I10472" i="6"/>
  <c r="I10473" i="6"/>
  <c r="I10474" i="6"/>
  <c r="I10475" i="6"/>
  <c r="I10476" i="6"/>
  <c r="I10477" i="6"/>
  <c r="I10478" i="6"/>
  <c r="I10479" i="6"/>
  <c r="I10481" i="6"/>
  <c r="I10447" i="6"/>
  <c r="I10448" i="6"/>
  <c r="I10450" i="6"/>
  <c r="I9965" i="6"/>
  <c r="I9964" i="6"/>
  <c r="I9963" i="6"/>
  <c r="I87" i="6"/>
  <c r="I88" i="6"/>
  <c r="I89" i="6"/>
  <c r="I14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F1580" i="6"/>
  <c r="F1578" i="6"/>
  <c r="F3136" i="6"/>
  <c r="F6284" i="6"/>
  <c r="F5509" i="6"/>
  <c r="F5003" i="6"/>
  <c r="F6671" i="6"/>
  <c r="F6656" i="6"/>
  <c r="F7567" i="6"/>
  <c r="F10462" i="6"/>
  <c r="I10462" i="6" s="1"/>
  <c r="H10861" i="6"/>
  <c r="H10768" i="6"/>
  <c r="H10767" i="6"/>
  <c r="H10766" i="6"/>
  <c r="H10761" i="6"/>
  <c r="H10756" i="6"/>
  <c r="F10844" i="6"/>
  <c r="G11037" i="6"/>
  <c r="I11037" i="6" s="1"/>
  <c r="G10828" i="6"/>
  <c r="I10828" i="6" s="1"/>
  <c r="G11043" i="6"/>
  <c r="I11043" i="6" s="1"/>
  <c r="G10794" i="6"/>
  <c r="I10794" i="6" s="1"/>
  <c r="G10956" i="6"/>
  <c r="I10956" i="6" s="1"/>
  <c r="G10900" i="6"/>
  <c r="I10900" i="6" s="1"/>
  <c r="G10710" i="6"/>
  <c r="I10710" i="6" s="1"/>
  <c r="G11147" i="6"/>
  <c r="I11147" i="6" s="1"/>
  <c r="G10844" i="6"/>
  <c r="G10950" i="6"/>
  <c r="I10950" i="6" s="1"/>
  <c r="G10949" i="6"/>
  <c r="I10949" i="6" s="1"/>
  <c r="G10799" i="6"/>
  <c r="I10799" i="6" s="1"/>
  <c r="G10692" i="6"/>
  <c r="I10692" i="6" s="1"/>
  <c r="G10693" i="6"/>
  <c r="I10693" i="6" s="1"/>
  <c r="G10684" i="6"/>
  <c r="I10684" i="6" s="1"/>
  <c r="G10990" i="6"/>
  <c r="I10990" i="6" s="1"/>
  <c r="G10969" i="6"/>
  <c r="I10969" i="6" s="1"/>
  <c r="G10968" i="6"/>
  <c r="I10968" i="6" s="1"/>
  <c r="G10711" i="6"/>
  <c r="I10711" i="6" s="1"/>
  <c r="G10697" i="6"/>
  <c r="I10697" i="6" s="1"/>
  <c r="G10675" i="6"/>
  <c r="I10675" i="6" s="1"/>
  <c r="G10679" i="6"/>
  <c r="I10679" i="6" s="1"/>
  <c r="G11146" i="6"/>
  <c r="G11145" i="6"/>
  <c r="G10999" i="6"/>
  <c r="I10999" i="6" s="1"/>
  <c r="I4165" i="6"/>
  <c r="G10176" i="6"/>
  <c r="I10176" i="6" s="1"/>
  <c r="G10036" i="6"/>
  <c r="I10036" i="6" s="1"/>
  <c r="G10037" i="6"/>
  <c r="I10037" i="6" s="1"/>
  <c r="G10038" i="6"/>
  <c r="I10038" i="6" s="1"/>
  <c r="G10039" i="6"/>
  <c r="I10039" i="6" s="1"/>
  <c r="G554" i="6"/>
  <c r="I554" i="6" s="1"/>
  <c r="I10325" i="6"/>
  <c r="I10185" i="6"/>
  <c r="I10186" i="6"/>
  <c r="I10187" i="6"/>
  <c r="I10188" i="6"/>
  <c r="I10189" i="6"/>
  <c r="I10190" i="6"/>
  <c r="I10191" i="6"/>
  <c r="I10192" i="6"/>
  <c r="I10193" i="6"/>
  <c r="I10194" i="6"/>
  <c r="I10195" i="6"/>
  <c r="I10196" i="6"/>
  <c r="I10197" i="6"/>
  <c r="I10200" i="6"/>
  <c r="I10201" i="6"/>
  <c r="I10202" i="6"/>
  <c r="I10204" i="6"/>
  <c r="I10205" i="6"/>
  <c r="I10206" i="6"/>
  <c r="I10207" i="6"/>
  <c r="I10208" i="6"/>
  <c r="I10209" i="6"/>
  <c r="I10210" i="6"/>
  <c r="I10212" i="6"/>
  <c r="I10213" i="6"/>
  <c r="I10214" i="6"/>
  <c r="I10216" i="6"/>
  <c r="I10217" i="6"/>
  <c r="I10218" i="6"/>
  <c r="I10219" i="6"/>
  <c r="I10221" i="6"/>
  <c r="I10222" i="6"/>
  <c r="I10223" i="6"/>
  <c r="I10224" i="6"/>
  <c r="I10225" i="6"/>
  <c r="I10226" i="6"/>
  <c r="I10227" i="6"/>
  <c r="I10229" i="6"/>
  <c r="I10231" i="6"/>
  <c r="I10233" i="6"/>
  <c r="I10234" i="6"/>
  <c r="I10235" i="6"/>
  <c r="I10236" i="6"/>
  <c r="I10239" i="6"/>
  <c r="I10240" i="6"/>
  <c r="I10241" i="6"/>
  <c r="I10242" i="6"/>
  <c r="I10244" i="6"/>
  <c r="I10245" i="6"/>
  <c r="I10246" i="6"/>
  <c r="I10247" i="6"/>
  <c r="I10248" i="6"/>
  <c r="I10249" i="6"/>
  <c r="I10250" i="6"/>
  <c r="I10251" i="6"/>
  <c r="I10252" i="6"/>
  <c r="I10253" i="6"/>
  <c r="I10254" i="6"/>
  <c r="I10255" i="6"/>
  <c r="I10256" i="6"/>
  <c r="I10258" i="6"/>
  <c r="I10259" i="6"/>
  <c r="I10260" i="6"/>
  <c r="I10261" i="6"/>
  <c r="I10263" i="6"/>
  <c r="I10264" i="6"/>
  <c r="I10265" i="6"/>
  <c r="I10266" i="6"/>
  <c r="I10267" i="6"/>
  <c r="I10268" i="6"/>
  <c r="I10269" i="6"/>
  <c r="I10270" i="6"/>
  <c r="I10271" i="6"/>
  <c r="I10273" i="6"/>
  <c r="I10274" i="6"/>
  <c r="I10275" i="6"/>
  <c r="I10276" i="6"/>
  <c r="I10277" i="6"/>
  <c r="I10278" i="6"/>
  <c r="I10279" i="6"/>
  <c r="I10282" i="6"/>
  <c r="I10283" i="6"/>
  <c r="I10284" i="6"/>
  <c r="I10285" i="6"/>
  <c r="I10286" i="6"/>
  <c r="I10287" i="6"/>
  <c r="I10288" i="6"/>
  <c r="I10289" i="6"/>
  <c r="I10290" i="6"/>
  <c r="I10291" i="6"/>
  <c r="I10292" i="6"/>
  <c r="I10293" i="6"/>
  <c r="I10294" i="6"/>
  <c r="I10295" i="6"/>
  <c r="I10296" i="6"/>
  <c r="I10297" i="6"/>
  <c r="I10298" i="6"/>
  <c r="I10299" i="6"/>
  <c r="I10300" i="6"/>
  <c r="I10301" i="6"/>
  <c r="I10302" i="6"/>
  <c r="I10303" i="6"/>
  <c r="I10304" i="6"/>
  <c r="I10305" i="6"/>
  <c r="I10307" i="6"/>
  <c r="I10308" i="6"/>
  <c r="I10309" i="6"/>
  <c r="I10310" i="6"/>
  <c r="I10311" i="6"/>
  <c r="I10312" i="6"/>
  <c r="I10313" i="6"/>
  <c r="I10314" i="6"/>
  <c r="I10315" i="6"/>
  <c r="I10316" i="6"/>
  <c r="I10317" i="6"/>
  <c r="I10318" i="6"/>
  <c r="I10319" i="6"/>
  <c r="I10321" i="6"/>
  <c r="I10322" i="6"/>
  <c r="I10324" i="6"/>
  <c r="I10184" i="6"/>
  <c r="F10215" i="6"/>
  <c r="I10215" i="6" s="1"/>
  <c r="F10211" i="6"/>
  <c r="I10211" i="6" s="1"/>
  <c r="F4910" i="6"/>
  <c r="G11167" i="6"/>
  <c r="I11167" i="6" s="1"/>
  <c r="F10203" i="6"/>
  <c r="I10203" i="6" s="1"/>
  <c r="I10844" i="6" l="1"/>
  <c r="F10262" i="6" l="1"/>
  <c r="I10262" i="6" s="1"/>
  <c r="G4164" i="6" l="1"/>
  <c r="G4163" i="6"/>
  <c r="G4162" i="6"/>
  <c r="G4161" i="6"/>
  <c r="G4160" i="6"/>
  <c r="G4159" i="6"/>
  <c r="G4158" i="6"/>
  <c r="G4157" i="6"/>
  <c r="G4156" i="6"/>
  <c r="G4155" i="6"/>
  <c r="G4154" i="6"/>
  <c r="G4153" i="6"/>
  <c r="G4152" i="6"/>
  <c r="G4151" i="6"/>
  <c r="G4150" i="6"/>
  <c r="G4149" i="6"/>
  <c r="G4148" i="6"/>
  <c r="G4147" i="6"/>
  <c r="G4146" i="6"/>
  <c r="G4145" i="6"/>
  <c r="G4144" i="6"/>
  <c r="G4143" i="6"/>
  <c r="G4142" i="6"/>
  <c r="G4141" i="6"/>
  <c r="G4140" i="6"/>
  <c r="G4139" i="6"/>
  <c r="G4138" i="6"/>
  <c r="G4137" i="6"/>
  <c r="G4136" i="6"/>
  <c r="G4135" i="6"/>
  <c r="G4134" i="6"/>
  <c r="G4133" i="6"/>
  <c r="G4132" i="6"/>
  <c r="G4131" i="6"/>
  <c r="G4130" i="6"/>
  <c r="G4129" i="6"/>
  <c r="G4128" i="6"/>
  <c r="G4127" i="6"/>
  <c r="G4126" i="6"/>
  <c r="G4125" i="6"/>
  <c r="G4124" i="6"/>
  <c r="G4123" i="6"/>
  <c r="G4122" i="6"/>
  <c r="G4121" i="6"/>
  <c r="G4120" i="6"/>
  <c r="G4119" i="6"/>
  <c r="G4118" i="6"/>
  <c r="G4117" i="6"/>
  <c r="G4116" i="6"/>
  <c r="G4115" i="6"/>
  <c r="G4114" i="6"/>
  <c r="G4113" i="6"/>
  <c r="G4112" i="6"/>
  <c r="G4111" i="6"/>
  <c r="G4110" i="6"/>
  <c r="G4109" i="6"/>
  <c r="G4108" i="6"/>
  <c r="G4107" i="6"/>
  <c r="G4106" i="6"/>
  <c r="G4105" i="6"/>
  <c r="G4104" i="6"/>
  <c r="G4103" i="6"/>
  <c r="G4102" i="6"/>
  <c r="G4101" i="6"/>
  <c r="G4100" i="6"/>
  <c r="G4099" i="6"/>
  <c r="G4098" i="6"/>
  <c r="G4097" i="6"/>
  <c r="G4096" i="6"/>
  <c r="G4095" i="6"/>
  <c r="G4094" i="6"/>
  <c r="G4093" i="6"/>
  <c r="G4092" i="6"/>
  <c r="G4091" i="6"/>
  <c r="G4090" i="6"/>
  <c r="G4089" i="6"/>
  <c r="G4088" i="6"/>
  <c r="G4087" i="6"/>
  <c r="G4086" i="6"/>
  <c r="G4085" i="6"/>
  <c r="G4084" i="6"/>
  <c r="G4083" i="6"/>
  <c r="G4082" i="6"/>
  <c r="G4081" i="6"/>
  <c r="G4080" i="6"/>
  <c r="G4079" i="6"/>
  <c r="G4078" i="6"/>
  <c r="G4077" i="6"/>
  <c r="G4076" i="6"/>
  <c r="G4075" i="6"/>
  <c r="G4074" i="6"/>
  <c r="G4073" i="6"/>
  <c r="G4072" i="6"/>
  <c r="G4071" i="6"/>
  <c r="G4070" i="6"/>
  <c r="G4069" i="6"/>
  <c r="G4068" i="6"/>
  <c r="G4067" i="6"/>
  <c r="G4066" i="6"/>
  <c r="G4065" i="6"/>
  <c r="G4064" i="6"/>
  <c r="G4063" i="6"/>
  <c r="G4062" i="6"/>
  <c r="G4061" i="6"/>
  <c r="G4060" i="6"/>
  <c r="G4059" i="6"/>
  <c r="G4058" i="6"/>
  <c r="G4057" i="6"/>
  <c r="G4056" i="6"/>
  <c r="G4055" i="6"/>
  <c r="G4054" i="6"/>
  <c r="G4053" i="6"/>
  <c r="G4052" i="6"/>
  <c r="G4051" i="6"/>
  <c r="G4050" i="6"/>
  <c r="G4049" i="6"/>
  <c r="G4048" i="6"/>
  <c r="G4047" i="6"/>
  <c r="G4046" i="6"/>
  <c r="G4045" i="6"/>
  <c r="G4044" i="6"/>
  <c r="G4043" i="6"/>
  <c r="G4042" i="6"/>
  <c r="G4041" i="6"/>
  <c r="G4040" i="6"/>
  <c r="G4039" i="6"/>
  <c r="G4038" i="6"/>
  <c r="G4037" i="6"/>
  <c r="G4036" i="6"/>
  <c r="G4035" i="6"/>
  <c r="G4034" i="6"/>
  <c r="G4033" i="6"/>
  <c r="G4032" i="6"/>
  <c r="G4031" i="6"/>
  <c r="G4030" i="6"/>
  <c r="G4029" i="6"/>
  <c r="G4028" i="6"/>
  <c r="G4027" i="6"/>
  <c r="G4026" i="6"/>
  <c r="G4025" i="6"/>
  <c r="G4024" i="6"/>
  <c r="G4023" i="6"/>
  <c r="G4022" i="6"/>
  <c r="G4021" i="6"/>
  <c r="G4020" i="6"/>
  <c r="G4019" i="6"/>
  <c r="G4018" i="6"/>
  <c r="G4017" i="6"/>
  <c r="G4016" i="6"/>
  <c r="G4015" i="6"/>
  <c r="G4014" i="6"/>
  <c r="G4013" i="6"/>
  <c r="G4012" i="6"/>
  <c r="G4011" i="6"/>
  <c r="G4010" i="6"/>
  <c r="G4009" i="6"/>
  <c r="G4008" i="6"/>
  <c r="G4007" i="6"/>
  <c r="G4006" i="6"/>
  <c r="G4005" i="6"/>
  <c r="G4004" i="6"/>
  <c r="G4003" i="6"/>
  <c r="G4002" i="6"/>
  <c r="G4001" i="6"/>
  <c r="G4000" i="6"/>
  <c r="G3999" i="6"/>
  <c r="G3998" i="6"/>
  <c r="G3997" i="6"/>
  <c r="G3996" i="6"/>
  <c r="G3995" i="6"/>
  <c r="G3994" i="6"/>
  <c r="G3993" i="6"/>
  <c r="G3992" i="6"/>
  <c r="G3991" i="6"/>
  <c r="G3990" i="6"/>
  <c r="G3989" i="6"/>
  <c r="G3988" i="6"/>
  <c r="G3987" i="6"/>
  <c r="G3986" i="6"/>
  <c r="G3985" i="6"/>
  <c r="G3984" i="6"/>
  <c r="G3983" i="6"/>
  <c r="G3982" i="6"/>
  <c r="G3981" i="6"/>
  <c r="G3980" i="6"/>
  <c r="G3979" i="6"/>
  <c r="G3978" i="6"/>
  <c r="G3977" i="6"/>
  <c r="G3976" i="6"/>
  <c r="G3975" i="6"/>
  <c r="G3974" i="6"/>
  <c r="G3973" i="6"/>
  <c r="G3972" i="6"/>
  <c r="G3971" i="6"/>
  <c r="G3970" i="6"/>
  <c r="G3969" i="6"/>
  <c r="G3968" i="6"/>
  <c r="G3967" i="6"/>
  <c r="G3966" i="6"/>
  <c r="G3965" i="6"/>
  <c r="G3964" i="6"/>
  <c r="G3963" i="6"/>
  <c r="G3962" i="6"/>
  <c r="G3961" i="6"/>
  <c r="G3960" i="6"/>
  <c r="G3959" i="6"/>
  <c r="G3958" i="6"/>
  <c r="G3957" i="6"/>
  <c r="G3956" i="6"/>
  <c r="G3955" i="6"/>
  <c r="G3954" i="6"/>
  <c r="G3953" i="6"/>
  <c r="G3952" i="6"/>
  <c r="G3951" i="6"/>
  <c r="G3950" i="6"/>
  <c r="G3949" i="6"/>
  <c r="G3948" i="6"/>
  <c r="G3947" i="6"/>
  <c r="G3946" i="6"/>
  <c r="G3945" i="6"/>
  <c r="G3944" i="6"/>
  <c r="G3943" i="6"/>
  <c r="G3942" i="6"/>
  <c r="G3941" i="6"/>
  <c r="G3940" i="6"/>
  <c r="G3939" i="6"/>
  <c r="G3938" i="6"/>
  <c r="G3937" i="6"/>
  <c r="G3936" i="6"/>
  <c r="G3935" i="6"/>
  <c r="G3934" i="6"/>
  <c r="G3933" i="6"/>
  <c r="G3932" i="6"/>
  <c r="G3931" i="6"/>
  <c r="G3930" i="6"/>
  <c r="G3929" i="6"/>
  <c r="G3928" i="6"/>
  <c r="G3927" i="6"/>
  <c r="G3926" i="6"/>
  <c r="G3925" i="6"/>
  <c r="G3924" i="6"/>
  <c r="G3923" i="6"/>
  <c r="G3922" i="6"/>
  <c r="G3921" i="6"/>
  <c r="G3920" i="6"/>
  <c r="G3919" i="6"/>
  <c r="G3918" i="6"/>
  <c r="G3917" i="6"/>
  <c r="G3916" i="6"/>
  <c r="G3915" i="6"/>
  <c r="G3914" i="6"/>
  <c r="G3913" i="6"/>
  <c r="G3912" i="6"/>
  <c r="G3911" i="6"/>
  <c r="G3910" i="6"/>
  <c r="G3909" i="6"/>
  <c r="G3908" i="6"/>
  <c r="G3907" i="6"/>
  <c r="G3906" i="6"/>
  <c r="G3905" i="6"/>
  <c r="G3904" i="6"/>
  <c r="G3903" i="6"/>
  <c r="G3902" i="6"/>
  <c r="G3901" i="6"/>
  <c r="G3900" i="6"/>
  <c r="G3899" i="6"/>
  <c r="G3898" i="6"/>
  <c r="G3897" i="6"/>
  <c r="G3896" i="6"/>
  <c r="G3895" i="6"/>
  <c r="G3894" i="6"/>
  <c r="G3893" i="6"/>
  <c r="G3892" i="6"/>
  <c r="G3891" i="6"/>
  <c r="G3890" i="6"/>
  <c r="G3889" i="6"/>
  <c r="G3888" i="6"/>
  <c r="G3887" i="6"/>
  <c r="G3886" i="6"/>
  <c r="G3885" i="6"/>
  <c r="G3884" i="6"/>
  <c r="G3883" i="6"/>
  <c r="G3882" i="6"/>
  <c r="G3881" i="6"/>
  <c r="G3880" i="6"/>
  <c r="G3879" i="6"/>
  <c r="G3878" i="6"/>
  <c r="G3877" i="6"/>
  <c r="G3876" i="6"/>
  <c r="G3875" i="6"/>
  <c r="G3874" i="6"/>
  <c r="G3873" i="6"/>
  <c r="G3872" i="6"/>
  <c r="G3871" i="6"/>
  <c r="G3870" i="6"/>
  <c r="G3869" i="6"/>
  <c r="G3868" i="6"/>
  <c r="G3867" i="6"/>
  <c r="G3866" i="6"/>
  <c r="G3865" i="6"/>
  <c r="G3864" i="6"/>
  <c r="G3863" i="6"/>
  <c r="G3862" i="6"/>
  <c r="G3861" i="6"/>
  <c r="G3860" i="6"/>
  <c r="G3859" i="6"/>
  <c r="G3858" i="6"/>
  <c r="G3857" i="6"/>
  <c r="G3856" i="6"/>
  <c r="G3855" i="6"/>
  <c r="G3854" i="6"/>
  <c r="G3853" i="6"/>
  <c r="G3852" i="6"/>
  <c r="G3851" i="6"/>
  <c r="G3850" i="6"/>
  <c r="G3849" i="6"/>
  <c r="G3848" i="6"/>
  <c r="G3847" i="6"/>
  <c r="G3846" i="6"/>
  <c r="G3845" i="6"/>
  <c r="G3844" i="6"/>
  <c r="G3843" i="6"/>
  <c r="G3842" i="6"/>
  <c r="G3841" i="6"/>
  <c r="G3840" i="6"/>
  <c r="G3839" i="6"/>
  <c r="G3838" i="6"/>
  <c r="G3837" i="6"/>
  <c r="G3836" i="6"/>
  <c r="G3835" i="6"/>
  <c r="G3834" i="6"/>
  <c r="G3833" i="6"/>
  <c r="G3832" i="6"/>
  <c r="G3831" i="6"/>
  <c r="G3830" i="6"/>
  <c r="G3829" i="6"/>
  <c r="G3828" i="6"/>
  <c r="G3827" i="6"/>
  <c r="G3826" i="6"/>
  <c r="G3825" i="6"/>
  <c r="G3824" i="6"/>
  <c r="G3823" i="6"/>
  <c r="G3822" i="6"/>
  <c r="G3821" i="6"/>
  <c r="G3820" i="6"/>
  <c r="G3819" i="6"/>
  <c r="G3818" i="6"/>
  <c r="G3817" i="6"/>
  <c r="G3816" i="6"/>
  <c r="G3815" i="6"/>
  <c r="G3814" i="6"/>
  <c r="G3813" i="6"/>
  <c r="G3812" i="6"/>
  <c r="G3811" i="6"/>
  <c r="G3810" i="6"/>
  <c r="G3809" i="6"/>
  <c r="G3808" i="6"/>
  <c r="G3807" i="6"/>
  <c r="G3806" i="6"/>
  <c r="G3805" i="6"/>
  <c r="G3804" i="6"/>
  <c r="G3803" i="6"/>
  <c r="G3802" i="6"/>
  <c r="G3801" i="6"/>
  <c r="G3800" i="6"/>
  <c r="G3799" i="6"/>
  <c r="G3798" i="6"/>
  <c r="G3797" i="6"/>
  <c r="G3796" i="6"/>
  <c r="G3795" i="6"/>
  <c r="G3794" i="6"/>
  <c r="G3793" i="6"/>
  <c r="G3792" i="6"/>
  <c r="G3791" i="6"/>
  <c r="G3790" i="6"/>
  <c r="G3789" i="6"/>
  <c r="G3788" i="6"/>
  <c r="G3787" i="6"/>
  <c r="G3786" i="6"/>
  <c r="G3785" i="6"/>
  <c r="G3784" i="6"/>
  <c r="G3783" i="6"/>
  <c r="G3782" i="6"/>
  <c r="G3781" i="6"/>
  <c r="G3780" i="6"/>
  <c r="G3779" i="6"/>
  <c r="G3778" i="6"/>
  <c r="G3777" i="6"/>
  <c r="G3776" i="6"/>
  <c r="G3775" i="6"/>
  <c r="G3774" i="6"/>
  <c r="G3773" i="6"/>
  <c r="G3772" i="6"/>
  <c r="G3771" i="6"/>
  <c r="G3770" i="6"/>
  <c r="G3769" i="6"/>
  <c r="G3768" i="6"/>
  <c r="G3767" i="6"/>
  <c r="G3766" i="6"/>
  <c r="G3765" i="6"/>
  <c r="G3764" i="6"/>
  <c r="G3763" i="6"/>
  <c r="G3762" i="6"/>
  <c r="G3761" i="6"/>
  <c r="G3760" i="6"/>
  <c r="G3759" i="6"/>
  <c r="G3758" i="6"/>
  <c r="G3757" i="6"/>
  <c r="G3756" i="6"/>
  <c r="G3755" i="6"/>
  <c r="G3754" i="6"/>
  <c r="G3753" i="6"/>
  <c r="G3752" i="6"/>
  <c r="G3751" i="6"/>
  <c r="G3750" i="6"/>
  <c r="G3749" i="6"/>
  <c r="G3748" i="6"/>
  <c r="G3747" i="6"/>
  <c r="G3746" i="6"/>
  <c r="G3745" i="6"/>
  <c r="G3744" i="6"/>
  <c r="G3743" i="6"/>
  <c r="G3742" i="6"/>
  <c r="G3741" i="6"/>
  <c r="G3740" i="6"/>
  <c r="G3739" i="6"/>
  <c r="G3738" i="6"/>
  <c r="G3737" i="6"/>
  <c r="G3736" i="6"/>
  <c r="G3735" i="6"/>
  <c r="G3734" i="6"/>
  <c r="G3733" i="6"/>
  <c r="G3732" i="6"/>
  <c r="G3731" i="6"/>
  <c r="G3730" i="6"/>
  <c r="G3729" i="6"/>
  <c r="G3728" i="6"/>
  <c r="G3727" i="6"/>
  <c r="G3726" i="6"/>
  <c r="G3725" i="6"/>
  <c r="G3724" i="6"/>
  <c r="G3723" i="6"/>
  <c r="G3722" i="6"/>
  <c r="G3721" i="6"/>
  <c r="G3720" i="6"/>
  <c r="G3719" i="6"/>
  <c r="G3718" i="6"/>
  <c r="G3717" i="6"/>
  <c r="G3716" i="6"/>
  <c r="G3715" i="6"/>
  <c r="G3714" i="6"/>
  <c r="G3713" i="6"/>
  <c r="G3712" i="6"/>
  <c r="G3711" i="6"/>
  <c r="G3710" i="6"/>
  <c r="G3709" i="6"/>
  <c r="G3708" i="6"/>
  <c r="G3707" i="6"/>
  <c r="G3706" i="6"/>
  <c r="G3705" i="6"/>
  <c r="G3704" i="6"/>
  <c r="G3703" i="6"/>
  <c r="G3702" i="6"/>
  <c r="G3701" i="6"/>
  <c r="G3700" i="6"/>
  <c r="G3699" i="6"/>
  <c r="G3698" i="6"/>
  <c r="G3697" i="6"/>
  <c r="G3696" i="6"/>
  <c r="G3695" i="6"/>
  <c r="G3694" i="6"/>
  <c r="G3693" i="6"/>
  <c r="G3692" i="6"/>
  <c r="G3691" i="6"/>
  <c r="G3690" i="6"/>
  <c r="G3689" i="6"/>
  <c r="G3688" i="6"/>
  <c r="G3687" i="6"/>
  <c r="G3686" i="6"/>
  <c r="G3685" i="6"/>
  <c r="G3684" i="6"/>
  <c r="G3683" i="6"/>
  <c r="G3682" i="6"/>
  <c r="G3681" i="6"/>
  <c r="G3680" i="6"/>
  <c r="G3679" i="6"/>
  <c r="G3678" i="6"/>
  <c r="G3677" i="6"/>
  <c r="G3676" i="6"/>
  <c r="G3675" i="6"/>
  <c r="G3674" i="6"/>
  <c r="G3673" i="6"/>
  <c r="G3672" i="6"/>
  <c r="G3671" i="6"/>
  <c r="G3670" i="6"/>
  <c r="G3669" i="6"/>
  <c r="G3668" i="6"/>
  <c r="G3667" i="6"/>
  <c r="G3666" i="6"/>
  <c r="G3665" i="6"/>
  <c r="G3664" i="6"/>
  <c r="G3663" i="6"/>
  <c r="G3662" i="6"/>
  <c r="G3661" i="6"/>
  <c r="G3660" i="6"/>
  <c r="G3659" i="6"/>
  <c r="G3658" i="6"/>
  <c r="G3657" i="6"/>
  <c r="G3656" i="6"/>
  <c r="G3655" i="6"/>
  <c r="G3654" i="6"/>
  <c r="G3653" i="6"/>
  <c r="G3652" i="6"/>
  <c r="G3651" i="6"/>
  <c r="G3650" i="6"/>
  <c r="G3649" i="6"/>
  <c r="G3648" i="6"/>
  <c r="G3647" i="6"/>
  <c r="G3646" i="6"/>
  <c r="G3645" i="6"/>
  <c r="G3644" i="6"/>
  <c r="G3643" i="6"/>
  <c r="G3642" i="6"/>
  <c r="G3641" i="6"/>
  <c r="G3640" i="6"/>
  <c r="G3639" i="6"/>
  <c r="G3638" i="6"/>
  <c r="G3637" i="6"/>
  <c r="G3636" i="6"/>
  <c r="G3635" i="6"/>
  <c r="G3634" i="6"/>
  <c r="G3633" i="6"/>
  <c r="G3632" i="6"/>
  <c r="G3631" i="6"/>
  <c r="G3630" i="6"/>
  <c r="G3629" i="6"/>
  <c r="G3628" i="6"/>
  <c r="G3627" i="6"/>
  <c r="G3626" i="6"/>
  <c r="G3625" i="6"/>
  <c r="G3624" i="6"/>
  <c r="G3623" i="6"/>
  <c r="G3622" i="6"/>
  <c r="G3621" i="6"/>
  <c r="G3620" i="6"/>
  <c r="G3619" i="6"/>
  <c r="G3618" i="6"/>
  <c r="G3617" i="6"/>
  <c r="G3616" i="6"/>
  <c r="G3615" i="6"/>
  <c r="G3614" i="6"/>
  <c r="G3613" i="6"/>
  <c r="G3612" i="6"/>
  <c r="G3611" i="6"/>
  <c r="G3610" i="6"/>
  <c r="G3609" i="6"/>
  <c r="G3608" i="6"/>
  <c r="G3607" i="6"/>
  <c r="G3606" i="6"/>
  <c r="G3605" i="6"/>
  <c r="G3604" i="6"/>
  <c r="G3603" i="6"/>
  <c r="G3602" i="6"/>
  <c r="G3601" i="6"/>
  <c r="G3600" i="6"/>
  <c r="G3599" i="6"/>
  <c r="G3598" i="6"/>
  <c r="G3597" i="6"/>
  <c r="G3596" i="6"/>
  <c r="G3595" i="6"/>
  <c r="G3594" i="6"/>
  <c r="G3593" i="6"/>
  <c r="G3592" i="6"/>
  <c r="G3591" i="6"/>
  <c r="G3590" i="6"/>
  <c r="G3589" i="6"/>
  <c r="G3588" i="6"/>
  <c r="G3587" i="6"/>
  <c r="G3586" i="6"/>
  <c r="G3585" i="6"/>
  <c r="G3584" i="6"/>
  <c r="G3583" i="6"/>
  <c r="G3582" i="6"/>
  <c r="G3581" i="6"/>
  <c r="G3580" i="6"/>
  <c r="G3579" i="6"/>
  <c r="G3578" i="6"/>
  <c r="G3577" i="6"/>
  <c r="G3576" i="6"/>
  <c r="G3575" i="6"/>
  <c r="G3574" i="6"/>
  <c r="G3573" i="6"/>
  <c r="G3572" i="6"/>
  <c r="G3571" i="6"/>
  <c r="G3570" i="6"/>
  <c r="G3569" i="6"/>
  <c r="G3568" i="6"/>
  <c r="G3567" i="6"/>
  <c r="G3566" i="6"/>
  <c r="G3565" i="6"/>
  <c r="G3564" i="6"/>
  <c r="G3563" i="6"/>
  <c r="G3562" i="6"/>
  <c r="G3561" i="6"/>
  <c r="G3560" i="6"/>
  <c r="G3559" i="6"/>
  <c r="G3558" i="6"/>
  <c r="G3557" i="6"/>
  <c r="G3556" i="6"/>
  <c r="G3555" i="6"/>
  <c r="G3554" i="6"/>
  <c r="G3553" i="6"/>
  <c r="G3552" i="6"/>
  <c r="G3551" i="6"/>
  <c r="G3550" i="6"/>
  <c r="G3549" i="6"/>
  <c r="G3548" i="6"/>
  <c r="G3547" i="6"/>
  <c r="G3546" i="6"/>
  <c r="G3545" i="6"/>
  <c r="G3544" i="6"/>
  <c r="G3543" i="6"/>
  <c r="G3542" i="6"/>
  <c r="G3541" i="6"/>
  <c r="G3540" i="6"/>
  <c r="G3539" i="6"/>
  <c r="G3538" i="6"/>
  <c r="G3537" i="6"/>
  <c r="G3536" i="6"/>
  <c r="G3535" i="6"/>
  <c r="G3534" i="6"/>
  <c r="G3533" i="6"/>
  <c r="G3532" i="6"/>
  <c r="G3531" i="6"/>
  <c r="G3530" i="6"/>
  <c r="G3529" i="6"/>
  <c r="G3528" i="6"/>
  <c r="G3527" i="6"/>
  <c r="G3526" i="6"/>
  <c r="G3525" i="6"/>
  <c r="G3524" i="6"/>
  <c r="G3523" i="6"/>
  <c r="G3522" i="6"/>
  <c r="G3521" i="6"/>
  <c r="G3520" i="6"/>
  <c r="G3519" i="6"/>
  <c r="G3518" i="6"/>
  <c r="G3517" i="6"/>
  <c r="G3516" i="6"/>
  <c r="G3515" i="6"/>
  <c r="G3514" i="6"/>
  <c r="G3513" i="6"/>
  <c r="G3512" i="6"/>
  <c r="G3511" i="6"/>
  <c r="G3510" i="6"/>
  <c r="G3509" i="6"/>
  <c r="G3507" i="6"/>
  <c r="G3506" i="6"/>
  <c r="G3505" i="6"/>
  <c r="G3504" i="6"/>
  <c r="G3503" i="6"/>
  <c r="G3502" i="6"/>
  <c r="G3501" i="6"/>
  <c r="G3500" i="6"/>
  <c r="G3499" i="6"/>
  <c r="G3498" i="6"/>
  <c r="G3497" i="6"/>
  <c r="G3496" i="6"/>
  <c r="G3495" i="6"/>
  <c r="G3494" i="6"/>
  <c r="G3493" i="6"/>
  <c r="G3492" i="6"/>
  <c r="G3491" i="6"/>
  <c r="G3490" i="6"/>
  <c r="G3489" i="6"/>
  <c r="G3488" i="6"/>
  <c r="G3487" i="6"/>
  <c r="G3486" i="6"/>
  <c r="G3485" i="6"/>
  <c r="G3484" i="6"/>
  <c r="G3483" i="6"/>
  <c r="G3482" i="6"/>
  <c r="G3481" i="6"/>
  <c r="G3480" i="6"/>
  <c r="G3479" i="6"/>
  <c r="G3478" i="6"/>
  <c r="G3477" i="6"/>
  <c r="G3476" i="6"/>
  <c r="G3475" i="6"/>
  <c r="G3474" i="6"/>
  <c r="G3473" i="6"/>
  <c r="G3472" i="6"/>
  <c r="G3471" i="6"/>
  <c r="G3470" i="6"/>
  <c r="G3469" i="6"/>
  <c r="G3468" i="6"/>
  <c r="G3467" i="6"/>
  <c r="G3466" i="6"/>
  <c r="G3465" i="6"/>
  <c r="G3464" i="6"/>
  <c r="G3463" i="6"/>
  <c r="G3462" i="6"/>
  <c r="G3461" i="6"/>
  <c r="G3460" i="6"/>
  <c r="G3459" i="6"/>
  <c r="G3458" i="6"/>
  <c r="G3457" i="6"/>
  <c r="G3456" i="6"/>
  <c r="G3455" i="6"/>
  <c r="G3454" i="6"/>
  <c r="G3453" i="6"/>
  <c r="G3452" i="6"/>
  <c r="G3451" i="6"/>
  <c r="G3450" i="6"/>
  <c r="G3449" i="6"/>
  <c r="G3448" i="6"/>
  <c r="G3447" i="6"/>
  <c r="G3446" i="6"/>
  <c r="G3445" i="6"/>
  <c r="G3444" i="6"/>
  <c r="G3443" i="6"/>
  <c r="G3442" i="6"/>
  <c r="G3441" i="6"/>
  <c r="G3440" i="6"/>
  <c r="G3439" i="6"/>
  <c r="G3438" i="6"/>
  <c r="G3437" i="6"/>
  <c r="G3436" i="6"/>
  <c r="G3435" i="6"/>
  <c r="G3434" i="6"/>
  <c r="G3433" i="6"/>
  <c r="G3432" i="6"/>
  <c r="G3431" i="6"/>
  <c r="G3430" i="6"/>
  <c r="G3429" i="6"/>
  <c r="G3428" i="6"/>
  <c r="G3427" i="6"/>
  <c r="G3426" i="6"/>
  <c r="G3425" i="6"/>
  <c r="G3424" i="6"/>
  <c r="G3423" i="6"/>
  <c r="G3422" i="6"/>
  <c r="G3421" i="6"/>
  <c r="G3420" i="6"/>
  <c r="G3419" i="6"/>
  <c r="G3418" i="6"/>
  <c r="G3417" i="6"/>
  <c r="G3416" i="6"/>
  <c r="G3415" i="6"/>
  <c r="G3414" i="6"/>
  <c r="G3413" i="6"/>
  <c r="G3412" i="6"/>
  <c r="G3411" i="6"/>
  <c r="G3410" i="6"/>
  <c r="G3409" i="6"/>
  <c r="G3408" i="6"/>
  <c r="G3407" i="6"/>
  <c r="G3406" i="6"/>
  <c r="G3405" i="6"/>
  <c r="G3404" i="6"/>
  <c r="G3403" i="6"/>
  <c r="G3402" i="6"/>
  <c r="G3401" i="6"/>
  <c r="G3400" i="6"/>
  <c r="G3399" i="6"/>
  <c r="G3398" i="6"/>
  <c r="G3397" i="6"/>
  <c r="G3396" i="6"/>
  <c r="G3395" i="6"/>
  <c r="G3394" i="6"/>
  <c r="G3393" i="6"/>
  <c r="G3392" i="6"/>
  <c r="G3391" i="6"/>
  <c r="G3390" i="6"/>
  <c r="G3389" i="6"/>
  <c r="G3388" i="6"/>
  <c r="G3387" i="6"/>
  <c r="G3386" i="6"/>
  <c r="G3385" i="6"/>
  <c r="G3384" i="6"/>
  <c r="G3383" i="6"/>
  <c r="G3382" i="6"/>
  <c r="G3381" i="6"/>
  <c r="G3380" i="6"/>
  <c r="G3379" i="6"/>
  <c r="G3378" i="6"/>
  <c r="G3377" i="6"/>
  <c r="G3376" i="6"/>
  <c r="G3375" i="6"/>
  <c r="G3374" i="6"/>
  <c r="G3373" i="6"/>
  <c r="G3372" i="6"/>
  <c r="G3371" i="6"/>
  <c r="G3370" i="6"/>
  <c r="G3369" i="6"/>
  <c r="G3368" i="6"/>
  <c r="G3367" i="6"/>
  <c r="G3366" i="6"/>
  <c r="G3365" i="6"/>
  <c r="G3364" i="6"/>
  <c r="G3363" i="6"/>
  <c r="G3362" i="6"/>
  <c r="G3361" i="6"/>
  <c r="G3360" i="6"/>
  <c r="G3359" i="6"/>
  <c r="G3358" i="6"/>
  <c r="G3357" i="6"/>
  <c r="G3356" i="6"/>
  <c r="G3355" i="6"/>
  <c r="G3354" i="6"/>
  <c r="G3353" i="6"/>
  <c r="G3352" i="6"/>
  <c r="G3351" i="6"/>
  <c r="G3350" i="6"/>
  <c r="G3349" i="6"/>
  <c r="G3348" i="6"/>
  <c r="G3347" i="6"/>
  <c r="G3346" i="6"/>
  <c r="G3345" i="6"/>
  <c r="G3344" i="6"/>
  <c r="G3343" i="6"/>
  <c r="G3342" i="6"/>
  <c r="G3341" i="6"/>
  <c r="G3340" i="6"/>
  <c r="G3339" i="6"/>
  <c r="G3338" i="6"/>
  <c r="G3337" i="6"/>
  <c r="G3336" i="6"/>
  <c r="G3335" i="6"/>
  <c r="G3334" i="6"/>
  <c r="G3333" i="6"/>
  <c r="G3332" i="6"/>
  <c r="G3331" i="6"/>
  <c r="G3330" i="6"/>
  <c r="G3329" i="6"/>
  <c r="G3328" i="6"/>
  <c r="G3327" i="6"/>
  <c r="G3326" i="6"/>
  <c r="G3325" i="6"/>
  <c r="G3324" i="6"/>
  <c r="G3323" i="6"/>
  <c r="G3322" i="6"/>
  <c r="G3321" i="6"/>
  <c r="G3320" i="6"/>
  <c r="G3319" i="6"/>
  <c r="G3318" i="6"/>
  <c r="G3317" i="6"/>
  <c r="G3316" i="6"/>
  <c r="G3315" i="6"/>
  <c r="G3314" i="6"/>
  <c r="G3313" i="6"/>
  <c r="G3312" i="6"/>
  <c r="G3311" i="6"/>
  <c r="G3310" i="6"/>
  <c r="G3309" i="6"/>
  <c r="G3308" i="6"/>
  <c r="G3307" i="6"/>
  <c r="G3306" i="6"/>
  <c r="G3305" i="6"/>
  <c r="G3304" i="6"/>
  <c r="G3303" i="6"/>
  <c r="G3302" i="6"/>
  <c r="G3301" i="6"/>
  <c r="G3300" i="6"/>
  <c r="G3299" i="6"/>
  <c r="G3298" i="6"/>
  <c r="G3297" i="6"/>
  <c r="G3296" i="6"/>
  <c r="G3295" i="6"/>
  <c r="G3294" i="6"/>
  <c r="G3293" i="6"/>
  <c r="G3292" i="6"/>
  <c r="G3291" i="6"/>
  <c r="G3290" i="6"/>
  <c r="G3289" i="6"/>
  <c r="G3288" i="6"/>
  <c r="G3287" i="6"/>
  <c r="G3286" i="6"/>
  <c r="G3285" i="6"/>
  <c r="G3284" i="6"/>
  <c r="G3283" i="6"/>
  <c r="G3282" i="6"/>
  <c r="G3281" i="6"/>
  <c r="G3280" i="6"/>
  <c r="G3279" i="6"/>
  <c r="G3278" i="6"/>
  <c r="G3277" i="6"/>
  <c r="G3276" i="6"/>
  <c r="G3275" i="6"/>
  <c r="G3274" i="6"/>
  <c r="G3273" i="6"/>
  <c r="G3272" i="6"/>
  <c r="G3271" i="6"/>
  <c r="G3270" i="6"/>
  <c r="G3269" i="6"/>
  <c r="G3268" i="6"/>
  <c r="G3267" i="6"/>
  <c r="G3266" i="6"/>
  <c r="G3265" i="6"/>
  <c r="G3264" i="6"/>
  <c r="G3263" i="6"/>
  <c r="G3262" i="6"/>
  <c r="G3261" i="6"/>
  <c r="G3260" i="6"/>
  <c r="G3259" i="6"/>
  <c r="G3258" i="6"/>
  <c r="G3257" i="6"/>
  <c r="G3256" i="6"/>
  <c r="G3255" i="6"/>
  <c r="G3254" i="6"/>
  <c r="G3253" i="6"/>
  <c r="G3252" i="6"/>
  <c r="G3251" i="6"/>
  <c r="G3250" i="6"/>
  <c r="G3249" i="6"/>
  <c r="G3248" i="6"/>
  <c r="G3247" i="6"/>
  <c r="G3246" i="6"/>
  <c r="G3245" i="6"/>
  <c r="G3244" i="6"/>
  <c r="G3243" i="6"/>
  <c r="G3242" i="6"/>
  <c r="G3241" i="6"/>
  <c r="G3240" i="6"/>
  <c r="G3239" i="6"/>
  <c r="G3238" i="6"/>
  <c r="G3237" i="6"/>
  <c r="G3236" i="6"/>
  <c r="G3235" i="6"/>
  <c r="G3234" i="6"/>
  <c r="G3233" i="6"/>
  <c r="G3232" i="6"/>
  <c r="G3231" i="6"/>
  <c r="G3230" i="6"/>
  <c r="G3229" i="6"/>
  <c r="G3228" i="6"/>
  <c r="G3227" i="6"/>
  <c r="G3226" i="6"/>
  <c r="G3225" i="6"/>
  <c r="G3224" i="6"/>
  <c r="G3223" i="6"/>
  <c r="G3222" i="6"/>
  <c r="G3221" i="6"/>
  <c r="G3220" i="6"/>
  <c r="G3219" i="6"/>
  <c r="G3218" i="6"/>
  <c r="G3217" i="6"/>
  <c r="G3216" i="6"/>
  <c r="G3215" i="6"/>
  <c r="G3214" i="6"/>
  <c r="G3213" i="6"/>
  <c r="G3212" i="6"/>
  <c r="G3211" i="6"/>
  <c r="G3210" i="6"/>
  <c r="G3209" i="6"/>
  <c r="G3208" i="6"/>
  <c r="G3207" i="6"/>
  <c r="G3206" i="6"/>
  <c r="G3205" i="6"/>
  <c r="G3204" i="6"/>
  <c r="G3203" i="6"/>
  <c r="G3202" i="6"/>
  <c r="G3201" i="6"/>
  <c r="G3200" i="6"/>
  <c r="G3199" i="6"/>
  <c r="G3198" i="6"/>
  <c r="G3197" i="6"/>
  <c r="G3196" i="6"/>
  <c r="G3195" i="6"/>
  <c r="G3194" i="6"/>
  <c r="G3193" i="6"/>
  <c r="G3192" i="6"/>
  <c r="G3191" i="6"/>
  <c r="G3190" i="6"/>
  <c r="G3189" i="6"/>
  <c r="G3188" i="6"/>
  <c r="G3187" i="6"/>
  <c r="G3186" i="6"/>
  <c r="G3185" i="6"/>
  <c r="G3184" i="6"/>
  <c r="G3183" i="6"/>
  <c r="G3182" i="6"/>
  <c r="G3181" i="6"/>
  <c r="G3180" i="6"/>
  <c r="G3179" i="6"/>
  <c r="G3178" i="6"/>
  <c r="G3177" i="6"/>
  <c r="G3176" i="6"/>
  <c r="G3175" i="6"/>
  <c r="G3174" i="6"/>
  <c r="G3173" i="6"/>
  <c r="G3172" i="6"/>
  <c r="G3171" i="6"/>
  <c r="G3170" i="6"/>
  <c r="G3169" i="6"/>
  <c r="G3168" i="6"/>
  <c r="G3167" i="6"/>
  <c r="G3166" i="6"/>
  <c r="G3165" i="6"/>
  <c r="G3164" i="6"/>
  <c r="G3163" i="6"/>
  <c r="G3162" i="6"/>
  <c r="G3161" i="6"/>
  <c r="G3160" i="6"/>
  <c r="G3159" i="6"/>
  <c r="G3158" i="6"/>
  <c r="G3157" i="6"/>
  <c r="G3156" i="6"/>
  <c r="G3155" i="6"/>
  <c r="G3154" i="6"/>
  <c r="G3153" i="6"/>
  <c r="G3152" i="6"/>
  <c r="G3151" i="6"/>
  <c r="G3150" i="6"/>
  <c r="G3149" i="6"/>
  <c r="G3148" i="6"/>
  <c r="G3147" i="6"/>
  <c r="G3146" i="6"/>
  <c r="G3145" i="6"/>
  <c r="G3144" i="6"/>
  <c r="G3143" i="6"/>
  <c r="G3142" i="6"/>
  <c r="G3141" i="6"/>
  <c r="G3140" i="6"/>
  <c r="G3139" i="6"/>
  <c r="G3138" i="6"/>
  <c r="G3137" i="6"/>
  <c r="G3136" i="6"/>
  <c r="G3135" i="6"/>
  <c r="G3134" i="6"/>
  <c r="G3133" i="6"/>
  <c r="G3132" i="6"/>
  <c r="G3131" i="6"/>
  <c r="G3130" i="6"/>
  <c r="G3129" i="6"/>
  <c r="G3128" i="6"/>
  <c r="G3127" i="6"/>
  <c r="G3126" i="6"/>
  <c r="G3125" i="6"/>
  <c r="G3124" i="6"/>
  <c r="G3123" i="6"/>
  <c r="G3122" i="6"/>
  <c r="G3121" i="6"/>
  <c r="G3120" i="6"/>
  <c r="G3119" i="6"/>
  <c r="G3118" i="6"/>
  <c r="G3117" i="6"/>
  <c r="G3116" i="6"/>
  <c r="G3115" i="6"/>
  <c r="G3114" i="6"/>
  <c r="G3113" i="6"/>
  <c r="G3112" i="6"/>
  <c r="G3111" i="6"/>
  <c r="G3110" i="6"/>
  <c r="G3109" i="6"/>
  <c r="G3108" i="6"/>
  <c r="G3107" i="6"/>
  <c r="G3106" i="6"/>
  <c r="G3105" i="6"/>
  <c r="G3104" i="6"/>
  <c r="G3103" i="6"/>
  <c r="G3102" i="6"/>
  <c r="G3101" i="6"/>
  <c r="G3100" i="6"/>
  <c r="G3099" i="6"/>
  <c r="G3098" i="6"/>
  <c r="G3097" i="6"/>
  <c r="G3096" i="6"/>
  <c r="G3095" i="6"/>
  <c r="G3094" i="6"/>
  <c r="G3093" i="6"/>
  <c r="G3092" i="6"/>
  <c r="G3091" i="6"/>
  <c r="G3090" i="6"/>
  <c r="G3089" i="6"/>
  <c r="G3088" i="6"/>
  <c r="G3087" i="6"/>
  <c r="G3086" i="6"/>
  <c r="G3085" i="6"/>
  <c r="G3084" i="6"/>
  <c r="G3083" i="6"/>
  <c r="G3082" i="6"/>
  <c r="G3081" i="6"/>
  <c r="G3080" i="6"/>
  <c r="G3079" i="6"/>
  <c r="G3078" i="6"/>
  <c r="G3077" i="6"/>
  <c r="G3076" i="6"/>
  <c r="G3075" i="6"/>
  <c r="G3074" i="6"/>
  <c r="G3073" i="6"/>
  <c r="G3072" i="6"/>
  <c r="G3071" i="6"/>
  <c r="G3070" i="6"/>
  <c r="G3069" i="6"/>
  <c r="G3068" i="6"/>
  <c r="G3067" i="6"/>
  <c r="G3066" i="6"/>
  <c r="G3065" i="6"/>
  <c r="G3064" i="6"/>
  <c r="G3063" i="6"/>
  <c r="G3062" i="6"/>
  <c r="G3061" i="6"/>
  <c r="G3060" i="6"/>
  <c r="G3059" i="6"/>
  <c r="G3058" i="6"/>
  <c r="G3057" i="6"/>
  <c r="G3056" i="6"/>
  <c r="G3055" i="6"/>
  <c r="G3054" i="6"/>
  <c r="G3053" i="6"/>
  <c r="G3052" i="6"/>
  <c r="G3051" i="6"/>
  <c r="G3050" i="6"/>
  <c r="G3049" i="6"/>
  <c r="G3048" i="6"/>
  <c r="G3047" i="6"/>
  <c r="G3046" i="6"/>
  <c r="G3045" i="6"/>
  <c r="G3044" i="6"/>
  <c r="G3043" i="6"/>
  <c r="G3042" i="6"/>
  <c r="G3041" i="6"/>
  <c r="G3040" i="6"/>
  <c r="G3039" i="6"/>
  <c r="G3038" i="6"/>
  <c r="G3037" i="6"/>
  <c r="G3036" i="6"/>
  <c r="G3035" i="6"/>
  <c r="G3034" i="6"/>
  <c r="G3033" i="6"/>
  <c r="G3032" i="6"/>
  <c r="G3031" i="6"/>
  <c r="G3030" i="6"/>
  <c r="G3029" i="6"/>
  <c r="G3028" i="6"/>
  <c r="G3027" i="6"/>
  <c r="G3026" i="6"/>
  <c r="G3025" i="6"/>
  <c r="G3024" i="6"/>
  <c r="G3023" i="6"/>
  <c r="G3022" i="6"/>
  <c r="G3021" i="6"/>
  <c r="G3020" i="6"/>
  <c r="G3019" i="6"/>
  <c r="G3018" i="6"/>
  <c r="G3017" i="6"/>
  <c r="G3016" i="6"/>
  <c r="G3015" i="6"/>
  <c r="G3014" i="6"/>
  <c r="G3013" i="6"/>
  <c r="G3012" i="6"/>
  <c r="G3011" i="6"/>
  <c r="G3010" i="6"/>
  <c r="G3009" i="6"/>
  <c r="G3008" i="6"/>
  <c r="G3007" i="6"/>
  <c r="G3006" i="6"/>
  <c r="G3005" i="6"/>
  <c r="G3004" i="6"/>
  <c r="G3003" i="6"/>
  <c r="G3002" i="6"/>
  <c r="G3001" i="6"/>
  <c r="G3000" i="6"/>
  <c r="G2999" i="6"/>
  <c r="G2998" i="6"/>
  <c r="G2997" i="6"/>
  <c r="G2996" i="6"/>
  <c r="G2995" i="6"/>
  <c r="G2994" i="6"/>
  <c r="G2993" i="6"/>
  <c r="G2992" i="6"/>
  <c r="G2991" i="6"/>
  <c r="G2990" i="6"/>
  <c r="G2989" i="6"/>
  <c r="G2988" i="6"/>
  <c r="G2987" i="6"/>
  <c r="G2986" i="6"/>
  <c r="G2985" i="6"/>
  <c r="G2984" i="6"/>
  <c r="G2983" i="6"/>
  <c r="G2982" i="6"/>
  <c r="G2981" i="6"/>
  <c r="G2980" i="6"/>
  <c r="G2979" i="6"/>
  <c r="G2978" i="6"/>
  <c r="G2977" i="6"/>
  <c r="G2976" i="6"/>
  <c r="G2975" i="6"/>
  <c r="G2974" i="6"/>
  <c r="G2973" i="6"/>
  <c r="G2972" i="6"/>
  <c r="G2971" i="6"/>
  <c r="G2970" i="6"/>
  <c r="G2969" i="6"/>
  <c r="G2968" i="6"/>
  <c r="G2967" i="6"/>
  <c r="G2966" i="6"/>
  <c r="G2965" i="6"/>
  <c r="G2964" i="6"/>
  <c r="G2963" i="6"/>
  <c r="G2962" i="6"/>
  <c r="G2961" i="6"/>
  <c r="G2960" i="6"/>
  <c r="G2959" i="6"/>
  <c r="G2958" i="6"/>
  <c r="G2957" i="6"/>
  <c r="G2956" i="6"/>
  <c r="G2955" i="6"/>
  <c r="G2954" i="6"/>
  <c r="G2953" i="6"/>
  <c r="G2952" i="6"/>
  <c r="G2951" i="6"/>
  <c r="G2950" i="6"/>
  <c r="G2949" i="6"/>
  <c r="G2948" i="6"/>
  <c r="G2947" i="6"/>
  <c r="G2946" i="6"/>
  <c r="G2945" i="6"/>
  <c r="G2944" i="6"/>
  <c r="G2943" i="6"/>
  <c r="G2942" i="6"/>
  <c r="G2941" i="6"/>
  <c r="G2940" i="6"/>
  <c r="G2939" i="6"/>
  <c r="G2938" i="6"/>
  <c r="G2937" i="6"/>
  <c r="G2936" i="6"/>
  <c r="G2935" i="6"/>
  <c r="G2934" i="6"/>
  <c r="G2933" i="6"/>
  <c r="G2932" i="6"/>
  <c r="G2931" i="6"/>
  <c r="G2930" i="6"/>
  <c r="G2929" i="6"/>
  <c r="G2928" i="6"/>
  <c r="G2927" i="6"/>
  <c r="G2926" i="6"/>
  <c r="G2925" i="6"/>
  <c r="G2924" i="6"/>
  <c r="G2923" i="6"/>
  <c r="G2922" i="6"/>
  <c r="G2921" i="6"/>
  <c r="G2920" i="6"/>
  <c r="G2919" i="6"/>
  <c r="G2918" i="6"/>
  <c r="G2917" i="6"/>
  <c r="G2916" i="6"/>
  <c r="G2915" i="6"/>
  <c r="G2914" i="6"/>
  <c r="G2913" i="6"/>
  <c r="G2912" i="6"/>
  <c r="G2911" i="6"/>
  <c r="G2910" i="6"/>
  <c r="G2909" i="6"/>
  <c r="G2908" i="6"/>
  <c r="G2907" i="6"/>
  <c r="G2906" i="6"/>
  <c r="G2905" i="6"/>
  <c r="G2904" i="6"/>
  <c r="G2903" i="6"/>
  <c r="G2902" i="6"/>
  <c r="G2901" i="6"/>
  <c r="G2900" i="6"/>
  <c r="G2899" i="6"/>
  <c r="G2898" i="6"/>
  <c r="G2897" i="6"/>
  <c r="G2896" i="6"/>
  <c r="G2895" i="6"/>
  <c r="G2894" i="6"/>
  <c r="G2893" i="6"/>
  <c r="G2892" i="6"/>
  <c r="G2891" i="6"/>
  <c r="G2890" i="6"/>
  <c r="G2889" i="6"/>
  <c r="G2888" i="6"/>
  <c r="G2887" i="6"/>
  <c r="G2886" i="6"/>
  <c r="G2885" i="6"/>
  <c r="G2884" i="6"/>
  <c r="G2883" i="6"/>
  <c r="G2882" i="6"/>
  <c r="G2881" i="6"/>
  <c r="G2880" i="6"/>
  <c r="G2879" i="6"/>
  <c r="G2878" i="6"/>
  <c r="G2877" i="6"/>
  <c r="G2876" i="6"/>
  <c r="G2875" i="6"/>
  <c r="G2874" i="6"/>
  <c r="G2873" i="6"/>
  <c r="G2872" i="6"/>
  <c r="G2871" i="6"/>
  <c r="G2870" i="6"/>
  <c r="G2869" i="6"/>
  <c r="G2868" i="6"/>
  <c r="G2867" i="6"/>
  <c r="G2866" i="6"/>
  <c r="G2865" i="6"/>
  <c r="G2864" i="6"/>
  <c r="G2863" i="6"/>
  <c r="G2862" i="6"/>
  <c r="G2861" i="6"/>
  <c r="G2860" i="6"/>
  <c r="G2859" i="6"/>
  <c r="G2858" i="6"/>
  <c r="G2857" i="6"/>
  <c r="G2856" i="6"/>
  <c r="G2855" i="6"/>
  <c r="G2854" i="6"/>
  <c r="G2853" i="6"/>
  <c r="G2852" i="6"/>
  <c r="G2851" i="6"/>
  <c r="G2850" i="6"/>
  <c r="G2849" i="6"/>
  <c r="G2848" i="6"/>
  <c r="G2847" i="6"/>
  <c r="G2846" i="6"/>
  <c r="G2845" i="6"/>
  <c r="G2844" i="6"/>
  <c r="G2843" i="6"/>
  <c r="G2842" i="6"/>
  <c r="G2841" i="6"/>
  <c r="G2840" i="6"/>
  <c r="G2839" i="6"/>
  <c r="G2838" i="6"/>
  <c r="G2837" i="6"/>
  <c r="G2836" i="6"/>
  <c r="G2835" i="6"/>
  <c r="G2834" i="6"/>
  <c r="G2833" i="6"/>
  <c r="G2832" i="6"/>
  <c r="G2831" i="6"/>
  <c r="G2830" i="6"/>
  <c r="G2829" i="6"/>
  <c r="G2828" i="6"/>
  <c r="G2827" i="6"/>
  <c r="G2826" i="6"/>
  <c r="G2825" i="6"/>
  <c r="G2824" i="6"/>
  <c r="G2823" i="6"/>
  <c r="G2822" i="6"/>
  <c r="G2821" i="6"/>
  <c r="G2820" i="6"/>
  <c r="G2819" i="6"/>
  <c r="G2818" i="6"/>
  <c r="G2817" i="6"/>
  <c r="G2816" i="6"/>
  <c r="G2815" i="6"/>
  <c r="G2814" i="6"/>
  <c r="G2813" i="6"/>
  <c r="G2812" i="6"/>
  <c r="G2811" i="6"/>
  <c r="G2810" i="6"/>
  <c r="G2809" i="6"/>
  <c r="G2808" i="6"/>
  <c r="G2807" i="6"/>
  <c r="G2806" i="6"/>
  <c r="G2805" i="6"/>
  <c r="G2804" i="6"/>
  <c r="G2803" i="6"/>
  <c r="G2802" i="6"/>
  <c r="G2801" i="6"/>
  <c r="G2800" i="6"/>
  <c r="G2799" i="6"/>
  <c r="G2798" i="6"/>
  <c r="G2797" i="6"/>
  <c r="G2796" i="6"/>
  <c r="G2795" i="6"/>
  <c r="G2794" i="6"/>
  <c r="G2793" i="6"/>
  <c r="G2792" i="6"/>
  <c r="G2791" i="6"/>
  <c r="G2790" i="6"/>
  <c r="G2789" i="6"/>
  <c r="G2788" i="6"/>
  <c r="G2787" i="6"/>
  <c r="G2786" i="6"/>
  <c r="G2785" i="6"/>
  <c r="G2784" i="6"/>
  <c r="G2783" i="6"/>
  <c r="G2782" i="6"/>
  <c r="G2781" i="6"/>
  <c r="G2780" i="6"/>
  <c r="G2779" i="6"/>
  <c r="G2778" i="6"/>
  <c r="G2777" i="6"/>
  <c r="G2776" i="6"/>
  <c r="G2775" i="6"/>
  <c r="G2774" i="6"/>
  <c r="G2773" i="6"/>
  <c r="G2772" i="6"/>
  <c r="G2771" i="6"/>
  <c r="G2770" i="6"/>
  <c r="G2769" i="6"/>
  <c r="G2768" i="6"/>
  <c r="G2767" i="6"/>
  <c r="G2766" i="6"/>
  <c r="G2765" i="6"/>
  <c r="G2764" i="6"/>
  <c r="G2763" i="6"/>
  <c r="G2762" i="6"/>
  <c r="G2761" i="6"/>
  <c r="G2760" i="6"/>
  <c r="G2759" i="6"/>
  <c r="G2758" i="6"/>
  <c r="G2757" i="6"/>
  <c r="G2756" i="6"/>
  <c r="G2755" i="6"/>
  <c r="G2754" i="6"/>
  <c r="G2753" i="6"/>
  <c r="G2752" i="6"/>
  <c r="G2751" i="6"/>
  <c r="G2750" i="6"/>
  <c r="G2749" i="6"/>
  <c r="G2748" i="6"/>
  <c r="G2747" i="6"/>
  <c r="G2746" i="6"/>
  <c r="G2745" i="6"/>
  <c r="G2744" i="6"/>
  <c r="G2743" i="6"/>
  <c r="G2742" i="6"/>
  <c r="G2741" i="6"/>
  <c r="G2740" i="6"/>
  <c r="G2739" i="6"/>
  <c r="G2738" i="6"/>
  <c r="G2737" i="6"/>
  <c r="G2736" i="6"/>
  <c r="G2735" i="6"/>
  <c r="G2734" i="6"/>
  <c r="G2733" i="6"/>
  <c r="G2732" i="6"/>
  <c r="G2731" i="6"/>
  <c r="G2730" i="6"/>
  <c r="G2729" i="6"/>
  <c r="G2728" i="6"/>
  <c r="G2727" i="6"/>
  <c r="G2726" i="6"/>
  <c r="G2725" i="6"/>
  <c r="G2724" i="6"/>
  <c r="G2723" i="6"/>
  <c r="G2722" i="6"/>
  <c r="G2721" i="6"/>
  <c r="G2720" i="6"/>
  <c r="G2719" i="6"/>
  <c r="G2718" i="6"/>
  <c r="G2717" i="6"/>
  <c r="G2716" i="6"/>
  <c r="G2715" i="6"/>
  <c r="G2714" i="6"/>
  <c r="G2713" i="6"/>
  <c r="G2712" i="6"/>
  <c r="G2711" i="6"/>
  <c r="G2710" i="6"/>
  <c r="G2709" i="6"/>
  <c r="G2708" i="6"/>
  <c r="G2707" i="6"/>
  <c r="G2706" i="6"/>
  <c r="G2705" i="6"/>
  <c r="G2704" i="6"/>
  <c r="G2703" i="6"/>
  <c r="G2702" i="6"/>
  <c r="G2701" i="6"/>
  <c r="G2700" i="6"/>
  <c r="G2699" i="6"/>
  <c r="G2698" i="6"/>
  <c r="G2697" i="6"/>
  <c r="G2696" i="6"/>
  <c r="G2695" i="6"/>
  <c r="G2694" i="6"/>
  <c r="G2693" i="6"/>
  <c r="G2692" i="6"/>
  <c r="G2691" i="6"/>
  <c r="G2690" i="6"/>
  <c r="G2689" i="6"/>
  <c r="G2688" i="6"/>
  <c r="G2687" i="6"/>
  <c r="G2686" i="6"/>
  <c r="G2685" i="6"/>
  <c r="G2684" i="6"/>
  <c r="G2683" i="6"/>
  <c r="G2682" i="6"/>
  <c r="G2681" i="6"/>
  <c r="G2680" i="6"/>
  <c r="G2679" i="6"/>
  <c r="G2678" i="6"/>
  <c r="G2677" i="6"/>
  <c r="G2676" i="6"/>
  <c r="G2675" i="6"/>
  <c r="G2674" i="6"/>
  <c r="G2673" i="6"/>
  <c r="G2672" i="6"/>
  <c r="G2671" i="6"/>
  <c r="G2670" i="6"/>
  <c r="G2669" i="6"/>
  <c r="G2668" i="6"/>
  <c r="G2667" i="6"/>
  <c r="G2666" i="6"/>
  <c r="G2665" i="6"/>
  <c r="G2664" i="6"/>
  <c r="G2663" i="6"/>
  <c r="G2662" i="6"/>
  <c r="G2661" i="6"/>
  <c r="G2660" i="6"/>
  <c r="G2659" i="6"/>
  <c r="G2658" i="6"/>
  <c r="G2657" i="6"/>
  <c r="G2656" i="6"/>
  <c r="G2655" i="6"/>
  <c r="G2654" i="6"/>
  <c r="G2653" i="6"/>
  <c r="G2652" i="6"/>
  <c r="G2651" i="6"/>
  <c r="G2650" i="6"/>
  <c r="G2649" i="6"/>
  <c r="G2648" i="6"/>
  <c r="G2647" i="6"/>
  <c r="G2646" i="6"/>
  <c r="G2645" i="6"/>
  <c r="G2644" i="6"/>
  <c r="G2643" i="6"/>
  <c r="G2642" i="6"/>
  <c r="G2641" i="6"/>
  <c r="G2640" i="6"/>
  <c r="G2639" i="6"/>
  <c r="G2638" i="6"/>
  <c r="G2637" i="6"/>
  <c r="G2636" i="6"/>
  <c r="G2635" i="6"/>
  <c r="G2634" i="6"/>
  <c r="G2633" i="6"/>
  <c r="G2632" i="6"/>
  <c r="G2631" i="6"/>
  <c r="G2630" i="6"/>
  <c r="G2629" i="6"/>
  <c r="G2628" i="6"/>
  <c r="G2627" i="6"/>
  <c r="G2626" i="6"/>
  <c r="G2625" i="6"/>
  <c r="G2624" i="6"/>
  <c r="G2623" i="6"/>
  <c r="G2622" i="6"/>
  <c r="G2621" i="6"/>
  <c r="G2620" i="6"/>
  <c r="G2619" i="6"/>
  <c r="G2618" i="6"/>
  <c r="G2617" i="6"/>
  <c r="G2616" i="6"/>
  <c r="G2615" i="6"/>
  <c r="G2614" i="6"/>
  <c r="G2613" i="6"/>
  <c r="G2612" i="6"/>
  <c r="G2611" i="6"/>
  <c r="G2610" i="6"/>
  <c r="G2609" i="6"/>
  <c r="G2608" i="6"/>
  <c r="G2607" i="6"/>
  <c r="G2606" i="6"/>
  <c r="G2605" i="6"/>
  <c r="G2604" i="6"/>
  <c r="G2603" i="6"/>
  <c r="G2602" i="6"/>
  <c r="G2601" i="6"/>
  <c r="G2600" i="6"/>
  <c r="G2599" i="6"/>
  <c r="G2598" i="6"/>
  <c r="G2597" i="6"/>
  <c r="G2596" i="6"/>
  <c r="G2595" i="6"/>
  <c r="G2594" i="6"/>
  <c r="G2593" i="6"/>
  <c r="G2592" i="6"/>
  <c r="G2591" i="6"/>
  <c r="G2590" i="6"/>
  <c r="G2589" i="6"/>
  <c r="G2588" i="6"/>
  <c r="G2587" i="6"/>
  <c r="G2586" i="6"/>
  <c r="G2585" i="6"/>
  <c r="G2584" i="6"/>
  <c r="G2583" i="6"/>
  <c r="G2582" i="6"/>
  <c r="G2581" i="6"/>
  <c r="G2580" i="6"/>
  <c r="G2579" i="6"/>
  <c r="G2578" i="6"/>
  <c r="G2577" i="6"/>
  <c r="G2576" i="6"/>
  <c r="G2575" i="6"/>
  <c r="G2574" i="6"/>
  <c r="G2573" i="6"/>
  <c r="G2572" i="6"/>
  <c r="G2571" i="6"/>
  <c r="G2570" i="6"/>
  <c r="G2569" i="6"/>
  <c r="G2568" i="6"/>
  <c r="G2567" i="6"/>
  <c r="G2566" i="6"/>
  <c r="G2565" i="6"/>
  <c r="G2564" i="6"/>
  <c r="G2563" i="6"/>
  <c r="G2562" i="6"/>
  <c r="G2561" i="6"/>
  <c r="G2560" i="6"/>
  <c r="G2559" i="6"/>
  <c r="G2558" i="6"/>
  <c r="G2557" i="6"/>
  <c r="G2556" i="6"/>
  <c r="G2555" i="6"/>
  <c r="G2554" i="6"/>
  <c r="G2553" i="6"/>
  <c r="G2552" i="6"/>
  <c r="G2551" i="6"/>
  <c r="G2550" i="6"/>
  <c r="G2549" i="6"/>
  <c r="G2548" i="6"/>
  <c r="G2547" i="6"/>
  <c r="G2546" i="6"/>
  <c r="G2545" i="6"/>
  <c r="G2544" i="6"/>
  <c r="G2543" i="6"/>
  <c r="G2542" i="6"/>
  <c r="G2541" i="6"/>
  <c r="G2540" i="6"/>
  <c r="G2539" i="6"/>
  <c r="G2538" i="6"/>
  <c r="G2537" i="6"/>
  <c r="G2536" i="6"/>
  <c r="G2535" i="6"/>
  <c r="G2534" i="6"/>
  <c r="G2533" i="6"/>
  <c r="G2532" i="6"/>
  <c r="G2531" i="6"/>
  <c r="G2530" i="6"/>
  <c r="G2529" i="6"/>
  <c r="G2528" i="6"/>
  <c r="G2527" i="6"/>
  <c r="G2526" i="6"/>
  <c r="G2525" i="6"/>
  <c r="G2524" i="6"/>
  <c r="G2523" i="6"/>
  <c r="G2522" i="6"/>
  <c r="G2521" i="6"/>
  <c r="G2520" i="6"/>
  <c r="G2519" i="6"/>
  <c r="G2518" i="6"/>
  <c r="G2517" i="6"/>
  <c r="G2516" i="6"/>
  <c r="G2515" i="6"/>
  <c r="G2514" i="6"/>
  <c r="G2513" i="6"/>
  <c r="G2512" i="6"/>
  <c r="G2511" i="6"/>
  <c r="G2510" i="6"/>
  <c r="G2509" i="6"/>
  <c r="G2508" i="6"/>
  <c r="G2507" i="6"/>
  <c r="G2506" i="6"/>
  <c r="G2505" i="6"/>
  <c r="G2504" i="6"/>
  <c r="G2503" i="6"/>
  <c r="G2502" i="6"/>
  <c r="G2501" i="6"/>
  <c r="G2500" i="6"/>
  <c r="G2499" i="6"/>
  <c r="G2498" i="6"/>
  <c r="G2497" i="6"/>
  <c r="G2496" i="6"/>
  <c r="G2495" i="6"/>
  <c r="G2494" i="6"/>
  <c r="G2493" i="6"/>
  <c r="G2492" i="6"/>
  <c r="G2491" i="6"/>
  <c r="G2490" i="6"/>
  <c r="G2489" i="6"/>
  <c r="G2488" i="6"/>
  <c r="G2487" i="6"/>
  <c r="G2486" i="6"/>
  <c r="G2485" i="6"/>
  <c r="G2484" i="6"/>
  <c r="G2483" i="6"/>
  <c r="G2482" i="6"/>
  <c r="G2481" i="6"/>
  <c r="G2480" i="6"/>
  <c r="G2479" i="6"/>
  <c r="G2478" i="6"/>
  <c r="G2477" i="6"/>
  <c r="G2476" i="6"/>
  <c r="G2475" i="6"/>
  <c r="G2474" i="6"/>
  <c r="G2473" i="6"/>
  <c r="G2472" i="6"/>
  <c r="G2471" i="6"/>
  <c r="G2470" i="6"/>
  <c r="G2469" i="6"/>
  <c r="G2468" i="6"/>
  <c r="G2467" i="6"/>
  <c r="G2466" i="6"/>
  <c r="G2465" i="6"/>
  <c r="G2464" i="6"/>
  <c r="G2463" i="6"/>
  <c r="G2462" i="6"/>
  <c r="G2461" i="6"/>
  <c r="G2460" i="6"/>
  <c r="G2459" i="6"/>
  <c r="G2458" i="6"/>
  <c r="G2457" i="6"/>
  <c r="G2456" i="6"/>
  <c r="G2455" i="6"/>
  <c r="G2454" i="6"/>
  <c r="G2453" i="6"/>
  <c r="G2452" i="6"/>
  <c r="G2451" i="6"/>
  <c r="G2450" i="6"/>
  <c r="G2449" i="6"/>
  <c r="G2448" i="6"/>
  <c r="G2447" i="6"/>
  <c r="G2446" i="6"/>
  <c r="G2445" i="6"/>
  <c r="G2444" i="6"/>
  <c r="G2443" i="6"/>
  <c r="G2442" i="6"/>
  <c r="G2441" i="6"/>
  <c r="G2440" i="6"/>
  <c r="G2439" i="6"/>
  <c r="G2438" i="6"/>
  <c r="G2437" i="6"/>
  <c r="G2436" i="6"/>
  <c r="G2435" i="6"/>
  <c r="G2434" i="6"/>
  <c r="G2433" i="6"/>
  <c r="G2432" i="6"/>
  <c r="G2431" i="6"/>
  <c r="G2430" i="6"/>
  <c r="G2429" i="6"/>
  <c r="G2428" i="6"/>
  <c r="G2427" i="6"/>
  <c r="G2426" i="6"/>
  <c r="G2425" i="6"/>
  <c r="G2424" i="6"/>
  <c r="G2423" i="6"/>
  <c r="G2422" i="6"/>
  <c r="G2421" i="6"/>
  <c r="G2420" i="6"/>
  <c r="G2419" i="6"/>
  <c r="G2418" i="6"/>
  <c r="G2417" i="6"/>
  <c r="G2416" i="6"/>
  <c r="G2415" i="6"/>
  <c r="G2414" i="6"/>
  <c r="G2413" i="6"/>
  <c r="G2412" i="6"/>
  <c r="G2411" i="6"/>
  <c r="G2410" i="6"/>
  <c r="G2409" i="6"/>
  <c r="G2408" i="6"/>
  <c r="G2407" i="6"/>
  <c r="G2406" i="6"/>
  <c r="G2405" i="6"/>
  <c r="G2404" i="6"/>
  <c r="G2403" i="6"/>
  <c r="G2402" i="6"/>
  <c r="G2401" i="6"/>
  <c r="G2400" i="6"/>
  <c r="G2399" i="6"/>
  <c r="G2398" i="6"/>
  <c r="G2397" i="6"/>
  <c r="G2396" i="6"/>
  <c r="G2395" i="6"/>
  <c r="G2394" i="6"/>
  <c r="G2393" i="6"/>
  <c r="G2392" i="6"/>
  <c r="G2391" i="6"/>
  <c r="G2390" i="6"/>
  <c r="G2389" i="6"/>
  <c r="G2388" i="6"/>
  <c r="G2387" i="6"/>
  <c r="G2386" i="6"/>
  <c r="G2385" i="6"/>
  <c r="G2384" i="6"/>
  <c r="G2383" i="6"/>
  <c r="G2382" i="6"/>
  <c r="G2381" i="6"/>
  <c r="G2380" i="6"/>
  <c r="G2379" i="6"/>
  <c r="G2378" i="6"/>
  <c r="G2377" i="6"/>
  <c r="G2376" i="6"/>
  <c r="G2375" i="6"/>
  <c r="G2374" i="6"/>
  <c r="G2373" i="6"/>
  <c r="G2372" i="6"/>
  <c r="G2371" i="6"/>
  <c r="G2370" i="6"/>
  <c r="G2369" i="6"/>
  <c r="G2368" i="6"/>
  <c r="G2367" i="6"/>
  <c r="G2366" i="6"/>
  <c r="G2365" i="6"/>
  <c r="G2364" i="6"/>
  <c r="G2363" i="6"/>
  <c r="G2362" i="6"/>
  <c r="G2361" i="6"/>
  <c r="G2360" i="6"/>
  <c r="G2359" i="6"/>
  <c r="G2358" i="6"/>
  <c r="G2357" i="6"/>
  <c r="G2356" i="6"/>
  <c r="G2355" i="6"/>
  <c r="G2354" i="6"/>
  <c r="G2353" i="6"/>
  <c r="G2352" i="6"/>
  <c r="G2351" i="6"/>
  <c r="G2350" i="6"/>
  <c r="G2349" i="6"/>
  <c r="G2348" i="6"/>
  <c r="G2347" i="6"/>
  <c r="G2346" i="6"/>
  <c r="G2345" i="6"/>
  <c r="G2344" i="6"/>
  <c r="G2343" i="6"/>
  <c r="G2342" i="6"/>
  <c r="G2341" i="6"/>
  <c r="G2340" i="6"/>
  <c r="G2339" i="6"/>
  <c r="G2338" i="6"/>
  <c r="G2337" i="6"/>
  <c r="G2336" i="6"/>
  <c r="G2335" i="6"/>
  <c r="G2334" i="6"/>
  <c r="G2333" i="6"/>
  <c r="G2332" i="6"/>
  <c r="G2331" i="6"/>
  <c r="G2330" i="6"/>
  <c r="G2329" i="6"/>
  <c r="G2328" i="6"/>
  <c r="G2327" i="6"/>
  <c r="G2326" i="6"/>
  <c r="G2325" i="6"/>
  <c r="G2324" i="6"/>
  <c r="G2323" i="6"/>
  <c r="G2322" i="6"/>
  <c r="G2321" i="6"/>
  <c r="G2320" i="6"/>
  <c r="G2319" i="6"/>
  <c r="G2318" i="6"/>
  <c r="G2317" i="6"/>
  <c r="G2316" i="6"/>
  <c r="G2315" i="6"/>
  <c r="G2314" i="6"/>
  <c r="G2313" i="6"/>
  <c r="G2312" i="6"/>
  <c r="G2311" i="6"/>
  <c r="G2310" i="6"/>
  <c r="G2309" i="6"/>
  <c r="G2308" i="6"/>
  <c r="G2307" i="6"/>
  <c r="G2306" i="6"/>
  <c r="G2305" i="6"/>
  <c r="G2304" i="6"/>
  <c r="G2303" i="6"/>
  <c r="G2302" i="6"/>
  <c r="G2301" i="6"/>
  <c r="G2300" i="6"/>
  <c r="G2299" i="6"/>
  <c r="G2298" i="6"/>
  <c r="G2297" i="6"/>
  <c r="G2296" i="6"/>
  <c r="G2295" i="6"/>
  <c r="G2294" i="6"/>
  <c r="G2293" i="6"/>
  <c r="G2292" i="6"/>
  <c r="G2291" i="6"/>
  <c r="G2290" i="6"/>
  <c r="G2289" i="6"/>
  <c r="G2288" i="6"/>
  <c r="G2287" i="6"/>
  <c r="G2286" i="6"/>
  <c r="G2285" i="6"/>
  <c r="G2284" i="6"/>
  <c r="G2283" i="6"/>
  <c r="G2282" i="6"/>
  <c r="G2281" i="6"/>
  <c r="G2280" i="6"/>
  <c r="G2279" i="6"/>
  <c r="G2278" i="6"/>
  <c r="G2277" i="6"/>
  <c r="G2276" i="6"/>
  <c r="G2275" i="6"/>
  <c r="G2274" i="6"/>
  <c r="G2273" i="6"/>
  <c r="G2272" i="6"/>
  <c r="G2271" i="6"/>
  <c r="G2270" i="6"/>
  <c r="G2269" i="6"/>
  <c r="G2268" i="6"/>
  <c r="G2267" i="6"/>
  <c r="G2266" i="6"/>
  <c r="G2265" i="6"/>
  <c r="G2264" i="6"/>
  <c r="G2263" i="6"/>
  <c r="G2262" i="6"/>
  <c r="G2261" i="6"/>
  <c r="G2260" i="6"/>
  <c r="G2259" i="6"/>
  <c r="G2258" i="6"/>
  <c r="G2257" i="6"/>
  <c r="G2256" i="6"/>
  <c r="G2255" i="6"/>
  <c r="G2254" i="6"/>
  <c r="G2253" i="6"/>
  <c r="G2252" i="6"/>
  <c r="G2251" i="6"/>
  <c r="G2250" i="6"/>
  <c r="G2249" i="6"/>
  <c r="G2248" i="6"/>
  <c r="G2247" i="6"/>
  <c r="G2246" i="6"/>
  <c r="G2245" i="6"/>
  <c r="G2244" i="6"/>
  <c r="G2243" i="6"/>
  <c r="G2242" i="6"/>
  <c r="G2241" i="6"/>
  <c r="G2240" i="6"/>
  <c r="G2239" i="6"/>
  <c r="G2238" i="6"/>
  <c r="G2237" i="6"/>
  <c r="G2236" i="6"/>
  <c r="G2235" i="6"/>
  <c r="G2234" i="6"/>
  <c r="G2233" i="6"/>
  <c r="G2232" i="6"/>
  <c r="G2231" i="6"/>
  <c r="G2230" i="6"/>
  <c r="G2229" i="6"/>
  <c r="G2228" i="6"/>
  <c r="G2227" i="6"/>
  <c r="G2226" i="6"/>
  <c r="G2225" i="6"/>
  <c r="G2224" i="6"/>
  <c r="G2223" i="6"/>
  <c r="G2222" i="6"/>
  <c r="G2221" i="6"/>
  <c r="G2220" i="6"/>
  <c r="G2219" i="6"/>
  <c r="G2218" i="6"/>
  <c r="G2217" i="6"/>
  <c r="G2216" i="6"/>
  <c r="G2215" i="6"/>
  <c r="G2214" i="6"/>
  <c r="G2213" i="6"/>
  <c r="G2212" i="6"/>
  <c r="G2211" i="6"/>
  <c r="G2210" i="6"/>
  <c r="G2209" i="6"/>
  <c r="G2208" i="6"/>
  <c r="G2207" i="6"/>
  <c r="G2206" i="6"/>
  <c r="G2205" i="6"/>
  <c r="G2204" i="6"/>
  <c r="G2203" i="6"/>
  <c r="G2202" i="6"/>
  <c r="G2201" i="6"/>
  <c r="G2200" i="6"/>
  <c r="G2199" i="6"/>
  <c r="G2198" i="6"/>
  <c r="G2197" i="6"/>
  <c r="G2196" i="6"/>
  <c r="G2195" i="6"/>
  <c r="G2194" i="6"/>
  <c r="G2193" i="6"/>
  <c r="G2192" i="6"/>
  <c r="G2191" i="6"/>
  <c r="G2190" i="6"/>
  <c r="G2189" i="6"/>
  <c r="G2188" i="6"/>
  <c r="G2187" i="6"/>
  <c r="G2186" i="6"/>
  <c r="G2185" i="6"/>
  <c r="G2184" i="6"/>
  <c r="G2183" i="6"/>
  <c r="G2182" i="6"/>
  <c r="G2181" i="6"/>
  <c r="G2180" i="6"/>
  <c r="G2179" i="6"/>
  <c r="G2178" i="6"/>
  <c r="G2177" i="6"/>
  <c r="G2176" i="6"/>
  <c r="G2175" i="6"/>
  <c r="G2174" i="6"/>
  <c r="G2173" i="6"/>
  <c r="G2172" i="6"/>
  <c r="G2171" i="6"/>
  <c r="G2170" i="6"/>
  <c r="G2169" i="6"/>
  <c r="G2168" i="6"/>
  <c r="G2167" i="6"/>
  <c r="G2166" i="6"/>
  <c r="G2165" i="6"/>
  <c r="G2164" i="6"/>
  <c r="G2163" i="6"/>
  <c r="G2162" i="6"/>
  <c r="G2161" i="6"/>
  <c r="G2160" i="6"/>
  <c r="G2159" i="6"/>
  <c r="G2158" i="6"/>
  <c r="G2157" i="6"/>
  <c r="G2156" i="6"/>
  <c r="G2155" i="6"/>
  <c r="G2154" i="6"/>
  <c r="G2153" i="6"/>
  <c r="G2152" i="6"/>
  <c r="G2151" i="6"/>
  <c r="G2150" i="6"/>
  <c r="G2149" i="6"/>
  <c r="G2148" i="6"/>
  <c r="G2147" i="6"/>
  <c r="G2146" i="6"/>
  <c r="G2145" i="6"/>
  <c r="G2144" i="6"/>
  <c r="G2143" i="6"/>
  <c r="G2142" i="6"/>
  <c r="G2141" i="6"/>
  <c r="G2140" i="6"/>
  <c r="G2139" i="6"/>
  <c r="G2138" i="6"/>
  <c r="G2137" i="6"/>
  <c r="G2136" i="6"/>
  <c r="G2135" i="6"/>
  <c r="G2134" i="6"/>
  <c r="G2133" i="6"/>
  <c r="G2132" i="6"/>
  <c r="G2131" i="6"/>
  <c r="G2130" i="6"/>
  <c r="G2129" i="6"/>
  <c r="G2128" i="6"/>
  <c r="G2127" i="6"/>
  <c r="G2126" i="6"/>
  <c r="G2125" i="6"/>
  <c r="G2124" i="6"/>
  <c r="G2123" i="6"/>
  <c r="G2122" i="6"/>
  <c r="G2121" i="6"/>
  <c r="G2120" i="6"/>
  <c r="G2119" i="6"/>
  <c r="G2118" i="6"/>
  <c r="G2117" i="6"/>
  <c r="G2116" i="6"/>
  <c r="G2115" i="6"/>
  <c r="G2114" i="6"/>
  <c r="G2113" i="6"/>
  <c r="G2112" i="6"/>
  <c r="G2111" i="6"/>
  <c r="G2110" i="6"/>
  <c r="G2109" i="6"/>
  <c r="G2108" i="6"/>
  <c r="G2107" i="6"/>
  <c r="G2106" i="6"/>
  <c r="G2105" i="6"/>
  <c r="G2104" i="6"/>
  <c r="G2103" i="6"/>
  <c r="G2102" i="6"/>
  <c r="G2101" i="6"/>
  <c r="G2100" i="6"/>
  <c r="G2099" i="6"/>
  <c r="G2098" i="6"/>
  <c r="G2097" i="6"/>
  <c r="G2096" i="6"/>
  <c r="G2095" i="6"/>
  <c r="G2094" i="6"/>
  <c r="G2093" i="6"/>
  <c r="G2092" i="6"/>
  <c r="G2091" i="6"/>
  <c r="G2090" i="6"/>
  <c r="G2089" i="6"/>
  <c r="G2088" i="6"/>
  <c r="G2087" i="6"/>
  <c r="G2086" i="6"/>
  <c r="G2085" i="6"/>
  <c r="G2084" i="6"/>
  <c r="G2083" i="6"/>
  <c r="G2082" i="6"/>
  <c r="G2081" i="6"/>
  <c r="G2080" i="6"/>
  <c r="G2079" i="6"/>
  <c r="G2078" i="6"/>
  <c r="G2077" i="6"/>
  <c r="G2076" i="6"/>
  <c r="G2075" i="6"/>
  <c r="G2074" i="6"/>
  <c r="G2073" i="6"/>
  <c r="G2072" i="6"/>
  <c r="G2071" i="6"/>
  <c r="G2070" i="6"/>
  <c r="G2069" i="6"/>
  <c r="G2068" i="6"/>
  <c r="G2067" i="6"/>
  <c r="G2066" i="6"/>
  <c r="G2065" i="6"/>
  <c r="G2064" i="6"/>
  <c r="G2063" i="6"/>
  <c r="G2062" i="6"/>
  <c r="G2061" i="6"/>
  <c r="G2060" i="6"/>
  <c r="G2059" i="6"/>
  <c r="G2058" i="6"/>
  <c r="G2057" i="6"/>
  <c r="G2056" i="6"/>
  <c r="G2055" i="6"/>
  <c r="G2054" i="6"/>
  <c r="G2053" i="6"/>
  <c r="G2052" i="6"/>
  <c r="G2051" i="6"/>
  <c r="G2050" i="6"/>
  <c r="G2049" i="6"/>
  <c r="G2048" i="6"/>
  <c r="G2047" i="6"/>
  <c r="G2046" i="6"/>
  <c r="G2045" i="6"/>
  <c r="G2044" i="6"/>
  <c r="G2043" i="6"/>
  <c r="G2042" i="6"/>
  <c r="G2041" i="6"/>
  <c r="G2040" i="6"/>
  <c r="G2039" i="6"/>
  <c r="G2038" i="6"/>
  <c r="G2037" i="6"/>
  <c r="G2036" i="6"/>
  <c r="G2035" i="6"/>
  <c r="G2034" i="6"/>
  <c r="G2033" i="6"/>
  <c r="G2032" i="6"/>
  <c r="G2031" i="6"/>
  <c r="G2030" i="6"/>
  <c r="G2029" i="6"/>
  <c r="G2028" i="6"/>
  <c r="G2027" i="6"/>
  <c r="G2026" i="6"/>
  <c r="G2025" i="6"/>
  <c r="G2024" i="6"/>
  <c r="G2023" i="6"/>
  <c r="G2022" i="6"/>
  <c r="G2021" i="6"/>
  <c r="G2020" i="6"/>
  <c r="G2019" i="6"/>
  <c r="G2018" i="6"/>
  <c r="G2017" i="6"/>
  <c r="G2016" i="6"/>
  <c r="G2015" i="6"/>
  <c r="G2014" i="6"/>
  <c r="G2013" i="6"/>
  <c r="G2012" i="6"/>
  <c r="G2011" i="6"/>
  <c r="G2010" i="6"/>
  <c r="G2009" i="6"/>
  <c r="G2008" i="6"/>
  <c r="G2007" i="6"/>
  <c r="G2006" i="6"/>
  <c r="G2005" i="6"/>
  <c r="G2004" i="6"/>
  <c r="G2003" i="6"/>
  <c r="G2002" i="6"/>
  <c r="G2001" i="6"/>
  <c r="G2000" i="6"/>
  <c r="G1999" i="6"/>
  <c r="G1998" i="6"/>
  <c r="G1997" i="6"/>
  <c r="G1996" i="6"/>
  <c r="G1995" i="6"/>
  <c r="G1994" i="6"/>
  <c r="G1993" i="6"/>
  <c r="G1992" i="6"/>
  <c r="G1991" i="6"/>
  <c r="G1990" i="6"/>
  <c r="G1989" i="6"/>
  <c r="G1988" i="6"/>
  <c r="G1987" i="6"/>
  <c r="G1986" i="6"/>
  <c r="G1985" i="6"/>
  <c r="G1984" i="6"/>
  <c r="G1983" i="6"/>
  <c r="G1982" i="6"/>
  <c r="G1981" i="6"/>
  <c r="G1980" i="6"/>
  <c r="G1979" i="6"/>
  <c r="G1978" i="6"/>
  <c r="G1977" i="6"/>
  <c r="G1976" i="6"/>
  <c r="G1975" i="6"/>
  <c r="G1974" i="6"/>
  <c r="G1973" i="6"/>
  <c r="G1972" i="6"/>
  <c r="G1971" i="6"/>
  <c r="G1970" i="6"/>
  <c r="G1969" i="6"/>
  <c r="G1968" i="6"/>
  <c r="G1967" i="6"/>
  <c r="G1966" i="6"/>
  <c r="G1965" i="6"/>
  <c r="G1964" i="6"/>
  <c r="G1963" i="6"/>
  <c r="G1962" i="6"/>
  <c r="G1961" i="6"/>
  <c r="G1960" i="6"/>
  <c r="G1959" i="6"/>
  <c r="G1958" i="6"/>
  <c r="G1957" i="6"/>
  <c r="G1956" i="6"/>
  <c r="G1955" i="6"/>
  <c r="G1954" i="6"/>
  <c r="G1953" i="6"/>
  <c r="G1952" i="6"/>
  <c r="G1951" i="6"/>
  <c r="G1950" i="6"/>
  <c r="G1949" i="6"/>
  <c r="G1948" i="6"/>
  <c r="G1947" i="6"/>
  <c r="G1946" i="6"/>
  <c r="G1945" i="6"/>
  <c r="G1944" i="6"/>
  <c r="G1943" i="6"/>
  <c r="G1942" i="6"/>
  <c r="G1941" i="6"/>
  <c r="G1940" i="6"/>
  <c r="G1939" i="6"/>
  <c r="G1938" i="6"/>
  <c r="G1937" i="6"/>
  <c r="G1936" i="6"/>
  <c r="G1935" i="6"/>
  <c r="G1934" i="6"/>
  <c r="G1933" i="6"/>
  <c r="G1932" i="6"/>
  <c r="G1931" i="6"/>
  <c r="G1930" i="6"/>
  <c r="G1929" i="6"/>
  <c r="G1928" i="6"/>
  <c r="G1927" i="6"/>
  <c r="G1926" i="6"/>
  <c r="G1925" i="6"/>
  <c r="G1924" i="6"/>
  <c r="G1923" i="6"/>
  <c r="G1922" i="6"/>
  <c r="G1921" i="6"/>
  <c r="G1920" i="6"/>
  <c r="G1919" i="6"/>
  <c r="G1918" i="6"/>
  <c r="G1917" i="6"/>
  <c r="G1916" i="6"/>
  <c r="G1915" i="6"/>
  <c r="G1914" i="6"/>
  <c r="G1913" i="6"/>
  <c r="G1912" i="6"/>
  <c r="G1911" i="6"/>
  <c r="G1910" i="6"/>
  <c r="G1909" i="6"/>
  <c r="G1908" i="6"/>
  <c r="G1907" i="6"/>
  <c r="G1906" i="6"/>
  <c r="G1905" i="6"/>
  <c r="G1904" i="6"/>
  <c r="G1903" i="6"/>
  <c r="G1902" i="6"/>
  <c r="G1901" i="6"/>
  <c r="G1900" i="6"/>
  <c r="G1899" i="6"/>
  <c r="G1898" i="6"/>
  <c r="G1897" i="6"/>
  <c r="G1896" i="6"/>
  <c r="G1895" i="6"/>
  <c r="G1894" i="6"/>
  <c r="G1893" i="6"/>
  <c r="G1892" i="6"/>
  <c r="G1891" i="6"/>
  <c r="G1890" i="6"/>
  <c r="G1889" i="6"/>
  <c r="G1888" i="6"/>
  <c r="G1887" i="6"/>
  <c r="G1886" i="6"/>
  <c r="G1885" i="6"/>
  <c r="G1884" i="6"/>
  <c r="G1883" i="6"/>
  <c r="G1882" i="6"/>
  <c r="G1881" i="6"/>
  <c r="G1880" i="6"/>
  <c r="G1879" i="6"/>
  <c r="G1878" i="6"/>
  <c r="G1877" i="6"/>
  <c r="G1876" i="6"/>
  <c r="G1875" i="6"/>
  <c r="G1874" i="6"/>
  <c r="G1873" i="6"/>
  <c r="G1872" i="6"/>
  <c r="G1871" i="6"/>
  <c r="G1870" i="6"/>
  <c r="G1869" i="6"/>
  <c r="G1868" i="6"/>
  <c r="G1867" i="6"/>
  <c r="G1866" i="6"/>
  <c r="G1865" i="6"/>
  <c r="G1864" i="6"/>
  <c r="G1863" i="6"/>
  <c r="G1862" i="6"/>
  <c r="G1861" i="6"/>
  <c r="G1860" i="6"/>
  <c r="G1859" i="6"/>
  <c r="G1858" i="6"/>
  <c r="G1857" i="6"/>
  <c r="G1856" i="6"/>
  <c r="G1855" i="6"/>
  <c r="G1854" i="6"/>
  <c r="G1853" i="6"/>
  <c r="G1852" i="6"/>
  <c r="G1851" i="6"/>
  <c r="G1850" i="6"/>
  <c r="G1849" i="6"/>
  <c r="G1848" i="6"/>
  <c r="G1847" i="6"/>
  <c r="G1846" i="6"/>
  <c r="G1845" i="6"/>
  <c r="G1844" i="6"/>
  <c r="G1843" i="6"/>
  <c r="G1842" i="6"/>
  <c r="G1841" i="6"/>
  <c r="G1840" i="6"/>
  <c r="G1839" i="6"/>
  <c r="G1838" i="6"/>
  <c r="G1837" i="6"/>
  <c r="G1836" i="6"/>
  <c r="G1835" i="6"/>
  <c r="G1834" i="6"/>
  <c r="G1833" i="6"/>
  <c r="G1832" i="6"/>
  <c r="G1831" i="6"/>
  <c r="G1830" i="6"/>
  <c r="G1829" i="6"/>
  <c r="G1828" i="6"/>
  <c r="G1827" i="6"/>
  <c r="G1826" i="6"/>
  <c r="G1825" i="6"/>
  <c r="G1824" i="6"/>
  <c r="G1823" i="6"/>
  <c r="G1822" i="6"/>
  <c r="G1821" i="6"/>
  <c r="G1820" i="6"/>
  <c r="G1819" i="6"/>
  <c r="G1818" i="6"/>
  <c r="G1817" i="6"/>
  <c r="G1816" i="6"/>
  <c r="G1815" i="6"/>
  <c r="G1814" i="6"/>
  <c r="G1813" i="6"/>
  <c r="G1812" i="6"/>
  <c r="G1811" i="6"/>
  <c r="G1810" i="6"/>
  <c r="G1809" i="6"/>
  <c r="G1808" i="6"/>
  <c r="G1807" i="6"/>
  <c r="G1806" i="6"/>
  <c r="G1805" i="6"/>
  <c r="G1804" i="6"/>
  <c r="G1803" i="6"/>
  <c r="G1802" i="6"/>
  <c r="G1801" i="6"/>
  <c r="G1800" i="6"/>
  <c r="G1799" i="6"/>
  <c r="G1798" i="6"/>
  <c r="G1797" i="6"/>
  <c r="G1796" i="6"/>
  <c r="G1795" i="6"/>
  <c r="G1794" i="6"/>
  <c r="G1793" i="6"/>
  <c r="G1792" i="6"/>
  <c r="G1791" i="6"/>
  <c r="G1790" i="6"/>
  <c r="G1789" i="6"/>
  <c r="G1788" i="6"/>
  <c r="G1787" i="6"/>
  <c r="G1786" i="6"/>
  <c r="G1785" i="6"/>
  <c r="G1784" i="6"/>
  <c r="G1783" i="6"/>
  <c r="G1782" i="6"/>
  <c r="G1781" i="6"/>
  <c r="G1780" i="6"/>
  <c r="G1779" i="6"/>
  <c r="G1778" i="6"/>
  <c r="G1777" i="6"/>
  <c r="G1776" i="6"/>
  <c r="G1775" i="6"/>
  <c r="G1774" i="6"/>
  <c r="G1773" i="6"/>
  <c r="G1772" i="6"/>
  <c r="G1771" i="6"/>
  <c r="G1770" i="6"/>
  <c r="G1769" i="6"/>
  <c r="G1768" i="6"/>
  <c r="G1767" i="6"/>
  <c r="G1766" i="6"/>
  <c r="G1765" i="6"/>
  <c r="G1764" i="6"/>
  <c r="G1763" i="6"/>
  <c r="G1762" i="6"/>
  <c r="G1761" i="6"/>
  <c r="G1760" i="6"/>
  <c r="G1759" i="6"/>
  <c r="G1758" i="6"/>
  <c r="G1757" i="6"/>
  <c r="G1756" i="6"/>
  <c r="G1755" i="6"/>
  <c r="G1754" i="6"/>
  <c r="G1753" i="6"/>
  <c r="G1752" i="6"/>
  <c r="G1751" i="6"/>
  <c r="G1750" i="6"/>
  <c r="G1749" i="6"/>
  <c r="G1748" i="6"/>
  <c r="G1747" i="6"/>
  <c r="G1746" i="6"/>
  <c r="G1745" i="6"/>
  <c r="G1744" i="6"/>
  <c r="G1743" i="6"/>
  <c r="G1742" i="6"/>
  <c r="G1741" i="6"/>
  <c r="G1740" i="6"/>
  <c r="G1739" i="6"/>
  <c r="G1738" i="6"/>
  <c r="G1737" i="6"/>
  <c r="G1736" i="6"/>
  <c r="G1735" i="6"/>
  <c r="G1734" i="6"/>
  <c r="G1733" i="6"/>
  <c r="G1732" i="6"/>
  <c r="G1731" i="6"/>
  <c r="G1730" i="6"/>
  <c r="G1729" i="6"/>
  <c r="G1728" i="6"/>
  <c r="G1727" i="6"/>
  <c r="G1726" i="6"/>
  <c r="G1725" i="6"/>
  <c r="G1724" i="6"/>
  <c r="G1723" i="6"/>
  <c r="G1722" i="6"/>
  <c r="G1721" i="6"/>
  <c r="G1720" i="6"/>
  <c r="G1719" i="6"/>
  <c r="G1718" i="6"/>
  <c r="G1717" i="6"/>
  <c r="G1716" i="6"/>
  <c r="G1715" i="6"/>
  <c r="G1714" i="6"/>
  <c r="G1713" i="6"/>
  <c r="G1712" i="6"/>
  <c r="G1711" i="6"/>
  <c r="G1710" i="6"/>
  <c r="G1709" i="6"/>
  <c r="G1708" i="6"/>
  <c r="G1707" i="6"/>
  <c r="G1706" i="6"/>
  <c r="G1705" i="6"/>
  <c r="G1704" i="6"/>
  <c r="G1703" i="6"/>
  <c r="G1702" i="6"/>
  <c r="G1701" i="6"/>
  <c r="G1700" i="6"/>
  <c r="G1699" i="6"/>
  <c r="G1698" i="6"/>
  <c r="G1697" i="6"/>
  <c r="G1696" i="6"/>
  <c r="G1695" i="6"/>
  <c r="G1694" i="6"/>
  <c r="G1693" i="6"/>
  <c r="G1692" i="6"/>
  <c r="G1691" i="6"/>
  <c r="G1690" i="6"/>
  <c r="G1689" i="6"/>
  <c r="G1688" i="6"/>
  <c r="G1687" i="6"/>
  <c r="G1686" i="6"/>
  <c r="G1685" i="6"/>
  <c r="G1684" i="6"/>
  <c r="G1683" i="6"/>
  <c r="G1682" i="6"/>
  <c r="G1681" i="6"/>
  <c r="G1680" i="6"/>
  <c r="G1679" i="6"/>
  <c r="G1678" i="6"/>
  <c r="G1677" i="6"/>
  <c r="G1676" i="6"/>
  <c r="G1675" i="6"/>
  <c r="G1674" i="6"/>
  <c r="G1673" i="6"/>
  <c r="G1672" i="6"/>
  <c r="G1671" i="6"/>
  <c r="G1670" i="6"/>
  <c r="G1669" i="6"/>
  <c r="G1668" i="6"/>
  <c r="G1667" i="6"/>
  <c r="G1666" i="6"/>
  <c r="G1665" i="6"/>
  <c r="G1664" i="6"/>
  <c r="G1663" i="6"/>
  <c r="G1662" i="6"/>
  <c r="G1661" i="6"/>
  <c r="G1660" i="6"/>
  <c r="G1659" i="6"/>
  <c r="G1658" i="6"/>
  <c r="G1657" i="6"/>
  <c r="G1656" i="6"/>
  <c r="G1655" i="6"/>
  <c r="G1654" i="6"/>
  <c r="G1653" i="6"/>
  <c r="G1652" i="6"/>
  <c r="G1651" i="6"/>
  <c r="G1650" i="6"/>
  <c r="G1649" i="6"/>
  <c r="G1648" i="6"/>
  <c r="G1647" i="6"/>
  <c r="G1646" i="6"/>
  <c r="G1645" i="6"/>
  <c r="G1644" i="6"/>
  <c r="G1643" i="6"/>
  <c r="G1642" i="6"/>
  <c r="G1641" i="6"/>
  <c r="G1640" i="6"/>
  <c r="G1639" i="6"/>
  <c r="G1638" i="6"/>
  <c r="G1637" i="6"/>
  <c r="G1636" i="6"/>
  <c r="G1635" i="6"/>
  <c r="G1634" i="6"/>
  <c r="G1633" i="6"/>
  <c r="G1632" i="6"/>
  <c r="G1631" i="6"/>
  <c r="G1630" i="6"/>
  <c r="G1629" i="6"/>
  <c r="G1628" i="6"/>
  <c r="G1627" i="6"/>
  <c r="G1626" i="6"/>
  <c r="G1625" i="6"/>
  <c r="G1624" i="6"/>
  <c r="G1623" i="6"/>
  <c r="G1622" i="6"/>
  <c r="G1621" i="6"/>
  <c r="G1620" i="6"/>
  <c r="G1619" i="6"/>
  <c r="G1618" i="6"/>
  <c r="G1617" i="6"/>
  <c r="G1616" i="6"/>
  <c r="G1615" i="6"/>
  <c r="G1614" i="6"/>
  <c r="G1613" i="6"/>
  <c r="G1612" i="6"/>
  <c r="G1611" i="6"/>
  <c r="G1610" i="6"/>
  <c r="G1609" i="6"/>
  <c r="G1608" i="6"/>
  <c r="G1607" i="6"/>
  <c r="G1606" i="6"/>
  <c r="G1605" i="6"/>
  <c r="G1604" i="6"/>
  <c r="G1603" i="6"/>
  <c r="G1602" i="6"/>
  <c r="G1601" i="6"/>
  <c r="G1600" i="6"/>
  <c r="G1599" i="6"/>
  <c r="G1598" i="6"/>
  <c r="G1597" i="6"/>
  <c r="G1596" i="6"/>
  <c r="G1595" i="6"/>
  <c r="G1594" i="6"/>
  <c r="G1593" i="6"/>
  <c r="G1592" i="6"/>
  <c r="G1591" i="6"/>
  <c r="G1590" i="6"/>
  <c r="G1589" i="6"/>
  <c r="G1588" i="6"/>
  <c r="G1587" i="6"/>
  <c r="G1586" i="6"/>
  <c r="G1585" i="6"/>
  <c r="G1584" i="6"/>
  <c r="G1583" i="6"/>
  <c r="G1582" i="6"/>
  <c r="G1581" i="6"/>
  <c r="G1580" i="6"/>
  <c r="G1579" i="6"/>
  <c r="G1578" i="6"/>
  <c r="G1577" i="6"/>
  <c r="G1576" i="6"/>
  <c r="G1575" i="6"/>
  <c r="I1575" i="6" s="1"/>
  <c r="G1574" i="6"/>
  <c r="I1574" i="6" s="1"/>
  <c r="G1573" i="6"/>
  <c r="G1572" i="6"/>
  <c r="G1571" i="6"/>
  <c r="G1570" i="6"/>
  <c r="G1569" i="6"/>
  <c r="G1568" i="6"/>
  <c r="G1567" i="6"/>
  <c r="G1566" i="6"/>
  <c r="G1565" i="6"/>
  <c r="G1564" i="6"/>
  <c r="G1563" i="6"/>
  <c r="G1562" i="6"/>
  <c r="G1561" i="6"/>
  <c r="G1560" i="6"/>
  <c r="G1559" i="6"/>
  <c r="G1558" i="6"/>
  <c r="G1557" i="6"/>
  <c r="G1556" i="6"/>
  <c r="G1555" i="6"/>
  <c r="G1554" i="6"/>
  <c r="G1553" i="6"/>
  <c r="G1552" i="6"/>
  <c r="G1551" i="6"/>
  <c r="G1550" i="6"/>
  <c r="G1549" i="6"/>
  <c r="G1548" i="6"/>
  <c r="G1547" i="6"/>
  <c r="G1546" i="6"/>
  <c r="G1545" i="6"/>
  <c r="G1544" i="6"/>
  <c r="G1543" i="6"/>
  <c r="G1542" i="6"/>
  <c r="G1541" i="6"/>
  <c r="G1540" i="6"/>
  <c r="G1539" i="6"/>
  <c r="G1538" i="6"/>
  <c r="G1537" i="6"/>
  <c r="G1536" i="6"/>
  <c r="G1535" i="6"/>
  <c r="G1534" i="6"/>
  <c r="G1533" i="6"/>
  <c r="G1532" i="6"/>
  <c r="G1531" i="6"/>
  <c r="G1530" i="6"/>
  <c r="G1529" i="6"/>
  <c r="G1528" i="6"/>
  <c r="G1527" i="6"/>
  <c r="G1526" i="6"/>
  <c r="G1525" i="6"/>
  <c r="G1524" i="6"/>
  <c r="G1523" i="6"/>
  <c r="G1522" i="6"/>
  <c r="G1521" i="6"/>
  <c r="G1520" i="6"/>
  <c r="G1519" i="6"/>
  <c r="G1518" i="6"/>
  <c r="G1517" i="6"/>
  <c r="G1516" i="6"/>
  <c r="G1515" i="6"/>
  <c r="G1514" i="6"/>
  <c r="G1513" i="6"/>
  <c r="G1512" i="6"/>
  <c r="G1511" i="6"/>
  <c r="G1510" i="6"/>
  <c r="G1509" i="6"/>
  <c r="G1508" i="6"/>
  <c r="G1507" i="6"/>
  <c r="G1506" i="6"/>
  <c r="G1505" i="6"/>
  <c r="G1504" i="6"/>
  <c r="G1503" i="6"/>
  <c r="G1502" i="6"/>
  <c r="G1501" i="6"/>
  <c r="G1500" i="6"/>
  <c r="G1499" i="6"/>
  <c r="G1498" i="6"/>
  <c r="G1497" i="6"/>
  <c r="G1496" i="6"/>
  <c r="G1495" i="6"/>
  <c r="G1494" i="6"/>
  <c r="G1493" i="6"/>
  <c r="G1492" i="6"/>
  <c r="G1491" i="6"/>
  <c r="G1490" i="6"/>
  <c r="G1489" i="6"/>
  <c r="G1488" i="6"/>
  <c r="G1487" i="6"/>
  <c r="G1486" i="6"/>
  <c r="G1485" i="6"/>
  <c r="G1484" i="6"/>
  <c r="G1483" i="6"/>
  <c r="G1482" i="6"/>
  <c r="G1481" i="6"/>
  <c r="G1480" i="6"/>
  <c r="G1479" i="6"/>
  <c r="G1478" i="6"/>
  <c r="G1477" i="6"/>
  <c r="G1476" i="6"/>
  <c r="G1475" i="6"/>
  <c r="G1474" i="6"/>
  <c r="G1473" i="6"/>
  <c r="G1472" i="6"/>
  <c r="G1471" i="6"/>
  <c r="G1470" i="6"/>
  <c r="G1469" i="6"/>
  <c r="G1468" i="6"/>
  <c r="G1467" i="6"/>
  <c r="G1466" i="6"/>
  <c r="G1465" i="6"/>
  <c r="G1464" i="6"/>
  <c r="G1463" i="6"/>
  <c r="G1462" i="6"/>
  <c r="G1461" i="6"/>
  <c r="G1460" i="6"/>
  <c r="G1459" i="6"/>
  <c r="G1458" i="6"/>
  <c r="G1457" i="6"/>
  <c r="G1456" i="6"/>
  <c r="G1455" i="6"/>
  <c r="G1454" i="6"/>
  <c r="G1453" i="6"/>
  <c r="G1452" i="6"/>
  <c r="G1451" i="6"/>
  <c r="G1450" i="6"/>
  <c r="G1449" i="6"/>
  <c r="G1448" i="6"/>
  <c r="G1447" i="6"/>
  <c r="G1446" i="6"/>
  <c r="G1445" i="6"/>
  <c r="G1444" i="6"/>
  <c r="G1443" i="6"/>
  <c r="G1442" i="6"/>
  <c r="G1441" i="6"/>
  <c r="G1440" i="6"/>
  <c r="G1439" i="6"/>
  <c r="G1438" i="6"/>
  <c r="G1437" i="6"/>
  <c r="G1436" i="6"/>
  <c r="G1435" i="6"/>
  <c r="G1434" i="6"/>
  <c r="G1433" i="6"/>
  <c r="G1432" i="6"/>
  <c r="G1431" i="6"/>
  <c r="G1430" i="6"/>
  <c r="G1429" i="6"/>
  <c r="G1428" i="6"/>
  <c r="G1427" i="6"/>
  <c r="G1426" i="6"/>
  <c r="G1425" i="6"/>
  <c r="G1424" i="6"/>
  <c r="G1423" i="6"/>
  <c r="G1422" i="6"/>
  <c r="G1421" i="6"/>
  <c r="G1420" i="6"/>
  <c r="G1419" i="6"/>
  <c r="G1418" i="6"/>
  <c r="G1417" i="6"/>
  <c r="G1416" i="6"/>
  <c r="G1415" i="6"/>
  <c r="G1414" i="6"/>
  <c r="G1413" i="6"/>
  <c r="G1412" i="6"/>
  <c r="G1411" i="6"/>
  <c r="G1410" i="6"/>
  <c r="G1409" i="6"/>
  <c r="G1408" i="6"/>
  <c r="G1407" i="6"/>
  <c r="G1406" i="6"/>
  <c r="G1405" i="6"/>
  <c r="G1404" i="6"/>
  <c r="G1403" i="6"/>
  <c r="G1402" i="6"/>
  <c r="G1401" i="6"/>
  <c r="G1400" i="6"/>
  <c r="G1399" i="6"/>
  <c r="G1398" i="6"/>
  <c r="G1397" i="6"/>
  <c r="G1396" i="6"/>
  <c r="G1395" i="6"/>
  <c r="G1394" i="6"/>
  <c r="G1393" i="6"/>
  <c r="G1392" i="6"/>
  <c r="G1391" i="6"/>
  <c r="G1390" i="6"/>
  <c r="G1389" i="6"/>
  <c r="G1388" i="6"/>
  <c r="G1387" i="6"/>
  <c r="G1386" i="6"/>
  <c r="G1385" i="6"/>
  <c r="G1384" i="6"/>
  <c r="G1383" i="6"/>
  <c r="G1382" i="6"/>
  <c r="G1381" i="6"/>
  <c r="G1380" i="6"/>
  <c r="G1379" i="6"/>
  <c r="G1378" i="6"/>
  <c r="G1377" i="6"/>
  <c r="G1376" i="6"/>
  <c r="G1375" i="6"/>
  <c r="G1374" i="6"/>
  <c r="G1373" i="6"/>
  <c r="G1372" i="6"/>
  <c r="G1371" i="6"/>
  <c r="G1370" i="6"/>
  <c r="G1369" i="6"/>
  <c r="G1368" i="6"/>
  <c r="G1367" i="6"/>
  <c r="G1366" i="6"/>
  <c r="G1365" i="6"/>
  <c r="G1364" i="6"/>
  <c r="G1363" i="6"/>
  <c r="G1362" i="6"/>
  <c r="G1361" i="6"/>
  <c r="G1360" i="6"/>
  <c r="G1359" i="6"/>
  <c r="G1358" i="6"/>
  <c r="G1357" i="6"/>
  <c r="G1356" i="6"/>
  <c r="G1355" i="6"/>
  <c r="G1354" i="6"/>
  <c r="G1353" i="6"/>
  <c r="G1352" i="6"/>
  <c r="G1351" i="6"/>
  <c r="G1350" i="6"/>
  <c r="G1349" i="6"/>
  <c r="G1348" i="6"/>
  <c r="G1347" i="6"/>
  <c r="G1346" i="6"/>
  <c r="G1345" i="6"/>
  <c r="G1344" i="6"/>
  <c r="G1343" i="6"/>
  <c r="G1342" i="6"/>
  <c r="G1341" i="6"/>
  <c r="G1340" i="6"/>
  <c r="G1339" i="6"/>
  <c r="G1338" i="6"/>
  <c r="G1337" i="6"/>
  <c r="G1336" i="6"/>
  <c r="G1335" i="6"/>
  <c r="G1334" i="6"/>
  <c r="G1333" i="6"/>
  <c r="G1332" i="6"/>
  <c r="G1331" i="6"/>
  <c r="G1330" i="6"/>
  <c r="G1329" i="6"/>
  <c r="G1328" i="6"/>
  <c r="G1327" i="6"/>
  <c r="G1326" i="6"/>
  <c r="G1325" i="6"/>
  <c r="G1324" i="6"/>
  <c r="G1323" i="6"/>
  <c r="G1322" i="6"/>
  <c r="G1321" i="6"/>
  <c r="G1320" i="6"/>
  <c r="G1319" i="6"/>
  <c r="G1318" i="6"/>
  <c r="G1317" i="6"/>
  <c r="G1316" i="6"/>
  <c r="G1315" i="6"/>
  <c r="G1314" i="6"/>
  <c r="G1313" i="6"/>
  <c r="G1312" i="6"/>
  <c r="G1311" i="6"/>
  <c r="G1310" i="6"/>
  <c r="G1309" i="6"/>
  <c r="G1308" i="6"/>
  <c r="G1307" i="6"/>
  <c r="G1306" i="6"/>
  <c r="G1305" i="6"/>
  <c r="G1304" i="6"/>
  <c r="G1303" i="6"/>
  <c r="G1302" i="6"/>
  <c r="G1301" i="6"/>
  <c r="G1300" i="6"/>
  <c r="G1299" i="6"/>
  <c r="G1298" i="6"/>
  <c r="G1297" i="6"/>
  <c r="G1296" i="6"/>
  <c r="G1295" i="6"/>
  <c r="G1294" i="6"/>
  <c r="G1293" i="6"/>
  <c r="G1292" i="6"/>
  <c r="G1291" i="6"/>
  <c r="G1290" i="6"/>
  <c r="G1289" i="6"/>
  <c r="G1288" i="6"/>
  <c r="G1287" i="6"/>
  <c r="G1286" i="6"/>
  <c r="G1285" i="6"/>
  <c r="G1284" i="6"/>
  <c r="G1283" i="6"/>
  <c r="G1282" i="6"/>
  <c r="G1281" i="6"/>
  <c r="G1280" i="6"/>
  <c r="G1279" i="6"/>
  <c r="G1278" i="6"/>
  <c r="G1277" i="6"/>
  <c r="G1276" i="6"/>
  <c r="G1275" i="6"/>
  <c r="G1274" i="6"/>
  <c r="G1273" i="6"/>
  <c r="G1272" i="6"/>
  <c r="G1271" i="6"/>
  <c r="G1270" i="6"/>
  <c r="G1269" i="6"/>
  <c r="G1268" i="6"/>
  <c r="G1267" i="6"/>
  <c r="G1266" i="6"/>
  <c r="G1265" i="6"/>
  <c r="G1264" i="6"/>
  <c r="G1263" i="6"/>
  <c r="G1262" i="6"/>
  <c r="G1261" i="6"/>
  <c r="G1260" i="6"/>
  <c r="G1259" i="6"/>
  <c r="G1258" i="6"/>
  <c r="G1257" i="6"/>
  <c r="G1256" i="6"/>
  <c r="G1255" i="6"/>
  <c r="G1254" i="6"/>
  <c r="G1253" i="6"/>
  <c r="G1252" i="6"/>
  <c r="G1251" i="6"/>
  <c r="G1250" i="6"/>
  <c r="G1249" i="6"/>
  <c r="G1248" i="6"/>
  <c r="G1247" i="6"/>
  <c r="G1246" i="6"/>
  <c r="G1245" i="6"/>
  <c r="G1244" i="6"/>
  <c r="G1243" i="6"/>
  <c r="G1242" i="6"/>
  <c r="G1241" i="6"/>
  <c r="G1240" i="6"/>
  <c r="G1239" i="6"/>
  <c r="G1238" i="6"/>
  <c r="G1237" i="6"/>
  <c r="G1236" i="6"/>
  <c r="G1235" i="6"/>
  <c r="G1234" i="6"/>
  <c r="G1233" i="6"/>
  <c r="G1232" i="6"/>
  <c r="G1231" i="6"/>
  <c r="G1230" i="6"/>
  <c r="G1229" i="6"/>
  <c r="G1228" i="6"/>
  <c r="G1227" i="6"/>
  <c r="G1226" i="6"/>
  <c r="G1225" i="6"/>
  <c r="G1224" i="6"/>
  <c r="G1223" i="6"/>
  <c r="G1222" i="6"/>
  <c r="G1221" i="6"/>
  <c r="G1220" i="6"/>
  <c r="G1219" i="6"/>
  <c r="G1218" i="6"/>
  <c r="G1217" i="6"/>
  <c r="G1216" i="6"/>
  <c r="G1215" i="6"/>
  <c r="G1214" i="6"/>
  <c r="G1213" i="6"/>
  <c r="G1212" i="6"/>
  <c r="G1211" i="6"/>
  <c r="G1210" i="6"/>
  <c r="G1209" i="6"/>
  <c r="G1208" i="6"/>
  <c r="G1207" i="6"/>
  <c r="G1206" i="6"/>
  <c r="G1205" i="6"/>
  <c r="G1204" i="6"/>
  <c r="G1203" i="6"/>
  <c r="G1202" i="6"/>
  <c r="G1201" i="6"/>
  <c r="G1200" i="6"/>
  <c r="G1199" i="6"/>
  <c r="G1198" i="6"/>
  <c r="G1197" i="6"/>
  <c r="G1196" i="6"/>
  <c r="G1195" i="6"/>
  <c r="G1194" i="6"/>
  <c r="G1193" i="6"/>
  <c r="G1192" i="6"/>
  <c r="G1191" i="6"/>
  <c r="G1190" i="6"/>
  <c r="G1189" i="6"/>
  <c r="G1188" i="6"/>
  <c r="G1187" i="6"/>
  <c r="G1186" i="6"/>
  <c r="G1185" i="6"/>
  <c r="G1184" i="6"/>
  <c r="G1183" i="6"/>
  <c r="G1182" i="6"/>
  <c r="G1181" i="6"/>
  <c r="G1180" i="6"/>
  <c r="G1179" i="6"/>
  <c r="G1178" i="6"/>
  <c r="G1177" i="6"/>
  <c r="G1176" i="6"/>
  <c r="G1175" i="6"/>
  <c r="G1174" i="6"/>
  <c r="G1173" i="6"/>
  <c r="G1172" i="6"/>
  <c r="G1171" i="6"/>
  <c r="G1170" i="6"/>
  <c r="G1169" i="6"/>
  <c r="G1168" i="6"/>
  <c r="G1167" i="6"/>
  <c r="G1166" i="6"/>
  <c r="G1165" i="6"/>
  <c r="G1164" i="6"/>
  <c r="G1163" i="6"/>
  <c r="G1162" i="6"/>
  <c r="G1161" i="6"/>
  <c r="G1160" i="6"/>
  <c r="G1159" i="6"/>
  <c r="G1158" i="6"/>
  <c r="G1157" i="6"/>
  <c r="G1156" i="6"/>
  <c r="G1155" i="6"/>
  <c r="G1154" i="6"/>
  <c r="G1153" i="6"/>
  <c r="G1152" i="6"/>
  <c r="G1151" i="6"/>
  <c r="G1150" i="6"/>
  <c r="G1149" i="6"/>
  <c r="G1148" i="6"/>
  <c r="G1147" i="6"/>
  <c r="G1146" i="6"/>
  <c r="G1145" i="6"/>
  <c r="G1144" i="6"/>
  <c r="G1143" i="6"/>
  <c r="G1142" i="6"/>
  <c r="G1141" i="6"/>
  <c r="G1140" i="6"/>
  <c r="G1139" i="6"/>
  <c r="G1138" i="6"/>
  <c r="G1137" i="6"/>
  <c r="G1136" i="6"/>
  <c r="G1135" i="6"/>
  <c r="G1134" i="6"/>
  <c r="G1133" i="6"/>
  <c r="G1132" i="6"/>
  <c r="G1131" i="6"/>
  <c r="G1130" i="6"/>
  <c r="G1129" i="6"/>
  <c r="G1128" i="6"/>
  <c r="G1127" i="6"/>
  <c r="G1126" i="6"/>
  <c r="G1125" i="6"/>
  <c r="G1124" i="6"/>
  <c r="G1123" i="6"/>
  <c r="G1122" i="6"/>
  <c r="G1121" i="6"/>
  <c r="G1120" i="6"/>
  <c r="G1119" i="6"/>
  <c r="G1118" i="6"/>
  <c r="G1117" i="6"/>
  <c r="G1116" i="6"/>
  <c r="G1115" i="6"/>
  <c r="G1114" i="6"/>
  <c r="G1113" i="6"/>
  <c r="G1112" i="6"/>
  <c r="G1111" i="6"/>
  <c r="G1110" i="6"/>
  <c r="G1109" i="6"/>
  <c r="G1108" i="6"/>
  <c r="G1107" i="6"/>
  <c r="G1106" i="6"/>
  <c r="G1105" i="6"/>
  <c r="G1104" i="6"/>
  <c r="G1103" i="6"/>
  <c r="G1102" i="6"/>
  <c r="G1101" i="6"/>
  <c r="G1100" i="6"/>
  <c r="G1099" i="6"/>
  <c r="G1098" i="6"/>
  <c r="G1097" i="6"/>
  <c r="G1096" i="6"/>
  <c r="G1095" i="6"/>
  <c r="G1094" i="6"/>
  <c r="G1093" i="6"/>
  <c r="G1092" i="6"/>
  <c r="G1091" i="6"/>
  <c r="G1090" i="6"/>
  <c r="G1089" i="6"/>
  <c r="G1088" i="6"/>
  <c r="G1087" i="6"/>
  <c r="G1086" i="6"/>
  <c r="G1085" i="6"/>
  <c r="G1084" i="6"/>
  <c r="G1083" i="6"/>
  <c r="G1082" i="6"/>
  <c r="G1081" i="6"/>
  <c r="G1080" i="6"/>
  <c r="G1079" i="6"/>
  <c r="G1078" i="6"/>
  <c r="G1077" i="6"/>
  <c r="G1076" i="6"/>
  <c r="G1075" i="6"/>
  <c r="G1074" i="6"/>
  <c r="G1073" i="6"/>
  <c r="G1072" i="6"/>
  <c r="G1071" i="6"/>
  <c r="G1070" i="6"/>
  <c r="G1069" i="6"/>
  <c r="G1068" i="6"/>
  <c r="G1067" i="6"/>
  <c r="G1066" i="6"/>
  <c r="G1065" i="6"/>
  <c r="G1064" i="6"/>
  <c r="G1063" i="6"/>
  <c r="G1062" i="6"/>
  <c r="G1061" i="6"/>
  <c r="G1060" i="6"/>
  <c r="G1059" i="6"/>
  <c r="G1058" i="6"/>
  <c r="G1057" i="6"/>
  <c r="G1056" i="6"/>
  <c r="G1055" i="6"/>
  <c r="G1054" i="6"/>
  <c r="G1053" i="6"/>
  <c r="G1052" i="6"/>
  <c r="G1051" i="6"/>
  <c r="G1050" i="6"/>
  <c r="G1049" i="6"/>
  <c r="G1048" i="6"/>
  <c r="G1047" i="6"/>
  <c r="G1046" i="6"/>
  <c r="G1045" i="6"/>
  <c r="G1044" i="6"/>
  <c r="G1043" i="6"/>
  <c r="G1042" i="6"/>
  <c r="G1041" i="6"/>
  <c r="G1040" i="6"/>
  <c r="G1039" i="6"/>
  <c r="G1038" i="6"/>
  <c r="G1037" i="6"/>
  <c r="G1036" i="6"/>
  <c r="G1035" i="6"/>
  <c r="G1034" i="6"/>
  <c r="G1033" i="6"/>
  <c r="G1032" i="6"/>
  <c r="G1031" i="6"/>
  <c r="G1030" i="6"/>
  <c r="G1029" i="6"/>
  <c r="G1028" i="6"/>
  <c r="G1027" i="6"/>
  <c r="G1026" i="6"/>
  <c r="G1025" i="6"/>
  <c r="G1024" i="6"/>
  <c r="G1023" i="6"/>
  <c r="G1022" i="6"/>
  <c r="G1021" i="6"/>
  <c r="G1020" i="6"/>
  <c r="G1019" i="6"/>
  <c r="G1018" i="6"/>
  <c r="G1017" i="6"/>
  <c r="G1016" i="6"/>
  <c r="G1015" i="6"/>
  <c r="G1014" i="6"/>
  <c r="G1013" i="6"/>
  <c r="G1012" i="6"/>
  <c r="G1011" i="6"/>
  <c r="G1010" i="6"/>
  <c r="G1009" i="6"/>
  <c r="G1008" i="6"/>
  <c r="G1007" i="6"/>
  <c r="G1006" i="6"/>
  <c r="G1005" i="6"/>
  <c r="G1004" i="6"/>
  <c r="G1003" i="6"/>
  <c r="G1002" i="6"/>
  <c r="G1001" i="6"/>
  <c r="G1000" i="6"/>
  <c r="G999" i="6"/>
  <c r="G998" i="6"/>
  <c r="G997" i="6"/>
  <c r="G996" i="6"/>
  <c r="G995" i="6"/>
  <c r="G994" i="6"/>
  <c r="G993" i="6"/>
  <c r="G992" i="6"/>
  <c r="G991" i="6"/>
  <c r="G990" i="6"/>
  <c r="G989" i="6"/>
  <c r="G988" i="6"/>
  <c r="G987" i="6"/>
  <c r="G986" i="6"/>
  <c r="G985" i="6"/>
  <c r="G984" i="6"/>
  <c r="G983" i="6"/>
  <c r="G982" i="6"/>
  <c r="G981" i="6"/>
  <c r="G980" i="6"/>
  <c r="G979" i="6"/>
  <c r="G978" i="6"/>
  <c r="G977" i="6"/>
  <c r="G976" i="6"/>
  <c r="G975" i="6"/>
  <c r="G974" i="6"/>
  <c r="G973" i="6"/>
  <c r="G972" i="6"/>
  <c r="G971" i="6"/>
  <c r="G970" i="6"/>
  <c r="G969" i="6"/>
  <c r="G968" i="6"/>
  <c r="G967" i="6"/>
  <c r="G966" i="6"/>
  <c r="G965" i="6"/>
  <c r="G964" i="6"/>
  <c r="G963" i="6"/>
  <c r="G962" i="6"/>
  <c r="G961" i="6"/>
  <c r="G960" i="6"/>
  <c r="G959" i="6"/>
  <c r="G958" i="6"/>
  <c r="G957" i="6"/>
  <c r="G956" i="6"/>
  <c r="G955" i="6"/>
  <c r="G954" i="6"/>
  <c r="G953" i="6"/>
  <c r="G952" i="6"/>
  <c r="G951" i="6"/>
  <c r="G950" i="6"/>
  <c r="G949" i="6"/>
  <c r="G948" i="6"/>
  <c r="G947" i="6"/>
  <c r="G946" i="6"/>
  <c r="G945" i="6"/>
  <c r="G944" i="6"/>
  <c r="G943" i="6"/>
  <c r="G942" i="6"/>
  <c r="G941" i="6"/>
  <c r="G940" i="6"/>
  <c r="G939" i="6"/>
  <c r="G938" i="6"/>
  <c r="G937" i="6"/>
  <c r="G936" i="6"/>
  <c r="G935" i="6"/>
  <c r="G934" i="6"/>
  <c r="G933" i="6"/>
  <c r="G932" i="6"/>
  <c r="G931" i="6"/>
  <c r="G930" i="6"/>
  <c r="G929" i="6"/>
  <c r="G928" i="6"/>
  <c r="G927" i="6"/>
  <c r="G926" i="6"/>
  <c r="G925" i="6"/>
  <c r="G924" i="6"/>
  <c r="G923" i="6"/>
  <c r="G922" i="6"/>
  <c r="G921" i="6"/>
  <c r="G920" i="6"/>
  <c r="G919" i="6"/>
  <c r="G918" i="6"/>
  <c r="G917" i="6"/>
  <c r="G916" i="6"/>
  <c r="G915" i="6"/>
  <c r="G914" i="6"/>
  <c r="G913" i="6"/>
  <c r="G912" i="6"/>
  <c r="G911" i="6"/>
  <c r="G910" i="6"/>
  <c r="G909" i="6"/>
  <c r="G908" i="6"/>
  <c r="G907" i="6"/>
  <c r="G906" i="6"/>
  <c r="G905" i="6"/>
  <c r="G904" i="6"/>
  <c r="G903" i="6"/>
  <c r="G902" i="6"/>
  <c r="G901" i="6"/>
  <c r="G900" i="6"/>
  <c r="G899" i="6"/>
  <c r="G898" i="6"/>
  <c r="G897" i="6"/>
  <c r="G896" i="6"/>
  <c r="G895" i="6"/>
  <c r="G894" i="6"/>
  <c r="G893" i="6"/>
  <c r="G892" i="6"/>
  <c r="G891" i="6"/>
  <c r="G890" i="6"/>
  <c r="G889" i="6"/>
  <c r="G888" i="6"/>
  <c r="G887" i="6"/>
  <c r="G886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  <c r="G864" i="6"/>
  <c r="G863" i="6"/>
  <c r="G862" i="6"/>
  <c r="G861" i="6"/>
  <c r="G860" i="6"/>
  <c r="G859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44" i="6"/>
  <c r="G843" i="6"/>
  <c r="G842" i="6"/>
  <c r="G841" i="6"/>
  <c r="G840" i="6"/>
  <c r="G839" i="6"/>
  <c r="G838" i="6"/>
  <c r="G837" i="6"/>
  <c r="G836" i="6"/>
  <c r="G835" i="6"/>
  <c r="G834" i="6"/>
  <c r="G833" i="6"/>
  <c r="G832" i="6"/>
  <c r="G831" i="6"/>
  <c r="G830" i="6"/>
  <c r="G829" i="6"/>
  <c r="G828" i="6"/>
  <c r="G827" i="6"/>
  <c r="G826" i="6"/>
  <c r="G825" i="6"/>
  <c r="G824" i="6"/>
  <c r="G823" i="6"/>
  <c r="G822" i="6"/>
  <c r="G821" i="6"/>
  <c r="G820" i="6"/>
  <c r="G819" i="6"/>
  <c r="G818" i="6"/>
  <c r="G817" i="6"/>
  <c r="G816" i="6"/>
  <c r="G815" i="6"/>
  <c r="G814" i="6"/>
  <c r="G813" i="6"/>
  <c r="G812" i="6"/>
  <c r="G811" i="6"/>
  <c r="G810" i="6"/>
  <c r="G809" i="6"/>
  <c r="G808" i="6"/>
  <c r="G807" i="6"/>
  <c r="G806" i="6"/>
  <c r="G805" i="6"/>
  <c r="G804" i="6"/>
  <c r="G803" i="6"/>
  <c r="G802" i="6"/>
  <c r="G801" i="6"/>
  <c r="G800" i="6"/>
  <c r="G799" i="6"/>
  <c r="G798" i="6"/>
  <c r="G797" i="6"/>
  <c r="G796" i="6"/>
  <c r="G795" i="6"/>
  <c r="G794" i="6"/>
  <c r="G793" i="6"/>
  <c r="G792" i="6"/>
  <c r="G791" i="6"/>
  <c r="G790" i="6"/>
  <c r="G789" i="6"/>
  <c r="G788" i="6"/>
  <c r="G787" i="6"/>
  <c r="G786" i="6"/>
  <c r="G785" i="6"/>
  <c r="G784" i="6"/>
  <c r="G783" i="6"/>
  <c r="G782" i="6"/>
  <c r="G781" i="6"/>
  <c r="G780" i="6"/>
  <c r="G779" i="6"/>
  <c r="G778" i="6"/>
  <c r="G777" i="6"/>
  <c r="G776" i="6"/>
  <c r="G775" i="6"/>
  <c r="G774" i="6"/>
  <c r="G773" i="6"/>
  <c r="G772" i="6"/>
  <c r="G771" i="6"/>
  <c r="G770" i="6"/>
  <c r="G769" i="6"/>
  <c r="G768" i="6"/>
  <c r="G767" i="6"/>
  <c r="G766" i="6"/>
  <c r="G765" i="6"/>
  <c r="G764" i="6"/>
  <c r="G763" i="6"/>
  <c r="G762" i="6"/>
  <c r="G761" i="6"/>
  <c r="G760" i="6"/>
  <c r="G759" i="6"/>
  <c r="G758" i="6"/>
  <c r="G757" i="6"/>
  <c r="G756" i="6"/>
  <c r="G755" i="6"/>
  <c r="G754" i="6"/>
  <c r="G753" i="6"/>
  <c r="G752" i="6"/>
  <c r="G751" i="6"/>
  <c r="G750" i="6"/>
  <c r="G749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705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F10281" i="6"/>
  <c r="I10281" i="6" s="1"/>
  <c r="F10280" i="6"/>
  <c r="I10280" i="6" s="1"/>
  <c r="F10272" i="6"/>
  <c r="I10272" i="6" s="1"/>
  <c r="F10257" i="6"/>
  <c r="I10257" i="6" s="1"/>
  <c r="F10243" i="6"/>
  <c r="I10243" i="6" s="1"/>
  <c r="F10238" i="6"/>
  <c r="I10238" i="6" s="1"/>
  <c r="F10237" i="6"/>
  <c r="I10237" i="6" s="1"/>
  <c r="F10230" i="6"/>
  <c r="I10230" i="6" s="1"/>
  <c r="F10220" i="6"/>
  <c r="I10220" i="6" s="1"/>
  <c r="F10199" i="6"/>
  <c r="I10199" i="6" s="1"/>
  <c r="F10198" i="6"/>
  <c r="I10198" i="6" s="1"/>
  <c r="G7856" i="6"/>
  <c r="I7856" i="6" s="1"/>
  <c r="F3198" i="6"/>
  <c r="F7842" i="6"/>
  <c r="F7975" i="6"/>
  <c r="F5789" i="6"/>
  <c r="F8068" i="6"/>
  <c r="F7951" i="6"/>
  <c r="F7816" i="6"/>
  <c r="F7924" i="6"/>
  <c r="F8108" i="6"/>
  <c r="F9767" i="6"/>
  <c r="G8171" i="6"/>
  <c r="I8171" i="6" s="1"/>
  <c r="F8149" i="6"/>
  <c r="F7982" i="6"/>
  <c r="F7977" i="6"/>
  <c r="F7925" i="6"/>
  <c r="I492" i="6"/>
  <c r="F7918" i="6"/>
  <c r="F7892" i="6"/>
  <c r="I496" i="6"/>
  <c r="I497" i="6"/>
  <c r="I498" i="6"/>
  <c r="I499" i="6"/>
  <c r="I500" i="6"/>
  <c r="I501" i="6"/>
  <c r="I502" i="6"/>
  <c r="F4931" i="6"/>
  <c r="I4931" i="6" s="1"/>
  <c r="I4932" i="6"/>
  <c r="F6963" i="6"/>
  <c r="F6883" i="6"/>
  <c r="F6764" i="6"/>
  <c r="F6896" i="6"/>
  <c r="F6881" i="6"/>
  <c r="F4913" i="6"/>
  <c r="F4924" i="6"/>
  <c r="F4926" i="6"/>
  <c r="I4926" i="6" s="1"/>
  <c r="F4920" i="6"/>
  <c r="F4919" i="6"/>
  <c r="F4921" i="6"/>
  <c r="F4918" i="6"/>
  <c r="I4918" i="6" s="1"/>
  <c r="F4994" i="6"/>
  <c r="I4994" i="6" s="1"/>
  <c r="F4992" i="6"/>
  <c r="I4992" i="6" s="1"/>
  <c r="F4995" i="6"/>
  <c r="I4995" i="6" s="1"/>
  <c r="F4976" i="6"/>
  <c r="I4976" i="6" s="1"/>
  <c r="F4963" i="6"/>
  <c r="I4963" i="6" s="1"/>
  <c r="F4966" i="6"/>
  <c r="I4966" i="6" s="1"/>
  <c r="F4958" i="6"/>
  <c r="I4958" i="6" s="1"/>
  <c r="F4981" i="6"/>
  <c r="I4981" i="6" s="1"/>
  <c r="F4980" i="6"/>
  <c r="I4980" i="6" s="1"/>
  <c r="F4969" i="6"/>
  <c r="I4969" i="6" s="1"/>
  <c r="F4961" i="6"/>
  <c r="I4961" i="6" s="1"/>
  <c r="F4959" i="6"/>
  <c r="I4959" i="6" s="1"/>
  <c r="F4960" i="6"/>
  <c r="I4960" i="6" s="1"/>
  <c r="F4962" i="6"/>
  <c r="I4962" i="6" s="1"/>
  <c r="F4975" i="6"/>
  <c r="I4975" i="6" s="1"/>
  <c r="F4953" i="6"/>
  <c r="I4953" i="6" s="1"/>
  <c r="F4948" i="6"/>
  <c r="I4948" i="6" s="1"/>
  <c r="F4952" i="6"/>
  <c r="I4952" i="6" s="1"/>
  <c r="F4946" i="6"/>
  <c r="I4946" i="6" s="1"/>
  <c r="F4951" i="6"/>
  <c r="I4951" i="6" s="1"/>
  <c r="F4936" i="6"/>
  <c r="I4936" i="6" s="1"/>
  <c r="F4938" i="6"/>
  <c r="I4938" i="6" s="1"/>
  <c r="F4927" i="6"/>
  <c r="I4927" i="6" s="1"/>
  <c r="F4934" i="6"/>
  <c r="I4934" i="6" s="1"/>
  <c r="F4933" i="6"/>
  <c r="I4933" i="6" s="1"/>
  <c r="F4937" i="6"/>
  <c r="I4937" i="6" s="1"/>
  <c r="F4935" i="6"/>
  <c r="I4935" i="6" s="1"/>
  <c r="F4940" i="6"/>
  <c r="I4940" i="6" s="1"/>
  <c r="F4947" i="6"/>
  <c r="I4947" i="6" s="1"/>
  <c r="F4941" i="6"/>
  <c r="I4941" i="6" s="1"/>
  <c r="F4954" i="6"/>
  <c r="I4954" i="6" s="1"/>
  <c r="F4949" i="6"/>
  <c r="I4949" i="6" s="1"/>
  <c r="F4943" i="6"/>
  <c r="I4943" i="6" s="1"/>
  <c r="F4939" i="6"/>
  <c r="I4939" i="6" s="1"/>
  <c r="I4603" i="6"/>
  <c r="F4672" i="6"/>
  <c r="I4672" i="6" s="1"/>
  <c r="I9787" i="6"/>
  <c r="H9781" i="6"/>
  <c r="I9781" i="6"/>
  <c r="H9780" i="6"/>
  <c r="I9780" i="6"/>
  <c r="F8677" i="6"/>
  <c r="I9784" i="6"/>
  <c r="H9786" i="6"/>
  <c r="I9786" i="6"/>
  <c r="G162" i="6"/>
  <c r="I162" i="6" s="1"/>
  <c r="G163" i="6"/>
  <c r="I163" i="6" s="1"/>
  <c r="G164" i="6"/>
  <c r="I164" i="6" s="1"/>
  <c r="G161" i="6"/>
  <c r="I161" i="6" s="1"/>
  <c r="G153" i="6"/>
  <c r="I153" i="6" s="1"/>
  <c r="G154" i="6"/>
  <c r="I154" i="6" s="1"/>
  <c r="G155" i="6"/>
  <c r="I155" i="6" s="1"/>
  <c r="G156" i="6"/>
  <c r="I156" i="6" s="1"/>
  <c r="G159" i="6"/>
  <c r="I159" i="6" s="1"/>
  <c r="G158" i="6"/>
  <c r="I158" i="6" s="1"/>
  <c r="G157" i="6"/>
  <c r="I157" i="6" s="1"/>
  <c r="G152" i="6"/>
  <c r="I152" i="6" s="1"/>
  <c r="G151" i="6"/>
  <c r="I151" i="6" s="1"/>
  <c r="G150" i="6"/>
  <c r="I150" i="6" s="1"/>
  <c r="G149" i="6"/>
  <c r="I149" i="6" s="1"/>
  <c r="G148" i="6"/>
  <c r="G147" i="6"/>
  <c r="I147" i="6" s="1"/>
  <c r="G146" i="6"/>
  <c r="I146" i="6" s="1"/>
  <c r="G145" i="6"/>
  <c r="I145" i="6" s="1"/>
  <c r="G144" i="6"/>
  <c r="I144" i="6" s="1"/>
  <c r="F8239" i="6"/>
  <c r="F8854" i="6"/>
  <c r="F8853" i="6"/>
  <c r="F8864" i="6"/>
  <c r="F8863" i="6"/>
  <c r="F8857" i="6"/>
  <c r="F433" i="6"/>
  <c r="I433" i="6" s="1"/>
  <c r="I432" i="6"/>
  <c r="F430" i="6"/>
  <c r="F431" i="6"/>
  <c r="H431" i="6"/>
  <c r="H430" i="6"/>
  <c r="H429" i="6"/>
  <c r="F9212" i="6"/>
  <c r="F123" i="6"/>
  <c r="F121" i="6"/>
  <c r="F139" i="6"/>
  <c r="F137" i="6"/>
  <c r="F138" i="6"/>
  <c r="F134" i="6"/>
  <c r="F133" i="6"/>
  <c r="F136" i="6"/>
  <c r="I9733" i="6"/>
  <c r="F128" i="6"/>
  <c r="F129" i="6"/>
  <c r="F7403" i="6"/>
  <c r="F8158" i="6"/>
  <c r="F119" i="6"/>
  <c r="F9172" i="6"/>
  <c r="F9215" i="6"/>
  <c r="F9173" i="6"/>
  <c r="F9232" i="6"/>
  <c r="G90" i="6"/>
  <c r="I90" i="6" s="1"/>
  <c r="G91" i="6"/>
  <c r="I91" i="6" s="1"/>
  <c r="F9213" i="6"/>
  <c r="F9171" i="6"/>
  <c r="G103" i="6"/>
  <c r="G102" i="6"/>
  <c r="F109" i="6"/>
  <c r="F108" i="6"/>
  <c r="F101" i="6"/>
  <c r="F100" i="6"/>
  <c r="F94" i="6"/>
  <c r="F103" i="6"/>
  <c r="F102" i="6"/>
  <c r="G137" i="6"/>
  <c r="G136" i="6"/>
  <c r="G135" i="6"/>
  <c r="I135" i="6" s="1"/>
  <c r="G134" i="6"/>
  <c r="G133" i="6"/>
  <c r="G132" i="6"/>
  <c r="I132" i="6" s="1"/>
  <c r="G131" i="6"/>
  <c r="I131" i="6" s="1"/>
  <c r="G130" i="6"/>
  <c r="I130" i="6" s="1"/>
  <c r="G129" i="6"/>
  <c r="G128" i="6"/>
  <c r="G127" i="6"/>
  <c r="I127" i="6" s="1"/>
  <c r="G126" i="6"/>
  <c r="I126" i="6" s="1"/>
  <c r="G125" i="6"/>
  <c r="I125" i="6" s="1"/>
  <c r="G124" i="6"/>
  <c r="I124" i="6" s="1"/>
  <c r="G123" i="6"/>
  <c r="G122" i="6"/>
  <c r="G121" i="6"/>
  <c r="G120" i="6"/>
  <c r="G119" i="6"/>
  <c r="I119" i="6" s="1"/>
  <c r="G118" i="6"/>
  <c r="G117" i="6"/>
  <c r="G116" i="6"/>
  <c r="G115" i="6"/>
  <c r="G114" i="6"/>
  <c r="G113" i="6"/>
  <c r="G112" i="6"/>
  <c r="G111" i="6"/>
  <c r="I111" i="6" s="1"/>
  <c r="G110" i="6"/>
  <c r="I110" i="6" s="1"/>
  <c r="G109" i="6"/>
  <c r="G108" i="6"/>
  <c r="G107" i="6"/>
  <c r="I107" i="6" s="1"/>
  <c r="G140" i="6"/>
  <c r="I140" i="6" s="1"/>
  <c r="G139" i="6"/>
  <c r="G138" i="6"/>
  <c r="G92" i="6"/>
  <c r="G93" i="6"/>
  <c r="G94" i="6"/>
  <c r="G95" i="6"/>
  <c r="G96" i="6"/>
  <c r="G97" i="6"/>
  <c r="G98" i="6"/>
  <c r="G99" i="6"/>
  <c r="G100" i="6"/>
  <c r="G101" i="6"/>
  <c r="I101" i="6" s="1"/>
  <c r="G104" i="6"/>
  <c r="I104" i="6" s="1"/>
  <c r="G105" i="6"/>
  <c r="I105" i="6" s="1"/>
  <c r="G106" i="6"/>
  <c r="I106" i="6" s="1"/>
  <c r="F99" i="6"/>
  <c r="F98" i="6"/>
  <c r="F97" i="6"/>
  <c r="F96" i="6"/>
  <c r="F95" i="6"/>
  <c r="F93" i="6"/>
  <c r="F92" i="6"/>
  <c r="F112" i="6"/>
  <c r="F117" i="6"/>
  <c r="F122" i="6"/>
  <c r="F120" i="6"/>
  <c r="F118" i="6"/>
  <c r="F116" i="6"/>
  <c r="F115" i="6"/>
  <c r="F114" i="6"/>
  <c r="F113" i="6"/>
  <c r="F9735" i="6"/>
  <c r="F219" i="6"/>
  <c r="I219" i="6" s="1"/>
  <c r="F217" i="6"/>
  <c r="I217" i="6" s="1"/>
  <c r="F218" i="6"/>
  <c r="I218" i="6" s="1"/>
  <c r="F4991" i="6"/>
  <c r="I4991" i="6" s="1"/>
  <c r="F4965" i="6"/>
  <c r="I4965" i="6" s="1"/>
  <c r="F4970" i="6"/>
  <c r="I4970" i="6" s="1"/>
  <c r="F4977" i="6"/>
  <c r="I4977" i="6" s="1"/>
  <c r="F4982" i="6"/>
  <c r="I4982" i="6" s="1"/>
  <c r="F4987" i="6"/>
  <c r="I4987" i="6" s="1"/>
  <c r="F4990" i="6"/>
  <c r="I4990" i="6" s="1"/>
  <c r="F4925" i="6"/>
  <c r="I4925" i="6" s="1"/>
  <c r="F4972" i="6"/>
  <c r="I4972" i="6" s="1"/>
  <c r="F4989" i="6"/>
  <c r="I4989" i="6" s="1"/>
  <c r="G6883" i="6"/>
  <c r="F6868" i="6"/>
  <c r="I4915" i="6"/>
  <c r="G9807" i="6"/>
  <c r="I9807" i="6" s="1"/>
  <c r="G9808" i="6"/>
  <c r="G9809" i="6"/>
  <c r="I9809" i="6" s="1"/>
  <c r="G9810" i="6"/>
  <c r="I9810" i="6" s="1"/>
  <c r="G9811" i="6"/>
  <c r="I9811" i="6" s="1"/>
  <c r="G9812" i="6"/>
  <c r="I9812" i="6" s="1"/>
  <c r="G9823" i="6"/>
  <c r="G9824" i="6"/>
  <c r="I9824" i="6" s="1"/>
  <c r="G9827" i="6"/>
  <c r="I9827" i="6" s="1"/>
  <c r="G9840" i="6"/>
  <c r="I9840" i="6" s="1"/>
  <c r="G9841" i="6"/>
  <c r="I9841" i="6" s="1"/>
  <c r="G9838" i="6"/>
  <c r="I9838" i="6" s="1"/>
  <c r="G9839" i="6"/>
  <c r="I9839" i="6" s="1"/>
  <c r="G9790" i="6"/>
  <c r="I9790" i="6" s="1"/>
  <c r="G9791" i="6"/>
  <c r="I9791" i="6" s="1"/>
  <c r="G6696" i="6"/>
  <c r="I6696" i="6" s="1"/>
  <c r="G6697" i="6"/>
  <c r="I6697" i="6" s="1"/>
  <c r="F1475" i="6"/>
  <c r="G6720" i="6"/>
  <c r="I6720" i="6" s="1"/>
  <c r="G6719" i="6"/>
  <c r="I6719" i="6" s="1"/>
  <c r="G6718" i="6"/>
  <c r="I6718" i="6" s="1"/>
  <c r="G11144" i="6"/>
  <c r="I11144" i="6" s="1"/>
  <c r="G11143" i="6"/>
  <c r="I11143" i="6" s="1"/>
  <c r="G11142" i="6"/>
  <c r="I11142" i="6" s="1"/>
  <c r="G11141" i="6"/>
  <c r="I11141" i="6" s="1"/>
  <c r="G11140" i="6"/>
  <c r="I11140" i="6" s="1"/>
  <c r="I11145" i="6"/>
  <c r="I11146" i="6"/>
  <c r="G11139" i="6"/>
  <c r="I11139" i="6" s="1"/>
  <c r="G11138" i="6"/>
  <c r="I11138" i="6" s="1"/>
  <c r="G11137" i="6"/>
  <c r="I11137" i="6" s="1"/>
  <c r="G11136" i="6"/>
  <c r="I11136" i="6" s="1"/>
  <c r="G11135" i="6"/>
  <c r="I11135" i="6" s="1"/>
  <c r="G11134" i="6"/>
  <c r="I11134" i="6" s="1"/>
  <c r="G11133" i="6"/>
  <c r="I11133" i="6" s="1"/>
  <c r="G11132" i="6"/>
  <c r="I11132" i="6" s="1"/>
  <c r="G11131" i="6"/>
  <c r="I11131" i="6" s="1"/>
  <c r="G11130" i="6"/>
  <c r="I11130" i="6" s="1"/>
  <c r="G11129" i="6"/>
  <c r="I11129" i="6" s="1"/>
  <c r="G11128" i="6"/>
  <c r="I11128" i="6" s="1"/>
  <c r="G11127" i="6"/>
  <c r="I11127" i="6" s="1"/>
  <c r="G11126" i="6"/>
  <c r="I11126" i="6" s="1"/>
  <c r="G11125" i="6"/>
  <c r="I11125" i="6" s="1"/>
  <c r="G11124" i="6"/>
  <c r="I11124" i="6" s="1"/>
  <c r="G11123" i="6"/>
  <c r="I11123" i="6" s="1"/>
  <c r="G11122" i="6"/>
  <c r="I11122" i="6" s="1"/>
  <c r="G11121" i="6"/>
  <c r="I11121" i="6" s="1"/>
  <c r="G11120" i="6"/>
  <c r="I11120" i="6" s="1"/>
  <c r="G11119" i="6"/>
  <c r="I11119" i="6" s="1"/>
  <c r="G11118" i="6"/>
  <c r="I11118" i="6" s="1"/>
  <c r="G11117" i="6"/>
  <c r="I11117" i="6" s="1"/>
  <c r="G11116" i="6"/>
  <c r="I11116" i="6" s="1"/>
  <c r="G11115" i="6"/>
  <c r="I11115" i="6" s="1"/>
  <c r="G11114" i="6"/>
  <c r="I11114" i="6" s="1"/>
  <c r="G11113" i="6"/>
  <c r="I11113" i="6" s="1"/>
  <c r="G11112" i="6"/>
  <c r="I11112" i="6" s="1"/>
  <c r="G11111" i="6"/>
  <c r="I11111" i="6" s="1"/>
  <c r="I9831" i="6"/>
  <c r="I9832" i="6"/>
  <c r="I9833" i="6"/>
  <c r="I9834" i="6"/>
  <c r="I9817" i="6"/>
  <c r="I9818" i="6"/>
  <c r="I9819" i="6"/>
  <c r="I9820" i="6"/>
  <c r="I9821" i="6"/>
  <c r="I9822" i="6"/>
  <c r="I9801" i="6"/>
  <c r="I9802" i="6"/>
  <c r="I9803" i="6"/>
  <c r="I9789" i="6"/>
  <c r="G11110" i="6"/>
  <c r="I11110" i="6" s="1"/>
  <c r="F1482" i="6"/>
  <c r="G11109" i="6"/>
  <c r="I11109" i="6" s="1"/>
  <c r="G11108" i="6"/>
  <c r="I11108" i="6" s="1"/>
  <c r="G11107" i="6"/>
  <c r="I11107" i="6" s="1"/>
  <c r="G11106" i="6"/>
  <c r="I11106" i="6" s="1"/>
  <c r="G11105" i="6"/>
  <c r="I11105" i="6" s="1"/>
  <c r="G11104" i="6"/>
  <c r="I11104" i="6" s="1"/>
  <c r="G11103" i="6"/>
  <c r="I11103" i="6" s="1"/>
  <c r="G11102" i="6"/>
  <c r="I11102" i="6" s="1"/>
  <c r="G11101" i="6"/>
  <c r="I11101" i="6" s="1"/>
  <c r="G11100" i="6"/>
  <c r="I11100" i="6" s="1"/>
  <c r="G11099" i="6"/>
  <c r="I11099" i="6" s="1"/>
  <c r="G11098" i="6"/>
  <c r="I11098" i="6" s="1"/>
  <c r="G11097" i="6"/>
  <c r="I11097" i="6" s="1"/>
  <c r="G11096" i="6"/>
  <c r="I11096" i="6" s="1"/>
  <c r="G11095" i="6"/>
  <c r="I11095" i="6" s="1"/>
  <c r="F6672" i="6"/>
  <c r="I6672" i="6" s="1"/>
  <c r="G11094" i="6"/>
  <c r="I11094" i="6" s="1"/>
  <c r="G11093" i="6"/>
  <c r="I11093" i="6" s="1"/>
  <c r="F6663" i="6"/>
  <c r="G11092" i="6"/>
  <c r="I11092" i="6" s="1"/>
  <c r="G11091" i="6"/>
  <c r="I11091" i="6" s="1"/>
  <c r="G11090" i="6"/>
  <c r="I11090" i="6" s="1"/>
  <c r="G11089" i="6"/>
  <c r="I11089" i="6" s="1"/>
  <c r="G11088" i="6"/>
  <c r="I11088" i="6" s="1"/>
  <c r="G11087" i="6"/>
  <c r="I11087" i="6" s="1"/>
  <c r="G11086" i="6"/>
  <c r="I11086" i="6" s="1"/>
  <c r="G11085" i="6"/>
  <c r="I11085" i="6" s="1"/>
  <c r="G11084" i="6"/>
  <c r="I11084" i="6" s="1"/>
  <c r="G11083" i="6"/>
  <c r="I11083" i="6" s="1"/>
  <c r="G11082" i="6"/>
  <c r="I11082" i="6" s="1"/>
  <c r="G11081" i="6"/>
  <c r="I11081" i="6" s="1"/>
  <c r="F548" i="6"/>
  <c r="F7895" i="6"/>
  <c r="F7665" i="6"/>
  <c r="F7664" i="6"/>
  <c r="F7676" i="6"/>
  <c r="F7678" i="6"/>
  <c r="F7673" i="6"/>
  <c r="F7670" i="6"/>
  <c r="G6704" i="6"/>
  <c r="I6704" i="6" s="1"/>
  <c r="G6705" i="6"/>
  <c r="I6705" i="6" s="1"/>
  <c r="G6706" i="6"/>
  <c r="I6706" i="6" s="1"/>
  <c r="G6707" i="6"/>
  <c r="I6707" i="6" s="1"/>
  <c r="G6708" i="6"/>
  <c r="I6708" i="6" s="1"/>
  <c r="G6709" i="6"/>
  <c r="I6709" i="6" s="1"/>
  <c r="G6710" i="6"/>
  <c r="I6710" i="6" s="1"/>
  <c r="G577" i="6"/>
  <c r="I577" i="6" s="1"/>
  <c r="G576" i="6"/>
  <c r="I576" i="6" s="1"/>
  <c r="G575" i="6"/>
  <c r="I575" i="6" s="1"/>
  <c r="G574" i="6"/>
  <c r="I574" i="6" s="1"/>
  <c r="G573" i="6"/>
  <c r="I573" i="6" s="1"/>
  <c r="G572" i="6"/>
  <c r="I572" i="6" s="1"/>
  <c r="G571" i="6"/>
  <c r="I571" i="6" s="1"/>
  <c r="G570" i="6"/>
  <c r="I570" i="6" s="1"/>
  <c r="G569" i="6"/>
  <c r="I569" i="6" s="1"/>
  <c r="G10420" i="6"/>
  <c r="I10420" i="6" s="1"/>
  <c r="G10419" i="6"/>
  <c r="I10419" i="6" s="1"/>
  <c r="G10418" i="6"/>
  <c r="I10418" i="6" s="1"/>
  <c r="G10417" i="6"/>
  <c r="I10417" i="6" s="1"/>
  <c r="G10416" i="6"/>
  <c r="I10416" i="6" s="1"/>
  <c r="G10415" i="6"/>
  <c r="I10415" i="6" s="1"/>
  <c r="G10414" i="6"/>
  <c r="I10414" i="6" s="1"/>
  <c r="G10413" i="6"/>
  <c r="I10413" i="6" s="1"/>
  <c r="G10412" i="6"/>
  <c r="I10412" i="6" s="1"/>
  <c r="G10411" i="6"/>
  <c r="I10411" i="6" s="1"/>
  <c r="G10585" i="6"/>
  <c r="I10585" i="6" s="1"/>
  <c r="G10584" i="6"/>
  <c r="I10584" i="6" s="1"/>
  <c r="G10583" i="6"/>
  <c r="I10583" i="6" s="1"/>
  <c r="G10582" i="6"/>
  <c r="I10582" i="6" s="1"/>
  <c r="G10581" i="6"/>
  <c r="I10581" i="6" s="1"/>
  <c r="G10580" i="6"/>
  <c r="I10580" i="6" s="1"/>
  <c r="G10579" i="6"/>
  <c r="I10579" i="6" s="1"/>
  <c r="G10578" i="6"/>
  <c r="I10578" i="6" s="1"/>
  <c r="G10577" i="6"/>
  <c r="I10577" i="6" s="1"/>
  <c r="G10576" i="6"/>
  <c r="I10576" i="6" s="1"/>
  <c r="G10575" i="6"/>
  <c r="I10575" i="6" s="1"/>
  <c r="F9804" i="6"/>
  <c r="I9804" i="6" s="1"/>
  <c r="F9808" i="6"/>
  <c r="F9798" i="6"/>
  <c r="I9798" i="6" s="1"/>
  <c r="F9799" i="6"/>
  <c r="I9799" i="6" s="1"/>
  <c r="F9823" i="6"/>
  <c r="F9800" i="6"/>
  <c r="I9800" i="6" s="1"/>
  <c r="F6712" i="6"/>
  <c r="I6712" i="6" s="1"/>
  <c r="F9813" i="6"/>
  <c r="F6695" i="6"/>
  <c r="F6694" i="6"/>
  <c r="F6687" i="6"/>
  <c r="F6689" i="6"/>
  <c r="F6690" i="6"/>
  <c r="F6680" i="6"/>
  <c r="F6682" i="6"/>
  <c r="F6683" i="6"/>
  <c r="F6679" i="6"/>
  <c r="G10410" i="6"/>
  <c r="I10410" i="6" s="1"/>
  <c r="G10409" i="6"/>
  <c r="I10409" i="6" s="1"/>
  <c r="G10408" i="6"/>
  <c r="I10408" i="6" s="1"/>
  <c r="G10407" i="6"/>
  <c r="I10407" i="6" s="1"/>
  <c r="G10406" i="6"/>
  <c r="I10406" i="6" s="1"/>
  <c r="G10405" i="6"/>
  <c r="I10405" i="6" s="1"/>
  <c r="G10404" i="6"/>
  <c r="I10404" i="6" s="1"/>
  <c r="G10403" i="6"/>
  <c r="I10403" i="6" s="1"/>
  <c r="G10402" i="6"/>
  <c r="I10402" i="6" s="1"/>
  <c r="G10401" i="6"/>
  <c r="I10401" i="6" s="1"/>
  <c r="G10400" i="6"/>
  <c r="I10400" i="6" s="1"/>
  <c r="G10399" i="6"/>
  <c r="I10399" i="6" s="1"/>
  <c r="G10398" i="6"/>
  <c r="I10398" i="6" s="1"/>
  <c r="G10397" i="6"/>
  <c r="I10397" i="6" s="1"/>
  <c r="G10396" i="6"/>
  <c r="I10396" i="6" s="1"/>
  <c r="G10395" i="6"/>
  <c r="I10395" i="6" s="1"/>
  <c r="G10394" i="6"/>
  <c r="I10394" i="6" s="1"/>
  <c r="G10393" i="6"/>
  <c r="I10393" i="6" s="1"/>
  <c r="G10392" i="6"/>
  <c r="I10392" i="6" s="1"/>
  <c r="G10391" i="6"/>
  <c r="I10391" i="6" s="1"/>
  <c r="G10390" i="6"/>
  <c r="I10390" i="6" s="1"/>
  <c r="G10389" i="6"/>
  <c r="I10389" i="6" s="1"/>
  <c r="G10388" i="6"/>
  <c r="I10388" i="6" s="1"/>
  <c r="G10387" i="6"/>
  <c r="I10387" i="6" s="1"/>
  <c r="G10386" i="6"/>
  <c r="I10386" i="6" s="1"/>
  <c r="G10385" i="6"/>
  <c r="I10385" i="6" s="1"/>
  <c r="G10384" i="6"/>
  <c r="I10384" i="6" s="1"/>
  <c r="G10383" i="6"/>
  <c r="I10383" i="6" s="1"/>
  <c r="G10382" i="6"/>
  <c r="I10382" i="6" s="1"/>
  <c r="G10381" i="6"/>
  <c r="I10381" i="6" s="1"/>
  <c r="G10380" i="6"/>
  <c r="I10380" i="6" s="1"/>
  <c r="G10372" i="6"/>
  <c r="I10372" i="6" s="1"/>
  <c r="G10373" i="6"/>
  <c r="I10373" i="6" s="1"/>
  <c r="G10374" i="6"/>
  <c r="I10374" i="6" s="1"/>
  <c r="G10375" i="6"/>
  <c r="I10375" i="6" s="1"/>
  <c r="G10376" i="6"/>
  <c r="I10376" i="6" s="1"/>
  <c r="G10377" i="6"/>
  <c r="I10377" i="6" s="1"/>
  <c r="G10378" i="6"/>
  <c r="I10378" i="6" s="1"/>
  <c r="G10379" i="6"/>
  <c r="I10379" i="6" s="1"/>
  <c r="G10371" i="6"/>
  <c r="I10371" i="6" s="1"/>
  <c r="G10370" i="6"/>
  <c r="I10370" i="6" s="1"/>
  <c r="I474" i="6"/>
  <c r="I473" i="6"/>
  <c r="I472" i="6"/>
  <c r="I471" i="6"/>
  <c r="G9830" i="6"/>
  <c r="I9830" i="6" s="1"/>
  <c r="G9829" i="6"/>
  <c r="I9829" i="6" s="1"/>
  <c r="G9828" i="6"/>
  <c r="I9828" i="6" s="1"/>
  <c r="G9842" i="6"/>
  <c r="G9835" i="6"/>
  <c r="I9835" i="6" s="1"/>
  <c r="G9826" i="6"/>
  <c r="I9826" i="6" s="1"/>
  <c r="G9825" i="6"/>
  <c r="I9825" i="6" s="1"/>
  <c r="G9816" i="6"/>
  <c r="I9816" i="6" s="1"/>
  <c r="G9814" i="6"/>
  <c r="G9795" i="6"/>
  <c r="I9795" i="6" s="1"/>
  <c r="G9796" i="6"/>
  <c r="I9796" i="6" s="1"/>
  <c r="G9797" i="6"/>
  <c r="I9797" i="6" s="1"/>
  <c r="G9792" i="6"/>
  <c r="I9792" i="6" s="1"/>
  <c r="G6713" i="6"/>
  <c r="I6713" i="6" s="1"/>
  <c r="G6714" i="6"/>
  <c r="I6714" i="6" s="1"/>
  <c r="G6715" i="6"/>
  <c r="I6715" i="6" s="1"/>
  <c r="G6716" i="6"/>
  <c r="G6711" i="6"/>
  <c r="I6711" i="6" s="1"/>
  <c r="G6698" i="6"/>
  <c r="I6698" i="6" s="1"/>
  <c r="G6699" i="6"/>
  <c r="I6699" i="6" s="1"/>
  <c r="G6700" i="6"/>
  <c r="I6700" i="6" s="1"/>
  <c r="G6701" i="6"/>
  <c r="I6701" i="6" s="1"/>
  <c r="G6702" i="6"/>
  <c r="I6702" i="6" s="1"/>
  <c r="G6703" i="6"/>
  <c r="I6703" i="6" s="1"/>
  <c r="G6695" i="6"/>
  <c r="G6694" i="6"/>
  <c r="G6693" i="6"/>
  <c r="I6693" i="6" s="1"/>
  <c r="G6692" i="6"/>
  <c r="I6692" i="6" s="1"/>
  <c r="G6691" i="6"/>
  <c r="G6690" i="6"/>
  <c r="G6689" i="6"/>
  <c r="G6688" i="6"/>
  <c r="I6688" i="6" s="1"/>
  <c r="G6687" i="6"/>
  <c r="G6686" i="6"/>
  <c r="I6686" i="6" s="1"/>
  <c r="G6685" i="6"/>
  <c r="I6685" i="6" s="1"/>
  <c r="G6682" i="6"/>
  <c r="G6681" i="6"/>
  <c r="I6681" i="6" s="1"/>
  <c r="G6680" i="6"/>
  <c r="G6676" i="6"/>
  <c r="I6676" i="6" s="1"/>
  <c r="G6674" i="6"/>
  <c r="G6684" i="6"/>
  <c r="I6684" i="6" s="1"/>
  <c r="G6683" i="6"/>
  <c r="G6679" i="6"/>
  <c r="G6675" i="6"/>
  <c r="I6675" i="6" s="1"/>
  <c r="I495" i="6"/>
  <c r="G11159" i="6"/>
  <c r="I11159" i="6" s="1"/>
  <c r="G11160" i="6"/>
  <c r="I11160" i="6" s="1"/>
  <c r="G11161" i="6"/>
  <c r="I11161" i="6" s="1"/>
  <c r="G11162" i="6"/>
  <c r="I11162" i="6" s="1"/>
  <c r="G11163" i="6"/>
  <c r="I11163" i="6" s="1"/>
  <c r="G11164" i="6"/>
  <c r="I11164" i="6" s="1"/>
  <c r="G11165" i="6"/>
  <c r="I11165" i="6" s="1"/>
  <c r="G11166" i="6"/>
  <c r="I11166" i="6" s="1"/>
  <c r="G11168" i="6"/>
  <c r="I11168" i="6" s="1"/>
  <c r="G11169" i="6"/>
  <c r="I11169" i="6" s="1"/>
  <c r="G11170" i="6"/>
  <c r="I11170" i="6" s="1"/>
  <c r="G11171" i="6"/>
  <c r="I11171" i="6" s="1"/>
  <c r="G11172" i="6"/>
  <c r="I11172" i="6" s="1"/>
  <c r="G11158" i="6"/>
  <c r="I11158" i="6" s="1"/>
  <c r="G10182" i="6"/>
  <c r="I10182" i="6" s="1"/>
  <c r="G10181" i="6"/>
  <c r="I10181" i="6" s="1"/>
  <c r="G9746" i="6"/>
  <c r="I9746" i="6" s="1"/>
  <c r="G9745" i="6"/>
  <c r="I9745" i="6" s="1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129" i="6" l="1"/>
  <c r="I128" i="6"/>
  <c r="I138" i="6"/>
  <c r="I118" i="6"/>
  <c r="I134" i="6"/>
  <c r="I103" i="6"/>
  <c r="I93" i="6"/>
  <c r="I109" i="6"/>
  <c r="I123" i="6"/>
  <c r="I95" i="6"/>
  <c r="I94" i="6"/>
  <c r="I113" i="6"/>
  <c r="I114" i="6"/>
  <c r="I139" i="6"/>
  <c r="I117" i="6"/>
  <c r="I100" i="6"/>
  <c r="I99" i="6"/>
  <c r="I108" i="6"/>
  <c r="I120" i="6"/>
  <c r="I98" i="6"/>
  <c r="I121" i="6"/>
  <c r="I133" i="6"/>
  <c r="I102" i="6"/>
  <c r="I97" i="6"/>
  <c r="I122" i="6"/>
  <c r="I96" i="6"/>
  <c r="I112" i="6"/>
  <c r="I136" i="6"/>
  <c r="I137" i="6"/>
  <c r="I92" i="6"/>
  <c r="I115" i="6"/>
  <c r="I116" i="6"/>
  <c r="I148" i="6"/>
  <c r="I431" i="6"/>
  <c r="I430" i="6"/>
  <c r="I429" i="6"/>
  <c r="I6689" i="6"/>
  <c r="I9808" i="6"/>
  <c r="I6682" i="6"/>
  <c r="I6695" i="6"/>
  <c r="I9823" i="6"/>
  <c r="I6694" i="6"/>
  <c r="I6680" i="6"/>
  <c r="I6690" i="6"/>
  <c r="I10348" i="6"/>
  <c r="I10349" i="6"/>
  <c r="G11004" i="6"/>
  <c r="I11004" i="6" s="1"/>
  <c r="G11005" i="6"/>
  <c r="I11005" i="6" s="1"/>
  <c r="G11006" i="6"/>
  <c r="I11006" i="6" s="1"/>
  <c r="G11007" i="6"/>
  <c r="I11007" i="6" s="1"/>
  <c r="G11008" i="6"/>
  <c r="I11008" i="6" s="1"/>
  <c r="G11009" i="6"/>
  <c r="I11009" i="6" s="1"/>
  <c r="G11010" i="6"/>
  <c r="I11010" i="6" s="1"/>
  <c r="G11011" i="6"/>
  <c r="I11011" i="6" s="1"/>
  <c r="G11012" i="6"/>
  <c r="I11012" i="6" s="1"/>
  <c r="G11013" i="6"/>
  <c r="I11013" i="6" s="1"/>
  <c r="G11014" i="6"/>
  <c r="I11014" i="6" s="1"/>
  <c r="G10980" i="6" l="1"/>
  <c r="I10980" i="6" s="1"/>
  <c r="G10981" i="6"/>
  <c r="I10981" i="6" s="1"/>
  <c r="G10982" i="6"/>
  <c r="I10982" i="6" s="1"/>
  <c r="G10983" i="6"/>
  <c r="I10983" i="6" s="1"/>
  <c r="G10984" i="6"/>
  <c r="I10984" i="6" s="1"/>
  <c r="G10985" i="6"/>
  <c r="I10985" i="6" s="1"/>
  <c r="G10986" i="6"/>
  <c r="I10986" i="6" s="1"/>
  <c r="G10987" i="6"/>
  <c r="I10987" i="6" s="1"/>
  <c r="G10988" i="6"/>
  <c r="I10988" i="6" s="1"/>
  <c r="G10989" i="6"/>
  <c r="I10989" i="6" s="1"/>
  <c r="G10991" i="6"/>
  <c r="I10991" i="6" s="1"/>
  <c r="G10992" i="6"/>
  <c r="I10992" i="6" s="1"/>
  <c r="G10993" i="6"/>
  <c r="I10993" i="6" s="1"/>
  <c r="G10994" i="6"/>
  <c r="I10994" i="6" s="1"/>
  <c r="G10995" i="6"/>
  <c r="I10995" i="6" s="1"/>
  <c r="G10996" i="6"/>
  <c r="I10996" i="6" s="1"/>
  <c r="G10997" i="6"/>
  <c r="I10997" i="6" s="1"/>
  <c r="G10998" i="6"/>
  <c r="I10998" i="6" s="1"/>
  <c r="G11000" i="6"/>
  <c r="I11000" i="6" s="1"/>
  <c r="G11001" i="6"/>
  <c r="I11001" i="6" s="1"/>
  <c r="G11002" i="6"/>
  <c r="I11002" i="6" s="1"/>
  <c r="G11003" i="6"/>
  <c r="I11003" i="6" s="1"/>
  <c r="G10574" i="6"/>
  <c r="I10574" i="6" s="1"/>
  <c r="G10573" i="6"/>
  <c r="I10573" i="6" s="1"/>
  <c r="G10572" i="6"/>
  <c r="I10572" i="6" s="1"/>
  <c r="G10571" i="6"/>
  <c r="I10571" i="6" s="1"/>
  <c r="G10570" i="6"/>
  <c r="I10570" i="6" s="1"/>
  <c r="G10569" i="6"/>
  <c r="I10569" i="6" s="1"/>
  <c r="G10568" i="6"/>
  <c r="I10568" i="6" s="1"/>
  <c r="G10567" i="6"/>
  <c r="I10567" i="6" s="1"/>
  <c r="G10566" i="6"/>
  <c r="I10566" i="6" s="1"/>
  <c r="G10565" i="6"/>
  <c r="I10565" i="6" s="1"/>
  <c r="G10564" i="6"/>
  <c r="I10564" i="6" s="1"/>
  <c r="G10563" i="6"/>
  <c r="I10563" i="6" s="1"/>
  <c r="G10562" i="6"/>
  <c r="I10562" i="6" s="1"/>
  <c r="G10561" i="6"/>
  <c r="I10561" i="6" s="1"/>
  <c r="G10560" i="6"/>
  <c r="I10560" i="6" s="1"/>
  <c r="G10559" i="6"/>
  <c r="I10559" i="6" s="1"/>
  <c r="G10558" i="6"/>
  <c r="I10558" i="6" s="1"/>
  <c r="G10557" i="6"/>
  <c r="I10557" i="6" s="1"/>
  <c r="G10556" i="6"/>
  <c r="I10556" i="6" s="1"/>
  <c r="G10555" i="6"/>
  <c r="I10555" i="6" s="1"/>
  <c r="G10554" i="6"/>
  <c r="I10554" i="6" s="1"/>
  <c r="G10553" i="6"/>
  <c r="I10553" i="6" s="1"/>
  <c r="G10552" i="6"/>
  <c r="I10552" i="6" s="1"/>
  <c r="G10551" i="6"/>
  <c r="I10551" i="6" s="1"/>
  <c r="G10550" i="6"/>
  <c r="I10550" i="6" s="1"/>
  <c r="G10549" i="6"/>
  <c r="I10549" i="6" s="1"/>
  <c r="G10548" i="6"/>
  <c r="I10548" i="6" s="1"/>
  <c r="G9959" i="6"/>
  <c r="I9959" i="6" s="1"/>
  <c r="I10342" i="6"/>
  <c r="G10170" i="6"/>
  <c r="I10170" i="6" s="1"/>
  <c r="G10171" i="6"/>
  <c r="I10171" i="6" s="1"/>
  <c r="G10172" i="6"/>
  <c r="I10172" i="6" s="1"/>
  <c r="G10173" i="6"/>
  <c r="I10173" i="6" s="1"/>
  <c r="G10174" i="6"/>
  <c r="I10174" i="6" s="1"/>
  <c r="G10154" i="6"/>
  <c r="I10154" i="6" s="1"/>
  <c r="G10155" i="6"/>
  <c r="I10155" i="6" s="1"/>
  <c r="G10156" i="6"/>
  <c r="I10156" i="6" s="1"/>
  <c r="G10158" i="6"/>
  <c r="I10158" i="6" s="1"/>
  <c r="G10159" i="6"/>
  <c r="I10159" i="6" s="1"/>
  <c r="G10160" i="6"/>
  <c r="I10160" i="6" s="1"/>
  <c r="G10161" i="6"/>
  <c r="I10161" i="6" s="1"/>
  <c r="G10164" i="6"/>
  <c r="I10164" i="6" s="1"/>
  <c r="G10165" i="6"/>
  <c r="I10165" i="6" s="1"/>
  <c r="G10166" i="6"/>
  <c r="I10166" i="6" s="1"/>
  <c r="G10167" i="6"/>
  <c r="I10167" i="6" s="1"/>
  <c r="G10168" i="6"/>
  <c r="I10168" i="6" s="1"/>
  <c r="G10138" i="6"/>
  <c r="I10138" i="6" s="1"/>
  <c r="G10135" i="6"/>
  <c r="I10135" i="6" s="1"/>
  <c r="G10136" i="6"/>
  <c r="I10136" i="6" s="1"/>
  <c r="G10137" i="6"/>
  <c r="I10137" i="6" s="1"/>
  <c r="G10139" i="6"/>
  <c r="I10139" i="6" s="1"/>
  <c r="G10140" i="6"/>
  <c r="I10140" i="6" s="1"/>
  <c r="G10141" i="6"/>
  <c r="I10141" i="6" s="1"/>
  <c r="G10142" i="6"/>
  <c r="I10142" i="6" s="1"/>
  <c r="G10143" i="6"/>
  <c r="I10143" i="6" s="1"/>
  <c r="G10144" i="6"/>
  <c r="I10144" i="6" s="1"/>
  <c r="G10147" i="6"/>
  <c r="I10147" i="6" s="1"/>
  <c r="G10148" i="6"/>
  <c r="I10148" i="6" s="1"/>
  <c r="G10149" i="6"/>
  <c r="I10149" i="6" s="1"/>
  <c r="G10150" i="6"/>
  <c r="I10150" i="6" s="1"/>
  <c r="G10151" i="6"/>
  <c r="I10151" i="6" s="1"/>
  <c r="G10152" i="6"/>
  <c r="I10152" i="6" s="1"/>
  <c r="G10153" i="6"/>
  <c r="I10153" i="6" s="1"/>
  <c r="G10169" i="6"/>
  <c r="I10169" i="6" s="1"/>
  <c r="G10113" i="6"/>
  <c r="I10113" i="6" s="1"/>
  <c r="G10114" i="6"/>
  <c r="I10114" i="6" s="1"/>
  <c r="G10115" i="6"/>
  <c r="I10115" i="6" s="1"/>
  <c r="G10116" i="6"/>
  <c r="I10116" i="6" s="1"/>
  <c r="G10117" i="6"/>
  <c r="I10117" i="6" s="1"/>
  <c r="G10119" i="6"/>
  <c r="I10119" i="6" s="1"/>
  <c r="G10120" i="6"/>
  <c r="I10120" i="6" s="1"/>
  <c r="G10121" i="6"/>
  <c r="I10121" i="6" s="1"/>
  <c r="G10122" i="6"/>
  <c r="I10122" i="6" s="1"/>
  <c r="G10123" i="6"/>
  <c r="I10123" i="6" s="1"/>
  <c r="G10124" i="6"/>
  <c r="I10124" i="6" s="1"/>
  <c r="G10125" i="6"/>
  <c r="I10125" i="6" s="1"/>
  <c r="G10126" i="6"/>
  <c r="I10126" i="6" s="1"/>
  <c r="G10127" i="6"/>
  <c r="I10127" i="6" s="1"/>
  <c r="G10128" i="6"/>
  <c r="I10128" i="6" s="1"/>
  <c r="G10129" i="6"/>
  <c r="I10129" i="6" s="1"/>
  <c r="G10130" i="6"/>
  <c r="I10130" i="6" s="1"/>
  <c r="G10131" i="6"/>
  <c r="I10131" i="6" s="1"/>
  <c r="G10132" i="6"/>
  <c r="I10132" i="6" s="1"/>
  <c r="G10133" i="6"/>
  <c r="I10133" i="6" s="1"/>
  <c r="G10134" i="6"/>
  <c r="I10134" i="6" s="1"/>
  <c r="G10070" i="6"/>
  <c r="I10070" i="6" s="1"/>
  <c r="G10071" i="6"/>
  <c r="I10071" i="6" s="1"/>
  <c r="G10075" i="6"/>
  <c r="I10075" i="6" s="1"/>
  <c r="G10076" i="6"/>
  <c r="I10076" i="6" s="1"/>
  <c r="G10077" i="6"/>
  <c r="I10077" i="6" s="1"/>
  <c r="G10080" i="6"/>
  <c r="I10080" i="6" s="1"/>
  <c r="G10081" i="6"/>
  <c r="I10081" i="6" s="1"/>
  <c r="G10082" i="6"/>
  <c r="I10082" i="6" s="1"/>
  <c r="G10083" i="6"/>
  <c r="I10083" i="6" s="1"/>
  <c r="G10084" i="6"/>
  <c r="I10084" i="6" s="1"/>
  <c r="G10086" i="6"/>
  <c r="I10086" i="6" s="1"/>
  <c r="G10087" i="6"/>
  <c r="I10087" i="6" s="1"/>
  <c r="G10088" i="6"/>
  <c r="I10088" i="6" s="1"/>
  <c r="G10089" i="6"/>
  <c r="I10089" i="6" s="1"/>
  <c r="G10090" i="6"/>
  <c r="I10090" i="6" s="1"/>
  <c r="G10091" i="6"/>
  <c r="I10091" i="6" s="1"/>
  <c r="G10092" i="6"/>
  <c r="I10092" i="6" s="1"/>
  <c r="G10093" i="6"/>
  <c r="I10093" i="6" s="1"/>
  <c r="G10094" i="6"/>
  <c r="I10094" i="6" s="1"/>
  <c r="G10095" i="6"/>
  <c r="I10095" i="6" s="1"/>
  <c r="G10096" i="6"/>
  <c r="I10096" i="6" s="1"/>
  <c r="G10097" i="6"/>
  <c r="I10097" i="6" s="1"/>
  <c r="G10098" i="6"/>
  <c r="I10098" i="6" s="1"/>
  <c r="G10101" i="6"/>
  <c r="I10101" i="6" s="1"/>
  <c r="G10103" i="6"/>
  <c r="I10103" i="6" s="1"/>
  <c r="G10104" i="6"/>
  <c r="I10104" i="6" s="1"/>
  <c r="G10105" i="6"/>
  <c r="I10105" i="6" s="1"/>
  <c r="G10106" i="6"/>
  <c r="I10106" i="6" s="1"/>
  <c r="G10107" i="6"/>
  <c r="I10107" i="6" s="1"/>
  <c r="G10108" i="6"/>
  <c r="I10108" i="6" s="1"/>
  <c r="G10109" i="6"/>
  <c r="I10109" i="6" s="1"/>
  <c r="G10110" i="6"/>
  <c r="I10110" i="6" s="1"/>
  <c r="G10111" i="6"/>
  <c r="I10111" i="6" s="1"/>
  <c r="G10112" i="6"/>
  <c r="I10112" i="6" s="1"/>
  <c r="G10069" i="6"/>
  <c r="I10069" i="6" s="1"/>
  <c r="I6671" i="6"/>
  <c r="I6670" i="6"/>
  <c r="G9958" i="6"/>
  <c r="I9958" i="6" s="1"/>
  <c r="I9766" i="6"/>
  <c r="I9767" i="6"/>
  <c r="I9768" i="6"/>
  <c r="G9719" i="6"/>
  <c r="I9719" i="6" s="1"/>
  <c r="G9718" i="6"/>
  <c r="I9718" i="6" s="1"/>
  <c r="G9717" i="6"/>
  <c r="I9717" i="6" s="1"/>
  <c r="G9716" i="6"/>
  <c r="I9716" i="6" s="1"/>
  <c r="G9715" i="6"/>
  <c r="I9715" i="6" s="1"/>
  <c r="G9714" i="6"/>
  <c r="I9714" i="6" s="1"/>
  <c r="G9713" i="6"/>
  <c r="I9713" i="6" s="1"/>
  <c r="G9712" i="6"/>
  <c r="I9712" i="6" s="1"/>
  <c r="G9711" i="6"/>
  <c r="I9711" i="6" s="1"/>
  <c r="G9710" i="6"/>
  <c r="I9710" i="6" s="1"/>
  <c r="G9709" i="6"/>
  <c r="I9709" i="6" s="1"/>
  <c r="G9708" i="6"/>
  <c r="I9708" i="6" s="1"/>
  <c r="G9707" i="6"/>
  <c r="I9707" i="6" s="1"/>
  <c r="G9706" i="6"/>
  <c r="I9706" i="6" s="1"/>
  <c r="G9705" i="6"/>
  <c r="I9705" i="6" s="1"/>
  <c r="G9704" i="6"/>
  <c r="I9704" i="6" s="1"/>
  <c r="I6736" i="6"/>
  <c r="I4917" i="6"/>
  <c r="I4914" i="6"/>
  <c r="I4912" i="6"/>
  <c r="I4164" i="6"/>
  <c r="I4163" i="6"/>
  <c r="I4162" i="6"/>
  <c r="I6669" i="6" l="1"/>
  <c r="I46" i="6"/>
  <c r="I45" i="6"/>
  <c r="I44" i="6"/>
  <c r="I43" i="6" l="1"/>
  <c r="I42" i="6"/>
  <c r="I41" i="6"/>
  <c r="I40" i="6"/>
  <c r="I39" i="6"/>
  <c r="I38" i="6"/>
  <c r="I37" i="6"/>
  <c r="I36" i="6"/>
  <c r="I35" i="6"/>
  <c r="G547" i="6"/>
  <c r="I547" i="6" s="1"/>
  <c r="G548" i="6"/>
  <c r="I548" i="6" s="1"/>
  <c r="G549" i="6"/>
  <c r="I549" i="6" s="1"/>
  <c r="G550" i="6"/>
  <c r="I550" i="6" s="1"/>
  <c r="G551" i="6"/>
  <c r="I551" i="6" s="1"/>
  <c r="G552" i="6"/>
  <c r="I552" i="6" s="1"/>
  <c r="G553" i="6"/>
  <c r="I553" i="6" s="1"/>
  <c r="G555" i="6"/>
  <c r="I555" i="6" s="1"/>
  <c r="G556" i="6"/>
  <c r="I556" i="6" s="1"/>
  <c r="G557" i="6"/>
  <c r="I557" i="6" s="1"/>
  <c r="G558" i="6"/>
  <c r="I558" i="6" s="1"/>
  <c r="G559" i="6"/>
  <c r="I559" i="6" s="1"/>
  <c r="G560" i="6"/>
  <c r="I560" i="6" s="1"/>
  <c r="G561" i="6"/>
  <c r="I561" i="6" s="1"/>
  <c r="G562" i="6"/>
  <c r="I562" i="6" s="1"/>
  <c r="G563" i="6"/>
  <c r="I563" i="6" s="1"/>
  <c r="G564" i="6"/>
  <c r="I564" i="6" s="1"/>
  <c r="G565" i="6"/>
  <c r="I565" i="6" s="1"/>
  <c r="G566" i="6"/>
  <c r="I566" i="6" s="1"/>
  <c r="G567" i="6"/>
  <c r="I567" i="6" s="1"/>
  <c r="G568" i="6"/>
  <c r="I568" i="6" s="1"/>
  <c r="G546" i="6"/>
  <c r="I546" i="6" s="1"/>
  <c r="I10659" i="6"/>
  <c r="I10658" i="6"/>
  <c r="I10068" i="6"/>
  <c r="I10067" i="6"/>
  <c r="I10066" i="6"/>
  <c r="I10065" i="6"/>
  <c r="I10064" i="6"/>
  <c r="I10063" i="6"/>
  <c r="I10062" i="6"/>
  <c r="I10061" i="6"/>
  <c r="I10060" i="6"/>
  <c r="I10059" i="6"/>
  <c r="I10058" i="6"/>
  <c r="I10057" i="6"/>
  <c r="I10056" i="6"/>
  <c r="I10055" i="6"/>
  <c r="I10054" i="6"/>
  <c r="I10053" i="6"/>
  <c r="I10052" i="6"/>
  <c r="I10051" i="6"/>
  <c r="I10050" i="6"/>
  <c r="I5000" i="6"/>
  <c r="I4999" i="6"/>
  <c r="I4998" i="6"/>
  <c r="I4997" i="6"/>
  <c r="I4996" i="6"/>
  <c r="I512" i="6"/>
  <c r="I511" i="6"/>
  <c r="I510" i="6"/>
  <c r="I470" i="6"/>
  <c r="I469" i="6"/>
  <c r="I468" i="6"/>
  <c r="I467" i="6"/>
  <c r="G9957" i="6"/>
  <c r="I9957" i="6" s="1"/>
  <c r="G9956" i="6"/>
  <c r="I9956" i="6" s="1"/>
  <c r="G9978" i="6"/>
  <c r="I9978" i="6" s="1"/>
  <c r="G10033" i="6"/>
  <c r="I10033" i="6" s="1"/>
  <c r="I9777" i="6"/>
  <c r="I9778" i="6"/>
  <c r="I9779" i="6"/>
  <c r="I9782" i="6"/>
  <c r="I9783" i="6"/>
  <c r="I9785" i="6"/>
  <c r="I9772" i="6"/>
  <c r="G10032" i="6" l="1"/>
  <c r="I10032" i="6" s="1"/>
  <c r="G10031" i="6"/>
  <c r="I10031" i="6" s="1"/>
  <c r="G10030" i="6"/>
  <c r="I10030" i="6" s="1"/>
  <c r="G10029" i="6"/>
  <c r="I10029" i="6" s="1"/>
  <c r="G10028" i="6"/>
  <c r="I10028" i="6" s="1"/>
  <c r="G10027" i="6"/>
  <c r="I10027" i="6" s="1"/>
  <c r="G10026" i="6"/>
  <c r="I10026" i="6" s="1"/>
  <c r="G10025" i="6"/>
  <c r="I10025" i="6" s="1"/>
  <c r="G10024" i="6"/>
  <c r="I10024" i="6" s="1"/>
  <c r="G10023" i="6"/>
  <c r="I10023" i="6" s="1"/>
  <c r="G10022" i="6"/>
  <c r="I10022" i="6" s="1"/>
  <c r="G10021" i="6"/>
  <c r="I10021" i="6" s="1"/>
  <c r="G10020" i="6"/>
  <c r="I10020" i="6" s="1"/>
  <c r="G10019" i="6"/>
  <c r="I10019" i="6" s="1"/>
  <c r="G10018" i="6"/>
  <c r="I10018" i="6" s="1"/>
  <c r="G10017" i="6"/>
  <c r="I10017" i="6" s="1"/>
  <c r="G10016" i="6"/>
  <c r="I10016" i="6" s="1"/>
  <c r="G10015" i="6"/>
  <c r="I10015" i="6" s="1"/>
  <c r="G10014" i="6"/>
  <c r="I10014" i="6" s="1"/>
  <c r="G10013" i="6"/>
  <c r="I10013" i="6" s="1"/>
  <c r="G10012" i="6"/>
  <c r="I10012" i="6" s="1"/>
  <c r="G10010" i="6"/>
  <c r="I10010" i="6" s="1"/>
  <c r="G10008" i="6"/>
  <c r="I10008" i="6" s="1"/>
  <c r="G10007" i="6"/>
  <c r="I10007" i="6" s="1"/>
  <c r="I9842" i="6"/>
  <c r="G10006" i="6"/>
  <c r="I10006" i="6" s="1"/>
  <c r="G10005" i="6"/>
  <c r="I10005" i="6" s="1"/>
  <c r="G10004" i="6"/>
  <c r="I10004" i="6" s="1"/>
  <c r="I485" i="6"/>
  <c r="I486" i="6"/>
  <c r="I487" i="6"/>
  <c r="I488" i="6"/>
  <c r="I489" i="6"/>
  <c r="I490" i="6"/>
  <c r="I491" i="6"/>
  <c r="I493" i="6"/>
  <c r="I494" i="6"/>
  <c r="G10003" i="6"/>
  <c r="I10003" i="6" s="1"/>
  <c r="G10002" i="6"/>
  <c r="I10002" i="6" s="1"/>
  <c r="G10001" i="6"/>
  <c r="I10001" i="6" s="1"/>
  <c r="G10000" i="6"/>
  <c r="I10000" i="6" s="1"/>
  <c r="G9999" i="6"/>
  <c r="I9999" i="6" s="1"/>
  <c r="G9837" i="6"/>
  <c r="I9837" i="6" s="1"/>
  <c r="G9836" i="6"/>
  <c r="I9836" i="6" s="1"/>
  <c r="G9815" i="6"/>
  <c r="I9815" i="6" s="1"/>
  <c r="I9814" i="6"/>
  <c r="G9794" i="6"/>
  <c r="I9794" i="6" s="1"/>
  <c r="I9805" i="6"/>
  <c r="G9806" i="6"/>
  <c r="I9806" i="6" s="1"/>
  <c r="G9813" i="6"/>
  <c r="I9813" i="6" s="1"/>
  <c r="G9793" i="6"/>
  <c r="I9793" i="6" s="1"/>
  <c r="G9998" i="6"/>
  <c r="I9998" i="6" s="1"/>
  <c r="G9997" i="6"/>
  <c r="I9997" i="6" s="1"/>
  <c r="G9996" i="6"/>
  <c r="I9996" i="6" s="1"/>
  <c r="I6683" i="6"/>
  <c r="I6687" i="6"/>
  <c r="I6691" i="6"/>
  <c r="I6716" i="6"/>
  <c r="I6679" i="6"/>
  <c r="I6674" i="6"/>
  <c r="G9995" i="6"/>
  <c r="I9995" i="6" s="1"/>
  <c r="G9994" i="6"/>
  <c r="I9994" i="6" s="1"/>
  <c r="G9993" i="6"/>
  <c r="I9993" i="6" s="1"/>
  <c r="G9992" i="6"/>
  <c r="I9992" i="6" s="1"/>
  <c r="G9990" i="6"/>
  <c r="I9990" i="6" s="1"/>
  <c r="G9989" i="6"/>
  <c r="I9989" i="6" s="1"/>
  <c r="G9988" i="6"/>
  <c r="I9988" i="6" s="1"/>
  <c r="G9987" i="6"/>
  <c r="I9987" i="6" s="1"/>
  <c r="G9986" i="6"/>
  <c r="I9986" i="6" s="1"/>
  <c r="G9973" i="6"/>
  <c r="I9973" i="6" s="1"/>
  <c r="G9975" i="6"/>
  <c r="I9975" i="6" s="1"/>
  <c r="G9982" i="6"/>
  <c r="I9982" i="6" s="1"/>
  <c r="G9983" i="6"/>
  <c r="I9983" i="6" s="1"/>
  <c r="G9984" i="6"/>
  <c r="I9984" i="6" s="1"/>
  <c r="G9985" i="6"/>
  <c r="I9985" i="6" s="1"/>
  <c r="G9966" i="6"/>
  <c r="I9966" i="6" s="1"/>
  <c r="I165" i="6"/>
  <c r="G11072" i="6" l="1"/>
  <c r="I11072" i="6" s="1"/>
  <c r="G11073" i="6"/>
  <c r="I11073" i="6" s="1"/>
  <c r="G11074" i="6"/>
  <c r="I11074" i="6" s="1"/>
  <c r="G11075" i="6"/>
  <c r="G11076" i="6"/>
  <c r="G11077" i="6"/>
  <c r="G11078" i="6"/>
  <c r="G11079" i="6"/>
  <c r="G11080" i="6"/>
  <c r="G11017" i="6"/>
  <c r="I11017" i="6" s="1"/>
  <c r="G11018" i="6"/>
  <c r="I11018" i="6" s="1"/>
  <c r="G11019" i="6"/>
  <c r="I11019" i="6" s="1"/>
  <c r="G11020" i="6"/>
  <c r="I11020" i="6" s="1"/>
  <c r="G11021" i="6"/>
  <c r="I11021" i="6" s="1"/>
  <c r="G11022" i="6"/>
  <c r="I11022" i="6" s="1"/>
  <c r="G11023" i="6"/>
  <c r="I11023" i="6" s="1"/>
  <c r="G11024" i="6"/>
  <c r="I11024" i="6" s="1"/>
  <c r="G11025" i="6"/>
  <c r="I11025" i="6" s="1"/>
  <c r="G11026" i="6"/>
  <c r="I11026" i="6" s="1"/>
  <c r="G11027" i="6"/>
  <c r="I11027" i="6" s="1"/>
  <c r="G11028" i="6"/>
  <c r="I11028" i="6" s="1"/>
  <c r="G11029" i="6"/>
  <c r="I11029" i="6" s="1"/>
  <c r="G11030" i="6"/>
  <c r="I11030" i="6" s="1"/>
  <c r="G11031" i="6"/>
  <c r="I11031" i="6" s="1"/>
  <c r="G11032" i="6"/>
  <c r="I11032" i="6" s="1"/>
  <c r="G11033" i="6"/>
  <c r="I11033" i="6" s="1"/>
  <c r="G11034" i="6"/>
  <c r="I11034" i="6" s="1"/>
  <c r="G11035" i="6"/>
  <c r="I11035" i="6" s="1"/>
  <c r="G11036" i="6"/>
  <c r="I11036" i="6" s="1"/>
  <c r="G11038" i="6"/>
  <c r="I11038" i="6" s="1"/>
  <c r="G11039" i="6"/>
  <c r="I11039" i="6" s="1"/>
  <c r="G11040" i="6"/>
  <c r="I11040" i="6" s="1"/>
  <c r="G11041" i="6"/>
  <c r="I11041" i="6" s="1"/>
  <c r="G11042" i="6"/>
  <c r="I11042" i="6" s="1"/>
  <c r="G11044" i="6"/>
  <c r="I11044" i="6" s="1"/>
  <c r="G11045" i="6"/>
  <c r="I11045" i="6" s="1"/>
  <c r="G11046" i="6"/>
  <c r="I11046" i="6" s="1"/>
  <c r="G11047" i="6"/>
  <c r="I11047" i="6" s="1"/>
  <c r="G11048" i="6"/>
  <c r="I11048" i="6" s="1"/>
  <c r="G11049" i="6"/>
  <c r="I11049" i="6" s="1"/>
  <c r="G11050" i="6"/>
  <c r="I11050" i="6" s="1"/>
  <c r="G11051" i="6"/>
  <c r="I11051" i="6" s="1"/>
  <c r="G11052" i="6"/>
  <c r="I11052" i="6" s="1"/>
  <c r="G11053" i="6"/>
  <c r="I11053" i="6" s="1"/>
  <c r="G11054" i="6"/>
  <c r="I11054" i="6" s="1"/>
  <c r="G11055" i="6"/>
  <c r="I11055" i="6" s="1"/>
  <c r="G11056" i="6"/>
  <c r="I11056" i="6" s="1"/>
  <c r="G11057" i="6"/>
  <c r="I11057" i="6" s="1"/>
  <c r="G11058" i="6"/>
  <c r="I11058" i="6" s="1"/>
  <c r="G11059" i="6"/>
  <c r="I11059" i="6" s="1"/>
  <c r="G11060" i="6"/>
  <c r="I11060" i="6" s="1"/>
  <c r="G11061" i="6"/>
  <c r="I11061" i="6" s="1"/>
  <c r="G11062" i="6"/>
  <c r="I11062" i="6" s="1"/>
  <c r="G11063" i="6"/>
  <c r="I11063" i="6" s="1"/>
  <c r="G11064" i="6"/>
  <c r="I11064" i="6" s="1"/>
  <c r="G11065" i="6"/>
  <c r="I11065" i="6" s="1"/>
  <c r="G11066" i="6"/>
  <c r="I11066" i="6" s="1"/>
  <c r="G11067" i="6"/>
  <c r="I11067" i="6" s="1"/>
  <c r="G11068" i="6"/>
  <c r="I11068" i="6" s="1"/>
  <c r="G11069" i="6"/>
  <c r="I11069" i="6" s="1"/>
  <c r="G11070" i="6"/>
  <c r="I11070" i="6" s="1"/>
  <c r="G11071" i="6"/>
  <c r="I11071" i="6" s="1"/>
  <c r="G11016" i="6"/>
  <c r="I11016" i="6" s="1"/>
  <c r="G10965" i="6"/>
  <c r="G10966" i="6"/>
  <c r="G10967" i="6"/>
  <c r="G10970" i="6"/>
  <c r="G10971" i="6"/>
  <c r="G10972" i="6"/>
  <c r="G10973" i="6"/>
  <c r="G10974" i="6"/>
  <c r="I10974" i="6" s="1"/>
  <c r="G10975" i="6"/>
  <c r="I10975" i="6" s="1"/>
  <c r="G10976" i="6"/>
  <c r="I10976" i="6" s="1"/>
  <c r="G10977" i="6"/>
  <c r="I10977" i="6" s="1"/>
  <c r="G10978" i="6"/>
  <c r="I10978" i="6" s="1"/>
  <c r="G10979" i="6"/>
  <c r="I10979" i="6" s="1"/>
  <c r="I11015" i="6"/>
  <c r="G10915" i="6"/>
  <c r="G10916" i="6"/>
  <c r="G10917" i="6"/>
  <c r="G10918" i="6"/>
  <c r="G10919" i="6"/>
  <c r="G10920" i="6"/>
  <c r="I10920" i="6" s="1"/>
  <c r="G10921" i="6"/>
  <c r="I10921" i="6" s="1"/>
  <c r="G10922" i="6"/>
  <c r="I10922" i="6" s="1"/>
  <c r="G10923" i="6"/>
  <c r="I10923" i="6" s="1"/>
  <c r="G10924" i="6"/>
  <c r="I10924" i="6" s="1"/>
  <c r="G10925" i="6"/>
  <c r="I10925" i="6" s="1"/>
  <c r="G10926" i="6"/>
  <c r="I10926" i="6" s="1"/>
  <c r="G10927" i="6"/>
  <c r="I10927" i="6" s="1"/>
  <c r="G10928" i="6"/>
  <c r="I10928" i="6" s="1"/>
  <c r="G10929" i="6"/>
  <c r="I10929" i="6" s="1"/>
  <c r="G10930" i="6"/>
  <c r="I10930" i="6" s="1"/>
  <c r="G10931" i="6"/>
  <c r="I10931" i="6" s="1"/>
  <c r="G10932" i="6"/>
  <c r="I10932" i="6" s="1"/>
  <c r="G10933" i="6"/>
  <c r="I10933" i="6" s="1"/>
  <c r="G10934" i="6"/>
  <c r="I10934" i="6" s="1"/>
  <c r="G10935" i="6"/>
  <c r="I10935" i="6" s="1"/>
  <c r="G10936" i="6"/>
  <c r="I10936" i="6" s="1"/>
  <c r="G10937" i="6"/>
  <c r="I10937" i="6" s="1"/>
  <c r="G10938" i="6"/>
  <c r="I10938" i="6" s="1"/>
  <c r="G10939" i="6"/>
  <c r="I10939" i="6" s="1"/>
  <c r="G10940" i="6"/>
  <c r="I10940" i="6" s="1"/>
  <c r="G10941" i="6"/>
  <c r="I10941" i="6" s="1"/>
  <c r="G10942" i="6"/>
  <c r="I10942" i="6" s="1"/>
  <c r="G10943" i="6"/>
  <c r="I10943" i="6" s="1"/>
  <c r="G10944" i="6"/>
  <c r="I10944" i="6" s="1"/>
  <c r="G10945" i="6"/>
  <c r="I10945" i="6" s="1"/>
  <c r="G10946" i="6"/>
  <c r="I10946" i="6" s="1"/>
  <c r="G10947" i="6"/>
  <c r="I10947" i="6" s="1"/>
  <c r="G10948" i="6"/>
  <c r="I10948" i="6" s="1"/>
  <c r="G10951" i="6"/>
  <c r="I10951" i="6" s="1"/>
  <c r="G10952" i="6"/>
  <c r="I10952" i="6" s="1"/>
  <c r="G10953" i="6"/>
  <c r="I10953" i="6" s="1"/>
  <c r="G10954" i="6"/>
  <c r="I10954" i="6" s="1"/>
  <c r="G10955" i="6"/>
  <c r="I10955" i="6" s="1"/>
  <c r="G10957" i="6"/>
  <c r="I10957" i="6" s="1"/>
  <c r="G10958" i="6"/>
  <c r="I10958" i="6" s="1"/>
  <c r="G10959" i="6"/>
  <c r="G10960" i="6"/>
  <c r="G10961" i="6"/>
  <c r="G10962" i="6"/>
  <c r="G10963" i="6"/>
  <c r="G10964" i="6"/>
  <c r="G10914" i="6"/>
  <c r="G10863" i="6"/>
  <c r="G10864" i="6"/>
  <c r="G10865" i="6"/>
  <c r="G10866" i="6"/>
  <c r="G10867" i="6"/>
  <c r="G10868" i="6"/>
  <c r="G10869" i="6"/>
  <c r="G10870" i="6"/>
  <c r="I10870" i="6" s="1"/>
  <c r="G10871" i="6"/>
  <c r="I10871" i="6" s="1"/>
  <c r="G10872" i="6"/>
  <c r="I10872" i="6" s="1"/>
  <c r="G10873" i="6"/>
  <c r="I10873" i="6" s="1"/>
  <c r="G10874" i="6"/>
  <c r="I10874" i="6" s="1"/>
  <c r="G10875" i="6"/>
  <c r="I10875" i="6" s="1"/>
  <c r="G10876" i="6"/>
  <c r="I10876" i="6" s="1"/>
  <c r="G10877" i="6"/>
  <c r="I10877" i="6" s="1"/>
  <c r="G10878" i="6"/>
  <c r="I10878" i="6" s="1"/>
  <c r="G10879" i="6"/>
  <c r="I10879" i="6" s="1"/>
  <c r="G10880" i="6"/>
  <c r="I10880" i="6" s="1"/>
  <c r="G10881" i="6"/>
  <c r="I10881" i="6" s="1"/>
  <c r="G10882" i="6"/>
  <c r="I10882" i="6" s="1"/>
  <c r="G10883" i="6"/>
  <c r="I10883" i="6" s="1"/>
  <c r="G10884" i="6"/>
  <c r="I10884" i="6" s="1"/>
  <c r="G10885" i="6"/>
  <c r="I10885" i="6" s="1"/>
  <c r="G10886" i="6"/>
  <c r="I10886" i="6" s="1"/>
  <c r="G10887" i="6"/>
  <c r="I10887" i="6" s="1"/>
  <c r="G10888" i="6"/>
  <c r="I10888" i="6" s="1"/>
  <c r="G10889" i="6"/>
  <c r="I10889" i="6" s="1"/>
  <c r="G10890" i="6"/>
  <c r="I10890" i="6" s="1"/>
  <c r="G10891" i="6"/>
  <c r="I10891" i="6" s="1"/>
  <c r="G10892" i="6"/>
  <c r="I10892" i="6" s="1"/>
  <c r="G10893" i="6"/>
  <c r="I10893" i="6" s="1"/>
  <c r="G10894" i="6"/>
  <c r="I10894" i="6" s="1"/>
  <c r="G10895" i="6"/>
  <c r="I10895" i="6" s="1"/>
  <c r="G10896" i="6"/>
  <c r="I10896" i="6" s="1"/>
  <c r="G10897" i="6"/>
  <c r="I10897" i="6" s="1"/>
  <c r="G10898" i="6"/>
  <c r="I10898" i="6" s="1"/>
  <c r="G10899" i="6"/>
  <c r="I10899" i="6" s="1"/>
  <c r="G10901" i="6"/>
  <c r="I10901" i="6" s="1"/>
  <c r="G10902" i="6"/>
  <c r="I10902" i="6" s="1"/>
  <c r="G10903" i="6"/>
  <c r="I10903" i="6" s="1"/>
  <c r="G10904" i="6"/>
  <c r="I10904" i="6" s="1"/>
  <c r="G10905" i="6"/>
  <c r="I10905" i="6" s="1"/>
  <c r="G10906" i="6"/>
  <c r="G10907" i="6"/>
  <c r="G10908" i="6"/>
  <c r="G10909" i="6"/>
  <c r="G10910" i="6"/>
  <c r="G10911" i="6"/>
  <c r="G10912" i="6"/>
  <c r="G10913" i="6"/>
  <c r="G10862" i="6"/>
  <c r="I10862" i="6" s="1"/>
  <c r="G10825" i="6"/>
  <c r="I10825" i="6" s="1"/>
  <c r="G10832" i="6"/>
  <c r="I10832" i="6" s="1"/>
  <c r="G10842" i="6"/>
  <c r="I10842" i="6" s="1"/>
  <c r="G10843" i="6"/>
  <c r="I10843" i="6" s="1"/>
  <c r="G10816" i="6"/>
  <c r="G10817" i="6"/>
  <c r="G10818" i="6"/>
  <c r="G10819" i="6"/>
  <c r="G10820" i="6"/>
  <c r="G10821" i="6"/>
  <c r="G10822" i="6"/>
  <c r="I10822" i="6" s="1"/>
  <c r="G10823" i="6"/>
  <c r="I10823" i="6" s="1"/>
  <c r="G10824" i="6"/>
  <c r="I10824" i="6" s="1"/>
  <c r="G10826" i="6"/>
  <c r="I10826" i="6" s="1"/>
  <c r="G10827" i="6"/>
  <c r="I10827" i="6" s="1"/>
  <c r="G10829" i="6"/>
  <c r="I10829" i="6" s="1"/>
  <c r="G10830" i="6"/>
  <c r="I10830" i="6" s="1"/>
  <c r="G10831" i="6"/>
  <c r="I10831" i="6" s="1"/>
  <c r="G10833" i="6"/>
  <c r="I10833" i="6" s="1"/>
  <c r="G10834" i="6"/>
  <c r="I10834" i="6" s="1"/>
  <c r="G10835" i="6"/>
  <c r="I10835" i="6" s="1"/>
  <c r="G10836" i="6"/>
  <c r="I10836" i="6" s="1"/>
  <c r="G10837" i="6"/>
  <c r="I10837" i="6" s="1"/>
  <c r="G10838" i="6"/>
  <c r="I10838" i="6" s="1"/>
  <c r="G10839" i="6"/>
  <c r="I10839" i="6" s="1"/>
  <c r="G10840" i="6"/>
  <c r="I10840" i="6" s="1"/>
  <c r="G10841" i="6"/>
  <c r="I10841" i="6" s="1"/>
  <c r="G10845" i="6"/>
  <c r="I10845" i="6" s="1"/>
  <c r="G10846" i="6"/>
  <c r="I10846" i="6" s="1"/>
  <c r="G10847" i="6"/>
  <c r="I10847" i="6" s="1"/>
  <c r="G10848" i="6"/>
  <c r="I10848" i="6" s="1"/>
  <c r="G10849" i="6"/>
  <c r="I10849" i="6" s="1"/>
  <c r="G10850" i="6"/>
  <c r="I10850" i="6" s="1"/>
  <c r="G10851" i="6"/>
  <c r="I10851" i="6" s="1"/>
  <c r="G10852" i="6"/>
  <c r="I10852" i="6" s="1"/>
  <c r="G10853" i="6"/>
  <c r="I10853" i="6" s="1"/>
  <c r="G10854" i="6"/>
  <c r="I10854" i="6" s="1"/>
  <c r="G10855" i="6"/>
  <c r="G10856" i="6"/>
  <c r="G10857" i="6"/>
  <c r="G10858" i="6"/>
  <c r="G10859" i="6"/>
  <c r="G10860" i="6"/>
  <c r="G10861" i="6"/>
  <c r="G10815" i="6" l="1"/>
  <c r="I10815" i="6" s="1"/>
  <c r="G10766" i="6"/>
  <c r="I10766" i="6" s="1"/>
  <c r="G10767" i="6"/>
  <c r="I10767" i="6" s="1"/>
  <c r="G10768" i="6"/>
  <c r="I10768" i="6" s="1"/>
  <c r="G10769" i="6"/>
  <c r="I10769" i="6" s="1"/>
  <c r="G10770" i="6"/>
  <c r="I10770" i="6" s="1"/>
  <c r="G10771" i="6"/>
  <c r="I10771" i="6" s="1"/>
  <c r="G10772" i="6"/>
  <c r="I10772" i="6" s="1"/>
  <c r="G10773" i="6"/>
  <c r="I10773" i="6" s="1"/>
  <c r="G10774" i="6"/>
  <c r="I10774" i="6" s="1"/>
  <c r="G10775" i="6"/>
  <c r="I10775" i="6" s="1"/>
  <c r="G10776" i="6"/>
  <c r="I10776" i="6" s="1"/>
  <c r="G10777" i="6"/>
  <c r="I10777" i="6" s="1"/>
  <c r="G10778" i="6"/>
  <c r="I10778" i="6" s="1"/>
  <c r="G10779" i="6"/>
  <c r="I10779" i="6" s="1"/>
  <c r="G10780" i="6"/>
  <c r="I10780" i="6" s="1"/>
  <c r="G10781" i="6"/>
  <c r="I10781" i="6" s="1"/>
  <c r="G10782" i="6"/>
  <c r="I10782" i="6" s="1"/>
  <c r="G10783" i="6"/>
  <c r="I10783" i="6" s="1"/>
  <c r="G10784" i="6"/>
  <c r="I10784" i="6" s="1"/>
  <c r="G10785" i="6"/>
  <c r="I10785" i="6" s="1"/>
  <c r="G10786" i="6"/>
  <c r="I10786" i="6" s="1"/>
  <c r="G10787" i="6"/>
  <c r="I10787" i="6" s="1"/>
  <c r="G10788" i="6"/>
  <c r="I10788" i="6" s="1"/>
  <c r="G10789" i="6"/>
  <c r="I10789" i="6" s="1"/>
  <c r="G10790" i="6"/>
  <c r="I10790" i="6" s="1"/>
  <c r="G10791" i="6"/>
  <c r="I10791" i="6" s="1"/>
  <c r="G10792" i="6"/>
  <c r="I10792" i="6" s="1"/>
  <c r="G10793" i="6"/>
  <c r="I10793" i="6" s="1"/>
  <c r="G10795" i="6"/>
  <c r="I10795" i="6" s="1"/>
  <c r="G10796" i="6"/>
  <c r="I10796" i="6" s="1"/>
  <c r="G10797" i="6"/>
  <c r="I10797" i="6" s="1"/>
  <c r="G10798" i="6"/>
  <c r="I10798" i="6" s="1"/>
  <c r="G10800" i="6"/>
  <c r="I10800" i="6" s="1"/>
  <c r="G10801" i="6"/>
  <c r="I10801" i="6" s="1"/>
  <c r="G10802" i="6"/>
  <c r="I10802" i="6" s="1"/>
  <c r="G10803" i="6"/>
  <c r="I10803" i="6" s="1"/>
  <c r="G10804" i="6"/>
  <c r="I10804" i="6" s="1"/>
  <c r="G10805" i="6"/>
  <c r="I10805" i="6" s="1"/>
  <c r="G10806" i="6"/>
  <c r="I10806" i="6" s="1"/>
  <c r="G10807" i="6"/>
  <c r="I10807" i="6" s="1"/>
  <c r="G10808" i="6"/>
  <c r="I10808" i="6" s="1"/>
  <c r="G10809" i="6"/>
  <c r="I10809" i="6" s="1"/>
  <c r="G10810" i="6"/>
  <c r="I10810" i="6" s="1"/>
  <c r="G10811" i="6"/>
  <c r="I10811" i="6" s="1"/>
  <c r="G10812" i="6"/>
  <c r="I10812" i="6" s="1"/>
  <c r="G10813" i="6"/>
  <c r="I10813" i="6" s="1"/>
  <c r="G10814" i="6"/>
  <c r="I10814" i="6" s="1"/>
  <c r="I10818" i="6"/>
  <c r="I10819" i="6"/>
  <c r="I10820" i="6"/>
  <c r="I10821" i="6"/>
  <c r="I10855" i="6"/>
  <c r="I10856" i="6"/>
  <c r="I10857" i="6"/>
  <c r="I10858" i="6"/>
  <c r="I10859" i="6"/>
  <c r="I10860" i="6"/>
  <c r="I10861" i="6"/>
  <c r="I10863" i="6"/>
  <c r="I10864" i="6"/>
  <c r="I10865" i="6"/>
  <c r="I10866" i="6"/>
  <c r="I10867" i="6"/>
  <c r="I10868" i="6"/>
  <c r="I10869" i="6"/>
  <c r="I10906" i="6"/>
  <c r="I10907" i="6"/>
  <c r="I10908" i="6"/>
  <c r="I10909" i="6"/>
  <c r="I10910" i="6"/>
  <c r="I10911" i="6"/>
  <c r="I10912" i="6"/>
  <c r="I10913" i="6"/>
  <c r="I10914" i="6"/>
  <c r="I10915" i="6"/>
  <c r="I10964" i="6"/>
  <c r="I10965" i="6"/>
  <c r="I10966" i="6"/>
  <c r="I10967" i="6"/>
  <c r="I10970" i="6"/>
  <c r="I10971" i="6"/>
  <c r="I10972" i="6"/>
  <c r="I10973" i="6"/>
  <c r="I11075" i="6"/>
  <c r="I11076" i="6"/>
  <c r="I11077" i="6"/>
  <c r="I11078" i="6"/>
  <c r="I11079" i="6"/>
  <c r="I11080" i="6"/>
  <c r="I10816" i="6"/>
  <c r="I10817" i="6"/>
  <c r="I10916" i="6"/>
  <c r="I10917" i="6"/>
  <c r="I10918" i="6"/>
  <c r="I10919" i="6"/>
  <c r="I10959" i="6"/>
  <c r="I10960" i="6"/>
  <c r="I10961" i="6"/>
  <c r="I10962" i="6"/>
  <c r="I10963" i="6"/>
  <c r="G10719" i="6"/>
  <c r="I10719" i="6" s="1"/>
  <c r="G10720" i="6"/>
  <c r="I10720" i="6" s="1"/>
  <c r="G10721" i="6"/>
  <c r="I10721" i="6" s="1"/>
  <c r="G10722" i="6"/>
  <c r="I10722" i="6" s="1"/>
  <c r="G10723" i="6"/>
  <c r="I10723" i="6" s="1"/>
  <c r="G10724" i="6"/>
  <c r="I10724" i="6" s="1"/>
  <c r="G10725" i="6"/>
  <c r="I10725" i="6" s="1"/>
  <c r="G10726" i="6"/>
  <c r="I10726" i="6" s="1"/>
  <c r="G10727" i="6"/>
  <c r="I10727" i="6" s="1"/>
  <c r="G10728" i="6"/>
  <c r="I10728" i="6" s="1"/>
  <c r="G10729" i="6"/>
  <c r="I10729" i="6" s="1"/>
  <c r="G10730" i="6"/>
  <c r="I10730" i="6" s="1"/>
  <c r="G10731" i="6"/>
  <c r="I10731" i="6" s="1"/>
  <c r="G10732" i="6"/>
  <c r="I10732" i="6" s="1"/>
  <c r="G10733" i="6"/>
  <c r="I10733" i="6" s="1"/>
  <c r="G10734" i="6"/>
  <c r="I10734" i="6" s="1"/>
  <c r="G10735" i="6"/>
  <c r="I10735" i="6" s="1"/>
  <c r="G10736" i="6"/>
  <c r="I10736" i="6" s="1"/>
  <c r="G10737" i="6"/>
  <c r="I10737" i="6" s="1"/>
  <c r="G10738" i="6"/>
  <c r="I10738" i="6" s="1"/>
  <c r="G10739" i="6"/>
  <c r="I10739" i="6" s="1"/>
  <c r="G10740" i="6"/>
  <c r="I10740" i="6" s="1"/>
  <c r="G10741" i="6"/>
  <c r="I10741" i="6" s="1"/>
  <c r="G10742" i="6"/>
  <c r="I10742" i="6" s="1"/>
  <c r="G10743" i="6"/>
  <c r="I10743" i="6" s="1"/>
  <c r="G10744" i="6"/>
  <c r="I10744" i="6" s="1"/>
  <c r="G10745" i="6"/>
  <c r="I10745" i="6" s="1"/>
  <c r="G10746" i="6"/>
  <c r="I10746" i="6" s="1"/>
  <c r="G10747" i="6"/>
  <c r="I10747" i="6" s="1"/>
  <c r="G10748" i="6"/>
  <c r="I10748" i="6" s="1"/>
  <c r="G10749" i="6"/>
  <c r="I10749" i="6" s="1"/>
  <c r="G10750" i="6"/>
  <c r="I10750" i="6" s="1"/>
  <c r="G10751" i="6"/>
  <c r="I10751" i="6" s="1"/>
  <c r="G10752" i="6"/>
  <c r="I10752" i="6" s="1"/>
  <c r="G10753" i="6"/>
  <c r="I10753" i="6" s="1"/>
  <c r="G10754" i="6"/>
  <c r="I10754" i="6" s="1"/>
  <c r="G10755" i="6"/>
  <c r="I10755" i="6" s="1"/>
  <c r="G10756" i="6"/>
  <c r="I10756" i="6" s="1"/>
  <c r="G10757" i="6"/>
  <c r="I10757" i="6" s="1"/>
  <c r="G10758" i="6"/>
  <c r="I10758" i="6" s="1"/>
  <c r="G10759" i="6"/>
  <c r="I10759" i="6" s="1"/>
  <c r="G10760" i="6"/>
  <c r="I10760" i="6" s="1"/>
  <c r="G10761" i="6"/>
  <c r="I10761" i="6" s="1"/>
  <c r="G10762" i="6"/>
  <c r="I10762" i="6" s="1"/>
  <c r="G10763" i="6"/>
  <c r="I10763" i="6" s="1"/>
  <c r="G10764" i="6"/>
  <c r="I10764" i="6" s="1"/>
  <c r="G10765" i="6"/>
  <c r="I10765" i="6" s="1"/>
  <c r="G10703" i="6"/>
  <c r="I10703" i="6" s="1"/>
  <c r="G10704" i="6"/>
  <c r="I10704" i="6" s="1"/>
  <c r="G10705" i="6"/>
  <c r="I10705" i="6" s="1"/>
  <c r="G10706" i="6"/>
  <c r="I10706" i="6" s="1"/>
  <c r="G10707" i="6"/>
  <c r="I10707" i="6" s="1"/>
  <c r="G10708" i="6"/>
  <c r="I10708" i="6" s="1"/>
  <c r="G10709" i="6"/>
  <c r="I10709" i="6" s="1"/>
  <c r="G10712" i="6"/>
  <c r="I10712" i="6" s="1"/>
  <c r="G10713" i="6"/>
  <c r="I10713" i="6" s="1"/>
  <c r="G10714" i="6"/>
  <c r="I10714" i="6" s="1"/>
  <c r="G10715" i="6"/>
  <c r="I10715" i="6" s="1"/>
  <c r="G10716" i="6"/>
  <c r="I10716" i="6" s="1"/>
  <c r="G10717" i="6"/>
  <c r="I10717" i="6" s="1"/>
  <c r="G10718" i="6"/>
  <c r="I10718" i="6" s="1"/>
  <c r="G10672" i="6"/>
  <c r="I10672" i="6" s="1"/>
  <c r="G10673" i="6"/>
  <c r="I10673" i="6" s="1"/>
  <c r="G10674" i="6"/>
  <c r="I10674" i="6" s="1"/>
  <c r="G10676" i="6"/>
  <c r="I10676" i="6" s="1"/>
  <c r="G10677" i="6"/>
  <c r="I10677" i="6" s="1"/>
  <c r="G10678" i="6"/>
  <c r="I10678" i="6" s="1"/>
  <c r="G10680" i="6"/>
  <c r="I10680" i="6" s="1"/>
  <c r="G10681" i="6"/>
  <c r="I10681" i="6" s="1"/>
  <c r="G10682" i="6"/>
  <c r="I10682" i="6" s="1"/>
  <c r="G10683" i="6"/>
  <c r="I10683" i="6" s="1"/>
  <c r="G10685" i="6"/>
  <c r="I10685" i="6" s="1"/>
  <c r="G10686" i="6"/>
  <c r="I10686" i="6" s="1"/>
  <c r="G10687" i="6"/>
  <c r="I10687" i="6" s="1"/>
  <c r="G10688" i="6"/>
  <c r="I10688" i="6" s="1"/>
  <c r="G10689" i="6"/>
  <c r="I10689" i="6" s="1"/>
  <c r="G10690" i="6"/>
  <c r="I10690" i="6" s="1"/>
  <c r="G10691" i="6"/>
  <c r="I10691" i="6" s="1"/>
  <c r="G10694" i="6"/>
  <c r="I10694" i="6" s="1"/>
  <c r="G10695" i="6"/>
  <c r="I10695" i="6" s="1"/>
  <c r="G10698" i="6"/>
  <c r="I10698" i="6" s="1"/>
  <c r="G10699" i="6"/>
  <c r="I10699" i="6" s="1"/>
  <c r="G10700" i="6"/>
  <c r="I10700" i="6" s="1"/>
  <c r="G10701" i="6"/>
  <c r="I10701" i="6" s="1"/>
  <c r="G10702" i="6"/>
  <c r="I10702" i="6" s="1"/>
  <c r="G10671" i="6"/>
  <c r="I10671" i="6" s="1"/>
  <c r="I9726" i="6"/>
  <c r="I9774" i="6" l="1"/>
  <c r="G9846" i="6"/>
  <c r="I9846" i="6" s="1"/>
  <c r="G9847" i="6"/>
  <c r="I9847" i="6" s="1"/>
  <c r="G9848" i="6"/>
  <c r="I9848" i="6" s="1"/>
  <c r="G9849" i="6"/>
  <c r="I9849" i="6" s="1"/>
  <c r="G9850" i="6"/>
  <c r="I9850" i="6" s="1"/>
  <c r="G9851" i="6"/>
  <c r="I9851" i="6" s="1"/>
  <c r="G9852" i="6"/>
  <c r="I9852" i="6" s="1"/>
  <c r="G9853" i="6"/>
  <c r="I9853" i="6" s="1"/>
  <c r="G9854" i="6"/>
  <c r="I9854" i="6" s="1"/>
  <c r="G9855" i="6"/>
  <c r="I9855" i="6" s="1"/>
  <c r="G9856" i="6"/>
  <c r="I9856" i="6" s="1"/>
  <c r="G9857" i="6"/>
  <c r="I9857" i="6" s="1"/>
  <c r="G9858" i="6"/>
  <c r="I9858" i="6" s="1"/>
  <c r="G9859" i="6"/>
  <c r="I9859" i="6" s="1"/>
  <c r="G9860" i="6"/>
  <c r="I9860" i="6" s="1"/>
  <c r="G9861" i="6"/>
  <c r="I9861" i="6" s="1"/>
  <c r="G9862" i="6"/>
  <c r="I9862" i="6" s="1"/>
  <c r="G9863" i="6"/>
  <c r="I9863" i="6" s="1"/>
  <c r="G9864" i="6"/>
  <c r="I9864" i="6" s="1"/>
  <c r="G9865" i="6"/>
  <c r="I9865" i="6" s="1"/>
  <c r="G9866" i="6"/>
  <c r="I9866" i="6" s="1"/>
  <c r="G9867" i="6"/>
  <c r="I9867" i="6" s="1"/>
  <c r="G9868" i="6"/>
  <c r="I9868" i="6" s="1"/>
  <c r="G9869" i="6"/>
  <c r="I9869" i="6" s="1"/>
  <c r="G9870" i="6"/>
  <c r="I9870" i="6" s="1"/>
  <c r="G9871" i="6"/>
  <c r="I9871" i="6" s="1"/>
  <c r="G9872" i="6"/>
  <c r="I9872" i="6" s="1"/>
  <c r="G9873" i="6"/>
  <c r="I9873" i="6" s="1"/>
  <c r="G9874" i="6"/>
  <c r="I9874" i="6" s="1"/>
  <c r="G9875" i="6"/>
  <c r="I9875" i="6" s="1"/>
  <c r="G9876" i="6"/>
  <c r="I9876" i="6" s="1"/>
  <c r="G9877" i="6"/>
  <c r="I9877" i="6" s="1"/>
  <c r="G9878" i="6"/>
  <c r="I9878" i="6" s="1"/>
  <c r="G9879" i="6"/>
  <c r="I9879" i="6" s="1"/>
  <c r="G9880" i="6"/>
  <c r="I9880" i="6" s="1"/>
  <c r="G9881" i="6"/>
  <c r="I9881" i="6" s="1"/>
  <c r="G9882" i="6"/>
  <c r="I9882" i="6" s="1"/>
  <c r="G9883" i="6"/>
  <c r="I9883" i="6" s="1"/>
  <c r="G9884" i="6"/>
  <c r="I9884" i="6" s="1"/>
  <c r="G9885" i="6"/>
  <c r="I9885" i="6" s="1"/>
  <c r="G9886" i="6"/>
  <c r="I9886" i="6" s="1"/>
  <c r="G9887" i="6"/>
  <c r="I9887" i="6" s="1"/>
  <c r="G9888" i="6"/>
  <c r="I9888" i="6" s="1"/>
  <c r="G9889" i="6"/>
  <c r="I9889" i="6" s="1"/>
  <c r="G9890" i="6"/>
  <c r="I9890" i="6" s="1"/>
  <c r="G9891" i="6"/>
  <c r="I9891" i="6" s="1"/>
  <c r="G9892" i="6"/>
  <c r="I9892" i="6" s="1"/>
  <c r="G9893" i="6"/>
  <c r="I9893" i="6" s="1"/>
  <c r="G9894" i="6"/>
  <c r="I9894" i="6" s="1"/>
  <c r="G9895" i="6"/>
  <c r="I9895" i="6" s="1"/>
  <c r="G9896" i="6"/>
  <c r="I9896" i="6" s="1"/>
  <c r="G9897" i="6"/>
  <c r="I9897" i="6" s="1"/>
  <c r="G9898" i="6"/>
  <c r="I9898" i="6" s="1"/>
  <c r="G9899" i="6"/>
  <c r="I9899" i="6" s="1"/>
  <c r="G9900" i="6"/>
  <c r="I9900" i="6" s="1"/>
  <c r="G9901" i="6"/>
  <c r="I9901" i="6" s="1"/>
  <c r="G9902" i="6"/>
  <c r="I9902" i="6" s="1"/>
  <c r="G9903" i="6"/>
  <c r="I9903" i="6" s="1"/>
  <c r="G9904" i="6"/>
  <c r="I9904" i="6" s="1"/>
  <c r="G9905" i="6"/>
  <c r="I9905" i="6" s="1"/>
  <c r="G9906" i="6"/>
  <c r="I9906" i="6" s="1"/>
  <c r="G9907" i="6"/>
  <c r="I9907" i="6" s="1"/>
  <c r="G9908" i="6"/>
  <c r="I9908" i="6" s="1"/>
  <c r="G9909" i="6"/>
  <c r="I9909" i="6" s="1"/>
  <c r="G9910" i="6"/>
  <c r="I9910" i="6" s="1"/>
  <c r="G9911" i="6"/>
  <c r="I9911" i="6" s="1"/>
  <c r="G9912" i="6"/>
  <c r="I9912" i="6" s="1"/>
  <c r="G9913" i="6"/>
  <c r="I9913" i="6" s="1"/>
  <c r="G9914" i="6"/>
  <c r="I9914" i="6" s="1"/>
  <c r="G9915" i="6"/>
  <c r="I9915" i="6" s="1"/>
  <c r="G9916" i="6"/>
  <c r="I9916" i="6" s="1"/>
  <c r="G9917" i="6"/>
  <c r="I9917" i="6" s="1"/>
  <c r="G9918" i="6"/>
  <c r="I9918" i="6" s="1"/>
  <c r="G9919" i="6"/>
  <c r="I9919" i="6" s="1"/>
  <c r="G9920" i="6"/>
  <c r="I9920" i="6" s="1"/>
  <c r="G9921" i="6"/>
  <c r="I9921" i="6" s="1"/>
  <c r="G9922" i="6"/>
  <c r="I9922" i="6" s="1"/>
  <c r="G9923" i="6"/>
  <c r="I9923" i="6" s="1"/>
  <c r="G9924" i="6"/>
  <c r="I9924" i="6" s="1"/>
  <c r="G9925" i="6"/>
  <c r="I9925" i="6" s="1"/>
  <c r="G9926" i="6"/>
  <c r="I9926" i="6" s="1"/>
  <c r="G9927" i="6"/>
  <c r="I9927" i="6" s="1"/>
  <c r="G9928" i="6"/>
  <c r="I9928" i="6" s="1"/>
  <c r="G9929" i="6"/>
  <c r="I9929" i="6" s="1"/>
  <c r="G9930" i="6"/>
  <c r="I9930" i="6" s="1"/>
  <c r="G9931" i="6"/>
  <c r="I9931" i="6" s="1"/>
  <c r="G9932" i="6"/>
  <c r="I9932" i="6" s="1"/>
  <c r="G9933" i="6"/>
  <c r="I9933" i="6" s="1"/>
  <c r="G9934" i="6"/>
  <c r="I9934" i="6" s="1"/>
  <c r="G9935" i="6"/>
  <c r="I9935" i="6" s="1"/>
  <c r="G9936" i="6"/>
  <c r="I9936" i="6" s="1"/>
  <c r="G9937" i="6"/>
  <c r="I9937" i="6" s="1"/>
  <c r="G9938" i="6"/>
  <c r="I9938" i="6" s="1"/>
  <c r="G9939" i="6"/>
  <c r="I9939" i="6" s="1"/>
  <c r="G9940" i="6"/>
  <c r="I9940" i="6" s="1"/>
  <c r="G9941" i="6"/>
  <c r="I9941" i="6" s="1"/>
  <c r="G9942" i="6"/>
  <c r="I9942" i="6" s="1"/>
  <c r="G9943" i="6"/>
  <c r="I9943" i="6" s="1"/>
  <c r="G9944" i="6"/>
  <c r="I9944" i="6" s="1"/>
  <c r="G9945" i="6"/>
  <c r="I9945" i="6" s="1"/>
  <c r="G9946" i="6"/>
  <c r="I9946" i="6" s="1"/>
  <c r="G9947" i="6"/>
  <c r="I9947" i="6" s="1"/>
  <c r="G9948" i="6"/>
  <c r="I9948" i="6" s="1"/>
  <c r="G9949" i="6"/>
  <c r="I9949" i="6" s="1"/>
  <c r="G9950" i="6"/>
  <c r="I9950" i="6" s="1"/>
  <c r="G9951" i="6"/>
  <c r="I9951" i="6" s="1"/>
  <c r="G9952" i="6"/>
  <c r="I9952" i="6" s="1"/>
  <c r="G9953" i="6"/>
  <c r="I9953" i="6" s="1"/>
  <c r="G9954" i="6"/>
  <c r="I9954" i="6" s="1"/>
  <c r="G9955" i="6"/>
  <c r="I9955" i="6" s="1"/>
  <c r="G9845" i="6"/>
  <c r="I9845" i="6" s="1"/>
  <c r="G6738" i="6"/>
  <c r="G6739" i="6"/>
  <c r="G6740" i="6"/>
  <c r="G6741" i="6"/>
  <c r="G6742" i="6"/>
  <c r="G6743" i="6"/>
  <c r="G6744" i="6"/>
  <c r="G6745" i="6"/>
  <c r="G6746" i="6"/>
  <c r="G6747" i="6"/>
  <c r="G6748" i="6"/>
  <c r="G6749" i="6"/>
  <c r="G6750" i="6"/>
  <c r="G6751" i="6"/>
  <c r="G6752" i="6"/>
  <c r="G6753" i="6"/>
  <c r="G6754" i="6"/>
  <c r="G6755" i="6"/>
  <c r="G6756" i="6"/>
  <c r="G6757" i="6"/>
  <c r="G6758" i="6"/>
  <c r="G6759" i="6"/>
  <c r="G6760" i="6"/>
  <c r="G6761" i="6"/>
  <c r="G6762" i="6"/>
  <c r="G6763" i="6"/>
  <c r="G6764" i="6"/>
  <c r="G6765" i="6"/>
  <c r="G6766" i="6"/>
  <c r="G6767" i="6"/>
  <c r="G6768" i="6"/>
  <c r="G6769" i="6"/>
  <c r="G6770" i="6"/>
  <c r="G6771" i="6"/>
  <c r="G6772" i="6"/>
  <c r="G6773" i="6"/>
  <c r="G6774" i="6"/>
  <c r="G6775" i="6"/>
  <c r="G6776" i="6"/>
  <c r="G6777" i="6"/>
  <c r="G6778" i="6"/>
  <c r="G6779" i="6"/>
  <c r="G6780" i="6"/>
  <c r="G6781" i="6"/>
  <c r="G6782" i="6"/>
  <c r="G6783" i="6"/>
  <c r="G6784" i="6"/>
  <c r="G6785" i="6"/>
  <c r="G6786" i="6"/>
  <c r="G6787" i="6"/>
  <c r="G6788" i="6"/>
  <c r="G6789" i="6"/>
  <c r="G6790" i="6"/>
  <c r="G6791" i="6"/>
  <c r="G6792" i="6"/>
  <c r="G6793" i="6"/>
  <c r="G6794" i="6"/>
  <c r="G6795" i="6"/>
  <c r="G6796" i="6"/>
  <c r="G6797" i="6"/>
  <c r="G6798" i="6"/>
  <c r="G6799" i="6"/>
  <c r="G6800" i="6"/>
  <c r="G6801" i="6"/>
  <c r="G6802" i="6"/>
  <c r="G6803" i="6"/>
  <c r="G6804" i="6"/>
  <c r="G6805" i="6"/>
  <c r="G6806" i="6"/>
  <c r="G6807" i="6"/>
  <c r="G6808" i="6"/>
  <c r="G6809" i="6"/>
  <c r="G6810" i="6"/>
  <c r="G6811" i="6"/>
  <c r="G6812" i="6"/>
  <c r="G6813" i="6"/>
  <c r="G6814" i="6"/>
  <c r="G6815" i="6"/>
  <c r="G6816" i="6"/>
  <c r="G6817" i="6"/>
  <c r="G6818" i="6"/>
  <c r="G6819" i="6"/>
  <c r="G6820" i="6"/>
  <c r="G6821" i="6"/>
  <c r="G6822" i="6"/>
  <c r="G6823" i="6"/>
  <c r="G6824" i="6"/>
  <c r="G6825" i="6"/>
  <c r="G6826" i="6"/>
  <c r="G6827" i="6"/>
  <c r="G6828" i="6"/>
  <c r="G6829" i="6"/>
  <c r="G6830" i="6"/>
  <c r="G6831" i="6"/>
  <c r="G6832" i="6"/>
  <c r="G6833" i="6"/>
  <c r="G6834" i="6"/>
  <c r="G6835" i="6"/>
  <c r="G6836" i="6"/>
  <c r="G6837" i="6"/>
  <c r="G6838" i="6"/>
  <c r="G6839" i="6"/>
  <c r="G6840" i="6"/>
  <c r="G6841" i="6"/>
  <c r="G6842" i="6"/>
  <c r="G6843" i="6"/>
  <c r="G6844" i="6"/>
  <c r="G6845" i="6"/>
  <c r="G6846" i="6"/>
  <c r="G6847" i="6"/>
  <c r="G6848" i="6"/>
  <c r="G6849" i="6"/>
  <c r="G6850" i="6"/>
  <c r="G6851" i="6"/>
  <c r="G6852" i="6"/>
  <c r="G6853" i="6"/>
  <c r="G6854" i="6"/>
  <c r="G6855" i="6"/>
  <c r="G6856" i="6"/>
  <c r="G6857" i="6"/>
  <c r="G6858" i="6"/>
  <c r="G6859" i="6"/>
  <c r="G6860" i="6"/>
  <c r="G6861" i="6"/>
  <c r="G6862" i="6"/>
  <c r="G6863" i="6"/>
  <c r="G6864" i="6"/>
  <c r="G6866" i="6"/>
  <c r="G6867" i="6"/>
  <c r="G6868" i="6"/>
  <c r="G6869" i="6"/>
  <c r="G6870" i="6"/>
  <c r="G6871" i="6"/>
  <c r="G6872" i="6"/>
  <c r="G6873" i="6"/>
  <c r="G6874" i="6"/>
  <c r="G6875" i="6"/>
  <c r="G6876" i="6"/>
  <c r="G6877" i="6"/>
  <c r="G6878" i="6"/>
  <c r="G6879" i="6"/>
  <c r="G6880" i="6"/>
  <c r="G6881" i="6"/>
  <c r="G6882" i="6"/>
  <c r="G6884" i="6"/>
  <c r="G6885" i="6"/>
  <c r="G6886" i="6"/>
  <c r="G6887" i="6"/>
  <c r="G6888" i="6"/>
  <c r="G6889" i="6"/>
  <c r="G6890" i="6"/>
  <c r="G6891" i="6"/>
  <c r="G6892" i="6"/>
  <c r="G6893" i="6"/>
  <c r="G6894" i="6"/>
  <c r="G6895" i="6"/>
  <c r="G6896" i="6"/>
  <c r="G6897" i="6"/>
  <c r="G6898" i="6"/>
  <c r="G6899" i="6"/>
  <c r="G6900" i="6"/>
  <c r="G6901" i="6"/>
  <c r="G6902" i="6"/>
  <c r="G6903" i="6"/>
  <c r="G6904" i="6"/>
  <c r="G6905" i="6"/>
  <c r="G6906" i="6"/>
  <c r="G6907" i="6"/>
  <c r="G6908" i="6"/>
  <c r="G6909" i="6"/>
  <c r="G6910" i="6"/>
  <c r="G6911" i="6"/>
  <c r="G6912" i="6"/>
  <c r="G6913" i="6"/>
  <c r="G6914" i="6"/>
  <c r="G6915" i="6"/>
  <c r="G6916" i="6"/>
  <c r="G6917" i="6"/>
  <c r="G6918" i="6"/>
  <c r="G6919" i="6"/>
  <c r="G6920" i="6"/>
  <c r="G6921" i="6"/>
  <c r="G6922" i="6"/>
  <c r="G6923" i="6"/>
  <c r="G6924" i="6"/>
  <c r="G6925" i="6"/>
  <c r="G6926" i="6"/>
  <c r="G6927" i="6"/>
  <c r="G6928" i="6"/>
  <c r="G6929" i="6"/>
  <c r="G6930" i="6"/>
  <c r="G6931" i="6"/>
  <c r="G6932" i="6"/>
  <c r="G6933" i="6"/>
  <c r="G6934" i="6"/>
  <c r="G6935" i="6"/>
  <c r="G6936" i="6"/>
  <c r="G6937" i="6"/>
  <c r="G6938" i="6"/>
  <c r="G6939" i="6"/>
  <c r="G6940" i="6"/>
  <c r="G6941" i="6"/>
  <c r="G6942" i="6"/>
  <c r="G6943" i="6"/>
  <c r="G6944" i="6"/>
  <c r="G6945" i="6"/>
  <c r="G6946" i="6"/>
  <c r="G6947" i="6"/>
  <c r="G6948" i="6"/>
  <c r="G6949" i="6"/>
  <c r="G6950" i="6"/>
  <c r="G6951" i="6"/>
  <c r="G6952" i="6"/>
  <c r="G6953" i="6"/>
  <c r="G6954" i="6"/>
  <c r="G6955" i="6"/>
  <c r="G6956" i="6"/>
  <c r="G6957" i="6"/>
  <c r="G6958" i="6"/>
  <c r="G6959" i="6"/>
  <c r="G6960" i="6"/>
  <c r="G6961" i="6"/>
  <c r="G6962" i="6"/>
  <c r="G6963" i="6"/>
  <c r="G6964" i="6"/>
  <c r="G6965" i="6"/>
  <c r="G6966" i="6"/>
  <c r="G6967" i="6"/>
  <c r="G6968" i="6"/>
  <c r="G6969" i="6"/>
  <c r="G6970" i="6"/>
  <c r="G6971" i="6"/>
  <c r="G6972" i="6"/>
  <c r="G6973" i="6"/>
  <c r="G6974" i="6"/>
  <c r="G6975" i="6"/>
  <c r="G6976" i="6"/>
  <c r="G6977" i="6"/>
  <c r="G6978" i="6"/>
  <c r="G6979" i="6"/>
  <c r="G6980" i="6"/>
  <c r="G6981" i="6"/>
  <c r="G6982" i="6"/>
  <c r="G6983" i="6"/>
  <c r="G6984" i="6"/>
  <c r="G6985" i="6"/>
  <c r="G6986" i="6"/>
  <c r="G6987" i="6"/>
  <c r="G6988" i="6"/>
  <c r="G6989" i="6"/>
  <c r="G6990" i="6"/>
  <c r="G6991" i="6"/>
  <c r="G6992" i="6"/>
  <c r="G6993" i="6"/>
  <c r="G6994" i="6"/>
  <c r="G6995" i="6"/>
  <c r="G6996" i="6"/>
  <c r="G6997" i="6"/>
  <c r="G6998" i="6"/>
  <c r="G7000" i="6"/>
  <c r="G7002" i="6"/>
  <c r="G7003" i="6"/>
  <c r="G7004" i="6"/>
  <c r="G7005" i="6"/>
  <c r="G7006" i="6"/>
  <c r="G7007" i="6"/>
  <c r="G7008" i="6"/>
  <c r="G7009" i="6"/>
  <c r="G7010" i="6"/>
  <c r="G7011" i="6"/>
  <c r="G7012" i="6"/>
  <c r="G7013" i="6"/>
  <c r="G7014" i="6"/>
  <c r="G7015" i="6"/>
  <c r="G7016" i="6"/>
  <c r="G7017" i="6"/>
  <c r="G7018" i="6"/>
  <c r="G7019" i="6"/>
  <c r="G7020" i="6"/>
  <c r="G7021" i="6"/>
  <c r="G7022" i="6"/>
  <c r="G7023" i="6"/>
  <c r="G7024" i="6"/>
  <c r="G7025" i="6"/>
  <c r="G7026" i="6"/>
  <c r="G7027" i="6"/>
  <c r="G7028" i="6"/>
  <c r="G7029" i="6"/>
  <c r="G7030" i="6"/>
  <c r="G7031" i="6"/>
  <c r="G7032" i="6"/>
  <c r="G7033" i="6"/>
  <c r="G7034" i="6"/>
  <c r="G7035" i="6"/>
  <c r="G7036" i="6"/>
  <c r="G7037" i="6"/>
  <c r="G7038" i="6"/>
  <c r="G7039" i="6"/>
  <c r="G7040" i="6"/>
  <c r="G7041" i="6"/>
  <c r="G7042" i="6"/>
  <c r="G7043" i="6"/>
  <c r="G7044" i="6"/>
  <c r="G7045" i="6"/>
  <c r="G7046" i="6"/>
  <c r="G7047" i="6"/>
  <c r="G7048" i="6"/>
  <c r="G7049" i="6"/>
  <c r="G7050" i="6"/>
  <c r="G7051" i="6"/>
  <c r="G7052" i="6"/>
  <c r="G7053" i="6"/>
  <c r="G7054" i="6"/>
  <c r="G7055" i="6"/>
  <c r="G7056" i="6"/>
  <c r="G7057" i="6"/>
  <c r="G7058" i="6"/>
  <c r="G7059" i="6"/>
  <c r="G7060" i="6"/>
  <c r="G7061" i="6"/>
  <c r="G7062" i="6"/>
  <c r="G7063" i="6"/>
  <c r="G7064" i="6"/>
  <c r="G7065" i="6"/>
  <c r="G7066" i="6"/>
  <c r="G7067" i="6"/>
  <c r="G7068" i="6"/>
  <c r="G7069" i="6"/>
  <c r="G7070" i="6"/>
  <c r="G7071" i="6"/>
  <c r="G7072" i="6"/>
  <c r="G7073" i="6"/>
  <c r="G7074" i="6"/>
  <c r="G7075" i="6"/>
  <c r="G7076" i="6"/>
  <c r="G7077" i="6"/>
  <c r="G7078" i="6"/>
  <c r="G7079" i="6"/>
  <c r="G7080" i="6"/>
  <c r="G7081" i="6"/>
  <c r="G7082" i="6"/>
  <c r="G7083" i="6"/>
  <c r="G7084" i="6"/>
  <c r="G7085" i="6"/>
  <c r="G7086" i="6"/>
  <c r="G7087" i="6"/>
  <c r="G7088" i="6"/>
  <c r="G7089" i="6"/>
  <c r="G7090" i="6"/>
  <c r="G7091" i="6"/>
  <c r="G7092" i="6"/>
  <c r="G7093" i="6"/>
  <c r="G7094" i="6"/>
  <c r="G7095" i="6"/>
  <c r="G7096" i="6"/>
  <c r="G7097" i="6"/>
  <c r="G7098" i="6"/>
  <c r="G7099" i="6"/>
  <c r="G7100" i="6"/>
  <c r="G7101" i="6"/>
  <c r="G7102" i="6"/>
  <c r="G7103" i="6"/>
  <c r="G7104" i="6"/>
  <c r="G7105" i="6"/>
  <c r="G7106" i="6"/>
  <c r="G7107" i="6"/>
  <c r="G7108" i="6"/>
  <c r="G7109" i="6"/>
  <c r="G7110" i="6"/>
  <c r="G7111" i="6"/>
  <c r="G7112" i="6"/>
  <c r="G7113" i="6"/>
  <c r="G7114" i="6"/>
  <c r="G7115" i="6"/>
  <c r="G7116" i="6"/>
  <c r="G7117" i="6"/>
  <c r="G7118" i="6"/>
  <c r="G7119" i="6"/>
  <c r="G7120" i="6"/>
  <c r="G7121" i="6"/>
  <c r="G7122" i="6"/>
  <c r="G7123" i="6"/>
  <c r="G7124" i="6"/>
  <c r="G7125" i="6"/>
  <c r="G7126" i="6"/>
  <c r="G7127" i="6"/>
  <c r="G7128" i="6"/>
  <c r="G7129" i="6"/>
  <c r="G7130" i="6"/>
  <c r="G7131" i="6"/>
  <c r="G7132" i="6"/>
  <c r="G7133" i="6"/>
  <c r="G7134" i="6"/>
  <c r="G7135" i="6"/>
  <c r="G7136" i="6"/>
  <c r="G7137" i="6"/>
  <c r="G7138" i="6"/>
  <c r="G7139" i="6"/>
  <c r="G7140" i="6"/>
  <c r="G7141" i="6"/>
  <c r="G7142" i="6"/>
  <c r="G7143" i="6"/>
  <c r="G7144" i="6"/>
  <c r="G7145" i="6"/>
  <c r="G7146" i="6"/>
  <c r="G7147" i="6"/>
  <c r="G7148" i="6"/>
  <c r="G7149" i="6"/>
  <c r="G7150" i="6"/>
  <c r="G7151" i="6"/>
  <c r="G7152" i="6"/>
  <c r="G7153" i="6"/>
  <c r="G7154" i="6"/>
  <c r="G7155" i="6"/>
  <c r="G7156" i="6"/>
  <c r="G7157" i="6"/>
  <c r="G7158" i="6"/>
  <c r="G7159" i="6"/>
  <c r="G7160" i="6"/>
  <c r="G7161" i="6"/>
  <c r="G7162" i="6"/>
  <c r="G7163" i="6"/>
  <c r="G7164" i="6"/>
  <c r="G7165" i="6"/>
  <c r="G7166" i="6"/>
  <c r="G7167" i="6"/>
  <c r="G7168" i="6"/>
  <c r="G7169" i="6"/>
  <c r="G7170" i="6"/>
  <c r="G7171" i="6"/>
  <c r="G7172" i="6"/>
  <c r="G7173" i="6"/>
  <c r="G7174" i="6"/>
  <c r="G7175" i="6"/>
  <c r="G7176" i="6"/>
  <c r="G7177" i="6"/>
  <c r="G7178" i="6"/>
  <c r="G7179" i="6"/>
  <c r="G7180" i="6"/>
  <c r="G7181" i="6"/>
  <c r="G7182" i="6"/>
  <c r="G7183" i="6"/>
  <c r="G7184" i="6"/>
  <c r="G7185" i="6"/>
  <c r="G7186" i="6"/>
  <c r="G7187" i="6"/>
  <c r="G7188" i="6"/>
  <c r="G7189" i="6"/>
  <c r="G7190" i="6"/>
  <c r="G7191" i="6"/>
  <c r="G7192" i="6"/>
  <c r="G7193" i="6"/>
  <c r="G7194" i="6"/>
  <c r="G7195" i="6"/>
  <c r="G7196" i="6"/>
  <c r="G7197" i="6"/>
  <c r="G7198" i="6"/>
  <c r="G7199" i="6"/>
  <c r="G7200" i="6"/>
  <c r="G7201" i="6"/>
  <c r="G7202" i="6"/>
  <c r="G7203" i="6"/>
  <c r="G7204" i="6"/>
  <c r="G7205" i="6"/>
  <c r="G7206" i="6"/>
  <c r="G7207" i="6"/>
  <c r="G7208" i="6"/>
  <c r="G7209" i="6"/>
  <c r="G7210" i="6"/>
  <c r="G7211" i="6"/>
  <c r="G7212" i="6"/>
  <c r="G7213" i="6"/>
  <c r="G7214" i="6"/>
  <c r="G7215" i="6"/>
  <c r="G7216" i="6"/>
  <c r="G7217" i="6"/>
  <c r="G7218" i="6"/>
  <c r="G7219" i="6"/>
  <c r="G7220" i="6"/>
  <c r="G7221" i="6"/>
  <c r="G7222" i="6"/>
  <c r="G7223" i="6"/>
  <c r="G7224" i="6"/>
  <c r="G7225" i="6"/>
  <c r="G7226" i="6"/>
  <c r="G7227" i="6"/>
  <c r="G7228" i="6"/>
  <c r="G7229" i="6"/>
  <c r="G7230" i="6"/>
  <c r="G7231" i="6"/>
  <c r="G7232" i="6"/>
  <c r="G7233" i="6"/>
  <c r="G7234" i="6"/>
  <c r="G7235" i="6"/>
  <c r="G7236" i="6"/>
  <c r="G7237" i="6"/>
  <c r="G7238" i="6"/>
  <c r="G7239" i="6"/>
  <c r="G7240" i="6"/>
  <c r="G7241" i="6"/>
  <c r="G7242" i="6"/>
  <c r="G7243" i="6"/>
  <c r="G7244" i="6"/>
  <c r="G7245" i="6"/>
  <c r="G7246" i="6"/>
  <c r="G7247" i="6"/>
  <c r="G7248" i="6"/>
  <c r="G7249" i="6"/>
  <c r="G7250" i="6"/>
  <c r="G7251" i="6"/>
  <c r="G7252" i="6"/>
  <c r="G7253" i="6"/>
  <c r="G7254" i="6"/>
  <c r="G7255" i="6"/>
  <c r="G7256" i="6"/>
  <c r="G7257" i="6"/>
  <c r="G7258" i="6"/>
  <c r="G7259" i="6"/>
  <c r="G7260" i="6"/>
  <c r="G7261" i="6"/>
  <c r="G7262" i="6"/>
  <c r="G7263" i="6"/>
  <c r="G7264" i="6"/>
  <c r="G7265" i="6"/>
  <c r="G7266" i="6"/>
  <c r="G7267" i="6"/>
  <c r="G7268" i="6"/>
  <c r="G7269" i="6"/>
  <c r="G7270" i="6"/>
  <c r="G7271" i="6"/>
  <c r="G7272" i="6"/>
  <c r="G7273" i="6"/>
  <c r="G7274" i="6"/>
  <c r="G7275" i="6"/>
  <c r="G7276" i="6"/>
  <c r="G7277" i="6"/>
  <c r="G7278" i="6"/>
  <c r="G7279" i="6"/>
  <c r="G7280" i="6"/>
  <c r="G7281" i="6"/>
  <c r="G7282" i="6"/>
  <c r="G7283" i="6"/>
  <c r="G7284" i="6"/>
  <c r="G7285" i="6"/>
  <c r="G7286" i="6"/>
  <c r="G7287" i="6"/>
  <c r="G7288" i="6"/>
  <c r="G7289" i="6"/>
  <c r="G7290" i="6"/>
  <c r="G7291" i="6"/>
  <c r="G7292" i="6"/>
  <c r="G7293" i="6"/>
  <c r="G7294" i="6"/>
  <c r="G7295" i="6"/>
  <c r="G7296" i="6"/>
  <c r="G7297" i="6"/>
  <c r="G7298" i="6"/>
  <c r="G7299" i="6"/>
  <c r="G7300" i="6"/>
  <c r="G7301" i="6"/>
  <c r="G7302" i="6"/>
  <c r="G7303" i="6"/>
  <c r="G7304" i="6"/>
  <c r="G7305" i="6"/>
  <c r="G7306" i="6"/>
  <c r="G7307" i="6"/>
  <c r="G7308" i="6"/>
  <c r="G7309" i="6"/>
  <c r="G7310" i="6"/>
  <c r="G7311" i="6"/>
  <c r="G7312" i="6"/>
  <c r="G7313" i="6"/>
  <c r="G7314" i="6"/>
  <c r="G7315" i="6"/>
  <c r="G7316" i="6"/>
  <c r="G7317" i="6"/>
  <c r="G7318" i="6"/>
  <c r="G7319" i="6"/>
  <c r="G7320" i="6"/>
  <c r="G7321" i="6"/>
  <c r="G7322" i="6"/>
  <c r="G7323" i="6"/>
  <c r="G7324" i="6"/>
  <c r="G7325" i="6"/>
  <c r="G7326" i="6"/>
  <c r="G7327" i="6"/>
  <c r="G7328" i="6"/>
  <c r="G7329" i="6"/>
  <c r="G7330" i="6"/>
  <c r="G7331" i="6"/>
  <c r="G7332" i="6"/>
  <c r="G7333" i="6"/>
  <c r="G7334" i="6"/>
  <c r="G7335" i="6"/>
  <c r="G7336" i="6"/>
  <c r="G7337" i="6"/>
  <c r="G7338" i="6"/>
  <c r="G7339" i="6"/>
  <c r="G7340" i="6"/>
  <c r="G7341" i="6"/>
  <c r="G7342" i="6"/>
  <c r="G7343" i="6"/>
  <c r="G7344" i="6"/>
  <c r="G7345" i="6"/>
  <c r="G7346" i="6"/>
  <c r="G7347" i="6"/>
  <c r="G7348" i="6"/>
  <c r="G7349" i="6"/>
  <c r="G7350" i="6"/>
  <c r="G7351" i="6"/>
  <c r="G7352" i="6"/>
  <c r="G7353" i="6"/>
  <c r="G7354" i="6"/>
  <c r="G7355" i="6"/>
  <c r="G7356" i="6"/>
  <c r="G7357" i="6"/>
  <c r="G7358" i="6"/>
  <c r="G7359" i="6"/>
  <c r="G7360" i="6"/>
  <c r="G7361" i="6"/>
  <c r="G7362" i="6"/>
  <c r="G7363" i="6"/>
  <c r="G7364" i="6"/>
  <c r="G7365" i="6"/>
  <c r="G7366" i="6"/>
  <c r="G7367" i="6"/>
  <c r="G7368" i="6"/>
  <c r="G7369" i="6"/>
  <c r="G7370" i="6"/>
  <c r="G7371" i="6"/>
  <c r="G7372" i="6"/>
  <c r="G7373" i="6"/>
  <c r="G7374" i="6"/>
  <c r="G7375" i="6"/>
  <c r="G7376" i="6"/>
  <c r="G7377" i="6"/>
  <c r="G7378" i="6"/>
  <c r="G7379" i="6"/>
  <c r="G7380" i="6"/>
  <c r="G7381" i="6"/>
  <c r="G7382" i="6"/>
  <c r="G7383" i="6"/>
  <c r="G7384" i="6"/>
  <c r="G7385" i="6"/>
  <c r="G7386" i="6"/>
  <c r="G7387" i="6"/>
  <c r="G7388" i="6"/>
  <c r="G7389" i="6"/>
  <c r="G7390" i="6"/>
  <c r="G7391" i="6"/>
  <c r="G7392" i="6"/>
  <c r="G7393" i="6"/>
  <c r="G7394" i="6"/>
  <c r="G7395" i="6"/>
  <c r="G7396" i="6"/>
  <c r="G7397" i="6"/>
  <c r="G7398" i="6"/>
  <c r="G7399" i="6"/>
  <c r="G7400" i="6"/>
  <c r="G7401" i="6"/>
  <c r="G7402" i="6"/>
  <c r="G7403" i="6"/>
  <c r="G7404" i="6"/>
  <c r="G7405" i="6"/>
  <c r="G7406" i="6"/>
  <c r="G7407" i="6"/>
  <c r="G7408" i="6"/>
  <c r="G7409" i="6"/>
  <c r="G7410" i="6"/>
  <c r="G7411" i="6"/>
  <c r="G7412" i="6"/>
  <c r="G7413" i="6"/>
  <c r="G7414" i="6"/>
  <c r="G7415" i="6"/>
  <c r="G7416" i="6"/>
  <c r="G7417" i="6"/>
  <c r="G7418" i="6"/>
  <c r="G7419" i="6"/>
  <c r="G7420" i="6"/>
  <c r="G7421" i="6"/>
  <c r="G7422" i="6"/>
  <c r="G7423" i="6"/>
  <c r="G7424" i="6"/>
  <c r="G7425" i="6"/>
  <c r="G7426" i="6"/>
  <c r="G7427" i="6"/>
  <c r="G7428" i="6"/>
  <c r="G7429" i="6"/>
  <c r="G7430" i="6"/>
  <c r="G7431" i="6"/>
  <c r="G7432" i="6"/>
  <c r="G7433" i="6"/>
  <c r="G7434" i="6"/>
  <c r="G7435" i="6"/>
  <c r="G7436" i="6"/>
  <c r="G7437" i="6"/>
  <c r="G7438" i="6"/>
  <c r="G7439" i="6"/>
  <c r="G7440" i="6"/>
  <c r="G7441" i="6"/>
  <c r="G7442" i="6"/>
  <c r="G7443" i="6"/>
  <c r="G7444" i="6"/>
  <c r="G7445" i="6"/>
  <c r="G7446" i="6"/>
  <c r="G7447" i="6"/>
  <c r="G7448" i="6"/>
  <c r="G7449" i="6"/>
  <c r="G7450" i="6"/>
  <c r="G7451" i="6"/>
  <c r="G7452" i="6"/>
  <c r="G7453" i="6"/>
  <c r="G7454" i="6"/>
  <c r="G7455" i="6"/>
  <c r="G7456" i="6"/>
  <c r="G7457" i="6"/>
  <c r="G7458" i="6"/>
  <c r="G7459" i="6"/>
  <c r="G7460" i="6"/>
  <c r="G7461" i="6"/>
  <c r="G7462" i="6"/>
  <c r="G7463" i="6"/>
  <c r="G7464" i="6"/>
  <c r="G7465" i="6"/>
  <c r="G7466" i="6"/>
  <c r="G7467" i="6"/>
  <c r="G7468" i="6"/>
  <c r="G7469" i="6"/>
  <c r="G7470" i="6"/>
  <c r="G7471" i="6"/>
  <c r="G7472" i="6"/>
  <c r="G7473" i="6"/>
  <c r="G7474" i="6"/>
  <c r="G7475" i="6"/>
  <c r="G7476" i="6"/>
  <c r="G7477" i="6"/>
  <c r="G7478" i="6"/>
  <c r="G7479" i="6"/>
  <c r="G7480" i="6"/>
  <c r="G7481" i="6"/>
  <c r="G7482" i="6"/>
  <c r="G7483" i="6"/>
  <c r="G7484" i="6"/>
  <c r="G7485" i="6"/>
  <c r="G7486" i="6"/>
  <c r="G7487" i="6"/>
  <c r="G7488" i="6"/>
  <c r="G7489" i="6"/>
  <c r="G7490" i="6"/>
  <c r="G7491" i="6"/>
  <c r="G7492" i="6"/>
  <c r="G7493" i="6"/>
  <c r="G7494" i="6"/>
  <c r="G7495" i="6"/>
  <c r="G7496" i="6"/>
  <c r="G7497" i="6"/>
  <c r="G7498" i="6"/>
  <c r="G7499" i="6"/>
  <c r="G7500" i="6"/>
  <c r="G7501" i="6"/>
  <c r="G7502" i="6"/>
  <c r="G7503" i="6"/>
  <c r="G7504" i="6"/>
  <c r="G7505" i="6"/>
  <c r="G7506" i="6"/>
  <c r="G7507" i="6"/>
  <c r="G7508" i="6"/>
  <c r="G7509" i="6"/>
  <c r="G7510" i="6"/>
  <c r="G7511" i="6"/>
  <c r="G7512" i="6"/>
  <c r="G7513" i="6"/>
  <c r="G7514" i="6"/>
  <c r="G7515" i="6"/>
  <c r="G7516" i="6"/>
  <c r="G7517" i="6"/>
  <c r="G7518" i="6"/>
  <c r="G7519" i="6"/>
  <c r="G7520" i="6"/>
  <c r="G7521" i="6"/>
  <c r="G7522" i="6"/>
  <c r="G7523" i="6"/>
  <c r="G7524" i="6"/>
  <c r="G7525" i="6"/>
  <c r="G7526" i="6"/>
  <c r="G7527" i="6"/>
  <c r="G7528" i="6"/>
  <c r="G7529" i="6"/>
  <c r="G7530" i="6"/>
  <c r="G7531" i="6"/>
  <c r="G7532" i="6"/>
  <c r="G7533" i="6"/>
  <c r="G7534" i="6"/>
  <c r="G7535" i="6"/>
  <c r="G7536" i="6"/>
  <c r="G7537" i="6"/>
  <c r="G7538" i="6"/>
  <c r="G7539" i="6"/>
  <c r="G7540" i="6"/>
  <c r="G7541" i="6"/>
  <c r="G7542" i="6"/>
  <c r="G7543" i="6"/>
  <c r="G7544" i="6"/>
  <c r="G7545" i="6"/>
  <c r="G7546" i="6"/>
  <c r="G7547" i="6"/>
  <c r="G7548" i="6"/>
  <c r="G7549" i="6"/>
  <c r="G7550" i="6"/>
  <c r="G7551" i="6"/>
  <c r="G7552" i="6"/>
  <c r="G7553" i="6"/>
  <c r="G7554" i="6"/>
  <c r="G7555" i="6"/>
  <c r="G7556" i="6"/>
  <c r="G7557" i="6"/>
  <c r="G7558" i="6"/>
  <c r="G7559" i="6"/>
  <c r="G7560" i="6"/>
  <c r="G7561" i="6"/>
  <c r="G7562" i="6"/>
  <c r="G7563" i="6"/>
  <c r="G7564" i="6"/>
  <c r="G7565" i="6"/>
  <c r="G7566" i="6"/>
  <c r="G7567" i="6"/>
  <c r="G7568" i="6"/>
  <c r="G7569" i="6"/>
  <c r="G7570" i="6"/>
  <c r="G7571" i="6"/>
  <c r="G7572" i="6"/>
  <c r="G7573" i="6"/>
  <c r="G7574" i="6"/>
  <c r="G7575" i="6"/>
  <c r="G7576" i="6"/>
  <c r="G7577" i="6"/>
  <c r="G7578" i="6"/>
  <c r="G7579" i="6"/>
  <c r="G7580" i="6"/>
  <c r="G7581" i="6"/>
  <c r="G7582" i="6"/>
  <c r="G7583" i="6"/>
  <c r="G7584" i="6"/>
  <c r="G7585" i="6"/>
  <c r="G7586" i="6"/>
  <c r="G7587" i="6"/>
  <c r="G7588" i="6"/>
  <c r="G7589" i="6"/>
  <c r="G7590" i="6"/>
  <c r="G7591" i="6"/>
  <c r="G7592" i="6"/>
  <c r="G7593" i="6"/>
  <c r="G7594" i="6"/>
  <c r="G7595" i="6"/>
  <c r="G7596" i="6"/>
  <c r="G7597" i="6"/>
  <c r="G7598" i="6"/>
  <c r="G7599" i="6"/>
  <c r="G7600" i="6"/>
  <c r="G7601" i="6"/>
  <c r="G7602" i="6"/>
  <c r="G7603" i="6"/>
  <c r="G7604" i="6"/>
  <c r="G7605" i="6"/>
  <c r="G7606" i="6"/>
  <c r="G7607" i="6"/>
  <c r="G7608" i="6"/>
  <c r="G7609" i="6"/>
  <c r="G7610" i="6"/>
  <c r="G7611" i="6"/>
  <c r="G7612" i="6"/>
  <c r="G7613" i="6"/>
  <c r="G7614" i="6"/>
  <c r="G7615" i="6"/>
  <c r="G7616" i="6"/>
  <c r="G7617" i="6"/>
  <c r="G7618" i="6"/>
  <c r="G7619" i="6"/>
  <c r="G7620" i="6"/>
  <c r="G7621" i="6"/>
  <c r="G7622" i="6"/>
  <c r="G7623" i="6"/>
  <c r="G7624" i="6"/>
  <c r="G7625" i="6"/>
  <c r="G7626" i="6"/>
  <c r="G7627" i="6"/>
  <c r="G7628" i="6"/>
  <c r="G7629" i="6"/>
  <c r="G7630" i="6"/>
  <c r="G7631" i="6"/>
  <c r="G7632" i="6"/>
  <c r="G7633" i="6"/>
  <c r="G7634" i="6"/>
  <c r="G7635" i="6"/>
  <c r="G7636" i="6"/>
  <c r="G7637" i="6"/>
  <c r="G7638" i="6"/>
  <c r="G7639" i="6"/>
  <c r="G7640" i="6"/>
  <c r="G7641" i="6"/>
  <c r="G7642" i="6"/>
  <c r="G7643" i="6"/>
  <c r="G7644" i="6"/>
  <c r="G7645" i="6"/>
  <c r="G7646" i="6"/>
  <c r="G7647" i="6"/>
  <c r="G7648" i="6"/>
  <c r="G7649" i="6"/>
  <c r="G7650" i="6"/>
  <c r="G7651" i="6"/>
  <c r="G7652" i="6"/>
  <c r="G7653" i="6"/>
  <c r="G7654" i="6"/>
  <c r="G7655" i="6"/>
  <c r="G7656" i="6"/>
  <c r="G7657" i="6"/>
  <c r="G7658" i="6"/>
  <c r="G7659" i="6"/>
  <c r="G7660" i="6"/>
  <c r="G7661" i="6"/>
  <c r="G7662" i="6"/>
  <c r="G7663" i="6"/>
  <c r="G7664" i="6"/>
  <c r="G7665" i="6"/>
  <c r="G7666" i="6"/>
  <c r="G7667" i="6"/>
  <c r="G7668" i="6"/>
  <c r="G7669" i="6"/>
  <c r="G7670" i="6"/>
  <c r="G7671" i="6"/>
  <c r="G7672" i="6"/>
  <c r="G7673" i="6"/>
  <c r="G7674" i="6"/>
  <c r="G7675" i="6"/>
  <c r="G7676" i="6"/>
  <c r="G7677" i="6"/>
  <c r="G7678" i="6"/>
  <c r="G7679" i="6"/>
  <c r="G7680" i="6"/>
  <c r="G7681" i="6"/>
  <c r="G7682" i="6"/>
  <c r="G7683" i="6"/>
  <c r="G7684" i="6"/>
  <c r="G7685" i="6"/>
  <c r="G7686" i="6"/>
  <c r="G7687" i="6"/>
  <c r="G7688" i="6"/>
  <c r="G7689" i="6"/>
  <c r="G7690" i="6"/>
  <c r="G7691" i="6"/>
  <c r="G7692" i="6"/>
  <c r="G7693" i="6"/>
  <c r="G7694" i="6"/>
  <c r="G7695" i="6"/>
  <c r="G7696" i="6"/>
  <c r="G7697" i="6"/>
  <c r="G7698" i="6"/>
  <c r="G7699" i="6"/>
  <c r="G7700" i="6"/>
  <c r="G7701" i="6"/>
  <c r="G7702" i="6"/>
  <c r="G7703" i="6"/>
  <c r="G7704" i="6"/>
  <c r="G7705" i="6"/>
  <c r="G7706" i="6"/>
  <c r="G7707" i="6"/>
  <c r="G7708" i="6"/>
  <c r="G7709" i="6"/>
  <c r="G7710" i="6"/>
  <c r="G7711" i="6"/>
  <c r="G7712" i="6"/>
  <c r="G7713" i="6"/>
  <c r="G7714" i="6"/>
  <c r="G7715" i="6"/>
  <c r="G7716" i="6"/>
  <c r="G7717" i="6"/>
  <c r="G7718" i="6"/>
  <c r="G7719" i="6"/>
  <c r="G7720" i="6"/>
  <c r="G7721" i="6"/>
  <c r="G7722" i="6"/>
  <c r="G7723" i="6"/>
  <c r="G7724" i="6"/>
  <c r="G7725" i="6"/>
  <c r="G7726" i="6"/>
  <c r="G7727" i="6"/>
  <c r="G7728" i="6"/>
  <c r="G7729" i="6"/>
  <c r="G7730" i="6"/>
  <c r="G7731" i="6"/>
  <c r="G7732" i="6"/>
  <c r="G7733" i="6"/>
  <c r="G7734" i="6"/>
  <c r="G7735" i="6"/>
  <c r="G7736" i="6"/>
  <c r="G7737" i="6"/>
  <c r="G7738" i="6"/>
  <c r="G7739" i="6"/>
  <c r="G7740" i="6"/>
  <c r="G7741" i="6"/>
  <c r="G7742" i="6"/>
  <c r="G7743" i="6"/>
  <c r="G7744" i="6"/>
  <c r="G7745" i="6"/>
  <c r="G7746" i="6"/>
  <c r="G7747" i="6"/>
  <c r="G7748" i="6"/>
  <c r="G7749" i="6"/>
  <c r="G7750" i="6"/>
  <c r="G7751" i="6"/>
  <c r="G7752" i="6"/>
  <c r="G7753" i="6"/>
  <c r="G7754" i="6"/>
  <c r="G7755" i="6"/>
  <c r="G7756" i="6"/>
  <c r="G7757" i="6"/>
  <c r="G7758" i="6"/>
  <c r="G7759" i="6"/>
  <c r="G7760" i="6"/>
  <c r="G7761" i="6"/>
  <c r="G7762" i="6"/>
  <c r="G7763" i="6"/>
  <c r="G7764" i="6"/>
  <c r="G7765" i="6"/>
  <c r="G7766" i="6"/>
  <c r="G7767" i="6"/>
  <c r="G7768" i="6"/>
  <c r="G7769" i="6"/>
  <c r="G7770" i="6"/>
  <c r="G7771" i="6"/>
  <c r="G7772" i="6"/>
  <c r="G7773" i="6"/>
  <c r="G7774" i="6"/>
  <c r="G7775" i="6"/>
  <c r="G7776" i="6"/>
  <c r="G7777" i="6"/>
  <c r="G7778" i="6"/>
  <c r="G7779" i="6"/>
  <c r="G7780" i="6"/>
  <c r="G7781" i="6"/>
  <c r="G7782" i="6"/>
  <c r="G7783" i="6"/>
  <c r="G7784" i="6"/>
  <c r="G7785" i="6"/>
  <c r="G7786" i="6"/>
  <c r="G7787" i="6"/>
  <c r="G7788" i="6"/>
  <c r="G7789" i="6"/>
  <c r="G7790" i="6"/>
  <c r="G7791" i="6"/>
  <c r="G7792" i="6"/>
  <c r="G7793" i="6"/>
  <c r="G7794" i="6"/>
  <c r="G7795" i="6"/>
  <c r="G7796" i="6"/>
  <c r="G7797" i="6"/>
  <c r="G7798" i="6"/>
  <c r="G7799" i="6"/>
  <c r="G7800" i="6"/>
  <c r="G7801" i="6"/>
  <c r="G7802" i="6"/>
  <c r="G7803" i="6"/>
  <c r="G7804" i="6"/>
  <c r="G7805" i="6"/>
  <c r="G7806" i="6"/>
  <c r="G7807" i="6"/>
  <c r="G7808" i="6"/>
  <c r="G7809" i="6"/>
  <c r="G7810" i="6"/>
  <c r="G7811" i="6"/>
  <c r="G7812" i="6"/>
  <c r="G7813" i="6"/>
  <c r="G7814" i="6"/>
  <c r="G7815" i="6"/>
  <c r="G7816" i="6"/>
  <c r="G7817" i="6"/>
  <c r="G7818" i="6"/>
  <c r="G7819" i="6"/>
  <c r="G7820" i="6"/>
  <c r="G7821" i="6"/>
  <c r="G7822" i="6"/>
  <c r="G7823" i="6"/>
  <c r="G7824" i="6"/>
  <c r="G7825" i="6"/>
  <c r="G7826" i="6"/>
  <c r="G7827" i="6"/>
  <c r="G7828" i="6"/>
  <c r="G7829" i="6"/>
  <c r="G7830" i="6"/>
  <c r="G7831" i="6"/>
  <c r="G7832" i="6"/>
  <c r="G7833" i="6"/>
  <c r="G7834" i="6"/>
  <c r="G7835" i="6"/>
  <c r="G7836" i="6"/>
  <c r="G7837" i="6"/>
  <c r="G7838" i="6"/>
  <c r="G7839" i="6"/>
  <c r="G7840" i="6"/>
  <c r="G7841" i="6"/>
  <c r="G7842" i="6"/>
  <c r="G7843" i="6"/>
  <c r="G7844" i="6"/>
  <c r="G7845" i="6"/>
  <c r="G7846" i="6"/>
  <c r="G7847" i="6"/>
  <c r="G7848" i="6"/>
  <c r="G7849" i="6"/>
  <c r="G7850" i="6"/>
  <c r="G7851" i="6"/>
  <c r="G7852" i="6"/>
  <c r="G7854" i="6"/>
  <c r="G7855" i="6"/>
  <c r="G7857" i="6"/>
  <c r="I7857" i="6" s="1"/>
  <c r="G7858" i="6"/>
  <c r="G7859" i="6"/>
  <c r="G7860" i="6"/>
  <c r="G7861" i="6"/>
  <c r="G7862" i="6"/>
  <c r="G7863" i="6"/>
  <c r="G7864" i="6"/>
  <c r="G7865" i="6"/>
  <c r="G7866" i="6"/>
  <c r="G7867" i="6"/>
  <c r="G7868" i="6"/>
  <c r="G7869" i="6"/>
  <c r="G7870" i="6"/>
  <c r="G7871" i="6"/>
  <c r="G7872" i="6"/>
  <c r="G7873" i="6"/>
  <c r="G7874" i="6"/>
  <c r="G7875" i="6"/>
  <c r="G7876" i="6"/>
  <c r="G7877" i="6"/>
  <c r="G7878" i="6"/>
  <c r="G7879" i="6"/>
  <c r="G7880" i="6"/>
  <c r="G7881" i="6"/>
  <c r="G7882" i="6"/>
  <c r="G7883" i="6"/>
  <c r="G7884" i="6"/>
  <c r="G7885" i="6"/>
  <c r="G7886" i="6"/>
  <c r="G7887" i="6"/>
  <c r="G7888" i="6"/>
  <c r="G7889" i="6"/>
  <c r="G7890" i="6"/>
  <c r="G7891" i="6"/>
  <c r="G7892" i="6"/>
  <c r="G7893" i="6"/>
  <c r="G7894" i="6"/>
  <c r="G7895" i="6"/>
  <c r="G7896" i="6"/>
  <c r="G7897" i="6"/>
  <c r="G7898" i="6"/>
  <c r="G7899" i="6"/>
  <c r="G7900" i="6"/>
  <c r="G7901" i="6"/>
  <c r="G7902" i="6"/>
  <c r="G7903" i="6"/>
  <c r="G7904" i="6"/>
  <c r="G7905" i="6"/>
  <c r="G7906" i="6"/>
  <c r="G7907" i="6"/>
  <c r="G7908" i="6"/>
  <c r="G7909" i="6"/>
  <c r="G7910" i="6"/>
  <c r="G7911" i="6"/>
  <c r="G7912" i="6"/>
  <c r="G7913" i="6"/>
  <c r="G7914" i="6"/>
  <c r="G7915" i="6"/>
  <c r="G7916" i="6"/>
  <c r="G7917" i="6"/>
  <c r="G7918" i="6"/>
  <c r="G7919" i="6"/>
  <c r="G7920" i="6"/>
  <c r="G7921" i="6"/>
  <c r="G7922" i="6"/>
  <c r="G7923" i="6"/>
  <c r="G7924" i="6"/>
  <c r="G7925" i="6"/>
  <c r="G7926" i="6"/>
  <c r="G7927" i="6"/>
  <c r="G7928" i="6"/>
  <c r="G7929" i="6"/>
  <c r="G7930" i="6"/>
  <c r="G7931" i="6"/>
  <c r="G7932" i="6"/>
  <c r="G7933" i="6"/>
  <c r="G7934" i="6"/>
  <c r="G7935" i="6"/>
  <c r="G7936" i="6"/>
  <c r="G7937" i="6"/>
  <c r="G7938" i="6"/>
  <c r="G7939" i="6"/>
  <c r="G7940" i="6"/>
  <c r="G7941" i="6"/>
  <c r="G7942" i="6"/>
  <c r="G7943" i="6"/>
  <c r="G7944" i="6"/>
  <c r="G7945" i="6"/>
  <c r="G7946" i="6"/>
  <c r="G7947" i="6"/>
  <c r="G7948" i="6"/>
  <c r="G7949" i="6"/>
  <c r="G7950" i="6"/>
  <c r="G7951" i="6"/>
  <c r="G7952" i="6"/>
  <c r="G7953" i="6"/>
  <c r="G7954" i="6"/>
  <c r="G7955" i="6"/>
  <c r="G7956" i="6"/>
  <c r="G7957" i="6"/>
  <c r="G7958" i="6"/>
  <c r="G7959" i="6"/>
  <c r="G7960" i="6"/>
  <c r="G7961" i="6"/>
  <c r="G7962" i="6"/>
  <c r="G7963" i="6"/>
  <c r="G7964" i="6"/>
  <c r="G7965" i="6"/>
  <c r="G7966" i="6"/>
  <c r="G7967" i="6"/>
  <c r="G7968" i="6"/>
  <c r="G7969" i="6"/>
  <c r="G7970" i="6"/>
  <c r="G7971" i="6"/>
  <c r="G7972" i="6"/>
  <c r="G7973" i="6"/>
  <c r="G7974" i="6"/>
  <c r="G7975" i="6"/>
  <c r="G7976" i="6"/>
  <c r="G7977" i="6"/>
  <c r="G7978" i="6"/>
  <c r="G7979" i="6"/>
  <c r="G7980" i="6"/>
  <c r="G7981" i="6"/>
  <c r="G7982" i="6"/>
  <c r="G7983" i="6"/>
  <c r="G7984" i="6"/>
  <c r="G7985" i="6"/>
  <c r="G7986" i="6"/>
  <c r="G7987" i="6"/>
  <c r="G7988" i="6"/>
  <c r="G7989" i="6"/>
  <c r="G7990" i="6"/>
  <c r="G7991" i="6"/>
  <c r="G7992" i="6"/>
  <c r="G7993" i="6"/>
  <c r="G7994" i="6"/>
  <c r="G7995" i="6"/>
  <c r="G7996" i="6"/>
  <c r="G7997" i="6"/>
  <c r="G7998" i="6"/>
  <c r="G7999" i="6"/>
  <c r="G8000" i="6"/>
  <c r="G8001" i="6"/>
  <c r="G8002" i="6"/>
  <c r="G8003" i="6"/>
  <c r="G8004" i="6"/>
  <c r="G8005" i="6"/>
  <c r="G8006" i="6"/>
  <c r="G8007" i="6"/>
  <c r="G8008" i="6"/>
  <c r="G8009" i="6"/>
  <c r="G8010" i="6"/>
  <c r="G8011" i="6"/>
  <c r="G8012" i="6"/>
  <c r="G8013" i="6"/>
  <c r="G8014" i="6"/>
  <c r="G8015" i="6"/>
  <c r="G8016" i="6"/>
  <c r="G8017" i="6"/>
  <c r="G8018" i="6"/>
  <c r="G8019" i="6"/>
  <c r="G8020" i="6"/>
  <c r="G8021" i="6"/>
  <c r="G8022" i="6"/>
  <c r="G8023" i="6"/>
  <c r="G8024" i="6"/>
  <c r="G8025" i="6"/>
  <c r="G8026" i="6"/>
  <c r="G8027" i="6"/>
  <c r="G8028" i="6"/>
  <c r="G8029" i="6"/>
  <c r="G8030" i="6"/>
  <c r="G8031" i="6"/>
  <c r="G8032" i="6"/>
  <c r="G8033" i="6"/>
  <c r="G8034" i="6"/>
  <c r="G8035" i="6"/>
  <c r="G8036" i="6"/>
  <c r="G8037" i="6"/>
  <c r="G8038" i="6"/>
  <c r="G8039" i="6"/>
  <c r="G8040" i="6"/>
  <c r="G8041" i="6"/>
  <c r="G8042" i="6"/>
  <c r="G8043" i="6"/>
  <c r="G8044" i="6"/>
  <c r="G8045" i="6"/>
  <c r="G8046" i="6"/>
  <c r="G8047" i="6"/>
  <c r="G8048" i="6"/>
  <c r="G8049" i="6"/>
  <c r="G8050" i="6"/>
  <c r="G8051" i="6"/>
  <c r="G8052" i="6"/>
  <c r="G8053" i="6"/>
  <c r="G8054" i="6"/>
  <c r="G8055" i="6"/>
  <c r="G8056" i="6"/>
  <c r="G8057" i="6"/>
  <c r="G8058" i="6"/>
  <c r="G8059" i="6"/>
  <c r="G8060" i="6"/>
  <c r="G8061" i="6"/>
  <c r="G8062" i="6"/>
  <c r="G8063" i="6"/>
  <c r="G8064" i="6"/>
  <c r="G8065" i="6"/>
  <c r="G8066" i="6"/>
  <c r="G8067" i="6"/>
  <c r="G8068" i="6"/>
  <c r="G8069" i="6"/>
  <c r="G8070" i="6"/>
  <c r="G8071" i="6"/>
  <c r="G8072" i="6"/>
  <c r="G8073" i="6"/>
  <c r="G8074" i="6"/>
  <c r="G8075" i="6"/>
  <c r="G8076" i="6"/>
  <c r="G8077" i="6"/>
  <c r="G8078" i="6"/>
  <c r="G8079" i="6"/>
  <c r="G8080" i="6"/>
  <c r="G8081" i="6"/>
  <c r="G8082" i="6"/>
  <c r="G8083" i="6"/>
  <c r="G8084" i="6"/>
  <c r="G8085" i="6"/>
  <c r="G8086" i="6"/>
  <c r="G8087" i="6"/>
  <c r="G8088" i="6"/>
  <c r="G8089" i="6"/>
  <c r="G8090" i="6"/>
  <c r="G8091" i="6"/>
  <c r="G8092" i="6"/>
  <c r="G8093" i="6"/>
  <c r="G8094" i="6"/>
  <c r="G8095" i="6"/>
  <c r="G8096" i="6"/>
  <c r="G8097" i="6"/>
  <c r="G8098" i="6"/>
  <c r="G8099" i="6"/>
  <c r="G8101" i="6"/>
  <c r="G8102" i="6"/>
  <c r="G8103" i="6"/>
  <c r="G8104" i="6"/>
  <c r="G8105" i="6"/>
  <c r="G8106" i="6"/>
  <c r="G8107" i="6"/>
  <c r="G8108" i="6"/>
  <c r="G8109" i="6"/>
  <c r="G8110" i="6"/>
  <c r="G8111" i="6"/>
  <c r="G8112" i="6"/>
  <c r="G8113" i="6"/>
  <c r="G8114" i="6"/>
  <c r="G8115" i="6"/>
  <c r="G8116" i="6"/>
  <c r="G8117" i="6"/>
  <c r="G8118" i="6"/>
  <c r="G8119" i="6"/>
  <c r="G8120" i="6"/>
  <c r="G8121" i="6"/>
  <c r="G8122" i="6"/>
  <c r="G8123" i="6"/>
  <c r="G8124" i="6"/>
  <c r="G8125" i="6"/>
  <c r="G8126" i="6"/>
  <c r="G8127" i="6"/>
  <c r="G8128" i="6"/>
  <c r="G8129" i="6"/>
  <c r="G8130" i="6"/>
  <c r="G8131" i="6"/>
  <c r="G8132" i="6"/>
  <c r="G8133" i="6"/>
  <c r="G8134" i="6"/>
  <c r="G8135" i="6"/>
  <c r="G8136" i="6"/>
  <c r="G8137" i="6"/>
  <c r="G8138" i="6"/>
  <c r="G8139" i="6"/>
  <c r="G8140" i="6"/>
  <c r="G8141" i="6"/>
  <c r="G8142" i="6"/>
  <c r="G8143" i="6"/>
  <c r="G8144" i="6"/>
  <c r="G8145" i="6"/>
  <c r="G8146" i="6"/>
  <c r="G8147" i="6"/>
  <c r="G8148" i="6"/>
  <c r="G8149" i="6"/>
  <c r="G8150" i="6"/>
  <c r="G8151" i="6"/>
  <c r="G8152" i="6"/>
  <c r="G8153" i="6"/>
  <c r="G8154" i="6"/>
  <c r="G8155" i="6"/>
  <c r="G8156" i="6"/>
  <c r="G8157" i="6"/>
  <c r="G8158" i="6"/>
  <c r="G8159" i="6"/>
  <c r="G8160" i="6"/>
  <c r="G8161" i="6"/>
  <c r="G8162" i="6"/>
  <c r="G8163" i="6"/>
  <c r="G8164" i="6"/>
  <c r="G8165" i="6"/>
  <c r="G8166" i="6"/>
  <c r="G8167" i="6"/>
  <c r="G8168" i="6"/>
  <c r="G8169" i="6"/>
  <c r="G8170" i="6"/>
  <c r="G8172" i="6"/>
  <c r="G8173" i="6"/>
  <c r="G8174" i="6"/>
  <c r="G8175" i="6"/>
  <c r="G8176" i="6"/>
  <c r="G8177" i="6"/>
  <c r="G8178" i="6"/>
  <c r="G8179" i="6"/>
  <c r="G8180" i="6"/>
  <c r="G8181" i="6"/>
  <c r="G8182" i="6"/>
  <c r="G8183" i="6"/>
  <c r="G8184" i="6"/>
  <c r="G8185" i="6"/>
  <c r="G8186" i="6"/>
  <c r="G8187" i="6"/>
  <c r="G8188" i="6"/>
  <c r="G8189" i="6"/>
  <c r="G8190" i="6"/>
  <c r="G8191" i="6"/>
  <c r="G8192" i="6"/>
  <c r="G8193" i="6"/>
  <c r="G8194" i="6"/>
  <c r="G8195" i="6"/>
  <c r="G8196" i="6"/>
  <c r="G8197" i="6"/>
  <c r="G8198" i="6"/>
  <c r="G8199" i="6"/>
  <c r="G8200" i="6"/>
  <c r="G8201" i="6"/>
  <c r="G8202" i="6"/>
  <c r="G8203" i="6"/>
  <c r="G8204" i="6"/>
  <c r="G8205" i="6"/>
  <c r="G8206" i="6"/>
  <c r="G8207" i="6"/>
  <c r="G8208" i="6"/>
  <c r="G8209" i="6"/>
  <c r="G8210" i="6"/>
  <c r="G8211" i="6"/>
  <c r="G8212" i="6"/>
  <c r="G8213" i="6"/>
  <c r="G8214" i="6"/>
  <c r="G8215" i="6"/>
  <c r="G8216" i="6"/>
  <c r="G8217" i="6"/>
  <c r="G8218" i="6"/>
  <c r="G8219" i="6"/>
  <c r="G8220" i="6"/>
  <c r="G8221" i="6"/>
  <c r="G8222" i="6"/>
  <c r="G8223" i="6"/>
  <c r="G8224" i="6"/>
  <c r="G8225" i="6"/>
  <c r="G8226" i="6"/>
  <c r="G8227" i="6"/>
  <c r="G8228" i="6"/>
  <c r="G8229" i="6"/>
  <c r="G8230" i="6"/>
  <c r="G8231" i="6"/>
  <c r="G8232" i="6"/>
  <c r="G8233" i="6"/>
  <c r="G8234" i="6"/>
  <c r="G8235" i="6"/>
  <c r="G8236" i="6"/>
  <c r="G8237" i="6"/>
  <c r="G8238" i="6"/>
  <c r="G8239" i="6"/>
  <c r="G8240" i="6"/>
  <c r="G8241" i="6"/>
  <c r="G8242" i="6"/>
  <c r="G8243" i="6"/>
  <c r="G8244" i="6"/>
  <c r="G8245" i="6"/>
  <c r="G8246" i="6"/>
  <c r="G8247" i="6"/>
  <c r="G8248" i="6"/>
  <c r="G8249" i="6"/>
  <c r="G8250" i="6"/>
  <c r="G8251" i="6"/>
  <c r="G8252" i="6"/>
  <c r="G8253" i="6"/>
  <c r="G8254" i="6"/>
  <c r="G8255" i="6"/>
  <c r="G8256" i="6"/>
  <c r="G8257" i="6"/>
  <c r="G8258" i="6"/>
  <c r="G8259" i="6"/>
  <c r="G8260" i="6"/>
  <c r="G8261" i="6"/>
  <c r="G8262" i="6"/>
  <c r="G8263" i="6"/>
  <c r="G8264" i="6"/>
  <c r="G8265" i="6"/>
  <c r="G8266" i="6"/>
  <c r="G8267" i="6"/>
  <c r="G8268" i="6"/>
  <c r="G8269" i="6"/>
  <c r="G8270" i="6"/>
  <c r="G8271" i="6"/>
  <c r="G8272" i="6"/>
  <c r="G8273" i="6"/>
  <c r="G8274" i="6"/>
  <c r="G8275" i="6"/>
  <c r="G8276" i="6"/>
  <c r="G8277" i="6"/>
  <c r="G8278" i="6"/>
  <c r="G8279" i="6"/>
  <c r="G8280" i="6"/>
  <c r="G8281" i="6"/>
  <c r="G8282" i="6"/>
  <c r="G8283" i="6"/>
  <c r="G8284" i="6"/>
  <c r="G8285" i="6"/>
  <c r="G8286" i="6"/>
  <c r="G8287" i="6"/>
  <c r="G8288" i="6"/>
  <c r="G8289" i="6"/>
  <c r="G8290" i="6"/>
  <c r="G8291" i="6"/>
  <c r="G8292" i="6"/>
  <c r="G8293" i="6"/>
  <c r="G8294" i="6"/>
  <c r="G8295" i="6"/>
  <c r="G8296" i="6"/>
  <c r="G8297" i="6"/>
  <c r="G8298" i="6"/>
  <c r="G8299" i="6"/>
  <c r="G8300" i="6"/>
  <c r="G8301" i="6"/>
  <c r="G8302" i="6"/>
  <c r="G8303" i="6"/>
  <c r="G8304" i="6"/>
  <c r="G8305" i="6"/>
  <c r="G8306" i="6"/>
  <c r="G8307" i="6"/>
  <c r="G8308" i="6"/>
  <c r="G8309" i="6"/>
  <c r="G8310" i="6"/>
  <c r="G8311" i="6"/>
  <c r="G8312" i="6"/>
  <c r="G8313" i="6"/>
  <c r="G8314" i="6"/>
  <c r="G8315" i="6"/>
  <c r="G8316" i="6"/>
  <c r="G8317" i="6"/>
  <c r="G8318" i="6"/>
  <c r="G8319" i="6"/>
  <c r="G8320" i="6"/>
  <c r="G8321" i="6"/>
  <c r="G8322" i="6"/>
  <c r="G8323" i="6"/>
  <c r="G8324" i="6"/>
  <c r="G8325" i="6"/>
  <c r="G8326" i="6"/>
  <c r="G8327" i="6"/>
  <c r="G8328" i="6"/>
  <c r="G8329" i="6"/>
  <c r="G8330" i="6"/>
  <c r="G8331" i="6"/>
  <c r="G8332" i="6"/>
  <c r="G8333" i="6"/>
  <c r="G8334" i="6"/>
  <c r="G8335" i="6"/>
  <c r="G8336" i="6"/>
  <c r="G8337" i="6"/>
  <c r="G8338" i="6"/>
  <c r="G8339" i="6"/>
  <c r="G8340" i="6"/>
  <c r="G8341" i="6"/>
  <c r="G8342" i="6"/>
  <c r="G8343" i="6"/>
  <c r="G8344" i="6"/>
  <c r="G8345" i="6"/>
  <c r="G8346" i="6"/>
  <c r="G8347" i="6"/>
  <c r="G8348" i="6"/>
  <c r="G8349" i="6"/>
  <c r="G8350" i="6"/>
  <c r="G8351" i="6"/>
  <c r="G8352" i="6"/>
  <c r="G8353" i="6"/>
  <c r="G8354" i="6"/>
  <c r="G8355" i="6"/>
  <c r="G8356" i="6"/>
  <c r="G8357" i="6"/>
  <c r="G8358" i="6"/>
  <c r="G8359" i="6"/>
  <c r="G8360" i="6"/>
  <c r="G8361" i="6"/>
  <c r="G8362" i="6"/>
  <c r="G8363" i="6"/>
  <c r="G8364" i="6"/>
  <c r="G8365" i="6"/>
  <c r="G8366" i="6"/>
  <c r="G8367" i="6"/>
  <c r="G8368" i="6"/>
  <c r="G8369" i="6"/>
  <c r="G8370" i="6"/>
  <c r="G8371" i="6"/>
  <c r="G8372" i="6"/>
  <c r="G8373" i="6"/>
  <c r="G8374" i="6"/>
  <c r="G8375" i="6"/>
  <c r="G8376" i="6"/>
  <c r="G8377" i="6"/>
  <c r="G8378" i="6"/>
  <c r="G8379" i="6"/>
  <c r="G8380" i="6"/>
  <c r="G8381" i="6"/>
  <c r="G8382" i="6"/>
  <c r="G8383" i="6"/>
  <c r="G8384" i="6"/>
  <c r="G8385" i="6"/>
  <c r="G8386" i="6"/>
  <c r="G8387" i="6"/>
  <c r="G8388" i="6"/>
  <c r="G8389" i="6"/>
  <c r="G8390" i="6"/>
  <c r="G8391" i="6"/>
  <c r="G8392" i="6"/>
  <c r="G8393" i="6"/>
  <c r="G8394" i="6"/>
  <c r="G8395" i="6"/>
  <c r="G8396" i="6"/>
  <c r="G8397" i="6"/>
  <c r="G8398" i="6"/>
  <c r="G8399" i="6"/>
  <c r="G8400" i="6"/>
  <c r="G8401" i="6"/>
  <c r="G8402" i="6"/>
  <c r="G8403" i="6"/>
  <c r="G8404" i="6"/>
  <c r="G8405" i="6"/>
  <c r="G8406" i="6"/>
  <c r="G8407" i="6"/>
  <c r="G8408" i="6"/>
  <c r="G8409" i="6"/>
  <c r="G8410" i="6"/>
  <c r="G8411" i="6"/>
  <c r="G8412" i="6"/>
  <c r="G8413" i="6"/>
  <c r="G8414" i="6"/>
  <c r="G8415" i="6"/>
  <c r="G8416" i="6"/>
  <c r="G8417" i="6"/>
  <c r="G8418" i="6"/>
  <c r="G8419" i="6"/>
  <c r="G8420" i="6"/>
  <c r="G8421" i="6"/>
  <c r="G8422" i="6"/>
  <c r="G8423" i="6"/>
  <c r="G8424" i="6"/>
  <c r="G8425" i="6"/>
  <c r="G8426" i="6"/>
  <c r="G8427" i="6"/>
  <c r="G8428" i="6"/>
  <c r="G8429" i="6"/>
  <c r="G8430" i="6"/>
  <c r="G8431" i="6"/>
  <c r="G8432" i="6"/>
  <c r="G8433" i="6"/>
  <c r="G8434" i="6"/>
  <c r="G8435" i="6"/>
  <c r="G8436" i="6"/>
  <c r="G8437" i="6"/>
  <c r="G8438" i="6"/>
  <c r="G8439" i="6"/>
  <c r="G8440" i="6"/>
  <c r="G8441" i="6"/>
  <c r="G8442" i="6"/>
  <c r="G8443" i="6"/>
  <c r="G8444" i="6"/>
  <c r="G8445" i="6"/>
  <c r="G8446" i="6"/>
  <c r="G8447" i="6"/>
  <c r="G8448" i="6"/>
  <c r="G8449" i="6"/>
  <c r="G8450" i="6"/>
  <c r="G8451" i="6"/>
  <c r="G8452" i="6"/>
  <c r="G8453" i="6"/>
  <c r="G8454" i="6"/>
  <c r="G8455" i="6"/>
  <c r="G8456" i="6"/>
  <c r="G8457" i="6"/>
  <c r="G8458" i="6"/>
  <c r="G8459" i="6"/>
  <c r="G8460" i="6"/>
  <c r="G8461" i="6"/>
  <c r="G8462" i="6"/>
  <c r="G8463" i="6"/>
  <c r="G8464" i="6"/>
  <c r="G8465" i="6"/>
  <c r="G8466" i="6"/>
  <c r="G8467" i="6"/>
  <c r="G8468" i="6"/>
  <c r="G8469" i="6"/>
  <c r="G8470" i="6"/>
  <c r="G8471" i="6"/>
  <c r="G8472" i="6"/>
  <c r="G8473" i="6"/>
  <c r="G8474" i="6"/>
  <c r="G8475" i="6"/>
  <c r="G8476" i="6"/>
  <c r="G8477" i="6"/>
  <c r="G8478" i="6"/>
  <c r="G8479" i="6"/>
  <c r="G8480" i="6"/>
  <c r="G8481" i="6"/>
  <c r="G8482" i="6"/>
  <c r="G8483" i="6"/>
  <c r="G8484" i="6"/>
  <c r="G8485" i="6"/>
  <c r="G8486" i="6"/>
  <c r="G8487" i="6"/>
  <c r="G8488" i="6"/>
  <c r="G8489" i="6"/>
  <c r="G8490" i="6"/>
  <c r="G8491" i="6"/>
  <c r="G8492" i="6"/>
  <c r="G8493" i="6"/>
  <c r="G8494" i="6"/>
  <c r="G8495" i="6"/>
  <c r="G8496" i="6"/>
  <c r="G8497" i="6"/>
  <c r="G8498" i="6"/>
  <c r="G8499" i="6"/>
  <c r="G8500" i="6"/>
  <c r="G8501" i="6"/>
  <c r="G8502" i="6"/>
  <c r="G8503" i="6"/>
  <c r="G8504" i="6"/>
  <c r="G8505" i="6"/>
  <c r="G8506" i="6"/>
  <c r="G8507" i="6"/>
  <c r="G8508" i="6"/>
  <c r="G8509" i="6"/>
  <c r="G8510" i="6"/>
  <c r="G8511" i="6"/>
  <c r="G8512" i="6"/>
  <c r="G8513" i="6"/>
  <c r="G8514" i="6"/>
  <c r="G8515" i="6"/>
  <c r="G8516" i="6"/>
  <c r="G8517" i="6"/>
  <c r="G8518" i="6"/>
  <c r="G8519" i="6"/>
  <c r="G8520" i="6"/>
  <c r="G8521" i="6"/>
  <c r="G8522" i="6"/>
  <c r="G8523" i="6"/>
  <c r="G8524" i="6"/>
  <c r="G8525" i="6"/>
  <c r="G8526" i="6"/>
  <c r="G8527" i="6"/>
  <c r="G8528" i="6"/>
  <c r="G8529" i="6"/>
  <c r="G8530" i="6"/>
  <c r="G8531" i="6"/>
  <c r="G8532" i="6"/>
  <c r="G8533" i="6"/>
  <c r="G8534" i="6"/>
  <c r="G8535" i="6"/>
  <c r="G8536" i="6"/>
  <c r="G8537" i="6"/>
  <c r="G8538" i="6"/>
  <c r="G8539" i="6"/>
  <c r="G8540" i="6"/>
  <c r="G8541" i="6"/>
  <c r="G8542" i="6"/>
  <c r="G8543" i="6"/>
  <c r="G8544" i="6"/>
  <c r="G8545" i="6"/>
  <c r="G8546" i="6"/>
  <c r="G8547" i="6"/>
  <c r="G8548" i="6"/>
  <c r="G8549" i="6"/>
  <c r="G8550" i="6"/>
  <c r="G8551" i="6"/>
  <c r="G8552" i="6"/>
  <c r="G8553" i="6"/>
  <c r="G8554" i="6"/>
  <c r="G8555" i="6"/>
  <c r="G8556" i="6"/>
  <c r="G8557" i="6"/>
  <c r="G8558" i="6"/>
  <c r="G8559" i="6"/>
  <c r="G8560" i="6"/>
  <c r="G8561" i="6"/>
  <c r="G8562" i="6"/>
  <c r="G8563" i="6"/>
  <c r="G8564" i="6"/>
  <c r="G8565" i="6"/>
  <c r="G8566" i="6"/>
  <c r="G8567" i="6"/>
  <c r="G8568" i="6"/>
  <c r="G8569" i="6"/>
  <c r="G8570" i="6"/>
  <c r="G8571" i="6"/>
  <c r="G8572" i="6"/>
  <c r="G8573" i="6"/>
  <c r="G8574" i="6"/>
  <c r="G8575" i="6"/>
  <c r="G8576" i="6"/>
  <c r="G8577" i="6"/>
  <c r="G8578" i="6"/>
  <c r="G8579" i="6"/>
  <c r="G8580" i="6"/>
  <c r="G8581" i="6"/>
  <c r="G8582" i="6"/>
  <c r="G8583" i="6"/>
  <c r="G8584" i="6"/>
  <c r="G8585" i="6"/>
  <c r="G8586" i="6"/>
  <c r="G8587" i="6"/>
  <c r="G8588" i="6"/>
  <c r="G8589" i="6"/>
  <c r="G8590" i="6"/>
  <c r="G8591" i="6"/>
  <c r="G8592" i="6"/>
  <c r="G8593" i="6"/>
  <c r="G8594" i="6"/>
  <c r="G8595" i="6"/>
  <c r="G8596" i="6"/>
  <c r="G8597" i="6"/>
  <c r="G8598" i="6"/>
  <c r="G8599" i="6"/>
  <c r="G8600" i="6"/>
  <c r="G8601" i="6"/>
  <c r="G8602" i="6"/>
  <c r="G8603" i="6"/>
  <c r="G8604" i="6"/>
  <c r="G8605" i="6"/>
  <c r="G8606" i="6"/>
  <c r="G8607" i="6"/>
  <c r="G8608" i="6"/>
  <c r="G8609" i="6"/>
  <c r="G8610" i="6"/>
  <c r="G8611" i="6"/>
  <c r="G8612" i="6"/>
  <c r="G8613" i="6"/>
  <c r="G8614" i="6"/>
  <c r="G8615" i="6"/>
  <c r="G8616" i="6"/>
  <c r="G8617" i="6"/>
  <c r="G8618" i="6"/>
  <c r="G8619" i="6"/>
  <c r="G8620" i="6"/>
  <c r="G8621" i="6"/>
  <c r="G8622" i="6"/>
  <c r="G8623" i="6"/>
  <c r="G8624" i="6"/>
  <c r="G8625" i="6"/>
  <c r="G8626" i="6"/>
  <c r="G8627" i="6"/>
  <c r="G8628" i="6"/>
  <c r="G8629" i="6"/>
  <c r="G8630" i="6"/>
  <c r="G8631" i="6"/>
  <c r="G8632" i="6"/>
  <c r="G8633" i="6"/>
  <c r="G8634" i="6"/>
  <c r="G8635" i="6"/>
  <c r="G8636" i="6"/>
  <c r="G8637" i="6"/>
  <c r="G8638" i="6"/>
  <c r="G8639" i="6"/>
  <c r="G8640" i="6"/>
  <c r="G8641" i="6"/>
  <c r="G8642" i="6"/>
  <c r="G8643" i="6"/>
  <c r="G8644" i="6"/>
  <c r="G8645" i="6"/>
  <c r="G8646" i="6"/>
  <c r="G8647" i="6"/>
  <c r="G8648" i="6"/>
  <c r="G8649" i="6"/>
  <c r="G8650" i="6"/>
  <c r="G8651" i="6"/>
  <c r="G8652" i="6"/>
  <c r="G8653" i="6"/>
  <c r="G8654" i="6"/>
  <c r="G8655" i="6"/>
  <c r="G8656" i="6"/>
  <c r="G8657" i="6"/>
  <c r="G8658" i="6"/>
  <c r="G8659" i="6"/>
  <c r="G8660" i="6"/>
  <c r="G8661" i="6"/>
  <c r="G8662" i="6"/>
  <c r="G8663" i="6"/>
  <c r="G8664" i="6"/>
  <c r="G8665" i="6"/>
  <c r="G8666" i="6"/>
  <c r="G8667" i="6"/>
  <c r="G8668" i="6"/>
  <c r="G8669" i="6"/>
  <c r="G8670" i="6"/>
  <c r="G8671" i="6"/>
  <c r="G8672" i="6"/>
  <c r="G8673" i="6"/>
  <c r="G8674" i="6"/>
  <c r="G8675" i="6"/>
  <c r="G8676" i="6"/>
  <c r="G8677" i="6"/>
  <c r="G8678" i="6"/>
  <c r="G8679" i="6"/>
  <c r="G8680" i="6"/>
  <c r="G8681" i="6"/>
  <c r="G8682" i="6"/>
  <c r="G8683" i="6"/>
  <c r="G8684" i="6"/>
  <c r="G8685" i="6"/>
  <c r="G8686" i="6"/>
  <c r="G8687" i="6"/>
  <c r="G8688" i="6"/>
  <c r="G8689" i="6"/>
  <c r="G8690" i="6"/>
  <c r="G8691" i="6"/>
  <c r="G8692" i="6"/>
  <c r="G8693" i="6"/>
  <c r="G8694" i="6"/>
  <c r="G8695" i="6"/>
  <c r="G8696" i="6"/>
  <c r="G8697" i="6"/>
  <c r="G8698" i="6"/>
  <c r="G8699" i="6"/>
  <c r="G8700" i="6"/>
  <c r="G8701" i="6"/>
  <c r="G8702" i="6"/>
  <c r="G8703" i="6"/>
  <c r="G8704" i="6"/>
  <c r="G8705" i="6"/>
  <c r="G8706" i="6"/>
  <c r="G8707" i="6"/>
  <c r="G8708" i="6"/>
  <c r="G8709" i="6"/>
  <c r="G8710" i="6"/>
  <c r="G8711" i="6"/>
  <c r="G8712" i="6"/>
  <c r="G8713" i="6"/>
  <c r="G8714" i="6"/>
  <c r="G8715" i="6"/>
  <c r="G8716" i="6"/>
  <c r="G8717" i="6"/>
  <c r="G8718" i="6"/>
  <c r="G8719" i="6"/>
  <c r="G8720" i="6"/>
  <c r="G8721" i="6"/>
  <c r="G8722" i="6"/>
  <c r="G8723" i="6"/>
  <c r="G8724" i="6"/>
  <c r="G8725" i="6"/>
  <c r="G8726" i="6"/>
  <c r="G8727" i="6"/>
  <c r="G8728" i="6"/>
  <c r="G8729" i="6"/>
  <c r="G8730" i="6"/>
  <c r="G8731" i="6"/>
  <c r="G8732" i="6"/>
  <c r="G8733" i="6"/>
  <c r="G8734" i="6"/>
  <c r="G8735" i="6"/>
  <c r="G8736" i="6"/>
  <c r="G8737" i="6"/>
  <c r="G8738" i="6"/>
  <c r="G8739" i="6"/>
  <c r="G8740" i="6"/>
  <c r="G8741" i="6"/>
  <c r="G8742" i="6"/>
  <c r="G8743" i="6"/>
  <c r="G8744" i="6"/>
  <c r="G8745" i="6"/>
  <c r="G8746" i="6"/>
  <c r="G8747" i="6"/>
  <c r="G8748" i="6"/>
  <c r="G8749" i="6"/>
  <c r="G8750" i="6"/>
  <c r="G8751" i="6"/>
  <c r="G8752" i="6"/>
  <c r="G8753" i="6"/>
  <c r="G8754" i="6"/>
  <c r="G8755" i="6"/>
  <c r="G8756" i="6"/>
  <c r="G8757" i="6"/>
  <c r="G8758" i="6"/>
  <c r="G8759" i="6"/>
  <c r="G8760" i="6"/>
  <c r="G8761" i="6"/>
  <c r="G8762" i="6"/>
  <c r="G8763" i="6"/>
  <c r="G8764" i="6"/>
  <c r="G8765" i="6"/>
  <c r="G8766" i="6"/>
  <c r="G8767" i="6"/>
  <c r="G8768" i="6"/>
  <c r="G8769" i="6"/>
  <c r="G8770" i="6"/>
  <c r="G8771" i="6"/>
  <c r="G8772" i="6"/>
  <c r="G8773" i="6"/>
  <c r="G8774" i="6"/>
  <c r="G8775" i="6"/>
  <c r="G8776" i="6"/>
  <c r="G8777" i="6"/>
  <c r="G8778" i="6"/>
  <c r="G8779" i="6"/>
  <c r="G8780" i="6"/>
  <c r="G8781" i="6"/>
  <c r="G8782" i="6"/>
  <c r="G8783" i="6"/>
  <c r="G8784" i="6"/>
  <c r="G8785" i="6"/>
  <c r="G8786" i="6"/>
  <c r="G8787" i="6"/>
  <c r="G8788" i="6"/>
  <c r="G8789" i="6"/>
  <c r="G8790" i="6"/>
  <c r="G8791" i="6"/>
  <c r="G8792" i="6"/>
  <c r="G8793" i="6"/>
  <c r="G8794" i="6"/>
  <c r="G8795" i="6"/>
  <c r="G8796" i="6"/>
  <c r="G8797" i="6"/>
  <c r="G8798" i="6"/>
  <c r="G8799" i="6"/>
  <c r="G8800" i="6"/>
  <c r="G8801" i="6"/>
  <c r="G8802" i="6"/>
  <c r="G8803" i="6"/>
  <c r="G8804" i="6"/>
  <c r="G8805" i="6"/>
  <c r="G8806" i="6"/>
  <c r="G8807" i="6"/>
  <c r="G8808" i="6"/>
  <c r="G8809" i="6"/>
  <c r="G8810" i="6"/>
  <c r="G8811" i="6"/>
  <c r="G8812" i="6"/>
  <c r="G8813" i="6"/>
  <c r="G8814" i="6"/>
  <c r="G8815" i="6"/>
  <c r="G8816" i="6"/>
  <c r="G8817" i="6"/>
  <c r="G8818" i="6"/>
  <c r="G8819" i="6"/>
  <c r="G8820" i="6"/>
  <c r="G8821" i="6"/>
  <c r="G8822" i="6"/>
  <c r="G8823" i="6"/>
  <c r="G8824" i="6"/>
  <c r="G8825" i="6"/>
  <c r="G8826" i="6"/>
  <c r="G8827" i="6"/>
  <c r="G8828" i="6"/>
  <c r="G8829" i="6"/>
  <c r="G8830" i="6"/>
  <c r="G8831" i="6"/>
  <c r="G8832" i="6"/>
  <c r="G8833" i="6"/>
  <c r="G8834" i="6"/>
  <c r="G8835" i="6"/>
  <c r="G8836" i="6"/>
  <c r="G8837" i="6"/>
  <c r="G8838" i="6"/>
  <c r="G8839" i="6"/>
  <c r="G8840" i="6"/>
  <c r="G8841" i="6"/>
  <c r="G8842" i="6"/>
  <c r="G8843" i="6"/>
  <c r="G8844" i="6"/>
  <c r="G8845" i="6"/>
  <c r="G8846" i="6"/>
  <c r="G8847" i="6"/>
  <c r="G8848" i="6"/>
  <c r="G8849" i="6"/>
  <c r="G8850" i="6"/>
  <c r="G8851" i="6"/>
  <c r="G8852" i="6"/>
  <c r="G8853" i="6"/>
  <c r="G8854" i="6"/>
  <c r="G8855" i="6"/>
  <c r="G8856" i="6"/>
  <c r="G8857" i="6"/>
  <c r="G8858" i="6"/>
  <c r="G8859" i="6"/>
  <c r="G8860" i="6"/>
  <c r="G8861" i="6"/>
  <c r="G8862" i="6"/>
  <c r="G8863" i="6"/>
  <c r="G8864" i="6"/>
  <c r="G8865" i="6"/>
  <c r="G8866" i="6"/>
  <c r="G8867" i="6"/>
  <c r="G8868" i="6"/>
  <c r="G8869" i="6"/>
  <c r="G8870" i="6"/>
  <c r="G8871" i="6"/>
  <c r="G8872" i="6"/>
  <c r="G8873" i="6"/>
  <c r="G8874" i="6"/>
  <c r="G8875" i="6"/>
  <c r="G8876" i="6"/>
  <c r="G8877" i="6"/>
  <c r="G8878" i="6"/>
  <c r="G8879" i="6"/>
  <c r="G8880" i="6"/>
  <c r="G8881" i="6"/>
  <c r="G8882" i="6"/>
  <c r="G8883" i="6"/>
  <c r="G8884" i="6"/>
  <c r="G8885" i="6"/>
  <c r="G8886" i="6"/>
  <c r="G8887" i="6"/>
  <c r="G8888" i="6"/>
  <c r="G8889" i="6"/>
  <c r="G8890" i="6"/>
  <c r="G8891" i="6"/>
  <c r="G8892" i="6"/>
  <c r="G8893" i="6"/>
  <c r="G8894" i="6"/>
  <c r="G8895" i="6"/>
  <c r="G8896" i="6"/>
  <c r="G8897" i="6"/>
  <c r="G8898" i="6"/>
  <c r="G8899" i="6"/>
  <c r="G8900" i="6"/>
  <c r="G8901" i="6"/>
  <c r="G8902" i="6"/>
  <c r="G8903" i="6"/>
  <c r="G8904" i="6"/>
  <c r="G8905" i="6"/>
  <c r="G8906" i="6"/>
  <c r="G8907" i="6"/>
  <c r="G8908" i="6"/>
  <c r="G8909" i="6"/>
  <c r="G8910" i="6"/>
  <c r="G8911" i="6"/>
  <c r="G8912" i="6"/>
  <c r="G8913" i="6"/>
  <c r="G8914" i="6"/>
  <c r="G8915" i="6"/>
  <c r="G8916" i="6"/>
  <c r="G8917" i="6"/>
  <c r="G8918" i="6"/>
  <c r="G8919" i="6"/>
  <c r="G8920" i="6"/>
  <c r="G8921" i="6"/>
  <c r="G8922" i="6"/>
  <c r="G8923" i="6"/>
  <c r="G8924" i="6"/>
  <c r="G8925" i="6"/>
  <c r="G8926" i="6"/>
  <c r="G8927" i="6"/>
  <c r="G8928" i="6"/>
  <c r="G8929" i="6"/>
  <c r="G8930" i="6"/>
  <c r="G8931" i="6"/>
  <c r="G8932" i="6"/>
  <c r="G8933" i="6"/>
  <c r="G8934" i="6"/>
  <c r="G8935" i="6"/>
  <c r="G8936" i="6"/>
  <c r="G8937" i="6"/>
  <c r="G8938" i="6"/>
  <c r="G8939" i="6"/>
  <c r="G8940" i="6"/>
  <c r="G8941" i="6"/>
  <c r="G8942" i="6"/>
  <c r="G8943" i="6"/>
  <c r="G8944" i="6"/>
  <c r="G8945" i="6"/>
  <c r="G8946" i="6"/>
  <c r="G8947" i="6"/>
  <c r="G8948" i="6"/>
  <c r="G8949" i="6"/>
  <c r="G8950" i="6"/>
  <c r="G8951" i="6"/>
  <c r="G8952" i="6"/>
  <c r="G8953" i="6"/>
  <c r="G8954" i="6"/>
  <c r="G8955" i="6"/>
  <c r="G8956" i="6"/>
  <c r="G8957" i="6"/>
  <c r="G8958" i="6"/>
  <c r="G8959" i="6"/>
  <c r="G8960" i="6"/>
  <c r="G8961" i="6"/>
  <c r="G8962" i="6"/>
  <c r="G8963" i="6"/>
  <c r="G8964" i="6"/>
  <c r="G8965" i="6"/>
  <c r="G8966" i="6"/>
  <c r="G8967" i="6"/>
  <c r="G8968" i="6"/>
  <c r="G8969" i="6"/>
  <c r="G8970" i="6"/>
  <c r="G8971" i="6"/>
  <c r="G8972" i="6"/>
  <c r="G8973" i="6"/>
  <c r="G8974" i="6"/>
  <c r="G8975" i="6"/>
  <c r="G8976" i="6"/>
  <c r="G8977" i="6"/>
  <c r="G8978" i="6"/>
  <c r="G8979" i="6"/>
  <c r="G8980" i="6"/>
  <c r="G8981" i="6"/>
  <c r="G8982" i="6"/>
  <c r="G8983" i="6"/>
  <c r="G8984" i="6"/>
  <c r="G8985" i="6"/>
  <c r="G8986" i="6"/>
  <c r="G8987" i="6"/>
  <c r="G8988" i="6"/>
  <c r="G8989" i="6"/>
  <c r="G8990" i="6"/>
  <c r="G8991" i="6"/>
  <c r="G8992" i="6"/>
  <c r="G8993" i="6"/>
  <c r="G8994" i="6"/>
  <c r="G8995" i="6"/>
  <c r="G8996" i="6"/>
  <c r="G8997" i="6"/>
  <c r="G8998" i="6"/>
  <c r="G8999" i="6"/>
  <c r="G9000" i="6"/>
  <c r="G9001" i="6"/>
  <c r="G9002" i="6"/>
  <c r="G9003" i="6"/>
  <c r="G9004" i="6"/>
  <c r="G9005" i="6"/>
  <c r="G9006" i="6"/>
  <c r="G9007" i="6"/>
  <c r="G9008" i="6"/>
  <c r="G9009" i="6"/>
  <c r="G9010" i="6"/>
  <c r="G9011" i="6"/>
  <c r="G9012" i="6"/>
  <c r="G9013" i="6"/>
  <c r="G9014" i="6"/>
  <c r="G9015" i="6"/>
  <c r="G9016" i="6"/>
  <c r="G9017" i="6"/>
  <c r="G9018" i="6"/>
  <c r="G9019" i="6"/>
  <c r="G9020" i="6"/>
  <c r="G9021" i="6"/>
  <c r="G9022" i="6"/>
  <c r="G9023" i="6"/>
  <c r="G9024" i="6"/>
  <c r="G9025" i="6"/>
  <c r="G9026" i="6"/>
  <c r="G9027" i="6"/>
  <c r="G9028" i="6"/>
  <c r="G9029" i="6"/>
  <c r="G9030" i="6"/>
  <c r="G9031" i="6"/>
  <c r="G9032" i="6"/>
  <c r="G9033" i="6"/>
  <c r="G9034" i="6"/>
  <c r="G9035" i="6"/>
  <c r="G9036" i="6"/>
  <c r="G9037" i="6"/>
  <c r="G9038" i="6"/>
  <c r="G9039" i="6"/>
  <c r="G9040" i="6"/>
  <c r="G9041" i="6"/>
  <c r="G9042" i="6"/>
  <c r="G9043" i="6"/>
  <c r="G9044" i="6"/>
  <c r="G9045" i="6"/>
  <c r="G9046" i="6"/>
  <c r="G9047" i="6"/>
  <c r="G9048" i="6"/>
  <c r="G9049" i="6"/>
  <c r="G9050" i="6"/>
  <c r="G9051" i="6"/>
  <c r="G9052" i="6"/>
  <c r="G9053" i="6"/>
  <c r="G9054" i="6"/>
  <c r="G9055" i="6"/>
  <c r="G9056" i="6"/>
  <c r="G9057" i="6"/>
  <c r="G9058" i="6"/>
  <c r="G9059" i="6"/>
  <c r="G9060" i="6"/>
  <c r="G9061" i="6"/>
  <c r="G9062" i="6"/>
  <c r="G9063" i="6"/>
  <c r="G9064" i="6"/>
  <c r="G9065" i="6"/>
  <c r="G9066" i="6"/>
  <c r="G9067" i="6"/>
  <c r="G9068" i="6"/>
  <c r="G9069" i="6"/>
  <c r="G9070" i="6"/>
  <c r="G9071" i="6"/>
  <c r="G9072" i="6"/>
  <c r="G9073" i="6"/>
  <c r="G9074" i="6"/>
  <c r="G9075" i="6"/>
  <c r="G9076" i="6"/>
  <c r="G9077" i="6"/>
  <c r="G9078" i="6"/>
  <c r="G9079" i="6"/>
  <c r="G9080" i="6"/>
  <c r="G9081" i="6"/>
  <c r="G9082" i="6"/>
  <c r="G9083" i="6"/>
  <c r="G9084" i="6"/>
  <c r="G9085" i="6"/>
  <c r="G9086" i="6"/>
  <c r="G9087" i="6"/>
  <c r="G9088" i="6"/>
  <c r="G9089" i="6"/>
  <c r="G9090" i="6"/>
  <c r="G9091" i="6"/>
  <c r="G9092" i="6"/>
  <c r="G9093" i="6"/>
  <c r="G9094" i="6"/>
  <c r="G9095" i="6"/>
  <c r="G9096" i="6"/>
  <c r="G9097" i="6"/>
  <c r="G9098" i="6"/>
  <c r="G9099" i="6"/>
  <c r="G9100" i="6"/>
  <c r="G9101" i="6"/>
  <c r="G9102" i="6"/>
  <c r="G9103" i="6"/>
  <c r="G9104" i="6"/>
  <c r="G9105" i="6"/>
  <c r="G9106" i="6"/>
  <c r="G9107" i="6"/>
  <c r="G9108" i="6"/>
  <c r="G9109" i="6"/>
  <c r="G9110" i="6"/>
  <c r="G9111" i="6"/>
  <c r="G9112" i="6"/>
  <c r="G9113" i="6"/>
  <c r="G9114" i="6"/>
  <c r="G9115" i="6"/>
  <c r="G9116" i="6"/>
  <c r="G9117" i="6"/>
  <c r="G9118" i="6"/>
  <c r="G9119" i="6"/>
  <c r="G9120" i="6"/>
  <c r="G9121" i="6"/>
  <c r="G9122" i="6"/>
  <c r="G9123" i="6"/>
  <c r="G9124" i="6"/>
  <c r="G9125" i="6"/>
  <c r="G9126" i="6"/>
  <c r="G9127" i="6"/>
  <c r="G9128" i="6"/>
  <c r="G9129" i="6"/>
  <c r="G9130" i="6"/>
  <c r="G9131" i="6"/>
  <c r="G9132" i="6"/>
  <c r="G9133" i="6"/>
  <c r="G9134" i="6"/>
  <c r="G9135" i="6"/>
  <c r="G9136" i="6"/>
  <c r="G9137" i="6"/>
  <c r="G9138" i="6"/>
  <c r="G9139" i="6"/>
  <c r="G9140" i="6"/>
  <c r="G9141" i="6"/>
  <c r="G9142" i="6"/>
  <c r="G9143" i="6"/>
  <c r="G9144" i="6"/>
  <c r="G9145" i="6"/>
  <c r="G9146" i="6"/>
  <c r="G9147" i="6"/>
  <c r="G9148" i="6"/>
  <c r="G9149" i="6"/>
  <c r="G9150" i="6"/>
  <c r="G9151" i="6"/>
  <c r="G9152" i="6"/>
  <c r="G9153" i="6"/>
  <c r="G9154" i="6"/>
  <c r="G9155" i="6"/>
  <c r="G9156" i="6"/>
  <c r="G9157" i="6"/>
  <c r="G9158" i="6"/>
  <c r="G9159" i="6"/>
  <c r="G9160" i="6"/>
  <c r="G9161" i="6"/>
  <c r="G9162" i="6"/>
  <c r="G9163" i="6"/>
  <c r="G9164" i="6"/>
  <c r="G9165" i="6"/>
  <c r="G9166" i="6"/>
  <c r="G9167" i="6"/>
  <c r="G9168" i="6"/>
  <c r="G9169" i="6"/>
  <c r="G9170" i="6"/>
  <c r="G9171" i="6"/>
  <c r="G9172" i="6"/>
  <c r="G9173" i="6"/>
  <c r="G9174" i="6"/>
  <c r="G9175" i="6"/>
  <c r="G9176" i="6"/>
  <c r="G9177" i="6"/>
  <c r="G9178" i="6"/>
  <c r="G9179" i="6"/>
  <c r="G9180" i="6"/>
  <c r="G9181" i="6"/>
  <c r="G9182" i="6"/>
  <c r="G9183" i="6"/>
  <c r="G9184" i="6"/>
  <c r="G9185" i="6"/>
  <c r="G9186" i="6"/>
  <c r="G9187" i="6"/>
  <c r="G9188" i="6"/>
  <c r="G9189" i="6"/>
  <c r="G9190" i="6"/>
  <c r="G9191" i="6"/>
  <c r="G9192" i="6"/>
  <c r="G9193" i="6"/>
  <c r="G9194" i="6"/>
  <c r="G9195" i="6"/>
  <c r="G9196" i="6"/>
  <c r="G9197" i="6"/>
  <c r="G9198" i="6"/>
  <c r="G9199" i="6"/>
  <c r="G9200" i="6"/>
  <c r="G9201" i="6"/>
  <c r="G9202" i="6"/>
  <c r="G9203" i="6"/>
  <c r="G9204" i="6"/>
  <c r="G9205" i="6"/>
  <c r="G9206" i="6"/>
  <c r="G9207" i="6"/>
  <c r="G9208" i="6"/>
  <c r="G9209" i="6"/>
  <c r="G9210" i="6"/>
  <c r="G9211" i="6"/>
  <c r="G9212" i="6"/>
  <c r="G9213" i="6"/>
  <c r="G9214" i="6"/>
  <c r="I9214" i="6" s="1"/>
  <c r="G9215" i="6"/>
  <c r="G9216" i="6"/>
  <c r="G9217" i="6"/>
  <c r="G9218" i="6"/>
  <c r="G9219" i="6"/>
  <c r="G9220" i="6"/>
  <c r="G9221" i="6"/>
  <c r="G9222" i="6"/>
  <c r="G9223" i="6"/>
  <c r="G9224" i="6"/>
  <c r="G9225" i="6"/>
  <c r="G9226" i="6"/>
  <c r="G9227" i="6"/>
  <c r="G9228" i="6"/>
  <c r="G9229" i="6"/>
  <c r="G9230" i="6"/>
  <c r="G9231" i="6"/>
  <c r="G9232" i="6"/>
  <c r="I9232" i="6" s="1"/>
  <c r="G9233" i="6"/>
  <c r="G9234" i="6"/>
  <c r="G9235" i="6"/>
  <c r="G9236" i="6"/>
  <c r="G9237" i="6"/>
  <c r="G9238" i="6"/>
  <c r="G9239" i="6"/>
  <c r="G9240" i="6"/>
  <c r="G9241" i="6"/>
  <c r="G9242" i="6"/>
  <c r="G9243" i="6"/>
  <c r="G9244" i="6"/>
  <c r="G9245" i="6"/>
  <c r="G9246" i="6"/>
  <c r="G9247" i="6"/>
  <c r="G9248" i="6"/>
  <c r="G9249" i="6"/>
  <c r="G9250" i="6"/>
  <c r="G9251" i="6"/>
  <c r="G9252" i="6"/>
  <c r="G9253" i="6"/>
  <c r="G9254" i="6"/>
  <c r="G9255" i="6"/>
  <c r="G9256" i="6"/>
  <c r="G9257" i="6"/>
  <c r="G9258" i="6"/>
  <c r="G9259" i="6"/>
  <c r="G9260" i="6"/>
  <c r="G9261" i="6"/>
  <c r="G9262" i="6"/>
  <c r="G9263" i="6"/>
  <c r="G9264" i="6"/>
  <c r="G9265" i="6"/>
  <c r="G9266" i="6"/>
  <c r="G9267" i="6"/>
  <c r="G9268" i="6"/>
  <c r="G9269" i="6"/>
  <c r="G9270" i="6"/>
  <c r="G9271" i="6"/>
  <c r="G9272" i="6"/>
  <c r="G9273" i="6"/>
  <c r="G9274" i="6"/>
  <c r="G9275" i="6"/>
  <c r="G9276" i="6"/>
  <c r="G9277" i="6"/>
  <c r="G9278" i="6"/>
  <c r="G9279" i="6"/>
  <c r="G9280" i="6"/>
  <c r="G9281" i="6"/>
  <c r="G9282" i="6"/>
  <c r="G9283" i="6"/>
  <c r="G9284" i="6"/>
  <c r="G9285" i="6"/>
  <c r="G9286" i="6"/>
  <c r="G9287" i="6"/>
  <c r="G9288" i="6"/>
  <c r="G9289" i="6"/>
  <c r="G9290" i="6"/>
  <c r="G9291" i="6"/>
  <c r="G9292" i="6"/>
  <c r="G9293" i="6"/>
  <c r="G9294" i="6"/>
  <c r="G9295" i="6"/>
  <c r="G9296" i="6"/>
  <c r="G9297" i="6"/>
  <c r="G9298" i="6"/>
  <c r="G9299" i="6"/>
  <c r="G9300" i="6"/>
  <c r="G9301" i="6"/>
  <c r="G9302" i="6"/>
  <c r="G9303" i="6"/>
  <c r="G9304" i="6"/>
  <c r="G9305" i="6"/>
  <c r="G9306" i="6"/>
  <c r="G9307" i="6"/>
  <c r="G9308" i="6"/>
  <c r="G9309" i="6"/>
  <c r="G9310" i="6"/>
  <c r="G9311" i="6"/>
  <c r="G9312" i="6"/>
  <c r="G9313" i="6"/>
  <c r="G9314" i="6"/>
  <c r="G9315" i="6"/>
  <c r="G9316" i="6"/>
  <c r="G9317" i="6"/>
  <c r="G9318" i="6"/>
  <c r="G9319" i="6"/>
  <c r="G9320" i="6"/>
  <c r="G9321" i="6"/>
  <c r="G9322" i="6"/>
  <c r="G9323" i="6"/>
  <c r="G9324" i="6"/>
  <c r="G9325" i="6"/>
  <c r="G9326" i="6"/>
  <c r="G9327" i="6"/>
  <c r="G9328" i="6"/>
  <c r="G9329" i="6"/>
  <c r="G9330" i="6"/>
  <c r="G9331" i="6"/>
  <c r="G9332" i="6"/>
  <c r="G9333" i="6"/>
  <c r="G9334" i="6"/>
  <c r="G9335" i="6"/>
  <c r="G9336" i="6"/>
  <c r="G9337" i="6"/>
  <c r="G9338" i="6"/>
  <c r="G9339" i="6"/>
  <c r="G9340" i="6"/>
  <c r="G9341" i="6"/>
  <c r="G9342" i="6"/>
  <c r="G9343" i="6"/>
  <c r="G9344" i="6"/>
  <c r="G9345" i="6"/>
  <c r="G9346" i="6"/>
  <c r="G9347" i="6"/>
  <c r="G9348" i="6"/>
  <c r="G9349" i="6"/>
  <c r="G9350" i="6"/>
  <c r="G9351" i="6"/>
  <c r="G9352" i="6"/>
  <c r="G9353" i="6"/>
  <c r="G9354" i="6"/>
  <c r="G9355" i="6"/>
  <c r="G9356" i="6"/>
  <c r="G9357" i="6"/>
  <c r="G9358" i="6"/>
  <c r="G9359" i="6"/>
  <c r="G9360" i="6"/>
  <c r="G9361" i="6"/>
  <c r="G9362" i="6"/>
  <c r="G9363" i="6"/>
  <c r="G9364" i="6"/>
  <c r="G9365" i="6"/>
  <c r="G9366" i="6"/>
  <c r="G9367" i="6"/>
  <c r="G9368" i="6"/>
  <c r="G9369" i="6"/>
  <c r="G9370" i="6"/>
  <c r="G9371" i="6"/>
  <c r="G9372" i="6"/>
  <c r="G9373" i="6"/>
  <c r="G9374" i="6"/>
  <c r="G9375" i="6"/>
  <c r="G9376" i="6"/>
  <c r="G9377" i="6"/>
  <c r="G9378" i="6"/>
  <c r="G9379" i="6"/>
  <c r="G9380" i="6"/>
  <c r="G9381" i="6"/>
  <c r="G9382" i="6"/>
  <c r="G9383" i="6"/>
  <c r="G9384" i="6"/>
  <c r="G9385" i="6"/>
  <c r="G9386" i="6"/>
  <c r="G9387" i="6"/>
  <c r="G9388" i="6"/>
  <c r="G9389" i="6"/>
  <c r="G9390" i="6"/>
  <c r="G9391" i="6"/>
  <c r="G9392" i="6"/>
  <c r="G9393" i="6"/>
  <c r="G9394" i="6"/>
  <c r="G9395" i="6"/>
  <c r="G9396" i="6"/>
  <c r="G9397" i="6"/>
  <c r="G9398" i="6"/>
  <c r="G9399" i="6"/>
  <c r="G9400" i="6"/>
  <c r="G9401" i="6"/>
  <c r="G9402" i="6"/>
  <c r="G9403" i="6"/>
  <c r="G9404" i="6"/>
  <c r="G9405" i="6"/>
  <c r="G9406" i="6"/>
  <c r="G9407" i="6"/>
  <c r="G9408" i="6"/>
  <c r="G9409" i="6"/>
  <c r="G9410" i="6"/>
  <c r="G9411" i="6"/>
  <c r="G9412" i="6"/>
  <c r="G9413" i="6"/>
  <c r="G9414" i="6"/>
  <c r="G9415" i="6"/>
  <c r="G9416" i="6"/>
  <c r="G9417" i="6"/>
  <c r="G9418" i="6"/>
  <c r="G9419" i="6"/>
  <c r="G9420" i="6"/>
  <c r="G9421" i="6"/>
  <c r="G9422" i="6"/>
  <c r="G9423" i="6"/>
  <c r="G9424" i="6"/>
  <c r="G9425" i="6"/>
  <c r="G9426" i="6"/>
  <c r="G9427" i="6"/>
  <c r="G9428" i="6"/>
  <c r="G9429" i="6"/>
  <c r="G9430" i="6"/>
  <c r="G9431" i="6"/>
  <c r="G9432" i="6"/>
  <c r="G9433" i="6"/>
  <c r="G9434" i="6"/>
  <c r="G9435" i="6"/>
  <c r="G9436" i="6"/>
  <c r="G9437" i="6"/>
  <c r="G9438" i="6"/>
  <c r="G9439" i="6"/>
  <c r="G9440" i="6"/>
  <c r="G9441" i="6"/>
  <c r="G9442" i="6"/>
  <c r="G9443" i="6"/>
  <c r="G9444" i="6"/>
  <c r="G9445" i="6"/>
  <c r="G9446" i="6"/>
  <c r="G9447" i="6"/>
  <c r="G9448" i="6"/>
  <c r="G9449" i="6"/>
  <c r="G9450" i="6"/>
  <c r="G9451" i="6"/>
  <c r="G9452" i="6"/>
  <c r="G9453" i="6"/>
  <c r="G9454" i="6"/>
  <c r="G9455" i="6"/>
  <c r="G9456" i="6"/>
  <c r="G9457" i="6"/>
  <c r="G9458" i="6"/>
  <c r="G9459" i="6"/>
  <c r="G9460" i="6"/>
  <c r="G9461" i="6"/>
  <c r="G9462" i="6"/>
  <c r="G9463" i="6"/>
  <c r="G9464" i="6"/>
  <c r="G9465" i="6"/>
  <c r="G9466" i="6"/>
  <c r="G9467" i="6"/>
  <c r="G9468" i="6"/>
  <c r="G9469" i="6"/>
  <c r="G9470" i="6"/>
  <c r="G9471" i="6"/>
  <c r="G9472" i="6"/>
  <c r="G9473" i="6"/>
  <c r="G9474" i="6"/>
  <c r="G9475" i="6"/>
  <c r="G9476" i="6"/>
  <c r="G9477" i="6"/>
  <c r="G9478" i="6"/>
  <c r="G9479" i="6"/>
  <c r="G9480" i="6"/>
  <c r="G9481" i="6"/>
  <c r="G9482" i="6"/>
  <c r="G9483" i="6"/>
  <c r="G9484" i="6"/>
  <c r="G9485" i="6"/>
  <c r="G9486" i="6"/>
  <c r="G9487" i="6"/>
  <c r="G9488" i="6"/>
  <c r="G9489" i="6"/>
  <c r="G9490" i="6"/>
  <c r="G9491" i="6"/>
  <c r="G9492" i="6"/>
  <c r="G9493" i="6"/>
  <c r="G9494" i="6"/>
  <c r="G9495" i="6"/>
  <c r="G9496" i="6"/>
  <c r="G9497" i="6"/>
  <c r="G9498" i="6"/>
  <c r="G9499" i="6"/>
  <c r="G9500" i="6"/>
  <c r="G9501" i="6"/>
  <c r="G9502" i="6"/>
  <c r="G9503" i="6"/>
  <c r="G9504" i="6"/>
  <c r="G9505" i="6"/>
  <c r="G9506" i="6"/>
  <c r="G9507" i="6"/>
  <c r="G9508" i="6"/>
  <c r="G9509" i="6"/>
  <c r="G9510" i="6"/>
  <c r="G9511" i="6"/>
  <c r="G9512" i="6"/>
  <c r="G9513" i="6"/>
  <c r="G9514" i="6"/>
  <c r="G9515" i="6"/>
  <c r="G9516" i="6"/>
  <c r="G9517" i="6"/>
  <c r="G9518" i="6"/>
  <c r="G9519" i="6"/>
  <c r="G9520" i="6"/>
  <c r="G9521" i="6"/>
  <c r="G9522" i="6"/>
  <c r="G9523" i="6"/>
  <c r="G9524" i="6"/>
  <c r="G9525" i="6"/>
  <c r="G9526" i="6"/>
  <c r="G9527" i="6"/>
  <c r="G9528" i="6"/>
  <c r="G9529" i="6"/>
  <c r="G9530" i="6"/>
  <c r="G9531" i="6"/>
  <c r="G9532" i="6"/>
  <c r="G9533" i="6"/>
  <c r="G9534" i="6"/>
  <c r="G9535" i="6"/>
  <c r="G9536" i="6"/>
  <c r="G9537" i="6"/>
  <c r="G9538" i="6"/>
  <c r="G9539" i="6"/>
  <c r="G9540" i="6"/>
  <c r="G9541" i="6"/>
  <c r="G9542" i="6"/>
  <c r="G9543" i="6"/>
  <c r="G9544" i="6"/>
  <c r="G9545" i="6"/>
  <c r="G9546" i="6"/>
  <c r="G9547" i="6"/>
  <c r="G9548" i="6"/>
  <c r="G9549" i="6"/>
  <c r="G9550" i="6"/>
  <c r="G9551" i="6"/>
  <c r="G9552" i="6"/>
  <c r="G9553" i="6"/>
  <c r="G9554" i="6"/>
  <c r="G9555" i="6"/>
  <c r="G9556" i="6"/>
  <c r="G9557" i="6"/>
  <c r="G9558" i="6"/>
  <c r="G9559" i="6"/>
  <c r="G9560" i="6"/>
  <c r="G9561" i="6"/>
  <c r="G9562" i="6"/>
  <c r="G9563" i="6"/>
  <c r="G9564" i="6"/>
  <c r="G9565" i="6"/>
  <c r="G9566" i="6"/>
  <c r="G9567" i="6"/>
  <c r="G9568" i="6"/>
  <c r="G9569" i="6"/>
  <c r="G9570" i="6"/>
  <c r="G9571" i="6"/>
  <c r="G9572" i="6"/>
  <c r="G9573" i="6"/>
  <c r="G9574" i="6"/>
  <c r="G9575" i="6"/>
  <c r="G9576" i="6"/>
  <c r="G9577" i="6"/>
  <c r="G9578" i="6"/>
  <c r="G9579" i="6"/>
  <c r="G9580" i="6"/>
  <c r="G9581" i="6"/>
  <c r="G9582" i="6"/>
  <c r="G9583" i="6"/>
  <c r="G9584" i="6"/>
  <c r="G9585" i="6"/>
  <c r="G9586" i="6"/>
  <c r="G9587" i="6"/>
  <c r="G9588" i="6"/>
  <c r="G9589" i="6"/>
  <c r="G9590" i="6"/>
  <c r="G9591" i="6"/>
  <c r="G9592" i="6"/>
  <c r="G9593" i="6"/>
  <c r="G9594" i="6"/>
  <c r="G9595" i="6"/>
  <c r="G9596" i="6"/>
  <c r="G9597" i="6"/>
  <c r="G9598" i="6"/>
  <c r="G9599" i="6"/>
  <c r="G9600" i="6"/>
  <c r="G9601" i="6"/>
  <c r="G9602" i="6"/>
  <c r="G9603" i="6"/>
  <c r="G9604" i="6"/>
  <c r="G9605" i="6"/>
  <c r="G9606" i="6"/>
  <c r="G9607" i="6"/>
  <c r="G9608" i="6"/>
  <c r="G9609" i="6"/>
  <c r="G9610" i="6"/>
  <c r="G9611" i="6"/>
  <c r="G9612" i="6"/>
  <c r="G9613" i="6"/>
  <c r="G9614" i="6"/>
  <c r="G9615" i="6"/>
  <c r="G9616" i="6"/>
  <c r="G9617" i="6"/>
  <c r="G9618" i="6"/>
  <c r="G9619" i="6"/>
  <c r="G9620" i="6"/>
  <c r="G9621" i="6"/>
  <c r="G9622" i="6"/>
  <c r="G9623" i="6"/>
  <c r="G9624" i="6"/>
  <c r="G9625" i="6"/>
  <c r="G9626" i="6"/>
  <c r="G9627" i="6"/>
  <c r="G9628" i="6"/>
  <c r="G9629" i="6"/>
  <c r="G9630" i="6"/>
  <c r="G9631" i="6"/>
  <c r="G9632" i="6"/>
  <c r="G9633" i="6"/>
  <c r="G9634" i="6"/>
  <c r="G9635" i="6"/>
  <c r="G9636" i="6"/>
  <c r="G9637" i="6"/>
  <c r="G9638" i="6"/>
  <c r="G9639" i="6"/>
  <c r="G9640" i="6"/>
  <c r="G9641" i="6"/>
  <c r="G9642" i="6"/>
  <c r="G9643" i="6"/>
  <c r="G9644" i="6"/>
  <c r="G9645" i="6"/>
  <c r="G9646" i="6"/>
  <c r="G9647" i="6"/>
  <c r="G9648" i="6"/>
  <c r="G9649" i="6"/>
  <c r="G9650" i="6"/>
  <c r="G9651" i="6"/>
  <c r="G9652" i="6"/>
  <c r="G9653" i="6"/>
  <c r="G9654" i="6"/>
  <c r="G9655" i="6"/>
  <c r="G9656" i="6"/>
  <c r="G9657" i="6"/>
  <c r="G9658" i="6"/>
  <c r="G9659" i="6"/>
  <c r="G9660" i="6"/>
  <c r="G9661" i="6"/>
  <c r="G9662" i="6"/>
  <c r="G9663" i="6"/>
  <c r="G9664" i="6"/>
  <c r="G9665" i="6"/>
  <c r="G9666" i="6"/>
  <c r="G9667" i="6"/>
  <c r="G9668" i="6"/>
  <c r="G9669" i="6"/>
  <c r="G9670" i="6"/>
  <c r="G9671" i="6"/>
  <c r="G9672" i="6"/>
  <c r="G9673" i="6"/>
  <c r="G9674" i="6"/>
  <c r="G9675" i="6"/>
  <c r="G9676" i="6"/>
  <c r="G9677" i="6"/>
  <c r="G9678" i="6"/>
  <c r="G9679" i="6"/>
  <c r="G9680" i="6"/>
  <c r="G9681" i="6"/>
  <c r="G9682" i="6"/>
  <c r="G9683" i="6"/>
  <c r="G9684" i="6"/>
  <c r="G9685" i="6"/>
  <c r="G9686" i="6"/>
  <c r="G9687" i="6"/>
  <c r="G9688" i="6"/>
  <c r="G9689" i="6"/>
  <c r="G9690" i="6"/>
  <c r="G9691" i="6"/>
  <c r="G9692" i="6"/>
  <c r="G9693" i="6"/>
  <c r="G9694" i="6"/>
  <c r="G9695" i="6"/>
  <c r="G9696" i="6"/>
  <c r="G9697" i="6"/>
  <c r="G9698" i="6"/>
  <c r="G9699" i="6"/>
  <c r="G9700" i="6"/>
  <c r="G9701" i="6"/>
  <c r="G9702" i="6"/>
  <c r="G9703" i="6"/>
  <c r="G6737" i="6"/>
  <c r="G5002" i="6"/>
  <c r="I5002" i="6" s="1"/>
  <c r="G5003" i="6"/>
  <c r="I5003" i="6" s="1"/>
  <c r="G5004" i="6"/>
  <c r="I5004" i="6" s="1"/>
  <c r="G5005" i="6"/>
  <c r="I5005" i="6" s="1"/>
  <c r="G5006" i="6"/>
  <c r="I5006" i="6" s="1"/>
  <c r="G5007" i="6"/>
  <c r="I5007" i="6" s="1"/>
  <c r="G5008" i="6"/>
  <c r="I5008" i="6" s="1"/>
  <c r="G5009" i="6"/>
  <c r="I5009" i="6" s="1"/>
  <c r="G5010" i="6"/>
  <c r="I5010" i="6" s="1"/>
  <c r="G5011" i="6"/>
  <c r="I5011" i="6" s="1"/>
  <c r="G5012" i="6"/>
  <c r="I5012" i="6" s="1"/>
  <c r="G5013" i="6"/>
  <c r="I5013" i="6" s="1"/>
  <c r="G5014" i="6"/>
  <c r="I5014" i="6" s="1"/>
  <c r="G5015" i="6"/>
  <c r="I5015" i="6" s="1"/>
  <c r="G5016" i="6"/>
  <c r="I5016" i="6" s="1"/>
  <c r="G5017" i="6"/>
  <c r="I5017" i="6" s="1"/>
  <c r="G5018" i="6"/>
  <c r="I5018" i="6" s="1"/>
  <c r="G5019" i="6"/>
  <c r="I5019" i="6" s="1"/>
  <c r="G5020" i="6"/>
  <c r="I5020" i="6" s="1"/>
  <c r="G5021" i="6"/>
  <c r="I5021" i="6" s="1"/>
  <c r="G5022" i="6"/>
  <c r="I5022" i="6" s="1"/>
  <c r="G5023" i="6"/>
  <c r="I5023" i="6" s="1"/>
  <c r="G5024" i="6"/>
  <c r="I5024" i="6" s="1"/>
  <c r="G5025" i="6"/>
  <c r="I5025" i="6" s="1"/>
  <c r="G5026" i="6"/>
  <c r="I5026" i="6" s="1"/>
  <c r="G5027" i="6"/>
  <c r="I5027" i="6" s="1"/>
  <c r="G5028" i="6"/>
  <c r="I5028" i="6" s="1"/>
  <c r="G5029" i="6"/>
  <c r="I5029" i="6" s="1"/>
  <c r="G5030" i="6"/>
  <c r="I5030" i="6" s="1"/>
  <c r="G5031" i="6"/>
  <c r="I5031" i="6" s="1"/>
  <c r="G5032" i="6"/>
  <c r="I5032" i="6" s="1"/>
  <c r="G5033" i="6"/>
  <c r="I5033" i="6" s="1"/>
  <c r="G5034" i="6"/>
  <c r="I5034" i="6" s="1"/>
  <c r="G5035" i="6"/>
  <c r="I5035" i="6" s="1"/>
  <c r="G5036" i="6"/>
  <c r="I5036" i="6" s="1"/>
  <c r="G5037" i="6"/>
  <c r="I5037" i="6" s="1"/>
  <c r="G5038" i="6"/>
  <c r="I5038" i="6" s="1"/>
  <c r="G5039" i="6"/>
  <c r="I5039" i="6" s="1"/>
  <c r="G5040" i="6"/>
  <c r="I5040" i="6" s="1"/>
  <c r="G5041" i="6"/>
  <c r="I5041" i="6" s="1"/>
  <c r="G5042" i="6"/>
  <c r="I5042" i="6" s="1"/>
  <c r="G5043" i="6"/>
  <c r="I5043" i="6" s="1"/>
  <c r="G5044" i="6"/>
  <c r="I5044" i="6" s="1"/>
  <c r="G5045" i="6"/>
  <c r="I5045" i="6" s="1"/>
  <c r="G5046" i="6"/>
  <c r="I5046" i="6" s="1"/>
  <c r="G5047" i="6"/>
  <c r="I5047" i="6" s="1"/>
  <c r="G5048" i="6"/>
  <c r="I5048" i="6" s="1"/>
  <c r="G5049" i="6"/>
  <c r="I5049" i="6" s="1"/>
  <c r="G5050" i="6"/>
  <c r="I5050" i="6" s="1"/>
  <c r="G5051" i="6"/>
  <c r="I5051" i="6" s="1"/>
  <c r="G5052" i="6"/>
  <c r="I5052" i="6" s="1"/>
  <c r="G5053" i="6"/>
  <c r="I5053" i="6" s="1"/>
  <c r="G5054" i="6"/>
  <c r="I5054" i="6" s="1"/>
  <c r="G5055" i="6"/>
  <c r="I5055" i="6" s="1"/>
  <c r="G5056" i="6"/>
  <c r="I5056" i="6" s="1"/>
  <c r="G5057" i="6"/>
  <c r="I5057" i="6" s="1"/>
  <c r="G5058" i="6"/>
  <c r="I5058" i="6" s="1"/>
  <c r="G5059" i="6"/>
  <c r="I5059" i="6" s="1"/>
  <c r="G5060" i="6"/>
  <c r="I5060" i="6" s="1"/>
  <c r="G5061" i="6"/>
  <c r="I5061" i="6" s="1"/>
  <c r="G5062" i="6"/>
  <c r="I5062" i="6" s="1"/>
  <c r="G5063" i="6"/>
  <c r="I5063" i="6" s="1"/>
  <c r="G5064" i="6"/>
  <c r="I5064" i="6" s="1"/>
  <c r="G5065" i="6"/>
  <c r="I5065" i="6" s="1"/>
  <c r="G5066" i="6"/>
  <c r="I5066" i="6" s="1"/>
  <c r="G5067" i="6"/>
  <c r="I5067" i="6" s="1"/>
  <c r="G5068" i="6"/>
  <c r="I5068" i="6" s="1"/>
  <c r="G5069" i="6"/>
  <c r="I5069" i="6" s="1"/>
  <c r="G5070" i="6"/>
  <c r="I5070" i="6" s="1"/>
  <c r="G5071" i="6"/>
  <c r="I5071" i="6" s="1"/>
  <c r="G5072" i="6"/>
  <c r="I5072" i="6" s="1"/>
  <c r="G5073" i="6"/>
  <c r="I5073" i="6" s="1"/>
  <c r="G5074" i="6"/>
  <c r="I5074" i="6" s="1"/>
  <c r="G5075" i="6"/>
  <c r="I5075" i="6" s="1"/>
  <c r="G5076" i="6"/>
  <c r="I5076" i="6" s="1"/>
  <c r="G5077" i="6"/>
  <c r="I5077" i="6" s="1"/>
  <c r="G5078" i="6"/>
  <c r="I5078" i="6" s="1"/>
  <c r="G5079" i="6"/>
  <c r="I5079" i="6" s="1"/>
  <c r="G5080" i="6"/>
  <c r="I5080" i="6" s="1"/>
  <c r="G5081" i="6"/>
  <c r="I5081" i="6" s="1"/>
  <c r="G5082" i="6"/>
  <c r="I5082" i="6" s="1"/>
  <c r="G5083" i="6"/>
  <c r="I5083" i="6" s="1"/>
  <c r="G5084" i="6"/>
  <c r="I5084" i="6" s="1"/>
  <c r="G5085" i="6"/>
  <c r="I5085" i="6" s="1"/>
  <c r="G5086" i="6"/>
  <c r="I5086" i="6" s="1"/>
  <c r="G5087" i="6"/>
  <c r="I5087" i="6" s="1"/>
  <c r="G5088" i="6"/>
  <c r="I5088" i="6" s="1"/>
  <c r="G5089" i="6"/>
  <c r="I5089" i="6" s="1"/>
  <c r="G5090" i="6"/>
  <c r="I5090" i="6" s="1"/>
  <c r="G5091" i="6"/>
  <c r="I5091" i="6" s="1"/>
  <c r="G5092" i="6"/>
  <c r="I5092" i="6" s="1"/>
  <c r="G5093" i="6"/>
  <c r="I5093" i="6" s="1"/>
  <c r="G5094" i="6"/>
  <c r="I5094" i="6" s="1"/>
  <c r="G5095" i="6"/>
  <c r="I5095" i="6" s="1"/>
  <c r="G5096" i="6"/>
  <c r="I5096" i="6" s="1"/>
  <c r="G5097" i="6"/>
  <c r="I5097" i="6" s="1"/>
  <c r="G5098" i="6"/>
  <c r="I5098" i="6" s="1"/>
  <c r="G5099" i="6"/>
  <c r="I5099" i="6" s="1"/>
  <c r="G5100" i="6"/>
  <c r="I5100" i="6" s="1"/>
  <c r="G5101" i="6"/>
  <c r="I5101" i="6" s="1"/>
  <c r="G5102" i="6"/>
  <c r="I5102" i="6" s="1"/>
  <c r="G5103" i="6"/>
  <c r="I5103" i="6" s="1"/>
  <c r="G5104" i="6"/>
  <c r="I5104" i="6" s="1"/>
  <c r="G5105" i="6"/>
  <c r="I5105" i="6" s="1"/>
  <c r="G5106" i="6"/>
  <c r="I5106" i="6" s="1"/>
  <c r="G5107" i="6"/>
  <c r="I5107" i="6" s="1"/>
  <c r="G5108" i="6"/>
  <c r="I5108" i="6" s="1"/>
  <c r="G5109" i="6"/>
  <c r="I5109" i="6" s="1"/>
  <c r="G5110" i="6"/>
  <c r="I5110" i="6" s="1"/>
  <c r="G5111" i="6"/>
  <c r="I5111" i="6" s="1"/>
  <c r="G5112" i="6"/>
  <c r="I5112" i="6" s="1"/>
  <c r="G5113" i="6"/>
  <c r="I5113" i="6" s="1"/>
  <c r="G5114" i="6"/>
  <c r="I5114" i="6" s="1"/>
  <c r="G5115" i="6"/>
  <c r="I5115" i="6" s="1"/>
  <c r="G5116" i="6"/>
  <c r="I5116" i="6" s="1"/>
  <c r="G5117" i="6"/>
  <c r="I5117" i="6" s="1"/>
  <c r="G5118" i="6"/>
  <c r="I5118" i="6" s="1"/>
  <c r="G5119" i="6"/>
  <c r="I5119" i="6" s="1"/>
  <c r="G5120" i="6"/>
  <c r="I5120" i="6" s="1"/>
  <c r="G5121" i="6"/>
  <c r="I5121" i="6" s="1"/>
  <c r="G5122" i="6"/>
  <c r="I5122" i="6" s="1"/>
  <c r="G5123" i="6"/>
  <c r="I5123" i="6" s="1"/>
  <c r="G5124" i="6"/>
  <c r="I5124" i="6" s="1"/>
  <c r="G5125" i="6"/>
  <c r="I5125" i="6" s="1"/>
  <c r="G5126" i="6"/>
  <c r="I5126" i="6" s="1"/>
  <c r="G5127" i="6"/>
  <c r="I5127" i="6" s="1"/>
  <c r="G5128" i="6"/>
  <c r="I5128" i="6" s="1"/>
  <c r="G5129" i="6"/>
  <c r="I5129" i="6" s="1"/>
  <c r="G5130" i="6"/>
  <c r="I5130" i="6" s="1"/>
  <c r="G5131" i="6"/>
  <c r="I5131" i="6" s="1"/>
  <c r="G5132" i="6"/>
  <c r="I5132" i="6" s="1"/>
  <c r="G5133" i="6"/>
  <c r="I5133" i="6" s="1"/>
  <c r="G5134" i="6"/>
  <c r="I5134" i="6" s="1"/>
  <c r="G5135" i="6"/>
  <c r="I5135" i="6" s="1"/>
  <c r="G5136" i="6"/>
  <c r="I5136" i="6" s="1"/>
  <c r="G5137" i="6"/>
  <c r="I5137" i="6" s="1"/>
  <c r="G5138" i="6"/>
  <c r="I5138" i="6" s="1"/>
  <c r="G5139" i="6"/>
  <c r="I5139" i="6" s="1"/>
  <c r="G5140" i="6"/>
  <c r="I5140" i="6" s="1"/>
  <c r="G5141" i="6"/>
  <c r="I5141" i="6" s="1"/>
  <c r="G5142" i="6"/>
  <c r="I5142" i="6" s="1"/>
  <c r="G5143" i="6"/>
  <c r="I5143" i="6" s="1"/>
  <c r="G5144" i="6"/>
  <c r="I5144" i="6" s="1"/>
  <c r="G5145" i="6"/>
  <c r="I5145" i="6" s="1"/>
  <c r="G5146" i="6"/>
  <c r="I5146" i="6" s="1"/>
  <c r="G5147" i="6"/>
  <c r="I5147" i="6" s="1"/>
  <c r="G5148" i="6"/>
  <c r="I5148" i="6" s="1"/>
  <c r="G5149" i="6"/>
  <c r="I5149" i="6" s="1"/>
  <c r="G5150" i="6"/>
  <c r="I5150" i="6" s="1"/>
  <c r="G5151" i="6"/>
  <c r="I5151" i="6" s="1"/>
  <c r="G5152" i="6"/>
  <c r="I5152" i="6" s="1"/>
  <c r="G5153" i="6"/>
  <c r="I5153" i="6" s="1"/>
  <c r="G5154" i="6"/>
  <c r="I5154" i="6" s="1"/>
  <c r="G5155" i="6"/>
  <c r="I5155" i="6" s="1"/>
  <c r="G5156" i="6"/>
  <c r="I5156" i="6" s="1"/>
  <c r="G5157" i="6"/>
  <c r="I5157" i="6" s="1"/>
  <c r="G5158" i="6"/>
  <c r="I5158" i="6" s="1"/>
  <c r="G5159" i="6"/>
  <c r="I5159" i="6" s="1"/>
  <c r="G5160" i="6"/>
  <c r="I5160" i="6" s="1"/>
  <c r="G5161" i="6"/>
  <c r="I5161" i="6" s="1"/>
  <c r="G5162" i="6"/>
  <c r="I5162" i="6" s="1"/>
  <c r="G5163" i="6"/>
  <c r="I5163" i="6" s="1"/>
  <c r="G5164" i="6"/>
  <c r="I5164" i="6" s="1"/>
  <c r="G5165" i="6"/>
  <c r="I5165" i="6" s="1"/>
  <c r="G5166" i="6"/>
  <c r="I5166" i="6" s="1"/>
  <c r="G5167" i="6"/>
  <c r="I5167" i="6" s="1"/>
  <c r="G5168" i="6"/>
  <c r="I5168" i="6" s="1"/>
  <c r="G5169" i="6"/>
  <c r="I5169" i="6" s="1"/>
  <c r="G5170" i="6"/>
  <c r="I5170" i="6" s="1"/>
  <c r="G5171" i="6"/>
  <c r="I5171" i="6" s="1"/>
  <c r="G5172" i="6"/>
  <c r="I5172" i="6" s="1"/>
  <c r="G5173" i="6"/>
  <c r="I5173" i="6" s="1"/>
  <c r="G5174" i="6"/>
  <c r="I5174" i="6" s="1"/>
  <c r="G5175" i="6"/>
  <c r="I5175" i="6" s="1"/>
  <c r="G5176" i="6"/>
  <c r="I5176" i="6" s="1"/>
  <c r="G5177" i="6"/>
  <c r="I5177" i="6" s="1"/>
  <c r="G5178" i="6"/>
  <c r="I5178" i="6" s="1"/>
  <c r="G5179" i="6"/>
  <c r="I5179" i="6" s="1"/>
  <c r="G5180" i="6"/>
  <c r="I5180" i="6" s="1"/>
  <c r="G5181" i="6"/>
  <c r="I5181" i="6" s="1"/>
  <c r="G5182" i="6"/>
  <c r="I5182" i="6" s="1"/>
  <c r="G5183" i="6"/>
  <c r="I5183" i="6" s="1"/>
  <c r="G5184" i="6"/>
  <c r="I5184" i="6" s="1"/>
  <c r="G5185" i="6"/>
  <c r="I5185" i="6" s="1"/>
  <c r="G5186" i="6"/>
  <c r="I5186" i="6" s="1"/>
  <c r="G5187" i="6"/>
  <c r="I5187" i="6" s="1"/>
  <c r="G5188" i="6"/>
  <c r="I5188" i="6" s="1"/>
  <c r="G5189" i="6"/>
  <c r="I5189" i="6" s="1"/>
  <c r="G5190" i="6"/>
  <c r="I5190" i="6" s="1"/>
  <c r="G5191" i="6"/>
  <c r="I5191" i="6" s="1"/>
  <c r="G5192" i="6"/>
  <c r="I5192" i="6" s="1"/>
  <c r="G5193" i="6"/>
  <c r="I5193" i="6" s="1"/>
  <c r="G5194" i="6"/>
  <c r="I5194" i="6" s="1"/>
  <c r="G5195" i="6"/>
  <c r="I5195" i="6" s="1"/>
  <c r="G5196" i="6"/>
  <c r="I5196" i="6" s="1"/>
  <c r="G5197" i="6"/>
  <c r="I5197" i="6" s="1"/>
  <c r="G5198" i="6"/>
  <c r="I5198" i="6" s="1"/>
  <c r="G5199" i="6"/>
  <c r="I5199" i="6" s="1"/>
  <c r="G5200" i="6"/>
  <c r="I5200" i="6" s="1"/>
  <c r="G5201" i="6"/>
  <c r="I5201" i="6" s="1"/>
  <c r="G5202" i="6"/>
  <c r="I5202" i="6" s="1"/>
  <c r="G5203" i="6"/>
  <c r="I5203" i="6" s="1"/>
  <c r="G5204" i="6"/>
  <c r="I5204" i="6" s="1"/>
  <c r="G5205" i="6"/>
  <c r="I5205" i="6" s="1"/>
  <c r="G5206" i="6"/>
  <c r="I5206" i="6" s="1"/>
  <c r="G5207" i="6"/>
  <c r="I5207" i="6" s="1"/>
  <c r="G5208" i="6"/>
  <c r="I5208" i="6" s="1"/>
  <c r="G5209" i="6"/>
  <c r="I5209" i="6" s="1"/>
  <c r="G5210" i="6"/>
  <c r="I5210" i="6" s="1"/>
  <c r="G5211" i="6"/>
  <c r="I5211" i="6" s="1"/>
  <c r="G5212" i="6"/>
  <c r="I5212" i="6" s="1"/>
  <c r="G5213" i="6"/>
  <c r="I5213" i="6" s="1"/>
  <c r="G5214" i="6"/>
  <c r="I5214" i="6" s="1"/>
  <c r="G5215" i="6"/>
  <c r="I5215" i="6" s="1"/>
  <c r="G5216" i="6"/>
  <c r="I5216" i="6" s="1"/>
  <c r="G5217" i="6"/>
  <c r="I5217" i="6" s="1"/>
  <c r="G5218" i="6"/>
  <c r="I5218" i="6" s="1"/>
  <c r="G5219" i="6"/>
  <c r="I5219" i="6" s="1"/>
  <c r="G5220" i="6"/>
  <c r="I5220" i="6" s="1"/>
  <c r="G5221" i="6"/>
  <c r="I5221" i="6" s="1"/>
  <c r="G5222" i="6"/>
  <c r="I5222" i="6" s="1"/>
  <c r="G5223" i="6"/>
  <c r="I5223" i="6" s="1"/>
  <c r="G5224" i="6"/>
  <c r="I5224" i="6" s="1"/>
  <c r="G5225" i="6"/>
  <c r="I5225" i="6" s="1"/>
  <c r="G5226" i="6"/>
  <c r="I5226" i="6" s="1"/>
  <c r="G5227" i="6"/>
  <c r="I5227" i="6" s="1"/>
  <c r="G5228" i="6"/>
  <c r="I5228" i="6" s="1"/>
  <c r="G5229" i="6"/>
  <c r="I5229" i="6" s="1"/>
  <c r="G5230" i="6"/>
  <c r="I5230" i="6" s="1"/>
  <c r="G5231" i="6"/>
  <c r="I5231" i="6" s="1"/>
  <c r="G5232" i="6"/>
  <c r="I5232" i="6" s="1"/>
  <c r="G5233" i="6"/>
  <c r="I5233" i="6" s="1"/>
  <c r="G5234" i="6"/>
  <c r="I5234" i="6" s="1"/>
  <c r="G5235" i="6"/>
  <c r="I5235" i="6" s="1"/>
  <c r="G5236" i="6"/>
  <c r="I5236" i="6" s="1"/>
  <c r="G5237" i="6"/>
  <c r="I5237" i="6" s="1"/>
  <c r="G5238" i="6"/>
  <c r="I5238" i="6" s="1"/>
  <c r="G5239" i="6"/>
  <c r="I5239" i="6" s="1"/>
  <c r="G5240" i="6"/>
  <c r="I5240" i="6" s="1"/>
  <c r="G5241" i="6"/>
  <c r="I5241" i="6" s="1"/>
  <c r="G5242" i="6"/>
  <c r="I5242" i="6" s="1"/>
  <c r="G5243" i="6"/>
  <c r="I5243" i="6" s="1"/>
  <c r="G5244" i="6"/>
  <c r="I5244" i="6" s="1"/>
  <c r="G5245" i="6"/>
  <c r="I5245" i="6" s="1"/>
  <c r="G5246" i="6"/>
  <c r="I5246" i="6" s="1"/>
  <c r="G5247" i="6"/>
  <c r="I5247" i="6" s="1"/>
  <c r="G5248" i="6"/>
  <c r="I5248" i="6" s="1"/>
  <c r="G5249" i="6"/>
  <c r="I5249" i="6" s="1"/>
  <c r="G5250" i="6"/>
  <c r="I5250" i="6" s="1"/>
  <c r="G5251" i="6"/>
  <c r="I5251" i="6" s="1"/>
  <c r="G5252" i="6"/>
  <c r="I5252" i="6" s="1"/>
  <c r="G5253" i="6"/>
  <c r="I5253" i="6" s="1"/>
  <c r="G5254" i="6"/>
  <c r="I5254" i="6" s="1"/>
  <c r="G5255" i="6"/>
  <c r="I5255" i="6" s="1"/>
  <c r="G5256" i="6"/>
  <c r="I5256" i="6" s="1"/>
  <c r="G5257" i="6"/>
  <c r="I5257" i="6" s="1"/>
  <c r="G5258" i="6"/>
  <c r="I5258" i="6" s="1"/>
  <c r="G5259" i="6"/>
  <c r="I5259" i="6" s="1"/>
  <c r="G5260" i="6"/>
  <c r="I5260" i="6" s="1"/>
  <c r="G5261" i="6"/>
  <c r="I5261" i="6" s="1"/>
  <c r="G5262" i="6"/>
  <c r="I5262" i="6" s="1"/>
  <c r="G5263" i="6"/>
  <c r="I5263" i="6" s="1"/>
  <c r="G5264" i="6"/>
  <c r="I5264" i="6" s="1"/>
  <c r="G5265" i="6"/>
  <c r="I5265" i="6" s="1"/>
  <c r="G5266" i="6"/>
  <c r="I5266" i="6" s="1"/>
  <c r="G5267" i="6"/>
  <c r="I5267" i="6" s="1"/>
  <c r="G5268" i="6"/>
  <c r="I5268" i="6" s="1"/>
  <c r="G5269" i="6"/>
  <c r="I5269" i="6" s="1"/>
  <c r="G5270" i="6"/>
  <c r="I5270" i="6" s="1"/>
  <c r="G5271" i="6"/>
  <c r="I5271" i="6" s="1"/>
  <c r="G5272" i="6"/>
  <c r="I5272" i="6" s="1"/>
  <c r="G5273" i="6"/>
  <c r="I5273" i="6" s="1"/>
  <c r="G5274" i="6"/>
  <c r="I5274" i="6" s="1"/>
  <c r="G5275" i="6"/>
  <c r="I5275" i="6" s="1"/>
  <c r="G5276" i="6"/>
  <c r="I5276" i="6" s="1"/>
  <c r="G5277" i="6"/>
  <c r="I5277" i="6" s="1"/>
  <c r="G5278" i="6"/>
  <c r="I5278" i="6" s="1"/>
  <c r="G5279" i="6"/>
  <c r="I5279" i="6" s="1"/>
  <c r="G5280" i="6"/>
  <c r="I5280" i="6" s="1"/>
  <c r="G5281" i="6"/>
  <c r="I5281" i="6" s="1"/>
  <c r="G5282" i="6"/>
  <c r="I5282" i="6" s="1"/>
  <c r="G5283" i="6"/>
  <c r="I5283" i="6" s="1"/>
  <c r="G5284" i="6"/>
  <c r="I5284" i="6" s="1"/>
  <c r="G5285" i="6"/>
  <c r="I5285" i="6" s="1"/>
  <c r="G5286" i="6"/>
  <c r="I5286" i="6" s="1"/>
  <c r="G5287" i="6"/>
  <c r="I5287" i="6" s="1"/>
  <c r="G5288" i="6"/>
  <c r="I5288" i="6" s="1"/>
  <c r="G5289" i="6"/>
  <c r="I5289" i="6" s="1"/>
  <c r="G5290" i="6"/>
  <c r="I5290" i="6" s="1"/>
  <c r="G5291" i="6"/>
  <c r="I5291" i="6" s="1"/>
  <c r="G5292" i="6"/>
  <c r="I5292" i="6" s="1"/>
  <c r="G5293" i="6"/>
  <c r="I5293" i="6" s="1"/>
  <c r="G5294" i="6"/>
  <c r="I5294" i="6" s="1"/>
  <c r="G5295" i="6"/>
  <c r="I5295" i="6" s="1"/>
  <c r="G5296" i="6"/>
  <c r="I5296" i="6" s="1"/>
  <c r="G5297" i="6"/>
  <c r="I5297" i="6" s="1"/>
  <c r="G5298" i="6"/>
  <c r="I5298" i="6" s="1"/>
  <c r="G5299" i="6"/>
  <c r="I5299" i="6" s="1"/>
  <c r="G5300" i="6"/>
  <c r="I5300" i="6" s="1"/>
  <c r="G5301" i="6"/>
  <c r="I5301" i="6" s="1"/>
  <c r="G5302" i="6"/>
  <c r="I5302" i="6" s="1"/>
  <c r="G5303" i="6"/>
  <c r="I5303" i="6" s="1"/>
  <c r="G5304" i="6"/>
  <c r="I5304" i="6" s="1"/>
  <c r="G5305" i="6"/>
  <c r="I5305" i="6" s="1"/>
  <c r="G5306" i="6"/>
  <c r="I5306" i="6" s="1"/>
  <c r="G5307" i="6"/>
  <c r="I5307" i="6" s="1"/>
  <c r="G5308" i="6"/>
  <c r="I5308" i="6" s="1"/>
  <c r="G5309" i="6"/>
  <c r="I5309" i="6" s="1"/>
  <c r="G5310" i="6"/>
  <c r="I5310" i="6" s="1"/>
  <c r="G5311" i="6"/>
  <c r="I5311" i="6" s="1"/>
  <c r="G5312" i="6"/>
  <c r="I5312" i="6" s="1"/>
  <c r="G5313" i="6"/>
  <c r="I5313" i="6" s="1"/>
  <c r="G5314" i="6"/>
  <c r="I5314" i="6" s="1"/>
  <c r="G5315" i="6"/>
  <c r="I5315" i="6" s="1"/>
  <c r="G5316" i="6"/>
  <c r="I5316" i="6" s="1"/>
  <c r="G5317" i="6"/>
  <c r="I5317" i="6" s="1"/>
  <c r="G5318" i="6"/>
  <c r="I5318" i="6" s="1"/>
  <c r="G5319" i="6"/>
  <c r="I5319" i="6" s="1"/>
  <c r="G5320" i="6"/>
  <c r="I5320" i="6" s="1"/>
  <c r="G5321" i="6"/>
  <c r="I5321" i="6" s="1"/>
  <c r="G5322" i="6"/>
  <c r="I5322" i="6" s="1"/>
  <c r="G5323" i="6"/>
  <c r="I5323" i="6" s="1"/>
  <c r="G5324" i="6"/>
  <c r="I5324" i="6" s="1"/>
  <c r="G5325" i="6"/>
  <c r="I5325" i="6" s="1"/>
  <c r="G5326" i="6"/>
  <c r="I5326" i="6" s="1"/>
  <c r="G5327" i="6"/>
  <c r="I5327" i="6" s="1"/>
  <c r="G5328" i="6"/>
  <c r="I5328" i="6" s="1"/>
  <c r="G5329" i="6"/>
  <c r="I5329" i="6" s="1"/>
  <c r="G5330" i="6"/>
  <c r="I5330" i="6" s="1"/>
  <c r="G5331" i="6"/>
  <c r="I5331" i="6" s="1"/>
  <c r="G5332" i="6"/>
  <c r="I5332" i="6" s="1"/>
  <c r="G5333" i="6"/>
  <c r="I5333" i="6" s="1"/>
  <c r="G5334" i="6"/>
  <c r="I5334" i="6" s="1"/>
  <c r="G5335" i="6"/>
  <c r="I5335" i="6" s="1"/>
  <c r="G5336" i="6"/>
  <c r="I5336" i="6" s="1"/>
  <c r="G5337" i="6"/>
  <c r="I5337" i="6" s="1"/>
  <c r="G5338" i="6"/>
  <c r="I5338" i="6" s="1"/>
  <c r="G5339" i="6"/>
  <c r="I5339" i="6" s="1"/>
  <c r="G5340" i="6"/>
  <c r="I5340" i="6" s="1"/>
  <c r="G5341" i="6"/>
  <c r="I5341" i="6" s="1"/>
  <c r="G5342" i="6"/>
  <c r="I5342" i="6" s="1"/>
  <c r="G5343" i="6"/>
  <c r="I5343" i="6" s="1"/>
  <c r="G5344" i="6"/>
  <c r="I5344" i="6" s="1"/>
  <c r="G5345" i="6"/>
  <c r="I5345" i="6" s="1"/>
  <c r="G5346" i="6"/>
  <c r="I5346" i="6" s="1"/>
  <c r="G5347" i="6"/>
  <c r="I5347" i="6" s="1"/>
  <c r="G5348" i="6"/>
  <c r="I5348" i="6" s="1"/>
  <c r="G5349" i="6"/>
  <c r="I5349" i="6" s="1"/>
  <c r="G5350" i="6"/>
  <c r="I5350" i="6" s="1"/>
  <c r="G5351" i="6"/>
  <c r="I5351" i="6" s="1"/>
  <c r="G5352" i="6"/>
  <c r="I5352" i="6" s="1"/>
  <c r="G5353" i="6"/>
  <c r="I5353" i="6" s="1"/>
  <c r="G5354" i="6"/>
  <c r="I5354" i="6" s="1"/>
  <c r="G5355" i="6"/>
  <c r="I5355" i="6" s="1"/>
  <c r="G5356" i="6"/>
  <c r="I5356" i="6" s="1"/>
  <c r="G5357" i="6"/>
  <c r="I5357" i="6" s="1"/>
  <c r="G5358" i="6"/>
  <c r="I5358" i="6" s="1"/>
  <c r="G5359" i="6"/>
  <c r="I5359" i="6" s="1"/>
  <c r="G5360" i="6"/>
  <c r="I5360" i="6" s="1"/>
  <c r="G5361" i="6"/>
  <c r="I5361" i="6" s="1"/>
  <c r="G5362" i="6"/>
  <c r="I5362" i="6" s="1"/>
  <c r="G5363" i="6"/>
  <c r="I5363" i="6" s="1"/>
  <c r="G5364" i="6"/>
  <c r="I5364" i="6" s="1"/>
  <c r="G5365" i="6"/>
  <c r="I5365" i="6" s="1"/>
  <c r="G5366" i="6"/>
  <c r="I5366" i="6" s="1"/>
  <c r="G5367" i="6"/>
  <c r="I5367" i="6" s="1"/>
  <c r="G5368" i="6"/>
  <c r="I5368" i="6" s="1"/>
  <c r="G5369" i="6"/>
  <c r="I5369" i="6" s="1"/>
  <c r="G5370" i="6"/>
  <c r="I5370" i="6" s="1"/>
  <c r="G5371" i="6"/>
  <c r="I5371" i="6" s="1"/>
  <c r="G5372" i="6"/>
  <c r="I5372" i="6" s="1"/>
  <c r="G5373" i="6"/>
  <c r="I5373" i="6" s="1"/>
  <c r="G5374" i="6"/>
  <c r="I5374" i="6" s="1"/>
  <c r="G5375" i="6"/>
  <c r="I5375" i="6" s="1"/>
  <c r="G5376" i="6"/>
  <c r="I5376" i="6" s="1"/>
  <c r="G5377" i="6"/>
  <c r="I5377" i="6" s="1"/>
  <c r="G5378" i="6"/>
  <c r="I5378" i="6" s="1"/>
  <c r="G5379" i="6"/>
  <c r="I5379" i="6" s="1"/>
  <c r="G5380" i="6"/>
  <c r="I5380" i="6" s="1"/>
  <c r="G5381" i="6"/>
  <c r="I5381" i="6" s="1"/>
  <c r="G5382" i="6"/>
  <c r="I5382" i="6" s="1"/>
  <c r="G5383" i="6"/>
  <c r="I5383" i="6" s="1"/>
  <c r="G5384" i="6"/>
  <c r="I5384" i="6" s="1"/>
  <c r="G5385" i="6"/>
  <c r="I5385" i="6" s="1"/>
  <c r="G5386" i="6"/>
  <c r="I5386" i="6" s="1"/>
  <c r="G5387" i="6"/>
  <c r="I5387" i="6" s="1"/>
  <c r="G5388" i="6"/>
  <c r="I5388" i="6" s="1"/>
  <c r="G5389" i="6"/>
  <c r="I5389" i="6" s="1"/>
  <c r="G5390" i="6"/>
  <c r="I5390" i="6" s="1"/>
  <c r="G5391" i="6"/>
  <c r="I5391" i="6" s="1"/>
  <c r="G5392" i="6"/>
  <c r="I5392" i="6" s="1"/>
  <c r="G5393" i="6"/>
  <c r="I5393" i="6" s="1"/>
  <c r="G5394" i="6"/>
  <c r="I5394" i="6" s="1"/>
  <c r="G5395" i="6"/>
  <c r="I5395" i="6" s="1"/>
  <c r="G5396" i="6"/>
  <c r="I5396" i="6" s="1"/>
  <c r="G5397" i="6"/>
  <c r="I5397" i="6" s="1"/>
  <c r="G5398" i="6"/>
  <c r="I5398" i="6" s="1"/>
  <c r="G5399" i="6"/>
  <c r="I5399" i="6" s="1"/>
  <c r="G5400" i="6"/>
  <c r="I5400" i="6" s="1"/>
  <c r="G5401" i="6"/>
  <c r="I5401" i="6" s="1"/>
  <c r="G5402" i="6"/>
  <c r="I5402" i="6" s="1"/>
  <c r="G5403" i="6"/>
  <c r="I5403" i="6" s="1"/>
  <c r="G5404" i="6"/>
  <c r="I5404" i="6" s="1"/>
  <c r="G5405" i="6"/>
  <c r="I5405" i="6" s="1"/>
  <c r="G5406" i="6"/>
  <c r="I5406" i="6" s="1"/>
  <c r="G5407" i="6"/>
  <c r="I5407" i="6" s="1"/>
  <c r="G5408" i="6"/>
  <c r="I5408" i="6" s="1"/>
  <c r="G5409" i="6"/>
  <c r="I5409" i="6" s="1"/>
  <c r="G5410" i="6"/>
  <c r="I5410" i="6" s="1"/>
  <c r="G5411" i="6"/>
  <c r="I5411" i="6" s="1"/>
  <c r="G5412" i="6"/>
  <c r="I5412" i="6" s="1"/>
  <c r="G5413" i="6"/>
  <c r="I5413" i="6" s="1"/>
  <c r="G5414" i="6"/>
  <c r="I5414" i="6" s="1"/>
  <c r="G5415" i="6"/>
  <c r="I5415" i="6" s="1"/>
  <c r="G5416" i="6"/>
  <c r="I5416" i="6" s="1"/>
  <c r="G5417" i="6"/>
  <c r="I5417" i="6" s="1"/>
  <c r="G5418" i="6"/>
  <c r="I5418" i="6" s="1"/>
  <c r="G5419" i="6"/>
  <c r="I5419" i="6" s="1"/>
  <c r="G5420" i="6"/>
  <c r="I5420" i="6" s="1"/>
  <c r="G5421" i="6"/>
  <c r="I5421" i="6" s="1"/>
  <c r="G5422" i="6"/>
  <c r="I5422" i="6" s="1"/>
  <c r="G5423" i="6"/>
  <c r="I5423" i="6" s="1"/>
  <c r="G5424" i="6"/>
  <c r="I5424" i="6" s="1"/>
  <c r="G5425" i="6"/>
  <c r="I5425" i="6" s="1"/>
  <c r="G5426" i="6"/>
  <c r="I5426" i="6" s="1"/>
  <c r="G5427" i="6"/>
  <c r="I5427" i="6" s="1"/>
  <c r="G5428" i="6"/>
  <c r="I5428" i="6" s="1"/>
  <c r="G5429" i="6"/>
  <c r="I5429" i="6" s="1"/>
  <c r="G5430" i="6"/>
  <c r="I5430" i="6" s="1"/>
  <c r="G5431" i="6"/>
  <c r="I5431" i="6" s="1"/>
  <c r="G5432" i="6"/>
  <c r="I5432" i="6" s="1"/>
  <c r="G5433" i="6"/>
  <c r="I5433" i="6" s="1"/>
  <c r="G5434" i="6"/>
  <c r="I5434" i="6" s="1"/>
  <c r="G5435" i="6"/>
  <c r="I5435" i="6" s="1"/>
  <c r="G5436" i="6"/>
  <c r="I5436" i="6" s="1"/>
  <c r="G5437" i="6"/>
  <c r="I5437" i="6" s="1"/>
  <c r="G5438" i="6"/>
  <c r="I5438" i="6" s="1"/>
  <c r="G5439" i="6"/>
  <c r="I5439" i="6" s="1"/>
  <c r="G5440" i="6"/>
  <c r="I5440" i="6" s="1"/>
  <c r="G5441" i="6"/>
  <c r="I5441" i="6" s="1"/>
  <c r="G5442" i="6"/>
  <c r="I5442" i="6" s="1"/>
  <c r="G5443" i="6"/>
  <c r="I5443" i="6" s="1"/>
  <c r="G5444" i="6"/>
  <c r="I5444" i="6" s="1"/>
  <c r="G5445" i="6"/>
  <c r="I5445" i="6" s="1"/>
  <c r="G5446" i="6"/>
  <c r="I5446" i="6" s="1"/>
  <c r="G5447" i="6"/>
  <c r="I5447" i="6" s="1"/>
  <c r="G5448" i="6"/>
  <c r="I5448" i="6" s="1"/>
  <c r="G5449" i="6"/>
  <c r="I5449" i="6" s="1"/>
  <c r="G5450" i="6"/>
  <c r="I5450" i="6" s="1"/>
  <c r="G5451" i="6"/>
  <c r="I5451" i="6" s="1"/>
  <c r="G5452" i="6"/>
  <c r="I5452" i="6" s="1"/>
  <c r="G5453" i="6"/>
  <c r="I5453" i="6" s="1"/>
  <c r="G5454" i="6"/>
  <c r="I5454" i="6" s="1"/>
  <c r="G5455" i="6"/>
  <c r="I5455" i="6" s="1"/>
  <c r="G5456" i="6"/>
  <c r="I5456" i="6" s="1"/>
  <c r="G5457" i="6"/>
  <c r="I5457" i="6" s="1"/>
  <c r="G5458" i="6"/>
  <c r="I5458" i="6" s="1"/>
  <c r="G5459" i="6"/>
  <c r="I5459" i="6" s="1"/>
  <c r="G5460" i="6"/>
  <c r="I5460" i="6" s="1"/>
  <c r="G5461" i="6"/>
  <c r="I5461" i="6" s="1"/>
  <c r="G5462" i="6"/>
  <c r="I5462" i="6" s="1"/>
  <c r="G5463" i="6"/>
  <c r="I5463" i="6" s="1"/>
  <c r="G5464" i="6"/>
  <c r="I5464" i="6" s="1"/>
  <c r="G5465" i="6"/>
  <c r="I5465" i="6" s="1"/>
  <c r="G5466" i="6"/>
  <c r="I5466" i="6" s="1"/>
  <c r="G5467" i="6"/>
  <c r="I5467" i="6" s="1"/>
  <c r="G5468" i="6"/>
  <c r="I5468" i="6" s="1"/>
  <c r="G5469" i="6"/>
  <c r="I5469" i="6" s="1"/>
  <c r="G5470" i="6"/>
  <c r="I5470" i="6" s="1"/>
  <c r="G5471" i="6"/>
  <c r="I5471" i="6" s="1"/>
  <c r="G5472" i="6"/>
  <c r="I5472" i="6" s="1"/>
  <c r="G5473" i="6"/>
  <c r="I5473" i="6" s="1"/>
  <c r="G5474" i="6"/>
  <c r="I5474" i="6" s="1"/>
  <c r="G5475" i="6"/>
  <c r="I5475" i="6" s="1"/>
  <c r="G5476" i="6"/>
  <c r="I5476" i="6" s="1"/>
  <c r="G5477" i="6"/>
  <c r="I5477" i="6" s="1"/>
  <c r="G5478" i="6"/>
  <c r="I5478" i="6" s="1"/>
  <c r="G5479" i="6"/>
  <c r="I5479" i="6" s="1"/>
  <c r="G5480" i="6"/>
  <c r="I5480" i="6" s="1"/>
  <c r="G5481" i="6"/>
  <c r="I5481" i="6" s="1"/>
  <c r="G5482" i="6"/>
  <c r="I5482" i="6" s="1"/>
  <c r="G5483" i="6"/>
  <c r="I5483" i="6" s="1"/>
  <c r="G5484" i="6"/>
  <c r="I5484" i="6" s="1"/>
  <c r="G5485" i="6"/>
  <c r="I5485" i="6" s="1"/>
  <c r="G5486" i="6"/>
  <c r="I5486" i="6" s="1"/>
  <c r="G5487" i="6"/>
  <c r="I5487" i="6" s="1"/>
  <c r="G5488" i="6"/>
  <c r="I5488" i="6" s="1"/>
  <c r="G5489" i="6"/>
  <c r="I5489" i="6" s="1"/>
  <c r="G5490" i="6"/>
  <c r="I5490" i="6" s="1"/>
  <c r="G5491" i="6"/>
  <c r="I5491" i="6" s="1"/>
  <c r="G5492" i="6"/>
  <c r="I5492" i="6" s="1"/>
  <c r="G5493" i="6"/>
  <c r="I5493" i="6" s="1"/>
  <c r="G5494" i="6"/>
  <c r="I5494" i="6" s="1"/>
  <c r="G5495" i="6"/>
  <c r="I5495" i="6" s="1"/>
  <c r="G5496" i="6"/>
  <c r="I5496" i="6" s="1"/>
  <c r="G5497" i="6"/>
  <c r="I5497" i="6" s="1"/>
  <c r="G5498" i="6"/>
  <c r="I5498" i="6" s="1"/>
  <c r="G5499" i="6"/>
  <c r="I5499" i="6" s="1"/>
  <c r="G5500" i="6"/>
  <c r="I5500" i="6" s="1"/>
  <c r="G5501" i="6"/>
  <c r="I5501" i="6" s="1"/>
  <c r="G5502" i="6"/>
  <c r="I5502" i="6" s="1"/>
  <c r="G5503" i="6"/>
  <c r="I5503" i="6" s="1"/>
  <c r="G5504" i="6"/>
  <c r="I5504" i="6" s="1"/>
  <c r="G5505" i="6"/>
  <c r="I5505" i="6" s="1"/>
  <c r="G5506" i="6"/>
  <c r="I5506" i="6" s="1"/>
  <c r="G5507" i="6"/>
  <c r="I5507" i="6" s="1"/>
  <c r="G5508" i="6"/>
  <c r="I5508" i="6" s="1"/>
  <c r="G5509" i="6"/>
  <c r="I5509" i="6" s="1"/>
  <c r="G5510" i="6"/>
  <c r="I5510" i="6" s="1"/>
  <c r="G5511" i="6"/>
  <c r="I5511" i="6" s="1"/>
  <c r="G5512" i="6"/>
  <c r="I5512" i="6" s="1"/>
  <c r="G5513" i="6"/>
  <c r="I5513" i="6" s="1"/>
  <c r="G5514" i="6"/>
  <c r="I5514" i="6" s="1"/>
  <c r="G5515" i="6"/>
  <c r="I5515" i="6" s="1"/>
  <c r="G5516" i="6"/>
  <c r="I5516" i="6" s="1"/>
  <c r="G5517" i="6"/>
  <c r="I5517" i="6" s="1"/>
  <c r="G5518" i="6"/>
  <c r="I5518" i="6" s="1"/>
  <c r="G5519" i="6"/>
  <c r="I5519" i="6" s="1"/>
  <c r="G5520" i="6"/>
  <c r="I5520" i="6" s="1"/>
  <c r="G5521" i="6"/>
  <c r="I5521" i="6" s="1"/>
  <c r="G5522" i="6"/>
  <c r="I5522" i="6" s="1"/>
  <c r="G5523" i="6"/>
  <c r="I5523" i="6" s="1"/>
  <c r="G5524" i="6"/>
  <c r="I5524" i="6" s="1"/>
  <c r="G5525" i="6"/>
  <c r="I5525" i="6" s="1"/>
  <c r="G5526" i="6"/>
  <c r="I5526" i="6" s="1"/>
  <c r="G5527" i="6"/>
  <c r="I5527" i="6" s="1"/>
  <c r="G5528" i="6"/>
  <c r="I5528" i="6" s="1"/>
  <c r="G5529" i="6"/>
  <c r="I5529" i="6" s="1"/>
  <c r="G5530" i="6"/>
  <c r="I5530" i="6" s="1"/>
  <c r="G5531" i="6"/>
  <c r="I5531" i="6" s="1"/>
  <c r="G5532" i="6"/>
  <c r="I5532" i="6" s="1"/>
  <c r="G5533" i="6"/>
  <c r="I5533" i="6" s="1"/>
  <c r="G5534" i="6"/>
  <c r="I5534" i="6" s="1"/>
  <c r="G5535" i="6"/>
  <c r="I5535" i="6" s="1"/>
  <c r="G5536" i="6"/>
  <c r="I5536" i="6" s="1"/>
  <c r="G5537" i="6"/>
  <c r="I5537" i="6" s="1"/>
  <c r="G5538" i="6"/>
  <c r="I5538" i="6" s="1"/>
  <c r="G5539" i="6"/>
  <c r="I5539" i="6" s="1"/>
  <c r="G5540" i="6"/>
  <c r="I5540" i="6" s="1"/>
  <c r="G5541" i="6"/>
  <c r="I5541" i="6" s="1"/>
  <c r="G5542" i="6"/>
  <c r="I5542" i="6" s="1"/>
  <c r="G5543" i="6"/>
  <c r="I5543" i="6" s="1"/>
  <c r="G5544" i="6"/>
  <c r="I5544" i="6" s="1"/>
  <c r="G5545" i="6"/>
  <c r="I5545" i="6" s="1"/>
  <c r="G5546" i="6"/>
  <c r="I5546" i="6" s="1"/>
  <c r="G5547" i="6"/>
  <c r="I5547" i="6" s="1"/>
  <c r="G5548" i="6"/>
  <c r="I5548" i="6" s="1"/>
  <c r="G5549" i="6"/>
  <c r="I5549" i="6" s="1"/>
  <c r="G5550" i="6"/>
  <c r="I5550" i="6" s="1"/>
  <c r="G5551" i="6"/>
  <c r="I5551" i="6" s="1"/>
  <c r="G5552" i="6"/>
  <c r="I5552" i="6" s="1"/>
  <c r="G5553" i="6"/>
  <c r="I5553" i="6" s="1"/>
  <c r="G5554" i="6"/>
  <c r="I5554" i="6" s="1"/>
  <c r="G5555" i="6"/>
  <c r="I5555" i="6" s="1"/>
  <c r="G5556" i="6"/>
  <c r="I5556" i="6" s="1"/>
  <c r="G5557" i="6"/>
  <c r="I5557" i="6" s="1"/>
  <c r="G5558" i="6"/>
  <c r="I5558" i="6" s="1"/>
  <c r="G5559" i="6"/>
  <c r="I5559" i="6" s="1"/>
  <c r="G5560" i="6"/>
  <c r="I5560" i="6" s="1"/>
  <c r="G5561" i="6"/>
  <c r="I5561" i="6" s="1"/>
  <c r="G5562" i="6"/>
  <c r="I5562" i="6" s="1"/>
  <c r="G5563" i="6"/>
  <c r="I5563" i="6" s="1"/>
  <c r="G5564" i="6"/>
  <c r="I5564" i="6" s="1"/>
  <c r="G5565" i="6"/>
  <c r="I5565" i="6" s="1"/>
  <c r="G5566" i="6"/>
  <c r="I5566" i="6" s="1"/>
  <c r="G5567" i="6"/>
  <c r="I5567" i="6" s="1"/>
  <c r="G5568" i="6"/>
  <c r="I5568" i="6" s="1"/>
  <c r="G5569" i="6"/>
  <c r="I5569" i="6" s="1"/>
  <c r="G5570" i="6"/>
  <c r="I5570" i="6" s="1"/>
  <c r="G5571" i="6"/>
  <c r="I5571" i="6" s="1"/>
  <c r="G5572" i="6"/>
  <c r="I5572" i="6" s="1"/>
  <c r="G5573" i="6"/>
  <c r="I5573" i="6" s="1"/>
  <c r="G5574" i="6"/>
  <c r="I5574" i="6" s="1"/>
  <c r="G5575" i="6"/>
  <c r="I5575" i="6" s="1"/>
  <c r="G5576" i="6"/>
  <c r="I5576" i="6" s="1"/>
  <c r="G5577" i="6"/>
  <c r="I5577" i="6" s="1"/>
  <c r="G5578" i="6"/>
  <c r="I5578" i="6" s="1"/>
  <c r="G5579" i="6"/>
  <c r="I5579" i="6" s="1"/>
  <c r="G5580" i="6"/>
  <c r="I5580" i="6" s="1"/>
  <c r="G5581" i="6"/>
  <c r="I5581" i="6" s="1"/>
  <c r="G5582" i="6"/>
  <c r="I5582" i="6" s="1"/>
  <c r="G5583" i="6"/>
  <c r="I5583" i="6" s="1"/>
  <c r="G5584" i="6"/>
  <c r="I5584" i="6" s="1"/>
  <c r="G5585" i="6"/>
  <c r="I5585" i="6" s="1"/>
  <c r="G5586" i="6"/>
  <c r="I5586" i="6" s="1"/>
  <c r="G5587" i="6"/>
  <c r="I5587" i="6" s="1"/>
  <c r="G5588" i="6"/>
  <c r="I5588" i="6" s="1"/>
  <c r="G5589" i="6"/>
  <c r="I5589" i="6" s="1"/>
  <c r="G5590" i="6"/>
  <c r="I5590" i="6" s="1"/>
  <c r="G5591" i="6"/>
  <c r="I5591" i="6" s="1"/>
  <c r="G5592" i="6"/>
  <c r="I5592" i="6" s="1"/>
  <c r="G5593" i="6"/>
  <c r="I5593" i="6" s="1"/>
  <c r="G5594" i="6"/>
  <c r="I5594" i="6" s="1"/>
  <c r="G5595" i="6"/>
  <c r="I5595" i="6" s="1"/>
  <c r="G5596" i="6"/>
  <c r="I5596" i="6" s="1"/>
  <c r="G5597" i="6"/>
  <c r="I5597" i="6" s="1"/>
  <c r="G5598" i="6"/>
  <c r="I5598" i="6" s="1"/>
  <c r="G5599" i="6"/>
  <c r="I5599" i="6" s="1"/>
  <c r="G5600" i="6"/>
  <c r="I5600" i="6" s="1"/>
  <c r="G5601" i="6"/>
  <c r="I5601" i="6" s="1"/>
  <c r="G5602" i="6"/>
  <c r="I5602" i="6" s="1"/>
  <c r="G5603" i="6"/>
  <c r="I5603" i="6" s="1"/>
  <c r="G5604" i="6"/>
  <c r="I5604" i="6" s="1"/>
  <c r="G5605" i="6"/>
  <c r="I5605" i="6" s="1"/>
  <c r="G5606" i="6"/>
  <c r="I5606" i="6" s="1"/>
  <c r="G5607" i="6"/>
  <c r="I5607" i="6" s="1"/>
  <c r="G5608" i="6"/>
  <c r="I5608" i="6" s="1"/>
  <c r="G5609" i="6"/>
  <c r="I5609" i="6" s="1"/>
  <c r="G5610" i="6"/>
  <c r="I5610" i="6" s="1"/>
  <c r="G5611" i="6"/>
  <c r="I5611" i="6" s="1"/>
  <c r="G5612" i="6"/>
  <c r="I5612" i="6" s="1"/>
  <c r="G5613" i="6"/>
  <c r="I5613" i="6" s="1"/>
  <c r="G5614" i="6"/>
  <c r="I5614" i="6" s="1"/>
  <c r="G5615" i="6"/>
  <c r="I5615" i="6" s="1"/>
  <c r="G5616" i="6"/>
  <c r="I5616" i="6" s="1"/>
  <c r="G5617" i="6"/>
  <c r="I5617" i="6" s="1"/>
  <c r="G5618" i="6"/>
  <c r="I5618" i="6" s="1"/>
  <c r="G5619" i="6"/>
  <c r="I5619" i="6" s="1"/>
  <c r="G5620" i="6"/>
  <c r="I5620" i="6" s="1"/>
  <c r="G5621" i="6"/>
  <c r="I5621" i="6" s="1"/>
  <c r="G5622" i="6"/>
  <c r="I5622" i="6" s="1"/>
  <c r="G5623" i="6"/>
  <c r="I5623" i="6" s="1"/>
  <c r="G5624" i="6"/>
  <c r="I5624" i="6" s="1"/>
  <c r="G5625" i="6"/>
  <c r="I5625" i="6" s="1"/>
  <c r="G5626" i="6"/>
  <c r="I5626" i="6" s="1"/>
  <c r="G5627" i="6"/>
  <c r="I5627" i="6" s="1"/>
  <c r="G5628" i="6"/>
  <c r="I5628" i="6" s="1"/>
  <c r="G5629" i="6"/>
  <c r="I5629" i="6" s="1"/>
  <c r="G5630" i="6"/>
  <c r="I5630" i="6" s="1"/>
  <c r="G5631" i="6"/>
  <c r="I5631" i="6" s="1"/>
  <c r="G5632" i="6"/>
  <c r="I5632" i="6" s="1"/>
  <c r="G5633" i="6"/>
  <c r="I5633" i="6" s="1"/>
  <c r="G5634" i="6"/>
  <c r="I5634" i="6" s="1"/>
  <c r="G5635" i="6"/>
  <c r="I5635" i="6" s="1"/>
  <c r="G5636" i="6"/>
  <c r="I5636" i="6" s="1"/>
  <c r="G5637" i="6"/>
  <c r="I5637" i="6" s="1"/>
  <c r="G5638" i="6"/>
  <c r="I5638" i="6" s="1"/>
  <c r="G5639" i="6"/>
  <c r="I5639" i="6" s="1"/>
  <c r="G5640" i="6"/>
  <c r="I5640" i="6" s="1"/>
  <c r="G5641" i="6"/>
  <c r="I5641" i="6" s="1"/>
  <c r="G5642" i="6"/>
  <c r="I5642" i="6" s="1"/>
  <c r="G5643" i="6"/>
  <c r="I5643" i="6" s="1"/>
  <c r="G5644" i="6"/>
  <c r="I5644" i="6" s="1"/>
  <c r="G5645" i="6"/>
  <c r="I5645" i="6" s="1"/>
  <c r="G5646" i="6"/>
  <c r="I5646" i="6" s="1"/>
  <c r="G5647" i="6"/>
  <c r="I5647" i="6" s="1"/>
  <c r="G5648" i="6"/>
  <c r="I5648" i="6" s="1"/>
  <c r="G5649" i="6"/>
  <c r="I5649" i="6" s="1"/>
  <c r="G5650" i="6"/>
  <c r="I5650" i="6" s="1"/>
  <c r="G5651" i="6"/>
  <c r="I5651" i="6" s="1"/>
  <c r="G5652" i="6"/>
  <c r="I5652" i="6" s="1"/>
  <c r="G5653" i="6"/>
  <c r="I5653" i="6" s="1"/>
  <c r="G5654" i="6"/>
  <c r="I5654" i="6" s="1"/>
  <c r="G5655" i="6"/>
  <c r="I5655" i="6" s="1"/>
  <c r="G5656" i="6"/>
  <c r="I5656" i="6" s="1"/>
  <c r="G5657" i="6"/>
  <c r="I5657" i="6" s="1"/>
  <c r="G5658" i="6"/>
  <c r="I5658" i="6" s="1"/>
  <c r="G5659" i="6"/>
  <c r="I5659" i="6" s="1"/>
  <c r="G5660" i="6"/>
  <c r="I5660" i="6" s="1"/>
  <c r="G5661" i="6"/>
  <c r="I5661" i="6" s="1"/>
  <c r="G5662" i="6"/>
  <c r="I5662" i="6" s="1"/>
  <c r="G5663" i="6"/>
  <c r="I5663" i="6" s="1"/>
  <c r="G5664" i="6"/>
  <c r="I5664" i="6" s="1"/>
  <c r="G5665" i="6"/>
  <c r="I5665" i="6" s="1"/>
  <c r="G5666" i="6"/>
  <c r="I5666" i="6" s="1"/>
  <c r="G5667" i="6"/>
  <c r="I5667" i="6" s="1"/>
  <c r="G5668" i="6"/>
  <c r="I5668" i="6" s="1"/>
  <c r="G5669" i="6"/>
  <c r="I5669" i="6" s="1"/>
  <c r="G5670" i="6"/>
  <c r="I5670" i="6" s="1"/>
  <c r="G5671" i="6"/>
  <c r="I5671" i="6" s="1"/>
  <c r="G5672" i="6"/>
  <c r="I5672" i="6" s="1"/>
  <c r="G5673" i="6"/>
  <c r="I5673" i="6" s="1"/>
  <c r="G5674" i="6"/>
  <c r="I5674" i="6" s="1"/>
  <c r="G5675" i="6"/>
  <c r="I5675" i="6" s="1"/>
  <c r="G5676" i="6"/>
  <c r="I5676" i="6" s="1"/>
  <c r="G5677" i="6"/>
  <c r="I5677" i="6" s="1"/>
  <c r="G5678" i="6"/>
  <c r="I5678" i="6" s="1"/>
  <c r="G5679" i="6"/>
  <c r="I5679" i="6" s="1"/>
  <c r="G5680" i="6"/>
  <c r="I5680" i="6" s="1"/>
  <c r="G5681" i="6"/>
  <c r="I5681" i="6" s="1"/>
  <c r="G5682" i="6"/>
  <c r="I5682" i="6" s="1"/>
  <c r="G5683" i="6"/>
  <c r="I5683" i="6" s="1"/>
  <c r="G5684" i="6"/>
  <c r="I5684" i="6" s="1"/>
  <c r="G5685" i="6"/>
  <c r="I5685" i="6" s="1"/>
  <c r="G5686" i="6"/>
  <c r="I5686" i="6" s="1"/>
  <c r="G5687" i="6"/>
  <c r="I5687" i="6" s="1"/>
  <c r="G5688" i="6"/>
  <c r="I5688" i="6" s="1"/>
  <c r="G5689" i="6"/>
  <c r="I5689" i="6" s="1"/>
  <c r="G5690" i="6"/>
  <c r="I5690" i="6" s="1"/>
  <c r="G5691" i="6"/>
  <c r="I5691" i="6" s="1"/>
  <c r="G5692" i="6"/>
  <c r="I5692" i="6" s="1"/>
  <c r="G5693" i="6"/>
  <c r="I5693" i="6" s="1"/>
  <c r="G5694" i="6"/>
  <c r="I5694" i="6" s="1"/>
  <c r="G5695" i="6"/>
  <c r="I5695" i="6" s="1"/>
  <c r="G5696" i="6"/>
  <c r="I5696" i="6" s="1"/>
  <c r="G5697" i="6"/>
  <c r="I5697" i="6" s="1"/>
  <c r="G5698" i="6"/>
  <c r="I5698" i="6" s="1"/>
  <c r="G5699" i="6"/>
  <c r="I5699" i="6" s="1"/>
  <c r="G5700" i="6"/>
  <c r="I5700" i="6" s="1"/>
  <c r="G5701" i="6"/>
  <c r="I5701" i="6" s="1"/>
  <c r="G5702" i="6"/>
  <c r="I5702" i="6" s="1"/>
  <c r="G5703" i="6"/>
  <c r="I5703" i="6" s="1"/>
  <c r="G5704" i="6"/>
  <c r="I5704" i="6" s="1"/>
  <c r="G5705" i="6"/>
  <c r="I5705" i="6" s="1"/>
  <c r="G5706" i="6"/>
  <c r="I5706" i="6" s="1"/>
  <c r="G5707" i="6"/>
  <c r="I5707" i="6" s="1"/>
  <c r="G5708" i="6"/>
  <c r="I5708" i="6" s="1"/>
  <c r="G5709" i="6"/>
  <c r="I5709" i="6" s="1"/>
  <c r="G5710" i="6"/>
  <c r="I5710" i="6" s="1"/>
  <c r="G5711" i="6"/>
  <c r="I5711" i="6" s="1"/>
  <c r="G5712" i="6"/>
  <c r="I5712" i="6" s="1"/>
  <c r="G5713" i="6"/>
  <c r="I5713" i="6" s="1"/>
  <c r="G5714" i="6"/>
  <c r="I5714" i="6" s="1"/>
  <c r="G5715" i="6"/>
  <c r="I5715" i="6" s="1"/>
  <c r="G5716" i="6"/>
  <c r="I5716" i="6" s="1"/>
  <c r="G5717" i="6"/>
  <c r="I5717" i="6" s="1"/>
  <c r="G5718" i="6"/>
  <c r="I5718" i="6" s="1"/>
  <c r="G5719" i="6"/>
  <c r="I5719" i="6" s="1"/>
  <c r="G5720" i="6"/>
  <c r="I5720" i="6" s="1"/>
  <c r="G5721" i="6"/>
  <c r="I5721" i="6" s="1"/>
  <c r="G5722" i="6"/>
  <c r="I5722" i="6" s="1"/>
  <c r="G5723" i="6"/>
  <c r="I5723" i="6" s="1"/>
  <c r="G5724" i="6"/>
  <c r="I5724" i="6" s="1"/>
  <c r="G5725" i="6"/>
  <c r="I5725" i="6" s="1"/>
  <c r="G5726" i="6"/>
  <c r="I5726" i="6" s="1"/>
  <c r="G5727" i="6"/>
  <c r="I5727" i="6" s="1"/>
  <c r="G5728" i="6"/>
  <c r="I5728" i="6" s="1"/>
  <c r="G5729" i="6"/>
  <c r="I5729" i="6" s="1"/>
  <c r="G5730" i="6"/>
  <c r="I5730" i="6" s="1"/>
  <c r="G5731" i="6"/>
  <c r="I5731" i="6" s="1"/>
  <c r="G5732" i="6"/>
  <c r="I5732" i="6" s="1"/>
  <c r="G5733" i="6"/>
  <c r="I5733" i="6" s="1"/>
  <c r="G5734" i="6"/>
  <c r="I5734" i="6" s="1"/>
  <c r="G5735" i="6"/>
  <c r="I5735" i="6" s="1"/>
  <c r="G5736" i="6"/>
  <c r="I5736" i="6" s="1"/>
  <c r="G5737" i="6"/>
  <c r="I5737" i="6" s="1"/>
  <c r="G5738" i="6"/>
  <c r="I5738" i="6" s="1"/>
  <c r="G5739" i="6"/>
  <c r="I5739" i="6" s="1"/>
  <c r="G5740" i="6"/>
  <c r="I5740" i="6" s="1"/>
  <c r="G5741" i="6"/>
  <c r="I5741" i="6" s="1"/>
  <c r="G5742" i="6"/>
  <c r="I5742" i="6" s="1"/>
  <c r="G5743" i="6"/>
  <c r="I5743" i="6" s="1"/>
  <c r="G5744" i="6"/>
  <c r="I5744" i="6" s="1"/>
  <c r="G5745" i="6"/>
  <c r="I5745" i="6" s="1"/>
  <c r="G5746" i="6"/>
  <c r="I5746" i="6" s="1"/>
  <c r="G5747" i="6"/>
  <c r="I5747" i="6" s="1"/>
  <c r="G5748" i="6"/>
  <c r="I5748" i="6" s="1"/>
  <c r="G5749" i="6"/>
  <c r="I5749" i="6" s="1"/>
  <c r="G5750" i="6"/>
  <c r="I5750" i="6" s="1"/>
  <c r="G5751" i="6"/>
  <c r="I5751" i="6" s="1"/>
  <c r="G5752" i="6"/>
  <c r="I5752" i="6" s="1"/>
  <c r="G5753" i="6"/>
  <c r="I5753" i="6" s="1"/>
  <c r="G5754" i="6"/>
  <c r="I5754" i="6" s="1"/>
  <c r="G5755" i="6"/>
  <c r="I5755" i="6" s="1"/>
  <c r="G5756" i="6"/>
  <c r="I5756" i="6" s="1"/>
  <c r="G5757" i="6"/>
  <c r="I5757" i="6" s="1"/>
  <c r="G5758" i="6"/>
  <c r="I5758" i="6" s="1"/>
  <c r="G5759" i="6"/>
  <c r="I5759" i="6" s="1"/>
  <c r="G5760" i="6"/>
  <c r="I5760" i="6" s="1"/>
  <c r="G5761" i="6"/>
  <c r="I5761" i="6" s="1"/>
  <c r="G5762" i="6"/>
  <c r="I5762" i="6" s="1"/>
  <c r="G5763" i="6"/>
  <c r="I5763" i="6" s="1"/>
  <c r="G5764" i="6"/>
  <c r="I5764" i="6" s="1"/>
  <c r="G5765" i="6"/>
  <c r="I5765" i="6" s="1"/>
  <c r="G5766" i="6"/>
  <c r="I5766" i="6" s="1"/>
  <c r="G5767" i="6"/>
  <c r="I5767" i="6" s="1"/>
  <c r="G5768" i="6"/>
  <c r="I5768" i="6" s="1"/>
  <c r="G5769" i="6"/>
  <c r="I5769" i="6" s="1"/>
  <c r="G5770" i="6"/>
  <c r="I5770" i="6" s="1"/>
  <c r="G5771" i="6"/>
  <c r="I5771" i="6" s="1"/>
  <c r="G5772" i="6"/>
  <c r="I5772" i="6" s="1"/>
  <c r="G5773" i="6"/>
  <c r="I5773" i="6" s="1"/>
  <c r="G5774" i="6"/>
  <c r="I5774" i="6" s="1"/>
  <c r="G5775" i="6"/>
  <c r="I5775" i="6" s="1"/>
  <c r="G5776" i="6"/>
  <c r="I5776" i="6" s="1"/>
  <c r="G5777" i="6"/>
  <c r="I5777" i="6" s="1"/>
  <c r="G5778" i="6"/>
  <c r="I5778" i="6" s="1"/>
  <c r="G5779" i="6"/>
  <c r="I5779" i="6" s="1"/>
  <c r="G5780" i="6"/>
  <c r="I5780" i="6" s="1"/>
  <c r="G5781" i="6"/>
  <c r="I5781" i="6" s="1"/>
  <c r="G5782" i="6"/>
  <c r="I5782" i="6" s="1"/>
  <c r="G5783" i="6"/>
  <c r="I5783" i="6" s="1"/>
  <c r="G5784" i="6"/>
  <c r="I5784" i="6" s="1"/>
  <c r="G5785" i="6"/>
  <c r="I5785" i="6" s="1"/>
  <c r="G5786" i="6"/>
  <c r="I5786" i="6" s="1"/>
  <c r="G5787" i="6"/>
  <c r="I5787" i="6" s="1"/>
  <c r="G5788" i="6"/>
  <c r="I5788" i="6" s="1"/>
  <c r="G5789" i="6"/>
  <c r="I5789" i="6" s="1"/>
  <c r="G5790" i="6"/>
  <c r="I5790" i="6" s="1"/>
  <c r="G5791" i="6"/>
  <c r="I5791" i="6" s="1"/>
  <c r="G5792" i="6"/>
  <c r="I5792" i="6" s="1"/>
  <c r="G5793" i="6"/>
  <c r="I5793" i="6" s="1"/>
  <c r="G5794" i="6"/>
  <c r="I5794" i="6" s="1"/>
  <c r="G5795" i="6"/>
  <c r="I5795" i="6" s="1"/>
  <c r="G5796" i="6"/>
  <c r="I5796" i="6" s="1"/>
  <c r="G5797" i="6"/>
  <c r="I5797" i="6" s="1"/>
  <c r="G5798" i="6"/>
  <c r="I5798" i="6" s="1"/>
  <c r="G5799" i="6"/>
  <c r="I5799" i="6" s="1"/>
  <c r="G5800" i="6"/>
  <c r="I5800" i="6" s="1"/>
  <c r="G5801" i="6"/>
  <c r="I5801" i="6" s="1"/>
  <c r="G5802" i="6"/>
  <c r="I5802" i="6" s="1"/>
  <c r="G5803" i="6"/>
  <c r="I5803" i="6" s="1"/>
  <c r="G5804" i="6"/>
  <c r="I5804" i="6" s="1"/>
  <c r="G5805" i="6"/>
  <c r="I5805" i="6" s="1"/>
  <c r="G5806" i="6"/>
  <c r="I5806" i="6" s="1"/>
  <c r="G5807" i="6"/>
  <c r="I5807" i="6" s="1"/>
  <c r="G5808" i="6"/>
  <c r="I5808" i="6" s="1"/>
  <c r="G5809" i="6"/>
  <c r="I5809" i="6" s="1"/>
  <c r="G5810" i="6"/>
  <c r="I5810" i="6" s="1"/>
  <c r="G5811" i="6"/>
  <c r="I5811" i="6" s="1"/>
  <c r="G5812" i="6"/>
  <c r="I5812" i="6" s="1"/>
  <c r="G5813" i="6"/>
  <c r="I5813" i="6" s="1"/>
  <c r="G5814" i="6"/>
  <c r="I5814" i="6" s="1"/>
  <c r="G5815" i="6"/>
  <c r="I5815" i="6" s="1"/>
  <c r="G5816" i="6"/>
  <c r="I5816" i="6" s="1"/>
  <c r="G5817" i="6"/>
  <c r="I5817" i="6" s="1"/>
  <c r="G5818" i="6"/>
  <c r="I5818" i="6" s="1"/>
  <c r="G5819" i="6"/>
  <c r="I5819" i="6" s="1"/>
  <c r="G5820" i="6"/>
  <c r="I5820" i="6" s="1"/>
  <c r="G5821" i="6"/>
  <c r="I5821" i="6" s="1"/>
  <c r="G5822" i="6"/>
  <c r="I5822" i="6" s="1"/>
  <c r="G5823" i="6"/>
  <c r="I5823" i="6" s="1"/>
  <c r="G5824" i="6"/>
  <c r="I5824" i="6" s="1"/>
  <c r="G5825" i="6"/>
  <c r="I5825" i="6" s="1"/>
  <c r="G5826" i="6"/>
  <c r="I5826" i="6" s="1"/>
  <c r="G5827" i="6"/>
  <c r="I5827" i="6" s="1"/>
  <c r="G5828" i="6"/>
  <c r="I5828" i="6" s="1"/>
  <c r="G5829" i="6"/>
  <c r="I5829" i="6" s="1"/>
  <c r="G5830" i="6"/>
  <c r="I5830" i="6" s="1"/>
  <c r="G5831" i="6"/>
  <c r="I5831" i="6" s="1"/>
  <c r="G5832" i="6"/>
  <c r="I5832" i="6" s="1"/>
  <c r="G5833" i="6"/>
  <c r="I5833" i="6" s="1"/>
  <c r="G5834" i="6"/>
  <c r="I5834" i="6" s="1"/>
  <c r="G5835" i="6"/>
  <c r="I5835" i="6" s="1"/>
  <c r="G5836" i="6"/>
  <c r="I5836" i="6" s="1"/>
  <c r="G5837" i="6"/>
  <c r="I5837" i="6" s="1"/>
  <c r="G5838" i="6"/>
  <c r="I5838" i="6" s="1"/>
  <c r="G5839" i="6"/>
  <c r="I5839" i="6" s="1"/>
  <c r="G5840" i="6"/>
  <c r="I5840" i="6" s="1"/>
  <c r="G5841" i="6"/>
  <c r="I5841" i="6" s="1"/>
  <c r="G5842" i="6"/>
  <c r="I5842" i="6" s="1"/>
  <c r="G5843" i="6"/>
  <c r="I5843" i="6" s="1"/>
  <c r="G5844" i="6"/>
  <c r="I5844" i="6" s="1"/>
  <c r="G5845" i="6"/>
  <c r="I5845" i="6" s="1"/>
  <c r="G5846" i="6"/>
  <c r="I5846" i="6" s="1"/>
  <c r="G5847" i="6"/>
  <c r="I5847" i="6" s="1"/>
  <c r="G5848" i="6"/>
  <c r="I5848" i="6" s="1"/>
  <c r="G5849" i="6"/>
  <c r="I5849" i="6" s="1"/>
  <c r="G5850" i="6"/>
  <c r="I5850" i="6" s="1"/>
  <c r="G5851" i="6"/>
  <c r="I5851" i="6" s="1"/>
  <c r="G5852" i="6"/>
  <c r="I5852" i="6" s="1"/>
  <c r="G5853" i="6"/>
  <c r="I5853" i="6" s="1"/>
  <c r="G5854" i="6"/>
  <c r="I5854" i="6" s="1"/>
  <c r="G5855" i="6"/>
  <c r="I5855" i="6" s="1"/>
  <c r="G5856" i="6"/>
  <c r="I5856" i="6" s="1"/>
  <c r="G5857" i="6"/>
  <c r="I5857" i="6" s="1"/>
  <c r="G5858" i="6"/>
  <c r="I5858" i="6" s="1"/>
  <c r="G5859" i="6"/>
  <c r="I5859" i="6" s="1"/>
  <c r="G5860" i="6"/>
  <c r="I5860" i="6" s="1"/>
  <c r="G5861" i="6"/>
  <c r="I5861" i="6" s="1"/>
  <c r="G5862" i="6"/>
  <c r="I5862" i="6" s="1"/>
  <c r="G5863" i="6"/>
  <c r="I5863" i="6" s="1"/>
  <c r="G5864" i="6"/>
  <c r="I5864" i="6" s="1"/>
  <c r="G5865" i="6"/>
  <c r="I5865" i="6" s="1"/>
  <c r="G5866" i="6"/>
  <c r="I5866" i="6" s="1"/>
  <c r="G5867" i="6"/>
  <c r="I5867" i="6" s="1"/>
  <c r="G5868" i="6"/>
  <c r="I5868" i="6" s="1"/>
  <c r="G5869" i="6"/>
  <c r="I5869" i="6" s="1"/>
  <c r="G5870" i="6"/>
  <c r="I5870" i="6" s="1"/>
  <c r="G5871" i="6"/>
  <c r="I5871" i="6" s="1"/>
  <c r="G5872" i="6"/>
  <c r="I5872" i="6" s="1"/>
  <c r="G5873" i="6"/>
  <c r="I5873" i="6" s="1"/>
  <c r="G5874" i="6"/>
  <c r="I5874" i="6" s="1"/>
  <c r="G5875" i="6"/>
  <c r="I5875" i="6" s="1"/>
  <c r="G5876" i="6"/>
  <c r="I5876" i="6" s="1"/>
  <c r="G5877" i="6"/>
  <c r="I5877" i="6" s="1"/>
  <c r="G5878" i="6"/>
  <c r="I5878" i="6" s="1"/>
  <c r="G5879" i="6"/>
  <c r="I5879" i="6" s="1"/>
  <c r="G5880" i="6"/>
  <c r="I5880" i="6" s="1"/>
  <c r="G5881" i="6"/>
  <c r="I5881" i="6" s="1"/>
  <c r="G5882" i="6"/>
  <c r="I5882" i="6" s="1"/>
  <c r="G5883" i="6"/>
  <c r="I5883" i="6" s="1"/>
  <c r="G5884" i="6"/>
  <c r="I5884" i="6" s="1"/>
  <c r="G5885" i="6"/>
  <c r="I5885" i="6" s="1"/>
  <c r="G5886" i="6"/>
  <c r="I5886" i="6" s="1"/>
  <c r="G5887" i="6"/>
  <c r="I5887" i="6" s="1"/>
  <c r="G5888" i="6"/>
  <c r="I5888" i="6" s="1"/>
  <c r="G5889" i="6"/>
  <c r="I5889" i="6" s="1"/>
  <c r="G5890" i="6"/>
  <c r="I5890" i="6" s="1"/>
  <c r="G5891" i="6"/>
  <c r="I5891" i="6" s="1"/>
  <c r="G5892" i="6"/>
  <c r="I5892" i="6" s="1"/>
  <c r="G5893" i="6"/>
  <c r="I5893" i="6" s="1"/>
  <c r="G5894" i="6"/>
  <c r="I5894" i="6" s="1"/>
  <c r="G5895" i="6"/>
  <c r="I5895" i="6" s="1"/>
  <c r="G5896" i="6"/>
  <c r="I5896" i="6" s="1"/>
  <c r="G5897" i="6"/>
  <c r="I5897" i="6" s="1"/>
  <c r="G5898" i="6"/>
  <c r="I5898" i="6" s="1"/>
  <c r="G5899" i="6"/>
  <c r="I5899" i="6" s="1"/>
  <c r="G5900" i="6"/>
  <c r="I5900" i="6" s="1"/>
  <c r="G5901" i="6"/>
  <c r="I5901" i="6" s="1"/>
  <c r="G5902" i="6"/>
  <c r="I5902" i="6" s="1"/>
  <c r="G5903" i="6"/>
  <c r="I5903" i="6" s="1"/>
  <c r="G5904" i="6"/>
  <c r="I5904" i="6" s="1"/>
  <c r="G5905" i="6"/>
  <c r="I5905" i="6" s="1"/>
  <c r="G5906" i="6"/>
  <c r="I5906" i="6" s="1"/>
  <c r="G5907" i="6"/>
  <c r="I5907" i="6" s="1"/>
  <c r="G5908" i="6"/>
  <c r="I5908" i="6" s="1"/>
  <c r="G5909" i="6"/>
  <c r="I5909" i="6" s="1"/>
  <c r="G5910" i="6"/>
  <c r="I5910" i="6" s="1"/>
  <c r="G5911" i="6"/>
  <c r="I5911" i="6" s="1"/>
  <c r="G5912" i="6"/>
  <c r="I5912" i="6" s="1"/>
  <c r="G5913" i="6"/>
  <c r="I5913" i="6" s="1"/>
  <c r="G5914" i="6"/>
  <c r="I5914" i="6" s="1"/>
  <c r="G5915" i="6"/>
  <c r="I5915" i="6" s="1"/>
  <c r="G5916" i="6"/>
  <c r="I5916" i="6" s="1"/>
  <c r="G5917" i="6"/>
  <c r="I5917" i="6" s="1"/>
  <c r="G5918" i="6"/>
  <c r="I5918" i="6" s="1"/>
  <c r="G5919" i="6"/>
  <c r="I5919" i="6" s="1"/>
  <c r="G5920" i="6"/>
  <c r="I5920" i="6" s="1"/>
  <c r="G5921" i="6"/>
  <c r="I5921" i="6" s="1"/>
  <c r="G5922" i="6"/>
  <c r="I5922" i="6" s="1"/>
  <c r="G5923" i="6"/>
  <c r="I5923" i="6" s="1"/>
  <c r="G5924" i="6"/>
  <c r="I5924" i="6" s="1"/>
  <c r="G5925" i="6"/>
  <c r="I5925" i="6" s="1"/>
  <c r="G5926" i="6"/>
  <c r="I5926" i="6" s="1"/>
  <c r="G5927" i="6"/>
  <c r="I5927" i="6" s="1"/>
  <c r="G5928" i="6"/>
  <c r="I5928" i="6" s="1"/>
  <c r="G5929" i="6"/>
  <c r="I5929" i="6" s="1"/>
  <c r="G5930" i="6"/>
  <c r="I5930" i="6" s="1"/>
  <c r="G5931" i="6"/>
  <c r="I5931" i="6" s="1"/>
  <c r="G5932" i="6"/>
  <c r="I5932" i="6" s="1"/>
  <c r="G5933" i="6"/>
  <c r="I5933" i="6" s="1"/>
  <c r="G5934" i="6"/>
  <c r="I5934" i="6" s="1"/>
  <c r="G5935" i="6"/>
  <c r="I5935" i="6" s="1"/>
  <c r="G5936" i="6"/>
  <c r="I5936" i="6" s="1"/>
  <c r="G5937" i="6"/>
  <c r="I5937" i="6" s="1"/>
  <c r="G5938" i="6"/>
  <c r="I5938" i="6" s="1"/>
  <c r="G5939" i="6"/>
  <c r="I5939" i="6" s="1"/>
  <c r="G5940" i="6"/>
  <c r="I5940" i="6" s="1"/>
  <c r="G5941" i="6"/>
  <c r="I5941" i="6" s="1"/>
  <c r="G5942" i="6"/>
  <c r="I5942" i="6" s="1"/>
  <c r="G5943" i="6"/>
  <c r="I5943" i="6" s="1"/>
  <c r="G5944" i="6"/>
  <c r="I5944" i="6" s="1"/>
  <c r="G5945" i="6"/>
  <c r="I5945" i="6" s="1"/>
  <c r="G5946" i="6"/>
  <c r="I5946" i="6" s="1"/>
  <c r="G5947" i="6"/>
  <c r="I5947" i="6" s="1"/>
  <c r="G5948" i="6"/>
  <c r="I5948" i="6" s="1"/>
  <c r="G5949" i="6"/>
  <c r="I5949" i="6" s="1"/>
  <c r="G5950" i="6"/>
  <c r="I5950" i="6" s="1"/>
  <c r="G5951" i="6"/>
  <c r="I5951" i="6" s="1"/>
  <c r="G5952" i="6"/>
  <c r="I5952" i="6" s="1"/>
  <c r="G5953" i="6"/>
  <c r="I5953" i="6" s="1"/>
  <c r="G5954" i="6"/>
  <c r="I5954" i="6" s="1"/>
  <c r="G5955" i="6"/>
  <c r="I5955" i="6" s="1"/>
  <c r="G5956" i="6"/>
  <c r="I5956" i="6" s="1"/>
  <c r="G5957" i="6"/>
  <c r="I5957" i="6" s="1"/>
  <c r="G5958" i="6"/>
  <c r="I5958" i="6" s="1"/>
  <c r="G5959" i="6"/>
  <c r="I5959" i="6" s="1"/>
  <c r="G5960" i="6"/>
  <c r="I5960" i="6" s="1"/>
  <c r="G5961" i="6"/>
  <c r="I5961" i="6" s="1"/>
  <c r="G5962" i="6"/>
  <c r="I5962" i="6" s="1"/>
  <c r="G5963" i="6"/>
  <c r="I5963" i="6" s="1"/>
  <c r="G5964" i="6"/>
  <c r="I5964" i="6" s="1"/>
  <c r="G5965" i="6"/>
  <c r="I5965" i="6" s="1"/>
  <c r="G5966" i="6"/>
  <c r="I5966" i="6" s="1"/>
  <c r="G5967" i="6"/>
  <c r="I5967" i="6" s="1"/>
  <c r="G5968" i="6"/>
  <c r="I5968" i="6" s="1"/>
  <c r="G5969" i="6"/>
  <c r="I5969" i="6" s="1"/>
  <c r="G5970" i="6"/>
  <c r="I5970" i="6" s="1"/>
  <c r="G5971" i="6"/>
  <c r="I5971" i="6" s="1"/>
  <c r="G5972" i="6"/>
  <c r="I5972" i="6" s="1"/>
  <c r="G5973" i="6"/>
  <c r="I5973" i="6" s="1"/>
  <c r="G5974" i="6"/>
  <c r="I5974" i="6" s="1"/>
  <c r="G5975" i="6"/>
  <c r="I5975" i="6" s="1"/>
  <c r="G5976" i="6"/>
  <c r="I5976" i="6" s="1"/>
  <c r="G5977" i="6"/>
  <c r="I5977" i="6" s="1"/>
  <c r="G5978" i="6"/>
  <c r="I5978" i="6" s="1"/>
  <c r="G5979" i="6"/>
  <c r="I5979" i="6" s="1"/>
  <c r="G5980" i="6"/>
  <c r="I5980" i="6" s="1"/>
  <c r="G5981" i="6"/>
  <c r="I5981" i="6" s="1"/>
  <c r="G5982" i="6"/>
  <c r="I5982" i="6" s="1"/>
  <c r="G5983" i="6"/>
  <c r="I5983" i="6" s="1"/>
  <c r="G5984" i="6"/>
  <c r="I5984" i="6" s="1"/>
  <c r="G5985" i="6"/>
  <c r="I5985" i="6" s="1"/>
  <c r="G5986" i="6"/>
  <c r="I5986" i="6" s="1"/>
  <c r="G5987" i="6"/>
  <c r="I5987" i="6" s="1"/>
  <c r="G5988" i="6"/>
  <c r="I5988" i="6" s="1"/>
  <c r="G5989" i="6"/>
  <c r="I5989" i="6" s="1"/>
  <c r="G5990" i="6"/>
  <c r="I5990" i="6" s="1"/>
  <c r="G5991" i="6"/>
  <c r="I5991" i="6" s="1"/>
  <c r="G5992" i="6"/>
  <c r="I5992" i="6" s="1"/>
  <c r="G5993" i="6"/>
  <c r="I5993" i="6" s="1"/>
  <c r="G5994" i="6"/>
  <c r="I5994" i="6" s="1"/>
  <c r="G5995" i="6"/>
  <c r="I5995" i="6" s="1"/>
  <c r="G5996" i="6"/>
  <c r="I5996" i="6" s="1"/>
  <c r="G5997" i="6"/>
  <c r="I5997" i="6" s="1"/>
  <c r="G5998" i="6"/>
  <c r="I5998" i="6" s="1"/>
  <c r="G5999" i="6"/>
  <c r="I5999" i="6" s="1"/>
  <c r="G6000" i="6"/>
  <c r="I6000" i="6" s="1"/>
  <c r="G6001" i="6"/>
  <c r="I6001" i="6" s="1"/>
  <c r="G6002" i="6"/>
  <c r="I6002" i="6" s="1"/>
  <c r="G6003" i="6"/>
  <c r="I6003" i="6" s="1"/>
  <c r="G6004" i="6"/>
  <c r="I6004" i="6" s="1"/>
  <c r="G6005" i="6"/>
  <c r="I6005" i="6" s="1"/>
  <c r="G6006" i="6"/>
  <c r="I6006" i="6" s="1"/>
  <c r="G6007" i="6"/>
  <c r="I6007" i="6" s="1"/>
  <c r="G6008" i="6"/>
  <c r="I6008" i="6" s="1"/>
  <c r="G6009" i="6"/>
  <c r="I6009" i="6" s="1"/>
  <c r="G6010" i="6"/>
  <c r="I6010" i="6" s="1"/>
  <c r="G6011" i="6"/>
  <c r="I6011" i="6" s="1"/>
  <c r="G6012" i="6"/>
  <c r="I6012" i="6" s="1"/>
  <c r="G6013" i="6"/>
  <c r="I6013" i="6" s="1"/>
  <c r="G6014" i="6"/>
  <c r="I6014" i="6" s="1"/>
  <c r="G6015" i="6"/>
  <c r="I6015" i="6" s="1"/>
  <c r="G6016" i="6"/>
  <c r="I6016" i="6" s="1"/>
  <c r="G6017" i="6"/>
  <c r="I6017" i="6" s="1"/>
  <c r="G6018" i="6"/>
  <c r="I6018" i="6" s="1"/>
  <c r="G6019" i="6"/>
  <c r="I6019" i="6" s="1"/>
  <c r="G6020" i="6"/>
  <c r="I6020" i="6" s="1"/>
  <c r="G6021" i="6"/>
  <c r="I6021" i="6" s="1"/>
  <c r="G6022" i="6"/>
  <c r="I6022" i="6" s="1"/>
  <c r="G6023" i="6"/>
  <c r="I6023" i="6" s="1"/>
  <c r="G6024" i="6"/>
  <c r="I6024" i="6" s="1"/>
  <c r="G6025" i="6"/>
  <c r="I6025" i="6" s="1"/>
  <c r="G6026" i="6"/>
  <c r="I6026" i="6" s="1"/>
  <c r="G6027" i="6"/>
  <c r="I6027" i="6" s="1"/>
  <c r="G6028" i="6"/>
  <c r="I6028" i="6" s="1"/>
  <c r="G6029" i="6"/>
  <c r="I6029" i="6" s="1"/>
  <c r="G6030" i="6"/>
  <c r="I6030" i="6" s="1"/>
  <c r="G6031" i="6"/>
  <c r="I6031" i="6" s="1"/>
  <c r="G6032" i="6"/>
  <c r="I6032" i="6" s="1"/>
  <c r="G6033" i="6"/>
  <c r="I6033" i="6" s="1"/>
  <c r="G6034" i="6"/>
  <c r="I6034" i="6" s="1"/>
  <c r="G6035" i="6"/>
  <c r="I6035" i="6" s="1"/>
  <c r="G6036" i="6"/>
  <c r="I6036" i="6" s="1"/>
  <c r="G6037" i="6"/>
  <c r="I6037" i="6" s="1"/>
  <c r="G6038" i="6"/>
  <c r="I6038" i="6" s="1"/>
  <c r="G6039" i="6"/>
  <c r="I6039" i="6" s="1"/>
  <c r="G6040" i="6"/>
  <c r="I6040" i="6" s="1"/>
  <c r="G6041" i="6"/>
  <c r="I6041" i="6" s="1"/>
  <c r="G6042" i="6"/>
  <c r="I6042" i="6" s="1"/>
  <c r="G6043" i="6"/>
  <c r="I6043" i="6" s="1"/>
  <c r="G6044" i="6"/>
  <c r="I6044" i="6" s="1"/>
  <c r="G6045" i="6"/>
  <c r="I6045" i="6" s="1"/>
  <c r="G6046" i="6"/>
  <c r="I6046" i="6" s="1"/>
  <c r="G6047" i="6"/>
  <c r="I6047" i="6" s="1"/>
  <c r="G6048" i="6"/>
  <c r="I6048" i="6" s="1"/>
  <c r="G6049" i="6"/>
  <c r="I6049" i="6" s="1"/>
  <c r="G6050" i="6"/>
  <c r="I6050" i="6" s="1"/>
  <c r="G6051" i="6"/>
  <c r="I6051" i="6" s="1"/>
  <c r="G6052" i="6"/>
  <c r="I6052" i="6" s="1"/>
  <c r="G6053" i="6"/>
  <c r="I6053" i="6" s="1"/>
  <c r="G6054" i="6"/>
  <c r="I6054" i="6" s="1"/>
  <c r="G6055" i="6"/>
  <c r="I6055" i="6" s="1"/>
  <c r="G6056" i="6"/>
  <c r="I6056" i="6" s="1"/>
  <c r="G6057" i="6"/>
  <c r="I6057" i="6" s="1"/>
  <c r="G6058" i="6"/>
  <c r="I6058" i="6" s="1"/>
  <c r="G6059" i="6"/>
  <c r="I6059" i="6" s="1"/>
  <c r="G6060" i="6"/>
  <c r="I6060" i="6" s="1"/>
  <c r="G6061" i="6"/>
  <c r="I6061" i="6" s="1"/>
  <c r="G6062" i="6"/>
  <c r="I6062" i="6" s="1"/>
  <c r="G6063" i="6"/>
  <c r="I6063" i="6" s="1"/>
  <c r="G6064" i="6"/>
  <c r="I6064" i="6" s="1"/>
  <c r="G6065" i="6"/>
  <c r="I6065" i="6" s="1"/>
  <c r="G6066" i="6"/>
  <c r="I6066" i="6" s="1"/>
  <c r="G6067" i="6"/>
  <c r="I6067" i="6" s="1"/>
  <c r="G6068" i="6"/>
  <c r="I6068" i="6" s="1"/>
  <c r="G6069" i="6"/>
  <c r="I6069" i="6" s="1"/>
  <c r="G6070" i="6"/>
  <c r="I6070" i="6" s="1"/>
  <c r="G6071" i="6"/>
  <c r="I6071" i="6" s="1"/>
  <c r="G6072" i="6"/>
  <c r="I6072" i="6" s="1"/>
  <c r="G6073" i="6"/>
  <c r="I6073" i="6" s="1"/>
  <c r="G6074" i="6"/>
  <c r="I6074" i="6" s="1"/>
  <c r="G6075" i="6"/>
  <c r="I6075" i="6" s="1"/>
  <c r="G6076" i="6"/>
  <c r="I6076" i="6" s="1"/>
  <c r="G6077" i="6"/>
  <c r="I6077" i="6" s="1"/>
  <c r="G6078" i="6"/>
  <c r="I6078" i="6" s="1"/>
  <c r="G6079" i="6"/>
  <c r="I6079" i="6" s="1"/>
  <c r="G6080" i="6"/>
  <c r="I6080" i="6" s="1"/>
  <c r="G6081" i="6"/>
  <c r="I6081" i="6" s="1"/>
  <c r="G6082" i="6"/>
  <c r="I6082" i="6" s="1"/>
  <c r="G6083" i="6"/>
  <c r="I6083" i="6" s="1"/>
  <c r="G6084" i="6"/>
  <c r="I6084" i="6" s="1"/>
  <c r="G6085" i="6"/>
  <c r="I6085" i="6" s="1"/>
  <c r="G6086" i="6"/>
  <c r="I6086" i="6" s="1"/>
  <c r="G6087" i="6"/>
  <c r="I6087" i="6" s="1"/>
  <c r="G6088" i="6"/>
  <c r="I6088" i="6" s="1"/>
  <c r="G6089" i="6"/>
  <c r="I6089" i="6" s="1"/>
  <c r="G6090" i="6"/>
  <c r="I6090" i="6" s="1"/>
  <c r="G6091" i="6"/>
  <c r="I6091" i="6" s="1"/>
  <c r="G6092" i="6"/>
  <c r="I6092" i="6" s="1"/>
  <c r="G6093" i="6"/>
  <c r="I6093" i="6" s="1"/>
  <c r="G6094" i="6"/>
  <c r="I6094" i="6" s="1"/>
  <c r="G6095" i="6"/>
  <c r="I6095" i="6" s="1"/>
  <c r="G6096" i="6"/>
  <c r="I6096" i="6" s="1"/>
  <c r="G6097" i="6"/>
  <c r="I6097" i="6" s="1"/>
  <c r="G6098" i="6"/>
  <c r="I6098" i="6" s="1"/>
  <c r="G6099" i="6"/>
  <c r="I6099" i="6" s="1"/>
  <c r="G6100" i="6"/>
  <c r="I6100" i="6" s="1"/>
  <c r="G6101" i="6"/>
  <c r="I6101" i="6" s="1"/>
  <c r="G6102" i="6"/>
  <c r="I6102" i="6" s="1"/>
  <c r="G6103" i="6"/>
  <c r="I6103" i="6" s="1"/>
  <c r="G6104" i="6"/>
  <c r="I6104" i="6" s="1"/>
  <c r="G6105" i="6"/>
  <c r="I6105" i="6" s="1"/>
  <c r="G6106" i="6"/>
  <c r="I6106" i="6" s="1"/>
  <c r="G6107" i="6"/>
  <c r="I6107" i="6" s="1"/>
  <c r="G6108" i="6"/>
  <c r="I6108" i="6" s="1"/>
  <c r="G6109" i="6"/>
  <c r="I6109" i="6" s="1"/>
  <c r="G6110" i="6"/>
  <c r="I6110" i="6" s="1"/>
  <c r="G6111" i="6"/>
  <c r="I6111" i="6" s="1"/>
  <c r="G6112" i="6"/>
  <c r="I6112" i="6" s="1"/>
  <c r="G6113" i="6"/>
  <c r="I6113" i="6" s="1"/>
  <c r="G6114" i="6"/>
  <c r="I6114" i="6" s="1"/>
  <c r="G6115" i="6"/>
  <c r="I6115" i="6" s="1"/>
  <c r="G6116" i="6"/>
  <c r="I6116" i="6" s="1"/>
  <c r="G6117" i="6"/>
  <c r="I6117" i="6" s="1"/>
  <c r="G6118" i="6"/>
  <c r="I6118" i="6" s="1"/>
  <c r="G6119" i="6"/>
  <c r="I6119" i="6" s="1"/>
  <c r="G6120" i="6"/>
  <c r="I6120" i="6" s="1"/>
  <c r="G6121" i="6"/>
  <c r="I6121" i="6" s="1"/>
  <c r="G6122" i="6"/>
  <c r="I6122" i="6" s="1"/>
  <c r="G6123" i="6"/>
  <c r="I6123" i="6" s="1"/>
  <c r="G6124" i="6"/>
  <c r="I6124" i="6" s="1"/>
  <c r="G6125" i="6"/>
  <c r="I6125" i="6" s="1"/>
  <c r="G6126" i="6"/>
  <c r="I6126" i="6" s="1"/>
  <c r="G6127" i="6"/>
  <c r="I6127" i="6" s="1"/>
  <c r="G6128" i="6"/>
  <c r="I6128" i="6" s="1"/>
  <c r="G6129" i="6"/>
  <c r="I6129" i="6" s="1"/>
  <c r="G6130" i="6"/>
  <c r="I6130" i="6" s="1"/>
  <c r="G6131" i="6"/>
  <c r="I6131" i="6" s="1"/>
  <c r="G6132" i="6"/>
  <c r="I6132" i="6" s="1"/>
  <c r="G6133" i="6"/>
  <c r="I6133" i="6" s="1"/>
  <c r="G6134" i="6"/>
  <c r="I6134" i="6" s="1"/>
  <c r="G6135" i="6"/>
  <c r="I6135" i="6" s="1"/>
  <c r="G6136" i="6"/>
  <c r="I6136" i="6" s="1"/>
  <c r="G6137" i="6"/>
  <c r="I6137" i="6" s="1"/>
  <c r="G6138" i="6"/>
  <c r="I6138" i="6" s="1"/>
  <c r="G6139" i="6"/>
  <c r="I6139" i="6" s="1"/>
  <c r="G6140" i="6"/>
  <c r="I6140" i="6" s="1"/>
  <c r="G6141" i="6"/>
  <c r="I6141" i="6" s="1"/>
  <c r="G6142" i="6"/>
  <c r="I6142" i="6" s="1"/>
  <c r="G6143" i="6"/>
  <c r="I6143" i="6" s="1"/>
  <c r="G6144" i="6"/>
  <c r="I6144" i="6" s="1"/>
  <c r="G6145" i="6"/>
  <c r="I6145" i="6" s="1"/>
  <c r="G6146" i="6"/>
  <c r="I6146" i="6" s="1"/>
  <c r="G6147" i="6"/>
  <c r="I6147" i="6" s="1"/>
  <c r="G6148" i="6"/>
  <c r="I6148" i="6" s="1"/>
  <c r="G6149" i="6"/>
  <c r="I6149" i="6" s="1"/>
  <c r="G6150" i="6"/>
  <c r="I6150" i="6" s="1"/>
  <c r="G6151" i="6"/>
  <c r="I6151" i="6" s="1"/>
  <c r="G6152" i="6"/>
  <c r="I6152" i="6" s="1"/>
  <c r="G6153" i="6"/>
  <c r="I6153" i="6" s="1"/>
  <c r="G6154" i="6"/>
  <c r="I6154" i="6" s="1"/>
  <c r="G6155" i="6"/>
  <c r="I6155" i="6" s="1"/>
  <c r="G6156" i="6"/>
  <c r="I6156" i="6" s="1"/>
  <c r="G6157" i="6"/>
  <c r="I6157" i="6" s="1"/>
  <c r="G6158" i="6"/>
  <c r="I6158" i="6" s="1"/>
  <c r="G6159" i="6"/>
  <c r="I6159" i="6" s="1"/>
  <c r="G6160" i="6"/>
  <c r="I6160" i="6" s="1"/>
  <c r="G6161" i="6"/>
  <c r="I6161" i="6" s="1"/>
  <c r="G6162" i="6"/>
  <c r="I6162" i="6" s="1"/>
  <c r="G6163" i="6"/>
  <c r="I6163" i="6" s="1"/>
  <c r="G6164" i="6"/>
  <c r="I6164" i="6" s="1"/>
  <c r="G6165" i="6"/>
  <c r="I6165" i="6" s="1"/>
  <c r="G6166" i="6"/>
  <c r="I6166" i="6" s="1"/>
  <c r="G6167" i="6"/>
  <c r="I6167" i="6" s="1"/>
  <c r="G6168" i="6"/>
  <c r="I6168" i="6" s="1"/>
  <c r="G6169" i="6"/>
  <c r="I6169" i="6" s="1"/>
  <c r="G6170" i="6"/>
  <c r="I6170" i="6" s="1"/>
  <c r="G6171" i="6"/>
  <c r="I6171" i="6" s="1"/>
  <c r="G6172" i="6"/>
  <c r="I6172" i="6" s="1"/>
  <c r="G6173" i="6"/>
  <c r="I6173" i="6" s="1"/>
  <c r="G6174" i="6"/>
  <c r="I6174" i="6" s="1"/>
  <c r="G6175" i="6"/>
  <c r="I6175" i="6" s="1"/>
  <c r="G6176" i="6"/>
  <c r="I6176" i="6" s="1"/>
  <c r="G6177" i="6"/>
  <c r="I6177" i="6" s="1"/>
  <c r="G6178" i="6"/>
  <c r="I6178" i="6" s="1"/>
  <c r="G6179" i="6"/>
  <c r="I6179" i="6" s="1"/>
  <c r="G6180" i="6"/>
  <c r="I6180" i="6" s="1"/>
  <c r="G6181" i="6"/>
  <c r="I6181" i="6" s="1"/>
  <c r="G6182" i="6"/>
  <c r="I6182" i="6" s="1"/>
  <c r="G6183" i="6"/>
  <c r="I6183" i="6" s="1"/>
  <c r="G6184" i="6"/>
  <c r="I6184" i="6" s="1"/>
  <c r="G6185" i="6"/>
  <c r="I6185" i="6" s="1"/>
  <c r="G6186" i="6"/>
  <c r="I6186" i="6" s="1"/>
  <c r="G6187" i="6"/>
  <c r="I6187" i="6" s="1"/>
  <c r="G6188" i="6"/>
  <c r="I6188" i="6" s="1"/>
  <c r="G6189" i="6"/>
  <c r="I6189" i="6" s="1"/>
  <c r="G6190" i="6"/>
  <c r="I6190" i="6" s="1"/>
  <c r="G6191" i="6"/>
  <c r="I6191" i="6" s="1"/>
  <c r="G6192" i="6"/>
  <c r="I6192" i="6" s="1"/>
  <c r="G6193" i="6"/>
  <c r="I6193" i="6" s="1"/>
  <c r="G6194" i="6"/>
  <c r="I6194" i="6" s="1"/>
  <c r="G6195" i="6"/>
  <c r="I6195" i="6" s="1"/>
  <c r="G6196" i="6"/>
  <c r="I6196" i="6" s="1"/>
  <c r="G6197" i="6"/>
  <c r="I6197" i="6" s="1"/>
  <c r="G6198" i="6"/>
  <c r="I6198" i="6" s="1"/>
  <c r="G6199" i="6"/>
  <c r="I6199" i="6" s="1"/>
  <c r="G6200" i="6"/>
  <c r="I6200" i="6" s="1"/>
  <c r="G6201" i="6"/>
  <c r="I6201" i="6" s="1"/>
  <c r="G6202" i="6"/>
  <c r="I6202" i="6" s="1"/>
  <c r="G6203" i="6"/>
  <c r="I6203" i="6" s="1"/>
  <c r="G6204" i="6"/>
  <c r="I6204" i="6" s="1"/>
  <c r="G6205" i="6"/>
  <c r="I6205" i="6" s="1"/>
  <c r="G6206" i="6"/>
  <c r="I6206" i="6" s="1"/>
  <c r="G6207" i="6"/>
  <c r="I6207" i="6" s="1"/>
  <c r="G6208" i="6"/>
  <c r="I6208" i="6" s="1"/>
  <c r="G6209" i="6"/>
  <c r="I6209" i="6" s="1"/>
  <c r="G6210" i="6"/>
  <c r="I6210" i="6" s="1"/>
  <c r="G6211" i="6"/>
  <c r="I6211" i="6" s="1"/>
  <c r="G6212" i="6"/>
  <c r="I6212" i="6" s="1"/>
  <c r="G6213" i="6"/>
  <c r="I6213" i="6" s="1"/>
  <c r="G6214" i="6"/>
  <c r="I6214" i="6" s="1"/>
  <c r="G6215" i="6"/>
  <c r="I6215" i="6" s="1"/>
  <c r="G6216" i="6"/>
  <c r="I6216" i="6" s="1"/>
  <c r="G6217" i="6"/>
  <c r="I6217" i="6" s="1"/>
  <c r="G6218" i="6"/>
  <c r="I6218" i="6" s="1"/>
  <c r="G6219" i="6"/>
  <c r="I6219" i="6" s="1"/>
  <c r="G6220" i="6"/>
  <c r="I6220" i="6" s="1"/>
  <c r="G6221" i="6"/>
  <c r="I6221" i="6" s="1"/>
  <c r="G6222" i="6"/>
  <c r="I6222" i="6" s="1"/>
  <c r="G6223" i="6"/>
  <c r="I6223" i="6" s="1"/>
  <c r="G6224" i="6"/>
  <c r="I6224" i="6" s="1"/>
  <c r="G6225" i="6"/>
  <c r="I6225" i="6" s="1"/>
  <c r="G6226" i="6"/>
  <c r="I6226" i="6" s="1"/>
  <c r="G6227" i="6"/>
  <c r="I6227" i="6" s="1"/>
  <c r="G6228" i="6"/>
  <c r="I6228" i="6" s="1"/>
  <c r="G6229" i="6"/>
  <c r="I6229" i="6" s="1"/>
  <c r="G6230" i="6"/>
  <c r="I6230" i="6" s="1"/>
  <c r="G6231" i="6"/>
  <c r="I6231" i="6" s="1"/>
  <c r="G6232" i="6"/>
  <c r="I6232" i="6" s="1"/>
  <c r="G6233" i="6"/>
  <c r="I6233" i="6" s="1"/>
  <c r="G6234" i="6"/>
  <c r="I6234" i="6" s="1"/>
  <c r="G6235" i="6"/>
  <c r="I6235" i="6" s="1"/>
  <c r="G6236" i="6"/>
  <c r="I6236" i="6" s="1"/>
  <c r="G6237" i="6"/>
  <c r="I6237" i="6" s="1"/>
  <c r="G6238" i="6"/>
  <c r="I6238" i="6" s="1"/>
  <c r="G6239" i="6"/>
  <c r="I6239" i="6" s="1"/>
  <c r="G6240" i="6"/>
  <c r="I6240" i="6" s="1"/>
  <c r="G6241" i="6"/>
  <c r="I6241" i="6" s="1"/>
  <c r="G6242" i="6"/>
  <c r="I6242" i="6" s="1"/>
  <c r="G6243" i="6"/>
  <c r="I6243" i="6" s="1"/>
  <c r="G6244" i="6"/>
  <c r="I6244" i="6" s="1"/>
  <c r="G6245" i="6"/>
  <c r="I6245" i="6" s="1"/>
  <c r="G6246" i="6"/>
  <c r="I6246" i="6" s="1"/>
  <c r="G6247" i="6"/>
  <c r="I6247" i="6" s="1"/>
  <c r="G6248" i="6"/>
  <c r="I6248" i="6" s="1"/>
  <c r="G6249" i="6"/>
  <c r="I6249" i="6" s="1"/>
  <c r="G6250" i="6"/>
  <c r="I6250" i="6" s="1"/>
  <c r="G6251" i="6"/>
  <c r="I6251" i="6" s="1"/>
  <c r="G6252" i="6"/>
  <c r="I6252" i="6" s="1"/>
  <c r="G6253" i="6"/>
  <c r="I6253" i="6" s="1"/>
  <c r="G6254" i="6"/>
  <c r="I6254" i="6" s="1"/>
  <c r="G6255" i="6"/>
  <c r="I6255" i="6" s="1"/>
  <c r="G6256" i="6"/>
  <c r="I6256" i="6" s="1"/>
  <c r="G6257" i="6"/>
  <c r="I6257" i="6" s="1"/>
  <c r="G6258" i="6"/>
  <c r="I6258" i="6" s="1"/>
  <c r="G6259" i="6"/>
  <c r="I6259" i="6" s="1"/>
  <c r="G6260" i="6"/>
  <c r="I6260" i="6" s="1"/>
  <c r="G6261" i="6"/>
  <c r="I6261" i="6" s="1"/>
  <c r="G6262" i="6"/>
  <c r="I6262" i="6" s="1"/>
  <c r="G6263" i="6"/>
  <c r="I6263" i="6" s="1"/>
  <c r="G6264" i="6"/>
  <c r="I6264" i="6" s="1"/>
  <c r="G6265" i="6"/>
  <c r="I6265" i="6" s="1"/>
  <c r="G6266" i="6"/>
  <c r="I6266" i="6" s="1"/>
  <c r="G6267" i="6"/>
  <c r="I6267" i="6" s="1"/>
  <c r="G6268" i="6"/>
  <c r="I6268" i="6" s="1"/>
  <c r="G6269" i="6"/>
  <c r="I6269" i="6" s="1"/>
  <c r="G6270" i="6"/>
  <c r="I6270" i="6" s="1"/>
  <c r="G6271" i="6"/>
  <c r="I6271" i="6" s="1"/>
  <c r="G6272" i="6"/>
  <c r="I6272" i="6" s="1"/>
  <c r="G6273" i="6"/>
  <c r="I6273" i="6" s="1"/>
  <c r="G6274" i="6"/>
  <c r="I6274" i="6" s="1"/>
  <c r="G6275" i="6"/>
  <c r="I6275" i="6" s="1"/>
  <c r="G6276" i="6"/>
  <c r="I6276" i="6" s="1"/>
  <c r="G6277" i="6"/>
  <c r="I6277" i="6" s="1"/>
  <c r="G6278" i="6"/>
  <c r="I6278" i="6" s="1"/>
  <c r="G6279" i="6"/>
  <c r="I6279" i="6" s="1"/>
  <c r="G6280" i="6"/>
  <c r="I6280" i="6" s="1"/>
  <c r="G6281" i="6"/>
  <c r="I6281" i="6" s="1"/>
  <c r="G6282" i="6"/>
  <c r="I6282" i="6" s="1"/>
  <c r="G6283" i="6"/>
  <c r="I6283" i="6" s="1"/>
  <c r="G6284" i="6"/>
  <c r="I6284" i="6" s="1"/>
  <c r="G6285" i="6"/>
  <c r="I6285" i="6" s="1"/>
  <c r="G6286" i="6"/>
  <c r="I6286" i="6" s="1"/>
  <c r="G6287" i="6"/>
  <c r="I6287" i="6" s="1"/>
  <c r="G6288" i="6"/>
  <c r="I6288" i="6" s="1"/>
  <c r="G6289" i="6"/>
  <c r="I6289" i="6" s="1"/>
  <c r="G6290" i="6"/>
  <c r="I6290" i="6" s="1"/>
  <c r="G6291" i="6"/>
  <c r="I6291" i="6" s="1"/>
  <c r="G6292" i="6"/>
  <c r="I6292" i="6" s="1"/>
  <c r="G6293" i="6"/>
  <c r="I6293" i="6" s="1"/>
  <c r="G6294" i="6"/>
  <c r="I6294" i="6" s="1"/>
  <c r="G6295" i="6"/>
  <c r="I6295" i="6" s="1"/>
  <c r="G6296" i="6"/>
  <c r="I6296" i="6" s="1"/>
  <c r="G6297" i="6"/>
  <c r="I6297" i="6" s="1"/>
  <c r="G6298" i="6"/>
  <c r="I6298" i="6" s="1"/>
  <c r="G6299" i="6"/>
  <c r="I6299" i="6" s="1"/>
  <c r="G6300" i="6"/>
  <c r="I6300" i="6" s="1"/>
  <c r="G6301" i="6"/>
  <c r="I6301" i="6" s="1"/>
  <c r="G6302" i="6"/>
  <c r="I6302" i="6" s="1"/>
  <c r="G6303" i="6"/>
  <c r="I6303" i="6" s="1"/>
  <c r="G6304" i="6"/>
  <c r="I6304" i="6" s="1"/>
  <c r="G6305" i="6"/>
  <c r="I6305" i="6" s="1"/>
  <c r="G6306" i="6"/>
  <c r="I6306" i="6" s="1"/>
  <c r="G6307" i="6"/>
  <c r="I6307" i="6" s="1"/>
  <c r="G6308" i="6"/>
  <c r="I6308" i="6" s="1"/>
  <c r="G6309" i="6"/>
  <c r="I6309" i="6" s="1"/>
  <c r="G6310" i="6"/>
  <c r="I6310" i="6" s="1"/>
  <c r="G6311" i="6"/>
  <c r="I6311" i="6" s="1"/>
  <c r="G6312" i="6"/>
  <c r="I6312" i="6" s="1"/>
  <c r="G6313" i="6"/>
  <c r="I6313" i="6" s="1"/>
  <c r="G6314" i="6"/>
  <c r="I6314" i="6" s="1"/>
  <c r="G6315" i="6"/>
  <c r="I6315" i="6" s="1"/>
  <c r="G6316" i="6"/>
  <c r="I6316" i="6" s="1"/>
  <c r="G6317" i="6"/>
  <c r="I6317" i="6" s="1"/>
  <c r="G6318" i="6"/>
  <c r="I6318" i="6" s="1"/>
  <c r="G6319" i="6"/>
  <c r="I6319" i="6" s="1"/>
  <c r="G6320" i="6"/>
  <c r="I6320" i="6" s="1"/>
  <c r="G6321" i="6"/>
  <c r="I6321" i="6" s="1"/>
  <c r="G6322" i="6"/>
  <c r="I6322" i="6" s="1"/>
  <c r="G6323" i="6"/>
  <c r="I6323" i="6" s="1"/>
  <c r="G6324" i="6"/>
  <c r="I6324" i="6" s="1"/>
  <c r="G6325" i="6"/>
  <c r="I6325" i="6" s="1"/>
  <c r="G6326" i="6"/>
  <c r="I6326" i="6" s="1"/>
  <c r="G6327" i="6"/>
  <c r="I6327" i="6" s="1"/>
  <c r="G6328" i="6"/>
  <c r="I6328" i="6" s="1"/>
  <c r="G6329" i="6"/>
  <c r="I6329" i="6" s="1"/>
  <c r="G6330" i="6"/>
  <c r="I6330" i="6" s="1"/>
  <c r="G6331" i="6"/>
  <c r="I6331" i="6" s="1"/>
  <c r="G6332" i="6"/>
  <c r="I6332" i="6" s="1"/>
  <c r="G6333" i="6"/>
  <c r="I6333" i="6" s="1"/>
  <c r="G6334" i="6"/>
  <c r="I6334" i="6" s="1"/>
  <c r="G6335" i="6"/>
  <c r="I6335" i="6" s="1"/>
  <c r="G6336" i="6"/>
  <c r="I6336" i="6" s="1"/>
  <c r="G6337" i="6"/>
  <c r="I6337" i="6" s="1"/>
  <c r="G6338" i="6"/>
  <c r="I6338" i="6" s="1"/>
  <c r="G6339" i="6"/>
  <c r="I6339" i="6" s="1"/>
  <c r="G6340" i="6"/>
  <c r="I6340" i="6" s="1"/>
  <c r="G6341" i="6"/>
  <c r="I6341" i="6" s="1"/>
  <c r="G6342" i="6"/>
  <c r="I6342" i="6" s="1"/>
  <c r="G6343" i="6"/>
  <c r="I6343" i="6" s="1"/>
  <c r="G6344" i="6"/>
  <c r="I6344" i="6" s="1"/>
  <c r="G6345" i="6"/>
  <c r="I6345" i="6" s="1"/>
  <c r="G6346" i="6"/>
  <c r="I6346" i="6" s="1"/>
  <c r="G6347" i="6"/>
  <c r="I6347" i="6" s="1"/>
  <c r="G6348" i="6"/>
  <c r="I6348" i="6" s="1"/>
  <c r="G6349" i="6"/>
  <c r="I6349" i="6" s="1"/>
  <c r="G6350" i="6"/>
  <c r="I6350" i="6" s="1"/>
  <c r="G6351" i="6"/>
  <c r="I6351" i="6" s="1"/>
  <c r="G6352" i="6"/>
  <c r="I6352" i="6" s="1"/>
  <c r="G6353" i="6"/>
  <c r="I6353" i="6" s="1"/>
  <c r="G6354" i="6"/>
  <c r="I6354" i="6" s="1"/>
  <c r="G6355" i="6"/>
  <c r="I6355" i="6" s="1"/>
  <c r="G6356" i="6"/>
  <c r="I6356" i="6" s="1"/>
  <c r="G6357" i="6"/>
  <c r="I6357" i="6" s="1"/>
  <c r="G6358" i="6"/>
  <c r="I6358" i="6" s="1"/>
  <c r="G6359" i="6"/>
  <c r="I6359" i="6" s="1"/>
  <c r="G6360" i="6"/>
  <c r="I6360" i="6" s="1"/>
  <c r="G6361" i="6"/>
  <c r="I6361" i="6" s="1"/>
  <c r="G6362" i="6"/>
  <c r="I6362" i="6" s="1"/>
  <c r="G6363" i="6"/>
  <c r="I6363" i="6" s="1"/>
  <c r="G6364" i="6"/>
  <c r="I6364" i="6" s="1"/>
  <c r="G6365" i="6"/>
  <c r="I6365" i="6" s="1"/>
  <c r="G6366" i="6"/>
  <c r="I6366" i="6" s="1"/>
  <c r="G6367" i="6"/>
  <c r="I6367" i="6" s="1"/>
  <c r="G6368" i="6"/>
  <c r="I6368" i="6" s="1"/>
  <c r="G6369" i="6"/>
  <c r="I6369" i="6" s="1"/>
  <c r="G6370" i="6"/>
  <c r="I6370" i="6" s="1"/>
  <c r="G6371" i="6"/>
  <c r="I6371" i="6" s="1"/>
  <c r="G6372" i="6"/>
  <c r="I6372" i="6" s="1"/>
  <c r="G6373" i="6"/>
  <c r="I6373" i="6" s="1"/>
  <c r="G6374" i="6"/>
  <c r="I6374" i="6" s="1"/>
  <c r="G6375" i="6"/>
  <c r="I6375" i="6" s="1"/>
  <c r="G6376" i="6"/>
  <c r="I6376" i="6" s="1"/>
  <c r="G6377" i="6"/>
  <c r="I6377" i="6" s="1"/>
  <c r="G6378" i="6"/>
  <c r="I6378" i="6" s="1"/>
  <c r="G6379" i="6"/>
  <c r="I6379" i="6" s="1"/>
  <c r="G6380" i="6"/>
  <c r="I6380" i="6" s="1"/>
  <c r="G6381" i="6"/>
  <c r="I6381" i="6" s="1"/>
  <c r="G6382" i="6"/>
  <c r="I6382" i="6" s="1"/>
  <c r="G6383" i="6"/>
  <c r="I6383" i="6" s="1"/>
  <c r="G6384" i="6"/>
  <c r="I6384" i="6" s="1"/>
  <c r="G6385" i="6"/>
  <c r="I6385" i="6" s="1"/>
  <c r="G6386" i="6"/>
  <c r="I6386" i="6" s="1"/>
  <c r="G6387" i="6"/>
  <c r="I6387" i="6" s="1"/>
  <c r="G6388" i="6"/>
  <c r="I6388" i="6" s="1"/>
  <c r="G6389" i="6"/>
  <c r="I6389" i="6" s="1"/>
  <c r="G6390" i="6"/>
  <c r="I6390" i="6" s="1"/>
  <c r="G6391" i="6"/>
  <c r="I6391" i="6" s="1"/>
  <c r="G6392" i="6"/>
  <c r="I6392" i="6" s="1"/>
  <c r="G6393" i="6"/>
  <c r="I6393" i="6" s="1"/>
  <c r="G6394" i="6"/>
  <c r="I6394" i="6" s="1"/>
  <c r="G6395" i="6"/>
  <c r="I6395" i="6" s="1"/>
  <c r="G6396" i="6"/>
  <c r="I6396" i="6" s="1"/>
  <c r="G6397" i="6"/>
  <c r="I6397" i="6" s="1"/>
  <c r="G6398" i="6"/>
  <c r="I6398" i="6" s="1"/>
  <c r="G6399" i="6"/>
  <c r="I6399" i="6" s="1"/>
  <c r="G6400" i="6"/>
  <c r="I6400" i="6" s="1"/>
  <c r="G6401" i="6"/>
  <c r="I6401" i="6" s="1"/>
  <c r="G6402" i="6"/>
  <c r="I6402" i="6" s="1"/>
  <c r="G6403" i="6"/>
  <c r="I6403" i="6" s="1"/>
  <c r="G6404" i="6"/>
  <c r="I6404" i="6" s="1"/>
  <c r="G6405" i="6"/>
  <c r="I6405" i="6" s="1"/>
  <c r="G6406" i="6"/>
  <c r="I6406" i="6" s="1"/>
  <c r="G6407" i="6"/>
  <c r="I6407" i="6" s="1"/>
  <c r="G6408" i="6"/>
  <c r="I6408" i="6" s="1"/>
  <c r="G6409" i="6"/>
  <c r="I6409" i="6" s="1"/>
  <c r="G6410" i="6"/>
  <c r="I6410" i="6" s="1"/>
  <c r="G6411" i="6"/>
  <c r="I6411" i="6" s="1"/>
  <c r="G6412" i="6"/>
  <c r="I6412" i="6" s="1"/>
  <c r="G6413" i="6"/>
  <c r="I6413" i="6" s="1"/>
  <c r="G6414" i="6"/>
  <c r="I6414" i="6" s="1"/>
  <c r="G6415" i="6"/>
  <c r="I6415" i="6" s="1"/>
  <c r="G6416" i="6"/>
  <c r="I6416" i="6" s="1"/>
  <c r="G6417" i="6"/>
  <c r="I6417" i="6" s="1"/>
  <c r="G6418" i="6"/>
  <c r="I6418" i="6" s="1"/>
  <c r="G6419" i="6"/>
  <c r="I6419" i="6" s="1"/>
  <c r="G6420" i="6"/>
  <c r="I6420" i="6" s="1"/>
  <c r="G6421" i="6"/>
  <c r="I6421" i="6" s="1"/>
  <c r="G6422" i="6"/>
  <c r="I6422" i="6" s="1"/>
  <c r="G6423" i="6"/>
  <c r="I6423" i="6" s="1"/>
  <c r="G6424" i="6"/>
  <c r="I6424" i="6" s="1"/>
  <c r="G6425" i="6"/>
  <c r="I6425" i="6" s="1"/>
  <c r="G6426" i="6"/>
  <c r="I6426" i="6" s="1"/>
  <c r="G6427" i="6"/>
  <c r="I6427" i="6" s="1"/>
  <c r="G6428" i="6"/>
  <c r="I6428" i="6" s="1"/>
  <c r="G6429" i="6"/>
  <c r="I6429" i="6" s="1"/>
  <c r="G6430" i="6"/>
  <c r="I6430" i="6" s="1"/>
  <c r="G6431" i="6"/>
  <c r="I6431" i="6" s="1"/>
  <c r="G6432" i="6"/>
  <c r="I6432" i="6" s="1"/>
  <c r="G6433" i="6"/>
  <c r="I6433" i="6" s="1"/>
  <c r="G6434" i="6"/>
  <c r="I6434" i="6" s="1"/>
  <c r="G6435" i="6"/>
  <c r="I6435" i="6" s="1"/>
  <c r="G6436" i="6"/>
  <c r="I6436" i="6" s="1"/>
  <c r="G6437" i="6"/>
  <c r="I6437" i="6" s="1"/>
  <c r="G6438" i="6"/>
  <c r="I6438" i="6" s="1"/>
  <c r="G6439" i="6"/>
  <c r="I6439" i="6" s="1"/>
  <c r="G6440" i="6"/>
  <c r="I6440" i="6" s="1"/>
  <c r="G6441" i="6"/>
  <c r="I6441" i="6" s="1"/>
  <c r="G6442" i="6"/>
  <c r="I6442" i="6" s="1"/>
  <c r="G6443" i="6"/>
  <c r="I6443" i="6" s="1"/>
  <c r="G6444" i="6"/>
  <c r="I6444" i="6" s="1"/>
  <c r="G6445" i="6"/>
  <c r="I6445" i="6" s="1"/>
  <c r="G6446" i="6"/>
  <c r="I6446" i="6" s="1"/>
  <c r="G6447" i="6"/>
  <c r="I6447" i="6" s="1"/>
  <c r="G6448" i="6"/>
  <c r="I6448" i="6" s="1"/>
  <c r="G6449" i="6"/>
  <c r="I6449" i="6" s="1"/>
  <c r="G6450" i="6"/>
  <c r="I6450" i="6" s="1"/>
  <c r="G6451" i="6"/>
  <c r="I6451" i="6" s="1"/>
  <c r="G6452" i="6"/>
  <c r="I6452" i="6" s="1"/>
  <c r="G6453" i="6"/>
  <c r="I6453" i="6" s="1"/>
  <c r="G6454" i="6"/>
  <c r="I6454" i="6" s="1"/>
  <c r="G6455" i="6"/>
  <c r="I6455" i="6" s="1"/>
  <c r="G6456" i="6"/>
  <c r="I6456" i="6" s="1"/>
  <c r="G6457" i="6"/>
  <c r="I6457" i="6" s="1"/>
  <c r="G6458" i="6"/>
  <c r="I6458" i="6" s="1"/>
  <c r="G6459" i="6"/>
  <c r="I6459" i="6" s="1"/>
  <c r="G6460" i="6"/>
  <c r="I6460" i="6" s="1"/>
  <c r="G6461" i="6"/>
  <c r="I6461" i="6" s="1"/>
  <c r="G6462" i="6"/>
  <c r="I6462" i="6" s="1"/>
  <c r="G6463" i="6"/>
  <c r="I6463" i="6" s="1"/>
  <c r="G6464" i="6"/>
  <c r="I6464" i="6" s="1"/>
  <c r="G6465" i="6"/>
  <c r="I6465" i="6" s="1"/>
  <c r="G6466" i="6"/>
  <c r="I6466" i="6" s="1"/>
  <c r="G6467" i="6"/>
  <c r="I6467" i="6" s="1"/>
  <c r="G6468" i="6"/>
  <c r="I6468" i="6" s="1"/>
  <c r="G6469" i="6"/>
  <c r="I6469" i="6" s="1"/>
  <c r="G6470" i="6"/>
  <c r="I6470" i="6" s="1"/>
  <c r="G6471" i="6"/>
  <c r="I6471" i="6" s="1"/>
  <c r="G6472" i="6"/>
  <c r="I6472" i="6" s="1"/>
  <c r="G6473" i="6"/>
  <c r="I6473" i="6" s="1"/>
  <c r="G6474" i="6"/>
  <c r="I6474" i="6" s="1"/>
  <c r="G6475" i="6"/>
  <c r="I6475" i="6" s="1"/>
  <c r="G6476" i="6"/>
  <c r="I6476" i="6" s="1"/>
  <c r="G6477" i="6"/>
  <c r="I6477" i="6" s="1"/>
  <c r="G6478" i="6"/>
  <c r="I6478" i="6" s="1"/>
  <c r="G6479" i="6"/>
  <c r="I6479" i="6" s="1"/>
  <c r="G6480" i="6"/>
  <c r="I6480" i="6" s="1"/>
  <c r="G6481" i="6"/>
  <c r="I6481" i="6" s="1"/>
  <c r="G6482" i="6"/>
  <c r="I6482" i="6" s="1"/>
  <c r="G6483" i="6"/>
  <c r="I6483" i="6" s="1"/>
  <c r="G6484" i="6"/>
  <c r="I6484" i="6" s="1"/>
  <c r="G6485" i="6"/>
  <c r="I6485" i="6" s="1"/>
  <c r="G6486" i="6"/>
  <c r="I6486" i="6" s="1"/>
  <c r="G6487" i="6"/>
  <c r="I6487" i="6" s="1"/>
  <c r="G6488" i="6"/>
  <c r="I6488" i="6" s="1"/>
  <c r="G5001" i="6"/>
  <c r="I5001" i="6" s="1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4157" i="6"/>
  <c r="I4158" i="6"/>
  <c r="I4159" i="6"/>
  <c r="I4160" i="6"/>
  <c r="I4161" i="6"/>
  <c r="I677" i="6"/>
  <c r="G160" i="6"/>
  <c r="I160" i="6" s="1"/>
  <c r="G143" i="6"/>
  <c r="I143" i="6" s="1"/>
  <c r="G141" i="6"/>
  <c r="I141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4" i="6"/>
  <c r="I64" i="6" s="1"/>
  <c r="G65" i="6"/>
  <c r="I65" i="6" s="1"/>
  <c r="G66" i="6"/>
  <c r="I66" i="6" s="1"/>
  <c r="G67" i="6"/>
  <c r="I67" i="6" s="1"/>
  <c r="G68" i="6"/>
  <c r="I68" i="6" s="1"/>
  <c r="G69" i="6"/>
  <c r="I69" i="6" s="1"/>
  <c r="G70" i="6"/>
  <c r="I70" i="6" s="1"/>
  <c r="G71" i="6"/>
  <c r="I71" i="6" s="1"/>
  <c r="G72" i="6"/>
  <c r="I72" i="6" s="1"/>
  <c r="G73" i="6"/>
  <c r="I73" i="6" s="1"/>
  <c r="G74" i="6"/>
  <c r="I74" i="6" s="1"/>
  <c r="G75" i="6"/>
  <c r="I75" i="6" s="1"/>
  <c r="G76" i="6"/>
  <c r="I76" i="6" s="1"/>
  <c r="G77" i="6"/>
  <c r="I77" i="6" s="1"/>
  <c r="G78" i="6"/>
  <c r="I78" i="6" s="1"/>
  <c r="G79" i="6"/>
  <c r="I79" i="6" s="1"/>
  <c r="G80" i="6"/>
  <c r="I80" i="6" s="1"/>
  <c r="G81" i="6"/>
  <c r="I81" i="6" s="1"/>
  <c r="G82" i="6"/>
  <c r="I82" i="6" s="1"/>
  <c r="G83" i="6"/>
  <c r="I83" i="6" s="1"/>
  <c r="G84" i="6"/>
  <c r="I84" i="6" s="1"/>
  <c r="G85" i="6"/>
  <c r="I85" i="6" s="1"/>
  <c r="G86" i="6"/>
  <c r="I86" i="6" s="1"/>
  <c r="G55" i="6"/>
  <c r="I55" i="6" s="1"/>
  <c r="G10485" i="6"/>
  <c r="I10485" i="6" s="1"/>
  <c r="G10486" i="6"/>
  <c r="I10486" i="6" s="1"/>
  <c r="G10487" i="6"/>
  <c r="I10487" i="6" s="1"/>
  <c r="G10488" i="6"/>
  <c r="I10488" i="6" s="1"/>
  <c r="G10489" i="6"/>
  <c r="I10489" i="6" s="1"/>
  <c r="G10490" i="6"/>
  <c r="I10490" i="6" s="1"/>
  <c r="G10491" i="6"/>
  <c r="I10491" i="6" s="1"/>
  <c r="G10492" i="6"/>
  <c r="I10492" i="6" s="1"/>
  <c r="G10493" i="6"/>
  <c r="I10493" i="6" s="1"/>
  <c r="G10494" i="6"/>
  <c r="I10494" i="6" s="1"/>
  <c r="G10495" i="6"/>
  <c r="I10495" i="6" s="1"/>
  <c r="G10496" i="6"/>
  <c r="I10496" i="6" s="1"/>
  <c r="G10497" i="6"/>
  <c r="I10497" i="6" s="1"/>
  <c r="G10498" i="6"/>
  <c r="I10498" i="6" s="1"/>
  <c r="G10499" i="6"/>
  <c r="I10499" i="6" s="1"/>
  <c r="G10500" i="6"/>
  <c r="I10500" i="6" s="1"/>
  <c r="G10501" i="6"/>
  <c r="I10501" i="6" s="1"/>
  <c r="G10502" i="6"/>
  <c r="I10502" i="6" s="1"/>
  <c r="G10503" i="6"/>
  <c r="I10503" i="6" s="1"/>
  <c r="G10504" i="6"/>
  <c r="I10504" i="6" s="1"/>
  <c r="G10505" i="6"/>
  <c r="I10505" i="6" s="1"/>
  <c r="G10506" i="6"/>
  <c r="I10506" i="6" s="1"/>
  <c r="G10507" i="6"/>
  <c r="I10507" i="6" s="1"/>
  <c r="G10508" i="6"/>
  <c r="I10508" i="6" s="1"/>
  <c r="G10509" i="6"/>
  <c r="I10509" i="6" s="1"/>
  <c r="G10510" i="6"/>
  <c r="I10510" i="6" s="1"/>
  <c r="G10511" i="6"/>
  <c r="I10511" i="6" s="1"/>
  <c r="G10512" i="6"/>
  <c r="I10512" i="6" s="1"/>
  <c r="G10513" i="6"/>
  <c r="I10513" i="6" s="1"/>
  <c r="G10514" i="6"/>
  <c r="I10514" i="6" s="1"/>
  <c r="G10515" i="6"/>
  <c r="I10515" i="6" s="1"/>
  <c r="G10516" i="6"/>
  <c r="I10516" i="6" s="1"/>
  <c r="G10517" i="6"/>
  <c r="I10517" i="6" s="1"/>
  <c r="G10518" i="6"/>
  <c r="I10518" i="6" s="1"/>
  <c r="G10519" i="6"/>
  <c r="I10519" i="6" s="1"/>
  <c r="G10520" i="6"/>
  <c r="I10520" i="6" s="1"/>
  <c r="G10521" i="6"/>
  <c r="I10521" i="6" s="1"/>
  <c r="G10522" i="6"/>
  <c r="I10522" i="6" s="1"/>
  <c r="G10523" i="6"/>
  <c r="I10523" i="6" s="1"/>
  <c r="G10524" i="6"/>
  <c r="I10524" i="6" s="1"/>
  <c r="G10525" i="6"/>
  <c r="I10525" i="6" s="1"/>
  <c r="G10526" i="6"/>
  <c r="I10526" i="6" s="1"/>
  <c r="G10527" i="6"/>
  <c r="I10527" i="6" s="1"/>
  <c r="G10528" i="6"/>
  <c r="I10528" i="6" s="1"/>
  <c r="G10529" i="6"/>
  <c r="I10529" i="6" s="1"/>
  <c r="G10530" i="6"/>
  <c r="I10530" i="6" s="1"/>
  <c r="G10531" i="6"/>
  <c r="I10531" i="6" s="1"/>
  <c r="G10532" i="6"/>
  <c r="I10532" i="6" s="1"/>
  <c r="G10533" i="6"/>
  <c r="I10533" i="6" s="1"/>
  <c r="G10534" i="6"/>
  <c r="I10534" i="6" s="1"/>
  <c r="G10535" i="6"/>
  <c r="I10535" i="6" s="1"/>
  <c r="G10536" i="6"/>
  <c r="I10536" i="6" s="1"/>
  <c r="G10537" i="6"/>
  <c r="I10537" i="6" s="1"/>
  <c r="G10538" i="6"/>
  <c r="I10538" i="6" s="1"/>
  <c r="G10539" i="6"/>
  <c r="I10539" i="6" s="1"/>
  <c r="G10540" i="6"/>
  <c r="I10540" i="6" s="1"/>
  <c r="G10541" i="6"/>
  <c r="I10541" i="6" s="1"/>
  <c r="G10542" i="6"/>
  <c r="I10542" i="6" s="1"/>
  <c r="G10543" i="6"/>
  <c r="I10543" i="6" s="1"/>
  <c r="G10544" i="6"/>
  <c r="I10544" i="6" s="1"/>
  <c r="G10545" i="6"/>
  <c r="I10545" i="6" s="1"/>
  <c r="G10546" i="6"/>
  <c r="I10546" i="6" s="1"/>
  <c r="G10547" i="6"/>
  <c r="I10547" i="6" s="1"/>
  <c r="G10483" i="6"/>
  <c r="I10483" i="6" s="1"/>
  <c r="G10484" i="6"/>
  <c r="I10484" i="6" s="1"/>
  <c r="I10346" i="6"/>
  <c r="I10347" i="6"/>
  <c r="I10350" i="6"/>
  <c r="I10351" i="6"/>
  <c r="H9765" i="6"/>
  <c r="H9764" i="6"/>
  <c r="H9763" i="6"/>
  <c r="H9762" i="6"/>
  <c r="H9761" i="6"/>
  <c r="H9760" i="6"/>
  <c r="H9759" i="6"/>
  <c r="I9759" i="6" s="1"/>
  <c r="H9758" i="6"/>
  <c r="I9758" i="6" s="1"/>
  <c r="H9757" i="6"/>
  <c r="I9757" i="6" s="1"/>
  <c r="H9756" i="6"/>
  <c r="I9756" i="6" s="1"/>
  <c r="H9755" i="6"/>
  <c r="I9755" i="6" s="1"/>
  <c r="H9754" i="6"/>
  <c r="I9754" i="6" s="1"/>
  <c r="H9753" i="6"/>
  <c r="I9753" i="6" s="1"/>
  <c r="H9752" i="6"/>
  <c r="I9752" i="6" s="1"/>
  <c r="I10369" i="6" l="1"/>
  <c r="I10341" i="6" l="1"/>
  <c r="H9751" i="6" l="1"/>
  <c r="I9751" i="6" s="1"/>
  <c r="I9760" i="6"/>
  <c r="I9761" i="6"/>
  <c r="I9762" i="6"/>
  <c r="I9763" i="6"/>
  <c r="I9764" i="6"/>
  <c r="I9765" i="6"/>
  <c r="H9750" i="6"/>
  <c r="I6668" i="6"/>
  <c r="I6667" i="6"/>
  <c r="I6666" i="6"/>
  <c r="I6665" i="6"/>
  <c r="I6664" i="6"/>
  <c r="I6663" i="6"/>
  <c r="I54" i="6"/>
  <c r="I4908" i="6"/>
  <c r="I4907" i="6"/>
  <c r="I4906" i="6"/>
  <c r="I4905" i="6"/>
  <c r="I4904" i="6"/>
  <c r="I4903" i="6"/>
  <c r="I4902" i="6"/>
  <c r="I4901" i="6"/>
  <c r="I4900" i="6"/>
  <c r="I4899" i="6"/>
  <c r="I4898" i="6"/>
  <c r="I4897" i="6"/>
  <c r="I4896" i="6"/>
  <c r="I4895" i="6"/>
  <c r="I4894" i="6"/>
  <c r="I4893" i="6"/>
  <c r="I4892" i="6"/>
  <c r="I4891" i="6"/>
  <c r="I4890" i="6"/>
  <c r="I4889" i="6"/>
  <c r="I4888" i="6"/>
  <c r="I4887" i="6"/>
  <c r="I4886" i="6"/>
  <c r="I4885" i="6"/>
  <c r="I4884" i="6"/>
  <c r="I4883" i="6"/>
  <c r="I4882" i="6"/>
  <c r="I4881" i="6"/>
  <c r="I4880" i="6"/>
  <c r="I4879" i="6"/>
  <c r="I4878" i="6"/>
  <c r="I4877" i="6"/>
  <c r="I4876" i="6"/>
  <c r="I4875" i="6"/>
  <c r="I4874" i="6"/>
  <c r="I4873" i="6"/>
  <c r="I4872" i="6"/>
  <c r="I4871" i="6"/>
  <c r="I4870" i="6"/>
  <c r="I4869" i="6"/>
  <c r="I4868" i="6"/>
  <c r="I4867" i="6"/>
  <c r="I4866" i="6"/>
  <c r="I4865" i="6"/>
  <c r="I4864" i="6"/>
  <c r="I4863" i="6"/>
  <c r="I4862" i="6"/>
  <c r="I4861" i="6"/>
  <c r="I4860" i="6"/>
  <c r="I4859" i="6"/>
  <c r="I4858" i="6"/>
  <c r="I4857" i="6"/>
  <c r="I4856" i="6"/>
  <c r="I4855" i="6"/>
  <c r="I4854" i="6"/>
  <c r="I4853" i="6"/>
  <c r="I4852" i="6"/>
  <c r="I4851" i="6"/>
  <c r="I4850" i="6"/>
  <c r="I4849" i="6"/>
  <c r="I4848" i="6"/>
  <c r="I4847" i="6"/>
  <c r="I4846" i="6"/>
  <c r="I4845" i="6"/>
  <c r="I4844" i="6"/>
  <c r="I4843" i="6"/>
  <c r="I4842" i="6"/>
  <c r="I4841" i="6"/>
  <c r="I4840" i="6"/>
  <c r="I4839" i="6"/>
  <c r="I4838" i="6"/>
  <c r="I4837" i="6"/>
  <c r="I4836" i="6"/>
  <c r="I4835" i="6"/>
  <c r="I4834" i="6"/>
  <c r="I4833" i="6"/>
  <c r="I4832" i="6"/>
  <c r="I4831" i="6"/>
  <c r="I4830" i="6"/>
  <c r="I4829" i="6"/>
  <c r="I4828" i="6"/>
  <c r="I4827" i="6"/>
  <c r="I4826" i="6"/>
  <c r="I4825" i="6"/>
  <c r="I4824" i="6"/>
  <c r="I4823" i="6"/>
  <c r="I4822" i="6"/>
  <c r="I4821" i="6"/>
  <c r="I4820" i="6"/>
  <c r="I4819" i="6"/>
  <c r="I4818" i="6"/>
  <c r="I4817" i="6"/>
  <c r="I4816" i="6"/>
  <c r="I4815" i="6"/>
  <c r="I4814" i="6"/>
  <c r="I4813" i="6"/>
  <c r="I4812" i="6"/>
  <c r="I4811" i="6"/>
  <c r="I4810" i="6"/>
  <c r="I4809" i="6"/>
  <c r="I4808" i="6"/>
  <c r="I4807" i="6"/>
  <c r="I4806" i="6"/>
  <c r="I4805" i="6"/>
  <c r="I4804" i="6"/>
  <c r="I4803" i="6"/>
  <c r="I4802" i="6"/>
  <c r="I4801" i="6"/>
  <c r="I4800" i="6"/>
  <c r="I4799" i="6"/>
  <c r="I4798" i="6"/>
  <c r="I4797" i="6"/>
  <c r="I4796" i="6"/>
  <c r="I4795" i="6"/>
  <c r="I4794" i="6"/>
  <c r="I4793" i="6"/>
  <c r="I4792" i="6"/>
  <c r="I4791" i="6"/>
  <c r="I4790" i="6"/>
  <c r="I4789" i="6"/>
  <c r="I4788" i="6"/>
  <c r="I4787" i="6"/>
  <c r="I4786" i="6"/>
  <c r="I4785" i="6"/>
  <c r="I4784" i="6"/>
  <c r="I4783" i="6"/>
  <c r="I4782" i="6"/>
  <c r="I4781" i="6"/>
  <c r="I4780" i="6"/>
  <c r="I4779" i="6"/>
  <c r="I4778" i="6"/>
  <c r="I4777" i="6"/>
  <c r="I4776" i="6"/>
  <c r="I4775" i="6"/>
  <c r="I4774" i="6"/>
  <c r="I4773" i="6"/>
  <c r="I4772" i="6"/>
  <c r="I4771" i="6"/>
  <c r="I4770" i="6"/>
  <c r="I4769" i="6"/>
  <c r="I4768" i="6"/>
  <c r="I4767" i="6"/>
  <c r="I4766" i="6"/>
  <c r="I4765" i="6"/>
  <c r="I4764" i="6"/>
  <c r="I4763" i="6"/>
  <c r="I4762" i="6"/>
  <c r="I4761" i="6"/>
  <c r="I4760" i="6"/>
  <c r="I4759" i="6"/>
  <c r="I4758" i="6"/>
  <c r="I4757" i="6"/>
  <c r="I4756" i="6"/>
  <c r="I4755" i="6"/>
  <c r="I4754" i="6"/>
  <c r="I4753" i="6"/>
  <c r="I4752" i="6"/>
  <c r="I4751" i="6"/>
  <c r="I4750" i="6"/>
  <c r="I4749" i="6"/>
  <c r="I4748" i="6"/>
  <c r="I4747" i="6"/>
  <c r="I4746" i="6"/>
  <c r="I4745" i="6"/>
  <c r="I4744" i="6"/>
  <c r="I4743" i="6"/>
  <c r="I4742" i="6"/>
  <c r="I4741" i="6"/>
  <c r="I4740" i="6"/>
  <c r="I4739" i="6"/>
  <c r="I4738" i="6"/>
  <c r="I4737" i="6"/>
  <c r="I4736" i="6"/>
  <c r="I4735" i="6"/>
  <c r="I4734" i="6"/>
  <c r="I4733" i="6"/>
  <c r="I4732" i="6"/>
  <c r="I4731" i="6"/>
  <c r="I4730" i="6"/>
  <c r="I4729" i="6"/>
  <c r="I4728" i="6"/>
  <c r="I4727" i="6"/>
  <c r="I4726" i="6"/>
  <c r="I4725" i="6"/>
  <c r="I4724" i="6"/>
  <c r="I4723" i="6"/>
  <c r="I4722" i="6"/>
  <c r="I4721" i="6"/>
  <c r="I4720" i="6"/>
  <c r="I4719" i="6"/>
  <c r="I4718" i="6"/>
  <c r="I4717" i="6"/>
  <c r="I4716" i="6"/>
  <c r="I4715" i="6"/>
  <c r="I4714" i="6"/>
  <c r="I4713" i="6"/>
  <c r="I4712" i="6"/>
  <c r="I4711" i="6"/>
  <c r="I4710" i="6"/>
  <c r="I4709" i="6"/>
  <c r="I4708" i="6"/>
  <c r="I4707" i="6"/>
  <c r="I4706" i="6"/>
  <c r="I4705" i="6"/>
  <c r="I4704" i="6"/>
  <c r="I4703" i="6"/>
  <c r="I4702" i="6"/>
  <c r="I4701" i="6"/>
  <c r="I4700" i="6"/>
  <c r="I4699" i="6"/>
  <c r="I4698" i="6"/>
  <c r="I4697" i="6"/>
  <c r="I4696" i="6"/>
  <c r="I4695" i="6"/>
  <c r="I4694" i="6"/>
  <c r="I4693" i="6"/>
  <c r="I4692" i="6"/>
  <c r="I4691" i="6"/>
  <c r="I4690" i="6"/>
  <c r="I4689" i="6"/>
  <c r="I4688" i="6"/>
  <c r="I4687" i="6"/>
  <c r="I4686" i="6"/>
  <c r="I4685" i="6"/>
  <c r="I4684" i="6"/>
  <c r="I4683" i="6"/>
  <c r="I4682" i="6"/>
  <c r="I4681" i="6"/>
  <c r="I4680" i="6"/>
  <c r="I4679" i="6"/>
  <c r="I4678" i="6"/>
  <c r="I4677" i="6"/>
  <c r="I4676" i="6"/>
  <c r="I4675" i="6"/>
  <c r="I4674" i="6"/>
  <c r="I4673" i="6"/>
  <c r="I4671" i="6"/>
  <c r="I4670" i="6"/>
  <c r="I4669" i="6"/>
  <c r="I4668" i="6"/>
  <c r="I4667" i="6"/>
  <c r="I4666" i="6"/>
  <c r="I4665" i="6"/>
  <c r="I4664" i="6"/>
  <c r="I4663" i="6"/>
  <c r="I4662" i="6"/>
  <c r="I4661" i="6"/>
  <c r="I4660" i="6"/>
  <c r="I4659" i="6"/>
  <c r="I4658" i="6"/>
  <c r="I513" i="6"/>
  <c r="I4657" i="6"/>
  <c r="I4656" i="6"/>
  <c r="I4655" i="6"/>
  <c r="I4654" i="6"/>
  <c r="I4653" i="6"/>
  <c r="I4652" i="6"/>
  <c r="I4651" i="6"/>
  <c r="I4650" i="6"/>
  <c r="I4649" i="6"/>
  <c r="I4648" i="6"/>
  <c r="I4647" i="6"/>
  <c r="I4646" i="6"/>
  <c r="I4645" i="6"/>
  <c r="I4644" i="6"/>
  <c r="I4643" i="6"/>
  <c r="I4642" i="6"/>
  <c r="I4641" i="6"/>
  <c r="I4640" i="6"/>
  <c r="I4639" i="6"/>
  <c r="I4638" i="6"/>
  <c r="I4637" i="6"/>
  <c r="I4636" i="6"/>
  <c r="I4635" i="6"/>
  <c r="I4634" i="6"/>
  <c r="I4633" i="6"/>
  <c r="I4632" i="6"/>
  <c r="I4631" i="6"/>
  <c r="I4630" i="6"/>
  <c r="I4629" i="6"/>
  <c r="I4628" i="6"/>
  <c r="I4627" i="6"/>
  <c r="I4626" i="6"/>
  <c r="I4625" i="6"/>
  <c r="I4624" i="6"/>
  <c r="I4623" i="6"/>
  <c r="I4622" i="6"/>
  <c r="I4621" i="6"/>
  <c r="I4620" i="6"/>
  <c r="I4619" i="6"/>
  <c r="I4618" i="6"/>
  <c r="I4617" i="6"/>
  <c r="I4616" i="6"/>
  <c r="I4615" i="6"/>
  <c r="I4614" i="6"/>
  <c r="I4613" i="6"/>
  <c r="I4612" i="6"/>
  <c r="I4611" i="6"/>
  <c r="I4610" i="6"/>
  <c r="I4609" i="6"/>
  <c r="I4608" i="6"/>
  <c r="I4607" i="6"/>
  <c r="I4606" i="6"/>
  <c r="I4605" i="6"/>
  <c r="I4604" i="6"/>
  <c r="I4602" i="6"/>
  <c r="I4601" i="6"/>
  <c r="I4600" i="6"/>
  <c r="I4599" i="6"/>
  <c r="I4598" i="6"/>
  <c r="I4597" i="6"/>
  <c r="I4596" i="6"/>
  <c r="I4595" i="6"/>
  <c r="I4594" i="6"/>
  <c r="I4593" i="6"/>
  <c r="I4592" i="6"/>
  <c r="I4591" i="6"/>
  <c r="I4590" i="6"/>
  <c r="I4589" i="6"/>
  <c r="I4588" i="6"/>
  <c r="I4587" i="6"/>
  <c r="I4586" i="6"/>
  <c r="I4585" i="6"/>
  <c r="I4584" i="6"/>
  <c r="I4583" i="6"/>
  <c r="I4582" i="6"/>
  <c r="I4581" i="6"/>
  <c r="I4580" i="6"/>
  <c r="I4579" i="6"/>
  <c r="I4578" i="6"/>
  <c r="I4577" i="6"/>
  <c r="I4576" i="6"/>
  <c r="I4575" i="6"/>
  <c r="I4574" i="6"/>
  <c r="I4573" i="6"/>
  <c r="I4572" i="6"/>
  <c r="I4571" i="6"/>
  <c r="I4570" i="6"/>
  <c r="I4569" i="6"/>
  <c r="I4568" i="6"/>
  <c r="I4567" i="6"/>
  <c r="I4566" i="6"/>
  <c r="I4565" i="6"/>
  <c r="I4564" i="6"/>
  <c r="I4563" i="6"/>
  <c r="I4562" i="6"/>
  <c r="I4561" i="6"/>
  <c r="I4560" i="6"/>
  <c r="I4559" i="6"/>
  <c r="I4558" i="6"/>
  <c r="I4557" i="6"/>
  <c r="I4556" i="6"/>
  <c r="I4555" i="6"/>
  <c r="I4554" i="6"/>
  <c r="I4553" i="6"/>
  <c r="I4552" i="6"/>
  <c r="I4551" i="6"/>
  <c r="I4550" i="6"/>
  <c r="I4549" i="6"/>
  <c r="I4548" i="6"/>
  <c r="I4547" i="6"/>
  <c r="I4546" i="6"/>
  <c r="I4545" i="6"/>
  <c r="I4544" i="6"/>
  <c r="I4543" i="6"/>
  <c r="I4542" i="6"/>
  <c r="I4541" i="6"/>
  <c r="I4540" i="6"/>
  <c r="I4539" i="6"/>
  <c r="I4538" i="6"/>
  <c r="I4537" i="6"/>
  <c r="I4536" i="6"/>
  <c r="I4535" i="6"/>
  <c r="I4534" i="6"/>
  <c r="I4533" i="6"/>
  <c r="I4532" i="6"/>
  <c r="I4531" i="6"/>
  <c r="I4530" i="6"/>
  <c r="I4529" i="6"/>
  <c r="I4528" i="6"/>
  <c r="I4527" i="6"/>
  <c r="I4526" i="6"/>
  <c r="I4525" i="6"/>
  <c r="I4524" i="6"/>
  <c r="I4523" i="6"/>
  <c r="I4522" i="6"/>
  <c r="I4521" i="6"/>
  <c r="I4520" i="6"/>
  <c r="I4519" i="6"/>
  <c r="I4518" i="6"/>
  <c r="I4517" i="6"/>
  <c r="I4516" i="6"/>
  <c r="I4515" i="6"/>
  <c r="I4514" i="6"/>
  <c r="I4513" i="6"/>
  <c r="I4512" i="6"/>
  <c r="I4511" i="6"/>
  <c r="I4510" i="6"/>
  <c r="I4509" i="6"/>
  <c r="I4508" i="6"/>
  <c r="I4507" i="6"/>
  <c r="I4506" i="6"/>
  <c r="I4505" i="6"/>
  <c r="I4504" i="6"/>
  <c r="I4503" i="6"/>
  <c r="I4502" i="6"/>
  <c r="I4501" i="6"/>
  <c r="I4500" i="6"/>
  <c r="I4499" i="6"/>
  <c r="I4498" i="6"/>
  <c r="I4497" i="6"/>
  <c r="I4496" i="6"/>
  <c r="I4495" i="6"/>
  <c r="I4494" i="6"/>
  <c r="I4493" i="6"/>
  <c r="I4492" i="6"/>
  <c r="I4491" i="6"/>
  <c r="I4490" i="6"/>
  <c r="I4489" i="6"/>
  <c r="I4488" i="6"/>
  <c r="I4487" i="6"/>
  <c r="I4486" i="6"/>
  <c r="I4485" i="6"/>
  <c r="I4484" i="6"/>
  <c r="I4483" i="6"/>
  <c r="I4482" i="6"/>
  <c r="I4481" i="6"/>
  <c r="I4480" i="6"/>
  <c r="I4479" i="6"/>
  <c r="I4478" i="6"/>
  <c r="I4477" i="6"/>
  <c r="I4476" i="6"/>
  <c r="I4475" i="6"/>
  <c r="I4474" i="6"/>
  <c r="I4473" i="6"/>
  <c r="I4472" i="6"/>
  <c r="I4471" i="6"/>
  <c r="I4470" i="6"/>
  <c r="I4469" i="6"/>
  <c r="I4468" i="6"/>
  <c r="I4467" i="6"/>
  <c r="I4466" i="6"/>
  <c r="I4465" i="6"/>
  <c r="I4464" i="6"/>
  <c r="I4463" i="6"/>
  <c r="I4462" i="6"/>
  <c r="I4461" i="6"/>
  <c r="I4460" i="6"/>
  <c r="I4459" i="6"/>
  <c r="I4458" i="6"/>
  <c r="I4457" i="6"/>
  <c r="I4456" i="6"/>
  <c r="I4455" i="6"/>
  <c r="I4454" i="6"/>
  <c r="I4453" i="6"/>
  <c r="I4452" i="6"/>
  <c r="I4451" i="6"/>
  <c r="I4450" i="6"/>
  <c r="I4449" i="6"/>
  <c r="I4448" i="6"/>
  <c r="I4447" i="6"/>
  <c r="I4446" i="6"/>
  <c r="I4445" i="6"/>
  <c r="I4444" i="6"/>
  <c r="I4443" i="6"/>
  <c r="I4442" i="6"/>
  <c r="I4441" i="6"/>
  <c r="I4440" i="6"/>
  <c r="I4439" i="6"/>
  <c r="I4438" i="6"/>
  <c r="I4437" i="6"/>
  <c r="I4436" i="6"/>
  <c r="I4435" i="6"/>
  <c r="I4434" i="6"/>
  <c r="I4433" i="6"/>
  <c r="I4432" i="6"/>
  <c r="I4431" i="6"/>
  <c r="I4430" i="6"/>
  <c r="I4429" i="6"/>
  <c r="I4428" i="6"/>
  <c r="I4427" i="6"/>
  <c r="I4426" i="6"/>
  <c r="I4425" i="6"/>
  <c r="I4424" i="6"/>
  <c r="I4423" i="6"/>
  <c r="I4422" i="6"/>
  <c r="I4421" i="6"/>
  <c r="I4420" i="6"/>
  <c r="I4419" i="6"/>
  <c r="I4418" i="6"/>
  <c r="I4417" i="6"/>
  <c r="I4416" i="6"/>
  <c r="I4415" i="6"/>
  <c r="I4414" i="6"/>
  <c r="I4413" i="6"/>
  <c r="I4412" i="6"/>
  <c r="I4411" i="6"/>
  <c r="I4410" i="6"/>
  <c r="I4409" i="6"/>
  <c r="I4408" i="6"/>
  <c r="I4407" i="6"/>
  <c r="I4406" i="6"/>
  <c r="I4405" i="6"/>
  <c r="I4404" i="6"/>
  <c r="I4403" i="6"/>
  <c r="I4402" i="6"/>
  <c r="I4401" i="6"/>
  <c r="I4400" i="6"/>
  <c r="I4399" i="6"/>
  <c r="I4398" i="6"/>
  <c r="I4397" i="6"/>
  <c r="I4396" i="6"/>
  <c r="I4395" i="6"/>
  <c r="I4394" i="6"/>
  <c r="I4393" i="6"/>
  <c r="I4392" i="6"/>
  <c r="I4391" i="6"/>
  <c r="I4390" i="6"/>
  <c r="I4389" i="6"/>
  <c r="I4388" i="6"/>
  <c r="I4387" i="6"/>
  <c r="I4386" i="6"/>
  <c r="I4385" i="6"/>
  <c r="I4384" i="6"/>
  <c r="I4383" i="6"/>
  <c r="I4382" i="6"/>
  <c r="I4381" i="6"/>
  <c r="I4380" i="6"/>
  <c r="I4379" i="6"/>
  <c r="I4378" i="6"/>
  <c r="I4377" i="6"/>
  <c r="I4376" i="6"/>
  <c r="I4375" i="6"/>
  <c r="I4374" i="6"/>
  <c r="I4373" i="6"/>
  <c r="I4372" i="6"/>
  <c r="I4371" i="6"/>
  <c r="I4370" i="6"/>
  <c r="I4369" i="6"/>
  <c r="I4368" i="6"/>
  <c r="I4367" i="6"/>
  <c r="I4366" i="6"/>
  <c r="I4365" i="6"/>
  <c r="I4364" i="6"/>
  <c r="I4363" i="6"/>
  <c r="I4362" i="6"/>
  <c r="I4361" i="6"/>
  <c r="I4360" i="6"/>
  <c r="I4359" i="6"/>
  <c r="I4358" i="6"/>
  <c r="I4357" i="6"/>
  <c r="I4356" i="6"/>
  <c r="I4355" i="6"/>
  <c r="I4354" i="6"/>
  <c r="I4353" i="6"/>
  <c r="I4352" i="6"/>
  <c r="I4351" i="6"/>
  <c r="I4350" i="6"/>
  <c r="I4349" i="6"/>
  <c r="I4348" i="6"/>
  <c r="I4347" i="6"/>
  <c r="I4346" i="6"/>
  <c r="I4345" i="6"/>
  <c r="I4344" i="6"/>
  <c r="I4343" i="6"/>
  <c r="I4342" i="6"/>
  <c r="I4341" i="6"/>
  <c r="I4340" i="6"/>
  <c r="I4339" i="6"/>
  <c r="I4338" i="6"/>
  <c r="I4337" i="6"/>
  <c r="I4336" i="6"/>
  <c r="I4335" i="6"/>
  <c r="I4334" i="6"/>
  <c r="I4333" i="6"/>
  <c r="I4332" i="6"/>
  <c r="I4331" i="6"/>
  <c r="I4330" i="6"/>
  <c r="I4329" i="6"/>
  <c r="I4328" i="6"/>
  <c r="I4327" i="6"/>
  <c r="I4326" i="6"/>
  <c r="I4325" i="6"/>
  <c r="I4324" i="6"/>
  <c r="I4323" i="6"/>
  <c r="I4322" i="6"/>
  <c r="I4321" i="6"/>
  <c r="I4320" i="6"/>
  <c r="I4319" i="6"/>
  <c r="I4318" i="6"/>
  <c r="I4317" i="6"/>
  <c r="I4316" i="6"/>
  <c r="I4315" i="6"/>
  <c r="I4314" i="6"/>
  <c r="I4313" i="6"/>
  <c r="I4312" i="6"/>
  <c r="I4311" i="6"/>
  <c r="I4310" i="6"/>
  <c r="I4309" i="6"/>
  <c r="I4308" i="6"/>
  <c r="I4307" i="6"/>
  <c r="I4306" i="6"/>
  <c r="I4305" i="6"/>
  <c r="I4304" i="6"/>
  <c r="I4303" i="6"/>
  <c r="I4302" i="6"/>
  <c r="I4301" i="6"/>
  <c r="I4300" i="6"/>
  <c r="I4299" i="6"/>
  <c r="I4298" i="6"/>
  <c r="I4297" i="6"/>
  <c r="I4296" i="6"/>
  <c r="I4295" i="6"/>
  <c r="I4294" i="6"/>
  <c r="I4293" i="6"/>
  <c r="I4292" i="6"/>
  <c r="I4291" i="6"/>
  <c r="I4290" i="6"/>
  <c r="I4289" i="6"/>
  <c r="I4288" i="6"/>
  <c r="I4287" i="6"/>
  <c r="I4286" i="6"/>
  <c r="I4285" i="6"/>
  <c r="I4284" i="6"/>
  <c r="I4283" i="6"/>
  <c r="I4282" i="6"/>
  <c r="I4281" i="6"/>
  <c r="I4280" i="6"/>
  <c r="I4279" i="6"/>
  <c r="I4278" i="6"/>
  <c r="I4277" i="6"/>
  <c r="I4276" i="6"/>
  <c r="I4275" i="6"/>
  <c r="I4274" i="6"/>
  <c r="I4273" i="6"/>
  <c r="I4272" i="6"/>
  <c r="I4271" i="6"/>
  <c r="I4270" i="6"/>
  <c r="I4269" i="6"/>
  <c r="I4268" i="6"/>
  <c r="I4267" i="6"/>
  <c r="I4266" i="6"/>
  <c r="I4265" i="6"/>
  <c r="I4264" i="6"/>
  <c r="I4263" i="6"/>
  <c r="I4262" i="6"/>
  <c r="I4261" i="6"/>
  <c r="I4260" i="6"/>
  <c r="I4259" i="6"/>
  <c r="I4258" i="6"/>
  <c r="I4257" i="6"/>
  <c r="I4256" i="6"/>
  <c r="I4255" i="6"/>
  <c r="I4254" i="6"/>
  <c r="I4253" i="6"/>
  <c r="I4252" i="6"/>
  <c r="I4251" i="6"/>
  <c r="I4250" i="6"/>
  <c r="I4249" i="6"/>
  <c r="I4248" i="6"/>
  <c r="I4247" i="6"/>
  <c r="I4246" i="6"/>
  <c r="I4245" i="6"/>
  <c r="I4244" i="6"/>
  <c r="I4243" i="6"/>
  <c r="I4242" i="6"/>
  <c r="I4241" i="6"/>
  <c r="I4240" i="6"/>
  <c r="I4239" i="6"/>
  <c r="I4238" i="6"/>
  <c r="I4237" i="6"/>
  <c r="I4236" i="6"/>
  <c r="I4235" i="6"/>
  <c r="I4234" i="6"/>
  <c r="I4233" i="6"/>
  <c r="I4232" i="6"/>
  <c r="I4231" i="6"/>
  <c r="I4230" i="6"/>
  <c r="I4229" i="6"/>
  <c r="I4228" i="6"/>
  <c r="I4227" i="6"/>
  <c r="I4226" i="6"/>
  <c r="I4225" i="6"/>
  <c r="I4224" i="6"/>
  <c r="I4223" i="6"/>
  <c r="I4222" i="6"/>
  <c r="I4221" i="6"/>
  <c r="I4220" i="6"/>
  <c r="I4219" i="6"/>
  <c r="I4218" i="6"/>
  <c r="I4217" i="6"/>
  <c r="I4216" i="6"/>
  <c r="I4215" i="6"/>
  <c r="I4214" i="6"/>
  <c r="I4213" i="6"/>
  <c r="I4212" i="6"/>
  <c r="I4211" i="6"/>
  <c r="I4210" i="6"/>
  <c r="I4209" i="6"/>
  <c r="I4208" i="6"/>
  <c r="I4207" i="6"/>
  <c r="I4206" i="6"/>
  <c r="I4205" i="6"/>
  <c r="I4204" i="6"/>
  <c r="I4203" i="6"/>
  <c r="I4202" i="6"/>
  <c r="I4201" i="6"/>
  <c r="I4200" i="6"/>
  <c r="I4199" i="6"/>
  <c r="I4198" i="6"/>
  <c r="I4197" i="6"/>
  <c r="I4196" i="6"/>
  <c r="I4195" i="6"/>
  <c r="I4194" i="6"/>
  <c r="I4193" i="6"/>
  <c r="I4192" i="6"/>
  <c r="I4191" i="6"/>
  <c r="I4190" i="6"/>
  <c r="I4189" i="6"/>
  <c r="I4188" i="6"/>
  <c r="I4187" i="6"/>
  <c r="I4186" i="6"/>
  <c r="I4185" i="6"/>
  <c r="I4184" i="6"/>
  <c r="I4183" i="6"/>
  <c r="I4182" i="6"/>
  <c r="I4181" i="6"/>
  <c r="I4180" i="6"/>
  <c r="I4179" i="6"/>
  <c r="I4168" i="6"/>
  <c r="I4169" i="6"/>
  <c r="I4170" i="6"/>
  <c r="I4171" i="6"/>
  <c r="I4172" i="6"/>
  <c r="I4173" i="6"/>
  <c r="I4174" i="6"/>
  <c r="I4175" i="6"/>
  <c r="I4176" i="6"/>
  <c r="I4177" i="6"/>
  <c r="I4178" i="6"/>
  <c r="I6654" i="6"/>
  <c r="I6653" i="6"/>
  <c r="I6652" i="6"/>
  <c r="I6651" i="6"/>
  <c r="I6650" i="6"/>
  <c r="I6649" i="6"/>
  <c r="I6648" i="6"/>
  <c r="I6647" i="6"/>
  <c r="I6646" i="6"/>
  <c r="I6645" i="6"/>
  <c r="I6644" i="6"/>
  <c r="I6643" i="6"/>
  <c r="I6642" i="6"/>
  <c r="I6641" i="6"/>
  <c r="I6640" i="6"/>
  <c r="I6639" i="6"/>
  <c r="I6638" i="6"/>
  <c r="I6637" i="6"/>
  <c r="I6636" i="6"/>
  <c r="I6635" i="6"/>
  <c r="I6634" i="6"/>
  <c r="I6633" i="6"/>
  <c r="I6632" i="6"/>
  <c r="I6631" i="6"/>
  <c r="I6630" i="6"/>
  <c r="I6629" i="6"/>
  <c r="I6628" i="6"/>
  <c r="I6627" i="6"/>
  <c r="I6626" i="6"/>
  <c r="I6625" i="6"/>
  <c r="I6624" i="6"/>
  <c r="I6623" i="6"/>
  <c r="I6622" i="6"/>
  <c r="I6621" i="6"/>
  <c r="I6620" i="6"/>
  <c r="I6619" i="6"/>
  <c r="I6618" i="6"/>
  <c r="I6617" i="6"/>
  <c r="I6616" i="6"/>
  <c r="I6615" i="6"/>
  <c r="I6614" i="6"/>
  <c r="I6613" i="6"/>
  <c r="I6612" i="6"/>
  <c r="I6611" i="6"/>
  <c r="I6610" i="6"/>
  <c r="I6609" i="6"/>
  <c r="I6608" i="6"/>
  <c r="I6607" i="6"/>
  <c r="I6606" i="6"/>
  <c r="I6605" i="6"/>
  <c r="I6604" i="6"/>
  <c r="I6603" i="6"/>
  <c r="I6602" i="6"/>
  <c r="I6601" i="6"/>
  <c r="I6600" i="6"/>
  <c r="I6599" i="6"/>
  <c r="I6598" i="6"/>
  <c r="I6597" i="6"/>
  <c r="I6596" i="6"/>
  <c r="I6595" i="6"/>
  <c r="I6594" i="6"/>
  <c r="I6593" i="6"/>
  <c r="I6592" i="6"/>
  <c r="I6591" i="6"/>
  <c r="I6590" i="6"/>
  <c r="I6589" i="6"/>
  <c r="I6588" i="6"/>
  <c r="I6587" i="6"/>
  <c r="I6586" i="6"/>
  <c r="I6585" i="6"/>
  <c r="I6584" i="6"/>
  <c r="I6583" i="6"/>
  <c r="I6582" i="6"/>
  <c r="I6581" i="6"/>
  <c r="I6580" i="6"/>
  <c r="I6579" i="6"/>
  <c r="I6578" i="6"/>
  <c r="I6577" i="6"/>
  <c r="I6576" i="6"/>
  <c r="I6575" i="6"/>
  <c r="I6574" i="6"/>
  <c r="I6573" i="6"/>
  <c r="I6572" i="6"/>
  <c r="I6571" i="6"/>
  <c r="I6570" i="6"/>
  <c r="I6569" i="6"/>
  <c r="I6568" i="6"/>
  <c r="I6567" i="6"/>
  <c r="I6566" i="6"/>
  <c r="I6565" i="6"/>
  <c r="I6564" i="6"/>
  <c r="I6563" i="6"/>
  <c r="I6562" i="6"/>
  <c r="I6561" i="6"/>
  <c r="I6560" i="6"/>
  <c r="I6559" i="6"/>
  <c r="I6558" i="6"/>
  <c r="I6557" i="6"/>
  <c r="I6556" i="6"/>
  <c r="I6555" i="6"/>
  <c r="I6554" i="6"/>
  <c r="I6553" i="6"/>
  <c r="I6552" i="6"/>
  <c r="I6551" i="6"/>
  <c r="I6550" i="6"/>
  <c r="I6549" i="6"/>
  <c r="I6548" i="6"/>
  <c r="I6547" i="6"/>
  <c r="I6546" i="6"/>
  <c r="I6545" i="6"/>
  <c r="I6544" i="6"/>
  <c r="I6543" i="6"/>
  <c r="I6542" i="6"/>
  <c r="I6541" i="6"/>
  <c r="I6540" i="6"/>
  <c r="I6539" i="6"/>
  <c r="I6538" i="6"/>
  <c r="I6537" i="6"/>
  <c r="I6536" i="6"/>
  <c r="I6535" i="6"/>
  <c r="I6534" i="6"/>
  <c r="I6533" i="6"/>
  <c r="I6532" i="6"/>
  <c r="I6531" i="6"/>
  <c r="I6530" i="6"/>
  <c r="I6529" i="6"/>
  <c r="I6528" i="6"/>
  <c r="I6527" i="6"/>
  <c r="I6526" i="6"/>
  <c r="I6525" i="6"/>
  <c r="I6524" i="6"/>
  <c r="I6523" i="6"/>
  <c r="I6522" i="6"/>
  <c r="I6521" i="6"/>
  <c r="I6520" i="6"/>
  <c r="I6519" i="6"/>
  <c r="I6518" i="6"/>
  <c r="I6517" i="6"/>
  <c r="I6516" i="6"/>
  <c r="I6515" i="6"/>
  <c r="I6514" i="6"/>
  <c r="I6513" i="6"/>
  <c r="I6512" i="6"/>
  <c r="I6511" i="6"/>
  <c r="I6510" i="6"/>
  <c r="I6509" i="6"/>
  <c r="I6508" i="6"/>
  <c r="I6507" i="6"/>
  <c r="I6506" i="6"/>
  <c r="I6505" i="6"/>
  <c r="I6504" i="6"/>
  <c r="I6503" i="6"/>
  <c r="I6502" i="6"/>
  <c r="I6501" i="6"/>
  <c r="I6500" i="6"/>
  <c r="I6499" i="6"/>
  <c r="I6498" i="6"/>
  <c r="I6497" i="6"/>
  <c r="I6496" i="6"/>
  <c r="I4922" i="6"/>
  <c r="I4919" i="6"/>
  <c r="I4928" i="6"/>
  <c r="I4929" i="6"/>
  <c r="I4930" i="6"/>
  <c r="I4916" i="6"/>
  <c r="I4924" i="6"/>
  <c r="I4923" i="6"/>
  <c r="I9788" i="6"/>
  <c r="I9729" i="6"/>
  <c r="I9748" i="6"/>
  <c r="I9749" i="6"/>
  <c r="I9747" i="6"/>
  <c r="I466" i="6" l="1"/>
  <c r="I4909" i="6"/>
  <c r="I4910" i="6"/>
  <c r="I4911" i="6"/>
  <c r="I9744" i="6"/>
  <c r="I10365" i="6"/>
  <c r="I10364" i="6" l="1"/>
  <c r="I9770" i="6"/>
  <c r="I674" i="6" l="1"/>
  <c r="I675" i="6"/>
  <c r="I676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47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8" i="6"/>
  <c r="I649" i="6"/>
  <c r="I650" i="6"/>
  <c r="I651" i="6"/>
  <c r="I652" i="6"/>
  <c r="I653" i="6"/>
  <c r="I654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19" i="6"/>
  <c r="I520" i="6"/>
  <c r="I521" i="6"/>
  <c r="I522" i="6"/>
  <c r="I523" i="6"/>
  <c r="I524" i="6"/>
  <c r="I525" i="6"/>
  <c r="I526" i="6"/>
  <c r="I527" i="6"/>
  <c r="I528" i="6"/>
  <c r="I34" i="6"/>
  <c r="I33" i="6"/>
  <c r="I32" i="6"/>
  <c r="I31" i="6"/>
  <c r="I30" i="6"/>
  <c r="I9692" i="6"/>
  <c r="I9693" i="6"/>
  <c r="I9694" i="6"/>
  <c r="I9695" i="6"/>
  <c r="I9696" i="6"/>
  <c r="I9697" i="6"/>
  <c r="I9698" i="6"/>
  <c r="I9699" i="6"/>
  <c r="I9700" i="6"/>
  <c r="I9701" i="6"/>
  <c r="I9702" i="6"/>
  <c r="I9703" i="6"/>
  <c r="I9687" i="6"/>
  <c r="I9688" i="6"/>
  <c r="I9689" i="6"/>
  <c r="I9690" i="6"/>
  <c r="I9691" i="6"/>
  <c r="I9686" i="6"/>
  <c r="I9639" i="6"/>
  <c r="I9640" i="6"/>
  <c r="I9641" i="6"/>
  <c r="I9642" i="6"/>
  <c r="I9643" i="6"/>
  <c r="I9644" i="6"/>
  <c r="I9645" i="6"/>
  <c r="I9646" i="6"/>
  <c r="I9647" i="6"/>
  <c r="I9648" i="6"/>
  <c r="I9649" i="6"/>
  <c r="I9650" i="6"/>
  <c r="I9651" i="6"/>
  <c r="I9652" i="6"/>
  <c r="I9653" i="6"/>
  <c r="I9654" i="6"/>
  <c r="I9655" i="6"/>
  <c r="I9656" i="6"/>
  <c r="I9657" i="6"/>
  <c r="I9658" i="6"/>
  <c r="I9659" i="6"/>
  <c r="I9660" i="6"/>
  <c r="I9661" i="6"/>
  <c r="I9662" i="6"/>
  <c r="I9663" i="6"/>
  <c r="I9664" i="6"/>
  <c r="I9665" i="6"/>
  <c r="I9666" i="6"/>
  <c r="I9667" i="6"/>
  <c r="I9668" i="6"/>
  <c r="I9669" i="6"/>
  <c r="I9670" i="6"/>
  <c r="I9671" i="6"/>
  <c r="I9672" i="6"/>
  <c r="I9673" i="6"/>
  <c r="I9674" i="6"/>
  <c r="I9675" i="6"/>
  <c r="I9676" i="6"/>
  <c r="I9677" i="6"/>
  <c r="I9678" i="6"/>
  <c r="I9679" i="6"/>
  <c r="I9680" i="6"/>
  <c r="I9681" i="6"/>
  <c r="I9682" i="6"/>
  <c r="I9683" i="6"/>
  <c r="I9684" i="6"/>
  <c r="I9685" i="6"/>
  <c r="I9587" i="6"/>
  <c r="I9588" i="6"/>
  <c r="I9589" i="6"/>
  <c r="I9590" i="6"/>
  <c r="I9591" i="6"/>
  <c r="I9592" i="6"/>
  <c r="I9593" i="6"/>
  <c r="I9594" i="6"/>
  <c r="I9595" i="6"/>
  <c r="I9596" i="6"/>
  <c r="I9597" i="6"/>
  <c r="I9598" i="6"/>
  <c r="I9599" i="6"/>
  <c r="I9600" i="6"/>
  <c r="I9601" i="6"/>
  <c r="I9602" i="6"/>
  <c r="I9603" i="6"/>
  <c r="I9604" i="6"/>
  <c r="I9605" i="6"/>
  <c r="I9606" i="6"/>
  <c r="I9607" i="6"/>
  <c r="I9608" i="6"/>
  <c r="I9609" i="6"/>
  <c r="I9610" i="6"/>
  <c r="I9611" i="6"/>
  <c r="I9612" i="6"/>
  <c r="I9613" i="6"/>
  <c r="I9614" i="6"/>
  <c r="I9615" i="6"/>
  <c r="I9616" i="6"/>
  <c r="I9617" i="6"/>
  <c r="I9618" i="6"/>
  <c r="I9619" i="6"/>
  <c r="I9620" i="6"/>
  <c r="I9621" i="6"/>
  <c r="I9622" i="6"/>
  <c r="I9623" i="6"/>
  <c r="I9624" i="6"/>
  <c r="I9625" i="6"/>
  <c r="I9626" i="6"/>
  <c r="I9627" i="6"/>
  <c r="I9628" i="6"/>
  <c r="I9629" i="6"/>
  <c r="I9630" i="6"/>
  <c r="I9631" i="6"/>
  <c r="I9632" i="6"/>
  <c r="I9633" i="6"/>
  <c r="I9634" i="6"/>
  <c r="I9635" i="6"/>
  <c r="I9636" i="6"/>
  <c r="I9637" i="6"/>
  <c r="I9638" i="6"/>
  <c r="I9533" i="6"/>
  <c r="I9534" i="6"/>
  <c r="I9535" i="6"/>
  <c r="I9536" i="6"/>
  <c r="I9537" i="6"/>
  <c r="I9538" i="6"/>
  <c r="I9539" i="6"/>
  <c r="I9540" i="6"/>
  <c r="I9541" i="6"/>
  <c r="I9542" i="6"/>
  <c r="I9543" i="6"/>
  <c r="I9544" i="6"/>
  <c r="I9545" i="6"/>
  <c r="I9546" i="6"/>
  <c r="I9547" i="6"/>
  <c r="I9548" i="6"/>
  <c r="I9549" i="6"/>
  <c r="I9550" i="6"/>
  <c r="I9551" i="6"/>
  <c r="I9552" i="6"/>
  <c r="I9553" i="6"/>
  <c r="I9554" i="6"/>
  <c r="I9555" i="6"/>
  <c r="I9556" i="6"/>
  <c r="I9557" i="6"/>
  <c r="I9558" i="6"/>
  <c r="I9559" i="6"/>
  <c r="I9560" i="6"/>
  <c r="I9561" i="6"/>
  <c r="I9562" i="6"/>
  <c r="I9563" i="6"/>
  <c r="I9564" i="6"/>
  <c r="I9565" i="6"/>
  <c r="I9566" i="6"/>
  <c r="I9567" i="6"/>
  <c r="I9568" i="6"/>
  <c r="I9569" i="6"/>
  <c r="I9570" i="6"/>
  <c r="I9571" i="6"/>
  <c r="I9572" i="6"/>
  <c r="I9573" i="6"/>
  <c r="I9574" i="6"/>
  <c r="I9575" i="6"/>
  <c r="I9576" i="6"/>
  <c r="I9577" i="6"/>
  <c r="I9578" i="6"/>
  <c r="I9579" i="6"/>
  <c r="I9580" i="6"/>
  <c r="I9581" i="6"/>
  <c r="I9582" i="6"/>
  <c r="I9583" i="6"/>
  <c r="I9584" i="6"/>
  <c r="I9585" i="6"/>
  <c r="I9586" i="6"/>
  <c r="I9479" i="6"/>
  <c r="I9480" i="6"/>
  <c r="I9481" i="6"/>
  <c r="I9482" i="6"/>
  <c r="I9483" i="6"/>
  <c r="I9484" i="6"/>
  <c r="I9485" i="6"/>
  <c r="I9486" i="6"/>
  <c r="I9487" i="6"/>
  <c r="I9488" i="6"/>
  <c r="I9489" i="6"/>
  <c r="I9490" i="6"/>
  <c r="I9491" i="6"/>
  <c r="I9492" i="6"/>
  <c r="I9493" i="6"/>
  <c r="I9494" i="6"/>
  <c r="I9495" i="6"/>
  <c r="I9496" i="6"/>
  <c r="I9497" i="6"/>
  <c r="I9498" i="6"/>
  <c r="I9499" i="6"/>
  <c r="I9500" i="6"/>
  <c r="I9501" i="6"/>
  <c r="I9502" i="6"/>
  <c r="I9503" i="6"/>
  <c r="I9504" i="6"/>
  <c r="I9505" i="6"/>
  <c r="I9506" i="6"/>
  <c r="I9507" i="6"/>
  <c r="I9508" i="6"/>
  <c r="I9509" i="6"/>
  <c r="I9510" i="6"/>
  <c r="I9511" i="6"/>
  <c r="I9512" i="6"/>
  <c r="I9513" i="6"/>
  <c r="I9514" i="6"/>
  <c r="I9515" i="6"/>
  <c r="I9516" i="6"/>
  <c r="I9517" i="6"/>
  <c r="I9518" i="6"/>
  <c r="I9519" i="6"/>
  <c r="I9520" i="6"/>
  <c r="I9521" i="6"/>
  <c r="I9522" i="6"/>
  <c r="I9523" i="6"/>
  <c r="I9524" i="6"/>
  <c r="I9525" i="6"/>
  <c r="I9526" i="6"/>
  <c r="I9527" i="6"/>
  <c r="I9528" i="6"/>
  <c r="I9529" i="6"/>
  <c r="I9530" i="6"/>
  <c r="I9531" i="6"/>
  <c r="I9532" i="6"/>
  <c r="I9425" i="6"/>
  <c r="I9426" i="6"/>
  <c r="I9427" i="6"/>
  <c r="I9428" i="6"/>
  <c r="I9429" i="6"/>
  <c r="I9430" i="6"/>
  <c r="I9431" i="6"/>
  <c r="I9432" i="6"/>
  <c r="I9433" i="6"/>
  <c r="I9434" i="6"/>
  <c r="I9435" i="6"/>
  <c r="I9436" i="6"/>
  <c r="I9437" i="6"/>
  <c r="I9438" i="6"/>
  <c r="I9439" i="6"/>
  <c r="I9440" i="6"/>
  <c r="I9441" i="6"/>
  <c r="I9442" i="6"/>
  <c r="I9443" i="6"/>
  <c r="I9444" i="6"/>
  <c r="I9445" i="6"/>
  <c r="I9446" i="6"/>
  <c r="I9447" i="6"/>
  <c r="I9448" i="6"/>
  <c r="I9449" i="6"/>
  <c r="I9450" i="6"/>
  <c r="I9451" i="6"/>
  <c r="I9452" i="6"/>
  <c r="I9453" i="6"/>
  <c r="I9454" i="6"/>
  <c r="I9455" i="6"/>
  <c r="I9456" i="6"/>
  <c r="I9457" i="6"/>
  <c r="I9458" i="6"/>
  <c r="I9459" i="6"/>
  <c r="I9460" i="6"/>
  <c r="I9461" i="6"/>
  <c r="I9462" i="6"/>
  <c r="I9463" i="6"/>
  <c r="I9464" i="6"/>
  <c r="I9465" i="6"/>
  <c r="I9466" i="6"/>
  <c r="I9467" i="6"/>
  <c r="I9468" i="6"/>
  <c r="I9469" i="6"/>
  <c r="I9470" i="6"/>
  <c r="I9471" i="6"/>
  <c r="I9472" i="6"/>
  <c r="I9473" i="6"/>
  <c r="I9474" i="6"/>
  <c r="I9475" i="6"/>
  <c r="I9476" i="6"/>
  <c r="I9477" i="6"/>
  <c r="I9478" i="6"/>
  <c r="I9371" i="6"/>
  <c r="I9372" i="6"/>
  <c r="I9373" i="6"/>
  <c r="I9374" i="6"/>
  <c r="I9375" i="6"/>
  <c r="I9376" i="6"/>
  <c r="I9377" i="6"/>
  <c r="I9378" i="6"/>
  <c r="I9379" i="6"/>
  <c r="I9380" i="6"/>
  <c r="I9381" i="6"/>
  <c r="I9382" i="6"/>
  <c r="I9383" i="6"/>
  <c r="I9384" i="6"/>
  <c r="I9385" i="6"/>
  <c r="I9386" i="6"/>
  <c r="I9387" i="6"/>
  <c r="I9388" i="6"/>
  <c r="I9389" i="6"/>
  <c r="I9390" i="6"/>
  <c r="I9391" i="6"/>
  <c r="I9392" i="6"/>
  <c r="I9393" i="6"/>
  <c r="I9394" i="6"/>
  <c r="I9395" i="6"/>
  <c r="I9396" i="6"/>
  <c r="I9397" i="6"/>
  <c r="I9398" i="6"/>
  <c r="I9399" i="6"/>
  <c r="I9400" i="6"/>
  <c r="I9401" i="6"/>
  <c r="I9402" i="6"/>
  <c r="I9403" i="6"/>
  <c r="I9404" i="6"/>
  <c r="I9405" i="6"/>
  <c r="I9406" i="6"/>
  <c r="I9407" i="6"/>
  <c r="I9408" i="6"/>
  <c r="I9409" i="6"/>
  <c r="I9410" i="6"/>
  <c r="I9411" i="6"/>
  <c r="I9412" i="6"/>
  <c r="I9413" i="6"/>
  <c r="I9414" i="6"/>
  <c r="I9415" i="6"/>
  <c r="I9416" i="6"/>
  <c r="I9417" i="6"/>
  <c r="I9418" i="6"/>
  <c r="I9419" i="6"/>
  <c r="I9420" i="6"/>
  <c r="I9421" i="6"/>
  <c r="I9422" i="6"/>
  <c r="I9423" i="6"/>
  <c r="I9424" i="6"/>
  <c r="I9328" i="6"/>
  <c r="I9329" i="6"/>
  <c r="I9330" i="6"/>
  <c r="I9331" i="6"/>
  <c r="I9332" i="6"/>
  <c r="I9333" i="6"/>
  <c r="I9334" i="6"/>
  <c r="I9335" i="6"/>
  <c r="I9336" i="6"/>
  <c r="I9337" i="6"/>
  <c r="I9338" i="6"/>
  <c r="I9339" i="6"/>
  <c r="I9340" i="6"/>
  <c r="I9341" i="6"/>
  <c r="I9342" i="6"/>
  <c r="I9343" i="6"/>
  <c r="I9344" i="6"/>
  <c r="I9345" i="6"/>
  <c r="I9346" i="6"/>
  <c r="I9347" i="6"/>
  <c r="I9348" i="6"/>
  <c r="I9349" i="6"/>
  <c r="I9350" i="6"/>
  <c r="I9351" i="6"/>
  <c r="I9352" i="6"/>
  <c r="I9353" i="6"/>
  <c r="I9354" i="6"/>
  <c r="I9355" i="6"/>
  <c r="I9356" i="6"/>
  <c r="I9357" i="6"/>
  <c r="I9358" i="6"/>
  <c r="I9359" i="6"/>
  <c r="I9360" i="6"/>
  <c r="I9361" i="6"/>
  <c r="I9362" i="6"/>
  <c r="I9363" i="6"/>
  <c r="I9364" i="6"/>
  <c r="I9365" i="6"/>
  <c r="I9366" i="6"/>
  <c r="I9367" i="6"/>
  <c r="I9368" i="6"/>
  <c r="I9369" i="6"/>
  <c r="I9370" i="6"/>
  <c r="I9318" i="6"/>
  <c r="I9319" i="6"/>
  <c r="I9320" i="6"/>
  <c r="I9321" i="6"/>
  <c r="I9322" i="6"/>
  <c r="I9323" i="6"/>
  <c r="I9324" i="6"/>
  <c r="I9325" i="6"/>
  <c r="I9326" i="6"/>
  <c r="I9327" i="6"/>
  <c r="I9313" i="6"/>
  <c r="I9314" i="6"/>
  <c r="I9315" i="6"/>
  <c r="I9316" i="6"/>
  <c r="I9317" i="6"/>
  <c r="I9312" i="6"/>
  <c r="I9265" i="6"/>
  <c r="I9266" i="6"/>
  <c r="I9267" i="6"/>
  <c r="I9268" i="6"/>
  <c r="I9269" i="6"/>
  <c r="I9270" i="6"/>
  <c r="I9271" i="6"/>
  <c r="I9272" i="6"/>
  <c r="I9273" i="6"/>
  <c r="I9274" i="6"/>
  <c r="I9275" i="6"/>
  <c r="I9276" i="6"/>
  <c r="I9277" i="6"/>
  <c r="I9278" i="6"/>
  <c r="I9279" i="6"/>
  <c r="I9280" i="6"/>
  <c r="I9281" i="6"/>
  <c r="I9282" i="6"/>
  <c r="I9283" i="6"/>
  <c r="I9284" i="6"/>
  <c r="I9285" i="6"/>
  <c r="I9286" i="6"/>
  <c r="I9287" i="6"/>
  <c r="I9288" i="6"/>
  <c r="I9289" i="6"/>
  <c r="I9290" i="6"/>
  <c r="I9291" i="6"/>
  <c r="I9292" i="6"/>
  <c r="I9293" i="6"/>
  <c r="I9294" i="6"/>
  <c r="I9295" i="6"/>
  <c r="I9296" i="6"/>
  <c r="I9297" i="6"/>
  <c r="I9298" i="6"/>
  <c r="I9299" i="6"/>
  <c r="I9300" i="6"/>
  <c r="I9301" i="6"/>
  <c r="I9302" i="6"/>
  <c r="I9303" i="6"/>
  <c r="I9304" i="6"/>
  <c r="I9305" i="6"/>
  <c r="I9306" i="6"/>
  <c r="I9307" i="6"/>
  <c r="I9308" i="6"/>
  <c r="I9309" i="6"/>
  <c r="I9310" i="6"/>
  <c r="I9311" i="6"/>
  <c r="I9211" i="6"/>
  <c r="I9212" i="6"/>
  <c r="I9213" i="6"/>
  <c r="I9215" i="6"/>
  <c r="I9216" i="6"/>
  <c r="I9217" i="6"/>
  <c r="I9218" i="6"/>
  <c r="I9219" i="6"/>
  <c r="I9220" i="6"/>
  <c r="I9221" i="6"/>
  <c r="I9222" i="6"/>
  <c r="I9223" i="6"/>
  <c r="I9224" i="6"/>
  <c r="I9225" i="6"/>
  <c r="I9226" i="6"/>
  <c r="I9227" i="6"/>
  <c r="I9228" i="6"/>
  <c r="I9229" i="6"/>
  <c r="I9230" i="6"/>
  <c r="I9231" i="6"/>
  <c r="I9233" i="6"/>
  <c r="I9234" i="6"/>
  <c r="I9235" i="6"/>
  <c r="I9236" i="6"/>
  <c r="I9237" i="6"/>
  <c r="I9238" i="6"/>
  <c r="I9239" i="6"/>
  <c r="I9240" i="6"/>
  <c r="I9241" i="6"/>
  <c r="I9242" i="6"/>
  <c r="I9243" i="6"/>
  <c r="I9244" i="6"/>
  <c r="I9245" i="6"/>
  <c r="I9246" i="6"/>
  <c r="I9247" i="6"/>
  <c r="I9248" i="6"/>
  <c r="I9249" i="6"/>
  <c r="I9250" i="6"/>
  <c r="I9251" i="6"/>
  <c r="I9252" i="6"/>
  <c r="I9253" i="6"/>
  <c r="I9254" i="6"/>
  <c r="I9255" i="6"/>
  <c r="I9256" i="6"/>
  <c r="I9257" i="6"/>
  <c r="I9258" i="6"/>
  <c r="I9259" i="6"/>
  <c r="I9260" i="6"/>
  <c r="I9261" i="6"/>
  <c r="I9262" i="6"/>
  <c r="I9263" i="6"/>
  <c r="I9264" i="6"/>
  <c r="I9157" i="6"/>
  <c r="I9158" i="6"/>
  <c r="I9159" i="6"/>
  <c r="I9160" i="6"/>
  <c r="I9161" i="6"/>
  <c r="I9162" i="6"/>
  <c r="I9163" i="6"/>
  <c r="I9164" i="6"/>
  <c r="I9165" i="6"/>
  <c r="I9166" i="6"/>
  <c r="I9167" i="6"/>
  <c r="I9168" i="6"/>
  <c r="I9169" i="6"/>
  <c r="I9170" i="6"/>
  <c r="I9171" i="6"/>
  <c r="I9172" i="6"/>
  <c r="I9173" i="6"/>
  <c r="I9174" i="6"/>
  <c r="I9175" i="6"/>
  <c r="I9176" i="6"/>
  <c r="I9177" i="6"/>
  <c r="I9178" i="6"/>
  <c r="I9179" i="6"/>
  <c r="I9180" i="6"/>
  <c r="I9181" i="6"/>
  <c r="I9182" i="6"/>
  <c r="I9183" i="6"/>
  <c r="I9184" i="6"/>
  <c r="I9185" i="6"/>
  <c r="I9186" i="6"/>
  <c r="I9187" i="6"/>
  <c r="I9188" i="6"/>
  <c r="I9189" i="6"/>
  <c r="I9190" i="6"/>
  <c r="I9191" i="6"/>
  <c r="I9192" i="6"/>
  <c r="I9193" i="6"/>
  <c r="I9194" i="6"/>
  <c r="I9195" i="6"/>
  <c r="I9196" i="6"/>
  <c r="I9197" i="6"/>
  <c r="I9198" i="6"/>
  <c r="I9199" i="6"/>
  <c r="I9200" i="6"/>
  <c r="I9201" i="6"/>
  <c r="I9202" i="6"/>
  <c r="I9203" i="6"/>
  <c r="I9204" i="6"/>
  <c r="I9205" i="6"/>
  <c r="I9206" i="6"/>
  <c r="I9207" i="6"/>
  <c r="I9208" i="6"/>
  <c r="I9209" i="6"/>
  <c r="I9210" i="6"/>
  <c r="I9103" i="6"/>
  <c r="I9104" i="6"/>
  <c r="I9105" i="6"/>
  <c r="I9106" i="6"/>
  <c r="I9107" i="6"/>
  <c r="I9108" i="6"/>
  <c r="I9109" i="6"/>
  <c r="I9110" i="6"/>
  <c r="I9111" i="6"/>
  <c r="I9112" i="6"/>
  <c r="I9113" i="6"/>
  <c r="I9114" i="6"/>
  <c r="I9115" i="6"/>
  <c r="I9116" i="6"/>
  <c r="I9117" i="6"/>
  <c r="I9118" i="6"/>
  <c r="I9119" i="6"/>
  <c r="I9120" i="6"/>
  <c r="I9121" i="6"/>
  <c r="I9122" i="6"/>
  <c r="I9123" i="6"/>
  <c r="I9124" i="6"/>
  <c r="I9125" i="6"/>
  <c r="I9126" i="6"/>
  <c r="I9127" i="6"/>
  <c r="I9128" i="6"/>
  <c r="I9129" i="6"/>
  <c r="I9130" i="6"/>
  <c r="I9131" i="6"/>
  <c r="I9132" i="6"/>
  <c r="I9133" i="6"/>
  <c r="I9134" i="6"/>
  <c r="I9135" i="6"/>
  <c r="I9136" i="6"/>
  <c r="I9137" i="6"/>
  <c r="I9138" i="6"/>
  <c r="I9139" i="6"/>
  <c r="I9140" i="6"/>
  <c r="I9141" i="6"/>
  <c r="I9142" i="6"/>
  <c r="I9143" i="6"/>
  <c r="I9144" i="6"/>
  <c r="I9145" i="6"/>
  <c r="I9146" i="6"/>
  <c r="I9147" i="6"/>
  <c r="I9148" i="6"/>
  <c r="I9149" i="6"/>
  <c r="I9150" i="6"/>
  <c r="I9151" i="6"/>
  <c r="I9152" i="6"/>
  <c r="I9153" i="6"/>
  <c r="I9154" i="6"/>
  <c r="I9155" i="6"/>
  <c r="I9156" i="6"/>
  <c r="I9049" i="6"/>
  <c r="I9050" i="6"/>
  <c r="I9051" i="6"/>
  <c r="I9052" i="6"/>
  <c r="I9053" i="6"/>
  <c r="I9054" i="6"/>
  <c r="I9055" i="6"/>
  <c r="I9056" i="6"/>
  <c r="I9057" i="6"/>
  <c r="I9058" i="6"/>
  <c r="I9059" i="6"/>
  <c r="I9060" i="6"/>
  <c r="I9061" i="6"/>
  <c r="I9062" i="6"/>
  <c r="I9063" i="6"/>
  <c r="I9064" i="6"/>
  <c r="I9065" i="6"/>
  <c r="I9066" i="6"/>
  <c r="I9067" i="6"/>
  <c r="I9068" i="6"/>
  <c r="I9069" i="6"/>
  <c r="I9070" i="6"/>
  <c r="I9071" i="6"/>
  <c r="I9072" i="6"/>
  <c r="I9073" i="6"/>
  <c r="I9074" i="6"/>
  <c r="I9075" i="6"/>
  <c r="I9076" i="6"/>
  <c r="I9077" i="6"/>
  <c r="I9078" i="6"/>
  <c r="I9079" i="6"/>
  <c r="I9080" i="6"/>
  <c r="I9081" i="6"/>
  <c r="I9082" i="6"/>
  <c r="I9083" i="6"/>
  <c r="I9084" i="6"/>
  <c r="I9085" i="6"/>
  <c r="I9086" i="6"/>
  <c r="I9087" i="6"/>
  <c r="I9088" i="6"/>
  <c r="I9089" i="6"/>
  <c r="I9090" i="6"/>
  <c r="I9091" i="6"/>
  <c r="I9092" i="6"/>
  <c r="I9093" i="6"/>
  <c r="I9094" i="6"/>
  <c r="I9095" i="6"/>
  <c r="I9096" i="6"/>
  <c r="I9097" i="6"/>
  <c r="I9098" i="6"/>
  <c r="I9099" i="6"/>
  <c r="I9100" i="6"/>
  <c r="I9101" i="6"/>
  <c r="I9102" i="6"/>
  <c r="I9048" i="6"/>
  <c r="I9044" i="6"/>
  <c r="I9045" i="6"/>
  <c r="I9046" i="6"/>
  <c r="I9047" i="6"/>
  <c r="I9043" i="6"/>
  <c r="I8996" i="6"/>
  <c r="I8997" i="6"/>
  <c r="I8998" i="6"/>
  <c r="I8999" i="6"/>
  <c r="I9000" i="6"/>
  <c r="I9001" i="6"/>
  <c r="I9002" i="6"/>
  <c r="I9003" i="6"/>
  <c r="I9004" i="6"/>
  <c r="I9005" i="6"/>
  <c r="I9006" i="6"/>
  <c r="I9007" i="6"/>
  <c r="I9008" i="6"/>
  <c r="I9009" i="6"/>
  <c r="I9010" i="6"/>
  <c r="I9011" i="6"/>
  <c r="I9012" i="6"/>
  <c r="I9013" i="6"/>
  <c r="I9014" i="6"/>
  <c r="I9015" i="6"/>
  <c r="I9016" i="6"/>
  <c r="I9017" i="6"/>
  <c r="I9018" i="6"/>
  <c r="I9019" i="6"/>
  <c r="I9020" i="6"/>
  <c r="I9021" i="6"/>
  <c r="I9022" i="6"/>
  <c r="I9023" i="6"/>
  <c r="I9024" i="6"/>
  <c r="I9025" i="6"/>
  <c r="I9026" i="6"/>
  <c r="I9027" i="6"/>
  <c r="I9028" i="6"/>
  <c r="I9029" i="6"/>
  <c r="I9030" i="6"/>
  <c r="I9031" i="6"/>
  <c r="I9032" i="6"/>
  <c r="I9033" i="6"/>
  <c r="I9034" i="6"/>
  <c r="I9035" i="6"/>
  <c r="I9036" i="6"/>
  <c r="I9037" i="6"/>
  <c r="I9038" i="6"/>
  <c r="I9039" i="6"/>
  <c r="I9040" i="6"/>
  <c r="I9041" i="6"/>
  <c r="I9042" i="6"/>
  <c r="I8945" i="6"/>
  <c r="I8946" i="6"/>
  <c r="I8947" i="6"/>
  <c r="I8948" i="6"/>
  <c r="I8949" i="6"/>
  <c r="I8950" i="6"/>
  <c r="I8951" i="6"/>
  <c r="I8952" i="6"/>
  <c r="I8953" i="6"/>
  <c r="I8954" i="6"/>
  <c r="I8955" i="6"/>
  <c r="I8956" i="6"/>
  <c r="I8957" i="6"/>
  <c r="I8958" i="6"/>
  <c r="I8959" i="6"/>
  <c r="I8960" i="6"/>
  <c r="I8961" i="6"/>
  <c r="I8962" i="6"/>
  <c r="I8963" i="6"/>
  <c r="I8964" i="6"/>
  <c r="I8965" i="6"/>
  <c r="I8966" i="6"/>
  <c r="I8967" i="6"/>
  <c r="I8968" i="6"/>
  <c r="I8969" i="6"/>
  <c r="I8970" i="6"/>
  <c r="I8971" i="6"/>
  <c r="I8972" i="6"/>
  <c r="I8973" i="6"/>
  <c r="I8974" i="6"/>
  <c r="I8975" i="6"/>
  <c r="I8976" i="6"/>
  <c r="I8977" i="6"/>
  <c r="I8978" i="6"/>
  <c r="I8979" i="6"/>
  <c r="I8980" i="6"/>
  <c r="I8981" i="6"/>
  <c r="I8982" i="6"/>
  <c r="I8983" i="6"/>
  <c r="I8984" i="6"/>
  <c r="I8985" i="6"/>
  <c r="I8986" i="6"/>
  <c r="I8987" i="6"/>
  <c r="I8988" i="6"/>
  <c r="I8989" i="6"/>
  <c r="I8990" i="6"/>
  <c r="I8991" i="6"/>
  <c r="I8992" i="6"/>
  <c r="I8993" i="6"/>
  <c r="I8994" i="6"/>
  <c r="I8995" i="6"/>
  <c r="I8944" i="6"/>
  <c r="I8892" i="6"/>
  <c r="I8893" i="6"/>
  <c r="I8894" i="6"/>
  <c r="I8895" i="6"/>
  <c r="I8896" i="6"/>
  <c r="I8897" i="6"/>
  <c r="I8898" i="6"/>
  <c r="I8899" i="6"/>
  <c r="I8900" i="6"/>
  <c r="I8901" i="6"/>
  <c r="I8902" i="6"/>
  <c r="I8903" i="6"/>
  <c r="I8904" i="6"/>
  <c r="I8905" i="6"/>
  <c r="I8906" i="6"/>
  <c r="I8907" i="6"/>
  <c r="I8908" i="6"/>
  <c r="I8909" i="6"/>
  <c r="I8910" i="6"/>
  <c r="I8911" i="6"/>
  <c r="I8912" i="6"/>
  <c r="I8913" i="6"/>
  <c r="I8914" i="6"/>
  <c r="I8915" i="6"/>
  <c r="I8916" i="6"/>
  <c r="I8917" i="6"/>
  <c r="I8918" i="6"/>
  <c r="I8919" i="6"/>
  <c r="I8920" i="6"/>
  <c r="I8921" i="6"/>
  <c r="I8922" i="6"/>
  <c r="I8923" i="6"/>
  <c r="I8924" i="6"/>
  <c r="I8925" i="6"/>
  <c r="I8926" i="6"/>
  <c r="I8927" i="6"/>
  <c r="I8928" i="6"/>
  <c r="I8929" i="6"/>
  <c r="I8930" i="6"/>
  <c r="I8931" i="6"/>
  <c r="I8932" i="6"/>
  <c r="I8933" i="6"/>
  <c r="I8934" i="6"/>
  <c r="I8935" i="6"/>
  <c r="I8936" i="6"/>
  <c r="I8937" i="6"/>
  <c r="I8938" i="6"/>
  <c r="I8939" i="6"/>
  <c r="I8940" i="6"/>
  <c r="I8941" i="6"/>
  <c r="I8942" i="6"/>
  <c r="I8943" i="6"/>
  <c r="I8842" i="6"/>
  <c r="I8843" i="6"/>
  <c r="I8844" i="6"/>
  <c r="I8845" i="6"/>
  <c r="I8846" i="6"/>
  <c r="I8847" i="6"/>
  <c r="I8848" i="6"/>
  <c r="I8849" i="6"/>
  <c r="I8850" i="6"/>
  <c r="I8851" i="6"/>
  <c r="I8852" i="6"/>
  <c r="I8853" i="6"/>
  <c r="I8854" i="6"/>
  <c r="I8855" i="6"/>
  <c r="I8856" i="6"/>
  <c r="I8857" i="6"/>
  <c r="I8858" i="6"/>
  <c r="I8859" i="6"/>
  <c r="I8860" i="6"/>
  <c r="I8861" i="6"/>
  <c r="I8862" i="6"/>
  <c r="I8863" i="6"/>
  <c r="I8864" i="6"/>
  <c r="I8865" i="6"/>
  <c r="I8866" i="6"/>
  <c r="I8867" i="6"/>
  <c r="I8868" i="6"/>
  <c r="I8869" i="6"/>
  <c r="I8870" i="6"/>
  <c r="I8871" i="6"/>
  <c r="I8872" i="6"/>
  <c r="I8873" i="6"/>
  <c r="I8874" i="6"/>
  <c r="I8875" i="6"/>
  <c r="I8876" i="6"/>
  <c r="I8877" i="6"/>
  <c r="I8878" i="6"/>
  <c r="I8879" i="6"/>
  <c r="I8880" i="6"/>
  <c r="I8881" i="6"/>
  <c r="I8882" i="6"/>
  <c r="I8883" i="6"/>
  <c r="I8884" i="6"/>
  <c r="I8885" i="6"/>
  <c r="I8886" i="6"/>
  <c r="I8887" i="6"/>
  <c r="I8888" i="6"/>
  <c r="I8889" i="6"/>
  <c r="I8890" i="6"/>
  <c r="I8891" i="6"/>
  <c r="I8792" i="6"/>
  <c r="I8793" i="6"/>
  <c r="I8794" i="6"/>
  <c r="I8795" i="6"/>
  <c r="I8796" i="6"/>
  <c r="I8797" i="6"/>
  <c r="I8798" i="6"/>
  <c r="I8799" i="6"/>
  <c r="I8800" i="6"/>
  <c r="I8801" i="6"/>
  <c r="I8802" i="6"/>
  <c r="I8803" i="6"/>
  <c r="I8804" i="6"/>
  <c r="I8805" i="6"/>
  <c r="I8806" i="6"/>
  <c r="I8807" i="6"/>
  <c r="I8808" i="6"/>
  <c r="I8809" i="6"/>
  <c r="I8810" i="6"/>
  <c r="I8811" i="6"/>
  <c r="I8812" i="6"/>
  <c r="I8813" i="6"/>
  <c r="I8814" i="6"/>
  <c r="I8815" i="6"/>
  <c r="I8816" i="6"/>
  <c r="I8817" i="6"/>
  <c r="I8818" i="6"/>
  <c r="I8819" i="6"/>
  <c r="I8820" i="6"/>
  <c r="I8821" i="6"/>
  <c r="I8822" i="6"/>
  <c r="I8823" i="6"/>
  <c r="I8824" i="6"/>
  <c r="I8825" i="6"/>
  <c r="I8826" i="6"/>
  <c r="I8827" i="6"/>
  <c r="I8828" i="6"/>
  <c r="I8829" i="6"/>
  <c r="I8830" i="6"/>
  <c r="I8831" i="6"/>
  <c r="I8832" i="6"/>
  <c r="I8833" i="6"/>
  <c r="I8834" i="6"/>
  <c r="I8835" i="6"/>
  <c r="I8836" i="6"/>
  <c r="I8837" i="6"/>
  <c r="I8838" i="6"/>
  <c r="I8839" i="6"/>
  <c r="I8840" i="6"/>
  <c r="I8841" i="6"/>
  <c r="I8791" i="6"/>
  <c r="I8790" i="6"/>
  <c r="I8789" i="6"/>
  <c r="I8788" i="6"/>
  <c r="I8787" i="6"/>
  <c r="I8786" i="6"/>
  <c r="I8785" i="6"/>
  <c r="I8743" i="6"/>
  <c r="I8744" i="6"/>
  <c r="I8745" i="6"/>
  <c r="I8746" i="6"/>
  <c r="I8747" i="6"/>
  <c r="I8748" i="6"/>
  <c r="I8749" i="6"/>
  <c r="I8750" i="6"/>
  <c r="I8751" i="6"/>
  <c r="I8752" i="6"/>
  <c r="I8753" i="6"/>
  <c r="I8754" i="6"/>
  <c r="I8755" i="6"/>
  <c r="I8756" i="6"/>
  <c r="I8757" i="6"/>
  <c r="I8758" i="6"/>
  <c r="I8759" i="6"/>
  <c r="I8760" i="6"/>
  <c r="I8761" i="6"/>
  <c r="I8762" i="6"/>
  <c r="I8763" i="6"/>
  <c r="I8764" i="6"/>
  <c r="I8765" i="6"/>
  <c r="I8766" i="6"/>
  <c r="I8767" i="6"/>
  <c r="I8768" i="6"/>
  <c r="I8769" i="6"/>
  <c r="I8770" i="6"/>
  <c r="I8771" i="6"/>
  <c r="I8772" i="6"/>
  <c r="I8773" i="6"/>
  <c r="I8774" i="6"/>
  <c r="I8775" i="6"/>
  <c r="I8776" i="6"/>
  <c r="I8777" i="6"/>
  <c r="I8778" i="6"/>
  <c r="I8779" i="6"/>
  <c r="I8780" i="6"/>
  <c r="I8781" i="6"/>
  <c r="I8782" i="6"/>
  <c r="I8783" i="6"/>
  <c r="I8784" i="6"/>
  <c r="I8689" i="6"/>
  <c r="I8690" i="6"/>
  <c r="I8691" i="6"/>
  <c r="I8692" i="6"/>
  <c r="I8693" i="6"/>
  <c r="I8694" i="6"/>
  <c r="I8695" i="6"/>
  <c r="I8696" i="6"/>
  <c r="I8697" i="6"/>
  <c r="I8698" i="6"/>
  <c r="I8699" i="6"/>
  <c r="I8700" i="6"/>
  <c r="I8701" i="6"/>
  <c r="I8702" i="6"/>
  <c r="I8703" i="6"/>
  <c r="I8704" i="6"/>
  <c r="I8705" i="6"/>
  <c r="I8706" i="6"/>
  <c r="I8707" i="6"/>
  <c r="I8708" i="6"/>
  <c r="I8709" i="6"/>
  <c r="I8710" i="6"/>
  <c r="I8711" i="6"/>
  <c r="I8712" i="6"/>
  <c r="I8713" i="6"/>
  <c r="I8714" i="6"/>
  <c r="I8715" i="6"/>
  <c r="I8716" i="6"/>
  <c r="I8717" i="6"/>
  <c r="I8718" i="6"/>
  <c r="I8719" i="6"/>
  <c r="I8720" i="6"/>
  <c r="I8721" i="6"/>
  <c r="I8722" i="6"/>
  <c r="I8723" i="6"/>
  <c r="I8724" i="6"/>
  <c r="I8725" i="6"/>
  <c r="I8726" i="6"/>
  <c r="I8727" i="6"/>
  <c r="I8728" i="6"/>
  <c r="I8729" i="6"/>
  <c r="I8730" i="6"/>
  <c r="I8731" i="6"/>
  <c r="I8732" i="6"/>
  <c r="I8733" i="6"/>
  <c r="I8734" i="6"/>
  <c r="I8735" i="6"/>
  <c r="I8736" i="6"/>
  <c r="I8737" i="6"/>
  <c r="I8738" i="6"/>
  <c r="I8739" i="6"/>
  <c r="I8740" i="6"/>
  <c r="I8741" i="6"/>
  <c r="I8742" i="6"/>
  <c r="I8635" i="6"/>
  <c r="I8636" i="6"/>
  <c r="I8637" i="6"/>
  <c r="I8638" i="6"/>
  <c r="I8639" i="6"/>
  <c r="I8640" i="6"/>
  <c r="I8641" i="6"/>
  <c r="I8642" i="6"/>
  <c r="I8643" i="6"/>
  <c r="I8644" i="6"/>
  <c r="I8645" i="6"/>
  <c r="I8646" i="6"/>
  <c r="I8647" i="6"/>
  <c r="I8648" i="6"/>
  <c r="I8649" i="6"/>
  <c r="I8650" i="6"/>
  <c r="I8651" i="6"/>
  <c r="I8652" i="6"/>
  <c r="I8653" i="6"/>
  <c r="I8654" i="6"/>
  <c r="I8655" i="6"/>
  <c r="I8656" i="6"/>
  <c r="I8657" i="6"/>
  <c r="I8658" i="6"/>
  <c r="I8659" i="6"/>
  <c r="I8660" i="6"/>
  <c r="I8661" i="6"/>
  <c r="I8662" i="6"/>
  <c r="I8663" i="6"/>
  <c r="I8664" i="6"/>
  <c r="I8665" i="6"/>
  <c r="I8666" i="6"/>
  <c r="I8667" i="6"/>
  <c r="I8668" i="6"/>
  <c r="I8669" i="6"/>
  <c r="I8670" i="6"/>
  <c r="I8671" i="6"/>
  <c r="I8672" i="6"/>
  <c r="I8673" i="6"/>
  <c r="I8674" i="6"/>
  <c r="I8675" i="6"/>
  <c r="I8676" i="6"/>
  <c r="I8677" i="6"/>
  <c r="I8678" i="6"/>
  <c r="I8679" i="6"/>
  <c r="I8680" i="6"/>
  <c r="I8681" i="6"/>
  <c r="I8682" i="6"/>
  <c r="I8683" i="6"/>
  <c r="I8684" i="6"/>
  <c r="I8685" i="6"/>
  <c r="I8686" i="6"/>
  <c r="I8687" i="6"/>
  <c r="I8688" i="6"/>
  <c r="I8581" i="6"/>
  <c r="I8582" i="6"/>
  <c r="I8583" i="6"/>
  <c r="I8584" i="6"/>
  <c r="I8585" i="6"/>
  <c r="I8586" i="6"/>
  <c r="I8587" i="6"/>
  <c r="I8588" i="6"/>
  <c r="I8589" i="6"/>
  <c r="I8590" i="6"/>
  <c r="I8591" i="6"/>
  <c r="I8592" i="6"/>
  <c r="I8593" i="6"/>
  <c r="I8594" i="6"/>
  <c r="I8595" i="6"/>
  <c r="I8596" i="6"/>
  <c r="I8597" i="6"/>
  <c r="I8598" i="6"/>
  <c r="I8599" i="6"/>
  <c r="I8600" i="6"/>
  <c r="I8601" i="6"/>
  <c r="I8602" i="6"/>
  <c r="I8603" i="6"/>
  <c r="I8604" i="6"/>
  <c r="I8605" i="6"/>
  <c r="I8606" i="6"/>
  <c r="I8607" i="6"/>
  <c r="I8608" i="6"/>
  <c r="I8609" i="6"/>
  <c r="I8610" i="6"/>
  <c r="I8611" i="6"/>
  <c r="I8612" i="6"/>
  <c r="I8613" i="6"/>
  <c r="I8614" i="6"/>
  <c r="I8615" i="6"/>
  <c r="I8616" i="6"/>
  <c r="I8617" i="6"/>
  <c r="I8618" i="6"/>
  <c r="I8619" i="6"/>
  <c r="I8620" i="6"/>
  <c r="I8621" i="6"/>
  <c r="I8622" i="6"/>
  <c r="I8623" i="6"/>
  <c r="I8624" i="6"/>
  <c r="I8625" i="6"/>
  <c r="I8626" i="6"/>
  <c r="I8627" i="6"/>
  <c r="I8628" i="6"/>
  <c r="I8629" i="6"/>
  <c r="I8630" i="6"/>
  <c r="I8631" i="6"/>
  <c r="I8632" i="6"/>
  <c r="I8633" i="6"/>
  <c r="I8634" i="6"/>
  <c r="I8542" i="6"/>
  <c r="I8543" i="6"/>
  <c r="I8544" i="6"/>
  <c r="I8545" i="6"/>
  <c r="I8546" i="6"/>
  <c r="I8547" i="6"/>
  <c r="I8548" i="6"/>
  <c r="I8549" i="6"/>
  <c r="I8550" i="6"/>
  <c r="I8551" i="6"/>
  <c r="I8552" i="6"/>
  <c r="I8553" i="6"/>
  <c r="I8554" i="6"/>
  <c r="I8555" i="6"/>
  <c r="I8556" i="6"/>
  <c r="I8557" i="6"/>
  <c r="I8558" i="6"/>
  <c r="I8559" i="6"/>
  <c r="I8560" i="6"/>
  <c r="I8561" i="6"/>
  <c r="I8562" i="6"/>
  <c r="I8563" i="6"/>
  <c r="I8564" i="6"/>
  <c r="I8565" i="6"/>
  <c r="I8566" i="6"/>
  <c r="I8567" i="6"/>
  <c r="I8568" i="6"/>
  <c r="I8569" i="6"/>
  <c r="I8570" i="6"/>
  <c r="I8571" i="6"/>
  <c r="I8572" i="6"/>
  <c r="I8573" i="6"/>
  <c r="I8574" i="6"/>
  <c r="I8575" i="6"/>
  <c r="I8576" i="6"/>
  <c r="I8577" i="6"/>
  <c r="I8578" i="6"/>
  <c r="I8579" i="6"/>
  <c r="I8580" i="6"/>
  <c r="I8541" i="6"/>
  <c r="I8528" i="6"/>
  <c r="I8529" i="6"/>
  <c r="I8530" i="6"/>
  <c r="I8531" i="6"/>
  <c r="I8532" i="6"/>
  <c r="I8533" i="6"/>
  <c r="I8534" i="6"/>
  <c r="I8535" i="6"/>
  <c r="I8536" i="6"/>
  <c r="I8537" i="6"/>
  <c r="I8538" i="6"/>
  <c r="I8539" i="6"/>
  <c r="I8540" i="6"/>
  <c r="I8474" i="6"/>
  <c r="I8475" i="6"/>
  <c r="I8476" i="6"/>
  <c r="I8477" i="6"/>
  <c r="I8478" i="6"/>
  <c r="I8479" i="6"/>
  <c r="I8480" i="6"/>
  <c r="I8481" i="6"/>
  <c r="I8482" i="6"/>
  <c r="I8483" i="6"/>
  <c r="I8484" i="6"/>
  <c r="I8485" i="6"/>
  <c r="I8486" i="6"/>
  <c r="I8487" i="6"/>
  <c r="I8488" i="6"/>
  <c r="I8489" i="6"/>
  <c r="I8490" i="6"/>
  <c r="I8491" i="6"/>
  <c r="I8492" i="6"/>
  <c r="I8493" i="6"/>
  <c r="I8494" i="6"/>
  <c r="I8495" i="6"/>
  <c r="I8496" i="6"/>
  <c r="I8497" i="6"/>
  <c r="I8498" i="6"/>
  <c r="I8499" i="6"/>
  <c r="I8500" i="6"/>
  <c r="I8501" i="6"/>
  <c r="I8502" i="6"/>
  <c r="I8503" i="6"/>
  <c r="I8504" i="6"/>
  <c r="I8505" i="6"/>
  <c r="I8506" i="6"/>
  <c r="I8507" i="6"/>
  <c r="I8508" i="6"/>
  <c r="I8509" i="6"/>
  <c r="I8510" i="6"/>
  <c r="I8511" i="6"/>
  <c r="I8512" i="6"/>
  <c r="I8513" i="6"/>
  <c r="I8514" i="6"/>
  <c r="I8515" i="6"/>
  <c r="I8516" i="6"/>
  <c r="I8517" i="6"/>
  <c r="I8518" i="6"/>
  <c r="I8519" i="6"/>
  <c r="I8520" i="6"/>
  <c r="I8521" i="6"/>
  <c r="I8522" i="6"/>
  <c r="I8523" i="6"/>
  <c r="I8524" i="6"/>
  <c r="I8525" i="6"/>
  <c r="I8526" i="6"/>
  <c r="I8527" i="6"/>
  <c r="I8421" i="6"/>
  <c r="I8422" i="6"/>
  <c r="I8423" i="6"/>
  <c r="I8424" i="6"/>
  <c r="I8425" i="6"/>
  <c r="I8426" i="6"/>
  <c r="I8427" i="6"/>
  <c r="I8428" i="6"/>
  <c r="I8429" i="6"/>
  <c r="I8430" i="6"/>
  <c r="I8431" i="6"/>
  <c r="I8432" i="6"/>
  <c r="I8433" i="6"/>
  <c r="I8434" i="6"/>
  <c r="I8435" i="6"/>
  <c r="I8436" i="6"/>
  <c r="I8437" i="6"/>
  <c r="I8438" i="6"/>
  <c r="I8439" i="6"/>
  <c r="I8440" i="6"/>
  <c r="I8441" i="6"/>
  <c r="I8442" i="6"/>
  <c r="I8443" i="6"/>
  <c r="I8444" i="6"/>
  <c r="I8445" i="6"/>
  <c r="I8446" i="6"/>
  <c r="I8447" i="6"/>
  <c r="I8448" i="6"/>
  <c r="I8449" i="6"/>
  <c r="I8450" i="6"/>
  <c r="I8451" i="6"/>
  <c r="I8452" i="6"/>
  <c r="I8453" i="6"/>
  <c r="I8454" i="6"/>
  <c r="I8455" i="6"/>
  <c r="I8456" i="6"/>
  <c r="I8457" i="6"/>
  <c r="I8458" i="6"/>
  <c r="I8459" i="6"/>
  <c r="I8460" i="6"/>
  <c r="I8461" i="6"/>
  <c r="I8462" i="6"/>
  <c r="I8463" i="6"/>
  <c r="I8464" i="6"/>
  <c r="I8465" i="6"/>
  <c r="I8466" i="6"/>
  <c r="I8467" i="6"/>
  <c r="I8468" i="6"/>
  <c r="I8469" i="6"/>
  <c r="I8470" i="6"/>
  <c r="I8471" i="6"/>
  <c r="I8472" i="6"/>
  <c r="I8473" i="6"/>
  <c r="I8367" i="6"/>
  <c r="I8368" i="6"/>
  <c r="I8369" i="6"/>
  <c r="I8370" i="6"/>
  <c r="I8371" i="6"/>
  <c r="I8372" i="6"/>
  <c r="I8373" i="6"/>
  <c r="I8374" i="6"/>
  <c r="I8375" i="6"/>
  <c r="I8376" i="6"/>
  <c r="I8377" i="6"/>
  <c r="I8378" i="6"/>
  <c r="I8379" i="6"/>
  <c r="I8380" i="6"/>
  <c r="I8381" i="6"/>
  <c r="I8382" i="6"/>
  <c r="I8383" i="6"/>
  <c r="I8384" i="6"/>
  <c r="I8385" i="6"/>
  <c r="I8386" i="6"/>
  <c r="I8387" i="6"/>
  <c r="I8388" i="6"/>
  <c r="I8389" i="6"/>
  <c r="I8390" i="6"/>
  <c r="I8391" i="6"/>
  <c r="I8392" i="6"/>
  <c r="I8393" i="6"/>
  <c r="I8394" i="6"/>
  <c r="I8395" i="6"/>
  <c r="I8396" i="6"/>
  <c r="I8397" i="6"/>
  <c r="I8398" i="6"/>
  <c r="I8399" i="6"/>
  <c r="I8400" i="6"/>
  <c r="I8401" i="6"/>
  <c r="I8402" i="6"/>
  <c r="I8403" i="6"/>
  <c r="I8404" i="6"/>
  <c r="I8405" i="6"/>
  <c r="I8406" i="6"/>
  <c r="I8407" i="6"/>
  <c r="I8408" i="6"/>
  <c r="I8409" i="6"/>
  <c r="I8410" i="6"/>
  <c r="I8411" i="6"/>
  <c r="I8412" i="6"/>
  <c r="I8413" i="6"/>
  <c r="I8414" i="6"/>
  <c r="I8415" i="6"/>
  <c r="I8416" i="6"/>
  <c r="I8417" i="6"/>
  <c r="I8418" i="6"/>
  <c r="I8419" i="6"/>
  <c r="I8420" i="6"/>
  <c r="I8313" i="6"/>
  <c r="I8314" i="6"/>
  <c r="I8315" i="6"/>
  <c r="I8316" i="6"/>
  <c r="I8317" i="6"/>
  <c r="I8318" i="6"/>
  <c r="I8319" i="6"/>
  <c r="I8320" i="6"/>
  <c r="I8321" i="6"/>
  <c r="I8322" i="6"/>
  <c r="I8323" i="6"/>
  <c r="I8324" i="6"/>
  <c r="I8325" i="6"/>
  <c r="I8326" i="6"/>
  <c r="I8327" i="6"/>
  <c r="I8328" i="6"/>
  <c r="I8329" i="6"/>
  <c r="I8330" i="6"/>
  <c r="I8331" i="6"/>
  <c r="I8332" i="6"/>
  <c r="I8333" i="6"/>
  <c r="I8334" i="6"/>
  <c r="I8335" i="6"/>
  <c r="I8336" i="6"/>
  <c r="I8337" i="6"/>
  <c r="I8338" i="6"/>
  <c r="I8339" i="6"/>
  <c r="I8340" i="6"/>
  <c r="I8341" i="6"/>
  <c r="I8342" i="6"/>
  <c r="I8343" i="6"/>
  <c r="I8344" i="6"/>
  <c r="I8345" i="6"/>
  <c r="I8346" i="6"/>
  <c r="I8347" i="6"/>
  <c r="I8348" i="6"/>
  <c r="I8349" i="6"/>
  <c r="I8350" i="6"/>
  <c r="I8351" i="6"/>
  <c r="I8352" i="6"/>
  <c r="I8353" i="6"/>
  <c r="I8354" i="6"/>
  <c r="I8355" i="6"/>
  <c r="I8356" i="6"/>
  <c r="I8357" i="6"/>
  <c r="I8358" i="6"/>
  <c r="I8359" i="6"/>
  <c r="I8360" i="6"/>
  <c r="I8361" i="6"/>
  <c r="I8362" i="6"/>
  <c r="I8363" i="6"/>
  <c r="I8364" i="6"/>
  <c r="I8365" i="6"/>
  <c r="I8366" i="6"/>
  <c r="I8259" i="6"/>
  <c r="I8260" i="6"/>
  <c r="I8261" i="6"/>
  <c r="I8262" i="6"/>
  <c r="I8263" i="6"/>
  <c r="I8264" i="6"/>
  <c r="I8265" i="6"/>
  <c r="I8266" i="6"/>
  <c r="I8267" i="6"/>
  <c r="I8268" i="6"/>
  <c r="I8269" i="6"/>
  <c r="I8270" i="6"/>
  <c r="I8271" i="6"/>
  <c r="I8272" i="6"/>
  <c r="I8273" i="6"/>
  <c r="I8274" i="6"/>
  <c r="I8275" i="6"/>
  <c r="I8276" i="6"/>
  <c r="I8277" i="6"/>
  <c r="I8278" i="6"/>
  <c r="I8279" i="6"/>
  <c r="I8280" i="6"/>
  <c r="I8281" i="6"/>
  <c r="I8282" i="6"/>
  <c r="I8283" i="6"/>
  <c r="I8284" i="6"/>
  <c r="I8285" i="6"/>
  <c r="I8286" i="6"/>
  <c r="I8287" i="6"/>
  <c r="I8288" i="6"/>
  <c r="I8289" i="6"/>
  <c r="I8290" i="6"/>
  <c r="I8291" i="6"/>
  <c r="I8292" i="6"/>
  <c r="I8293" i="6"/>
  <c r="I8294" i="6"/>
  <c r="I8295" i="6"/>
  <c r="I8296" i="6"/>
  <c r="I8297" i="6"/>
  <c r="I8298" i="6"/>
  <c r="I8299" i="6"/>
  <c r="I8300" i="6"/>
  <c r="I8301" i="6"/>
  <c r="I8302" i="6"/>
  <c r="I8303" i="6"/>
  <c r="I8304" i="6"/>
  <c r="I8305" i="6"/>
  <c r="I8306" i="6"/>
  <c r="I8307" i="6"/>
  <c r="I8308" i="6"/>
  <c r="I8309" i="6"/>
  <c r="I8310" i="6"/>
  <c r="I8311" i="6"/>
  <c r="I8312" i="6"/>
  <c r="I8205" i="6"/>
  <c r="I8206" i="6"/>
  <c r="I8207" i="6"/>
  <c r="I8208" i="6"/>
  <c r="I8209" i="6"/>
  <c r="I8210" i="6"/>
  <c r="I8211" i="6"/>
  <c r="I8212" i="6"/>
  <c r="I8213" i="6"/>
  <c r="I8214" i="6"/>
  <c r="I8215" i="6"/>
  <c r="I8216" i="6"/>
  <c r="I8217" i="6"/>
  <c r="I8218" i="6"/>
  <c r="I8219" i="6"/>
  <c r="I8220" i="6"/>
  <c r="I8221" i="6"/>
  <c r="I8222" i="6"/>
  <c r="I8223" i="6"/>
  <c r="I8224" i="6"/>
  <c r="I8225" i="6"/>
  <c r="I8226" i="6"/>
  <c r="I8227" i="6"/>
  <c r="I8228" i="6"/>
  <c r="I8229" i="6"/>
  <c r="I8230" i="6"/>
  <c r="I8231" i="6"/>
  <c r="I8232" i="6"/>
  <c r="I8233" i="6"/>
  <c r="I8234" i="6"/>
  <c r="I8235" i="6"/>
  <c r="I8236" i="6"/>
  <c r="I8237" i="6"/>
  <c r="I8238" i="6"/>
  <c r="I8239" i="6"/>
  <c r="I8240" i="6"/>
  <c r="I8241" i="6"/>
  <c r="I8242" i="6"/>
  <c r="I8243" i="6"/>
  <c r="I8244" i="6"/>
  <c r="I8245" i="6"/>
  <c r="I8246" i="6"/>
  <c r="I8247" i="6"/>
  <c r="I8248" i="6"/>
  <c r="I8249" i="6"/>
  <c r="I8250" i="6"/>
  <c r="I8251" i="6"/>
  <c r="I8252" i="6"/>
  <c r="I8253" i="6"/>
  <c r="I8254" i="6"/>
  <c r="I8255" i="6"/>
  <c r="I8256" i="6"/>
  <c r="I8257" i="6"/>
  <c r="I8258" i="6"/>
  <c r="I8152" i="6"/>
  <c r="I8153" i="6"/>
  <c r="I8154" i="6"/>
  <c r="I8155" i="6"/>
  <c r="I8156" i="6"/>
  <c r="I8157" i="6"/>
  <c r="I8158" i="6"/>
  <c r="I8159" i="6"/>
  <c r="I8160" i="6"/>
  <c r="I8161" i="6"/>
  <c r="I8162" i="6"/>
  <c r="I8163" i="6"/>
  <c r="I8164" i="6"/>
  <c r="I8165" i="6"/>
  <c r="I8166" i="6"/>
  <c r="I8167" i="6"/>
  <c r="I8168" i="6"/>
  <c r="I8169" i="6"/>
  <c r="I8170" i="6"/>
  <c r="I8172" i="6"/>
  <c r="I8173" i="6"/>
  <c r="I8174" i="6"/>
  <c r="I8175" i="6"/>
  <c r="I8176" i="6"/>
  <c r="I8177" i="6"/>
  <c r="I8178" i="6"/>
  <c r="I8179" i="6"/>
  <c r="I8180" i="6"/>
  <c r="I8181" i="6"/>
  <c r="I8182" i="6"/>
  <c r="I8183" i="6"/>
  <c r="I8184" i="6"/>
  <c r="I8185" i="6"/>
  <c r="I8186" i="6"/>
  <c r="I8187" i="6"/>
  <c r="I8188" i="6"/>
  <c r="I8189" i="6"/>
  <c r="I8190" i="6"/>
  <c r="I8191" i="6"/>
  <c r="I8192" i="6"/>
  <c r="I8193" i="6"/>
  <c r="I8194" i="6"/>
  <c r="I8195" i="6"/>
  <c r="I8196" i="6"/>
  <c r="I8197" i="6"/>
  <c r="I8198" i="6"/>
  <c r="I8199" i="6"/>
  <c r="I8200" i="6"/>
  <c r="I8201" i="6"/>
  <c r="I8202" i="6"/>
  <c r="I8203" i="6"/>
  <c r="I8204" i="6"/>
  <c r="I8151" i="6"/>
  <c r="I8150" i="6"/>
  <c r="I8149" i="6"/>
  <c r="I8148" i="6"/>
  <c r="I8147" i="6"/>
  <c r="I8146" i="6"/>
  <c r="I8145" i="6"/>
  <c r="I8144" i="6"/>
  <c r="I8143" i="6"/>
  <c r="I8142" i="6"/>
  <c r="I8141" i="6"/>
  <c r="I8140" i="6"/>
  <c r="I8139" i="6"/>
  <c r="I8138" i="6"/>
  <c r="I8137" i="6"/>
  <c r="I8136" i="6"/>
  <c r="I8135" i="6"/>
  <c r="I8134" i="6"/>
  <c r="I8133" i="6"/>
  <c r="I8132" i="6"/>
  <c r="I8131" i="6"/>
  <c r="I8130" i="6"/>
  <c r="I8116" i="6"/>
  <c r="I8117" i="6"/>
  <c r="I8118" i="6"/>
  <c r="I8119" i="6"/>
  <c r="I8120" i="6"/>
  <c r="I8121" i="6"/>
  <c r="I8122" i="6"/>
  <c r="I8123" i="6"/>
  <c r="I8124" i="6"/>
  <c r="I8125" i="6"/>
  <c r="I8126" i="6"/>
  <c r="I8127" i="6"/>
  <c r="I8128" i="6"/>
  <c r="I8129" i="6"/>
  <c r="I8061" i="6"/>
  <c r="I8062" i="6"/>
  <c r="I8063" i="6"/>
  <c r="I8064" i="6"/>
  <c r="I8065" i="6"/>
  <c r="I8066" i="6"/>
  <c r="I8067" i="6"/>
  <c r="I8068" i="6"/>
  <c r="I8069" i="6"/>
  <c r="I8070" i="6"/>
  <c r="I8071" i="6"/>
  <c r="I8072" i="6"/>
  <c r="I8073" i="6"/>
  <c r="I8074" i="6"/>
  <c r="I8075" i="6"/>
  <c r="I8076" i="6"/>
  <c r="I8077" i="6"/>
  <c r="I8078" i="6"/>
  <c r="I8079" i="6"/>
  <c r="I8080" i="6"/>
  <c r="I8081" i="6"/>
  <c r="I8082" i="6"/>
  <c r="I8083" i="6"/>
  <c r="I8084" i="6"/>
  <c r="I8085" i="6"/>
  <c r="I8086" i="6"/>
  <c r="I8087" i="6"/>
  <c r="I8088" i="6"/>
  <c r="I8089" i="6"/>
  <c r="I8090" i="6"/>
  <c r="I8091" i="6"/>
  <c r="I8092" i="6"/>
  <c r="I8093" i="6"/>
  <c r="I8094" i="6"/>
  <c r="I8095" i="6"/>
  <c r="I8096" i="6"/>
  <c r="I8097" i="6"/>
  <c r="I8098" i="6"/>
  <c r="I8099" i="6"/>
  <c r="I8101" i="6"/>
  <c r="I8102" i="6"/>
  <c r="I8103" i="6"/>
  <c r="I8104" i="6"/>
  <c r="I8105" i="6"/>
  <c r="I8106" i="6"/>
  <c r="I8107" i="6"/>
  <c r="I8108" i="6"/>
  <c r="I8109" i="6"/>
  <c r="I8110" i="6"/>
  <c r="I8111" i="6"/>
  <c r="I8112" i="6"/>
  <c r="I8113" i="6"/>
  <c r="I8114" i="6"/>
  <c r="I8115" i="6"/>
  <c r="I8007" i="6"/>
  <c r="I8008" i="6"/>
  <c r="I8009" i="6"/>
  <c r="I8010" i="6"/>
  <c r="I8011" i="6"/>
  <c r="I8012" i="6"/>
  <c r="I8013" i="6"/>
  <c r="I8014" i="6"/>
  <c r="I8015" i="6"/>
  <c r="I8016" i="6"/>
  <c r="I8017" i="6"/>
  <c r="I8018" i="6"/>
  <c r="I8019" i="6"/>
  <c r="I8020" i="6"/>
  <c r="I8021" i="6"/>
  <c r="I8022" i="6"/>
  <c r="I8023" i="6"/>
  <c r="I8024" i="6"/>
  <c r="I8025" i="6"/>
  <c r="I8026" i="6"/>
  <c r="I8027" i="6"/>
  <c r="I8028" i="6"/>
  <c r="I8029" i="6"/>
  <c r="I8030" i="6"/>
  <c r="I8031" i="6"/>
  <c r="I8032" i="6"/>
  <c r="I8033" i="6"/>
  <c r="I8034" i="6"/>
  <c r="I8035" i="6"/>
  <c r="I8036" i="6"/>
  <c r="I8037" i="6"/>
  <c r="I8038" i="6"/>
  <c r="I8039" i="6"/>
  <c r="I8040" i="6"/>
  <c r="I8041" i="6"/>
  <c r="I8042" i="6"/>
  <c r="I8043" i="6"/>
  <c r="I8044" i="6"/>
  <c r="I8045" i="6"/>
  <c r="I8046" i="6"/>
  <c r="I8047" i="6"/>
  <c r="I8048" i="6"/>
  <c r="I8049" i="6"/>
  <c r="I8050" i="6"/>
  <c r="I8051" i="6"/>
  <c r="I8052" i="6"/>
  <c r="I8053" i="6"/>
  <c r="I8054" i="6"/>
  <c r="I8055" i="6"/>
  <c r="I8056" i="6"/>
  <c r="I8057" i="6"/>
  <c r="I8058" i="6"/>
  <c r="I8059" i="6"/>
  <c r="I8060" i="6"/>
  <c r="I7953" i="6"/>
  <c r="I7954" i="6"/>
  <c r="I7955" i="6"/>
  <c r="I7956" i="6"/>
  <c r="I7957" i="6"/>
  <c r="I7958" i="6"/>
  <c r="I7959" i="6"/>
  <c r="I7960" i="6"/>
  <c r="I7961" i="6"/>
  <c r="I7962" i="6"/>
  <c r="I7963" i="6"/>
  <c r="I7964" i="6"/>
  <c r="I7965" i="6"/>
  <c r="I7966" i="6"/>
  <c r="I7967" i="6"/>
  <c r="I7968" i="6"/>
  <c r="I7969" i="6"/>
  <c r="I7970" i="6"/>
  <c r="I7971" i="6"/>
  <c r="I7972" i="6"/>
  <c r="I7973" i="6"/>
  <c r="I7974" i="6"/>
  <c r="I7975" i="6"/>
  <c r="I7976" i="6"/>
  <c r="I7977" i="6"/>
  <c r="I7978" i="6"/>
  <c r="I7979" i="6"/>
  <c r="I7980" i="6"/>
  <c r="I7981" i="6"/>
  <c r="I7982" i="6"/>
  <c r="I7983" i="6"/>
  <c r="I7984" i="6"/>
  <c r="I7985" i="6"/>
  <c r="I7986" i="6"/>
  <c r="I7987" i="6"/>
  <c r="I7988" i="6"/>
  <c r="I7989" i="6"/>
  <c r="I7990" i="6"/>
  <c r="I7991" i="6"/>
  <c r="I7992" i="6"/>
  <c r="I7993" i="6"/>
  <c r="I7994" i="6"/>
  <c r="I7995" i="6"/>
  <c r="I7996" i="6"/>
  <c r="I7997" i="6"/>
  <c r="I7998" i="6"/>
  <c r="I7999" i="6"/>
  <c r="I8000" i="6"/>
  <c r="I8001" i="6"/>
  <c r="I8002" i="6"/>
  <c r="I8003" i="6"/>
  <c r="I8004" i="6"/>
  <c r="I8005" i="6"/>
  <c r="I8006" i="6"/>
  <c r="I7899" i="6"/>
  <c r="I7900" i="6"/>
  <c r="I7901" i="6"/>
  <c r="I7902" i="6"/>
  <c r="I7903" i="6"/>
  <c r="I7904" i="6"/>
  <c r="I7905" i="6"/>
  <c r="I7906" i="6"/>
  <c r="I7907" i="6"/>
  <c r="I7908" i="6"/>
  <c r="I7909" i="6"/>
  <c r="I7910" i="6"/>
  <c r="I7911" i="6"/>
  <c r="I7912" i="6"/>
  <c r="I7913" i="6"/>
  <c r="I7914" i="6"/>
  <c r="I7915" i="6"/>
  <c r="I7916" i="6"/>
  <c r="I7917" i="6"/>
  <c r="I7918" i="6"/>
  <c r="I7919" i="6"/>
  <c r="I7920" i="6"/>
  <c r="I7921" i="6"/>
  <c r="I7922" i="6"/>
  <c r="I7923" i="6"/>
  <c r="I7924" i="6"/>
  <c r="I7925" i="6"/>
  <c r="I7926" i="6"/>
  <c r="I7927" i="6"/>
  <c r="I7928" i="6"/>
  <c r="I7929" i="6"/>
  <c r="I7930" i="6"/>
  <c r="I7931" i="6"/>
  <c r="I7932" i="6"/>
  <c r="I7933" i="6"/>
  <c r="I7934" i="6"/>
  <c r="I7935" i="6"/>
  <c r="I7936" i="6"/>
  <c r="I7937" i="6"/>
  <c r="I7938" i="6"/>
  <c r="I7939" i="6"/>
  <c r="I7940" i="6"/>
  <c r="I7941" i="6"/>
  <c r="I7942" i="6"/>
  <c r="I7943" i="6"/>
  <c r="I7944" i="6"/>
  <c r="I7945" i="6"/>
  <c r="I7946" i="6"/>
  <c r="I7947" i="6"/>
  <c r="I7948" i="6"/>
  <c r="I7949" i="6"/>
  <c r="I7950" i="6"/>
  <c r="I7951" i="6"/>
  <c r="I7952" i="6"/>
  <c r="I7843" i="6"/>
  <c r="I7844" i="6"/>
  <c r="I7845" i="6"/>
  <c r="I7846" i="6"/>
  <c r="I7847" i="6"/>
  <c r="I7848" i="6"/>
  <c r="I7849" i="6"/>
  <c r="I7850" i="6"/>
  <c r="I7851" i="6"/>
  <c r="I7852" i="6"/>
  <c r="I7854" i="6"/>
  <c r="I7855" i="6"/>
  <c r="I7858" i="6"/>
  <c r="I7859" i="6"/>
  <c r="I7860" i="6"/>
  <c r="I7861" i="6"/>
  <c r="I7862" i="6"/>
  <c r="I7863" i="6"/>
  <c r="I7864" i="6"/>
  <c r="I7865" i="6"/>
  <c r="I7866" i="6"/>
  <c r="I7867" i="6"/>
  <c r="I7868" i="6"/>
  <c r="I7869" i="6"/>
  <c r="I7870" i="6"/>
  <c r="I7871" i="6"/>
  <c r="I7872" i="6"/>
  <c r="I7873" i="6"/>
  <c r="I7874" i="6"/>
  <c r="I7875" i="6"/>
  <c r="I7876" i="6"/>
  <c r="I7877" i="6"/>
  <c r="I7878" i="6"/>
  <c r="I7879" i="6"/>
  <c r="I7880" i="6"/>
  <c r="I7881" i="6"/>
  <c r="I7882" i="6"/>
  <c r="I7883" i="6"/>
  <c r="I7884" i="6"/>
  <c r="I7885" i="6"/>
  <c r="I7886" i="6"/>
  <c r="I7887" i="6"/>
  <c r="I7888" i="6"/>
  <c r="I7889" i="6"/>
  <c r="I7890" i="6"/>
  <c r="I7891" i="6"/>
  <c r="I7892" i="6"/>
  <c r="I7893" i="6"/>
  <c r="I7894" i="6"/>
  <c r="I7895" i="6"/>
  <c r="I7896" i="6"/>
  <c r="I7897" i="6"/>
  <c r="I7898" i="6"/>
  <c r="I7789" i="6"/>
  <c r="I7790" i="6"/>
  <c r="I7791" i="6"/>
  <c r="I7792" i="6"/>
  <c r="I7793" i="6"/>
  <c r="I7794" i="6"/>
  <c r="I7795" i="6"/>
  <c r="I7796" i="6"/>
  <c r="I7797" i="6"/>
  <c r="I7798" i="6"/>
  <c r="I7799" i="6"/>
  <c r="I7800" i="6"/>
  <c r="I7801" i="6"/>
  <c r="I7802" i="6"/>
  <c r="I7803" i="6"/>
  <c r="I7804" i="6"/>
  <c r="I7805" i="6"/>
  <c r="I7806" i="6"/>
  <c r="I7807" i="6"/>
  <c r="I7808" i="6"/>
  <c r="I7809" i="6"/>
  <c r="I7810" i="6"/>
  <c r="I7811" i="6"/>
  <c r="I7812" i="6"/>
  <c r="I7813" i="6"/>
  <c r="I7814" i="6"/>
  <c r="I7815" i="6"/>
  <c r="I7816" i="6"/>
  <c r="I7817" i="6"/>
  <c r="I7818" i="6"/>
  <c r="I7819" i="6"/>
  <c r="I7820" i="6"/>
  <c r="I7821" i="6"/>
  <c r="I7822" i="6"/>
  <c r="I7823" i="6"/>
  <c r="I7824" i="6"/>
  <c r="I7825" i="6"/>
  <c r="I7826" i="6"/>
  <c r="I7827" i="6"/>
  <c r="I7828" i="6"/>
  <c r="I7829" i="6"/>
  <c r="I7830" i="6"/>
  <c r="I7831" i="6"/>
  <c r="I7832" i="6"/>
  <c r="I7833" i="6"/>
  <c r="I7834" i="6"/>
  <c r="I7835" i="6"/>
  <c r="I7836" i="6"/>
  <c r="I7837" i="6"/>
  <c r="I7838" i="6"/>
  <c r="I7839" i="6"/>
  <c r="I7840" i="6"/>
  <c r="I7841" i="6"/>
  <c r="I7842" i="6"/>
  <c r="I7735" i="6"/>
  <c r="I7736" i="6"/>
  <c r="I7737" i="6"/>
  <c r="I7738" i="6"/>
  <c r="I7739" i="6"/>
  <c r="I7740" i="6"/>
  <c r="I7741" i="6"/>
  <c r="I7742" i="6"/>
  <c r="I7743" i="6"/>
  <c r="I7744" i="6"/>
  <c r="I7745" i="6"/>
  <c r="I7746" i="6"/>
  <c r="I7747" i="6"/>
  <c r="I7748" i="6"/>
  <c r="I7749" i="6"/>
  <c r="I7750" i="6"/>
  <c r="I7751" i="6"/>
  <c r="I7752" i="6"/>
  <c r="I7753" i="6"/>
  <c r="I7754" i="6"/>
  <c r="I7755" i="6"/>
  <c r="I7756" i="6"/>
  <c r="I7757" i="6"/>
  <c r="I7758" i="6"/>
  <c r="I7759" i="6"/>
  <c r="I7760" i="6"/>
  <c r="I7761" i="6"/>
  <c r="I7762" i="6"/>
  <c r="I7763" i="6"/>
  <c r="I7764" i="6"/>
  <c r="I7765" i="6"/>
  <c r="I7766" i="6"/>
  <c r="I7767" i="6"/>
  <c r="I7768" i="6"/>
  <c r="I7769" i="6"/>
  <c r="I7770" i="6"/>
  <c r="I7771" i="6"/>
  <c r="I7772" i="6"/>
  <c r="I7773" i="6"/>
  <c r="I7774" i="6"/>
  <c r="I7775" i="6"/>
  <c r="I7776" i="6"/>
  <c r="I7777" i="6"/>
  <c r="I7778" i="6"/>
  <c r="I7779" i="6"/>
  <c r="I7780" i="6"/>
  <c r="I7781" i="6"/>
  <c r="I7782" i="6"/>
  <c r="I7783" i="6"/>
  <c r="I7784" i="6"/>
  <c r="I7785" i="6"/>
  <c r="I7786" i="6"/>
  <c r="I7787" i="6"/>
  <c r="I7788" i="6"/>
  <c r="I7684" i="6"/>
  <c r="I7685" i="6"/>
  <c r="I7686" i="6"/>
  <c r="I7687" i="6"/>
  <c r="I7688" i="6"/>
  <c r="I7689" i="6"/>
  <c r="I7690" i="6"/>
  <c r="I7691" i="6"/>
  <c r="I7692" i="6"/>
  <c r="I7693" i="6"/>
  <c r="I7694" i="6"/>
  <c r="I7695" i="6"/>
  <c r="I7696" i="6"/>
  <c r="I7697" i="6"/>
  <c r="I7698" i="6"/>
  <c r="I7699" i="6"/>
  <c r="I7700" i="6"/>
  <c r="I7701" i="6"/>
  <c r="I7702" i="6"/>
  <c r="I7703" i="6"/>
  <c r="I7704" i="6"/>
  <c r="I7705" i="6"/>
  <c r="I7706" i="6"/>
  <c r="I7707" i="6"/>
  <c r="I7708" i="6"/>
  <c r="I7709" i="6"/>
  <c r="I7710" i="6"/>
  <c r="I7711" i="6"/>
  <c r="I7712" i="6"/>
  <c r="I7713" i="6"/>
  <c r="I7714" i="6"/>
  <c r="I7715" i="6"/>
  <c r="I7716" i="6"/>
  <c r="I7717" i="6"/>
  <c r="I7718" i="6"/>
  <c r="I7719" i="6"/>
  <c r="I7720" i="6"/>
  <c r="I7721" i="6"/>
  <c r="I7722" i="6"/>
  <c r="I7723" i="6"/>
  <c r="I7724" i="6"/>
  <c r="I7725" i="6"/>
  <c r="I7726" i="6"/>
  <c r="I7727" i="6"/>
  <c r="I7728" i="6"/>
  <c r="I7729" i="6"/>
  <c r="I7730" i="6"/>
  <c r="I7731" i="6"/>
  <c r="I7732" i="6"/>
  <c r="I7733" i="6"/>
  <c r="I7734" i="6"/>
  <c r="I7636" i="6"/>
  <c r="I7637" i="6"/>
  <c r="I7638" i="6"/>
  <c r="I7639" i="6"/>
  <c r="I7640" i="6"/>
  <c r="I7641" i="6"/>
  <c r="I7642" i="6"/>
  <c r="I7643" i="6"/>
  <c r="I7644" i="6"/>
  <c r="I7645" i="6"/>
  <c r="I7646" i="6"/>
  <c r="I7647" i="6"/>
  <c r="I7648" i="6"/>
  <c r="I7649" i="6"/>
  <c r="I7650" i="6"/>
  <c r="I7651" i="6"/>
  <c r="I7652" i="6"/>
  <c r="I7653" i="6"/>
  <c r="I7654" i="6"/>
  <c r="I7655" i="6"/>
  <c r="I7656" i="6"/>
  <c r="I7657" i="6"/>
  <c r="I7658" i="6"/>
  <c r="I7659" i="6"/>
  <c r="I7660" i="6"/>
  <c r="I7661" i="6"/>
  <c r="I7662" i="6"/>
  <c r="I7663" i="6"/>
  <c r="I7664" i="6"/>
  <c r="I7665" i="6"/>
  <c r="I7666" i="6"/>
  <c r="I7667" i="6"/>
  <c r="I7668" i="6"/>
  <c r="I7669" i="6"/>
  <c r="I7670" i="6"/>
  <c r="I7671" i="6"/>
  <c r="I7672" i="6"/>
  <c r="I7673" i="6"/>
  <c r="I7674" i="6"/>
  <c r="I7675" i="6"/>
  <c r="I7676" i="6"/>
  <c r="I7677" i="6"/>
  <c r="I7678" i="6"/>
  <c r="I7679" i="6"/>
  <c r="I7680" i="6"/>
  <c r="I7681" i="6"/>
  <c r="I7682" i="6"/>
  <c r="I7683" i="6"/>
  <c r="I7585" i="6"/>
  <c r="I7586" i="6"/>
  <c r="I7587" i="6"/>
  <c r="I7588" i="6"/>
  <c r="I7589" i="6"/>
  <c r="I7590" i="6"/>
  <c r="I7591" i="6"/>
  <c r="I7592" i="6"/>
  <c r="I7593" i="6"/>
  <c r="I7594" i="6"/>
  <c r="I7595" i="6"/>
  <c r="I7596" i="6"/>
  <c r="I7597" i="6"/>
  <c r="I7598" i="6"/>
  <c r="I7599" i="6"/>
  <c r="I7600" i="6"/>
  <c r="I7601" i="6"/>
  <c r="I7602" i="6"/>
  <c r="I7603" i="6"/>
  <c r="I7604" i="6"/>
  <c r="I7605" i="6"/>
  <c r="I7606" i="6"/>
  <c r="I7607" i="6"/>
  <c r="I7608" i="6"/>
  <c r="I7609" i="6"/>
  <c r="I7610" i="6"/>
  <c r="I7611" i="6"/>
  <c r="I7612" i="6"/>
  <c r="I7613" i="6"/>
  <c r="I7614" i="6"/>
  <c r="I7615" i="6"/>
  <c r="I7616" i="6"/>
  <c r="I7617" i="6"/>
  <c r="I7618" i="6"/>
  <c r="I7619" i="6"/>
  <c r="I7620" i="6"/>
  <c r="I7621" i="6"/>
  <c r="I7622" i="6"/>
  <c r="I7623" i="6"/>
  <c r="I7624" i="6"/>
  <c r="I7625" i="6"/>
  <c r="I7626" i="6"/>
  <c r="I7627" i="6"/>
  <c r="I7628" i="6"/>
  <c r="I7629" i="6"/>
  <c r="I7630" i="6"/>
  <c r="I7631" i="6"/>
  <c r="I7632" i="6"/>
  <c r="I7633" i="6"/>
  <c r="I7634" i="6"/>
  <c r="I7635" i="6"/>
  <c r="I7535" i="6"/>
  <c r="I7536" i="6"/>
  <c r="I7537" i="6"/>
  <c r="I7538" i="6"/>
  <c r="I7539" i="6"/>
  <c r="I7540" i="6"/>
  <c r="I7541" i="6"/>
  <c r="I7542" i="6"/>
  <c r="I7543" i="6"/>
  <c r="I7544" i="6"/>
  <c r="I7545" i="6"/>
  <c r="I7546" i="6"/>
  <c r="I7547" i="6"/>
  <c r="I7548" i="6"/>
  <c r="I7549" i="6"/>
  <c r="I7550" i="6"/>
  <c r="I7551" i="6"/>
  <c r="I7552" i="6"/>
  <c r="I7553" i="6"/>
  <c r="I7554" i="6"/>
  <c r="I7555" i="6"/>
  <c r="I7556" i="6"/>
  <c r="I7557" i="6"/>
  <c r="I7558" i="6"/>
  <c r="I7559" i="6"/>
  <c r="I7560" i="6"/>
  <c r="I7561" i="6"/>
  <c r="I7562" i="6"/>
  <c r="I7563" i="6"/>
  <c r="I7564" i="6"/>
  <c r="I7565" i="6"/>
  <c r="I7566" i="6"/>
  <c r="I7567" i="6"/>
  <c r="I7568" i="6"/>
  <c r="I7569" i="6"/>
  <c r="I7570" i="6"/>
  <c r="I7571" i="6"/>
  <c r="I7572" i="6"/>
  <c r="I7573" i="6"/>
  <c r="I7574" i="6"/>
  <c r="I7575" i="6"/>
  <c r="I7576" i="6"/>
  <c r="I7577" i="6"/>
  <c r="I7578" i="6"/>
  <c r="I7579" i="6"/>
  <c r="I7580" i="6"/>
  <c r="I7581" i="6"/>
  <c r="I7582" i="6"/>
  <c r="I7583" i="6"/>
  <c r="I7584" i="6"/>
  <c r="I7484" i="6"/>
  <c r="I7485" i="6"/>
  <c r="I7486" i="6"/>
  <c r="I7487" i="6"/>
  <c r="I7488" i="6"/>
  <c r="I7489" i="6"/>
  <c r="I7490" i="6"/>
  <c r="I7491" i="6"/>
  <c r="I7492" i="6"/>
  <c r="I7493" i="6"/>
  <c r="I7494" i="6"/>
  <c r="I7495" i="6"/>
  <c r="I7496" i="6"/>
  <c r="I7497" i="6"/>
  <c r="I7498" i="6"/>
  <c r="I7499" i="6"/>
  <c r="I7500" i="6"/>
  <c r="I7501" i="6"/>
  <c r="I7502" i="6"/>
  <c r="I7503" i="6"/>
  <c r="I7504" i="6"/>
  <c r="I7505" i="6"/>
  <c r="I7506" i="6"/>
  <c r="I7507" i="6"/>
  <c r="I7508" i="6"/>
  <c r="I7509" i="6"/>
  <c r="I7510" i="6"/>
  <c r="I7511" i="6"/>
  <c r="I7512" i="6"/>
  <c r="I7513" i="6"/>
  <c r="I7514" i="6"/>
  <c r="I7515" i="6"/>
  <c r="I7516" i="6"/>
  <c r="I7517" i="6"/>
  <c r="I7518" i="6"/>
  <c r="I7519" i="6"/>
  <c r="I7520" i="6"/>
  <c r="I7521" i="6"/>
  <c r="I7522" i="6"/>
  <c r="I7523" i="6"/>
  <c r="I7524" i="6"/>
  <c r="I7525" i="6"/>
  <c r="I7526" i="6"/>
  <c r="I7527" i="6"/>
  <c r="I7528" i="6"/>
  <c r="I7529" i="6"/>
  <c r="I7530" i="6"/>
  <c r="I7531" i="6"/>
  <c r="I7532" i="6"/>
  <c r="I7533" i="6"/>
  <c r="I7534" i="6"/>
  <c r="I7433" i="6"/>
  <c r="I7434" i="6"/>
  <c r="I7435" i="6"/>
  <c r="I7436" i="6"/>
  <c r="I7437" i="6"/>
  <c r="I7438" i="6"/>
  <c r="I7439" i="6"/>
  <c r="I7440" i="6"/>
  <c r="I7441" i="6"/>
  <c r="I7442" i="6"/>
  <c r="I7443" i="6"/>
  <c r="I7444" i="6"/>
  <c r="I7445" i="6"/>
  <c r="I7446" i="6"/>
  <c r="I7447" i="6"/>
  <c r="I7448" i="6"/>
  <c r="I7449" i="6"/>
  <c r="I7450" i="6"/>
  <c r="I7451" i="6"/>
  <c r="I7452" i="6"/>
  <c r="I7453" i="6"/>
  <c r="I7454" i="6"/>
  <c r="I7455" i="6"/>
  <c r="I7456" i="6"/>
  <c r="I7457" i="6"/>
  <c r="I7458" i="6"/>
  <c r="I7459" i="6"/>
  <c r="I7460" i="6"/>
  <c r="I7461" i="6"/>
  <c r="I7462" i="6"/>
  <c r="I7463" i="6"/>
  <c r="I7464" i="6"/>
  <c r="I7465" i="6"/>
  <c r="I7466" i="6"/>
  <c r="I7467" i="6"/>
  <c r="I7468" i="6"/>
  <c r="I7469" i="6"/>
  <c r="I7470" i="6"/>
  <c r="I7471" i="6"/>
  <c r="I7472" i="6"/>
  <c r="I7473" i="6"/>
  <c r="I7474" i="6"/>
  <c r="I7475" i="6"/>
  <c r="I7476" i="6"/>
  <c r="I7477" i="6"/>
  <c r="I7478" i="6"/>
  <c r="I7479" i="6"/>
  <c r="I7480" i="6"/>
  <c r="I7481" i="6"/>
  <c r="I7482" i="6"/>
  <c r="I7483" i="6"/>
  <c r="I7382" i="6"/>
  <c r="I7383" i="6"/>
  <c r="I7384" i="6"/>
  <c r="I7385" i="6"/>
  <c r="I7386" i="6"/>
  <c r="I7387" i="6"/>
  <c r="I7388" i="6"/>
  <c r="I7389" i="6"/>
  <c r="I7390" i="6"/>
  <c r="I7391" i="6"/>
  <c r="I7392" i="6"/>
  <c r="I7393" i="6"/>
  <c r="I7394" i="6"/>
  <c r="I7395" i="6"/>
  <c r="I7396" i="6"/>
  <c r="I7397" i="6"/>
  <c r="I7398" i="6"/>
  <c r="I7399" i="6"/>
  <c r="I7400" i="6"/>
  <c r="I7401" i="6"/>
  <c r="I7402" i="6"/>
  <c r="I7403" i="6"/>
  <c r="I7404" i="6"/>
  <c r="I7405" i="6"/>
  <c r="I7406" i="6"/>
  <c r="I7407" i="6"/>
  <c r="I7408" i="6"/>
  <c r="I7409" i="6"/>
  <c r="I7410" i="6"/>
  <c r="I7411" i="6"/>
  <c r="I7412" i="6"/>
  <c r="I7413" i="6"/>
  <c r="I7414" i="6"/>
  <c r="I7415" i="6"/>
  <c r="I7416" i="6"/>
  <c r="I7417" i="6"/>
  <c r="I7418" i="6"/>
  <c r="I7419" i="6"/>
  <c r="I7420" i="6"/>
  <c r="I7421" i="6"/>
  <c r="I7422" i="6"/>
  <c r="I7423" i="6"/>
  <c r="I7424" i="6"/>
  <c r="I7425" i="6"/>
  <c r="I7426" i="6"/>
  <c r="I7427" i="6"/>
  <c r="I7428" i="6"/>
  <c r="I7429" i="6"/>
  <c r="I7430" i="6"/>
  <c r="I7431" i="6"/>
  <c r="I7432" i="6"/>
  <c r="I7334" i="6"/>
  <c r="I7335" i="6"/>
  <c r="I7336" i="6"/>
  <c r="I7337" i="6"/>
  <c r="I7338" i="6"/>
  <c r="I7339" i="6"/>
  <c r="I7340" i="6"/>
  <c r="I7341" i="6"/>
  <c r="I7342" i="6"/>
  <c r="I7343" i="6"/>
  <c r="I7344" i="6"/>
  <c r="I7345" i="6"/>
  <c r="I7346" i="6"/>
  <c r="I7347" i="6"/>
  <c r="I7348" i="6"/>
  <c r="I7349" i="6"/>
  <c r="I7350" i="6"/>
  <c r="I7351" i="6"/>
  <c r="I7352" i="6"/>
  <c r="I7353" i="6"/>
  <c r="I7354" i="6"/>
  <c r="I7355" i="6"/>
  <c r="I7356" i="6"/>
  <c r="I7357" i="6"/>
  <c r="I7358" i="6"/>
  <c r="I7359" i="6"/>
  <c r="I7360" i="6"/>
  <c r="I7361" i="6"/>
  <c r="I7362" i="6"/>
  <c r="I7363" i="6"/>
  <c r="I7364" i="6"/>
  <c r="I7365" i="6"/>
  <c r="I7366" i="6"/>
  <c r="I7367" i="6"/>
  <c r="I7368" i="6"/>
  <c r="I7369" i="6"/>
  <c r="I7370" i="6"/>
  <c r="I7371" i="6"/>
  <c r="I7372" i="6"/>
  <c r="I7373" i="6"/>
  <c r="I7374" i="6"/>
  <c r="I7375" i="6"/>
  <c r="I7376" i="6"/>
  <c r="I7377" i="6"/>
  <c r="I7378" i="6"/>
  <c r="I7379" i="6"/>
  <c r="I7380" i="6"/>
  <c r="I7381" i="6"/>
  <c r="I7295" i="6"/>
  <c r="I7296" i="6"/>
  <c r="I7297" i="6"/>
  <c r="I7298" i="6"/>
  <c r="I7299" i="6"/>
  <c r="I7300" i="6"/>
  <c r="I7301" i="6"/>
  <c r="I7302" i="6"/>
  <c r="I7303" i="6"/>
  <c r="I7304" i="6"/>
  <c r="I7305" i="6"/>
  <c r="I7306" i="6"/>
  <c r="I7307" i="6"/>
  <c r="I7308" i="6"/>
  <c r="I7309" i="6"/>
  <c r="I7310" i="6"/>
  <c r="I7311" i="6"/>
  <c r="I7312" i="6"/>
  <c r="I7313" i="6"/>
  <c r="I7314" i="6"/>
  <c r="I7315" i="6"/>
  <c r="I7316" i="6"/>
  <c r="I7317" i="6"/>
  <c r="I7318" i="6"/>
  <c r="I7319" i="6"/>
  <c r="I7320" i="6"/>
  <c r="I7321" i="6"/>
  <c r="I7322" i="6"/>
  <c r="I7323" i="6"/>
  <c r="I7324" i="6"/>
  <c r="I7325" i="6"/>
  <c r="I7326" i="6"/>
  <c r="I7327" i="6"/>
  <c r="I7328" i="6"/>
  <c r="I7329" i="6"/>
  <c r="I7330" i="6"/>
  <c r="I7331" i="6"/>
  <c r="I7332" i="6"/>
  <c r="I7333" i="6"/>
  <c r="I7283" i="6"/>
  <c r="I7284" i="6"/>
  <c r="I7285" i="6"/>
  <c r="I7286" i="6"/>
  <c r="I7287" i="6"/>
  <c r="I7288" i="6"/>
  <c r="I7289" i="6"/>
  <c r="I7290" i="6"/>
  <c r="I7291" i="6"/>
  <c r="I7292" i="6"/>
  <c r="I7293" i="6"/>
  <c r="I7294" i="6"/>
  <c r="I7232" i="6"/>
  <c r="I7233" i="6"/>
  <c r="I7234" i="6"/>
  <c r="I7235" i="6"/>
  <c r="I7236" i="6"/>
  <c r="I7237" i="6"/>
  <c r="I7238" i="6"/>
  <c r="I7239" i="6"/>
  <c r="I7240" i="6"/>
  <c r="I7241" i="6"/>
  <c r="I7242" i="6"/>
  <c r="I7243" i="6"/>
  <c r="I7244" i="6"/>
  <c r="I7245" i="6"/>
  <c r="I7246" i="6"/>
  <c r="I7247" i="6"/>
  <c r="I7248" i="6"/>
  <c r="I7249" i="6"/>
  <c r="I7250" i="6"/>
  <c r="I7251" i="6"/>
  <c r="I7252" i="6"/>
  <c r="I7253" i="6"/>
  <c r="I7254" i="6"/>
  <c r="I7255" i="6"/>
  <c r="I7256" i="6"/>
  <c r="I7257" i="6"/>
  <c r="I7258" i="6"/>
  <c r="I7259" i="6"/>
  <c r="I7260" i="6"/>
  <c r="I7261" i="6"/>
  <c r="I7262" i="6"/>
  <c r="I7263" i="6"/>
  <c r="I7264" i="6"/>
  <c r="I7265" i="6"/>
  <c r="I7266" i="6"/>
  <c r="I7267" i="6"/>
  <c r="I7268" i="6"/>
  <c r="I7269" i="6"/>
  <c r="I7270" i="6"/>
  <c r="I7271" i="6"/>
  <c r="I7272" i="6"/>
  <c r="I7273" i="6"/>
  <c r="I7274" i="6"/>
  <c r="I7275" i="6"/>
  <c r="I7276" i="6"/>
  <c r="I7277" i="6"/>
  <c r="I7278" i="6"/>
  <c r="I7279" i="6"/>
  <c r="I7280" i="6"/>
  <c r="I7281" i="6"/>
  <c r="I7282" i="6"/>
  <c r="I7186" i="6"/>
  <c r="I7187" i="6"/>
  <c r="I7188" i="6"/>
  <c r="I7189" i="6"/>
  <c r="I7190" i="6"/>
  <c r="I7191" i="6"/>
  <c r="I7192" i="6"/>
  <c r="I7193" i="6"/>
  <c r="I7194" i="6"/>
  <c r="I7195" i="6"/>
  <c r="I7196" i="6"/>
  <c r="I7197" i="6"/>
  <c r="I7198" i="6"/>
  <c r="I7199" i="6"/>
  <c r="I7200" i="6"/>
  <c r="I7201" i="6"/>
  <c r="I7202" i="6"/>
  <c r="I7203" i="6"/>
  <c r="I7204" i="6"/>
  <c r="I7205" i="6"/>
  <c r="I7206" i="6"/>
  <c r="I7207" i="6"/>
  <c r="I7208" i="6"/>
  <c r="I7209" i="6"/>
  <c r="I7210" i="6"/>
  <c r="I7211" i="6"/>
  <c r="I7212" i="6"/>
  <c r="I7213" i="6"/>
  <c r="I7214" i="6"/>
  <c r="I7215" i="6"/>
  <c r="I7216" i="6"/>
  <c r="I7217" i="6"/>
  <c r="I7218" i="6"/>
  <c r="I7219" i="6"/>
  <c r="I7220" i="6"/>
  <c r="I7221" i="6"/>
  <c r="I7222" i="6"/>
  <c r="I7223" i="6"/>
  <c r="I7224" i="6"/>
  <c r="I7225" i="6"/>
  <c r="I7226" i="6"/>
  <c r="I7227" i="6"/>
  <c r="I7228" i="6"/>
  <c r="I7229" i="6"/>
  <c r="I7230" i="6"/>
  <c r="I7231" i="6"/>
  <c r="I7148" i="6"/>
  <c r="I7149" i="6"/>
  <c r="I7150" i="6"/>
  <c r="I7151" i="6"/>
  <c r="I7152" i="6"/>
  <c r="I7153" i="6"/>
  <c r="I7154" i="6"/>
  <c r="I7155" i="6"/>
  <c r="I7156" i="6"/>
  <c r="I7157" i="6"/>
  <c r="I7158" i="6"/>
  <c r="I7159" i="6"/>
  <c r="I7160" i="6"/>
  <c r="I7161" i="6"/>
  <c r="I7162" i="6"/>
  <c r="I7163" i="6"/>
  <c r="I7164" i="6"/>
  <c r="I7165" i="6"/>
  <c r="I7166" i="6"/>
  <c r="I7167" i="6"/>
  <c r="I7168" i="6"/>
  <c r="I7169" i="6"/>
  <c r="I7170" i="6"/>
  <c r="I7171" i="6"/>
  <c r="I7172" i="6"/>
  <c r="I7173" i="6"/>
  <c r="I7174" i="6"/>
  <c r="I7175" i="6"/>
  <c r="I7176" i="6"/>
  <c r="I7177" i="6"/>
  <c r="I7178" i="6"/>
  <c r="I7179" i="6"/>
  <c r="I7180" i="6"/>
  <c r="I7181" i="6"/>
  <c r="I7182" i="6"/>
  <c r="I7183" i="6"/>
  <c r="I7184" i="6"/>
  <c r="I7185" i="6"/>
  <c r="I7147" i="6"/>
  <c r="I7146" i="6"/>
  <c r="I7112" i="6"/>
  <c r="I7113" i="6"/>
  <c r="I7114" i="6"/>
  <c r="I7115" i="6"/>
  <c r="I7116" i="6"/>
  <c r="I7117" i="6"/>
  <c r="I7118" i="6"/>
  <c r="I7119" i="6"/>
  <c r="I7120" i="6"/>
  <c r="I7121" i="6"/>
  <c r="I7122" i="6"/>
  <c r="I7123" i="6"/>
  <c r="I7124" i="6"/>
  <c r="I7125" i="6"/>
  <c r="I7126" i="6"/>
  <c r="I7127" i="6"/>
  <c r="I7128" i="6"/>
  <c r="I7129" i="6"/>
  <c r="I7130" i="6"/>
  <c r="I7131" i="6"/>
  <c r="I7132" i="6"/>
  <c r="I7133" i="6"/>
  <c r="I7134" i="6"/>
  <c r="I7135" i="6"/>
  <c r="I7136" i="6"/>
  <c r="I7137" i="6"/>
  <c r="I7138" i="6"/>
  <c r="I7139" i="6"/>
  <c r="I7140" i="6"/>
  <c r="I7141" i="6"/>
  <c r="I7142" i="6"/>
  <c r="I7143" i="6"/>
  <c r="I7144" i="6"/>
  <c r="I7145" i="6"/>
  <c r="I7062" i="6"/>
  <c r="I7063" i="6"/>
  <c r="I7064" i="6"/>
  <c r="I7065" i="6"/>
  <c r="I7066" i="6"/>
  <c r="I7067" i="6"/>
  <c r="I7068" i="6"/>
  <c r="I7069" i="6"/>
  <c r="I7070" i="6"/>
  <c r="I7071" i="6"/>
  <c r="I7072" i="6"/>
  <c r="I7073" i="6"/>
  <c r="I7074" i="6"/>
  <c r="I7075" i="6"/>
  <c r="I7076" i="6"/>
  <c r="I7077" i="6"/>
  <c r="I7078" i="6"/>
  <c r="I7079" i="6"/>
  <c r="I7080" i="6"/>
  <c r="I7081" i="6"/>
  <c r="I7082" i="6"/>
  <c r="I7083" i="6"/>
  <c r="I7084" i="6"/>
  <c r="I7085" i="6"/>
  <c r="I7086" i="6"/>
  <c r="I7087" i="6"/>
  <c r="I7088" i="6"/>
  <c r="I7089" i="6"/>
  <c r="I7090" i="6"/>
  <c r="I7091" i="6"/>
  <c r="I7092" i="6"/>
  <c r="I7093" i="6"/>
  <c r="I7094" i="6"/>
  <c r="I7095" i="6"/>
  <c r="I7096" i="6"/>
  <c r="I7097" i="6"/>
  <c r="I7098" i="6"/>
  <c r="I7099" i="6"/>
  <c r="I7100" i="6"/>
  <c r="I7101" i="6"/>
  <c r="I7102" i="6"/>
  <c r="I7103" i="6"/>
  <c r="I7104" i="6"/>
  <c r="I7105" i="6"/>
  <c r="I7106" i="6"/>
  <c r="I7107" i="6"/>
  <c r="I7108" i="6"/>
  <c r="I7109" i="6"/>
  <c r="I7110" i="6"/>
  <c r="I7111" i="6"/>
  <c r="I7061" i="6"/>
  <c r="I7059" i="6"/>
  <c r="I7060" i="6"/>
  <c r="I7058" i="6"/>
  <c r="I7057" i="6"/>
  <c r="I7017" i="6"/>
  <c r="I7018" i="6"/>
  <c r="I7019" i="6"/>
  <c r="I7020" i="6"/>
  <c r="I7021" i="6"/>
  <c r="I7022" i="6"/>
  <c r="I7023" i="6"/>
  <c r="I7024" i="6"/>
  <c r="I7025" i="6"/>
  <c r="I7026" i="6"/>
  <c r="I7027" i="6"/>
  <c r="I7028" i="6"/>
  <c r="I7029" i="6"/>
  <c r="I7030" i="6"/>
  <c r="I7031" i="6"/>
  <c r="I7032" i="6"/>
  <c r="I7033" i="6"/>
  <c r="I7034" i="6"/>
  <c r="I7035" i="6"/>
  <c r="I7036" i="6"/>
  <c r="I7037" i="6"/>
  <c r="I7038" i="6"/>
  <c r="I7039" i="6"/>
  <c r="I7040" i="6"/>
  <c r="I7041" i="6"/>
  <c r="I7042" i="6"/>
  <c r="I7043" i="6"/>
  <c r="I7044" i="6"/>
  <c r="I7045" i="6"/>
  <c r="I7046" i="6"/>
  <c r="I7047" i="6"/>
  <c r="I7048" i="6"/>
  <c r="I7049" i="6"/>
  <c r="I7050" i="6"/>
  <c r="I7051" i="6"/>
  <c r="I7052" i="6"/>
  <c r="I7053" i="6"/>
  <c r="I7054" i="6"/>
  <c r="I7055" i="6"/>
  <c r="I7056" i="6"/>
  <c r="I6969" i="6"/>
  <c r="I6970" i="6"/>
  <c r="I6971" i="6"/>
  <c r="I6972" i="6"/>
  <c r="I6973" i="6"/>
  <c r="I6974" i="6"/>
  <c r="I6975" i="6"/>
  <c r="I6976" i="6"/>
  <c r="I6977" i="6"/>
  <c r="I6978" i="6"/>
  <c r="I6979" i="6"/>
  <c r="I6980" i="6"/>
  <c r="I6981" i="6"/>
  <c r="I6982" i="6"/>
  <c r="I6983" i="6"/>
  <c r="I6984" i="6"/>
  <c r="I6985" i="6"/>
  <c r="I6986" i="6"/>
  <c r="I6987" i="6"/>
  <c r="I6988" i="6"/>
  <c r="I6989" i="6"/>
  <c r="I6990" i="6"/>
  <c r="I6991" i="6"/>
  <c r="I6992" i="6"/>
  <c r="I6993" i="6"/>
  <c r="I6994" i="6"/>
  <c r="I6995" i="6"/>
  <c r="I6996" i="6"/>
  <c r="I6997" i="6"/>
  <c r="I6998" i="6"/>
  <c r="I7000" i="6"/>
  <c r="I7002" i="6"/>
  <c r="I7003" i="6"/>
  <c r="I7004" i="6"/>
  <c r="I7005" i="6"/>
  <c r="I7006" i="6"/>
  <c r="I7007" i="6"/>
  <c r="I7008" i="6"/>
  <c r="I7009" i="6"/>
  <c r="I7010" i="6"/>
  <c r="I7011" i="6"/>
  <c r="I7012" i="6"/>
  <c r="I7013" i="6"/>
  <c r="I7014" i="6"/>
  <c r="I7015" i="6"/>
  <c r="I7016" i="6"/>
  <c r="I6968" i="6"/>
  <c r="I6967" i="6"/>
  <c r="I6957" i="6"/>
  <c r="I6958" i="6"/>
  <c r="I6959" i="6"/>
  <c r="I6960" i="6"/>
  <c r="I6961" i="6"/>
  <c r="I6962" i="6"/>
  <c r="I6963" i="6"/>
  <c r="I6964" i="6"/>
  <c r="I6965" i="6"/>
  <c r="I6966" i="6"/>
  <c r="I6907" i="6"/>
  <c r="I6908" i="6"/>
  <c r="I6909" i="6"/>
  <c r="I6910" i="6"/>
  <c r="I6911" i="6"/>
  <c r="I6912" i="6"/>
  <c r="I6913" i="6"/>
  <c r="I6914" i="6"/>
  <c r="I6915" i="6"/>
  <c r="I6916" i="6"/>
  <c r="I6917" i="6"/>
  <c r="I6918" i="6"/>
  <c r="I6919" i="6"/>
  <c r="I6920" i="6"/>
  <c r="I6921" i="6"/>
  <c r="I6922" i="6"/>
  <c r="I6923" i="6"/>
  <c r="I6924" i="6"/>
  <c r="I6925" i="6"/>
  <c r="I6926" i="6"/>
  <c r="I6927" i="6"/>
  <c r="I6928" i="6"/>
  <c r="I6929" i="6"/>
  <c r="I6930" i="6"/>
  <c r="I6931" i="6"/>
  <c r="I6932" i="6"/>
  <c r="I6933" i="6"/>
  <c r="I6934" i="6"/>
  <c r="I6935" i="6"/>
  <c r="I6936" i="6"/>
  <c r="I6937" i="6"/>
  <c r="I6938" i="6"/>
  <c r="I6939" i="6"/>
  <c r="I6940" i="6"/>
  <c r="I6941" i="6"/>
  <c r="I6942" i="6"/>
  <c r="I6943" i="6"/>
  <c r="I6944" i="6"/>
  <c r="I6945" i="6"/>
  <c r="I6946" i="6"/>
  <c r="I6947" i="6"/>
  <c r="I6948" i="6"/>
  <c r="I6949" i="6"/>
  <c r="I6950" i="6"/>
  <c r="I6951" i="6"/>
  <c r="I6952" i="6"/>
  <c r="I6953" i="6"/>
  <c r="I6954" i="6"/>
  <c r="I6955" i="6"/>
  <c r="I6956" i="6"/>
  <c r="I6906" i="6"/>
  <c r="I6905" i="6"/>
  <c r="I6904" i="6"/>
  <c r="I6878" i="6"/>
  <c r="I6879" i="6"/>
  <c r="I6880" i="6"/>
  <c r="I6881" i="6"/>
  <c r="I6882" i="6"/>
  <c r="I6883" i="6"/>
  <c r="I6884" i="6"/>
  <c r="I6885" i="6"/>
  <c r="I6886" i="6"/>
  <c r="I6887" i="6"/>
  <c r="I6888" i="6"/>
  <c r="I6889" i="6"/>
  <c r="I6890" i="6"/>
  <c r="I6891" i="6"/>
  <c r="I6892" i="6"/>
  <c r="I6893" i="6"/>
  <c r="I6894" i="6"/>
  <c r="I6895" i="6"/>
  <c r="I6896" i="6"/>
  <c r="I6897" i="6"/>
  <c r="I6898" i="6"/>
  <c r="I6899" i="6"/>
  <c r="I6900" i="6"/>
  <c r="I6901" i="6"/>
  <c r="I6902" i="6"/>
  <c r="I6903" i="6"/>
  <c r="I6877" i="6"/>
  <c r="I6876" i="6"/>
  <c r="I6875" i="6"/>
  <c r="I6874" i="6"/>
  <c r="I6873" i="6"/>
  <c r="I6872" i="6"/>
  <c r="I6871" i="6"/>
  <c r="I6870" i="6"/>
  <c r="I6869" i="6"/>
  <c r="I6868" i="6"/>
  <c r="I6867" i="6"/>
  <c r="I6866" i="6"/>
  <c r="I6865" i="6"/>
  <c r="I6864" i="6"/>
  <c r="I6862" i="6"/>
  <c r="I6863" i="6"/>
  <c r="I6799" i="6"/>
  <c r="I6800" i="6"/>
  <c r="I6801" i="6"/>
  <c r="I6802" i="6"/>
  <c r="I6803" i="6"/>
  <c r="I6804" i="6"/>
  <c r="I6805" i="6"/>
  <c r="I6806" i="6"/>
  <c r="I6807" i="6"/>
  <c r="I6808" i="6"/>
  <c r="I6809" i="6"/>
  <c r="I6810" i="6"/>
  <c r="I6811" i="6"/>
  <c r="I6812" i="6"/>
  <c r="I6813" i="6"/>
  <c r="I6814" i="6"/>
  <c r="I6815" i="6"/>
  <c r="I6816" i="6"/>
  <c r="I6817" i="6"/>
  <c r="I6818" i="6"/>
  <c r="I6819" i="6"/>
  <c r="I6820" i="6"/>
  <c r="I6821" i="6"/>
  <c r="I6822" i="6"/>
  <c r="I6823" i="6"/>
  <c r="I6824" i="6"/>
  <c r="I6825" i="6"/>
  <c r="I6826" i="6"/>
  <c r="I6827" i="6"/>
  <c r="I6828" i="6"/>
  <c r="I6829" i="6"/>
  <c r="I6830" i="6"/>
  <c r="I6831" i="6"/>
  <c r="I6832" i="6"/>
  <c r="I6833" i="6"/>
  <c r="I6834" i="6"/>
  <c r="I6835" i="6"/>
  <c r="I6836" i="6"/>
  <c r="I6837" i="6"/>
  <c r="I6838" i="6"/>
  <c r="I6839" i="6"/>
  <c r="I6840" i="6"/>
  <c r="I6841" i="6"/>
  <c r="I6842" i="6"/>
  <c r="I6843" i="6"/>
  <c r="I6844" i="6"/>
  <c r="I6845" i="6"/>
  <c r="I6846" i="6"/>
  <c r="I6847" i="6"/>
  <c r="I6848" i="6"/>
  <c r="I6849" i="6"/>
  <c r="I6850" i="6"/>
  <c r="I6851" i="6"/>
  <c r="I6852" i="6"/>
  <c r="I6853" i="6"/>
  <c r="I6854" i="6"/>
  <c r="I6855" i="6"/>
  <c r="I6856" i="6"/>
  <c r="I6857" i="6"/>
  <c r="I6858" i="6"/>
  <c r="I6859" i="6"/>
  <c r="I6860" i="6"/>
  <c r="I6861" i="6"/>
  <c r="I6798" i="6"/>
  <c r="I6790" i="6"/>
  <c r="I6791" i="6"/>
  <c r="I6792" i="6"/>
  <c r="I6793" i="6"/>
  <c r="I6794" i="6"/>
  <c r="I6795" i="6"/>
  <c r="I6796" i="6"/>
  <c r="I6797" i="6"/>
  <c r="I6789" i="6"/>
  <c r="I6782" i="6"/>
  <c r="I6783" i="6"/>
  <c r="I6784" i="6"/>
  <c r="I6785" i="6"/>
  <c r="I6786" i="6"/>
  <c r="I6787" i="6"/>
  <c r="I6788" i="6"/>
  <c r="I6781" i="6"/>
  <c r="I6771" i="6"/>
  <c r="I6772" i="6"/>
  <c r="I6773" i="6"/>
  <c r="I6774" i="6"/>
  <c r="I6775" i="6"/>
  <c r="I6776" i="6"/>
  <c r="I6777" i="6"/>
  <c r="I6778" i="6"/>
  <c r="I6779" i="6"/>
  <c r="I6780" i="6"/>
  <c r="I6770" i="6"/>
  <c r="I6760" i="6"/>
  <c r="I6761" i="6"/>
  <c r="I6762" i="6"/>
  <c r="I6763" i="6"/>
  <c r="I6764" i="6"/>
  <c r="I6765" i="6"/>
  <c r="I6766" i="6"/>
  <c r="I6767" i="6"/>
  <c r="I6768" i="6"/>
  <c r="I6769" i="6"/>
  <c r="I6759" i="6"/>
  <c r="I6739" i="6"/>
  <c r="I6740" i="6"/>
  <c r="I6741" i="6"/>
  <c r="I6742" i="6"/>
  <c r="I6743" i="6"/>
  <c r="I6744" i="6"/>
  <c r="I6745" i="6"/>
  <c r="I6746" i="6"/>
  <c r="I6747" i="6"/>
  <c r="I6748" i="6"/>
  <c r="I6749" i="6"/>
  <c r="I6750" i="6"/>
  <c r="I6751" i="6"/>
  <c r="I6752" i="6"/>
  <c r="I6753" i="6"/>
  <c r="I6754" i="6"/>
  <c r="I6755" i="6"/>
  <c r="I6756" i="6"/>
  <c r="I6757" i="6"/>
  <c r="I6758" i="6"/>
  <c r="I6738" i="6"/>
  <c r="I6737" i="6"/>
  <c r="I579" i="6" l="1"/>
  <c r="I578" i="6"/>
  <c r="I580" i="6"/>
  <c r="I10045" i="6"/>
  <c r="I9750" i="6"/>
  <c r="I9769" i="6"/>
  <c r="I6489" i="6"/>
  <c r="I484" i="6"/>
  <c r="I483" i="6"/>
  <c r="I482" i="6"/>
  <c r="I481" i="6"/>
  <c r="I480" i="6"/>
  <c r="I479" i="6"/>
  <c r="I478" i="6"/>
  <c r="I477" i="6"/>
  <c r="I476" i="6"/>
  <c r="I475" i="6"/>
  <c r="I10046" i="6"/>
  <c r="I10047" i="6"/>
  <c r="I10048" i="6"/>
  <c r="I10049" i="6"/>
  <c r="I503" i="6"/>
  <c r="I504" i="6"/>
  <c r="I505" i="6"/>
  <c r="I506" i="6"/>
  <c r="I507" i="6"/>
  <c r="I508" i="6"/>
  <c r="I509" i="6"/>
  <c r="I514" i="6"/>
  <c r="I515" i="6"/>
  <c r="I516" i="6"/>
  <c r="I517" i="6"/>
  <c r="I518" i="6"/>
  <c r="I9737" i="6"/>
  <c r="I9736" i="6"/>
  <c r="I9735" i="6"/>
  <c r="I9728" i="6"/>
  <c r="I9730" i="6"/>
  <c r="I9731" i="6"/>
  <c r="I9732" i="6"/>
  <c r="I9734" i="6"/>
  <c r="I9727" i="6"/>
  <c r="I10183" i="6"/>
  <c r="I10361" i="6"/>
  <c r="I10362" i="6"/>
  <c r="I10363" i="6"/>
  <c r="I10352" i="6"/>
  <c r="I10353" i="6"/>
  <c r="I10354" i="6"/>
  <c r="I10355" i="6"/>
  <c r="I10356" i="6"/>
  <c r="I10357" i="6"/>
  <c r="I10358" i="6"/>
  <c r="I10359" i="6"/>
  <c r="I10360" i="6"/>
  <c r="I10345" i="6"/>
  <c r="I10343" i="6"/>
  <c r="I10344" i="6"/>
  <c r="I9721" i="6"/>
  <c r="I9722" i="6"/>
  <c r="I9720" i="6"/>
  <c r="I10339" i="6"/>
  <c r="I10338" i="6"/>
  <c r="I10337" i="6"/>
  <c r="I10332" i="6"/>
  <c r="I10333" i="6"/>
  <c r="I10334" i="6"/>
  <c r="I10335" i="6"/>
  <c r="I10336" i="6"/>
  <c r="I10331" i="6"/>
  <c r="I6673" i="6"/>
  <c r="I9844" i="6"/>
  <c r="I465" i="6"/>
  <c r="I464" i="6"/>
  <c r="I463" i="6"/>
  <c r="I462" i="6"/>
  <c r="I461" i="6"/>
  <c r="I460" i="6"/>
  <c r="I459" i="6"/>
  <c r="I9725" i="6"/>
  <c r="I9724" i="6"/>
  <c r="I9723" i="6"/>
  <c r="I9843" i="6"/>
  <c r="I10329" i="6"/>
  <c r="I10330" i="6"/>
  <c r="I10328" i="6"/>
  <c r="I4913" i="6"/>
  <c r="I4921" i="6"/>
  <c r="I4920" i="6"/>
  <c r="I4167" i="6" l="1"/>
  <c r="I4166" i="6"/>
  <c r="I6656" i="6"/>
  <c r="I6657" i="6"/>
  <c r="I6658" i="6"/>
  <c r="I6659" i="6"/>
  <c r="I6660" i="6"/>
  <c r="I6661" i="6"/>
  <c r="I6662" i="6"/>
  <c r="I6655" i="6"/>
  <c r="I6490" i="6"/>
  <c r="I6491" i="6"/>
  <c r="I6492" i="6"/>
  <c r="I6493" i="6"/>
  <c r="I6494" i="6"/>
  <c r="I6495" i="6"/>
  <c r="I10368" i="6"/>
  <c r="I10367" i="6"/>
  <c r="I10366" i="6"/>
  <c r="I10340" i="6"/>
  <c r="I581" i="6" l="1"/>
  <c r="I582" i="6"/>
  <c r="I583" i="6"/>
  <c r="I584" i="6"/>
  <c r="I585" i="6"/>
  <c r="I586" i="6"/>
  <c r="I587" i="6"/>
  <c r="I588" i="6"/>
  <c r="I2" i="6"/>
  <c r="D71" i="9" l="1"/>
  <c r="D39" i="8"/>
  <c r="E39" i="8"/>
  <c r="C39" i="8"/>
  <c r="D14" i="7"/>
  <c r="C42" i="8" l="1"/>
  <c r="G6731" i="6"/>
  <c r="I6731" i="6" s="1"/>
  <c r="G6732" i="6"/>
  <c r="I6732" i="6" s="1"/>
  <c r="G6733" i="6"/>
  <c r="I6733" i="6" s="1"/>
  <c r="G6734" i="6"/>
  <c r="I6734" i="6" s="1"/>
  <c r="G6735" i="6"/>
  <c r="I6735" i="6" s="1"/>
  <c r="G6717" i="6"/>
  <c r="I6717" i="6" s="1"/>
  <c r="I678" i="6" l="1"/>
  <c r="G10696" i="6"/>
  <c r="I10696" i="6" s="1"/>
  <c r="I11175" i="6" s="1"/>
</calcChain>
</file>

<file path=xl/sharedStrings.xml><?xml version="1.0" encoding="utf-8"?>
<sst xmlns="http://schemas.openxmlformats.org/spreadsheetml/2006/main" count="32965" uniqueCount="19231">
  <si>
    <t>Leverancier</t>
  </si>
  <si>
    <t>Artikelnummer</t>
  </si>
  <si>
    <t>Product</t>
  </si>
  <si>
    <t>Verpakking</t>
  </si>
  <si>
    <t>Eenheid</t>
  </si>
  <si>
    <t>Voorraad</t>
  </si>
  <si>
    <t>Prijs BPA</t>
  </si>
  <si>
    <t>Eh.prijs</t>
  </si>
  <si>
    <t>Waarde</t>
  </si>
  <si>
    <t>AB-Matic</t>
  </si>
  <si>
    <t>BEN 9592391</t>
  </si>
  <si>
    <t>JIM .4 ESA AB MATIC5B</t>
  </si>
  <si>
    <t>BEN 9592390</t>
  </si>
  <si>
    <t>JIM.3 ESA AB MATIC 5B</t>
  </si>
  <si>
    <t>BEN 9592439</t>
  </si>
  <si>
    <t>JIM.3 ESA TURBO AB MATIC 5B</t>
  </si>
  <si>
    <t>BEN 9592238</t>
  </si>
  <si>
    <t>JIM .2</t>
  </si>
  <si>
    <t>ORI 128BIT KEYPAD</t>
  </si>
  <si>
    <t>draadloos codeklavier 4K ARC128bit</t>
  </si>
  <si>
    <t>BEN 9673103</t>
  </si>
  <si>
    <t>ONE.2WB</t>
  </si>
  <si>
    <t>BEN 9830075</t>
  </si>
  <si>
    <t>SMART</t>
  </si>
  <si>
    <t>BEN 953402665</t>
  </si>
  <si>
    <t>NEW STAR</t>
  </si>
  <si>
    <t>BEN 940901764</t>
  </si>
  <si>
    <t>PUPILLA</t>
  </si>
  <si>
    <t>BEN 9667023</t>
  </si>
  <si>
    <t>PTCL.4</t>
  </si>
  <si>
    <t>BEN 9667022</t>
  </si>
  <si>
    <t>PTCI.4</t>
  </si>
  <si>
    <t>BEN 9667020</t>
  </si>
  <si>
    <t>PTC.4</t>
  </si>
  <si>
    <t>BEN 9863173</t>
  </si>
  <si>
    <t>TOGO2VA</t>
  </si>
  <si>
    <t>CDV</t>
  </si>
  <si>
    <t>TR2GIM</t>
  </si>
  <si>
    <t>ABM kit zed zed</t>
  </si>
  <si>
    <t>Kit zed zed rie</t>
  </si>
  <si>
    <t>OND BEN 9686279</t>
  </si>
  <si>
    <t>Condensator 10µF</t>
  </si>
  <si>
    <t>OND BEN 9686088</t>
  </si>
  <si>
    <t>Condensator 25µF</t>
  </si>
  <si>
    <t>BEN 9176213</t>
  </si>
  <si>
    <t>Brainy</t>
  </si>
  <si>
    <t>BEN 907600922</t>
  </si>
  <si>
    <t>AW 8B</t>
  </si>
  <si>
    <t>BEN 9623003</t>
  </si>
  <si>
    <t>AU.125</t>
  </si>
  <si>
    <t>BEN 9099059</t>
  </si>
  <si>
    <t>AU2.D45</t>
  </si>
  <si>
    <t>BEN 9592599</t>
  </si>
  <si>
    <t>Zed.rie</t>
  </si>
  <si>
    <t>BEN 9592635</t>
  </si>
  <si>
    <t>Zed.sc</t>
  </si>
  <si>
    <t>BEN 9863174</t>
  </si>
  <si>
    <t>TOGO4VA</t>
  </si>
  <si>
    <t>BEN 9076062</t>
  </si>
  <si>
    <t>AWO B7</t>
  </si>
  <si>
    <t>BEN 9252070</t>
  </si>
  <si>
    <t>IRI.CELL</t>
  </si>
  <si>
    <t>BEN 9409006</t>
  </si>
  <si>
    <t>PUPILLA.B</t>
  </si>
  <si>
    <t>BEN 9670051</t>
  </si>
  <si>
    <t>IPB.NO</t>
  </si>
  <si>
    <t>BEN 953401668</t>
  </si>
  <si>
    <t>LAMPY. Blinker (LED)</t>
  </si>
  <si>
    <t>BEN 940901763</t>
  </si>
  <si>
    <t>PUPILLA.T</t>
  </si>
  <si>
    <t>CEV 56484</t>
  </si>
  <si>
    <t>Spiraalkabel</t>
  </si>
  <si>
    <t>TEL HDR-30-24</t>
  </si>
  <si>
    <t>HDR-30-24</t>
  </si>
  <si>
    <t>BEA LZR flatscan</t>
  </si>
  <si>
    <t>LZR FLATSCAN SW</t>
  </si>
  <si>
    <t>CDV T290SPR12</t>
  </si>
  <si>
    <t>Elektrisch slot symmetrische sluitplaat arbeidsstroom direct 12 V DC + Voorplaat</t>
  </si>
  <si>
    <t>JM.VAT10</t>
  </si>
  <si>
    <t>JM.VAT10 verlengstuk 280mm tussen meeneemstuk en poortblad</t>
  </si>
  <si>
    <t>BEN KEYPAD</t>
  </si>
  <si>
    <t>BEN KEYPAD draadloos codeklavier Beninca</t>
  </si>
  <si>
    <t>AWO</t>
  </si>
  <si>
    <t>AWO antenne 433,92 Mhz</t>
  </si>
  <si>
    <t>JM.CBY (BEN 9760023)</t>
  </si>
  <si>
    <t>JM.CBY Beninca noodvoeding complete set BESA systeem</t>
  </si>
  <si>
    <t>TR4GIM (CDV S2TR2641E4.AB)</t>
  </si>
  <si>
    <t>TR4GIM erone zender 4kanaals 433MHz</t>
  </si>
  <si>
    <t>Biolite kit (SYN BIOLITE N2)</t>
  </si>
  <si>
    <t>Fingerscanner BLS-OC (kit)</t>
  </si>
  <si>
    <t>Ben to clip</t>
  </si>
  <si>
    <t>Muurhouder togo to.clip</t>
  </si>
  <si>
    <t>EUR JK.UL</t>
  </si>
  <si>
    <t>JK.UL noodontkoppeling sectionaalpoort</t>
  </si>
  <si>
    <t>BEN 940901765</t>
  </si>
  <si>
    <t>FTC.S</t>
  </si>
  <si>
    <t>OND BEN 9686329</t>
  </si>
  <si>
    <t>Eindeloop met veer bull serie</t>
  </si>
  <si>
    <t>BEN 9686825</t>
  </si>
  <si>
    <t>CP.J4ESA</t>
  </si>
  <si>
    <t>967000 2</t>
  </si>
  <si>
    <t>BE code</t>
  </si>
  <si>
    <t>10L009</t>
  </si>
  <si>
    <t>V2 codeklavier Sirmo-DE</t>
  </si>
  <si>
    <t>Vingerscan ekey Toca</t>
  </si>
  <si>
    <t>no touch</t>
  </si>
  <si>
    <t>Toro 50 Motor</t>
  </si>
  <si>
    <t>V2 Motor kit azimut 1</t>
  </si>
  <si>
    <t>ALC Automatisatie BVBA</t>
  </si>
  <si>
    <t>V2 Gecodeerde zender, 2 kanaals</t>
  </si>
  <si>
    <t>Alcomex</t>
  </si>
  <si>
    <t>Blanke lengtes</t>
  </si>
  <si>
    <t>05105003500LB</t>
  </si>
  <si>
    <t>05105003500RB</t>
  </si>
  <si>
    <t>05105503500LB</t>
  </si>
  <si>
    <t>05105503500RB</t>
  </si>
  <si>
    <t>05107003500LB</t>
  </si>
  <si>
    <t>05107003500RB</t>
  </si>
  <si>
    <t>06706503500LB</t>
  </si>
  <si>
    <t>06706503500RB</t>
  </si>
  <si>
    <t>06707003500LB</t>
  </si>
  <si>
    <t>06707003500RB</t>
  </si>
  <si>
    <t>09506503500LB</t>
  </si>
  <si>
    <t>09506503500RB</t>
  </si>
  <si>
    <t>09507003500LB</t>
  </si>
  <si>
    <t>09507003500RB</t>
  </si>
  <si>
    <t>09507503500LB</t>
  </si>
  <si>
    <t>09507503500RB</t>
  </si>
  <si>
    <t>09508003500LB</t>
  </si>
  <si>
    <t>09508003500RB</t>
  </si>
  <si>
    <t>09508503500LB</t>
  </si>
  <si>
    <t>09508503500RB</t>
  </si>
  <si>
    <t>09509003500LB</t>
  </si>
  <si>
    <t>09509003500RB</t>
  </si>
  <si>
    <t>15208503500LB</t>
  </si>
  <si>
    <t>15208503500RB</t>
  </si>
  <si>
    <t>15209503500LB</t>
  </si>
  <si>
    <t>15209503500RB</t>
  </si>
  <si>
    <t>15210003500LB</t>
  </si>
  <si>
    <t>15210003500RB</t>
  </si>
  <si>
    <t>15210503500LB</t>
  </si>
  <si>
    <t>15210503500RB</t>
  </si>
  <si>
    <t>15211003500LB</t>
  </si>
  <si>
    <t>15211003500RB</t>
  </si>
  <si>
    <t>Gekogeld en gelakt</t>
  </si>
  <si>
    <t>K05104503250L</t>
  </si>
  <si>
    <t>K05104503250R</t>
  </si>
  <si>
    <t>K05105003250L</t>
  </si>
  <si>
    <t>K05105003250R</t>
  </si>
  <si>
    <t>K05105503250L</t>
  </si>
  <si>
    <t>K05105503250R</t>
  </si>
  <si>
    <t>K05106003250L</t>
  </si>
  <si>
    <t>K05106003250R</t>
  </si>
  <si>
    <t>K05106503250L</t>
  </si>
  <si>
    <t>K05106503250R</t>
  </si>
  <si>
    <t>K06706003250L</t>
  </si>
  <si>
    <t>K06706003250R</t>
  </si>
  <si>
    <t>K06706500690L</t>
  </si>
  <si>
    <t>K06706500690R</t>
  </si>
  <si>
    <t>K06706503250L</t>
  </si>
  <si>
    <t>K06706503250R</t>
  </si>
  <si>
    <t>K06707003250L</t>
  </si>
  <si>
    <t>K06707003250R</t>
  </si>
  <si>
    <t>K06707503250L</t>
  </si>
  <si>
    <t>K06707503250R</t>
  </si>
  <si>
    <t>K09506501410L</t>
  </si>
  <si>
    <t>K0950650140R</t>
  </si>
  <si>
    <t>K09507001410L</t>
  </si>
  <si>
    <t>K0950700140R</t>
  </si>
  <si>
    <t>K09507501410L</t>
  </si>
  <si>
    <t>K09507501410R</t>
  </si>
  <si>
    <t>K09508001410L</t>
  </si>
  <si>
    <t>K09508001410R</t>
  </si>
  <si>
    <t>K09508501410L</t>
  </si>
  <si>
    <t>K09508501410R</t>
  </si>
  <si>
    <t>K09509001410L</t>
  </si>
  <si>
    <t>K09509001410R</t>
  </si>
  <si>
    <t>K15207501510L</t>
  </si>
  <si>
    <t>K15207501510R</t>
  </si>
  <si>
    <t>K15208001510L</t>
  </si>
  <si>
    <t>K15208001510R</t>
  </si>
  <si>
    <t>K15208501510L</t>
  </si>
  <si>
    <t>K15208501510R</t>
  </si>
  <si>
    <t>K15209001510L</t>
  </si>
  <si>
    <t>K15209001510R</t>
  </si>
  <si>
    <t>K15219501650L</t>
  </si>
  <si>
    <t>K15219501650R</t>
  </si>
  <si>
    <t>K15210001650L</t>
  </si>
  <si>
    <t>K15210001650R</t>
  </si>
  <si>
    <t>K15210501650L</t>
  </si>
  <si>
    <t>K15210501650R</t>
  </si>
  <si>
    <t>K15211001650L</t>
  </si>
  <si>
    <t>K15211001650R</t>
  </si>
  <si>
    <t>K15211501650L</t>
  </si>
  <si>
    <t>K15211501650R</t>
  </si>
  <si>
    <t>Gekogeld en gelakt- geassembleerd met pluggen - per 100 in een doos</t>
  </si>
  <si>
    <t>K05105000450L</t>
  </si>
  <si>
    <t>K05105000450R</t>
  </si>
  <si>
    <t>K05105000492L</t>
  </si>
  <si>
    <t>K05105000492R</t>
  </si>
  <si>
    <t>K05105000500L</t>
  </si>
  <si>
    <t>K05105000500R</t>
  </si>
  <si>
    <t>K05105000550L</t>
  </si>
  <si>
    <t>K05105000550R</t>
  </si>
  <si>
    <t>K05105000600L</t>
  </si>
  <si>
    <t>K05105000600R</t>
  </si>
  <si>
    <t>K05105500550L</t>
  </si>
  <si>
    <t>K05105500550R</t>
  </si>
  <si>
    <t>K05105500600L</t>
  </si>
  <si>
    <t>K05105500600R</t>
  </si>
  <si>
    <t>K05105500690L</t>
  </si>
  <si>
    <t>K05105500690R</t>
  </si>
  <si>
    <t>K05105500780L</t>
  </si>
  <si>
    <t>K05105500780R</t>
  </si>
  <si>
    <t>K05106000690L</t>
  </si>
  <si>
    <t>K05106000690R</t>
  </si>
  <si>
    <t>K06706000690L</t>
  </si>
  <si>
    <t>K06706000690R</t>
  </si>
  <si>
    <t>Almec</t>
  </si>
  <si>
    <t>Railverbindingsmof 150mm, lasergesneden, zonder gaten</t>
  </si>
  <si>
    <t>Allport BV</t>
  </si>
  <si>
    <t>Deur industrie met sandwich paneel</t>
  </si>
  <si>
    <t>Vulling Luxe deur vlakke aluminium afwerking binnen zijde</t>
  </si>
  <si>
    <t>Vulling luxe deur poort paneel</t>
  </si>
  <si>
    <t>Loopdeur in de sectionaalpoort (40mm dik) met drempel van 25mm</t>
  </si>
  <si>
    <t>Paniekslot (Binnen en Buiten klink)</t>
  </si>
  <si>
    <t>Paniekslot (Binnen klink en Buiten vaste kruk)</t>
  </si>
  <si>
    <t>Loopdeur in de sectionaalpoort (40mm dik) met drempel van 40mm</t>
  </si>
  <si>
    <t>Loopdeur in de sectionaalpoort (40mm dik) met drempel van 200mm (oud model)</t>
  </si>
  <si>
    <t>Loopdeur in de sectionaalpoort (40mm dik) met drempel van 17/4mm</t>
  </si>
  <si>
    <t>Loopdeur in de sectionaalpoort (40mm dik) met drempel van 80mm</t>
  </si>
  <si>
    <t>Meerprijs loopdeur in de sectionaalpoort (80mm dik)</t>
  </si>
  <si>
    <t>SFFT</t>
  </si>
  <si>
    <t>Special folie finish transport</t>
  </si>
  <si>
    <t>SPDBST</t>
  </si>
  <si>
    <t>Spoed bestelling</t>
  </si>
  <si>
    <t>Admk</t>
  </si>
  <si>
    <t>Administratiekost</t>
  </si>
  <si>
    <t>VPK1</t>
  </si>
  <si>
    <t>Verplaatsingskost 1 persoon ( tarief Miba)</t>
  </si>
  <si>
    <t>VPK2</t>
  </si>
  <si>
    <t>Verplaatsingskost 2 personen ( tarief Miba)</t>
  </si>
  <si>
    <t>UPP18M</t>
  </si>
  <si>
    <t>Uurloon per persoon na 18uur en/of zaterdags</t>
  </si>
  <si>
    <t>UPPZONM</t>
  </si>
  <si>
    <t>Uurloon per persoon zondags en/of feestdagen (tarief Miba)</t>
  </si>
  <si>
    <t>UPPM</t>
  </si>
  <si>
    <t>Uurloon per persoon (tarief Miba)</t>
  </si>
  <si>
    <t>Kmeb</t>
  </si>
  <si>
    <t>Klein materiaal en benodigdheden</t>
  </si>
  <si>
    <t>UPP18</t>
  </si>
  <si>
    <t>UPPZON</t>
  </si>
  <si>
    <t>Uurloon per persoon zondags en/of feestdagen</t>
  </si>
  <si>
    <t>STDI</t>
  </si>
  <si>
    <t>Standaard interventie particuliere poorten</t>
  </si>
  <si>
    <t>Vpdvlpmt</t>
  </si>
  <si>
    <t>Visual project development</t>
  </si>
  <si>
    <t>Fpdvlpmt</t>
  </si>
  <si>
    <t>Flex project development</t>
  </si>
  <si>
    <t>Meerprijs Special folie finish poort</t>
  </si>
  <si>
    <t>UPP</t>
  </si>
  <si>
    <t>Uurloon per persoon</t>
  </si>
  <si>
    <t>DOP-Kit sectionale poort, siermakelaar en sierplint sandwichpaneel gemonteerd</t>
  </si>
  <si>
    <t>Extra verticale siermakelaar sandwichpaneel tot 625mm</t>
  </si>
  <si>
    <t>Horizontale sierplint sandwichpaneel</t>
  </si>
  <si>
    <t>Alu T-profiel/L-profiel in Ral-kleur (30 - 40 - 50 - 60 mm) max. lengte = 6m</t>
  </si>
  <si>
    <t>Metallic kleur profielen (enkel in combinatie met lakwerk Ral-instituut duitsland)</t>
  </si>
  <si>
    <t>Parelmoer kleur profielen (enkel in combinatie met lakwerk Ral-instituut duitsland)</t>
  </si>
  <si>
    <t>Structuur kleur profielen (enkel in combinatie met lakwerk Ral-instituut duitsland)</t>
  </si>
  <si>
    <t>UV-bestendige vernislaag profielen (enkel in combinatie met lakwerk Ral-instituut duitsland)</t>
  </si>
  <si>
    <t>Anti-graffitilaag profielen (enkel in combinatie met lakwerk Ral-instituut duitsland)</t>
  </si>
  <si>
    <t>Galva plooiwerk op maat in Ral-kleur. Max. ontvouwen breedte = 800mm, max. lengte = 5m</t>
  </si>
  <si>
    <t>Onderpaneel / bovenpaneel residentieel (poortblad)</t>
  </si>
  <si>
    <t>Vast paneel residentieel (sandwich)</t>
  </si>
  <si>
    <t>Pastorij extra horizontale druiplijst voor op vast bovenpaneel tot 3m</t>
  </si>
  <si>
    <t>Alu plooiwerk op maat in Ral-kleur. Max. ontvouwen breedte = 800mm, max. lengte = 5m</t>
  </si>
  <si>
    <t>Alu plooiwerk op maat in Ral-kleur. Max. ontvouwen breedte = 400mm, max. lengte = 5m</t>
  </si>
  <si>
    <t>Galva plooiwerk op maat in Ral-kleur. Max. ontvouwen breedte = 400mm, max. lengte = 5m</t>
  </si>
  <si>
    <t>Vast bovenpaneel in één vlak met overgangsprofielen</t>
  </si>
  <si>
    <t>ALU15040GLK</t>
  </si>
  <si>
    <t>Alu koker 150*40 in Ral-kleur max. lengte = 6m</t>
  </si>
  <si>
    <t>ALU12040GLK</t>
  </si>
  <si>
    <t>Alu koker 120*40 in Ral-kleur max. lengte = 6m</t>
  </si>
  <si>
    <t>ALU10040GLK</t>
  </si>
  <si>
    <t>Alu koker 100*40 in Ral-kleur max. lengte = 6m</t>
  </si>
  <si>
    <t>ALU6040GLK</t>
  </si>
  <si>
    <t>Alu koker 80*40 in Ral-kleur max. lengte = 6m</t>
  </si>
  <si>
    <t>Alu koker 60*40 in Ral-kleur max. lengte = 6m</t>
  </si>
  <si>
    <t>ALU4040GLK</t>
  </si>
  <si>
    <t>Alu koker 40*40 in Ral-kleur max. lengte = 6m</t>
  </si>
  <si>
    <t>GLV12040GLK</t>
  </si>
  <si>
    <t>Galva G-profiel 120*40 in Ral-kleur max. lengte = 5m</t>
  </si>
  <si>
    <t>GLV15040GLK</t>
  </si>
  <si>
    <t>Galva G-profiel 150*40 in Ral-kleur max. lengte = 5m</t>
  </si>
  <si>
    <t>GLV18040GLK</t>
  </si>
  <si>
    <t>Galva G-profiel 180*40 in Ral-kleur max. lengte = 5m</t>
  </si>
  <si>
    <t>GLV20040GLK</t>
  </si>
  <si>
    <t>Galva G-profiel 200*40 in Ral-kleur max. lengte = 5m</t>
  </si>
  <si>
    <t>Structuurlak+ UV kleur profielen</t>
  </si>
  <si>
    <t>Onderpaneel / bovenpaneel 40 mm industrieel (poortblad)</t>
  </si>
  <si>
    <t>Onderpaneel / bovenpaneel 80 mm industrieell (poortblad)</t>
  </si>
  <si>
    <t>Tussenpaneel 80 mm industrieel (poortblad)</t>
  </si>
  <si>
    <t>Vast paneel industrieel (sandwich)</t>
  </si>
  <si>
    <t>GLV7010</t>
  </si>
  <si>
    <t>Galva L-profiel 70*10 in galva max. lengte = 5m</t>
  </si>
  <si>
    <t>GLV7010GLK</t>
  </si>
  <si>
    <t>Galva L-profiel 70*10 in Ral-kleur max. lengte = 3m</t>
  </si>
  <si>
    <t>GLV8040GLK</t>
  </si>
  <si>
    <t>Galva buis koker 80*40 in Ral-kleur max. lengte = 7m</t>
  </si>
  <si>
    <t>Galva buis koker 120*40 in Ral-kleur max. lengte = 7m</t>
  </si>
  <si>
    <t>Verstevingingstrusch Per l/m</t>
  </si>
  <si>
    <t>Ral-kleur (volgens RAL-instituut Duitsland) sectionale poort &lt; 7m²</t>
  </si>
  <si>
    <t>Ral-kleur (volgens RAL-instituut Duitsland) sectionale poort =&gt; 7m² en &lt;15m²</t>
  </si>
  <si>
    <t>Ral-kleur (volgens RAL-instituut Duitsland) All-Port sectionale poort =&gt; 15m²</t>
  </si>
  <si>
    <t>Metallic-kleur (enkel in combinatie met lakwerk Ral-instituut duitsland)</t>
  </si>
  <si>
    <t>Parelmoer kleur (enkel in combinatie met lakwerk Ral-instituut duitsland)</t>
  </si>
  <si>
    <t>Structuurlakken (enkel in combinatie met lakwerk Ral-instituut duitsland)</t>
  </si>
  <si>
    <t>Anti-graffitilaag (enkel in combinatie met lakwerk Ral-instituut duitsland)</t>
  </si>
  <si>
    <t>Ral-kleur op staal maken (enkel in combinatie met lakwerk Ral-instituut duitsland)</t>
  </si>
  <si>
    <t>Ral-kleur (volgens RAL-instituut Duitsland) kantelpoort metaal</t>
  </si>
  <si>
    <t>Ral-kleur herlakken All-port Poortblad</t>
  </si>
  <si>
    <t>Ral-kleur plaatwerk tot 500 mm en profielen tot omtrek 500mm</t>
  </si>
  <si>
    <t>Lakwerk plaatwerk/vreemde poort in Ral-kleur</t>
  </si>
  <si>
    <t>Bakken van gelakte materialen</t>
  </si>
  <si>
    <t>Extra verf</t>
  </si>
  <si>
    <t>Lakstiftje Ral-kleur</t>
  </si>
  <si>
    <t>UV-bestendige vernislaag (enkel in combinatie met lakwerk Ral-instituut duitsland)</t>
  </si>
  <si>
    <t>Venster type G/H RAL-kleur</t>
  </si>
  <si>
    <t>Tussenpaneel residentieel (poortblad)</t>
  </si>
  <si>
    <t>Ral-kleur plaatwerk tot 250 mm en profielen tot omtrek 250 mm</t>
  </si>
  <si>
    <t>Structuurlakken + UV bestendige vernislaag (enkel in combinatie met lakwerk Ral-instituut duitsland)</t>
  </si>
  <si>
    <t>Tussenpaneel 40 mm industrieel (poortblad)</t>
  </si>
  <si>
    <t>Ral-kleur voor rooster of brievenbus</t>
  </si>
  <si>
    <t>Ral-kleur</t>
  </si>
  <si>
    <t>Ral-kleur (volgens RAL-instituut Duitsland) afgewerkt paneel</t>
  </si>
  <si>
    <t>Anti-graffitilaag afgewerkte paneel (enkel in combinatie met lakwerk Ral-instituut duitsland)</t>
  </si>
  <si>
    <t>Metallic-kleur afgewerkt paneel (enkel in combinatie met lakwerk Ral-instituut duitsland)</t>
  </si>
  <si>
    <t>Parelmoer kleur afgewerkt paneel (enkel in combinatie met lakwerk Ral-instituut duitsland)</t>
  </si>
  <si>
    <t>Structuurlakken afgewerkt paneel (enkel in combinatie met lakwerk Ral-instituut duitsland)</t>
  </si>
  <si>
    <t>UV-bestendige vernislaag afgewerkt paneel (enkel in combinatie met lakwerk Ral-instituut duitsland)</t>
  </si>
  <si>
    <t>Structuurlakken + UV bestendige vernislaag afgewerkt paneel (enkel in combinatie met lakwerk Ral-instituut duitsland)</t>
  </si>
  <si>
    <t>TeckRal</t>
  </si>
  <si>
    <t>Teckentrup RAL naar keuze</t>
  </si>
  <si>
    <t>Huur hoogtewerker</t>
  </si>
  <si>
    <t>LED lampje beninca JIM</t>
  </si>
  <si>
    <t>ABMTCL230</t>
  </si>
  <si>
    <t>Beninca besturingssysteem voor signalisatie</t>
  </si>
  <si>
    <t>Infinit Even Renson gevelbekleding (exclusief isolatie)</t>
  </si>
  <si>
    <t>km</t>
  </si>
  <si>
    <t>€/km (bij montage poort en werf verder dan 50 km)</t>
  </si>
  <si>
    <t>€/km</t>
  </si>
  <si>
    <t>Montage houten sectionaalpoort</t>
  </si>
  <si>
    <t>Uitbreken standaard kantelpoort</t>
  </si>
  <si>
    <t>Uitbreken elk ander type poort (per 2 personen)</t>
  </si>
  <si>
    <t>Montage verenbalk industrie</t>
  </si>
  <si>
    <t>Montage high-lift (per 1250 mm hoogte)</t>
  </si>
  <si>
    <t>Montage daklijnvolgend (per 10 graden)</t>
  </si>
  <si>
    <t>Montage verticale lift</t>
  </si>
  <si>
    <t>Bestaande plafondautomaat afstellen</t>
  </si>
  <si>
    <t>Bestaande plafondautomaat omhangen</t>
  </si>
  <si>
    <t>Bestaande asmotor afstellen</t>
  </si>
  <si>
    <t>Bestaande asmotor omhangen</t>
  </si>
  <si>
    <t>Afkitten (siliconen inclusief)</t>
  </si>
  <si>
    <t>Extra bekabeling (opbouw, pvc buis inclusief)</t>
  </si>
  <si>
    <t>Onderhoud residentiële poort + motor</t>
  </si>
  <si>
    <t>Onderhoud industriële poort + motor</t>
  </si>
  <si>
    <t>Uitbreken ingemetselde kantelpoort</t>
  </si>
  <si>
    <t>Demontage + montage (herlakken poortblad)</t>
  </si>
  <si>
    <t>Poortblad vervangen</t>
  </si>
  <si>
    <t>Werkuur per persoon (binnen kantooruren)</t>
  </si>
  <si>
    <t>werkuur per persoon (buiten kantooruren)</t>
  </si>
  <si>
    <t>Werken op hoogte (visual)</t>
  </si>
  <si>
    <t>Opvullatten hout (verticale rails)</t>
  </si>
  <si>
    <t>Trillingsarme ophanging</t>
  </si>
  <si>
    <t>Onderhouds contract 1 poort</t>
  </si>
  <si>
    <t>UITBRK</t>
  </si>
  <si>
    <t>Uitbraak voorzien door de klant</t>
  </si>
  <si>
    <t>Flex gevelbekleding (exclusief isolatie)</t>
  </si>
  <si>
    <t>Montage flex sectional poort (vanaf 7m²)</t>
  </si>
  <si>
    <t>Montage flex sectional poort (tot en met maximum 7m²)</t>
  </si>
  <si>
    <t>Flex isolatie gevelbekleding ( per 5 cm dikte )</t>
  </si>
  <si>
    <t>Flex hoek (per meter)</t>
  </si>
  <si>
    <t>Flex montage gevelbekleding</t>
  </si>
  <si>
    <t>Kilometer vergoeding Flex</t>
  </si>
  <si>
    <t>Werken op hoogte (flex)</t>
  </si>
  <si>
    <t>Montage Infinit sectionaalpoort (vanaf 7m²)</t>
  </si>
  <si>
    <t>Montage Infinit sectionaalpoort (tot en met maximum 7m²)</t>
  </si>
  <si>
    <t>Infinit project development</t>
  </si>
  <si>
    <t>Infinit Mato 1 gevelbekleding (exclusief isolatie)</t>
  </si>
  <si>
    <t>Infinit isolatie gevelbekleding ( per 5 cm dikte )</t>
  </si>
  <si>
    <t>Infinit hoekafwerking</t>
  </si>
  <si>
    <t>Infinit montage gevelbekleding</t>
  </si>
  <si>
    <t>Infinit Mato 2 gevelbekleding (exclusief isolatie)</t>
  </si>
  <si>
    <t>Infinit Mato 3 gevelbekleding (exclusief isolatie)</t>
  </si>
  <si>
    <t>Infinit Mato 4 gevelbekleding (exclusief isolatie)</t>
  </si>
  <si>
    <t>Kilometer vergoeding Infinit</t>
  </si>
  <si>
    <t>Werken op hoogte (Infinit)</t>
  </si>
  <si>
    <t>Afvoer en ecologische afvalverwerking (enkel in combinatie met uitbraak)</t>
  </si>
  <si>
    <t>Infinit Block 16 Renson gevelbekleding (exclusief isolatie)</t>
  </si>
  <si>
    <t>Infinit Block 30 Renson gevelbekleding (exclusief isolatie)</t>
  </si>
  <si>
    <t>Infinit Afwerkingsprofielen dagkanten tot max 180mm</t>
  </si>
  <si>
    <t>Infinit half-open bekleding</t>
  </si>
  <si>
    <t>ZAK100</t>
  </si>
  <si>
    <t>Montage zakje sectionaalpoort 100</t>
  </si>
  <si>
    <t>Kabelset diameter 3mm, L=5000mm</t>
  </si>
  <si>
    <t>Kabelset diameter 3mm, L=10.000mm</t>
  </si>
  <si>
    <t>Kabelset diameter 4mm, L=5000mm</t>
  </si>
  <si>
    <t>Kabelset diameter 4mm, L=10.000mm</t>
  </si>
  <si>
    <t>DUB.BES</t>
  </si>
  <si>
    <t>Dubbel beslag APO100R/RS en INDUSTRIE</t>
  </si>
  <si>
    <t>MHAPO60</t>
  </si>
  <si>
    <t>Montagehandleiding APO60T</t>
  </si>
  <si>
    <t>MHAPO80/R</t>
  </si>
  <si>
    <t>Montagehandleiding APO80/R</t>
  </si>
  <si>
    <t>MHAPO80S/RS</t>
  </si>
  <si>
    <t>Montagehandleiding APO80S/RS</t>
  </si>
  <si>
    <t>MHAPO100RS</t>
  </si>
  <si>
    <t>Montagehandleiding APO100RS</t>
  </si>
  <si>
    <t>MHAPO100R</t>
  </si>
  <si>
    <t>Montagehandleiding APO100R</t>
  </si>
  <si>
    <t>MHAPO110S</t>
  </si>
  <si>
    <t>Montagehandleiding APO110S/DS</t>
  </si>
  <si>
    <t>MHAPOIND</t>
  </si>
  <si>
    <t>Montagehandleiding APOIND</t>
  </si>
  <si>
    <t>MHINDVEERBREUK</t>
  </si>
  <si>
    <t>Montagehandleiding IND veerbreukbeveiliging</t>
  </si>
  <si>
    <t>MHRESVEERBREUK</t>
  </si>
  <si>
    <t>Montagehandleiding RES veerbreukbeveiliging</t>
  </si>
  <si>
    <t>GHIND</t>
  </si>
  <si>
    <t>Gebruikshandleiding industrieël</t>
  </si>
  <si>
    <t>OHRES</t>
  </si>
  <si>
    <t>Onderhoudshandleiding residentieël</t>
  </si>
  <si>
    <t>OHIND</t>
  </si>
  <si>
    <t>Onderhoudshandleiding industrieël</t>
  </si>
  <si>
    <t>CEPL</t>
  </si>
  <si>
    <t>CE-plaatje</t>
  </si>
  <si>
    <t>GHRES</t>
  </si>
  <si>
    <t>Gebruikshandleiding residentieël</t>
  </si>
  <si>
    <t>Venster type G mat acrylaatglas</t>
  </si>
  <si>
    <t>Vaste aluminium gefreesde plaat 4mm dik (Max. 2500*1250mm)</t>
  </si>
  <si>
    <t>Keperstructuur aluminium gefreesde plaat</t>
  </si>
  <si>
    <t>Special folie finish (H=610mm, L=zelf te bepalen). LET OP PRIJS PER m²</t>
  </si>
  <si>
    <t>Special folie finish (H=500mm, L=zelf te bepalen). LET OP PRIJS PER m²</t>
  </si>
  <si>
    <t>Meerprijs Special folie finish</t>
  </si>
  <si>
    <t>Meerprijs Oak finish</t>
  </si>
  <si>
    <t>Zagen van panelen op maat in de breedte</t>
  </si>
  <si>
    <t>Venster Type H mat acrylaatglas</t>
  </si>
  <si>
    <t>SPEC.PAN</t>
  </si>
  <si>
    <t>Speciale paneel indeling</t>
  </si>
  <si>
    <t>Extra kost paneel (geen volledige plaat)</t>
  </si>
  <si>
    <t>Flex sectionale poort</t>
  </si>
  <si>
    <t>Infinit Mato 1 sectionale poort</t>
  </si>
  <si>
    <t>Infinit Mato 2 sectionale poort</t>
  </si>
  <si>
    <t>Infinit Mato 3 sectionale poort</t>
  </si>
  <si>
    <t>Infinit Mato 4 sectionale poort</t>
  </si>
  <si>
    <t>Flex vingerklemveilige kit</t>
  </si>
  <si>
    <t>Infinit Block 16 sectionale poort</t>
  </si>
  <si>
    <t>Infinit Block 16 L sectionale poort</t>
  </si>
  <si>
    <t>Infinit Block 16 L Renson gevelbekleding (exclusief isolatie)</t>
  </si>
  <si>
    <t>Infinit Block 30 sectionale poort</t>
  </si>
  <si>
    <t>Infinit Even sectionale poort</t>
  </si>
  <si>
    <t>Verenset residentieel (paar), 51 - 5 tot 6 ( tot 800mm), verzinkt</t>
  </si>
  <si>
    <t>Verenset residentieel (paar), 67 - 6 tot 7 (tot 900 mm), verzinkt</t>
  </si>
  <si>
    <t>Verenset residentieel (paar), 95 - 7 tot 9 (tot 1200mm), gecoat</t>
  </si>
  <si>
    <t>verenset industrieel (paar), 133 - 8 tot 10 (tot 1200mm), gecoat</t>
  </si>
  <si>
    <t>verenset industrieel (paar), 152 - 8.5 tot 11 (tot 1200mm), gecoat</t>
  </si>
  <si>
    <t>Verenset industrieel (paar), 51 - 5 tot 6 ( tot 800mm), verzinkt</t>
  </si>
  <si>
    <t>Verenset industrieel (paar), 67 - 6 tot 7 (tot 900 mm), verzinkt</t>
  </si>
  <si>
    <t>Verenset industrieel (paar), 95 - 7 tot 9 (tot 1200mm), gecoat</t>
  </si>
  <si>
    <t>Inbraakbeveiligingsset sectionale poort</t>
  </si>
  <si>
    <t>Flex verzwaard beslag (APO100 / APO 110)</t>
  </si>
  <si>
    <t>TRNSP3RVB</t>
  </si>
  <si>
    <t>Levering tot 3 poorten regio rest van België</t>
  </si>
  <si>
    <t>TRNSP3LVA</t>
  </si>
  <si>
    <t>Levering tot 3 poorten regio Limburg/Vlaams-brabant/Antwerpen</t>
  </si>
  <si>
    <t>TRNSP4-6LVA</t>
  </si>
  <si>
    <t>Levering 4 tot 6 poorten regio Limburg/Vlaams-brabant/Antwerpen</t>
  </si>
  <si>
    <t>TRNSP14LVA</t>
  </si>
  <si>
    <t>Levering volle vrachtwagen regio Limburg/Vlaams-brabant/Antwerpen</t>
  </si>
  <si>
    <t>TRNSP7-9LVA</t>
  </si>
  <si>
    <t>Levering 7 tot 9 poorten regio Limburg/Vlaams-brabant/Antwerpen</t>
  </si>
  <si>
    <t>TRNSP14RVB</t>
  </si>
  <si>
    <t>Levering volle vrachtwagen regio rest van België</t>
  </si>
  <si>
    <t>TRNSP7-9RVB</t>
  </si>
  <si>
    <t>Levering van 7 tot 9 poorten regio rest van België</t>
  </si>
  <si>
    <t>TRNSP4-6RVB</t>
  </si>
  <si>
    <t>Levering van 4 tot 6 poorten regio rest van België</t>
  </si>
  <si>
    <t>DHL50-100</t>
  </si>
  <si>
    <t>Zending DHL pakket van 50 tot 100 Kg</t>
  </si>
  <si>
    <t>DHL20-50</t>
  </si>
  <si>
    <t>Zending DHL pakket van 20 tot 50 Kg</t>
  </si>
  <si>
    <t>DHL2-10</t>
  </si>
  <si>
    <t>Zending DHL pakket van 2 tot 10 Kg</t>
  </si>
  <si>
    <t>DHL0-2</t>
  </si>
  <si>
    <t>Zending DHL pakket van 0 tot 2 Kg</t>
  </si>
  <si>
    <t>POST2</t>
  </si>
  <si>
    <t>Zending POST pakket max 1 kg</t>
  </si>
  <si>
    <t>DHL10-20</t>
  </si>
  <si>
    <t>Zending DHL pakket van 10 tot 20 Kg</t>
  </si>
  <si>
    <t>Amerikaanse Stock Paal NV</t>
  </si>
  <si>
    <t>Soepel 4x1,5 VTMB H05VV-F GS</t>
  </si>
  <si>
    <t>Stekker 13 PVC 00511300</t>
  </si>
  <si>
    <t>Stekker 07 PVC 3BL</t>
  </si>
  <si>
    <t>Knauf betonmortel 25kg</t>
  </si>
  <si>
    <t>PVC buis d.grijs dikwandig 110 (3M)</t>
  </si>
  <si>
    <t>Rioolbocht dikw 110 45' M/F d.gijs</t>
  </si>
  <si>
    <t>Stift merkstift lyra zwart</t>
  </si>
  <si>
    <t>A.S.I. NV</t>
  </si>
  <si>
    <t>Raampjes 30/30 kruisverdeling, dubbelglas</t>
  </si>
  <si>
    <t>Atelier Rebul Benelux BV</t>
  </si>
  <si>
    <t>Istanbul Bosphorus geurstokjes 515ml</t>
  </si>
  <si>
    <t>AT1001004016</t>
  </si>
  <si>
    <t>Vanilla noir geurstokjes 200ml</t>
  </si>
  <si>
    <t>Apple cinnamon geurstokjes 200ml</t>
  </si>
  <si>
    <t>Istanbul geurstokjes refill 2000ml</t>
  </si>
  <si>
    <t>Bereket geurstokjes 200 ml</t>
  </si>
  <si>
    <t>Istanbul Bosphorus autoparfum 25ml</t>
  </si>
  <si>
    <t>Fiber sticks voor geurstokjes - 120 ml</t>
  </si>
  <si>
    <t>Itansbul Bosphorus geurstokjes navulling 2000 ml</t>
  </si>
  <si>
    <t>AUER</t>
  </si>
  <si>
    <t>RK 31509</t>
  </si>
  <si>
    <t>Stelling- en magaboxen</t>
  </si>
  <si>
    <t>RK 3214</t>
  </si>
  <si>
    <t>RK 6214</t>
  </si>
  <si>
    <t>SK 5H-5015</t>
  </si>
  <si>
    <t>Magazijnboxen SK</t>
  </si>
  <si>
    <t>SK 3-5015</t>
  </si>
  <si>
    <t>SK 3L-5015</t>
  </si>
  <si>
    <t>SK 2L-5015</t>
  </si>
  <si>
    <t>EG 64/42</t>
  </si>
  <si>
    <t>Euroboxen gesloten</t>
  </si>
  <si>
    <t>EG 64/32</t>
  </si>
  <si>
    <t>SK 2-5015</t>
  </si>
  <si>
    <t>Belize</t>
  </si>
  <si>
    <t>6241-0404</t>
  </si>
  <si>
    <t>AW Stretch Trousers HP</t>
  </si>
  <si>
    <t>6271-0404</t>
  </si>
  <si>
    <t>AW Stretch broek HP</t>
  </si>
  <si>
    <t>6301-0404</t>
  </si>
  <si>
    <t>AllroundWork Broek</t>
  </si>
  <si>
    <t>6956-0404</t>
  </si>
  <si>
    <t>FW Denim Trousers+</t>
  </si>
  <si>
    <t>0214-1818</t>
  </si>
  <si>
    <t>Bodybroek met holsterpockets Canvas+</t>
  </si>
  <si>
    <t>3214-0404</t>
  </si>
  <si>
    <t>Canvas+ Broek met HZ</t>
  </si>
  <si>
    <t>3312-0404</t>
  </si>
  <si>
    <t>Dura Twill Broek</t>
  </si>
  <si>
    <t>6141-0404</t>
  </si>
  <si>
    <t>AW Stretch Short HZ</t>
  </si>
  <si>
    <t>BCFU703</t>
  </si>
  <si>
    <t>Unisex Fleece Icewalker+ / Unisex</t>
  </si>
  <si>
    <t>C1451</t>
  </si>
  <si>
    <t>Knitted Hat With Patch</t>
  </si>
  <si>
    <t>642530-58-50</t>
  </si>
  <si>
    <t>Style 2530 service pant colour 58 navy</t>
  </si>
  <si>
    <t>9079-0404</t>
  </si>
  <si>
    <t>AllroundWork CAP</t>
  </si>
  <si>
    <t>2261057-900</t>
  </si>
  <si>
    <t>Expedition MEN</t>
  </si>
  <si>
    <t>2261058-900</t>
  </si>
  <si>
    <t>Expedition LADIES</t>
  </si>
  <si>
    <t>2261063-900</t>
  </si>
  <si>
    <t>Expedition Vest MEN</t>
  </si>
  <si>
    <t>2261064-900</t>
  </si>
  <si>
    <t>Expedition Vest LADY</t>
  </si>
  <si>
    <t>2265020-900</t>
  </si>
  <si>
    <t xml:space="preserve">Polo Surf stretch MEN </t>
  </si>
  <si>
    <t>2265021-900</t>
  </si>
  <si>
    <t xml:space="preserve">Polo Surf stretch Lady  </t>
  </si>
  <si>
    <t>Byttebier hout</t>
  </si>
  <si>
    <t>Lariks 18mm x 130mm 72 st/3,00 M</t>
  </si>
  <si>
    <t>m</t>
  </si>
  <si>
    <t>scandinavian lumber standard 38mm x 58mm 9 st/3,00 M</t>
  </si>
  <si>
    <t>Callens NV</t>
  </si>
  <si>
    <t>Afrormosia KD geprofileerd 021x130</t>
  </si>
  <si>
    <t>l/m</t>
  </si>
  <si>
    <t>Afrormosia KD geprofileerd 021x127</t>
  </si>
  <si>
    <t>AYOUS TH geprofileerd 033x128</t>
  </si>
  <si>
    <t>MUKULUNGU KD geprofileerd 025x142</t>
  </si>
  <si>
    <t>AYOUS TH geprofileerd 021x130</t>
  </si>
  <si>
    <t>Carpentier Hardwood Solutions</t>
  </si>
  <si>
    <t>Hotes gevel 20x52 open line met groef (SV1) (TA 10mm)</t>
  </si>
  <si>
    <t>Alu onderconstructie 12x55 hotessv1qc flatrail (10 mm tussenafstand)</t>
  </si>
  <si>
    <t>40232B</t>
  </si>
  <si>
    <t>Sleutel voor demontage alu onderconstructie gevel &lt;120 mm (968)</t>
  </si>
  <si>
    <t>Carpentier Professional BV</t>
  </si>
  <si>
    <t>153425F</t>
  </si>
  <si>
    <t>Pro-Pan zwart suede RAL9005 uv + 3050x1300x8mm</t>
  </si>
  <si>
    <t>m²</t>
  </si>
  <si>
    <t>Cebeo</t>
  </si>
  <si>
    <t>PIP-M0FSVHF16-7037</t>
  </si>
  <si>
    <t>MOF 16mm MG R7037 HF</t>
  </si>
  <si>
    <t>PVC16-7035</t>
  </si>
  <si>
    <t>BUIS 16mm lichtgrijs</t>
  </si>
  <si>
    <t>2955/M16</t>
  </si>
  <si>
    <t>Quick-klem grijs M16 PG9</t>
  </si>
  <si>
    <t>049431</t>
  </si>
  <si>
    <t>Domino contactstop 2x2P+A</t>
  </si>
  <si>
    <t>049459</t>
  </si>
  <si>
    <t>Premium contactdoos 4x2P+</t>
  </si>
  <si>
    <t>049462</t>
  </si>
  <si>
    <t>Premium contactdoos 6x2P+</t>
  </si>
  <si>
    <t>KE16</t>
  </si>
  <si>
    <t>Multibloc 3stpk.+2m sn+st</t>
  </si>
  <si>
    <t>7370</t>
  </si>
  <si>
    <t>Stekk.blauw 2P+T 16A 250V</t>
  </si>
  <si>
    <t>749009</t>
  </si>
  <si>
    <t>koppelstekker + klapdeksel</t>
  </si>
  <si>
    <t>LINEAX3G2,5-ECA</t>
  </si>
  <si>
    <t>RUBBERKABEL NEXANS AD6 EC</t>
  </si>
  <si>
    <t>1005253</t>
  </si>
  <si>
    <t>LED Spike antraciet 3000K</t>
  </si>
  <si>
    <t>0003300041</t>
  </si>
  <si>
    <t>Contactdoos, 4x stopcontact</t>
  </si>
  <si>
    <t>170-05605</t>
  </si>
  <si>
    <t>SCHAKELAAR+DRUKKNOP</t>
  </si>
  <si>
    <t>136-76200</t>
  </si>
  <si>
    <t>Afdekplaat INTENSE 2-voud</t>
  </si>
  <si>
    <t>136-76100</t>
  </si>
  <si>
    <t>Afdekplaat INTENSE enkelvoud</t>
  </si>
  <si>
    <t>161-61105</t>
  </si>
  <si>
    <t>TOETS BLACK</t>
  </si>
  <si>
    <t>170-01105</t>
  </si>
  <si>
    <t>SCHAKELAAR ENKELPOLIG</t>
  </si>
  <si>
    <t>068097</t>
  </si>
  <si>
    <t>XLED HOME V2 XL zwart sla</t>
  </si>
  <si>
    <t>030049</t>
  </si>
  <si>
    <t>XLED HOME 2 XL zwart</t>
  </si>
  <si>
    <t>EV100B1203</t>
  </si>
  <si>
    <t>LED projector Evolve2 100</t>
  </si>
  <si>
    <t>552-72101</t>
  </si>
  <si>
    <t>GECON ENKELV SCHAKELAAR</t>
  </si>
  <si>
    <t>161-31002</t>
  </si>
  <si>
    <t>Toets drukknop led dimmer</t>
  </si>
  <si>
    <t>LUJUM07</t>
  </si>
  <si>
    <t>Jumper straler, asym, 200</t>
  </si>
  <si>
    <t>ER14505</t>
  </si>
  <si>
    <t>Batt Lithium AA 3,6V</t>
  </si>
  <si>
    <t>161-31004</t>
  </si>
  <si>
    <t>SET TWEEV. DRUKKNOP</t>
  </si>
  <si>
    <t>552-72002</t>
  </si>
  <si>
    <t>Draadloze schakelaar</t>
  </si>
  <si>
    <t>LS14500</t>
  </si>
  <si>
    <t>Lithiumbatterij (04224X)</t>
  </si>
  <si>
    <t>PVC16-7037</t>
  </si>
  <si>
    <t>BUIS 16mm donkergrijs</t>
  </si>
  <si>
    <t>ELFX</t>
  </si>
  <si>
    <t>Flexibele kabelgeleider 3</t>
  </si>
  <si>
    <t>40000512</t>
  </si>
  <si>
    <t>LED driver 1250mA I-panel</t>
  </si>
  <si>
    <t>5SB2611</t>
  </si>
  <si>
    <t>D-Fuse DII 16A gG 500V SE</t>
  </si>
  <si>
    <t>LUNAB15/24B</t>
  </si>
  <si>
    <t>LUNA B LED 47W IP65 1500m</t>
  </si>
  <si>
    <t>Chamberlain GmbH</t>
  </si>
  <si>
    <t>O-780EV-BPA</t>
  </si>
  <si>
    <t>Draadloos codeslot BPA</t>
  </si>
  <si>
    <t>128EV-01</t>
  </si>
  <si>
    <t>DRAADLOOS DRUKKNOP - 2 KANAALS</t>
  </si>
  <si>
    <t>1702EV-01</t>
  </si>
  <si>
    <t>EXTERNE NOODONTKOPPELING</t>
  </si>
  <si>
    <t>828EV</t>
  </si>
  <si>
    <t>INTERNET GATEWAY EVOLUTION</t>
  </si>
  <si>
    <t>840CR5</t>
  </si>
  <si>
    <t>RAILS VERLENGING TOT 4M (RIEM)</t>
  </si>
  <si>
    <t>810CR5-02</t>
  </si>
  <si>
    <t>RAILS VERLENGING TOT 3.0M (RIEM)</t>
  </si>
  <si>
    <t>771EN</t>
  </si>
  <si>
    <t>INFRAROOD FOTO ELEK. BEVEILIGING 771 KIT</t>
  </si>
  <si>
    <t>STAR1000EV</t>
  </si>
  <si>
    <t>UNIVERSELE ONTVANGER EVO 1000 TX</t>
  </si>
  <si>
    <t>860EV</t>
  </si>
  <si>
    <t>UNIVERSELE ONTVANGER BPA</t>
  </si>
  <si>
    <t>041A4016R</t>
  </si>
  <si>
    <t>BELT DOG PVC AND SCREWS</t>
  </si>
  <si>
    <t>041A4017-1</t>
  </si>
  <si>
    <t>CONNECTOR ADAPTER SPLINE METALL</t>
  </si>
  <si>
    <t>041A4004</t>
  </si>
  <si>
    <t>MICROSWITCH OF GDO FOR TRAVEL</t>
  </si>
  <si>
    <t>004C320287</t>
  </si>
  <si>
    <t>DOOR ARM SHORT</t>
  </si>
  <si>
    <t>004C320288</t>
  </si>
  <si>
    <t>CURVED DOOR ARM 45°</t>
  </si>
  <si>
    <t>004C320490</t>
  </si>
  <si>
    <t>CURVED DOOR ARM 90°</t>
  </si>
  <si>
    <t>041APE-0010EV</t>
  </si>
  <si>
    <t>BESTURING VOOR HEK OPENERS 24V EV</t>
  </si>
  <si>
    <t>BPA650-01</t>
  </si>
  <si>
    <t>GARAGEDEUROPENER BPA PANTHER</t>
  </si>
  <si>
    <t>BPA800</t>
  </si>
  <si>
    <t>GARAGEDEUROPENER BPA LEOPARD</t>
  </si>
  <si>
    <t>BPA1200</t>
  </si>
  <si>
    <t>GARAGEDEUROPENER BPA LION</t>
  </si>
  <si>
    <t>TX4-BPA</t>
  </si>
  <si>
    <t>AFSTANDSBEDIENING 4-KANAALS BPA</t>
  </si>
  <si>
    <t>8023CR5</t>
  </si>
  <si>
    <t>1-DELIGE RAILS VOOR DEUR 2.3M (RIEM)</t>
  </si>
  <si>
    <t>8025CR5</t>
  </si>
  <si>
    <t>1-DELIGE RAILS VOOR DEUR 2,5M (RIEM)</t>
  </si>
  <si>
    <t>8030CR5</t>
  </si>
  <si>
    <t>1-DELIGE RAILS VOOR DEUR 3,0M (RIEM)</t>
  </si>
  <si>
    <t>041A4023</t>
  </si>
  <si>
    <t>Power Board 1 Watt</t>
  </si>
  <si>
    <t>LM80EVX</t>
  </si>
  <si>
    <t>Liftmaster LM80EVX (testmotor)</t>
  </si>
  <si>
    <t>Testmotor</t>
  </si>
  <si>
    <t>LM3800N</t>
  </si>
  <si>
    <t>Liftmaster LM3800N</t>
  </si>
  <si>
    <t>LM80EVF</t>
  </si>
  <si>
    <t>Liftmaster LM80EVF</t>
  </si>
  <si>
    <t>LM100EVF</t>
  </si>
  <si>
    <t>Liftmaster LM100EVF</t>
  </si>
  <si>
    <t>LM60EVF</t>
  </si>
  <si>
    <t>Liftmaster LM60EVF</t>
  </si>
  <si>
    <t>827EV</t>
  </si>
  <si>
    <t>Liftmaster MyQ led light</t>
  </si>
  <si>
    <t>BPA500</t>
  </si>
  <si>
    <t>Sphinx</t>
  </si>
  <si>
    <t>Codipack NV</t>
  </si>
  <si>
    <t>Folie CP940 110mm x 450m zwart cso Sato M84</t>
  </si>
  <si>
    <t>ET096030EAPAWIT1PO2C</t>
  </si>
  <si>
    <t>ET060180RUPEZIL1SI7J</t>
  </si>
  <si>
    <t>Colormatics</t>
  </si>
  <si>
    <t>Colo 001</t>
  </si>
  <si>
    <t>Colo 001 brut (alu sierlijst)</t>
  </si>
  <si>
    <t>Colo 001 folie (alu sierlijst)</t>
  </si>
  <si>
    <t>Colo 001 lak (alu sierlijst)</t>
  </si>
  <si>
    <t>Colo 002</t>
  </si>
  <si>
    <t>Colo 002 brut (alu sierlijst)</t>
  </si>
  <si>
    <t>Colo 002 folie (alu sierlijst)</t>
  </si>
  <si>
    <t>Colo 002 lak (alu sierlijst)</t>
  </si>
  <si>
    <t>Colo 003</t>
  </si>
  <si>
    <t>Colo 003 brut (alu sierlijst)</t>
  </si>
  <si>
    <t>Colo 003 folie (alu sierlijst)</t>
  </si>
  <si>
    <t>Colo 003 lak (alu sierlijst)</t>
  </si>
  <si>
    <t>Colo 004</t>
  </si>
  <si>
    <t>Colo 004 Brut (alu sierlijst)</t>
  </si>
  <si>
    <t>Colo 004 folie (alu sierlijst)</t>
  </si>
  <si>
    <t>Colo 004 lak (alu sierlijst)</t>
  </si>
  <si>
    <t>Colo 005</t>
  </si>
  <si>
    <t>Colo 005 brut (alu sierlijst)</t>
  </si>
  <si>
    <t>Colo 005 folie (alu sierlijst)</t>
  </si>
  <si>
    <t>Colo 005 lak (alu sierlijst)</t>
  </si>
  <si>
    <t>Colo 006</t>
  </si>
  <si>
    <t>Colo 006 brut (alu sierlijst)</t>
  </si>
  <si>
    <t>Colo 006 folie (alu sierlijst)</t>
  </si>
  <si>
    <t>Colo 006 lak (alu sierlijst)</t>
  </si>
  <si>
    <t>Colo 007</t>
  </si>
  <si>
    <t>Colo 007 brut (alu sierlijst)</t>
  </si>
  <si>
    <t>Colo 007 folie (alu sierlijst)</t>
  </si>
  <si>
    <t>Colo 007 lak (alu sierlijst)</t>
  </si>
  <si>
    <t>Colo 008</t>
  </si>
  <si>
    <t>Colo 008 brut (alu sierlijst)</t>
  </si>
  <si>
    <t>Colo 008 folie (alu sierlijst)</t>
  </si>
  <si>
    <t>Colo 008 lak (alu sierlijst)</t>
  </si>
  <si>
    <t>Colo 009</t>
  </si>
  <si>
    <t>Colo 009 brut (alu sierlijst)</t>
  </si>
  <si>
    <t>Colo 009 folie (alu sierlijst)</t>
  </si>
  <si>
    <t>Colo 009 lak (alu sierlijst)</t>
  </si>
  <si>
    <t>Colo 010</t>
  </si>
  <si>
    <t>Colo 010 brut (alu sierlijst)</t>
  </si>
  <si>
    <t>Colo 010 folie (alu sierlijst)</t>
  </si>
  <si>
    <t>Colo 010 lak (alu sierlijst)</t>
  </si>
  <si>
    <t>Colo 011</t>
  </si>
  <si>
    <t>Colo 011 brut (alu sierlijst)</t>
  </si>
  <si>
    <t>Colo 011 folie (alu sierlijst)</t>
  </si>
  <si>
    <t>Colo 011 lak (alu sierlijst)</t>
  </si>
  <si>
    <t>Colo 012</t>
  </si>
  <si>
    <t>Colo 012 brut (alu sierlijst)</t>
  </si>
  <si>
    <t>Colo 012 folie (alu sierlijst)</t>
  </si>
  <si>
    <t>Colo 012 lak (alu sierlijst)</t>
  </si>
  <si>
    <t>Colo 013</t>
  </si>
  <si>
    <t>Colo 013 brut (alu sierlijst)</t>
  </si>
  <si>
    <t>Colo 013 folie (alu sierlijst)</t>
  </si>
  <si>
    <t>Colo 013 lak (alu sierlijst)</t>
  </si>
  <si>
    <t>Colo 014</t>
  </si>
  <si>
    <t>Colo 014 brut (alu sierlijst)</t>
  </si>
  <si>
    <t>Colo 014 folie (alu sierlijst)</t>
  </si>
  <si>
    <t>Colo 014 lak (alu sierlijst)</t>
  </si>
  <si>
    <t>Colo 015</t>
  </si>
  <si>
    <t>Colo 015 brut (alu sierlijst)</t>
  </si>
  <si>
    <t>Colo 015 folie (alu sierlijst)</t>
  </si>
  <si>
    <t>Colo 015 lak (alu sierlijst)</t>
  </si>
  <si>
    <t>COLO-EIND003/004</t>
  </si>
  <si>
    <t>Eindstuk voor Colo 003/004 (per 2 stuks)</t>
  </si>
  <si>
    <t>COLO-EIND008/009/011/012</t>
  </si>
  <si>
    <t>Eindstuk voor Colo 008/009/011/012 (per 2 stuks)</t>
  </si>
  <si>
    <t>COLO-EIND006/007</t>
  </si>
  <si>
    <t>Eindstuk voor Colo 006/007 per 2 stuks)</t>
  </si>
  <si>
    <t>Alu schroefhoek voor Colo 003/004/013/015</t>
  </si>
  <si>
    <t>Colo 101</t>
  </si>
  <si>
    <t>Pvc afkasting chambrant 75 x 6000 mm (wit/creme)</t>
  </si>
  <si>
    <t>Pvc afkasting chambrant 75 x 6000 mm (folie)</t>
  </si>
  <si>
    <t>Colo 102</t>
  </si>
  <si>
    <t>Pvc afkasting chambrant 100 x 6000mm (wit/creme)</t>
  </si>
  <si>
    <t>Pvc afkasting chambrant 100 x 6000mm (folie)</t>
  </si>
  <si>
    <t>Colo 103</t>
  </si>
  <si>
    <t>Pvc afkasting dagkant 180 x 6000mm (wit/creme)</t>
  </si>
  <si>
    <t>Pvc afkasting dagkant 180 x 6000mm (folie)</t>
  </si>
  <si>
    <t>Colo 104</t>
  </si>
  <si>
    <t>Pvc afkasting dagkant 250 x 6000 mm (wit/creme)</t>
  </si>
  <si>
    <t>Pvc afkasting dagkant 250 x 6000 mm (folie)</t>
  </si>
  <si>
    <t>Colo 105</t>
  </si>
  <si>
    <t>Pvc aanslaglat wit schüco 75 x 6000 mm</t>
  </si>
  <si>
    <t>Colo 106</t>
  </si>
  <si>
    <t>Pvc hoekstuk zwart</t>
  </si>
  <si>
    <t>Colo 110</t>
  </si>
  <si>
    <t>Pvc paneelvulling 100 mm x 24 mm - wit/creme</t>
  </si>
  <si>
    <t>Pvc paneelvulling 100 mm x 24 mm - 1 zijde folie</t>
  </si>
  <si>
    <t>Pvc paneelvulling 100 mm x 24 mm - 2 zijden folie</t>
  </si>
  <si>
    <t>Zelfklevende herstelfolie op rol 100 mm x 10 m</t>
  </si>
  <si>
    <t>rol</t>
  </si>
  <si>
    <t>Zelfklevende herstelfolie op rol 180 mm x 10 m</t>
  </si>
  <si>
    <t>Colo 221</t>
  </si>
  <si>
    <t>Plint 40 x 6 mm wit</t>
  </si>
  <si>
    <t>Plint 40 x 6 mm folie</t>
  </si>
  <si>
    <t>Colo 214</t>
  </si>
  <si>
    <t>Plint 65 x 6 mm wit</t>
  </si>
  <si>
    <t>Plint 65 x 6 mm folie</t>
  </si>
  <si>
    <t>Colo 222</t>
  </si>
  <si>
    <t>Plint 90 x 6 mm wit</t>
  </si>
  <si>
    <t>Plint 90 x 6 mm folie</t>
  </si>
  <si>
    <t>Colo 211</t>
  </si>
  <si>
    <t>Vlakke schuimstrip 300mm wit</t>
  </si>
  <si>
    <t>Vlakke schuimstrip 300mm folie</t>
  </si>
  <si>
    <t>Colo 212</t>
  </si>
  <si>
    <t>Vlakke schuimstrip 400mm wit</t>
  </si>
  <si>
    <t>Vlakke schuimstrip 400mm folie</t>
  </si>
  <si>
    <t>Colo 201</t>
  </si>
  <si>
    <t>Schuimhoek 100x35x9 mm - 546m / wit</t>
  </si>
  <si>
    <t>Schuimhoek 100x35x9 mm - 546m / folie</t>
  </si>
  <si>
    <t>Colo 202</t>
  </si>
  <si>
    <t>Schuimhoek 150x35x9 mm - 546m / wit</t>
  </si>
  <si>
    <t>Schuimhoek 150x35x9 mm - 546m / folie</t>
  </si>
  <si>
    <t>Colo 203</t>
  </si>
  <si>
    <t>Schuimhoek 175x35x9 mm - 450m / wit</t>
  </si>
  <si>
    <t>Schuimhoek 175x35x9 mm - 450m / folie</t>
  </si>
  <si>
    <t>Colo 204</t>
  </si>
  <si>
    <t>Schuimhoek 200x35x9 mm - 402m / wit</t>
  </si>
  <si>
    <t>Schuimhoek 200x35x9 mm - 402m / folie</t>
  </si>
  <si>
    <t>Colo 205</t>
  </si>
  <si>
    <t>Schuimhoek 225 x 35x9 mm - 402m /wit</t>
  </si>
  <si>
    <t>Schuimhoek 225 x 35x9 mm - 402m /folie</t>
  </si>
  <si>
    <t>Colo 206</t>
  </si>
  <si>
    <t>Schuimhoek 250x35x9 mm - 360m - wit</t>
  </si>
  <si>
    <t>Schuimhoek 250x35x9 mm - 360m - folie</t>
  </si>
  <si>
    <t>Colo 207</t>
  </si>
  <si>
    <t>Schuimhoek 300x35x9 mm - 330m / wit</t>
  </si>
  <si>
    <t>Schuimhoek 300x35x9 mm - 330m / Folie</t>
  </si>
  <si>
    <t>Colo 209</t>
  </si>
  <si>
    <t>Schuimhoek 400x35x9 mm - 330m / wit</t>
  </si>
  <si>
    <t>Schuimhoek 400x35x9 mm - 330m / folie</t>
  </si>
  <si>
    <t>Colo 215</t>
  </si>
  <si>
    <t>Verbinding schuimhoek 400m / wit</t>
  </si>
  <si>
    <t>Verbinding schuimhoek 400mm / folie</t>
  </si>
  <si>
    <t>Colo 216</t>
  </si>
  <si>
    <t>Binnenhoek schuimhoek 400mm / wit</t>
  </si>
  <si>
    <t>Binnenhoek schuimhoek 400mm / folie</t>
  </si>
  <si>
    <t>Colo 217</t>
  </si>
  <si>
    <t>Buitenhoek schuimhoek 400mm / wit</t>
  </si>
  <si>
    <t>Buitenhoek schuimhoek 400mm / folie</t>
  </si>
  <si>
    <t>Condoor</t>
  </si>
  <si>
    <t>APO60TC</t>
  </si>
  <si>
    <t>complete beslagset apo60TC</t>
  </si>
  <si>
    <t>APO80RS</t>
  </si>
  <si>
    <t>complete beslagset apo80RS</t>
  </si>
  <si>
    <t>Apo112</t>
  </si>
  <si>
    <t>complete beslagset apo112</t>
  </si>
  <si>
    <t>Apo120</t>
  </si>
  <si>
    <t>complete beslagset apo120</t>
  </si>
  <si>
    <t>0284</t>
  </si>
  <si>
    <t>High-Line Spiraalkabelset 2x0.14 garagedeur i.c.m. loopdeur</t>
  </si>
  <si>
    <t>0288</t>
  </si>
  <si>
    <t>Spiraalkabel trekontlasting + moer M16 RAL 7035</t>
  </si>
  <si>
    <t>0300</t>
  </si>
  <si>
    <t>Boorparker 4.2x13 DIN7504M RAL9010 EV</t>
  </si>
  <si>
    <t>0301</t>
  </si>
  <si>
    <t>Boorparker 4.2x13 DIN7504M RAL9005 EV</t>
  </si>
  <si>
    <t>0310-07400</t>
  </si>
  <si>
    <t>U-profiel 40mm ALU ongelijkz. 35-20mm RAL9016FS/wit L=7400</t>
  </si>
  <si>
    <t>0311-07400</t>
  </si>
  <si>
    <t>U-profiel 40mm ALU ongelijkzijdig 35-20mm RAL8007FS L=7400mm</t>
  </si>
  <si>
    <t>0312-07400</t>
  </si>
  <si>
    <t>U-profiel 40mm ALU ongelijkzijdig 35-20mm RAL7043FS L=7400mm</t>
  </si>
  <si>
    <t>0313-07400</t>
  </si>
  <si>
    <t>U-profiel 40mm ALU ongelijkzijdig 35-20mm RAL9006FS L=7400mm</t>
  </si>
  <si>
    <t>0314-07400</t>
  </si>
  <si>
    <t>U-profiel 40mm ALU ongelijkzijdig 35-20mm RAL7016FS L=7400mm</t>
  </si>
  <si>
    <t>0316-07400</t>
  </si>
  <si>
    <t>U-profiel 40mm ALU ongelijkzijdig 35-20mm RAL3000FS L=7400mm</t>
  </si>
  <si>
    <t>0317-07400</t>
  </si>
  <si>
    <t>U-profiel 40mm ALU ongelijkzijdig 35-20mm RAL5010FS L=7400mm</t>
  </si>
  <si>
    <t>0318-07400</t>
  </si>
  <si>
    <t>U-profiel 40mm ALU ongelijkzijdig 35-20mm RAL6009FS L=7400mm</t>
  </si>
  <si>
    <t>0319-07400</t>
  </si>
  <si>
    <t>U-profiel 40mm ALU ongelijkzijdig 35-20mm RAL8014FS L=7400mm</t>
  </si>
  <si>
    <t>0320-07400</t>
  </si>
  <si>
    <t>U-profiel 40mm ALU ongelijkzijdig 35-20mm RAL9002FS L=7400mm</t>
  </si>
  <si>
    <t>0321-07400</t>
  </si>
  <si>
    <t>U-profiel 40mm ALU ongelijkzijdig 35-20mm RAL1015FS L=7400mm</t>
  </si>
  <si>
    <t>0322-07400</t>
  </si>
  <si>
    <t>U-profiel 40mm ALU ongelijkzijdig 35-20mm RAL5003FS L=7400mm</t>
  </si>
  <si>
    <t>0323-07400</t>
  </si>
  <si>
    <t>U-profiel 40mm ALU ongelijkzijdig 35-20mm RAL9005FS L=7400mm</t>
  </si>
  <si>
    <t>0324-07400</t>
  </si>
  <si>
    <t>U-profiel 40mm ALU ongelijkzijdig 35-20mm RAL9001FS L=7400mm</t>
  </si>
  <si>
    <t>0325-07400</t>
  </si>
  <si>
    <t>U-profiel 40mm ALU ongelijkzijdig 35-20mm RAL7035FS L=7400mm</t>
  </si>
  <si>
    <t>0326-07400</t>
  </si>
  <si>
    <t>U-profiel 40mm ALU ongelijkzijdig 35-20mm RAL6005FS L=7400mm</t>
  </si>
  <si>
    <t>0327-07400</t>
  </si>
  <si>
    <t>U-profiel 40mm ALU ongelijkzijdig 35-20mm RAL9007FS L=7400mm</t>
  </si>
  <si>
    <t>0329-07400</t>
  </si>
  <si>
    <t>U-profiel 40mm ALU ongelijkzijdig 35-20mm RAL7039FS L=7400mm</t>
  </si>
  <si>
    <t>0330-07400</t>
  </si>
  <si>
    <t>U-profiel 40mm ALU ongelijkzijdig 35-20mm RAL7012FS L=7400mm</t>
  </si>
  <si>
    <t>0331-07400</t>
  </si>
  <si>
    <t>U-profiel 40mm ALU ongelijkzijdig 35-20mm RAL9004FS L=7400mm</t>
  </si>
  <si>
    <t>0332-07400</t>
  </si>
  <si>
    <t>U-profiel 40mm ALU ongelijkzijdig 35-20mm RAL7021FS L=7400mm</t>
  </si>
  <si>
    <t>0458</t>
  </si>
  <si>
    <t>Afstandbus Nylon Ø26 x 14 mm / tbv 1"as</t>
  </si>
  <si>
    <t>0465L</t>
  </si>
  <si>
    <t>Veerbreukbeveiliging RES Smart Twist 51 mm LINKS</t>
  </si>
  <si>
    <t>0465R</t>
  </si>
  <si>
    <t>Veerbreukbeveiliging RES Smart Twist 51 mm RECHTS</t>
  </si>
  <si>
    <t>0466L</t>
  </si>
  <si>
    <t>Veerbreukbeveiliging RES Smart Twist G160 51 mm LINKS</t>
  </si>
  <si>
    <t>0466R</t>
  </si>
  <si>
    <t>Veerbreukbeveiliging RES Smart Twist G160 51 mm RECHTS</t>
  </si>
  <si>
    <t>0467L</t>
  </si>
  <si>
    <t>Veerbreukbeveiliging RES L-SHAPE Smart Twist 51 mm LINKS</t>
  </si>
  <si>
    <t>0467R</t>
  </si>
  <si>
    <t>Veerbreukbeveiliging RES L-SHAPE Smart Twist 51 mm RECHTS</t>
  </si>
  <si>
    <t>0468L</t>
  </si>
  <si>
    <t>Veerbreukbeveiliging RES Smart Twist 67 mm LINKS</t>
  </si>
  <si>
    <t>0468R</t>
  </si>
  <si>
    <t>Veerbreukbeveiliging RES Smart Twist 67 mm RECHTS</t>
  </si>
  <si>
    <t>0491</t>
  </si>
  <si>
    <t>Looprol kort 12 mm geschikt voor Hörmann</t>
  </si>
  <si>
    <t>0492</t>
  </si>
  <si>
    <t>Looprol lang 12 mm geschikt voor Hörmann</t>
  </si>
  <si>
    <t>0557</t>
  </si>
  <si>
    <t>Veerplugset 152mm veer 1" as (L+R)</t>
  </si>
  <si>
    <t>set</t>
  </si>
  <si>
    <t>0560</t>
  </si>
  <si>
    <t>Deurstop rubber EPDM zwart</t>
  </si>
  <si>
    <t>0566</t>
  </si>
  <si>
    <t>Hoek horizontale verbinding residentieel ERA L SV</t>
  </si>
  <si>
    <t>0567</t>
  </si>
  <si>
    <t>Hoek horizontale verbinding residentieel ERA R SV</t>
  </si>
  <si>
    <t>0568</t>
  </si>
  <si>
    <t>Verstevigingsplaat TS100 &gt; 100 kg SV</t>
  </si>
  <si>
    <t>0572</t>
  </si>
  <si>
    <t>Veerplug (spanplug) UNI 51mm 1" P200W/M50W</t>
  </si>
  <si>
    <t>0573</t>
  </si>
  <si>
    <t>Veerplug (stationair plug) UNI 51 mm P200S/M50S</t>
  </si>
  <si>
    <t>0574</t>
  </si>
  <si>
    <t>Veerplug (spanplug) UNI 67mm 1" P2625W/M67W</t>
  </si>
  <si>
    <t>0575</t>
  </si>
  <si>
    <t>Veerplug (stationair plug) UNI 67 mm P2625S/M67S</t>
  </si>
  <si>
    <t>0576</t>
  </si>
  <si>
    <t>Veerplug (spanplug) LINKS 95mm 1" P381W/M97W ZWART</t>
  </si>
  <si>
    <t>0577</t>
  </si>
  <si>
    <t>Veerplug (spanplug) RECHTS 95mm 1" P381W/M95W ROOD</t>
  </si>
  <si>
    <t>0578</t>
  </si>
  <si>
    <t>Veerplug (stationair plug) LINKS 95 mm P381S/M97S</t>
  </si>
  <si>
    <t>0579</t>
  </si>
  <si>
    <t>Veerplug (stationair plug) RECHTS 95 mm P381S/M97S</t>
  </si>
  <si>
    <t>0581</t>
  </si>
  <si>
    <t>Veerplug (spanplug) UNI 152mm 1" P603W/M155W</t>
  </si>
  <si>
    <t>0582</t>
  </si>
  <si>
    <t>Veerplug (spanplug) UNI 152mm 1¼" P603W/M155W</t>
  </si>
  <si>
    <t>0583</t>
  </si>
  <si>
    <t>Veerplug (stationair plug) UNI 152 mm P603S/M155S</t>
  </si>
  <si>
    <t>0584</t>
  </si>
  <si>
    <t>Veerplug (spanplug) UNI 95mm 1¼" P375W-125-0KW-C</t>
  </si>
  <si>
    <t>0585</t>
  </si>
  <si>
    <t>Veerplug (stationair plug) LINKS 95 mm DUPLEX</t>
  </si>
  <si>
    <t>0586</t>
  </si>
  <si>
    <t>Veerplug (stationair plug) RECHTS 95 mm DUPLEX</t>
  </si>
  <si>
    <t>0587</t>
  </si>
  <si>
    <t>Bout 3/8' x 25 mm t.b.v. veerplug / kabeltrommel</t>
  </si>
  <si>
    <t>0589-01900</t>
  </si>
  <si>
    <t>Veervulling t.b.v. Duplex 125 mm GLAD L=1.900mm</t>
  </si>
  <si>
    <t>0589-04000</t>
  </si>
  <si>
    <t>Veervulling t.b.v. Duplex 125 mm GLAD L=4000mm</t>
  </si>
  <si>
    <t>0590L</t>
  </si>
  <si>
    <t>Eindstijl HL-E+ST9V enkel Links 500 / 40 / WIT / 1mm</t>
  </si>
  <si>
    <t>0590L-195</t>
  </si>
  <si>
    <t>Eindstijl HL-E+ST9V enkel Links 500 / 40 / WIT / 1mm / 195x</t>
  </si>
  <si>
    <t>doos</t>
  </si>
  <si>
    <t>0590L-390</t>
  </si>
  <si>
    <t>Eindstijl HL-E+ST9V enkel Links 500 / 40 / WIT / 1mm / 390x</t>
  </si>
  <si>
    <t>0590R</t>
  </si>
  <si>
    <t>Eindstijl HL-E+ST9V enkel Rechts 500 / 40 / WIT / 1mm</t>
  </si>
  <si>
    <t>0590R-195</t>
  </si>
  <si>
    <t>Eindstijl HL-E+ST9V enkel Rechts 500 / 40 / WIT / 1mm / 195x</t>
  </si>
  <si>
    <t>0590R-390</t>
  </si>
  <si>
    <t>Eindstijl HL-E+ST9V enkel Rechts 500 / 40 / WIT / 1mm / 390x</t>
  </si>
  <si>
    <t>0591L</t>
  </si>
  <si>
    <t>Eindstijl HL-E+ST9V enkel Links 555 / 40 / WIT /1mm</t>
  </si>
  <si>
    <t>0591L-175</t>
  </si>
  <si>
    <t>Eindstijl HL-E+ST9V enkel Links 555 / 40 / WIT / 1mm / 175x</t>
  </si>
  <si>
    <t>0591L-360</t>
  </si>
  <si>
    <t>Eindstijl HL-E+ST9V enkel Links 555 / 40 / WIT / 1mm / 360x</t>
  </si>
  <si>
    <t>0591R</t>
  </si>
  <si>
    <t>Eindstijl HL-E+ST9V enkel Rechts 555 / 40 / WIT / 1mm</t>
  </si>
  <si>
    <t>0591R-175</t>
  </si>
  <si>
    <t>Eindstijl HL-E+ST9V enkel Rechts 555 / 40 / WIT / 1mm / 175x</t>
  </si>
  <si>
    <t>0591R-360</t>
  </si>
  <si>
    <t>Eindstijl HL-E+ST9V enkel Rechts 555 / 40 / WIT / 1mm / 360x</t>
  </si>
  <si>
    <t>0592L</t>
  </si>
  <si>
    <t>Eindstijl HL-E+ST9V enkel Links 610 / 40 / WIT / 1mm</t>
  </si>
  <si>
    <t>0592L-130</t>
  </si>
  <si>
    <t>Eindstijl HL-E+ST9V enkel Links 610 / 40 / WIT / 1mm / 130x</t>
  </si>
  <si>
    <t>0592L-300</t>
  </si>
  <si>
    <t>Eindstijl HL-E+ST9V enkel Links 610 / 40 / WIT / 1mm / 300x</t>
  </si>
  <si>
    <t>0592R</t>
  </si>
  <si>
    <t>Eindstijl HL-E+ST9V enkel Rechts 610 / 40 / WIT / 1mm</t>
  </si>
  <si>
    <t>0592R-130</t>
  </si>
  <si>
    <t>Eindstijl HL-E+ST9V enkel Rechts 610 / 40 / WIT / 1mm / 130x</t>
  </si>
  <si>
    <t>0592R-300</t>
  </si>
  <si>
    <t>Eindstijl HL-E+ST9V enkel Rechts 610 / 40 / WIT / 1mm / 300x</t>
  </si>
  <si>
    <t>0593L</t>
  </si>
  <si>
    <t>Eindstijl HL-E+ST9V enkel Links 625 / 40 / WIT / 1mm</t>
  </si>
  <si>
    <t>0593R</t>
  </si>
  <si>
    <t>Eindstijl HL-E+ST9V enkel Rechts 625 / 40 / WIT / 1mm</t>
  </si>
  <si>
    <t>0594L</t>
  </si>
  <si>
    <t>Eindstijl HL-E+ST9V enkel Links 900 / 40 / WIT / 1mm</t>
  </si>
  <si>
    <t>0594R</t>
  </si>
  <si>
    <t>Eindstijl HL-E+ST9V enkel Rechts 900 / 40 / WIT / 1mm</t>
  </si>
  <si>
    <t>0595L</t>
  </si>
  <si>
    <t>Eindstijl HL-E+ST9V dubbel Links 500 / 40 / WIT / 1mm</t>
  </si>
  <si>
    <t>0595R</t>
  </si>
  <si>
    <t>Eindstijl HL-E+ST9V dubbel Rechts 500 / 40 / WIT / 1mm</t>
  </si>
  <si>
    <t>0596L</t>
  </si>
  <si>
    <t>Eindstijl HL-E+ST9V dubbel Links 555 / 40 / WIT / 1mm</t>
  </si>
  <si>
    <t>0596R</t>
  </si>
  <si>
    <t>Eindstijl HL-E+ST9V dubbel Rechts 555 / 40 / WIT / 1mm</t>
  </si>
  <si>
    <t>0597L</t>
  </si>
  <si>
    <t>Eindstijl HL-E+ST9V dubbel Links 610 / 40 / WIT / 1mm</t>
  </si>
  <si>
    <t>0597R</t>
  </si>
  <si>
    <t>Eindstijl HL-E+ST9V dubbel Rechts 610 / 40 / WIT / 1mm</t>
  </si>
  <si>
    <t>0598L</t>
  </si>
  <si>
    <t>Eindstijl HL-E+ST9V dubbel Links 625 / 40 / WIT / 1mm</t>
  </si>
  <si>
    <t>0598R</t>
  </si>
  <si>
    <t>Eindstijl HL-E+ST9V dubbel Rechts 625 / 40 / WIT / 1mm</t>
  </si>
  <si>
    <t>0606</t>
  </si>
  <si>
    <t>Vulblok slot 0611 NS-HS-VS 58x58x20 mm HMPE</t>
  </si>
  <si>
    <t>0608</t>
  </si>
  <si>
    <t>Koppelstuk slotstang 0611 60x35x15 mm EV</t>
  </si>
  <si>
    <t>0611</t>
  </si>
  <si>
    <t>WK2 slot compleet (max.DMB 2.600 mm)</t>
  </si>
  <si>
    <t>0612</t>
  </si>
  <si>
    <t>WK2 slotstang verlengen slot 0611 L=1.200 mm</t>
  </si>
  <si>
    <t>0613</t>
  </si>
  <si>
    <t>WK2 slot compleet (max.DMB 2.200 mm)</t>
  </si>
  <si>
    <t>0614-07400</t>
  </si>
  <si>
    <t>L-Profiel ALU VBP / VZP / RAL 9007FS / L=7.400 mm</t>
  </si>
  <si>
    <t>0616-07400</t>
  </si>
  <si>
    <t>L-Profiel ALU VBP / VZP / RAL 8007FS L=7.400mm</t>
  </si>
  <si>
    <t>0617-07400</t>
  </si>
  <si>
    <t>L-Profiel ALU VBP / VZP / RAL 7043FS L=7.400 mm</t>
  </si>
  <si>
    <t>0618-07400</t>
  </si>
  <si>
    <t>L-Profiel ALU VBP / VZP / RAL 9006FS L=7.400 mm</t>
  </si>
  <si>
    <t>0619-07400</t>
  </si>
  <si>
    <t>L-Profiel ALU VBP / VZP / RAL 7016FS L=7.400 mm</t>
  </si>
  <si>
    <t>0625-07400</t>
  </si>
  <si>
    <t>L-Profiel ALU VBP / VZP / Wit FS L=7.400 mm</t>
  </si>
  <si>
    <t>0626-07400</t>
  </si>
  <si>
    <t>L-Profiel ALU VBP / VZP / ANO L=7.400 mm</t>
  </si>
  <si>
    <t>0628-07400</t>
  </si>
  <si>
    <t>L-Profiel ALU VBP / VZP / RAL 9005FS L=7400mm</t>
  </si>
  <si>
    <t>0629-07400</t>
  </si>
  <si>
    <t>L-Profiel ALU VBP / VZP / RAL 7039FS L=7400mm</t>
  </si>
  <si>
    <t>0630-07400</t>
  </si>
  <si>
    <t>U-Profiel ALU bodem / top / Garage / Wit / FS L=7.400 mm</t>
  </si>
  <si>
    <t>0638-07400</t>
  </si>
  <si>
    <t>U-Profiel ALU bodem/top/Garage/ RAL7016FS L=7.400</t>
  </si>
  <si>
    <t>0640</t>
  </si>
  <si>
    <t>Hoekverbinder 40x40x15 mm / 2mm dik / SV</t>
  </si>
  <si>
    <t>0650</t>
  </si>
  <si>
    <t>Deurvastzetter sectionaaldeur</t>
  </si>
  <si>
    <t>0683-07400</t>
  </si>
  <si>
    <t>L-Profiel ALU VBP / VZP / RAL 7021FS L=7400mm</t>
  </si>
  <si>
    <t>0684-07400</t>
  </si>
  <si>
    <t>U-Profiel ALU bodem/top/Garage/ RAL7021FS L=7.400</t>
  </si>
  <si>
    <t>0685-07400</t>
  </si>
  <si>
    <t>U-Profiel ALU bodem/top/Garage/ RAL9005FS L=7.400</t>
  </si>
  <si>
    <t>0686-07400</t>
  </si>
  <si>
    <t>U-Profiel ALU bodem/top/Garage/ RAL7039FS L=7.400</t>
  </si>
  <si>
    <t>0687-07400</t>
  </si>
  <si>
    <t>L-Profiel ALU VBP / VZP / RAL 9004FS L=7400mm</t>
  </si>
  <si>
    <t>0688-07400</t>
  </si>
  <si>
    <t>U-Profiel ALU bodem/top/Garage/ RAL9004FS L=7.400</t>
  </si>
  <si>
    <t>0717</t>
  </si>
  <si>
    <t>Veerbreukconsole G100 L Smart Connection SV</t>
  </si>
  <si>
    <t>0718</t>
  </si>
  <si>
    <t>Veerbreukconsole G100 R Smart Connection SV</t>
  </si>
  <si>
    <t>0734</t>
  </si>
  <si>
    <t>Veerbreukconsole LINKS G160 (ERA) SC SV</t>
  </si>
  <si>
    <t>0735</t>
  </si>
  <si>
    <t>Veerbreukconsole RECHTS G160 (ERA) SC SV</t>
  </si>
  <si>
    <t>0736</t>
  </si>
  <si>
    <t>Veerbreukconsole LINKS G200 (ERA) SC SV</t>
  </si>
  <si>
    <t>0737</t>
  </si>
  <si>
    <t>Veerbreukconsole RECHTS G200 (ERA) SC SV</t>
  </si>
  <si>
    <t>0740-02510</t>
  </si>
  <si>
    <t>Lateiprofiel LAAG 60x20x1,5 mm SV RAL 9004 L=2510mm</t>
  </si>
  <si>
    <t>0740-03110</t>
  </si>
  <si>
    <t>Lateiprofiel LAAG 60x20x1,5 mm SV RAL 9004 L=3110mm</t>
  </si>
  <si>
    <t>0740-04010</t>
  </si>
  <si>
    <t>Lateiprofiel LAAG 60x20x1,5 mm SV RAL 9004 L=4010mm</t>
  </si>
  <si>
    <t>0740-04200-48</t>
  </si>
  <si>
    <t>Lateiprofiel LAAG 60x20x1,5 mm SV RAL 9004 - 48 stuks</t>
  </si>
  <si>
    <t>pak</t>
  </si>
  <si>
    <t>0740-05200-48</t>
  </si>
  <si>
    <t>0740-06010</t>
  </si>
  <si>
    <t>Lateiprofiel LAAG 60x20x1,5 mm SV RAL 9004 L=6010mm</t>
  </si>
  <si>
    <t>0740-06700-48</t>
  </si>
  <si>
    <t>0751</t>
  </si>
  <si>
    <t>Latei middensteun 46 x 30 x 22 mm SV</t>
  </si>
  <si>
    <t>0753</t>
  </si>
  <si>
    <t>Montagesteun lagerplaat 57x20x32x3 mm SV</t>
  </si>
  <si>
    <t>0754</t>
  </si>
  <si>
    <t>Klembeugel lateiprofiel RES-ERA / SV</t>
  </si>
  <si>
    <t>0755</t>
  </si>
  <si>
    <t>Klembeugel lateiprofiel universeel LAAG / SV / VAR</t>
  </si>
  <si>
    <t>0758</t>
  </si>
  <si>
    <t>Klembeugel 1.25" as t.b.v. pallet montage</t>
  </si>
  <si>
    <t>0759</t>
  </si>
  <si>
    <t>Klembeugel 1" as t.b.v. pallet montage</t>
  </si>
  <si>
    <t>0760</t>
  </si>
  <si>
    <t>TS100 beschermkap 48 x 48 mm kunststof zwart</t>
  </si>
  <si>
    <t>0763</t>
  </si>
  <si>
    <t>Trekveer spanner ERA-RES SV 200x3 mm</t>
  </si>
  <si>
    <t>0764</t>
  </si>
  <si>
    <t>Haakbeugel trekveer ERA-RES SV</t>
  </si>
  <si>
    <t>0765</t>
  </si>
  <si>
    <t>TS100 Bocht afschermplaat Type 2 335x295x1 SV UNI</t>
  </si>
  <si>
    <t>0766L</t>
  </si>
  <si>
    <t>Kabelschijfconstructie R60/G100 Type 3 Links SV</t>
  </si>
  <si>
    <t>0766R</t>
  </si>
  <si>
    <t>Kabelschijfconstructie R60/G100 Type 3 Rechts SV</t>
  </si>
  <si>
    <t>0770</t>
  </si>
  <si>
    <t>Afdekkap kabelschijfconstructie TS100 Type 2 SV</t>
  </si>
  <si>
    <t>0771L</t>
  </si>
  <si>
    <t>Kabelschijfconstructie (zonder afdek) TS100 Type 2 Links SV</t>
  </si>
  <si>
    <t>0771R</t>
  </si>
  <si>
    <t>Kabelschijfconstructie (zonder afdek) TS100 Type 2 Rechts SV</t>
  </si>
  <si>
    <t>0772</t>
  </si>
  <si>
    <t>Nylon glijlager 74x54x10 mm / 1"as</t>
  </si>
  <si>
    <t>0773L</t>
  </si>
  <si>
    <t>Verstevigingsplaat G100/R60 &gt; 200 kg Links SV</t>
  </si>
  <si>
    <t>0773R</t>
  </si>
  <si>
    <t>Verstevigingsplaat G100/R60 &gt; 200 kg Rechts SV</t>
  </si>
  <si>
    <t>0774</t>
  </si>
  <si>
    <t>Inbus moer M10x18 Vlak</t>
  </si>
  <si>
    <t>0775</t>
  </si>
  <si>
    <t>Beugel veerbreuk/afhangprofiel 110x55x2mm SV</t>
  </si>
  <si>
    <t>0776</t>
  </si>
  <si>
    <t>Fixatie Trekveer tbv TS100</t>
  </si>
  <si>
    <t>0777</t>
  </si>
  <si>
    <t>Lagerplaat residentieel G100-R60</t>
  </si>
  <si>
    <t>0778</t>
  </si>
  <si>
    <t>Accuboormachine-veerspanner OK-WINDER 500</t>
  </si>
  <si>
    <t>0780</t>
  </si>
  <si>
    <t>Adapter voor Crawford OK-WINDER 500</t>
  </si>
  <si>
    <t>0781</t>
  </si>
  <si>
    <t>Hoeklijnkniptang</t>
  </si>
  <si>
    <t>0782</t>
  </si>
  <si>
    <t>Felco kabelschaar C7</t>
  </si>
  <si>
    <t>0783</t>
  </si>
  <si>
    <t>Viking arm montage/installatietool</t>
  </si>
  <si>
    <t>0786</t>
  </si>
  <si>
    <t>Kabelklem pers 3 mm - 5 mm</t>
  </si>
  <si>
    <t>0787</t>
  </si>
  <si>
    <t>Tube dispencer</t>
  </si>
  <si>
    <t>0788</t>
  </si>
  <si>
    <t>Interflon Wit vet 150 ml</t>
  </si>
  <si>
    <t>1081=1015</t>
  </si>
  <si>
    <t>Sample plate EPCO (ST3/ST80/ST9V/HLE) (S40) RAL1015</t>
  </si>
  <si>
    <t>1081=1021</t>
  </si>
  <si>
    <t>Sample plate EPCO (ST3/ST80/ST9V/HLE) (S40) RAL1021</t>
  </si>
  <si>
    <t>1081=3000</t>
  </si>
  <si>
    <t>Sample plate EPCO (ST3/ST80/ST9V/HLE) (S40) RAL3000</t>
  </si>
  <si>
    <t>1081=5003</t>
  </si>
  <si>
    <t>Sample plate EPCO (ST3/ST80/ST9V/HLE) (S40) RAL5003</t>
  </si>
  <si>
    <t>1081=5010</t>
  </si>
  <si>
    <t>Sample plate EPCO (ST3/ST80/ST9V/HLE) (S40) RAL5010</t>
  </si>
  <si>
    <t>1081=6005</t>
  </si>
  <si>
    <t>Sample plate EPCO (ST3/ST80/ST9V/HLE) (S40) RAL6005</t>
  </si>
  <si>
    <t>1081=6009</t>
  </si>
  <si>
    <t>Sample plate EPCO (ST3/ST80/ST9V/HLE) (S40) RAL6009</t>
  </si>
  <si>
    <t>1081=7016</t>
  </si>
  <si>
    <t>Sample plate EPCO (ST3/ST80/ST9V/HLE) (S40) RAL7016</t>
  </si>
  <si>
    <t>1081=7021</t>
  </si>
  <si>
    <t>Sample plate EPCO (ST3/ST80/ST9V/HLE) (S40) RAL7021</t>
  </si>
  <si>
    <t>1081=7022</t>
  </si>
  <si>
    <t>Sample plate EPCO (ST3/ST80/ST9V/HLE) (S40) RAL7022</t>
  </si>
  <si>
    <t>1081=7035</t>
  </si>
  <si>
    <t>Sample plate EPCO (ST3/ST80/ST9V/HLE) (S40) RAL7035</t>
  </si>
  <si>
    <t>1081=8014</t>
  </si>
  <si>
    <t>Sample plate EPCO (ST3/ST80/ST9V/HLE) (S40) RAL8014</t>
  </si>
  <si>
    <t>1081=9001</t>
  </si>
  <si>
    <t>Sample plate EPCO (ST3/ST80/ST9V/HLE) (S40) RAL9001</t>
  </si>
  <si>
    <t>1081=9002</t>
  </si>
  <si>
    <t>Sample plate EPCO (ST3/ST80/ST9V/HLE) (S40) RAL9002</t>
  </si>
  <si>
    <t>1081=9005</t>
  </si>
  <si>
    <t>Sample plate EPCO (ST3/ST80/ST9V/HLE) (S40) RAL9005</t>
  </si>
  <si>
    <t>1081=9006</t>
  </si>
  <si>
    <t>Sample plate EPCO (ST3/ST80/ST9V/HLE) (S40) RAL9006</t>
  </si>
  <si>
    <t>1081=9007</t>
  </si>
  <si>
    <t>Sample plate EPCO (ST3/ST80/ST9V/HLE) (S40) RAL9007</t>
  </si>
  <si>
    <t>1081=9010</t>
  </si>
  <si>
    <t>Sample plate EPCO (ST3/ST80/ST9V/HLE) (S40) RAL9010</t>
  </si>
  <si>
    <t>1081=9016</t>
  </si>
  <si>
    <t>Sample plate EPCO (ST3/ST80/ST9V/HLE) (S40) RAL9016</t>
  </si>
  <si>
    <t>1081=PVC</t>
  </si>
  <si>
    <t>Sample plate seperation plate PVC</t>
  </si>
  <si>
    <t>1081=SCREW0</t>
  </si>
  <si>
    <t>Sample plate screw for set C1080 L=10mm</t>
  </si>
  <si>
    <t>1081=SCREW1</t>
  </si>
  <si>
    <t>Sample plate screw for set C1081 L=25mm</t>
  </si>
  <si>
    <t>1082=3000</t>
  </si>
  <si>
    <t>Sample plate EPCO (ST7E) (T40) RAL3000</t>
  </si>
  <si>
    <t>1082=5010</t>
  </si>
  <si>
    <t>Sample plate EPCO (ST7E) (T40) RAL5010</t>
  </si>
  <si>
    <t>1082=6005</t>
  </si>
  <si>
    <t>Sample plate EPCO (ST7E) (T40) RAL6005</t>
  </si>
  <si>
    <t>1082=6009</t>
  </si>
  <si>
    <t>Sample plate EPCO (ST7E) (T40) RAL6009</t>
  </si>
  <si>
    <t>1082=7016</t>
  </si>
  <si>
    <t>Sample plate EPCO (ST7E) (T40) RAL7016</t>
  </si>
  <si>
    <t>1082=7021</t>
  </si>
  <si>
    <t>Sample plate EPCO (ST7E) (T40) RAL7021</t>
  </si>
  <si>
    <t>1082=7022</t>
  </si>
  <si>
    <t>Sample plate EPCO (ST7E) (T40) RAL7022</t>
  </si>
  <si>
    <t>1082=8014</t>
  </si>
  <si>
    <t>Sample plate EPCO (ST7E) (T40) RAL8014</t>
  </si>
  <si>
    <t>1082=9002</t>
  </si>
  <si>
    <t>Sample plate EPCO (ST7E) (T40) RAL9002</t>
  </si>
  <si>
    <t>1082=9005</t>
  </si>
  <si>
    <t>Sample plate EPCO (ST7E) (T40) RAL9005</t>
  </si>
  <si>
    <t>1082=9006</t>
  </si>
  <si>
    <t>Sample plate EPCO (ST7E) (T40) RAL9006</t>
  </si>
  <si>
    <t>1082=9007</t>
  </si>
  <si>
    <t>Sample plate EPCO (ST7E) (T40) RAL9007</t>
  </si>
  <si>
    <t>1082=9010</t>
  </si>
  <si>
    <t>Sample plate EPCO (ST7E) (T40) RAL9010</t>
  </si>
  <si>
    <t>1083=7016M</t>
  </si>
  <si>
    <t>Sample plate EPCO (HLE / Design-line) Antra</t>
  </si>
  <si>
    <t>1083=7039M</t>
  </si>
  <si>
    <t>Sample plate EPCO (HLE / Design-line) Quartz</t>
  </si>
  <si>
    <t>1083=7043M</t>
  </si>
  <si>
    <t>Sample plate EPCO (HLE / Design-line) Granite</t>
  </si>
  <si>
    <t>1083=9005M</t>
  </si>
  <si>
    <t>Sample plate EPCO (HLE / Design-line) Nero 9005M</t>
  </si>
  <si>
    <t>1083=CORTEN</t>
  </si>
  <si>
    <t>Sample plate EPCO (HLE / Design-line) Corten Steel</t>
  </si>
  <si>
    <t>1084=PDARK</t>
  </si>
  <si>
    <t>Sample plate EPCO (HLE / Wood-line) Dark Oak</t>
  </si>
  <si>
    <t>1084=PGOLD2</t>
  </si>
  <si>
    <t>Sample plate EPCO (HLE / Wood-line) Light Oak</t>
  </si>
  <si>
    <t>1084=PMAHA</t>
  </si>
  <si>
    <t>Sample plate EPCO (HLE / Wood-line) Mahogany</t>
  </si>
  <si>
    <t>1085=9016</t>
  </si>
  <si>
    <t>Sample plate EPCO STUCCO RAL9016</t>
  </si>
  <si>
    <t>1086=7016</t>
  </si>
  <si>
    <t>Sample plate EPCO MICRO16 RAL7016</t>
  </si>
  <si>
    <t>1086=9006</t>
  </si>
  <si>
    <t>Sample plate EPCO MICRO16 RAL9006</t>
  </si>
  <si>
    <t>1086=9007</t>
  </si>
  <si>
    <t>Sample plate EPCO MICRO16 RAL9007</t>
  </si>
  <si>
    <t>1086=9016</t>
  </si>
  <si>
    <t>Sample plate EPCO MICRO16 RAL9016</t>
  </si>
  <si>
    <t>1087=7016</t>
  </si>
  <si>
    <t>Sample plate EPCO WOODGRAIN RAL7016</t>
  </si>
  <si>
    <t>1087=9010</t>
  </si>
  <si>
    <t>Sample plate EPCO WOODGRAIN RAL9010</t>
  </si>
  <si>
    <t>1087=9016</t>
  </si>
  <si>
    <t>Sample plate EPCO WOODGRAIN RAL9016</t>
  </si>
  <si>
    <t>1090=2001FS</t>
  </si>
  <si>
    <t>Sample plate POWDERCOATING RAL2001FS Rotorange</t>
  </si>
  <si>
    <t>1090=3000FS</t>
  </si>
  <si>
    <t>Sample plate POWDERCOATING RAL3000FS Feuerrot</t>
  </si>
  <si>
    <t>1090=3002FS</t>
  </si>
  <si>
    <t>Sample plate POWDERCOATING RAL3002FS Karminrot</t>
  </si>
  <si>
    <t>1090=3003FS</t>
  </si>
  <si>
    <t>Sample plate POWDERCOATING RAL3003FS Rubinrot</t>
  </si>
  <si>
    <t>1090=3004FS</t>
  </si>
  <si>
    <t>Sample plate POWDERCOATING RAL3004FS Purperrot</t>
  </si>
  <si>
    <t>1090=3005FS</t>
  </si>
  <si>
    <t>Sample plate POWDERCOATING RAL3005FS Weinrot</t>
  </si>
  <si>
    <t>1090=3020FS</t>
  </si>
  <si>
    <t>Sample plate POWDERCOATING RAL3020FS Verkehrsrot</t>
  </si>
  <si>
    <t>1090=5004FS</t>
  </si>
  <si>
    <t>Sample plate POWDERCOATING RAL5004FS Schwarzblau</t>
  </si>
  <si>
    <t>1090=5009FS</t>
  </si>
  <si>
    <t>Sample plate POWDERCOATING RAL5009FS Azurblau</t>
  </si>
  <si>
    <t>1090=5010FS</t>
  </si>
  <si>
    <t>Sample plate POWDERCOATING RAL5010FS Enzianblau</t>
  </si>
  <si>
    <t>1090=5011FS</t>
  </si>
  <si>
    <t>Sample plate POWDERCOATING RAL5011FS Stahlblau</t>
  </si>
  <si>
    <t>1090=5015FS</t>
  </si>
  <si>
    <t>Sample plate POWDERCOATING RAL5015FS Himmelblau</t>
  </si>
  <si>
    <t>1090=5018</t>
  </si>
  <si>
    <t>Sample plate POWDERCOATING RAL5018 Türkisblau</t>
  </si>
  <si>
    <t>1090=6005FS</t>
  </si>
  <si>
    <t>Sample plate POWDERCOATING RAL6005FS Moosgrün</t>
  </si>
  <si>
    <t>1090=6009FS</t>
  </si>
  <si>
    <t>Sample plate POWDERCOATING RAL6009FS Tannengrün</t>
  </si>
  <si>
    <t>1090=6018FS</t>
  </si>
  <si>
    <t>Sample plate POWDERCOATING RAL6018FS Geldgrün</t>
  </si>
  <si>
    <t>1090=7006FS</t>
  </si>
  <si>
    <t>Sample plate POWDERCOATING RAL7006FS Beigegrau</t>
  </si>
  <si>
    <t>1090=7011FS</t>
  </si>
  <si>
    <t>Sample plate POWDERCOATING RAL7011FS Eisengrau</t>
  </si>
  <si>
    <t>1090=7012FS</t>
  </si>
  <si>
    <t>Sample plate POWDERCOATING RAL7012FS Basaltgrau</t>
  </si>
  <si>
    <t>1090=7015FS</t>
  </si>
  <si>
    <t>Sample plate POWDERCOATING RAL7015FS Schiefergrau</t>
  </si>
  <si>
    <t>1090=7016FS</t>
  </si>
  <si>
    <t>Sample plate POWDERCOATING RAL7016FS Anthrazitgrau</t>
  </si>
  <si>
    <t>1090=7021FS</t>
  </si>
  <si>
    <t>Sample plate POWDERCOATING RAL7021FS Schwarzgrau</t>
  </si>
  <si>
    <t>1090=7022FS</t>
  </si>
  <si>
    <t>Sample plate POWDERCOATING RAL7022FS Umbragrau</t>
  </si>
  <si>
    <t>1090=7024FS</t>
  </si>
  <si>
    <t>Sample plate POWDERCOATING RAL7024FS Graphitgrau</t>
  </si>
  <si>
    <t>1090=7030FS</t>
  </si>
  <si>
    <t>Sample plate POWDERCOATING RAL7030FS Steingrau</t>
  </si>
  <si>
    <t>1090=7035FS</t>
  </si>
  <si>
    <t>Sample plate POWDERCOATING RAL7035FS Lichtgrau</t>
  </si>
  <si>
    <t>1090=7037FS</t>
  </si>
  <si>
    <t>Sample plate POWDERCOATING RAL7037FS Staubgrau</t>
  </si>
  <si>
    <t>1090=7038FS</t>
  </si>
  <si>
    <t>Sample plate POWDERCOATING RAL7038FS Achatgrau</t>
  </si>
  <si>
    <t>1090=7039FS</t>
  </si>
  <si>
    <t>Sample plate POWDERCOATING RAL7039FS Quartzgrau</t>
  </si>
  <si>
    <t>1090=7040FS</t>
  </si>
  <si>
    <t>Sample plate POWDERCOATING RAL7040FS Fenstergrau</t>
  </si>
  <si>
    <t>1090=7042FS</t>
  </si>
  <si>
    <t>Sample plate POWDERCOATING RAL7042FS Verkehrsgrau</t>
  </si>
  <si>
    <t>1090=8014FS</t>
  </si>
  <si>
    <t>Sample plate POWDERCOATING RAL8014FS Sepiabraun</t>
  </si>
  <si>
    <t>1090=8016FS</t>
  </si>
  <si>
    <t>Sample plate POWDERCOATING RAL8016FS Mahagonibraun</t>
  </si>
  <si>
    <t>1090=8017FS</t>
  </si>
  <si>
    <t>Sample plate POWDERCOATING RAL8017FS Schokoladebraun</t>
  </si>
  <si>
    <t>1090=8019FS</t>
  </si>
  <si>
    <t>Sample plate POWDERCOATING RAL8019FS Graubraun</t>
  </si>
  <si>
    <t>1090=8022FS</t>
  </si>
  <si>
    <t>Sample plate POWDERCOATING RAL8022FS Schwarzbraun</t>
  </si>
  <si>
    <t>1090=9001FS</t>
  </si>
  <si>
    <t>Sample plate POWDERCOATING RAL9001FS Cremeweiss</t>
  </si>
  <si>
    <t>1090=9002FS</t>
  </si>
  <si>
    <t>Sample plate POWDERCOATING RAL9002FS Grauweiss</t>
  </si>
  <si>
    <t>1090=9004FS</t>
  </si>
  <si>
    <t>Sample plate POWDERCOATING RAL9004FS Signalschwarz</t>
  </si>
  <si>
    <t>1090=9005FS</t>
  </si>
  <si>
    <t>Sample plate POWDERCOATING RAL9005FS Tiefschwarz</t>
  </si>
  <si>
    <t>1090=9006FS</t>
  </si>
  <si>
    <t>Sample plate POWDERCOATING RAL9006FS Weissaluminium</t>
  </si>
  <si>
    <t>1090=9007FS</t>
  </si>
  <si>
    <t>Sample plate POWDERCOATING RAL9007FS Graualuminium</t>
  </si>
  <si>
    <t>1090=9010FS</t>
  </si>
  <si>
    <t>Sample plate POWDERCOATING RAL9010FS Reinweiss</t>
  </si>
  <si>
    <t>1090=9016FS</t>
  </si>
  <si>
    <t>Sample plate POWDERCOATING RAL9016FS Verkehrsweiss</t>
  </si>
  <si>
    <t>1090=DB703FS</t>
  </si>
  <si>
    <t>Sample plate POWDERCOATING DB703FS Tiefschwarz</t>
  </si>
  <si>
    <t>1090=Q00510</t>
  </si>
  <si>
    <t>Sample plate POWDERCOATING Sikkens Q0.05.10 Kanäle grün</t>
  </si>
  <si>
    <t>1094</t>
  </si>
  <si>
    <t>Voorblad Epco map</t>
  </si>
  <si>
    <t>1095</t>
  </si>
  <si>
    <t>Voorblad poedercoat map</t>
  </si>
  <si>
    <t>1096</t>
  </si>
  <si>
    <t>Stickervellen voor Epco map / 1 set van 96 vellen</t>
  </si>
  <si>
    <t>1097</t>
  </si>
  <si>
    <t>Stickervellen voor poedercoat map / 1 set van 96 vellen</t>
  </si>
  <si>
    <t>1098</t>
  </si>
  <si>
    <t>Losse bladzijde t.b.v. ringband map sample plates</t>
  </si>
  <si>
    <t>1398-06000</t>
  </si>
  <si>
    <t>ALU Aanpasprofiel Crawford ANO L=6.000 mm</t>
  </si>
  <si>
    <t>1503-09990</t>
  </si>
  <si>
    <t>ALU AR HDR profiel BRUTE 150 mm L=9.990 mm</t>
  </si>
  <si>
    <t>1503-12200</t>
  </si>
  <si>
    <t>ALU AR HDR profiel BRUTE 150 mm L=12.200 mm</t>
  </si>
  <si>
    <t>1505-12000</t>
  </si>
  <si>
    <t>AR L STRUT 100x30x3 mm/NOK/BRUTE L=12.000 mm</t>
  </si>
  <si>
    <t>1507-07200</t>
  </si>
  <si>
    <t>ALU Montageprofiel LLC achter dagmaat BRUTE L=7.200 mm</t>
  </si>
  <si>
    <t>1530-06000</t>
  </si>
  <si>
    <t>Aluminium koker BRUTE 40x40x2 mm L=6.000 mm</t>
  </si>
  <si>
    <t>1549-06100-48</t>
  </si>
  <si>
    <t>U-profiel 40mm ALU ongelijkzijdig 35-20mm BRUTE L=6100mm 48x</t>
  </si>
  <si>
    <t>1549-09150</t>
  </si>
  <si>
    <t>U-profiel 40mm ALU ongelijkzijdig 35-20mm BRUTE L=9150mm</t>
  </si>
  <si>
    <t>1550-04100-48</t>
  </si>
  <si>
    <t>U-profiel 40mm ALU gelijkzijdig 35-35mm BRUTE L=4100mm (48x)</t>
  </si>
  <si>
    <t>1550-05100-48</t>
  </si>
  <si>
    <t>U-profiel 40mm ALU gelijkzijdig 35-35mm BRUTE L=5100mm (48x)</t>
  </si>
  <si>
    <t>1550-06100-48</t>
  </si>
  <si>
    <t>U-profiel 40mm ALU gelijkzijdig 35-35mm BRUTE L=6100mm (48x)</t>
  </si>
  <si>
    <t>1550-09150</t>
  </si>
  <si>
    <t>U-profiel 40mm ALU gelijkzijdig 35-35mm BRUTE L=9.150 mm</t>
  </si>
  <si>
    <t>1590=7016-07400</t>
  </si>
  <si>
    <t>Montagekader ALU Basisprofiel HAAKS 95x80mm 7016FS L=7400mm</t>
  </si>
  <si>
    <t>1590=9016-07400</t>
  </si>
  <si>
    <t>Montagekader ALU Basisprofiel HAAKS 95x80mm 9016FS L=7400mm</t>
  </si>
  <si>
    <t>1590=XXXX-07400</t>
  </si>
  <si>
    <t>Montagekader ALU Basisprof HAAKS 95x80mm RAL XXXXFS L=7400mm</t>
  </si>
  <si>
    <t>1590-07400</t>
  </si>
  <si>
    <t>Montagekader ALU Basisprofiel HAAKS 95x80mm BRUTE L=7400mm</t>
  </si>
  <si>
    <t>1591=7016-07400</t>
  </si>
  <si>
    <t>Montagekader ALU Basisprofiel 73x33mm 7016FS L=7400mm</t>
  </si>
  <si>
    <t>1591=9016-07400</t>
  </si>
  <si>
    <t>Montagekader ALU Basisprofiel 73x33mm 9016FS L=7400mm</t>
  </si>
  <si>
    <t>1591=XXXX-07400</t>
  </si>
  <si>
    <t>Montagekader ALU Basisprofiel 73x33mm RAL XXXXFS L=7400mm</t>
  </si>
  <si>
    <t>1591-07400</t>
  </si>
  <si>
    <t>Montagekader ALU Basisprofiel 73x33mm BRUTE L=7400mm</t>
  </si>
  <si>
    <t>1592=7016-07400</t>
  </si>
  <si>
    <t>Montagekader ALU Dagmaatprofiel 97x50mm 7016FS L=7400mm</t>
  </si>
  <si>
    <t>1592=9016-07400</t>
  </si>
  <si>
    <t>Montagekader ALU Dagmaatprofiel 97x50mm 9016FS L=7400mm</t>
  </si>
  <si>
    <t>1592=XXXX-07400</t>
  </si>
  <si>
    <t>Montagekader ALU Dagmaatprofiel 97x50mm RAL XXXXFS L=7400mm</t>
  </si>
  <si>
    <t>1592-07400</t>
  </si>
  <si>
    <t>Montagekader ALU Dagmaatprofiel 97x50mm BRUTE L=7400mm</t>
  </si>
  <si>
    <t>1600=7016-07400</t>
  </si>
  <si>
    <t>ALU bekledingset profiel 90 x 10mm RAL7016FS L=7.400mm</t>
  </si>
  <si>
    <t>1600=9005-07400</t>
  </si>
  <si>
    <t>ALU bekledingset profiel 90 x 10mm RAL9005FS L=7.400mm</t>
  </si>
  <si>
    <t>1600=9016-07400</t>
  </si>
  <si>
    <t>ALU bekledingset profiel 90 x 10mm RAL9016FS L=7.400mm</t>
  </si>
  <si>
    <t>1600=XXXX-07400</t>
  </si>
  <si>
    <t>ALU bekledingset profiel 90 x 10mm RALXXXX L=7.400mm</t>
  </si>
  <si>
    <t>1600-07400</t>
  </si>
  <si>
    <t>Bekledingset profiel ALU 90 x 10mm BRUTE L=7.400mm</t>
  </si>
  <si>
    <t>1601=7016-07400</t>
  </si>
  <si>
    <t>ALU bekledingset profiel 120 x 10mm RAL7016FS L=7.400mm</t>
  </si>
  <si>
    <t>1601=9005-07400</t>
  </si>
  <si>
    <t>ALU bekledingset profiel 120 x 10mm RAL9005FS L=7.400mm</t>
  </si>
  <si>
    <t>1601=9016-07400</t>
  </si>
  <si>
    <t>ALU bekledingset profiel 120 x 10mm RAL9016FS L=7.400mm</t>
  </si>
  <si>
    <t>1601=XXXX-07400</t>
  </si>
  <si>
    <t>ALU bekledingset profiel 120 x 10mm RALXXXX L=7.400mm</t>
  </si>
  <si>
    <t>1601-07400</t>
  </si>
  <si>
    <t>Bekledingset profiel ALU 120 x 10mm BRUTE L=7.400mm</t>
  </si>
  <si>
    <t>1605-04000</t>
  </si>
  <si>
    <t>Paneel koppelprofiel 40mm 105x45mm ALU recht BRUTE L=4000 mm</t>
  </si>
  <si>
    <t>1606-04000</t>
  </si>
  <si>
    <t>Paneel koppelprofiel 40 105x45mm ALU recht RAL XXXX L=4000mm</t>
  </si>
  <si>
    <t>1607-04000</t>
  </si>
  <si>
    <t>Paneel koppelprofiel 40mm 75x75mm ALU haaks BRUTE L=4000 mm</t>
  </si>
  <si>
    <t>1608-04000</t>
  </si>
  <si>
    <t>Paneel koppelprofiel 40 75x75mm ALU haaks RAL XXXX L=4000mm</t>
  </si>
  <si>
    <t>1611-09150</t>
  </si>
  <si>
    <t>AR9 Onderprofiel BRUTE L=9.150mm</t>
  </si>
  <si>
    <t>1612-09500</t>
  </si>
  <si>
    <t>AR6 Onderprofiel BRUTE L=9.500mm</t>
  </si>
  <si>
    <t>1615-12200</t>
  </si>
  <si>
    <t>AR2 onderprofiel/BRUTE L=12.200 mm</t>
  </si>
  <si>
    <t>1618-09150</t>
  </si>
  <si>
    <t>AR80 onderprofiel BRUTE L=9.150 mm</t>
  </si>
  <si>
    <t>1618-12200</t>
  </si>
  <si>
    <t>AR80 onderprofiel BRUTE L=12.200 mm</t>
  </si>
  <si>
    <t>1621-09150</t>
  </si>
  <si>
    <t>AR9 Bovenprofiel BRUTE L=9.150mm</t>
  </si>
  <si>
    <t>1622-09500</t>
  </si>
  <si>
    <t>AR6 Bovenprofiel BRUTE L=9.500mm</t>
  </si>
  <si>
    <t>1628-09150</t>
  </si>
  <si>
    <t>AR80 bovenprofiel BRUTE L=9.150 mm</t>
  </si>
  <si>
    <t>1631-05700</t>
  </si>
  <si>
    <t>AR9 Bovenprofiel VIN BRUTE L=5700mm</t>
  </si>
  <si>
    <t>1631-07200</t>
  </si>
  <si>
    <t>AR9 Bovenprofiel VIN BRUTE L=7200mm</t>
  </si>
  <si>
    <t>1631-09990</t>
  </si>
  <si>
    <t>AR9 Bovenprofiel VIN BRUTE L=9990mm</t>
  </si>
  <si>
    <t>1643-07800</t>
  </si>
  <si>
    <t>AR6/AR7/AR9 Tussenprofiel BRUTE L=7.800 mm</t>
  </si>
  <si>
    <t>1645-07800</t>
  </si>
  <si>
    <t>AR2/AR3/AR4 Tussenprofiel BRUTE L=7.800 mm</t>
  </si>
  <si>
    <t>1653-09150</t>
  </si>
  <si>
    <t>AR6/AR7/AR9 Zij-top-bodemprofiel enkel BRUTE L=9.150 mm</t>
  </si>
  <si>
    <t>1663-09990</t>
  </si>
  <si>
    <t>AR6/AR7/AR9 Topprofiel VIN BRUTE L=9.990 mm</t>
  </si>
  <si>
    <t>1673-09150</t>
  </si>
  <si>
    <t>AR6/AR7/AR9 Zij-bodemprofiel dubbel BRUTE L=9.150 mm</t>
  </si>
  <si>
    <t>1680-09150</t>
  </si>
  <si>
    <t>U-profiel 80mm ALU gelijkzijdig 47-47mm BRUTE L=9150mm</t>
  </si>
  <si>
    <t>1690=7016-06500</t>
  </si>
  <si>
    <t>Dagkant profiel ALU 87x10,5x1,5mm L=6.500 mm RAL7016FS</t>
  </si>
  <si>
    <t>1690=9005-06500</t>
  </si>
  <si>
    <t>Dagkant profiel ALU 87x10,5x1,5mm L=6.500 mm RAL9005FS</t>
  </si>
  <si>
    <t>1690=9016-06500</t>
  </si>
  <si>
    <t>Dagkant profiel ALU 87x10,5x1,5mm L=6.500 mm RAL9016FS</t>
  </si>
  <si>
    <t>1690=XXXX-06500</t>
  </si>
  <si>
    <t>Dagkant profiel ALU 87x10,5x1,5mm L=6.500 mm RALXXXXFS</t>
  </si>
  <si>
    <t>1690-06500</t>
  </si>
  <si>
    <t>Dagkant profiel ALU 87x10,5x1,5mm L=6.500 mm BRUTE</t>
  </si>
  <si>
    <t>1691=7016-06500</t>
  </si>
  <si>
    <t>Dagkant profiel ALU 87x10,5x1,5mm L=6.500 mm RAL7016 30%</t>
  </si>
  <si>
    <t>1691=9005-06500</t>
  </si>
  <si>
    <t>Dagkant profiel ALU 87x10,5x1,5mm L=6.500 mm RAL9005 30%</t>
  </si>
  <si>
    <t>1691=9016-06500</t>
  </si>
  <si>
    <t>Dagkant profiel ALU 87x10,5x1,5mm L=6.500 mm RAL9016 30%</t>
  </si>
  <si>
    <t>1800=1000</t>
  </si>
  <si>
    <t>Lakstift RAL 1000 Groenbeige 20 ml</t>
  </si>
  <si>
    <t>1800=1001</t>
  </si>
  <si>
    <t>Lakstift RAL 1001 Beige 20 ml</t>
  </si>
  <si>
    <t>1800=1002</t>
  </si>
  <si>
    <t>Lakstift RAL 1002 Zandgeel 20 ml</t>
  </si>
  <si>
    <t>1800=1003</t>
  </si>
  <si>
    <t>Lakstift RAL 1003 Signaalgeel 20 ml</t>
  </si>
  <si>
    <t>1800=1004</t>
  </si>
  <si>
    <t>Lakstift RAL 1004 Goudgeel 20 ml</t>
  </si>
  <si>
    <t>1800=1005</t>
  </si>
  <si>
    <t>Lakstift RAL 1005 Honinggeel 20 ml</t>
  </si>
  <si>
    <t>1800=1006</t>
  </si>
  <si>
    <t>Lakstift RAL 1006 Maisgeel 20 ml</t>
  </si>
  <si>
    <t>1800=1007</t>
  </si>
  <si>
    <t>Lakstift RAL 1007 Narcissengeel 20 ml</t>
  </si>
  <si>
    <t>1800=1011</t>
  </si>
  <si>
    <t>Lakstift RAL 1011 Bruinbeige 20 ml</t>
  </si>
  <si>
    <t>1800=1012</t>
  </si>
  <si>
    <t>Lakstift RAL 1012 Citroengeel 20 ml</t>
  </si>
  <si>
    <t>1800=1013</t>
  </si>
  <si>
    <t>Lakstift RAL 1013 Parelwit 20 ml</t>
  </si>
  <si>
    <t>1800=1014</t>
  </si>
  <si>
    <t>Lakstift RAL 1014 Ivoorkleurig 20 ml</t>
  </si>
  <si>
    <t>1800=1015</t>
  </si>
  <si>
    <t>Lakstift RAL 1015 Licht ivoorkleurig 20 ml</t>
  </si>
  <si>
    <t>1800=1016</t>
  </si>
  <si>
    <t>Lakstift RAL 1016 Zwavelgeel 20 ml</t>
  </si>
  <si>
    <t>1800=1017</t>
  </si>
  <si>
    <t>Lakstift RAL 1017 Saffraangeel 20 ml</t>
  </si>
  <si>
    <t>1800=1018</t>
  </si>
  <si>
    <t>Lakstift RAL 1018 Zinkgeel 20 ml</t>
  </si>
  <si>
    <t>1800=1019</t>
  </si>
  <si>
    <t>Lakstift RAL 1019 Grijsbeige 20 ml</t>
  </si>
  <si>
    <t>1800=1020</t>
  </si>
  <si>
    <t>Lakstift RAL 1020 Olijfgeel 20 ml</t>
  </si>
  <si>
    <t>1800=1021</t>
  </si>
  <si>
    <t>Lakstift RAL 1021 Koolzaadgeel 20 ml</t>
  </si>
  <si>
    <t>1800=1023</t>
  </si>
  <si>
    <t>Lakstift RAL 1023 Verkeersgeel 20 ml</t>
  </si>
  <si>
    <t>1800=1024</t>
  </si>
  <si>
    <t>Lakstift RAL 1024 Okergeel 20 ml</t>
  </si>
  <si>
    <t>1800=1027</t>
  </si>
  <si>
    <t>Lakstift RAL 1027 Kerriegeel 20 ml</t>
  </si>
  <si>
    <t>1800=1028</t>
  </si>
  <si>
    <t>Lakstift RAL 1028 Meloengeel 20 ml</t>
  </si>
  <si>
    <t>1800=1032</t>
  </si>
  <si>
    <t>Lakstift RAL 1032 Bremgeel 20 ml</t>
  </si>
  <si>
    <t>1800=1033</t>
  </si>
  <si>
    <t>Lakstift RAL 1033 Dahliageel 20 ml</t>
  </si>
  <si>
    <t>1800=1034</t>
  </si>
  <si>
    <t>Lakstift RAL 1034 Pastelgeel 20 ml</t>
  </si>
  <si>
    <t>1800=1037</t>
  </si>
  <si>
    <t>Lakstift RAL 1037 Zonnegeel 20 ml</t>
  </si>
  <si>
    <t>1800=2000</t>
  </si>
  <si>
    <t>Lakstift RAL 2000 Geeloranje 20 ml</t>
  </si>
  <si>
    <t>1800=2001</t>
  </si>
  <si>
    <t>Lakstift RAL 2001 Roodoranje 20 ml</t>
  </si>
  <si>
    <t>1800=2002</t>
  </si>
  <si>
    <t>Lakstift RAL 2002 vermiljoen 20 ml</t>
  </si>
  <si>
    <t>1800=2003</t>
  </si>
  <si>
    <t>Lakstift RAL 2003 Pasteloranje 20 ml</t>
  </si>
  <si>
    <t>1800=2004</t>
  </si>
  <si>
    <t>Lakstift RAL 2004 Zuiver oranje 20 ml</t>
  </si>
  <si>
    <t>1800=2008</t>
  </si>
  <si>
    <t>Lakstift RAL 2008 Licht roodoranje 20 ml</t>
  </si>
  <si>
    <t>1800=2009</t>
  </si>
  <si>
    <t>Lakstift RAL 2009 Verkeersoranje 20 ml</t>
  </si>
  <si>
    <t>1800=2010</t>
  </si>
  <si>
    <t>Lakstift RAL 2010 Signaaloranje 20 ml</t>
  </si>
  <si>
    <t>1800=2011</t>
  </si>
  <si>
    <t>Lakstift RAL 2011 Dieporanje 20 ml</t>
  </si>
  <si>
    <t>1800=2012</t>
  </si>
  <si>
    <t>Lakstift RAL 2012 Zalmoranje 20 ml</t>
  </si>
  <si>
    <t>1800=3000</t>
  </si>
  <si>
    <t>Lakstift RAL 3000 Vuurrood 20 ml</t>
  </si>
  <si>
    <t>1800=3001</t>
  </si>
  <si>
    <t>Lakstift RAL 3001 Signaalrood 20 ml</t>
  </si>
  <si>
    <t>1800=3002</t>
  </si>
  <si>
    <t>Lakstift RAL 3002 Karmijnrood 20 ml</t>
  </si>
  <si>
    <t>1800=3003</t>
  </si>
  <si>
    <t>Lakstift RAL 3003 Robijnrood 20 ml</t>
  </si>
  <si>
    <t>1800=3004</t>
  </si>
  <si>
    <t>Lakstift RAL 3004 Purperrood 20 ml</t>
  </si>
  <si>
    <t>1800=3005</t>
  </si>
  <si>
    <t>Lakstift RAL 3005 Wijnrood 20 ml</t>
  </si>
  <si>
    <t>1800=3007</t>
  </si>
  <si>
    <t>Lakstift RAL 3007 Zwartrood 20 ml</t>
  </si>
  <si>
    <t>1800=3009</t>
  </si>
  <si>
    <t>Lakstift RAL 3009 Oxyderood 20 ml</t>
  </si>
  <si>
    <t>1800=3011</t>
  </si>
  <si>
    <t>Lakstift RAL 3011 Bruinrood 20 ml</t>
  </si>
  <si>
    <t>1800=3012</t>
  </si>
  <si>
    <t>Lakstift RAL 3012 Beigerood 20 ml</t>
  </si>
  <si>
    <t>1800=3013</t>
  </si>
  <si>
    <t>Lakstift RAL 3013 Tomaatrood 20 ml</t>
  </si>
  <si>
    <t>1800=3014</t>
  </si>
  <si>
    <t>Lakstift RAL 3014 Oudroze 20 ml</t>
  </si>
  <si>
    <t>1800=3015</t>
  </si>
  <si>
    <t>Lakstift RAL 3015 Lichtroze 20 ml</t>
  </si>
  <si>
    <t>1800=3016</t>
  </si>
  <si>
    <t>Lakstift RAL 3016 Koraalrood 20 ml</t>
  </si>
  <si>
    <t>1800=3017</t>
  </si>
  <si>
    <t>Lakstift RAL 3017 Bleekrood 20 ml</t>
  </si>
  <si>
    <t>1800=3018</t>
  </si>
  <si>
    <t>Lakstift RAL 3018 Aardbeirood 20 ml</t>
  </si>
  <si>
    <t>1800=3020</t>
  </si>
  <si>
    <t>Lakstift RAL 3020 Verkeersrood 20 ml</t>
  </si>
  <si>
    <t>1800=3022</t>
  </si>
  <si>
    <t>Lakstift RAL 3022 Zalmrood 20 ml</t>
  </si>
  <si>
    <t>1800=3027</t>
  </si>
  <si>
    <t>Lakstift RAL 3027 Framboosrood 20 ml</t>
  </si>
  <si>
    <t>1800=3031</t>
  </si>
  <si>
    <t>Lakstift RAL 3031 Oriëntrood 20 ml</t>
  </si>
  <si>
    <t>1800=4001</t>
  </si>
  <si>
    <t>Lakstift RAL 4001 Roodlila 20 ml</t>
  </si>
  <si>
    <t>1800=4002</t>
  </si>
  <si>
    <t>Lakstift RAL 4002 Roodpaars 20 ml</t>
  </si>
  <si>
    <t>1800=4003</t>
  </si>
  <si>
    <t>Lakstift RAL 4003 Heidepaars 20 ml</t>
  </si>
  <si>
    <t>1800=4004</t>
  </si>
  <si>
    <t>Lakstift RAL 4004 Bordeuaxpaars 20 ml</t>
  </si>
  <si>
    <t>1800=4005</t>
  </si>
  <si>
    <t>Lakstift RAL 4005 Blauwlila 20 ml</t>
  </si>
  <si>
    <t>1800=4006</t>
  </si>
  <si>
    <t>Lakstift RAL 4006 Verkeerspurper 20 ml</t>
  </si>
  <si>
    <t>1800=4007</t>
  </si>
  <si>
    <t>Lakstift RAL 4007 Purperviolet 20 ml</t>
  </si>
  <si>
    <t>1800=4008</t>
  </si>
  <si>
    <t>Lakstift RAL 4008 Signaalviolet 20 ml</t>
  </si>
  <si>
    <t>1800=4009</t>
  </si>
  <si>
    <t>Lakstift RAL 4009 Pastelviolet 20 ml</t>
  </si>
  <si>
    <t>1800=4010</t>
  </si>
  <si>
    <t>Lakstift RAL 4010 Telemagenta 20 ml</t>
  </si>
  <si>
    <t>1800=5000</t>
  </si>
  <si>
    <t>Lakstift RAL 5000 Paarsblauw 20 ml</t>
  </si>
  <si>
    <t>1800=5001</t>
  </si>
  <si>
    <t>Lakstift RAL 5001 Groenblauw 20 ml</t>
  </si>
  <si>
    <t>1800=5002</t>
  </si>
  <si>
    <t>Lakstift RAL 5002 Ultramarijnblauw 20 ml</t>
  </si>
  <si>
    <t>1800=5003</t>
  </si>
  <si>
    <t>Lakstift RAL 5003 Saffierblauw 20 ml</t>
  </si>
  <si>
    <t>1800=5004</t>
  </si>
  <si>
    <t>Lakstift RAL 5004 Zwartblauw 20 ml</t>
  </si>
  <si>
    <t>1800=5005</t>
  </si>
  <si>
    <t>Lakstift RAL 5005 Signaalblauw 20 ml</t>
  </si>
  <si>
    <t>1800=5007</t>
  </si>
  <si>
    <t>Lakstift RAL 5007 Briljantblauw 20 ml</t>
  </si>
  <si>
    <t>1800=5008</t>
  </si>
  <si>
    <t>Lakstift RAL 5008 Grijsblauw 20 ml</t>
  </si>
  <si>
    <t>1800=5009</t>
  </si>
  <si>
    <t>Lakstift RAL 5009 Azuurblauw 20 ml</t>
  </si>
  <si>
    <t>1800=5010</t>
  </si>
  <si>
    <t>Lakstift RAL 5010 Gentiaanblauw 20 ml</t>
  </si>
  <si>
    <t>1800=5011</t>
  </si>
  <si>
    <t>Lakstift RAL 5011 Staalblauw 20 ml</t>
  </si>
  <si>
    <t>1800=5012</t>
  </si>
  <si>
    <t>Lakstift RAL 5012 Lichtblauw 20 ml</t>
  </si>
  <si>
    <t>1800=5013</t>
  </si>
  <si>
    <t>Lakstift RAL 5013 Kobaltblauw 20 ml</t>
  </si>
  <si>
    <t>1800=5014</t>
  </si>
  <si>
    <t>Lakstift RAL 5014 Duifblauw 20 ml</t>
  </si>
  <si>
    <t>1800=5015</t>
  </si>
  <si>
    <t>Lakstift RAL 5015 Hemelsblauw 20 ml</t>
  </si>
  <si>
    <t>1800=5017</t>
  </si>
  <si>
    <t>Lakstift RAL 5017 Verkeersblauw 20 ml</t>
  </si>
  <si>
    <t>1800=5018</t>
  </si>
  <si>
    <t>Lakstift RAL 5018 Turkooisblauw 20 ml</t>
  </si>
  <si>
    <t>1800=5019</t>
  </si>
  <si>
    <t>Lakstift RAL 5019 Capriblauw 20 ml</t>
  </si>
  <si>
    <t>1800=5020</t>
  </si>
  <si>
    <t>Lakstift RAL 5020 Oceaanblauw 20 ml</t>
  </si>
  <si>
    <t>1800=5021</t>
  </si>
  <si>
    <t>Lakstift RAL 5021 Waterblauw 20 ml</t>
  </si>
  <si>
    <t>1800=5022</t>
  </si>
  <si>
    <t>Lakstift RAL 5022 Nachtblauw 20 ml</t>
  </si>
  <si>
    <t>1800=5023</t>
  </si>
  <si>
    <t>Lakstift RAL 5023 Verblauw 20 ml</t>
  </si>
  <si>
    <t>1800=5024</t>
  </si>
  <si>
    <t>Lakstift RAL 5024 Pastelblauw 20 ml</t>
  </si>
  <si>
    <t>1800=6000</t>
  </si>
  <si>
    <t>Lakstift RAL 6000 Patinagroen 20 ml</t>
  </si>
  <si>
    <t>1800=6001</t>
  </si>
  <si>
    <t>Lakstift RAL 6001 Smaragdgroen 20 ml</t>
  </si>
  <si>
    <t>1800=6002</t>
  </si>
  <si>
    <t>Lakstift RAL 6002 Loofgroen 20 ml</t>
  </si>
  <si>
    <t>1800=6003</t>
  </si>
  <si>
    <t>Lakstift RAL 6003 Olijfgroen 20 ml</t>
  </si>
  <si>
    <t>1800=6004</t>
  </si>
  <si>
    <t>Lakstift RAL 6004 Blauwgroen 20 ml</t>
  </si>
  <si>
    <t>1800=6005</t>
  </si>
  <si>
    <t>Lakstift RAL 6005 Mosgroen 20 ml</t>
  </si>
  <si>
    <t>1800=6006</t>
  </si>
  <si>
    <t>Lakstift RAL 6006 Grijs olijfgroen 20 ml</t>
  </si>
  <si>
    <t>1800=6007</t>
  </si>
  <si>
    <t>Lakstift RAL 6007 Flessegroen 20 ml</t>
  </si>
  <si>
    <t>1800=6008</t>
  </si>
  <si>
    <t>Lakstift RAL 6008 Bruingroen 20 ml</t>
  </si>
  <si>
    <t>1800=6009</t>
  </si>
  <si>
    <t>Lakstift RAL 6009 Dennegroen 20 ml</t>
  </si>
  <si>
    <t>1800=6010</t>
  </si>
  <si>
    <t>Lakstift RAL 6010 Grasgroen 20 ml</t>
  </si>
  <si>
    <t>1800=6011</t>
  </si>
  <si>
    <t>Lakstift RAL 6011 Resedagroen 20 ml</t>
  </si>
  <si>
    <t>1800=6012</t>
  </si>
  <si>
    <t>Lakstift RAL 6012 Zwartgroen 20 ml</t>
  </si>
  <si>
    <t>1800=6013</t>
  </si>
  <si>
    <t>Lakstift RAL 6013 Rietgroen 20 ml</t>
  </si>
  <si>
    <t>1800=6014</t>
  </si>
  <si>
    <t>Lakstift RAL 6014 geel olijfgroen 20 ml</t>
  </si>
  <si>
    <t>1800=6015</t>
  </si>
  <si>
    <t>Lakstift RAL 6015 Zwart olijfgroen 20 ml</t>
  </si>
  <si>
    <t>1800=6016</t>
  </si>
  <si>
    <t>Lakstift RAL 6016 Turkooisgroen 20 ml</t>
  </si>
  <si>
    <t>1800=6017</t>
  </si>
  <si>
    <t>Lakstift RAL 6017 Meigroen 20 ml</t>
  </si>
  <si>
    <t>1800=6018</t>
  </si>
  <si>
    <t>Lakstift RAL 6018 Geelgroen 20 ml</t>
  </si>
  <si>
    <t>1800=6019</t>
  </si>
  <si>
    <t>Lakstift RAL 6019 Witgroen 20 ml</t>
  </si>
  <si>
    <t>1800=6020</t>
  </si>
  <si>
    <t>Lakstift RAL 6020 Chroomoxydegroen 20 ml</t>
  </si>
  <si>
    <t>1800=6021</t>
  </si>
  <si>
    <t>Lakstift RAL 6021 Bleekgroen 20 ml</t>
  </si>
  <si>
    <t>1800=6022</t>
  </si>
  <si>
    <t>Lakstift RAL 6022 Bruin olijfgroen 20 ml</t>
  </si>
  <si>
    <t>1800=6024</t>
  </si>
  <si>
    <t>Lakstift RAL 6024 Verkeersgroen 20 ml</t>
  </si>
  <si>
    <t>1800=6025</t>
  </si>
  <si>
    <t>Lakstift RAL 6025 Varengroen 20 ml</t>
  </si>
  <si>
    <t>1800=6026</t>
  </si>
  <si>
    <t>Lakstift RAL 6026 Opaalgroen 20 ml</t>
  </si>
  <si>
    <t>1800=6027</t>
  </si>
  <si>
    <t>Lakstift RAL 6027 Lichtgroen 20 ml</t>
  </si>
  <si>
    <t>1800=6028</t>
  </si>
  <si>
    <t>Lakstift RAL 6028 Pijnboomgroen 20 ml</t>
  </si>
  <si>
    <t>1800=6029</t>
  </si>
  <si>
    <t>Lakstift RAL 6029 Mintgroen 20 ml</t>
  </si>
  <si>
    <t>1800=6031</t>
  </si>
  <si>
    <t>Lakstift RAL 6031 Bronsgroen 20 ml</t>
  </si>
  <si>
    <t>1800=6032</t>
  </si>
  <si>
    <t>Lakstift RAL 6032 Signaalgroen 20 ml</t>
  </si>
  <si>
    <t>1800=6033</t>
  </si>
  <si>
    <t>Lakstift RAL 6033 Mintturquoise 20 ml</t>
  </si>
  <si>
    <t>1800=6034</t>
  </si>
  <si>
    <t>Lakstift RAL 6034 Pastelturquoise 20 ml</t>
  </si>
  <si>
    <t>1800=7000</t>
  </si>
  <si>
    <t>Lakstift RAL 7000 Pelsgrijs 20 ml</t>
  </si>
  <si>
    <t>1800=7001</t>
  </si>
  <si>
    <t>Lakstift RAL 7001 Zilvergrijs 20 ml</t>
  </si>
  <si>
    <t>1800=7002</t>
  </si>
  <si>
    <t>Lakstift RAL 7002 Olijfgrijs 20 ml</t>
  </si>
  <si>
    <t>1800=7003</t>
  </si>
  <si>
    <t>Lakstift RAL 7003 Mosgrijs 20 ml</t>
  </si>
  <si>
    <t>1800=7004</t>
  </si>
  <si>
    <t>Lakstift RAL 7004 Signaalgrijs 20 ml</t>
  </si>
  <si>
    <t>1800=7005</t>
  </si>
  <si>
    <t>Lakstift RAL 7005 Muisgrijs 20 ml</t>
  </si>
  <si>
    <t>1800=7006</t>
  </si>
  <si>
    <t>Lakstift RAL 7006 Beigegrijs 20 ml</t>
  </si>
  <si>
    <t>1800=7008</t>
  </si>
  <si>
    <t>Lakstift RAL 7008 Kakigrijs 20 ml</t>
  </si>
  <si>
    <t>1800=7009</t>
  </si>
  <si>
    <t>Lakstift RAL 7009 Groengrijs 20 ml</t>
  </si>
  <si>
    <t>1800=7010</t>
  </si>
  <si>
    <t>Lakstift RAL 7010 Zeildoekgrijs 20 ml</t>
  </si>
  <si>
    <t>1800=7011</t>
  </si>
  <si>
    <t>Lakstift RAL 7011 Ijzergrijs 20 ml</t>
  </si>
  <si>
    <t>1800=7012</t>
  </si>
  <si>
    <t>Lakstift RAL 7012 Bazaltgrijs 20 ml</t>
  </si>
  <si>
    <t>1800=7013</t>
  </si>
  <si>
    <t>Lakstift RAL 7013 Bruingrijs 20 ml</t>
  </si>
  <si>
    <t>1800=7015</t>
  </si>
  <si>
    <t>Lakstift RAL 7015 Leigrijs 20 ml</t>
  </si>
  <si>
    <t>1800=7016</t>
  </si>
  <si>
    <t>Lakstift RAL 7016 Antracietgrijs 20 ml</t>
  </si>
  <si>
    <t>1800=7021</t>
  </si>
  <si>
    <t>Lakstift RAL 7021 Zwartgrijs 20 ml</t>
  </si>
  <si>
    <t>1800=7022</t>
  </si>
  <si>
    <t>Lakstift RAL 7022 Ombergrijs 20 ml</t>
  </si>
  <si>
    <t>1800=7023</t>
  </si>
  <si>
    <t>Lakstift RAL 7023 Betongrijs 20 ml</t>
  </si>
  <si>
    <t>1800=7024</t>
  </si>
  <si>
    <t>Lakstift RAL 7024 Grafietgrijs 20 ml</t>
  </si>
  <si>
    <t>1800=7026</t>
  </si>
  <si>
    <t>Lakstift RAL 7026 Granietgrijs 20 ml</t>
  </si>
  <si>
    <t>1800=7030</t>
  </si>
  <si>
    <t>Lakstift RAL 7030 Steengrijs 20 ml</t>
  </si>
  <si>
    <t>1800=7031</t>
  </si>
  <si>
    <t>Lakstift RAL 7031 Blauwgrijs 20 ml</t>
  </si>
  <si>
    <t>1800=7032</t>
  </si>
  <si>
    <t>Lakstift RAL 7032 Kiezelgrijs 20 ml</t>
  </si>
  <si>
    <t>1800=7033</t>
  </si>
  <si>
    <t>Lakstift RAL 7033 Cementgrijs 20 ml</t>
  </si>
  <si>
    <t>1800=7034</t>
  </si>
  <si>
    <t>Lakstift RAL 7034 Geelgrijs 20 ml</t>
  </si>
  <si>
    <t>1800=7035</t>
  </si>
  <si>
    <t>Lakstift RAL 7035 Lichtgrijs 20 ml</t>
  </si>
  <si>
    <t>1800=7036</t>
  </si>
  <si>
    <t>Lakstift RAL 7036 Platinagrijs 20 ml</t>
  </si>
  <si>
    <t>1800=7037</t>
  </si>
  <si>
    <t>Lakstift RAL 7037 Stofgrijs 20 ml</t>
  </si>
  <si>
    <t>1800=7038</t>
  </si>
  <si>
    <t>Lakstift RAL 7038 Agaatgrijs 20 ml</t>
  </si>
  <si>
    <t>1800=7039</t>
  </si>
  <si>
    <t>Lakstift RAL 7039 Kwartsgrijs 20 ml</t>
  </si>
  <si>
    <t>1800=7040</t>
  </si>
  <si>
    <t>Lakstift RAL 7040 Venstergrijs 20 ml</t>
  </si>
  <si>
    <t>1800=7042</t>
  </si>
  <si>
    <t>Lakstift RAL 7042 Verkeersgrijs A 20 ml</t>
  </si>
  <si>
    <t>1800=7043</t>
  </si>
  <si>
    <t>Lakstift RAL 7043 Verkeersgrijs B 20 ml</t>
  </si>
  <si>
    <t>1800=7044</t>
  </si>
  <si>
    <t>Lakstift RAL 7044 Zijdegrijs 20 ml</t>
  </si>
  <si>
    <t>1800=7045</t>
  </si>
  <si>
    <t>Lakstift RAL 7045 Telegrijs 1 20 ml</t>
  </si>
  <si>
    <t>1800=7046</t>
  </si>
  <si>
    <t>Lakstift RAL 7046 Telegrijs 2 20 ml</t>
  </si>
  <si>
    <t>1800=7047</t>
  </si>
  <si>
    <t>Lakstift RAL 7047 Telegrijs 4 20 ml</t>
  </si>
  <si>
    <t>1800=8000</t>
  </si>
  <si>
    <t>Lakstift RAL 8000 Groenbruin 20 ml</t>
  </si>
  <si>
    <t>1800=8001</t>
  </si>
  <si>
    <t>Lakstift RAL 8001 Okerbruin 20 ml</t>
  </si>
  <si>
    <t>1800=8002</t>
  </si>
  <si>
    <t>Lakstift RAL 8002 Signaalbruin 20 ml</t>
  </si>
  <si>
    <t>1800=8003</t>
  </si>
  <si>
    <t>Lakstift RAL 8003 Leembruin 20 ml</t>
  </si>
  <si>
    <t>1800=8004</t>
  </si>
  <si>
    <t>Lakstift RAL 8004 Koperbruin 20 ml</t>
  </si>
  <si>
    <t>1800=8007</t>
  </si>
  <si>
    <t>Lakstift RAL 8007 Reebruin 20 ml</t>
  </si>
  <si>
    <t>1800=8008</t>
  </si>
  <si>
    <t>Lakstift RAL 8008 Olijfbruin 20 ml</t>
  </si>
  <si>
    <t>1800=8011</t>
  </si>
  <si>
    <t>Lakstift RAL 8011 Notebruin 20 ml</t>
  </si>
  <si>
    <t>1800=8012</t>
  </si>
  <si>
    <t>Lakstift RAL 8012 Roodbruin 20 ml</t>
  </si>
  <si>
    <t>1800=8014</t>
  </si>
  <si>
    <t>Lakstift RAL 8014 Sepiabruin 20 ml</t>
  </si>
  <si>
    <t>1800=8015</t>
  </si>
  <si>
    <t>Lakstift RAL 8015 Kastanjebruin 20 ml</t>
  </si>
  <si>
    <t>1800=8016</t>
  </si>
  <si>
    <t>Lakstift RAL 8016 Mahoniebruin 20 ml</t>
  </si>
  <si>
    <t>1800=8017</t>
  </si>
  <si>
    <t>Lakstift RAL 8017 Chocoladebruin 20 ml</t>
  </si>
  <si>
    <t>1800=8019</t>
  </si>
  <si>
    <t>Lakstift RAL 8019 Grijsbruin 20 ml</t>
  </si>
  <si>
    <t>1800=8022</t>
  </si>
  <si>
    <t>Lakstift RAL 8022 Zwartbruin 20 ml</t>
  </si>
  <si>
    <t>1800=8023</t>
  </si>
  <si>
    <t>Lakstift RAL 8023 Oranjebruin 20 ml</t>
  </si>
  <si>
    <t>1800=8024</t>
  </si>
  <si>
    <t>Lakstift RAL 8024 Beigebruin 20 ml</t>
  </si>
  <si>
    <t>1800=8025</t>
  </si>
  <si>
    <t>Lakstift RAL 8025 Bleekbruin 20 ml</t>
  </si>
  <si>
    <t>1800=8028</t>
  </si>
  <si>
    <t>Lakstift RAL 8028 Terrabruin 20 ml</t>
  </si>
  <si>
    <t>1800=9001</t>
  </si>
  <si>
    <t>Lakstift RAL 9001 Crèmewit 20 ml</t>
  </si>
  <si>
    <t>1800=9002</t>
  </si>
  <si>
    <t>Lakstift RAL 9002 Grijswit 20 ml</t>
  </si>
  <si>
    <t>1800=9003</t>
  </si>
  <si>
    <t>Lakstift RAL 9003 Signaalwit 20 ml</t>
  </si>
  <si>
    <t>1800=9004</t>
  </si>
  <si>
    <t>Lakstift RAL 9004 Signaalzwart 20 ml</t>
  </si>
  <si>
    <t>1800=9005</t>
  </si>
  <si>
    <t>Lakstift RAL 9005 Gitzwart 20 ml</t>
  </si>
  <si>
    <t>1800=9006</t>
  </si>
  <si>
    <t>Lakstift RAL 9006 Blank alumiumkleurig 20 ml</t>
  </si>
  <si>
    <t>1800=9007</t>
  </si>
  <si>
    <t>Lakstift RAL 9007 Grijs aluminiumkleurig 20 ml</t>
  </si>
  <si>
    <t>1800=9010</t>
  </si>
  <si>
    <t>Lakstift RAL 9010 Zuiver wit 20 ml</t>
  </si>
  <si>
    <t>1800=9011</t>
  </si>
  <si>
    <t>Lakstift RAL 9011 Grafietzwart 20 ml</t>
  </si>
  <si>
    <t>1800=9016</t>
  </si>
  <si>
    <t>Lakstift RAL 9016 Verkeerswit 20 ml</t>
  </si>
  <si>
    <t>1800=9017</t>
  </si>
  <si>
    <t>Lakstift RAL 9017 Verkeerszwart 20 ml</t>
  </si>
  <si>
    <t>1800=9018</t>
  </si>
  <si>
    <t>Lakstift RAL 9018 Papyruswit 20 ml</t>
  </si>
  <si>
    <t>1940</t>
  </si>
  <si>
    <t>Monsterkoffer met foam (leeg) zwart</t>
  </si>
  <si>
    <t>1991</t>
  </si>
  <si>
    <t>Lakstiften/ anders dan RAL kleuren 20 ml</t>
  </si>
  <si>
    <t>2002-07800</t>
  </si>
  <si>
    <t>AR L Strut 39x60x22x3 mm/ANO L=7.800 mm</t>
  </si>
  <si>
    <t>2002-09990</t>
  </si>
  <si>
    <t>AR L Strut 39x60x22x3 mm/ANO L=9.990 mm</t>
  </si>
  <si>
    <t>2005-07800</t>
  </si>
  <si>
    <t>AR L STRUT 100x30x3 mm/NOK/ANO L=7.800 mm</t>
  </si>
  <si>
    <t>2011-09150</t>
  </si>
  <si>
    <t>AR9 Onderprofiel ANO L=9.150mm</t>
  </si>
  <si>
    <t>2012-09500</t>
  </si>
  <si>
    <t>AR6 Onderprofiel ANO L=9.500mm</t>
  </si>
  <si>
    <t>2019-09150</t>
  </si>
  <si>
    <t>AR6T Onderprofiel ANO L=9.150mm</t>
  </si>
  <si>
    <t>2021-09150</t>
  </si>
  <si>
    <t>AR9 Bovenprofiel ANO L=9.150 mm</t>
  </si>
  <si>
    <t>2022-09500</t>
  </si>
  <si>
    <t>AR6 Bovenprofiel ANO L=9.500 mm</t>
  </si>
  <si>
    <t>2029-09150</t>
  </si>
  <si>
    <t>AR6T Bovenprofiel ANO L=9.150mm</t>
  </si>
  <si>
    <t>2031-05700</t>
  </si>
  <si>
    <t>AR9 Bovenprofiel VIN ANO L=5700mm</t>
  </si>
  <si>
    <t>2031-07200</t>
  </si>
  <si>
    <t>AR9 Bovenprofiel VIN ANO L=7200mm</t>
  </si>
  <si>
    <t>2031-09990</t>
  </si>
  <si>
    <t>AR9 Bovenprofiel VIN ANO L=9990mm</t>
  </si>
  <si>
    <t>2032-05700</t>
  </si>
  <si>
    <t>AR6 Bovenprofiel VIN ANO L=5.700 mm</t>
  </si>
  <si>
    <t>2032-09990</t>
  </si>
  <si>
    <t>AR6 Bovenprofiel VIN ANO L=9.990 mm</t>
  </si>
  <si>
    <t>2039-05700</t>
  </si>
  <si>
    <t>AR6T Bovenprofiel VIN ANO L=5.700mm</t>
  </si>
  <si>
    <t>2039-09990</t>
  </si>
  <si>
    <t>AR6T Bovenprofiel VIN ANO L=9.990mm</t>
  </si>
  <si>
    <t>2043-07800</t>
  </si>
  <si>
    <t>AR6/AR7/AR9 Tussenprofiel ANO L=7.800 mm</t>
  </si>
  <si>
    <t>2045-07800</t>
  </si>
  <si>
    <t>AR2/AR3/AR4 Tussenprofiel ANO L=7.800 mm</t>
  </si>
  <si>
    <t>2049-07000</t>
  </si>
  <si>
    <t>AR6T Tussenprofiel ANO L=7.000mm</t>
  </si>
  <si>
    <t>2051-07400</t>
  </si>
  <si>
    <t>U-profiel ALU bodem / top / Garage / ANO L=7.400 mm</t>
  </si>
  <si>
    <t>2053-09150</t>
  </si>
  <si>
    <t>AR6/AR7/AR9 Zij-top-bodemprofiel enkel ANO L=9.150 mm</t>
  </si>
  <si>
    <t>2055-09150</t>
  </si>
  <si>
    <t>AR2/AR3/AR4 Zij-top-bodemprofiel enkel ANO L=9.150 mm</t>
  </si>
  <si>
    <t>2059-09150</t>
  </si>
  <si>
    <t>AR6T Zij-Top-Bodemprofiel enkel ANO L=9.150mm</t>
  </si>
  <si>
    <t>2063-05700</t>
  </si>
  <si>
    <t>AR6/AR7/AR9 Topprofiel VIN ANO L=5.700 mm</t>
  </si>
  <si>
    <t>2063-09990</t>
  </si>
  <si>
    <t>AR6/AR7/AR9 Topprofiel VIN ANO L=9.990 mm</t>
  </si>
  <si>
    <t>2065-09150</t>
  </si>
  <si>
    <t>AR2/AR3/AR4 Zij-bodemprofiel dubbel ANO L=9.150 mm</t>
  </si>
  <si>
    <t>2073-09150</t>
  </si>
  <si>
    <t>AR6/AR7/AR9 Zij-bodemprofiel dubbel ANO L=9.150 mm</t>
  </si>
  <si>
    <t>2079-09990</t>
  </si>
  <si>
    <t>AR6T Topprofiel VIN ANO L=9.990mm</t>
  </si>
  <si>
    <t>2090-07800</t>
  </si>
  <si>
    <t>AR2/AR3/AR4 ALU Glaslat dubbel ANO L=7.800 mm</t>
  </si>
  <si>
    <t>2095-04000</t>
  </si>
  <si>
    <t>Paneel koppelprofiel 40mm 105x45mm ALU recht ANO L=4000 mm</t>
  </si>
  <si>
    <t>2096-04000</t>
  </si>
  <si>
    <t>Paneel koppelprofiel 40mm 75x75mm ALU haaks ANO L=4000 mm</t>
  </si>
  <si>
    <t>2096-04000-20</t>
  </si>
  <si>
    <t>Paneel koppelprofiel 40 75x75mm ALU haaks ANO L=4000mm/20st</t>
  </si>
  <si>
    <t>2100-05000</t>
  </si>
  <si>
    <t>Lekdorpelprofiel 15x8 / ANO L=5.000 mm</t>
  </si>
  <si>
    <t>2102-05000</t>
  </si>
  <si>
    <t>ALU slijtstrip 40x3 mm L=5.000 mm</t>
  </si>
  <si>
    <t>2103-06400</t>
  </si>
  <si>
    <t>ALU Montagehoeklijn LLC 35x23x2,2 mm ANO L=6.400 mm</t>
  </si>
  <si>
    <t>2107-06400</t>
  </si>
  <si>
    <t>ALU Montagehoeklijn LLC 35x23x2,2 mm RAL 9016 L=6400mm</t>
  </si>
  <si>
    <t>2108-06400</t>
  </si>
  <si>
    <t>ALU Montagehoeklijn LLC 35x23x2,2 mm RAL 7016 L=6400mm</t>
  </si>
  <si>
    <t>2109-06400</t>
  </si>
  <si>
    <t>ALU Montagehoeklijn LLC 35x23x2,2 mm RALXXXX L=6.400mm</t>
  </si>
  <si>
    <t>2110-06400</t>
  </si>
  <si>
    <t>ALU Montagehoeklijn LLC 35x23x2,2 mm RAL 9006 L=6400mm</t>
  </si>
  <si>
    <t>2113-09150</t>
  </si>
  <si>
    <t>AR3 onderprofiel/ANO L=9.150 mm</t>
  </si>
  <si>
    <t>2123-09150</t>
  </si>
  <si>
    <t>AR3 bovenprofiel/ANO L=9.150 mm</t>
  </si>
  <si>
    <t>2133-09990</t>
  </si>
  <si>
    <t>AR3 bovenprofiel/VIN/ANO L=9.990 mm</t>
  </si>
  <si>
    <t>2150-06100-48</t>
  </si>
  <si>
    <t>U-profiel ALU / ANO L=6.100mm (48x)</t>
  </si>
  <si>
    <t>2150-07800</t>
  </si>
  <si>
    <t>U-profiel ALU / ANO L=7.800 mm</t>
  </si>
  <si>
    <t>2158-05100</t>
  </si>
  <si>
    <t>Loopdeur lage drempel basis ALU ANO 90x16.8-4 mm L=5100mm</t>
  </si>
  <si>
    <t>2160-06100-48</t>
  </si>
  <si>
    <t>U-Profiel 40mm ALU gelijkzijdig 100-100 ANO L=6.100 (48x)</t>
  </si>
  <si>
    <t>2160-07400</t>
  </si>
  <si>
    <t>U-Profiel 40mm ALU gelijkzijdig verh. 100-100 ANO L=7.400 mm</t>
  </si>
  <si>
    <t>2162-07400</t>
  </si>
  <si>
    <t>LDSC ALU Loopdeur H profiel 44x40 mm RAL 7016 L=7.400 mm</t>
  </si>
  <si>
    <t>2163-07400</t>
  </si>
  <si>
    <t>LDSC ALU Loopdeur H profiel 44x40 mm RAL 9016 L=7.400 mm</t>
  </si>
  <si>
    <t>2164-05200</t>
  </si>
  <si>
    <t>Loopdeur lage drempel/basisprofiel/ALU/ANO/90x22 mm L=5.200</t>
  </si>
  <si>
    <t>2164-06100-48</t>
  </si>
  <si>
    <t>Loopd. lage drempel/basisprofiel/ALU/ANO/90x22 L=6.100 (48x)</t>
  </si>
  <si>
    <t>2164-07200</t>
  </si>
  <si>
    <t>Loopdeur lage drempel/basisprofiel/ALU/ANO/90x22 mm L=7.200</t>
  </si>
  <si>
    <t>2166-07400</t>
  </si>
  <si>
    <t>ALU Loopdeur H profiel 44x40 mm ANO L=7.400 mm</t>
  </si>
  <si>
    <t>2167-06000</t>
  </si>
  <si>
    <t>ALU LD drempel 44x10 mm/ANO L=6.000 mm</t>
  </si>
  <si>
    <t>2168-05200</t>
  </si>
  <si>
    <t>LDSC ALU Loopdeur H profiel 44x40 mm RAL9006 L=5.200 mm</t>
  </si>
  <si>
    <t>2168-07400</t>
  </si>
  <si>
    <t>LDSC ALU Loopdeur H profiel 44x40 mm RAL9006 L=7.400 mm</t>
  </si>
  <si>
    <t>2171-06000</t>
  </si>
  <si>
    <t>Loopdeurprofiel met lip ANO L=6.000 mm</t>
  </si>
  <si>
    <t>2171-07400</t>
  </si>
  <si>
    <t>Loopdeurprofiel met lip ANO L=7.400 mm</t>
  </si>
  <si>
    <t>2172-07400</t>
  </si>
  <si>
    <t>U-Profiel / ongelijkzijdig / loopdeur en vast paneel / ANO</t>
  </si>
  <si>
    <t>2173-07400</t>
  </si>
  <si>
    <t>Loopdeurprofiel /ongelijkzijdig/loopdeurdeel/ANO L=7.400 mm</t>
  </si>
  <si>
    <t>2174-07400</t>
  </si>
  <si>
    <t>Loopdeurprofiel / ongelijkzijdig / deurdeel / ANO L=7.400 mm</t>
  </si>
  <si>
    <t>2175=9016-07400</t>
  </si>
  <si>
    <t>U-Profiel loopdeur en VBP RAL 9016FS 40 mm L=7.400 mm</t>
  </si>
  <si>
    <t>2175-07400</t>
  </si>
  <si>
    <t>U-Profiel loopdeur en VBP ANO 40 mm L=7.400 mm</t>
  </si>
  <si>
    <t>2180-06000</t>
  </si>
  <si>
    <t>Aluminium platprofiel 6,9x42mm bodemrubber brute L=6.000 mm</t>
  </si>
  <si>
    <t>2190-07400</t>
  </si>
  <si>
    <t>LD-VBP-VP U ongelijkzijdig ANO / 80 mm</t>
  </si>
  <si>
    <t>2191-07400</t>
  </si>
  <si>
    <t>LD profiel met flap ANO LD deel / 80 mm L=7.400 mm</t>
  </si>
  <si>
    <t>2192-07400</t>
  </si>
  <si>
    <t>LD profiel met flap ANO sponning / 80 mm L=7.400 mm</t>
  </si>
  <si>
    <t>2280-07000</t>
  </si>
  <si>
    <t>LDI40 ALU Loopdeurprofiel RAL XXXX + tape L=7.000mm</t>
  </si>
  <si>
    <t>2286-07000</t>
  </si>
  <si>
    <t>LDI40 ALU Loopdeurprofiel boven RAL XXXX + tape L=7.000mm</t>
  </si>
  <si>
    <t>2292-07000</t>
  </si>
  <si>
    <t>LDI80 ALU Loopdeurprofiel RAL XXXX + tape L=7.000mm</t>
  </si>
  <si>
    <t>2298-07000</t>
  </si>
  <si>
    <t>LDI80 ALU Loopdeurprofiel boven RAL XXXX + tape L=7.000mm</t>
  </si>
  <si>
    <t>2490-01000</t>
  </si>
  <si>
    <t>Schakelaar magneet/kabel L=1000 mm/2P stekker geen WS</t>
  </si>
  <si>
    <t>2490-02000</t>
  </si>
  <si>
    <t>Schakelaar magneet/kabel L=2000 mm/2P stekker geen WS</t>
  </si>
  <si>
    <t>2490-03000</t>
  </si>
  <si>
    <t>Schakelaar magneet/kabel L=3000 mm/2P stekker geen WS</t>
  </si>
  <si>
    <t>2490-04000</t>
  </si>
  <si>
    <t>Schakelaar magneet/kabel L=4000 mm/2P stekker geen WS</t>
  </si>
  <si>
    <t>2490-05000</t>
  </si>
  <si>
    <t>Schakelaar magneet/kabel L=5000 mm/2P stekker geen WS</t>
  </si>
  <si>
    <t>2490-06000</t>
  </si>
  <si>
    <t>Schakelaar magneet/kabel L=6000 mm/2P stekker geen WS</t>
  </si>
  <si>
    <t>2490-13500</t>
  </si>
  <si>
    <t>Schakelaar magneet/kabel L=13.500 mm/2P stekker geen WS</t>
  </si>
  <si>
    <t>2499</t>
  </si>
  <si>
    <t>Kunststof glijblokje deurdranger (2598)</t>
  </si>
  <si>
    <t>2505</t>
  </si>
  <si>
    <t>Europrofielcilinder EPC 60 mm (40mm deur)</t>
  </si>
  <si>
    <t>2508</t>
  </si>
  <si>
    <t>Stormketting DV804B</t>
  </si>
  <si>
    <t>2509</t>
  </si>
  <si>
    <t>Cilinder EPC 60mm gelijksluitend (40mm deur) / Set-3 stuks</t>
  </si>
  <si>
    <t>2511</t>
  </si>
  <si>
    <t>Europrofiel EPC cilinder 100 mm 70-30 (LD 80 mm)</t>
  </si>
  <si>
    <t>2514</t>
  </si>
  <si>
    <t>Europrofielcilinder EPC 80mm 35-45 mm</t>
  </si>
  <si>
    <t>2515</t>
  </si>
  <si>
    <t>Halve Europrofielcilinder EPC 63mm 53/10 tbv 3618</t>
  </si>
  <si>
    <t>2516</t>
  </si>
  <si>
    <t>Halve Europrofielcilinder EPC 100mm 90/10 tbv 3617 S80</t>
  </si>
  <si>
    <t>2525</t>
  </si>
  <si>
    <t>Paniekslot 9674/7 gedeelde stift DIN LINKS</t>
  </si>
  <si>
    <t>2528</t>
  </si>
  <si>
    <t>Elek. deuropener 12/24 Volt Stroomloos Dicht incl sluitplaat</t>
  </si>
  <si>
    <t>2530</t>
  </si>
  <si>
    <t>Deurspion 200º ABUS 2300</t>
  </si>
  <si>
    <t>2531</t>
  </si>
  <si>
    <t>Boxkruk Stiftdeel 200x70 mm EPC 92</t>
  </si>
  <si>
    <t>2532</t>
  </si>
  <si>
    <t>Boxkruk Stiftdeel 200 x 70 mm BLIND</t>
  </si>
  <si>
    <t>2538</t>
  </si>
  <si>
    <t>Deurvastzetter Luxe-Line/loopdeur vaste pui/standaard 50 mm</t>
  </si>
  <si>
    <t>2539</t>
  </si>
  <si>
    <t>Loopdeur fixeerplaat 80 x 35 mm</t>
  </si>
  <si>
    <t>2542</t>
  </si>
  <si>
    <t>Deurvastzetter Luxe-Line/loopdeur vaste pui/verlengd 90 mm</t>
  </si>
  <si>
    <t>2547</t>
  </si>
  <si>
    <t>Patentbout M 5 x 70 mm RVS</t>
  </si>
  <si>
    <t>2549</t>
  </si>
  <si>
    <t>Patentbout M 5 x 55 mm vernikkeld</t>
  </si>
  <si>
    <t>2561</t>
  </si>
  <si>
    <t>Rozet/geg/65x30/PCG/F1/ Set Bi-Bu</t>
  </si>
  <si>
    <t>2562</t>
  </si>
  <si>
    <t>Halve Europrofielcilinder EPC 40mm 30/10 (40mm deur)</t>
  </si>
  <si>
    <t>2563</t>
  </si>
  <si>
    <t>Knopcilinder EPC HALF 40mm 30/10 (knop 30 mm)(40mm deur)</t>
  </si>
  <si>
    <t>2567</t>
  </si>
  <si>
    <t>Knopcilinder Europrofiel 60 mm (knop 30 mm)(40mm deur)</t>
  </si>
  <si>
    <t>2568</t>
  </si>
  <si>
    <t>Knopcilinder EPC 60mm gelijksluitend (knop 30 mm) / Set ä 3x</t>
  </si>
  <si>
    <t>2575</t>
  </si>
  <si>
    <t>Brievenbus 365 x 80 mm / zwart / kunststof-alu</t>
  </si>
  <si>
    <t>2586</t>
  </si>
  <si>
    <t>Insteekhaakslot ASSA 410 doorn 50 mm UNI</t>
  </si>
  <si>
    <t>2587</t>
  </si>
  <si>
    <t>Sluitplaat ASSA 1264-2 16 mm</t>
  </si>
  <si>
    <t>2592-01000</t>
  </si>
  <si>
    <t>Loopdeurschakelaar magneet/kabel L=1000 mm/2P stekker</t>
  </si>
  <si>
    <t>2592-01500</t>
  </si>
  <si>
    <t>Loopdeurschakelaar magneet/kabel L=1500 mm/2P stekker</t>
  </si>
  <si>
    <t>2592-02000</t>
  </si>
  <si>
    <t>Loopdeurschakelaar magneet/kabel L=2000 mm/2P stekker</t>
  </si>
  <si>
    <t>2592-02500</t>
  </si>
  <si>
    <t>Loopdeurschakelaar magneet/kabel L=2500 mm/2P stekker</t>
  </si>
  <si>
    <t>2592-03000</t>
  </si>
  <si>
    <t>Loopdeurschakelaar magneet/kabel L=3000 mm/2P stekker</t>
  </si>
  <si>
    <t>2592-03500</t>
  </si>
  <si>
    <t>Loopdeurschakelaar magneet/kabel L=3500 mm/2P stekker</t>
  </si>
  <si>
    <t>2592-04000</t>
  </si>
  <si>
    <t>Loopdeurschakelaar magneet/kabel L=4000 mm/2P stekker</t>
  </si>
  <si>
    <t>2592-05000</t>
  </si>
  <si>
    <t>Loopdeurschakelaar magneet/kabel L=5000 mm/2P stekker</t>
  </si>
  <si>
    <t>2592-06000</t>
  </si>
  <si>
    <t>Loopdeurschakelaar magneet/kabel L=6000 mm/2P stekker</t>
  </si>
  <si>
    <t>2595</t>
  </si>
  <si>
    <t>Pompespagnolet Nemef 1E / 34 (excl. stang)</t>
  </si>
  <si>
    <t>2596</t>
  </si>
  <si>
    <t>Espagnoletstang 9 mm/L=2250mm</t>
  </si>
  <si>
    <t>2600-02500</t>
  </si>
  <si>
    <t>Aluminium penloos scharnier voor loopdeur L=2.500 mm</t>
  </si>
  <si>
    <t>2605-02200</t>
  </si>
  <si>
    <t>Borstelprofiel 25 mm L=2.200 mm</t>
  </si>
  <si>
    <t>2609</t>
  </si>
  <si>
    <t>LD WK2 Sponning U bijzetslot 35x35x180x2 mm</t>
  </si>
  <si>
    <t>2610</t>
  </si>
  <si>
    <t>LD WK2 Hoofd-haakslot Nemef 4109 17-50 universeel</t>
  </si>
  <si>
    <t>2611</t>
  </si>
  <si>
    <t>LD WK2 Bijzet-haakslot Nemef 4208 17-50 mm</t>
  </si>
  <si>
    <t>2613</t>
  </si>
  <si>
    <t>LD WK2 Schildset 192x50 mm-F1-PC 55</t>
  </si>
  <si>
    <t>2614</t>
  </si>
  <si>
    <t>LD WK2 Schildset EPC 115x50 mm F1</t>
  </si>
  <si>
    <t>2616</t>
  </si>
  <si>
    <t>LD WK2 Popnagel 4,8 x 16 BK RVS A2</t>
  </si>
  <si>
    <t>2618</t>
  </si>
  <si>
    <t>Europrofielcilinder EPC 65mm ( 30-35 ) WK2</t>
  </si>
  <si>
    <t>2669</t>
  </si>
  <si>
    <t>Kabelovergang deur-kozijn 260 x 20 x 17 mm</t>
  </si>
  <si>
    <t>2670</t>
  </si>
  <si>
    <t>Europrofielcilinder EPC 90mm 40-50 mm</t>
  </si>
  <si>
    <t>2671</t>
  </si>
  <si>
    <t>WK3 EPC Cilinder *** 60 mm GELIJKSLUITEND / set a 3 stuks</t>
  </si>
  <si>
    <t>2673</t>
  </si>
  <si>
    <t>LDSC Nylon ring diam 7mm/2,5mm dik scharnierpen horizontaal</t>
  </si>
  <si>
    <t>2674</t>
  </si>
  <si>
    <t>Insteekhaakslot ASSA 410 doorn 70 mm UNI</t>
  </si>
  <si>
    <t>2675</t>
  </si>
  <si>
    <t>LDSC Nylon ring voor scharnierpen verticaal diam 7mm/3mm dik</t>
  </si>
  <si>
    <t>2678</t>
  </si>
  <si>
    <t>LDSC Scharnierpen horizontaal 6,8 mm RVS</t>
  </si>
  <si>
    <t>2682-07200</t>
  </si>
  <si>
    <t>LDSC ALU Loopdeurprofiel boven RAL 9006 L=7.200 mm</t>
  </si>
  <si>
    <t>2688-07400</t>
  </si>
  <si>
    <t>LDSC ALU Loopdeurprofiel RAL 9006 L=7.400 mm</t>
  </si>
  <si>
    <t>2694</t>
  </si>
  <si>
    <t>Bijzetslot Nemef 4228-27 WK2 50 mm (+ sluitplaat)</t>
  </si>
  <si>
    <t>2697</t>
  </si>
  <si>
    <t>Patenthuls M5x15 mm messing vernikkeld</t>
  </si>
  <si>
    <t>2703</t>
  </si>
  <si>
    <t>LDSC Seal foam E-type MOS rubbers LINKS (rol 311st)</t>
  </si>
  <si>
    <t>2704</t>
  </si>
  <si>
    <t>LDSC Seal foam E-type MOS rubbers RECHTS (rol 311st)</t>
  </si>
  <si>
    <t>2705</t>
  </si>
  <si>
    <t>LDSC Nylon ring voor scharnierpen verticaal 2 mm</t>
  </si>
  <si>
    <t>2707</t>
  </si>
  <si>
    <t>LDSC Nylon C-clip scharnierp. horizontaal (zakje 30 stuks)</t>
  </si>
  <si>
    <t>2708</t>
  </si>
  <si>
    <t>Europrofielcilinder EPC 65mm 55-10mm tbv 3868</t>
  </si>
  <si>
    <t>2709</t>
  </si>
  <si>
    <t>Europrofielcilinder EPC 85mm 40-45mm LL WK3 tbv kerntrekbev.</t>
  </si>
  <si>
    <t>2710-07400</t>
  </si>
  <si>
    <t>LDSC ALU Loopdeurprofiel RAL 7016 L=7.400 mm</t>
  </si>
  <si>
    <t>2711-07400</t>
  </si>
  <si>
    <t>LDSC ALU Loopdeurprofiel RAL 9016 L=7.400 mm</t>
  </si>
  <si>
    <t>2712-07200</t>
  </si>
  <si>
    <t>LDSC ALU Loopdeurprofiel boven RAL 7016 L=7.200 mm</t>
  </si>
  <si>
    <t>2713-07200</t>
  </si>
  <si>
    <t>LDSC ALU Loopdeurprofiel boven RAL 9016 L=7.200 mm</t>
  </si>
  <si>
    <t>2720</t>
  </si>
  <si>
    <t>Afdichtingenset deurdranger (2728 reparatie)</t>
  </si>
  <si>
    <t>2721</t>
  </si>
  <si>
    <t>Bevestigingsmateriaal deurdranger ( 2728 reparatie)</t>
  </si>
  <si>
    <t>2722</t>
  </si>
  <si>
    <t>Montageplaat deurdranger 2745/2747 225x90x2 mm EV</t>
  </si>
  <si>
    <t>2723</t>
  </si>
  <si>
    <t>Platkop inbusbout M6x12mm EV tbv deurdranger 2728/2745</t>
  </si>
  <si>
    <t>2724</t>
  </si>
  <si>
    <t>Halve EPC 50 mm (40-10) Luxe-Line + schroef M5x50</t>
  </si>
  <si>
    <t>2725</t>
  </si>
  <si>
    <t>Deurvastzetter Luxe-Line stavast lang 20cm</t>
  </si>
  <si>
    <t>2726</t>
  </si>
  <si>
    <t>Vulplaat deurdranger AR2-3-4-80 250x69x2 mm EV</t>
  </si>
  <si>
    <t>2727</t>
  </si>
  <si>
    <t>Vulplaat deurdranger AR6-7-9 LDSC 250x71x2 EV</t>
  </si>
  <si>
    <t>2730</t>
  </si>
  <si>
    <t>Krukschild 92 EPC DIN L-R buiten F1 WK2</t>
  </si>
  <si>
    <t>2730=7016M</t>
  </si>
  <si>
    <t>Krukschild 92 EPC DIN L-R buiten grijs RAL 7016FS WK2</t>
  </si>
  <si>
    <t>2730=9005M</t>
  </si>
  <si>
    <t>Krukschild 92 EPC DIN L-R buiten zwart RAL 9005FS WK2</t>
  </si>
  <si>
    <t>2730=9016M</t>
  </si>
  <si>
    <t>Krukschild 92 EPC DIN L-R buiten wit RAL 9016FS WK2</t>
  </si>
  <si>
    <t>2730=INOXLOOK</t>
  </si>
  <si>
    <t>Krukschild 92 EPC DIN L-R buiten RVS look WK2</t>
  </si>
  <si>
    <t>2731</t>
  </si>
  <si>
    <t>Krukschild verlaagd 92 EPC DIN L-R buiten F1 WK2</t>
  </si>
  <si>
    <t>2731=7016M</t>
  </si>
  <si>
    <t>Krukschild verlaagd 92 EPC DIN L-R buiten RAL7016FS WK2</t>
  </si>
  <si>
    <t>2731=9005M</t>
  </si>
  <si>
    <t>Krukschild verlaagd 92 EPC DIN L-R buiten RAL9005FS WK2</t>
  </si>
  <si>
    <t>2731=9016M</t>
  </si>
  <si>
    <t>Krukschild verlaagd 92 EPC DIN L-R buiten wit RAL 9016FS WK2</t>
  </si>
  <si>
    <t>2731=INOXLOOK</t>
  </si>
  <si>
    <t>Krukschild verlaagd 92 EPC DIN L-R buiten RVS look WK2</t>
  </si>
  <si>
    <t>2732</t>
  </si>
  <si>
    <t>Krukschild KABA 94 DIN L-R buiten F1 WK2</t>
  </si>
  <si>
    <t>2733</t>
  </si>
  <si>
    <t>Krukschild verlaagd KABA 94 DIN L-R buiten F1 WK2</t>
  </si>
  <si>
    <t>2734</t>
  </si>
  <si>
    <t>Krukschild BLIND DIN L-R buiten F1 WK2</t>
  </si>
  <si>
    <t>2735</t>
  </si>
  <si>
    <t>Krukschild BLIND verlaagd DIN L-R buiten F1 WK2</t>
  </si>
  <si>
    <t>2736</t>
  </si>
  <si>
    <t>Krukschild 92 EPC DIN L-R buiten +Kerntrekbeveiliging WK3</t>
  </si>
  <si>
    <t>2736=7016M</t>
  </si>
  <si>
    <t>Krukschild 92 EPC DIN L-R buiten +Kerntrek WK3 grijs 7016FS</t>
  </si>
  <si>
    <t>2736=9005M</t>
  </si>
  <si>
    <t>Krukschild 92 EPC DIN L-R buiten +Kerntrek WK3 zwart 9005FS</t>
  </si>
  <si>
    <t>2736=9016M</t>
  </si>
  <si>
    <t>Krukschild 92 EPC DIN L-R buiten +Kerntrek WK3 wit 9016FS</t>
  </si>
  <si>
    <t>2736=INOXLOOK</t>
  </si>
  <si>
    <t>Krukschild 92 EPC DIN L-R buiten +Kerntrek WK3 RVS look</t>
  </si>
  <si>
    <t>2737</t>
  </si>
  <si>
    <t>Duwschild 92 EPC DIN L-R buiten F1+Kerntrekbeveiliging WK3</t>
  </si>
  <si>
    <t>2737=7016M</t>
  </si>
  <si>
    <t>Duwschild 92 EPC DIN L-R buiten F1+Kerntrek WK3 grijs 7016FS</t>
  </si>
  <si>
    <t>2737=9005M</t>
  </si>
  <si>
    <t>Duwschild 92 EPC DIN L-R buiten F1+Kerntrek WK3 zwart 9005FS</t>
  </si>
  <si>
    <t>2737=9016M</t>
  </si>
  <si>
    <t>Duwschild 92 EPC DIN L-R buiten F1+Kerntrek WK3 wit 9016FS</t>
  </si>
  <si>
    <t>2737=INOXLOOK</t>
  </si>
  <si>
    <t>Duwschild 92 EPC DIN L-R buiten F1+Kerntrek WK3 RVS look</t>
  </si>
  <si>
    <t>2738</t>
  </si>
  <si>
    <t>Knopcilinder EPC 85 mm 40-45mm WK2 tbv kerntrekbev.</t>
  </si>
  <si>
    <t>2739</t>
  </si>
  <si>
    <t>Knopcilinder EPC HALF 50mm (40-10) Luxe-Line+schroef M5x50</t>
  </si>
  <si>
    <t>2740</t>
  </si>
  <si>
    <t>Duwschild 92 EPC DIN L-R buiten F1 WK2</t>
  </si>
  <si>
    <t>2740=7016M</t>
  </si>
  <si>
    <t>Duwschild 92 EPC DIN L-R buiten grijs RAL 7016FS RC2</t>
  </si>
  <si>
    <t>2740=9005M</t>
  </si>
  <si>
    <t>Duwschild 92 EPC DIN L-R buiten zwart RAL 9005FS WK2</t>
  </si>
  <si>
    <t>2740=9016M</t>
  </si>
  <si>
    <t>Duwschild 92 EPC DIN L-R buiten wit RAL 9016FS WK2</t>
  </si>
  <si>
    <t>2740=INOXLOOK</t>
  </si>
  <si>
    <t>Duwschild 92 EPC DIN L-R buiten RVS look WK2</t>
  </si>
  <si>
    <t>2741</t>
  </si>
  <si>
    <t>Duwschild 92 EPC DIN L-R binnen F1 WK2</t>
  </si>
  <si>
    <t>2742</t>
  </si>
  <si>
    <t>Duwschild KABA 94 DIN L-R buiten F1 WK2</t>
  </si>
  <si>
    <t>2744</t>
  </si>
  <si>
    <t>Duwschild BLIND DIN L-R buiten F1 WK2</t>
  </si>
  <si>
    <t>2745</t>
  </si>
  <si>
    <t>Deurdranger AXA Kracht 2 + glijarm 205x50mm incl vastzetter</t>
  </si>
  <si>
    <t>2750</t>
  </si>
  <si>
    <t>Blindschild EPC 92 DIN L-R buiten F1 WK2</t>
  </si>
  <si>
    <t>2751</t>
  </si>
  <si>
    <t>Blindschild KABA 94 DIN L-R buiten F1 WK2</t>
  </si>
  <si>
    <t>2752</t>
  </si>
  <si>
    <t>Blindschild DIN L-R buiten F1 WK2</t>
  </si>
  <si>
    <t>2753</t>
  </si>
  <si>
    <t>Blindschild EPC 92 DIN L-R binnen F1 WK3</t>
  </si>
  <si>
    <t>2760</t>
  </si>
  <si>
    <t>Krukschild 92 EPC DIN L-R binnen F1 WK3</t>
  </si>
  <si>
    <t>2760=7016M</t>
  </si>
  <si>
    <t>Krukschild 92 EPC DIN L-R binnen WK3 grijs RAL 7016FS</t>
  </si>
  <si>
    <t>2760=9005M</t>
  </si>
  <si>
    <t>Krukschild 92 EPC DIN L-R binnen WK3 zwart RAL 9005FS</t>
  </si>
  <si>
    <t>2760=9016M</t>
  </si>
  <si>
    <t>Krukschild 92 EPC DIN L-R binnen WK3 wit RAL 9016FS</t>
  </si>
  <si>
    <t>2760=INOXLOOK</t>
  </si>
  <si>
    <t>Krukschild 92 EPC DIN L-R binnen WK3 RVS look</t>
  </si>
  <si>
    <t>2761</t>
  </si>
  <si>
    <t>Krukschild KABA 94 DIN L-R binnen F1 WK3</t>
  </si>
  <si>
    <t>2762</t>
  </si>
  <si>
    <t>Krukschild BLIND DIN L-R binnen F1 WK3</t>
  </si>
  <si>
    <t>2764</t>
  </si>
  <si>
    <t>Blindschild DIN L-R binnen F1 WK3</t>
  </si>
  <si>
    <t>2770</t>
  </si>
  <si>
    <t>Bevestigingsset doorlopende stift 40mm tbv smalslot</t>
  </si>
  <si>
    <t>2771</t>
  </si>
  <si>
    <t>Bevestigingsset doorlopende stift LLC tbv smalslot SKG***</t>
  </si>
  <si>
    <t>2772</t>
  </si>
  <si>
    <t>Bevestigingsset doorlopende stift 80mm tbv smalslot</t>
  </si>
  <si>
    <t>2773</t>
  </si>
  <si>
    <t>Bevestigingsset deelstift 40mm tbv Paniekslot B</t>
  </si>
  <si>
    <t>2774</t>
  </si>
  <si>
    <t>Bevestigingsset deelstift Luxe-Line tbv Paniekslot B</t>
  </si>
  <si>
    <t>2775</t>
  </si>
  <si>
    <t>Bevestigingsset deelstift 80mm tbv Paniekslot B</t>
  </si>
  <si>
    <t>2776</t>
  </si>
  <si>
    <t>Bevestigingsset doorlopende stift 40mm tbv Paniekslot E</t>
  </si>
  <si>
    <t>2777</t>
  </si>
  <si>
    <t>Bevestigingsset doorlopende stift Luxe-Line tbv Panieks.E</t>
  </si>
  <si>
    <t>2778</t>
  </si>
  <si>
    <t>Bevestigingsset doorlopende stift 80mm tbv Paniekslot E</t>
  </si>
  <si>
    <t>2779</t>
  </si>
  <si>
    <t>Bevestigingsset doorlopende stift 80 mm Paniekslot-E LPDI 80</t>
  </si>
  <si>
    <t>2780</t>
  </si>
  <si>
    <t>Vulplaat schildset loopdeur POM WIT</t>
  </si>
  <si>
    <t>2781</t>
  </si>
  <si>
    <t>Vulplaat schildset loopdeur SC POM WIT</t>
  </si>
  <si>
    <t>2782</t>
  </si>
  <si>
    <t>Knopcilinder Europrofiel 80 mm 40/40 Luxe-Line</t>
  </si>
  <si>
    <t>2783</t>
  </si>
  <si>
    <t>Knopcilinder Europrofiel 100 mm 70/30 t.b.v. 80 mm deuren</t>
  </si>
  <si>
    <t>2785</t>
  </si>
  <si>
    <t>2786</t>
  </si>
  <si>
    <t>LDI40-80 Vulplaat 54x3x1mm tbv deurgeleider pen 9668 RAL9005</t>
  </si>
  <si>
    <t>2788</t>
  </si>
  <si>
    <t>Paniekslot B/deelstift/40/UNI/EPC 92/RVS/incl sluitplaat--</t>
  </si>
  <si>
    <t>2789</t>
  </si>
  <si>
    <t>Paniekslot B/deelstift/40/UNI/KABA 94/RVS/incl sluitplaat--</t>
  </si>
  <si>
    <t>2790</t>
  </si>
  <si>
    <t>Slot 40 mm/DIN UNI/EPC 92/inclusief sluitplaat--</t>
  </si>
  <si>
    <t>2791</t>
  </si>
  <si>
    <t>Slot 40 mm/DIN UNI/KABA 94/inclusief sluitplaat--</t>
  </si>
  <si>
    <t>2792</t>
  </si>
  <si>
    <t>Paniekslot E/40/UNI/EPC 92/RVS/inclusief sluitplaat--</t>
  </si>
  <si>
    <t>2793</t>
  </si>
  <si>
    <t>Paniekslot E/40/UNI/KABA 94/RVS/inclusief sluitplaat--</t>
  </si>
  <si>
    <t>2794</t>
  </si>
  <si>
    <t>Slot 35 mm/LL/DIN UNI/EPC 92/incl. sluitplaat-U +9498</t>
  </si>
  <si>
    <t>2795</t>
  </si>
  <si>
    <t>Slot 35 mm/LL/DIN UNI/KABA 94/incl. sluitplaat-U +9498</t>
  </si>
  <si>
    <t>2796</t>
  </si>
  <si>
    <t>Paniekslot B/deelstift/35/LL/UNI/EPC92/incl sluitpl.-U +9498</t>
  </si>
  <si>
    <t>2797</t>
  </si>
  <si>
    <t>Paniekslot B/deelstift/35/LL/UNI/KABA 94/incl sluitpl-U+9498</t>
  </si>
  <si>
    <t>2798</t>
  </si>
  <si>
    <t>Paniekslot E/35/LL/UNI/EPC 92/RVS/incl. sluitplaat-U +9498</t>
  </si>
  <si>
    <t>2799</t>
  </si>
  <si>
    <t>Paniekslot E/35/LL/UNI/KABA 94/incl. sluitplaat-U +9498</t>
  </si>
  <si>
    <t>2800</t>
  </si>
  <si>
    <t>Sluitplaat vlak met sluitkom 245x24x2mm RVS</t>
  </si>
  <si>
    <t>2801</t>
  </si>
  <si>
    <t>Sluitplaat U model LL 245x24x5 mm RVS</t>
  </si>
  <si>
    <t>2801L</t>
  </si>
  <si>
    <t>Sluitplaat DIN L U model LL 245x24x5 mm RVS Q-verstelling</t>
  </si>
  <si>
    <t>2801R</t>
  </si>
  <si>
    <t>Sluitplaat DIN R U model LL 245x24x5 mm RVS - Q-verstelling</t>
  </si>
  <si>
    <t>2803</t>
  </si>
  <si>
    <t>Sluitplaat U model LL 180x24x5 mm RVS voor 5-punt - Q-verst.</t>
  </si>
  <si>
    <t>2805</t>
  </si>
  <si>
    <t>Euro profielcilinder EPC 85mm 75-10</t>
  </si>
  <si>
    <t>2806</t>
  </si>
  <si>
    <t>Euro profielcilinder EPC 70mm 35-35</t>
  </si>
  <si>
    <t>2807</t>
  </si>
  <si>
    <t>2808</t>
  </si>
  <si>
    <t>knopcilinder EPC 70mm 35-35 (knop30mm)</t>
  </si>
  <si>
    <t>2809</t>
  </si>
  <si>
    <t>Nachtschootsignalering IP54 incl 4 meter kabel</t>
  </si>
  <si>
    <t>2810</t>
  </si>
  <si>
    <t>Vijfpuntslot 35mm/EPC92/DIN UNI/ LL + 9498</t>
  </si>
  <si>
    <t>2811</t>
  </si>
  <si>
    <t>Vijfpuntslot 35 mm/KABA 94/UNI/ LL / incl sluitpl-U +9498</t>
  </si>
  <si>
    <t>2812</t>
  </si>
  <si>
    <t>Vijfpuntpaniekslot B/35mm/EPC92/UNI/LL/ incl sluitpl. +9498</t>
  </si>
  <si>
    <t>2813</t>
  </si>
  <si>
    <t>Vijfpuntpaniekslot B/35mm/KABA94/UNI/LL/incl slpl-U +9498</t>
  </si>
  <si>
    <t>2815</t>
  </si>
  <si>
    <t>Vijfpuntpaniekslot E/35mm/EPC92/UNI/LL/incl sluitpl.-U +9498</t>
  </si>
  <si>
    <t>2816</t>
  </si>
  <si>
    <t>Vijfpuntpaniekslot E/35mm/KABA94/UNI/LL/incl sluitpl-U +9498</t>
  </si>
  <si>
    <t>2817</t>
  </si>
  <si>
    <t>Vijfpuntslot AS2600 35-92 LL kleine DMH incl sluitp +9498</t>
  </si>
  <si>
    <t>2818L</t>
  </si>
  <si>
    <t>Sluitplaat doorlopend LL 2250x24x2 mm DIN L RVS voor 5-p - Q</t>
  </si>
  <si>
    <t>2818R</t>
  </si>
  <si>
    <t>Sluitplaat doorlopend LL 2250x24x2 mm DIN R RVS voor 5-p - Q</t>
  </si>
  <si>
    <t>2820</t>
  </si>
  <si>
    <t>Paniekbalk EPC 92 rood-zwart max. 1300 mm</t>
  </si>
  <si>
    <t>2821</t>
  </si>
  <si>
    <t>Paniekbalk KABA 94 rood-zwart max. 1300 mm</t>
  </si>
  <si>
    <t>2825L</t>
  </si>
  <si>
    <t>Vijfpuntslot L AUTO 2250 /EPC92-35/ LL / incl sluitpl.+9498</t>
  </si>
  <si>
    <t>2825R</t>
  </si>
  <si>
    <t>Vijfpuntslot R AUTO 2250 /EPC92-35/ LL / incl sluitpl.+9498</t>
  </si>
  <si>
    <t>2829</t>
  </si>
  <si>
    <t>Magneetschakelaar VDS-B AZMK10110</t>
  </si>
  <si>
    <t>2830L</t>
  </si>
  <si>
    <t>Stolplijst L DeurH. 2050-2430mm LLC/ incl sluitpl.+pot +9498</t>
  </si>
  <si>
    <t>2830R</t>
  </si>
  <si>
    <t>Stolplijst R DeurH. 2050-2430mm LLC/ incl sluitpl.+pot +9498</t>
  </si>
  <si>
    <t>2832</t>
  </si>
  <si>
    <t>Beugel tbv magneetschakelaar VDS-B (2829)</t>
  </si>
  <si>
    <t>2834</t>
  </si>
  <si>
    <t>Cilinder EPC 70mm gelijksluitend 35-35 / Set-3 stuks</t>
  </si>
  <si>
    <t>2835</t>
  </si>
  <si>
    <t>Knopcilinder EPC 70mm gelijksluitend (knop 30 mm) / Set ä 3x</t>
  </si>
  <si>
    <t>2837</t>
  </si>
  <si>
    <t>Europrofielcilinder EPC 85 mm 40-45mm LL.</t>
  </si>
  <si>
    <t>2900</t>
  </si>
  <si>
    <t>SUDLO Snapsluiting vanger LR t.b.v 2913LR / snap catcher</t>
  </si>
  <si>
    <t>2928</t>
  </si>
  <si>
    <t>Halve EPC 40mm 30/10 tbv 5910 / verstelbare meenemer</t>
  </si>
  <si>
    <t>2989</t>
  </si>
  <si>
    <t>LDI40-80 Transportbeugel EV</t>
  </si>
  <si>
    <t>3001</t>
  </si>
  <si>
    <t>Toprubber Industrie 45 mm EPDM</t>
  </si>
  <si>
    <t>3006</t>
  </si>
  <si>
    <t>Toprubber Industrie 70 mm verlengd EPDM</t>
  </si>
  <si>
    <t>3009</t>
  </si>
  <si>
    <t>Raamrubber AR ALU glaslat 2090/2091</t>
  </si>
  <si>
    <t>3010</t>
  </si>
  <si>
    <t>Loopdeur afdichtingsrubber</t>
  </si>
  <si>
    <t>3011</t>
  </si>
  <si>
    <t>Tussenrubber AR2-AR9-AR80 onderprofiel</t>
  </si>
  <si>
    <t>3017</t>
  </si>
  <si>
    <t>Tussenrubber AR3-AR4-AR9 bovenprofiel</t>
  </si>
  <si>
    <t>3019</t>
  </si>
  <si>
    <t>Raamrubber ST 40 mm / kickout tbv 6022</t>
  </si>
  <si>
    <t>3023</t>
  </si>
  <si>
    <t>Toprubber Industrie 104 mm verlengd</t>
  </si>
  <si>
    <t>3024-02066</t>
  </si>
  <si>
    <t>Raamrubber ST6022 Kickout venster 80 mm paneel L=2.066 mm</t>
  </si>
  <si>
    <t>3029</t>
  </si>
  <si>
    <t>Bodemrubber Industrie afdicht dop voor 3000, 3028, 3062</t>
  </si>
  <si>
    <t>3032</t>
  </si>
  <si>
    <t>Bodemrubber loopdeur lage drempel 25mm / 100x2 mm</t>
  </si>
  <si>
    <t>3040</t>
  </si>
  <si>
    <t>Raamrubber AR M-model 18,2x11/basis 3,5 mm</t>
  </si>
  <si>
    <t>3041</t>
  </si>
  <si>
    <t>Raamrubber AR M-model 18,4x9,5/basis 2 mm (prod.=2x)</t>
  </si>
  <si>
    <t>3042</t>
  </si>
  <si>
    <t>Raamrubber AR M-model 16,5x12,4 mm/basis 4,85 mm (prod=2x)</t>
  </si>
  <si>
    <t>3043</t>
  </si>
  <si>
    <t>Raamrubber AR M-model 18,2x11/basis 3,9 mm (prod.=2x)</t>
  </si>
  <si>
    <t>3048</t>
  </si>
  <si>
    <t>Raamrubber AR M-model 18,6x9,7/basis 1,3 mm (prod.2x)</t>
  </si>
  <si>
    <t>3050</t>
  </si>
  <si>
    <t>Bodemrubber Garage 30 mm Renovatie EPDM</t>
  </si>
  <si>
    <t>3052-02000</t>
  </si>
  <si>
    <t>LDSC rubber 10x10x0,7 mm PVC-TPE zwart L=2.000 mm</t>
  </si>
  <si>
    <t>3053</t>
  </si>
  <si>
    <t>Pro-Line Doorvoertule PVC 14 mm (2x) lichtlijst GS-Mini-Pro</t>
  </si>
  <si>
    <t>3054</t>
  </si>
  <si>
    <t>Bodemrubber Garage 20 mm dubbele flap Epco aansluiting</t>
  </si>
  <si>
    <t>3055</t>
  </si>
  <si>
    <t>Bodemrubber Garage 25 mm dubbele flap voor U en L Profiel</t>
  </si>
  <si>
    <t>3056</t>
  </si>
  <si>
    <t>Bodemrubber Garage 25 mm Renovatie voor U en L Profiel</t>
  </si>
  <si>
    <t>3060</t>
  </si>
  <si>
    <t>Raamrubber AR 12x7,5 mm - basis 1,3 mm SEBS</t>
  </si>
  <si>
    <t>3063</t>
  </si>
  <si>
    <t>Tussenrubber AR6 onderprofiel EPDM zwart</t>
  </si>
  <si>
    <t>3064</t>
  </si>
  <si>
    <t>Bodemrubber 25mm enkel flap tbv loopdeur lage drempel 40mm</t>
  </si>
  <si>
    <t>3065</t>
  </si>
  <si>
    <t>LDSC Afdichtingsrubber 10 mm MOS zelfklevend</t>
  </si>
  <si>
    <t>3071</t>
  </si>
  <si>
    <t>Bodemrubber LD Drempel 2158 EPDM (prod.=2x)</t>
  </si>
  <si>
    <t>3074</t>
  </si>
  <si>
    <t>Bodemrubber Industrie 56 mm EPDM / Dubbele kamer / 2x lip</t>
  </si>
  <si>
    <t>3075</t>
  </si>
  <si>
    <t>Bodemrubber loopdeurdrempel 2157 EPDM</t>
  </si>
  <si>
    <t>3076</t>
  </si>
  <si>
    <t>Toprubber AR6T</t>
  </si>
  <si>
    <t>3077</t>
  </si>
  <si>
    <t>Afdichtrubber voor RVS drempel 2157 / SEBS zwart</t>
  </si>
  <si>
    <t>3079</t>
  </si>
  <si>
    <t>Bodemrubber EPCO Garage 30 mm Renovatie EPDM</t>
  </si>
  <si>
    <t>3080</t>
  </si>
  <si>
    <t>LDI40-80 Bodemrubber LD lage drempel profiel 2157-2164-2299</t>
  </si>
  <si>
    <t>3087</t>
  </si>
  <si>
    <t>Tussenrubber AR6/AR6T onderprofiel EPDM zwart</t>
  </si>
  <si>
    <t>3101</t>
  </si>
  <si>
    <t>Kabeltrommel G100/G200/R60 DMH &lt; 3125mm 1" (L+R)</t>
  </si>
  <si>
    <t>paar</t>
  </si>
  <si>
    <t>3102</t>
  </si>
  <si>
    <t>Kabeltrommel NS DMH&lt;3360mm 1" D400-144-100 (L+R)</t>
  </si>
  <si>
    <t>3103</t>
  </si>
  <si>
    <t>Kabeltrommel NS DMH&lt;5500mm 1" D525-216-100 (L+R)</t>
  </si>
  <si>
    <t>3104</t>
  </si>
  <si>
    <t>Kabeltrommel NS DMH&lt;9750mm 1" D800-384-100 (L+R)</t>
  </si>
  <si>
    <t>3105</t>
  </si>
  <si>
    <t>Kabeltrommel NS DMH&lt;9750mm 1¼" D800-384-125 (L+R)</t>
  </si>
  <si>
    <t>3108</t>
  </si>
  <si>
    <t>Kabeltrommel HL&lt;1370mm 1" D525-54-100 (L+R)</t>
  </si>
  <si>
    <t>3109</t>
  </si>
  <si>
    <t>Kabeltrommel HL&lt;3050mm 1" D575-120-100 (L+R)</t>
  </si>
  <si>
    <t>3110</t>
  </si>
  <si>
    <t>Kabeltrommel HL&lt;4100mm 1" D6375-164-100 (L+R)</t>
  </si>
  <si>
    <t>3111</t>
  </si>
  <si>
    <t>Kabeltrommel HL&lt;4100mm 1¼" D6375-164-125 (L+R)</t>
  </si>
  <si>
    <t>3115</t>
  </si>
  <si>
    <t>Kabeltrommel VS DMH&lt;3300mm 1" D850-132-100 (L+R)</t>
  </si>
  <si>
    <t>3116</t>
  </si>
  <si>
    <t>Kabeltrommel VS DMH&lt;5500mm 1" D1100-216-100 (L+R)</t>
  </si>
  <si>
    <t>3117</t>
  </si>
  <si>
    <t>Kabeltrommel VS DMH&lt;5500mm 1¼" D1100-216-125 (L+R)</t>
  </si>
  <si>
    <t>3118</t>
  </si>
  <si>
    <t>Kabeltrommel VS DMH&lt;8400mm 1" D1350-336-100 (L+R)</t>
  </si>
  <si>
    <t>3119</t>
  </si>
  <si>
    <t>Kabeltrommel VS DMH&lt;8400mm 1¼" D1350-336-125 (L+R)</t>
  </si>
  <si>
    <t>3124</t>
  </si>
  <si>
    <t>Kabeltrommel NS DMH&lt;5500mm 1¼" D525-216-125 (L+R)</t>
  </si>
  <si>
    <t>3125</t>
  </si>
  <si>
    <t>Kabeltrommel G160 DMH &lt; 2500mm 1" (L+R)</t>
  </si>
  <si>
    <t>3126</t>
  </si>
  <si>
    <t>Kabeltrommel G100/G200/R60 DMH &lt; 2490mm 1" (L+R)</t>
  </si>
  <si>
    <t>3127</t>
  </si>
  <si>
    <t>Kabeltrommel HL&lt;3025mm 1¼" D800-120-125 (L+R)</t>
  </si>
  <si>
    <t>3128</t>
  </si>
  <si>
    <t>Veerbumper lang L=680mm</t>
  </si>
  <si>
    <t>3131</t>
  </si>
  <si>
    <t>Zijscharnier HOESCH fingersafe / ST3V 166x60 mm WIT HM45</t>
  </si>
  <si>
    <t>3132</t>
  </si>
  <si>
    <t>Rolhouder enkel t.b.v. 3131+3139 WIT</t>
  </si>
  <si>
    <t>3133</t>
  </si>
  <si>
    <t>Rolhouder dubbel t.b.v. 3130-3131 WIT</t>
  </si>
  <si>
    <t>3135</t>
  </si>
  <si>
    <t>Middenscharnier HOESCH fingersafe/ ST3V 77x60 mm WIT HM45</t>
  </si>
  <si>
    <t>3137</t>
  </si>
  <si>
    <t>Bodemconsole G200/G160 11mm WIT</t>
  </si>
  <si>
    <t>3139</t>
  </si>
  <si>
    <t>Zijscharnier UNI EPCO/KDC fingersafe 166x60mm WIT HM40</t>
  </si>
  <si>
    <t>3140</t>
  </si>
  <si>
    <t>Middenscharnier UNI EPCO/KDC fingersafe 75x60mm WIT HM40</t>
  </si>
  <si>
    <t>3142</t>
  </si>
  <si>
    <t>Zijscharnier FS niet verstelbaar UNI Epco-KDC WIT HM40</t>
  </si>
  <si>
    <t>3143</t>
  </si>
  <si>
    <t>Zijscharnier Niemetz AS-V2-45</t>
  </si>
  <si>
    <t>3144</t>
  </si>
  <si>
    <t>Middenscharnier Niemetz MS-V2-45</t>
  </si>
  <si>
    <t>3145</t>
  </si>
  <si>
    <t>Zijscharnier FS niet verstelbaar Epco WIT HM45</t>
  </si>
  <si>
    <t>3147</t>
  </si>
  <si>
    <t>Toprolhouder Residentieel verstelbaar L+R</t>
  </si>
  <si>
    <t>3148</t>
  </si>
  <si>
    <t>Toprolhouder Residentieel verstelbaar L+R WIT</t>
  </si>
  <si>
    <t>3149</t>
  </si>
  <si>
    <t>Bodemconsole R60/G100/TS100 11mm WIT (HM40+45)</t>
  </si>
  <si>
    <t>3153</t>
  </si>
  <si>
    <t>Toprolhouder Residentieel verstelbaar Elektrisch bediend L+R</t>
  </si>
  <si>
    <t>3154</t>
  </si>
  <si>
    <t>Toprolhouder Residentieel verstelbaar Elek. bediend L+R WIT</t>
  </si>
  <si>
    <t>3155</t>
  </si>
  <si>
    <t>Kabelbevestigingsset alu bracket EV</t>
  </si>
  <si>
    <t>3156</t>
  </si>
  <si>
    <t>Kabelbevestigingsset alu bracket RVS</t>
  </si>
  <si>
    <t>3158</t>
  </si>
  <si>
    <t>Bodemconsole R60/G100/TS100 11mm EV (HM40+45)</t>
  </si>
  <si>
    <t>3159</t>
  </si>
  <si>
    <t>Bodemconsole G200/G160 11mm EV</t>
  </si>
  <si>
    <t>3160</t>
  </si>
  <si>
    <t>Veerbreukbeveiliging 1" Industrie RHW</t>
  </si>
  <si>
    <t>3161</t>
  </si>
  <si>
    <t>Veerbreukbeveiliging 1" Industrie LHW</t>
  </si>
  <si>
    <t>3162</t>
  </si>
  <si>
    <t>Veerbreukbeveiliging 1¼" Industrie RHW</t>
  </si>
  <si>
    <t>3163</t>
  </si>
  <si>
    <t>Veerbreukbeveiliging 1¼" Industrie LHW</t>
  </si>
  <si>
    <t>3164</t>
  </si>
  <si>
    <t>Veerbreuk stelplaat 111-127mm tbv 3160-3163</t>
  </si>
  <si>
    <t>3165</t>
  </si>
  <si>
    <t>Veerbreuk stelplaat 152 mm tbv 3160-3163 EV</t>
  </si>
  <si>
    <t>3166</t>
  </si>
  <si>
    <t>Veerbreuk Montagebeugel (190 mm)</t>
  </si>
  <si>
    <t>3167</t>
  </si>
  <si>
    <t>Veerbreuk stelplaat 111mm tbv 3160-3163</t>
  </si>
  <si>
    <t>3170</t>
  </si>
  <si>
    <t>Bodemconsole ALU verstelbaar EL + kabelbevestiging EV</t>
  </si>
  <si>
    <t>3171</t>
  </si>
  <si>
    <t>Bodemconsole ALU verst. Poederc. EL + kabelbevestiging RVS</t>
  </si>
  <si>
    <t>3172</t>
  </si>
  <si>
    <t>Kabelbreukbeveiliging 450 kg verst. L</t>
  </si>
  <si>
    <t>3173</t>
  </si>
  <si>
    <t>Kabelbreukbeveiliging 450 kg verst. R</t>
  </si>
  <si>
    <t>3174</t>
  </si>
  <si>
    <t>Bodemconsole ALU verst. EL + kabelbev LPS</t>
  </si>
  <si>
    <t>3175</t>
  </si>
  <si>
    <t>Bodemconsole ALU verstelbaar EL + kabelbev RVS LPS</t>
  </si>
  <si>
    <t>3177L</t>
  </si>
  <si>
    <t>Slappekabelbeveiliging weerstand 1,50 kO tbv KBB 3172</t>
  </si>
  <si>
    <t>3177R</t>
  </si>
  <si>
    <t>Slappekabelbeveiliging weerstand 1,50 kO tbv KBB 3173</t>
  </si>
  <si>
    <t>3178L</t>
  </si>
  <si>
    <t>Slappekabelbeveiliging tbv KBB 3172</t>
  </si>
  <si>
    <t>3178R</t>
  </si>
  <si>
    <t>Slappekabelbeveiliging tbv KBB 3173</t>
  </si>
  <si>
    <t>3188</t>
  </si>
  <si>
    <t>Kabelbreukbeveiliging 1000 kg 3" Links</t>
  </si>
  <si>
    <t>3189</t>
  </si>
  <si>
    <t>Kabelbreukbeveiliging 1000 kg 3" Rechts</t>
  </si>
  <si>
    <t>3190</t>
  </si>
  <si>
    <t>Touw t.b.v. touwtakel / zwart / 10 mm</t>
  </si>
  <si>
    <t>3190-02500</t>
  </si>
  <si>
    <t>Touw 10mm t.b.v. handbediening ZWART L=2.500 mm</t>
  </si>
  <si>
    <t>3190-03000</t>
  </si>
  <si>
    <t>Touw 10mm t.b.v. handbediening Zwart L=3.000 mm</t>
  </si>
  <si>
    <t>3190-03500</t>
  </si>
  <si>
    <t>Touw 10mm t.b.v. handbediening Zwart L=3.500 mm</t>
  </si>
  <si>
    <t>3190-04000</t>
  </si>
  <si>
    <t>Touw 10mm t.b.v. handbediening Zwart L=4.000 mm</t>
  </si>
  <si>
    <t>3190-04500</t>
  </si>
  <si>
    <t>Touw 10mm t.b.v. handbediening Zwart L=4.500 mm</t>
  </si>
  <si>
    <t>3190-05500</t>
  </si>
  <si>
    <t>Touw 10mm t.b.v. handbediening Zwart L=5.500 mm</t>
  </si>
  <si>
    <t>3190-10000</t>
  </si>
  <si>
    <t>Touw 10mm t.b.v. handbediening Zwart L=10.000 mm</t>
  </si>
  <si>
    <t>3191</t>
  </si>
  <si>
    <t>Kabelbreukbeveiliging 1000 kg Verstelbaar</t>
  </si>
  <si>
    <t>3193</t>
  </si>
  <si>
    <t>Kabelbreukbeveiliging 3194 beugelset kabels buiten max 400KG</t>
  </si>
  <si>
    <t>3194</t>
  </si>
  <si>
    <t>Kabelbreukbeveiliging 1000 kg (Set L+R)</t>
  </si>
  <si>
    <t>3197</t>
  </si>
  <si>
    <t>Kabelbreukbeveiliging beschermkap Links 3180-2-4-6</t>
  </si>
  <si>
    <t>3198</t>
  </si>
  <si>
    <t>Kabelbreukbeveiliging beschermkap Rechts 3181-3-5-7</t>
  </si>
  <si>
    <t>3199</t>
  </si>
  <si>
    <t>Kabelbreukbeveiliging optilbeveiliging 3172-3173 (L+R)</t>
  </si>
  <si>
    <t>3200</t>
  </si>
  <si>
    <t>Zijscharnier KDC fingersafe/ST1V 166x60mm SV HM45</t>
  </si>
  <si>
    <t>3201</t>
  </si>
  <si>
    <t>Zijscharnier HOESCH fingersafe/ ST3V 166x60mm EV HM45</t>
  </si>
  <si>
    <t>3202</t>
  </si>
  <si>
    <t>Zijscharnier TRADITIONEEL ST3/ST7 155x60mm EV HM45</t>
  </si>
  <si>
    <t>3203</t>
  </si>
  <si>
    <t>Zijscharnier HOESCH fingersafe-LD 166x60mm EV HM45</t>
  </si>
  <si>
    <t>3205</t>
  </si>
  <si>
    <t>Zijscharnier UNI EPCO/KDC fingersafe 166x60mm EV HM40</t>
  </si>
  <si>
    <t>3206</t>
  </si>
  <si>
    <t>Zijscharnier FS EPCO EV 159x60 mm HM45 nok</t>
  </si>
  <si>
    <t>3207</t>
  </si>
  <si>
    <t>Zijscharnier METECNO fingersafe 161x65mm EV HM45</t>
  </si>
  <si>
    <t>3209</t>
  </si>
  <si>
    <t>Zijscharnier FS EPCO / Tecsedo EV 159x60 mm HM45</t>
  </si>
  <si>
    <t>3210</t>
  </si>
  <si>
    <t>Middenscharnier KDC fingersafe /ST1V 77x60mm EV HM45</t>
  </si>
  <si>
    <t>3211</t>
  </si>
  <si>
    <t>Middenscharnier HOESCH fingersafe /ST3V 77x60mm EV HM45</t>
  </si>
  <si>
    <t>3212</t>
  </si>
  <si>
    <t>Middenscharnier TRADITIONEEL ST3/ST7 66x60mm EV HM45</t>
  </si>
  <si>
    <t>3213</t>
  </si>
  <si>
    <t>Middenscharnier HOESCH fingersafe / ST3V-LD 77x60mm EV HM45</t>
  </si>
  <si>
    <t>3214</t>
  </si>
  <si>
    <t>Middenscharnier</t>
  </si>
  <si>
    <t>3215</t>
  </si>
  <si>
    <t>Middenscharnier TRADITIONEEL 80/ST80-ISO 66x60 mm EV HM45</t>
  </si>
  <si>
    <t>3216</t>
  </si>
  <si>
    <t>Toprolhouder 130x60mm EV</t>
  </si>
  <si>
    <t>3217</t>
  </si>
  <si>
    <t>Rolhouder zwaar 165 x 40 mm EV</t>
  </si>
  <si>
    <t>3218</t>
  </si>
  <si>
    <t>Rolhouder enkel t.b.v. 3201/02/03/05/06/09/16 EV</t>
  </si>
  <si>
    <t>3219</t>
  </si>
  <si>
    <t>Rolhouder dubbel t.b.v. 3201/02/03/05/06/09/16 EV</t>
  </si>
  <si>
    <t>3220</t>
  </si>
  <si>
    <t>Middenscharnier FS EPCO EV 71x60 mm HM45 nok</t>
  </si>
  <si>
    <t>3221</t>
  </si>
  <si>
    <t>Middenscharnier UNI EPCO/KDC fingersafe 75x60mm EV HM40</t>
  </si>
  <si>
    <t>3222</t>
  </si>
  <si>
    <t>Toprolhouder zwaar 3 mm WK2 IND SV</t>
  </si>
  <si>
    <t>3223</t>
  </si>
  <si>
    <t>Rolhouder enkel t.b.v. Zijscharnier METECNO 3207 SV HC45</t>
  </si>
  <si>
    <t>3227</t>
  </si>
  <si>
    <t>Middenscharnier FS EPCO / Tecsedo EV 71x60 mm HM45</t>
  </si>
  <si>
    <t>3228</t>
  </si>
  <si>
    <t>Zijscharnier FS EPCO WIT 159x60 mm HM45 nok</t>
  </si>
  <si>
    <t>3229</t>
  </si>
  <si>
    <t>Zijscharnier FS EPCO WIT 159x60 mm HM45</t>
  </si>
  <si>
    <t>3230</t>
  </si>
  <si>
    <t>Voettrapper 345x118mm private label 40 zwart zonder sticker</t>
  </si>
  <si>
    <t>3231</t>
  </si>
  <si>
    <t>Voettrapper 345x118mm private label 80 zwart zonder sticker</t>
  </si>
  <si>
    <t>3232</t>
  </si>
  <si>
    <t>Verstelbare koppeling 1" lange flens Staal</t>
  </si>
  <si>
    <t>3236</t>
  </si>
  <si>
    <t>Oogplaat bodem LPS200 voor lichtlijst GS-Mini/Pro</t>
  </si>
  <si>
    <t>3239</t>
  </si>
  <si>
    <t>Middenscharnier METECNO fingersafe 76x65mm EV HM45</t>
  </si>
  <si>
    <t>3242</t>
  </si>
  <si>
    <t>Middenscharnier FS EPCO WIT 71x60 mm HM45 nok</t>
  </si>
  <si>
    <t>3260</t>
  </si>
  <si>
    <t>Zijlagerplaat 152 mm/Z35/SV/LINKS/zonder lager</t>
  </si>
  <si>
    <t>3261</t>
  </si>
  <si>
    <t>Zijlagerplaat 152 mm/Z35/SV/RECHTS/zonder lager</t>
  </si>
  <si>
    <t>3262</t>
  </si>
  <si>
    <t>Zijlagerplaat 152 mm/Z55/SV/LINKS/zonder lager</t>
  </si>
  <si>
    <t>3263</t>
  </si>
  <si>
    <t>Zijlagerplaat 152 mm/Z55/SV/RECHTS/zonder lager</t>
  </si>
  <si>
    <t>3264</t>
  </si>
  <si>
    <t>Pro-Line/GFA Motorsteun SV hoek 0-15-30 graden</t>
  </si>
  <si>
    <t>3265</t>
  </si>
  <si>
    <t>Rolhouder enkel 60 mm – Geluidsarm</t>
  </si>
  <si>
    <t>3266</t>
  </si>
  <si>
    <t>Rolhouder dubbel voor T-bodemsectie</t>
  </si>
  <si>
    <t>3270</t>
  </si>
  <si>
    <t>Lagerplaat OPEN 86-4 mm EV</t>
  </si>
  <si>
    <t>3271</t>
  </si>
  <si>
    <t>Lagerplaat OPEN 111-4 mm EV</t>
  </si>
  <si>
    <t>3272</t>
  </si>
  <si>
    <t>Lagerplaat OPEN 127-4 mm EV</t>
  </si>
  <si>
    <t>3273</t>
  </si>
  <si>
    <t>Lagerplaat OPEN 152-5 mm EV</t>
  </si>
  <si>
    <t>3274</t>
  </si>
  <si>
    <t>Lagerplaat OPEN 190-5 mm EV</t>
  </si>
  <si>
    <t>3279</t>
  </si>
  <si>
    <t>Zijscharnier TRADITIONEEL ST3/ST7 Knot 8,5-155x60mm EV HM45</t>
  </si>
  <si>
    <t>3280</t>
  </si>
  <si>
    <t>Zijlagerplaat 86 mm/1"/Z15/SV/LINKS</t>
  </si>
  <si>
    <t>3281</t>
  </si>
  <si>
    <t>Zijlagerplaat 86 mm/1"/Z15/SV/RECHTS</t>
  </si>
  <si>
    <t>3282</t>
  </si>
  <si>
    <t>Zijlagerplaat 111 mm/1"/Z15/SV/LINKS</t>
  </si>
  <si>
    <t>3283</t>
  </si>
  <si>
    <t>Zijlagerplaat 111 mm/1"/Z15/SV/RECHTS</t>
  </si>
  <si>
    <t>3284</t>
  </si>
  <si>
    <t>Zijlagerplaat 127 mm/1"/Z15/SV/LINKS</t>
  </si>
  <si>
    <t>3285</t>
  </si>
  <si>
    <t>Zijlagerplaat 127 mm/1"/Z15/SV/RECHTS</t>
  </si>
  <si>
    <t>3286</t>
  </si>
  <si>
    <t>Zijlagerplaat 152 mm/1"/Z15/SV/LINKS</t>
  </si>
  <si>
    <t>3287</t>
  </si>
  <si>
    <t>Zijlagerplaat 152 mm/1"/Z15/SV/RECHTS</t>
  </si>
  <si>
    <t>3288</t>
  </si>
  <si>
    <t>Zijlagerplaat 152 mm/1¼"/Z15/SV/LINKS</t>
  </si>
  <si>
    <t>3289</t>
  </si>
  <si>
    <t>Zijlagerplaat 152 mm/1¼"/Z15/SV/RECHTS</t>
  </si>
  <si>
    <t>3290</t>
  </si>
  <si>
    <t>Zijlagerplaat OPEN 86 mm/Z15/SV/LINKS</t>
  </si>
  <si>
    <t>3291</t>
  </si>
  <si>
    <t>Zijlagerplaat OPEN 86 mm/Z15/SV/RECHTS</t>
  </si>
  <si>
    <t>3292</t>
  </si>
  <si>
    <t>Zijlagerplaat OPEN 127 mm/Z15/SV/LINKS</t>
  </si>
  <si>
    <t>3293</t>
  </si>
  <si>
    <t>Zijlagerplaat OPEN 127 mm/Z15/SV/RECHTS</t>
  </si>
  <si>
    <t>3294</t>
  </si>
  <si>
    <t>Zijlagerplaat OPEN 111 mm/Z25/SV/LINKS</t>
  </si>
  <si>
    <t>3295</t>
  </si>
  <si>
    <t>Zijlagerplaat OPEN 111 mm/Z25/SV/RECHTS</t>
  </si>
  <si>
    <t>3296</t>
  </si>
  <si>
    <t>Zijlagerplaat OPEN 152 mm/Z55/EV/LINKS</t>
  </si>
  <si>
    <t>3297</t>
  </si>
  <si>
    <t>Zijlagerplaat OPEN 152 mm/Z55/EV/RECHTS</t>
  </si>
  <si>
    <t>3298</t>
  </si>
  <si>
    <t>Hoeksteun zijlagerplaat 55x40x3 mm SV</t>
  </si>
  <si>
    <t>3299</t>
  </si>
  <si>
    <t>Hoeksteun zijlagerplaat 55x40x5 mm EV</t>
  </si>
  <si>
    <t>3308</t>
  </si>
  <si>
    <t>Touwtakel Koordhouder 132 x 27 mm EV</t>
  </si>
  <si>
    <t>3334</t>
  </si>
  <si>
    <t>Stelring 1" EV 2 helften</t>
  </si>
  <si>
    <t>3339</t>
  </si>
  <si>
    <t>Stelring 1¼" EV 2 helften</t>
  </si>
  <si>
    <t>3346</t>
  </si>
  <si>
    <t>Zijlagerplaat OPEN 111 mm/Z15/SV/LINKS</t>
  </si>
  <si>
    <t>3347</t>
  </si>
  <si>
    <t>Zijlagerplaat OPEN 111 mm/Z15/SV/RECHTS</t>
  </si>
  <si>
    <t>3354</t>
  </si>
  <si>
    <t>Vaste koppeling 120 mm 1" staal</t>
  </si>
  <si>
    <t>3355</t>
  </si>
  <si>
    <t>Vaste koppeling 100 mm 1¼" Staal</t>
  </si>
  <si>
    <t>3360</t>
  </si>
  <si>
    <t>SPRINT Zijlagerplaat 127 - 152 mm EV</t>
  </si>
  <si>
    <t>3361</t>
  </si>
  <si>
    <t>SPRINT Kokerbeugel zijlagerplaat 50x50x5 mm EV</t>
  </si>
  <si>
    <t>3362</t>
  </si>
  <si>
    <t>SPRINT Motorsteun 215x45x164x3 mm SV</t>
  </si>
  <si>
    <t>3363</t>
  </si>
  <si>
    <t>SPRINT Steunplaat voor motorsteun 164x39x4 mm SV</t>
  </si>
  <si>
    <t>3364</t>
  </si>
  <si>
    <t>SPRINT Koppelsteun voor rail-lagerplaat Z 110x55x50x3 mm SV</t>
  </si>
  <si>
    <t>3365</t>
  </si>
  <si>
    <t>SPRINT Veerbumper LINKS 680 mm EV</t>
  </si>
  <si>
    <t>3366</t>
  </si>
  <si>
    <t>SPRINT Veerbumper RECHTS 680 mm EV</t>
  </si>
  <si>
    <t>3367</t>
  </si>
  <si>
    <t>SPRINT Montagebeugel veerbumper 95x45x150 mm SV</t>
  </si>
  <si>
    <t>3368</t>
  </si>
  <si>
    <t>SPRINT Kokersteun 185x110x4 mm SV</t>
  </si>
  <si>
    <t>3369</t>
  </si>
  <si>
    <t>SPRINT Montagestrip kokersteun 110x64x4 mm SV</t>
  </si>
  <si>
    <t>3370</t>
  </si>
  <si>
    <t>SPRINT Vulring kabeltrommel 34x15 mm PVC</t>
  </si>
  <si>
    <t>3380</t>
  </si>
  <si>
    <t>Vulplaat schuifgrendel LPS200 130x133x15mm HMPE500 WIT</t>
  </si>
  <si>
    <t>3381</t>
  </si>
  <si>
    <t>Pro-Line Motorsteun t.b.v. lagerplaat 137x50x2,5 mm SV UNI</t>
  </si>
  <si>
    <t>3382</t>
  </si>
  <si>
    <t>Motorsteunplaat 137x125x2 mm SV</t>
  </si>
  <si>
    <t>3383</t>
  </si>
  <si>
    <t>Stelplaat motorsteun 140x140x48x3 mm SV</t>
  </si>
  <si>
    <t>3384</t>
  </si>
  <si>
    <t>Vulstrip montage kettingtakel 150x28x1,5 mm SV</t>
  </si>
  <si>
    <t>3390L</t>
  </si>
  <si>
    <t>Driehoeksteunplaat HSK-VSK indien kabelschijf/SV/LINKS</t>
  </si>
  <si>
    <t>3390R</t>
  </si>
  <si>
    <t>Driehoeksteunplaat HSK-VSK indien kabelschijf/SV/RECHTS</t>
  </si>
  <si>
    <t>3391</t>
  </si>
  <si>
    <t>Montagebeugel 3390 indien KBB / SV</t>
  </si>
  <si>
    <t>3392</t>
  </si>
  <si>
    <t>Verstevigingsbeugel driehoeksteunplaat 3390 / SV</t>
  </si>
  <si>
    <t>3393</t>
  </si>
  <si>
    <t>Kabelschijfconstructie HSK/VSK</t>
  </si>
  <si>
    <t>3410L</t>
  </si>
  <si>
    <t>Eindstijl ST3V enkel Links 610 / 40 / SV</t>
  </si>
  <si>
    <t>3410R</t>
  </si>
  <si>
    <t>Eindstijl ST3V enkel Rechts 610 / 40 / SV</t>
  </si>
  <si>
    <t>3411L</t>
  </si>
  <si>
    <t>Eindstijl ST3V dubbel Links 610 / 40 / SV</t>
  </si>
  <si>
    <t>3411R</t>
  </si>
  <si>
    <t>Eindstijl ST3V dubbel Rechts 610 / 40 / SV</t>
  </si>
  <si>
    <t>3413L</t>
  </si>
  <si>
    <t>Eindstijl SPRINT dubbel 366 SV LINKS</t>
  </si>
  <si>
    <t>3413R</t>
  </si>
  <si>
    <t>Eindstijl SPRINT dubbel 366 SV RECHTS</t>
  </si>
  <si>
    <t>3425L</t>
  </si>
  <si>
    <t>Eindstijl ST3V enkel Links 500 / 40 / SV</t>
  </si>
  <si>
    <t>3425R</t>
  </si>
  <si>
    <t>Eindstijl ST3V enkel Rechts 500 / 40 / SV</t>
  </si>
  <si>
    <t>3426L</t>
  </si>
  <si>
    <t>Eindstijl ST3V dubbel Links 500 / 40 / SV</t>
  </si>
  <si>
    <t>3426R</t>
  </si>
  <si>
    <t>Eindstijl ST3V dubbel Rechts 500 / 40 / SV</t>
  </si>
  <si>
    <t>3428L</t>
  </si>
  <si>
    <t>Eindstijl ST3V dubbel Links 500 / 40 / RVS</t>
  </si>
  <si>
    <t>3428R</t>
  </si>
  <si>
    <t>Eindstijl ST3V dubbel Rechts 500 / 40 / RVS</t>
  </si>
  <si>
    <t>3438</t>
  </si>
  <si>
    <t>Eindstijl ST3 enkel 488 / 40 / SV / 1 mm</t>
  </si>
  <si>
    <t>3439</t>
  </si>
  <si>
    <t>Eindstijl ST3 dubbel 488 / 40 / SV / 1 mm</t>
  </si>
  <si>
    <t>3440</t>
  </si>
  <si>
    <t>Eindstijl ST6/ST7 enkel 500 / 40 / SV / 1 mm</t>
  </si>
  <si>
    <t>3441</t>
  </si>
  <si>
    <t>Eindstijl ST6/ST7 dubbel 500 / 40 / SV / 1 mm</t>
  </si>
  <si>
    <t>3442</t>
  </si>
  <si>
    <t>Eindstijl ST3/ST6/ST7 enkel 610 / 40 / SV / 1 mm</t>
  </si>
  <si>
    <t>3443</t>
  </si>
  <si>
    <t>Eindstijl ST3/ST6/ST7 dubbel 610 / 40 / SV / 1 mm</t>
  </si>
  <si>
    <t>3444</t>
  </si>
  <si>
    <t>Eindstijl ST3/ST6/ST7 enkel 500 / 40 / RVS / 1 mm</t>
  </si>
  <si>
    <t>3445</t>
  </si>
  <si>
    <t>Eindstijl ST6/ST7 dubbel 500 / 40 / RVS / 1 mm</t>
  </si>
  <si>
    <t>3446</t>
  </si>
  <si>
    <t>Eindstijl ST3/ST6/ST7 enkel 610 / 40 / RVS / 1 mm</t>
  </si>
  <si>
    <t>3447</t>
  </si>
  <si>
    <t>Eindstijl ST3/ST6/ST7 dubbel 610 / 40 / RVS / 1 mm</t>
  </si>
  <si>
    <t>3448</t>
  </si>
  <si>
    <t>Eindstijl ST3/ST6/ST7 enkel 900 / 40 / SV / 1 mm</t>
  </si>
  <si>
    <t>3449</t>
  </si>
  <si>
    <t>Eindstijl ST3/ST6/ST7 dubbel 900 / 40 / SV / 1 mm</t>
  </si>
  <si>
    <t>3450L</t>
  </si>
  <si>
    <t>Eindstijl ST3V enkel Links 610 / 40 / RVS</t>
  </si>
  <si>
    <t>3450R</t>
  </si>
  <si>
    <t>Eindstijl ST3V enkel Rechts 610 / 40 / RVS</t>
  </si>
  <si>
    <t>3451L</t>
  </si>
  <si>
    <t>Eindstijl ST3V Dubbel Links 610 / 40 / RVS</t>
  </si>
  <si>
    <t>3451R</t>
  </si>
  <si>
    <t>Eindstijl ST3V Dubbel Rechts 610 / 40 / RVS</t>
  </si>
  <si>
    <t>3471L</t>
  </si>
  <si>
    <t>Eindstijl HL-E+ST9V enkel Links 500 / 40 / SV / 1mm</t>
  </si>
  <si>
    <t>3471R</t>
  </si>
  <si>
    <t>Eindstijl HL-E+ST9V enkel Rechts 500 / 40 / SV/ 1mm</t>
  </si>
  <si>
    <t>3472L-360</t>
  </si>
  <si>
    <t>Eindstijl HL-E+ST9V enkel Links 555 / 40 / SV / 1mm / 360x</t>
  </si>
  <si>
    <t>3472R-360</t>
  </si>
  <si>
    <t>Eindstijl HL-E+ST9V enkel Rechts 555 / 40 / SV / 1mm / 360x</t>
  </si>
  <si>
    <t>3473L</t>
  </si>
  <si>
    <t>Eindstijl HL-E+ST9V enkel Links 610 / 40 / SV / 1mm</t>
  </si>
  <si>
    <t>3473R</t>
  </si>
  <si>
    <t>Eindstijl HL-E+ST9V enkel Rechts 610 / 40 / SV / 1mm</t>
  </si>
  <si>
    <t>3475L</t>
  </si>
  <si>
    <t>Eindstijl HL-E+ST9V enkel Links 900 / 40 / SV / 1mm</t>
  </si>
  <si>
    <t>3475R</t>
  </si>
  <si>
    <t>Eindstijl HL-E+ST9V enkel Rechts 900 / 40 / SV / 1mm</t>
  </si>
  <si>
    <t>3481L</t>
  </si>
  <si>
    <t>Eindstijl HL-E+ST9V dubbel Links 500 / 40 / SV / 1mm</t>
  </si>
  <si>
    <t>3481R</t>
  </si>
  <si>
    <t>Eindstijl HL-E+ST9V dubbel Rechts 500 / 40 / SV / 1mm</t>
  </si>
  <si>
    <t>3483L</t>
  </si>
  <si>
    <t>Eindstijl HL-E+ST9V dubbel Links 610 / 40 / SV/ 1mm</t>
  </si>
  <si>
    <t>3483R</t>
  </si>
  <si>
    <t>Eindstijl HL-E+ST9V dubbel Rechts 610 / 40 / SV / 1mm</t>
  </si>
  <si>
    <t>3485L</t>
  </si>
  <si>
    <t>Eindstijl HL-E+ST9V dubbel Links 900 / 40 / SV/ 1mm</t>
  </si>
  <si>
    <t>3485R</t>
  </si>
  <si>
    <t>Eindstijl HL-E+ST9V dubbel Rechts 900 / 40 / SV / 1mm</t>
  </si>
  <si>
    <t>3501</t>
  </si>
  <si>
    <t>Driehoeksteunplaat HSK/VSK direct 550mm</t>
  </si>
  <si>
    <t>3503L</t>
  </si>
  <si>
    <t>Basisplaat bodembracket LINKS SV</t>
  </si>
  <si>
    <t>3503R</t>
  </si>
  <si>
    <t>Basisplaat bodembracket RECHTS SV</t>
  </si>
  <si>
    <t>3514L</t>
  </si>
  <si>
    <t>Basisplaat bodembracket AR 580x278x2 mm SV LINKS</t>
  </si>
  <si>
    <t>3514R</t>
  </si>
  <si>
    <t>Basisplaat bodembracket AR 580x278x2 mm SV RECHTS</t>
  </si>
  <si>
    <t>3528</t>
  </si>
  <si>
    <t>Kokerkoppelplaat 100mm LPS250 SV Links</t>
  </si>
  <si>
    <t>3529</t>
  </si>
  <si>
    <t>Kokerkoppelplaat 100mm LPS250 SV Rechts</t>
  </si>
  <si>
    <t>3537</t>
  </si>
  <si>
    <t>Beugel kokermontage 60x40 (3mm) SV</t>
  </si>
  <si>
    <t>3538</t>
  </si>
  <si>
    <t>Kokerkoppelplaat + montagehaak LPS200 SV L</t>
  </si>
  <si>
    <t>3539</t>
  </si>
  <si>
    <t>Kokerkoppelplaat + montagehaak LPS200 SV R</t>
  </si>
  <si>
    <t>3546-00140</t>
  </si>
  <si>
    <t>C-Profiel CP14 Rail verbindingsprofiel L=140 mm</t>
  </si>
  <si>
    <t>3546-00170</t>
  </si>
  <si>
    <t>C-Profiel CP14 Rail verbindingsprofiel L=170 mm</t>
  </si>
  <si>
    <t>3546-00210</t>
  </si>
  <si>
    <t>C-Profiel CP14 Rail verbindingsprofiel L=210 mm</t>
  </si>
  <si>
    <t>3546-00240</t>
  </si>
  <si>
    <t>C-Profiel CP14 Rail verbindingsprofiel L=240 mm</t>
  </si>
  <si>
    <t>3546-00270</t>
  </si>
  <si>
    <t>C-Profiel CP14 Rail verbindingsprofiel L=270 mm</t>
  </si>
  <si>
    <t>3546-00300</t>
  </si>
  <si>
    <t>C-Profiel CP14 Rail verbindingsprofiel L=300 mm</t>
  </si>
  <si>
    <t>3546-00330</t>
  </si>
  <si>
    <t>C-Profiel CP14 Rail verbindingsprofiel L=330 mm</t>
  </si>
  <si>
    <t>3546-00360</t>
  </si>
  <si>
    <t>C-Profiel CP14 Rail verbindingsprofiel L=360 mm</t>
  </si>
  <si>
    <t>3546-00390</t>
  </si>
  <si>
    <t>C-Profiel CP14 Rail verbindingsprofiel L=390 mm</t>
  </si>
  <si>
    <t>3546-00420</t>
  </si>
  <si>
    <t>C-Profiel CP14 Rail verbindingsprofiel L=420 mm</t>
  </si>
  <si>
    <t>3546-00450</t>
  </si>
  <si>
    <t>C-Profiel CP14 Rail verbindingsprofiel L=450 mm</t>
  </si>
  <si>
    <t>3546-00480</t>
  </si>
  <si>
    <t>C-Profiel CP14 Rail verbindingsprofiel L=480 mm</t>
  </si>
  <si>
    <t>3546-00510</t>
  </si>
  <si>
    <t>C-Profiel CP14 Rail verbindingsprofiel L=510 mm</t>
  </si>
  <si>
    <t>3546-00540</t>
  </si>
  <si>
    <t>C-Profiel CP14 Rail verbindingsprofiel L=540 mm</t>
  </si>
  <si>
    <t>3546-00570</t>
  </si>
  <si>
    <t>C-Profiel CP14 Rail verbindingsprofiel L=570 mm</t>
  </si>
  <si>
    <t>3546-00600</t>
  </si>
  <si>
    <t>C-Profiel CP14 Rail verbindingsprofiel L=600 mm</t>
  </si>
  <si>
    <t>3549</t>
  </si>
  <si>
    <t>Toprolgeleider LPS320 440x50x4mm hartmaat 185 mm EV</t>
  </si>
  <si>
    <t>3553</t>
  </si>
  <si>
    <t>Flenslagerblok 1¼" (Y-blok) ovaal met smeernippel</t>
  </si>
  <si>
    <t>3557</t>
  </si>
  <si>
    <t>Beugel kokermontage 60x60x3 SV</t>
  </si>
  <si>
    <t>3564</t>
  </si>
  <si>
    <t>Lagerhouder (incl. 2x bout M8x18) tbv 3663 en 3664</t>
  </si>
  <si>
    <t>3569</t>
  </si>
  <si>
    <t>Looprol Los 90 kg zonder as</t>
  </si>
  <si>
    <t>3573</t>
  </si>
  <si>
    <t>U-Beugel M10 tbv Koker 100x100 mm EV</t>
  </si>
  <si>
    <t>3574</t>
  </si>
  <si>
    <t>U-Beugel M10 tbv Koker 120x120 mm EV</t>
  </si>
  <si>
    <t>3580</t>
  </si>
  <si>
    <t>Looprol lang / 3" / as 11 mm / L= 193 mm / Max. 150kg</t>
  </si>
  <si>
    <t>3581</t>
  </si>
  <si>
    <t>Tandemlooprol lang / as 11 mm / toprol LPS200-250 / SPRINT</t>
  </si>
  <si>
    <t>3592</t>
  </si>
  <si>
    <t>Tandemlooprol kort / 11mm / bodemconsole LPS200-250 Links</t>
  </si>
  <si>
    <t>3593</t>
  </si>
  <si>
    <t>Tandemlooprol kort / 11mm / bodemconsole LPS200-250 Rechts</t>
  </si>
  <si>
    <t>3594</t>
  </si>
  <si>
    <t>Tandemlooprol kort / 11 mm / toprol LPS200-250</t>
  </si>
  <si>
    <t>3595</t>
  </si>
  <si>
    <t>Basisplaat kabelschijf verstelbaar LPS200/SV/Links</t>
  </si>
  <si>
    <t>3596</t>
  </si>
  <si>
    <t>Basisplaat kabelschijf verstelbaar LPS200/SV/Rechts</t>
  </si>
  <si>
    <t>3597</t>
  </si>
  <si>
    <t>Steunbeugel kabelschijf LPS200 / SV</t>
  </si>
  <si>
    <t>3618</t>
  </si>
  <si>
    <t>Cilinderslot ovaal 235x150mm zwart (excl. cilinder) 40mm</t>
  </si>
  <si>
    <t>3619</t>
  </si>
  <si>
    <t>Looprol lang ZWAAR / as 11 mm / L=179 mm / Max. 90kg</t>
  </si>
  <si>
    <t>3625</t>
  </si>
  <si>
    <t>Afstandsbus klik 4 mm</t>
  </si>
  <si>
    <t>3626</t>
  </si>
  <si>
    <t>D-sluiting 12 mm voor megabracket 3655 EV</t>
  </si>
  <si>
    <t>3629</t>
  </si>
  <si>
    <t>Veerbumper kort L=220mm</t>
  </si>
  <si>
    <t>3630</t>
  </si>
  <si>
    <t>Veerbumper montageplaat verstelbaar 110x115x90mm EV</t>
  </si>
  <si>
    <t>3635</t>
  </si>
  <si>
    <t>Spie recht 6.35x6.35x75 mm lang verzinkt t.b.v. massieve as</t>
  </si>
  <si>
    <t>3636</t>
  </si>
  <si>
    <t>Spie recht 6.35x6.35x38 mm kort verzinkt t.b.v. massieve as</t>
  </si>
  <si>
    <t>3637</t>
  </si>
  <si>
    <t>Spie gebogen 6.35x6.35x75mm lang verzinkt t.b.v. massieve as</t>
  </si>
  <si>
    <t>3639</t>
  </si>
  <si>
    <t>Schuifgrendel slag 72 mm EV</t>
  </si>
  <si>
    <t>3640</t>
  </si>
  <si>
    <t>Schuifgrendel zwarte knop</t>
  </si>
  <si>
    <t>3645</t>
  </si>
  <si>
    <t>Looprol kort / as 11 mm / L= 118mm / Max. 34kg</t>
  </si>
  <si>
    <t>3646</t>
  </si>
  <si>
    <t>Looprol lang / as 11 mm / L= 193 mm / Max. 34kg</t>
  </si>
  <si>
    <t>3647</t>
  </si>
  <si>
    <t>Afstandbus breedte 10 mm EV</t>
  </si>
  <si>
    <t>3649</t>
  </si>
  <si>
    <t>Looprol kort ZWAAR / as 11 mm / L= 116mm / Max. 90kg</t>
  </si>
  <si>
    <t>3650</t>
  </si>
  <si>
    <t>Bodemconsole niet verstelbaar L+R</t>
  </si>
  <si>
    <t>3653</t>
  </si>
  <si>
    <t>Gaffelpen 26x8 mm incl. splitpen 2,5x25 mm</t>
  </si>
  <si>
    <t>3655</t>
  </si>
  <si>
    <t>ZWARE buitenom bodemkonsole L+R 2" tbv dubbel verenpakket</t>
  </si>
  <si>
    <t>3658</t>
  </si>
  <si>
    <t>Bodemconsole verstelbaar RVS</t>
  </si>
  <si>
    <t>3662</t>
  </si>
  <si>
    <t>Lagerhouder tbv 3663 en 3664</t>
  </si>
  <si>
    <t>3663</t>
  </si>
  <si>
    <t>Kogellager 1" staal EV</t>
  </si>
  <si>
    <t>3664</t>
  </si>
  <si>
    <t>Kogellager 1¼" staal EV</t>
  </si>
  <si>
    <t>3675</t>
  </si>
  <si>
    <t>Stelring 1" EV</t>
  </si>
  <si>
    <t>3676</t>
  </si>
  <si>
    <t>Stelring verzinkt 1 1/4"</t>
  </si>
  <si>
    <t>3678</t>
  </si>
  <si>
    <t>Koppeling verstelbaar 1 1/4" Staal</t>
  </si>
  <si>
    <t>3682</t>
  </si>
  <si>
    <t>Kettingtakel Handketting</t>
  </si>
  <si>
    <t>3685</t>
  </si>
  <si>
    <t>Koppeling verstelbaar Combi 1"- 1 1/4" Staal</t>
  </si>
  <si>
    <t>3686</t>
  </si>
  <si>
    <t>Koppeling vast 120mm / 1" ALU</t>
  </si>
  <si>
    <t>3687</t>
  </si>
  <si>
    <t>Koppeling vast buisas 60mm ALU</t>
  </si>
  <si>
    <t>3688</t>
  </si>
  <si>
    <t>Paro dubbele klemplaat 44 x 95 x 5 (incl. bout/moer)</t>
  </si>
  <si>
    <t>3690</t>
  </si>
  <si>
    <t>Tandemlooprol lang / as 11 mm / L=162 mm / Verstelbaar</t>
  </si>
  <si>
    <t>3691</t>
  </si>
  <si>
    <t>Tandemlooprol kort / as 11 mm / L=100 mm / verstelbaar</t>
  </si>
  <si>
    <t>3697</t>
  </si>
  <si>
    <t>Touwklip 4 mm staal verzinkt</t>
  </si>
  <si>
    <t>3699</t>
  </si>
  <si>
    <t>Stalen harpsluiting 6 mm verz.</t>
  </si>
  <si>
    <t>3700</t>
  </si>
  <si>
    <t>Ronde aluminium kabelklem 3 mm</t>
  </si>
  <si>
    <t>3701</t>
  </si>
  <si>
    <t>Ronde aluminium kabelklem 4 mm</t>
  </si>
  <si>
    <t>3702</t>
  </si>
  <si>
    <t>Ronde aluminium kabelklem 5 mm</t>
  </si>
  <si>
    <t>3703</t>
  </si>
  <si>
    <t>Ronde aluminium kabelklem 6 mm</t>
  </si>
  <si>
    <t>3704</t>
  </si>
  <si>
    <t>Ovale aluminium kabelklem 3 mm</t>
  </si>
  <si>
    <t>3705</t>
  </si>
  <si>
    <t>Ovale aluminium kabelklem 4 mm</t>
  </si>
  <si>
    <t>3706</t>
  </si>
  <si>
    <t>Ovale aluminium kabelklem 5 mm</t>
  </si>
  <si>
    <t>3707</t>
  </si>
  <si>
    <t>Ovale aluminium kabelklem 6 mm</t>
  </si>
  <si>
    <t>3713</t>
  </si>
  <si>
    <t>Staalkabel 6 mm 7x19 EV stalen kern WSC</t>
  </si>
  <si>
    <t>3715</t>
  </si>
  <si>
    <t>Puntkous 3 mm EV</t>
  </si>
  <si>
    <t>3716</t>
  </si>
  <si>
    <t>Puntkous kabelbevestiging 4/5</t>
  </si>
  <si>
    <t>3717</t>
  </si>
  <si>
    <t>Puntkous kabelbevestiging 6 mm</t>
  </si>
  <si>
    <t>3720</t>
  </si>
  <si>
    <t>Kabelklem 3 mm EV</t>
  </si>
  <si>
    <t>3722</t>
  </si>
  <si>
    <t>Vulbus kabelschijf 140mm/inw. 10mm/EV</t>
  </si>
  <si>
    <t>3724</t>
  </si>
  <si>
    <t>Kabelschijf 80 mm / staal / EV</t>
  </si>
  <si>
    <t>3725</t>
  </si>
  <si>
    <t>Kabelschijf 100 mm / staal / EV</t>
  </si>
  <si>
    <t>3726</t>
  </si>
  <si>
    <t>Kabelschijf 140 mm / staal / EV</t>
  </si>
  <si>
    <t>3727</t>
  </si>
  <si>
    <t>Beugel kabelschijf voor 100mm/SV/3 mm</t>
  </si>
  <si>
    <t>3745</t>
  </si>
  <si>
    <t>Eindstijl S80 enkel 610 / 80 / SV</t>
  </si>
  <si>
    <t>3746</t>
  </si>
  <si>
    <t>Eindstijl S80 dubbel 610 / 80 / SV</t>
  </si>
  <si>
    <t>3758</t>
  </si>
  <si>
    <t>Staalkabel 6 mm 7x19 RVS stalen kern WSC</t>
  </si>
  <si>
    <t>3758-04000</t>
  </si>
  <si>
    <t>Staalkabel 6 mm 7x19 RVS stalen kern WSC T2 L=4.000 mm L+R</t>
  </si>
  <si>
    <t>3758-06000</t>
  </si>
  <si>
    <t>Staalkabel 6 mm 7x19 RVS stalen kern WSC T2 L=6.000 mm L+R</t>
  </si>
  <si>
    <t>3758-08000</t>
  </si>
  <si>
    <t>Staalkabel 6 mm 7x19 RVS stalen kern WSC T2 L=8.000 mm L+R</t>
  </si>
  <si>
    <t>3758-10000</t>
  </si>
  <si>
    <t>Staalkabel 6 mm 7x19 RVS stalen kern WSC T2 L=10.000 mm L+R</t>
  </si>
  <si>
    <t>3758-12000</t>
  </si>
  <si>
    <t>Staalkabel 6 mm 7x19 RVS stalen kern WSC T2 L=12.000 mm L+R</t>
  </si>
  <si>
    <t>3758-14000</t>
  </si>
  <si>
    <t>Staalkabel 6 mm 7x19 RVS stalen kern WSC T2 L=14.000 mm L+R</t>
  </si>
  <si>
    <t>3758-18000</t>
  </si>
  <si>
    <t>Staalkabel 6 mm 7x19 RVS stalen kern WSC T2 L=18.000 mm L+R</t>
  </si>
  <si>
    <t>3764</t>
  </si>
  <si>
    <t>Paro klemplaat 25 x 46 x 5 (incl. bout/moer)</t>
  </si>
  <si>
    <t>3768</t>
  </si>
  <si>
    <t>Slotstanggeleider LPS200 70x56x70x3mm SV</t>
  </si>
  <si>
    <t>3769</t>
  </si>
  <si>
    <t>Vulblok cilinderslot 40x15x37mm HMPE500 LPS200 WIT</t>
  </si>
  <si>
    <t>3770</t>
  </si>
  <si>
    <t>Basisplaat Mega Bracket/800x300 mm/SV</t>
  </si>
  <si>
    <t>3771</t>
  </si>
  <si>
    <t>Afstandbus breedte 5 mm kunststof ZWART</t>
  </si>
  <si>
    <t>3773</t>
  </si>
  <si>
    <t>Afstandbus breedte 10 mm kunststof ZWART</t>
  </si>
  <si>
    <t>3774</t>
  </si>
  <si>
    <t>Staalkabel 4 mm 6x19 EV SFC-PP kern T5 L=8000 mm</t>
  </si>
  <si>
    <t>3775</t>
  </si>
  <si>
    <t>Kettingspanner voor kettingtakel / 319 x 132 mm</t>
  </si>
  <si>
    <t>3776</t>
  </si>
  <si>
    <t>Staalkabel 3 mm 6x19 RVS SFC-PP kern</t>
  </si>
  <si>
    <t>3777</t>
  </si>
  <si>
    <t>Staalkabel 4 mm 6x19 RVS SFC-PP kern</t>
  </si>
  <si>
    <t>3777-04000</t>
  </si>
  <si>
    <t>Staalkabel 4 mm 6x19 RVS SFC-PP kern T2 L=4.000 mm L+R</t>
  </si>
  <si>
    <t>3777-06000</t>
  </si>
  <si>
    <t>Staalkabel 4 mm 6x19 RVS SFC-PP kern T2 L=6.000 mm L+R</t>
  </si>
  <si>
    <t>3777-08000</t>
  </si>
  <si>
    <t>Staalkabel 4 mm 6x19 RVS SFC-PP kern T2 L=8.000 mm L+R</t>
  </si>
  <si>
    <t>3777-10000</t>
  </si>
  <si>
    <t>Staalkabel 4 mm 6x19 RVS SFC-PP kern T2 L=10.000 mm L+R</t>
  </si>
  <si>
    <t>3777-12000</t>
  </si>
  <si>
    <t>Staalkabel 4 mm 6x19 RVS SFC-PP kern T2 L=12.000 mm L+R</t>
  </si>
  <si>
    <t>3777-14000</t>
  </si>
  <si>
    <t>Staalkabel 4 mm 6x19 RVS SFC-PP kern T2 L=14.000 mm L+R</t>
  </si>
  <si>
    <t>3777-18000</t>
  </si>
  <si>
    <t>Staalkabel 4 mm 6x19 RVS SFC-PP kern T2 L=18.000 mm L+R</t>
  </si>
  <si>
    <t>3778</t>
  </si>
  <si>
    <t>Staalkabel 5 mm 6x19 RVS SFC-PP kern</t>
  </si>
  <si>
    <t>3778-04000</t>
  </si>
  <si>
    <t>Staalkabel 5 mm 6x19 RVS SFC-PP kern T2 L=4.000 mm L+R</t>
  </si>
  <si>
    <t>3778-06000</t>
  </si>
  <si>
    <t>Staalkabel 5 mm 6x19 RVS SFC-PP kern T2 L=6.000 mm L+R</t>
  </si>
  <si>
    <t>3778-08000</t>
  </si>
  <si>
    <t>Staalkabel 5 mm 6x19 RVS SFC-PP kern T2 L=8.000 mm L+R</t>
  </si>
  <si>
    <t>3778-10000</t>
  </si>
  <si>
    <t>Staalkabel 5 mm 6x19 RVS SFC-PP kern T2 L=10.000 mm L+R</t>
  </si>
  <si>
    <t>3778-12000</t>
  </si>
  <si>
    <t>Staalkabel 5 mm 6x19 RVS SFC-PP kern T2 L=12.000 mm L+R</t>
  </si>
  <si>
    <t>3778-14000</t>
  </si>
  <si>
    <t>Staalkabel 5 mm 6x19 RVS SFC-PP kern T2 L=14.000 mm L+R</t>
  </si>
  <si>
    <t>3778-18000</t>
  </si>
  <si>
    <t>Staalkabel 5 mm 6x19 RVS SFC-PP kern T2 L=18.000 mm L+R</t>
  </si>
  <si>
    <t>3781</t>
  </si>
  <si>
    <t>D-Sluiting 10 mm voor megabracket 3655 EV</t>
  </si>
  <si>
    <t>3783</t>
  </si>
  <si>
    <t>Montagebeugel KBB Dock driehoeksplaat + T Bodem</t>
  </si>
  <si>
    <t>3784</t>
  </si>
  <si>
    <t>Inslagdop 100 x 40 mm LDPE zwart</t>
  </si>
  <si>
    <t>3789</t>
  </si>
  <si>
    <t>Looprol kort GEEL / as 11 mm / L= 118mm / Max. 34kg</t>
  </si>
  <si>
    <t>3804</t>
  </si>
  <si>
    <t>Flensmoer M6 / EV / vertand</t>
  </si>
  <si>
    <t>3805</t>
  </si>
  <si>
    <t>Deurparker 6,3x35mm/EV/kop 10mm/DIN 6928</t>
  </si>
  <si>
    <t>3807</t>
  </si>
  <si>
    <t>Toprolhouder laag systeem</t>
  </si>
  <si>
    <t>3808</t>
  </si>
  <si>
    <t>Zijscharnier TRADITIONEEL NIET verstelbaar 84x70 mm EV HM45</t>
  </si>
  <si>
    <t>3812</t>
  </si>
  <si>
    <t>Deurparker 6,3x25mm/EV/kop 10mm/DIN 6928</t>
  </si>
  <si>
    <t>3814</t>
  </si>
  <si>
    <t>Deurparker 6,3x16mm/EV/kop 10mm/DIN 6928</t>
  </si>
  <si>
    <t>3830</t>
  </si>
  <si>
    <t>Kettingtakel 1:4 &lt;700 kg 1" incl. 8 mtr ketting</t>
  </si>
  <si>
    <t>3836</t>
  </si>
  <si>
    <t>Kettingtakel Bevestigingsbeugel ketting t.b.v. 3830</t>
  </si>
  <si>
    <t>3837L</t>
  </si>
  <si>
    <t>Plafond montagebeugel VS-DS SV LINKS</t>
  </si>
  <si>
    <t>3837R</t>
  </si>
  <si>
    <t>Plafond montagebeugel VS-DS SV RECHTS</t>
  </si>
  <si>
    <t>3838</t>
  </si>
  <si>
    <t>Paneel koppelplaatje 75x70x2mm RVS</t>
  </si>
  <si>
    <t>3841</t>
  </si>
  <si>
    <t>Deurparker 6,3x11mm/EV/kop 10mm/DIN 6928</t>
  </si>
  <si>
    <t>3842</t>
  </si>
  <si>
    <t>Parker 6,3 x 45 / EV / kop 10 mm / DIN 7976</t>
  </si>
  <si>
    <t>3843</t>
  </si>
  <si>
    <t>Driehoeksplaat DS SV L</t>
  </si>
  <si>
    <t>3844</t>
  </si>
  <si>
    <t>Driehoeksplaat DS SV R</t>
  </si>
  <si>
    <t>3845</t>
  </si>
  <si>
    <t>Staalkabel 3 mm 6x19 EV SFC-PP kern</t>
  </si>
  <si>
    <t>3845-04000</t>
  </si>
  <si>
    <t>Staalkabel 3 mm 6x19 EV SFC-PP kern T1 L=4.000 mm L+R</t>
  </si>
  <si>
    <t>3845-05000</t>
  </si>
  <si>
    <t>Staalkabel 3 mm 6x19 EV SFC-PP kern T1 L=5.000 mm L+R</t>
  </si>
  <si>
    <t>3845-06000</t>
  </si>
  <si>
    <t>Staalkabel 3 mm 6x19 EV SFC-PP kern T1 L=6.000 mm L+R</t>
  </si>
  <si>
    <t>3845-07000</t>
  </si>
  <si>
    <t>Staalkabel 3 mm 6x19 EV SFC-PP kern T1 L=7.000 mm L+R</t>
  </si>
  <si>
    <t>3845-08000</t>
  </si>
  <si>
    <t>Staalkabel 3 mm 6x19 EV SFC-PP kern T1 L=8.000 mm L+R</t>
  </si>
  <si>
    <t>3845-09000</t>
  </si>
  <si>
    <t>Staalkabel 3 mm 6x19 EV SFC-PP kern T1 L=9.000 mm L+R</t>
  </si>
  <si>
    <t>3846</t>
  </si>
  <si>
    <t>Staalkabel 4 mm 6x19 EV SFC-PP kern</t>
  </si>
  <si>
    <t>3846-04000</t>
  </si>
  <si>
    <t>Staalkabel 4 mm 6x19 EV SFC-PP kern T1 L=4.000 mm L+R</t>
  </si>
  <si>
    <t>3846-05000</t>
  </si>
  <si>
    <t>Staalkabel 4 mm 6x19 EV SFC-PP kern T1 L=5.000 mm L+R</t>
  </si>
  <si>
    <t>3846-06000</t>
  </si>
  <si>
    <t>Staalkabel 4 mm 6x19 EV SFC-PP kern T1 L=6.000 mm L+R</t>
  </si>
  <si>
    <t>3846-07000</t>
  </si>
  <si>
    <t>Staalkabel 4 mm 6x19 EV SFC-PP kern T1 L=7.000 mm L+R</t>
  </si>
  <si>
    <t>3846-08000</t>
  </si>
  <si>
    <t>Staalkabel 4 mm 6x19 EV SFC-PP kern T1 L=8.000 mm L+R</t>
  </si>
  <si>
    <t>3846-09000</t>
  </si>
  <si>
    <t>Staalkabel 4 mm 6x19 EV SFC-PP kern T1 L=9.000 mm L+R</t>
  </si>
  <si>
    <t>3846-10000</t>
  </si>
  <si>
    <t>Staalkabel 4 mm 6x19 EV SFC-PP kern T1 L=10.000 mm L+R</t>
  </si>
  <si>
    <t>3846-11000</t>
  </si>
  <si>
    <t>Staalkabel 4 mm 6x19 EV SFC-PP kern T1 L=11.000 mm L+R</t>
  </si>
  <si>
    <t>3846-12000</t>
  </si>
  <si>
    <t>Staalkabel 4 mm 6x19 EV SFC-PP kern T1 L=12.000 mm L+R</t>
  </si>
  <si>
    <t>3846-14000</t>
  </si>
  <si>
    <t>Staalkabel 4 mm 6x19 EV SFC-PP kern T1 L=14.000 mm L+R</t>
  </si>
  <si>
    <t>3846-18000</t>
  </si>
  <si>
    <t>Staalkabel 4 mm 6x19 EV SFC-PP kern T1 L=18.000 mm L+R</t>
  </si>
  <si>
    <t>3847</t>
  </si>
  <si>
    <t>Staalkabel 5 mm 6x19 EV SFC-PP kern</t>
  </si>
  <si>
    <t>3847-06000</t>
  </si>
  <si>
    <t>Staalkabel 5 mm 6x19 EV SFC-PP kern T1 L=6.000 mm L+R</t>
  </si>
  <si>
    <t>3847-07000</t>
  </si>
  <si>
    <t>Staalkabel 5 mm 6x19 EV SFC-PP kern T1 L=7.000 mm L+R</t>
  </si>
  <si>
    <t>3847-08000</t>
  </si>
  <si>
    <t>Staalkabel 5 mm 6x19 EV SFC-PP kern T1 L=8.000 mm L+R</t>
  </si>
  <si>
    <t>3847-09000</t>
  </si>
  <si>
    <t>Staalkabel 5 mm 6x19 EV SFC-PP kern T1 L=9.000 mm L+R</t>
  </si>
  <si>
    <t>3847-10000</t>
  </si>
  <si>
    <t>Staalkabel 5 mm 6x19 EV SFC-PP kern T1 L=10.000 mm L+R</t>
  </si>
  <si>
    <t>3847-11000</t>
  </si>
  <si>
    <t>Staalkabel 5 mm 6x19 EV SFC-PP kern T1 L=11.000 mm L+R</t>
  </si>
  <si>
    <t>3847-12000</t>
  </si>
  <si>
    <t>Staalkabel 5 mm 6x19 EV SFC-PP kern T1 L=12.000 mm L+R</t>
  </si>
  <si>
    <t>3847-18000</t>
  </si>
  <si>
    <t>Staalkabel 5 mm 6x19 EV SFC-PP kern T1 L=18.000 mm L+R</t>
  </si>
  <si>
    <t>3848</t>
  </si>
  <si>
    <t>Staalkabel 6 mm 6x19 EV SFC-PP kern</t>
  </si>
  <si>
    <t>3848=XXXXX</t>
  </si>
  <si>
    <t>Staalkabel 6 mm 6x19 EV SFC-PP kern T1 L=xxxxx mm L+R</t>
  </si>
  <si>
    <t>3848-04000</t>
  </si>
  <si>
    <t>Staalkabel 6 mm 6x19 EV SFC-PP kern T1 L=4.000 mm L+R</t>
  </si>
  <si>
    <t>3848-06000</t>
  </si>
  <si>
    <t>Staalkabel 6 mm 6x19 EV SFC-PP kern T1 L=6.000 mm L+R</t>
  </si>
  <si>
    <t>3848-08000</t>
  </si>
  <si>
    <t>Staalkabel 6 mm 6x19 EV SFC-PP kern T1 L=8.000 mm L+R</t>
  </si>
  <si>
    <t>3848-10000</t>
  </si>
  <si>
    <t>Staalkabel 6 mm 6x19 EV SFC-PP kern T1 L=10.000 mm L+R</t>
  </si>
  <si>
    <t>3848-12000</t>
  </si>
  <si>
    <t>Staalkabel 6 mm 6x19 EV SFC-PP kern T1 L=12.000 mm L+R</t>
  </si>
  <si>
    <t>3848-14000</t>
  </si>
  <si>
    <t>Staalkabel 6 mm 6x19 EV SFC-PP kern T1 L=14.000 mm L+R</t>
  </si>
  <si>
    <t>3848-18000</t>
  </si>
  <si>
    <t>Staalkabel 6 mm 6x19 EV SFC-PP kern T1 L=18.000 mm L+R</t>
  </si>
  <si>
    <t>3850</t>
  </si>
  <si>
    <t>Handgreep-voettrapper 250x118 mm zwart</t>
  </si>
  <si>
    <t>3851</t>
  </si>
  <si>
    <t>Voettrapper 200x200 mm inbouw 40 mm zwart</t>
  </si>
  <si>
    <t>3852</t>
  </si>
  <si>
    <t>Handgreep 180 x 49 mm zwart</t>
  </si>
  <si>
    <t>3853</t>
  </si>
  <si>
    <t>Handgreep kunststof ovaal</t>
  </si>
  <si>
    <t>3854</t>
  </si>
  <si>
    <t>Handgreep rond zwart</t>
  </si>
  <si>
    <t>3865</t>
  </si>
  <si>
    <t>Spie Dik recht 6.35x9.5x38 mm kort verzinkt t.b.v. Buisas</t>
  </si>
  <si>
    <t>3866</t>
  </si>
  <si>
    <t>Spie Dik recht 6.35x9.5x75 mm lang verzinkt t.b.v. Buisas</t>
  </si>
  <si>
    <t>3867</t>
  </si>
  <si>
    <t>Spie Dik gebogen 6.35x9.5x75 mm lang verzinkt t.b.v. Buisas</t>
  </si>
  <si>
    <t>3869</t>
  </si>
  <si>
    <t>Verlengstang voor cilinderslot met snapsluiting L=2.450 mm</t>
  </si>
  <si>
    <t>3879</t>
  </si>
  <si>
    <t>Hoeksteun kabelschijf 140mm/SV/4mm</t>
  </si>
  <si>
    <t>3884</t>
  </si>
  <si>
    <t>Bodemvergrendeling 221x109x4 mm EV alleen i.c.m. 3172-3173</t>
  </si>
  <si>
    <t>3891</t>
  </si>
  <si>
    <t>Paneel koppelplaatje ST9V 70x60x2mm EV</t>
  </si>
  <si>
    <t>3892-01900</t>
  </si>
  <si>
    <t>Veervulling 95 mm GLAD PVC zwart L=1.900 mm</t>
  </si>
  <si>
    <t>3892-04000</t>
  </si>
  <si>
    <t>Veervulling 95 mm GLAD PVC zwart L=4.000 mm</t>
  </si>
  <si>
    <t>3893</t>
  </si>
  <si>
    <t>Veervulling Eindstop 95 mm PP zwart</t>
  </si>
  <si>
    <t>3894</t>
  </si>
  <si>
    <t>Spie gebogen 6.35x4.75x95mm lang t.b.v. massieve as + PL20</t>
  </si>
  <si>
    <t>3897</t>
  </si>
  <si>
    <t>Spie Dik gebogen 6.35x7.95x95 mm lang t.b.v. Buisas + PL20</t>
  </si>
  <si>
    <t>3900</t>
  </si>
  <si>
    <t>Cilinderslot Snapsluiting, Paneel 37-43 mm, Zwart</t>
  </si>
  <si>
    <t>3917</t>
  </si>
  <si>
    <t>Bocht LPS 200 / LPS 250 nylon</t>
  </si>
  <si>
    <t>3918</t>
  </si>
  <si>
    <t>Bocht LPS 200 / LPS 250 Houder A nylon</t>
  </si>
  <si>
    <t>3919</t>
  </si>
  <si>
    <t>Bocht LPS 200 / LPS 250 Houder B nylon</t>
  </si>
  <si>
    <t>3922-01900</t>
  </si>
  <si>
    <t>Veervulling 152mm GLAD L=1.900mm</t>
  </si>
  <si>
    <t>3922-03650</t>
  </si>
  <si>
    <t>Veervulling 152mm GLAD L=3.650mm</t>
  </si>
  <si>
    <t>3923</t>
  </si>
  <si>
    <t>Veervulling Eindstop 1"-1¼" 152mm GLAD</t>
  </si>
  <si>
    <t>3926</t>
  </si>
  <si>
    <t>Vulplaat railsysteem universeel 183x48x2 mm SV</t>
  </si>
  <si>
    <t>3927</t>
  </si>
  <si>
    <t>Railplaat 90x60x2 mm wigmaat 57-90 mm SV</t>
  </si>
  <si>
    <t>3929</t>
  </si>
  <si>
    <t>ALU Railverbinder HS-VS universeel</t>
  </si>
  <si>
    <t>3934</t>
  </si>
  <si>
    <t>Montagebeugel basisplaat 3933 SV</t>
  </si>
  <si>
    <t>3935</t>
  </si>
  <si>
    <t>Bochtversteviging basisplaat 170x100x18x2 mm SV DLV&gt;10°</t>
  </si>
  <si>
    <t>3936</t>
  </si>
  <si>
    <t>Bochtversteviging glijplaat 100x90x2 mm SV DLV&gt;10°</t>
  </si>
  <si>
    <t>3937</t>
  </si>
  <si>
    <t>Bochtversteviging steunbeugel 50x40x2 mm SV DLV&gt;10°</t>
  </si>
  <si>
    <t>3940-01700</t>
  </si>
  <si>
    <t>Bocht Staal verzinkt TR18 Vlak Ø392 L=1.400 mm</t>
  </si>
  <si>
    <t>3940-03000</t>
  </si>
  <si>
    <t>Bocht Staal verzinkt TR18 Vlak Ø392 L=2.700 mm</t>
  </si>
  <si>
    <t>3940-03500</t>
  </si>
  <si>
    <t>Bocht Staal verzinkt TR18 Vlak Ø392 L=3.200 mm</t>
  </si>
  <si>
    <t>3940-03750</t>
  </si>
  <si>
    <t>Bocht Staal verzinkt TR18 Vlak Ø392 L=3.450 mm</t>
  </si>
  <si>
    <t>3940-04000</t>
  </si>
  <si>
    <t>Bocht Staal verzinkt TR18 Vlak Ø392 L=3.700 mm</t>
  </si>
  <si>
    <t>3940-05000</t>
  </si>
  <si>
    <t>Bocht Staal verzinkt TR18 Vlak Ø392 L=4.700 mm</t>
  </si>
  <si>
    <t>3941-03000</t>
  </si>
  <si>
    <t>Bocht Staal verzinkt TR18 Ø392 86,5° L=2.700 mm</t>
  </si>
  <si>
    <t>3942-03000</t>
  </si>
  <si>
    <t>Bocht Staal verzinkt TR18 zonder tromp Ø392 93° L=2.700 mm</t>
  </si>
  <si>
    <t>3949</t>
  </si>
  <si>
    <t>Bocht Staal verzinkt TR14 Vlak L=550mm Ø370</t>
  </si>
  <si>
    <t>3952</t>
  </si>
  <si>
    <t>Fixeerplaat afhangprofiel of DLV 60x50x3 mm SV</t>
  </si>
  <si>
    <t>3953</t>
  </si>
  <si>
    <t>Koppelplaat CP18 DLV systeem</t>
  </si>
  <si>
    <t>3961</t>
  </si>
  <si>
    <t>Railkoppelplaat 100x85x2 SV</t>
  </si>
  <si>
    <t>3963</t>
  </si>
  <si>
    <t>Railplaat bocht verticaal 106x50x2 SV</t>
  </si>
  <si>
    <t>3964</t>
  </si>
  <si>
    <t>Railplaat 2" SV 60x103x2mm</t>
  </si>
  <si>
    <t>3965</t>
  </si>
  <si>
    <t>Railplaat bocht verticaal 100x50x2 SV</t>
  </si>
  <si>
    <t>3969</t>
  </si>
  <si>
    <t>Railkoppelplaat dubbele rail 86x50x2 SV</t>
  </si>
  <si>
    <t>3970</t>
  </si>
  <si>
    <t>Railverbindingsplaat 2" SV 50x90x3mm</t>
  </si>
  <si>
    <t>3971</t>
  </si>
  <si>
    <t>Hoekbeugel SV 57 x 40 x38 x 2,5 mm</t>
  </si>
  <si>
    <t>3972</t>
  </si>
  <si>
    <t>Railverbindingsplaat 2" SV 100x110x3mm VA-CP</t>
  </si>
  <si>
    <t>3973</t>
  </si>
  <si>
    <t>Railplaat VS-HS SV 90x148x2mm</t>
  </si>
  <si>
    <t>3975</t>
  </si>
  <si>
    <t>Railplaat VS-HS SV 90x188x2mm</t>
  </si>
  <si>
    <t>3976</t>
  </si>
  <si>
    <t>HL Verbindingsplaat 2" SV Hor &amp; Vert</t>
  </si>
  <si>
    <t>3977</t>
  </si>
  <si>
    <t>Vulplaat TR-CP 50x36x1,5mm SV</t>
  </si>
  <si>
    <t>3978</t>
  </si>
  <si>
    <t>Hoekbeugel SV 60 x 60 x 50 x 2 mm</t>
  </si>
  <si>
    <t>3979</t>
  </si>
  <si>
    <t>Railplaat Schuifgrendel 100x35x2 SV</t>
  </si>
  <si>
    <t>3980</t>
  </si>
  <si>
    <t>Railkoppelplaat SV 160 x 105 x 2 mm</t>
  </si>
  <si>
    <t>3982</t>
  </si>
  <si>
    <t>Railkoppelplaat SV 160 x 155 x 2 mm</t>
  </si>
  <si>
    <t>3986</t>
  </si>
  <si>
    <t>Railplaat SV 60 x 128 x 2 mm</t>
  </si>
  <si>
    <t>3988</t>
  </si>
  <si>
    <t>Railplaat SV 60 x 153 x 2 mm</t>
  </si>
  <si>
    <t>3989</t>
  </si>
  <si>
    <t>Hoekbeugel 88x54x70x3 mm / VA versterkt / SV</t>
  </si>
  <si>
    <t>3998</t>
  </si>
  <si>
    <t>Bocht Aluminium TR14 RESIDENTIEEL Links</t>
  </si>
  <si>
    <t>3999</t>
  </si>
  <si>
    <t>Bocht Aluminium TR14 RESIDENTIEEL Rechts</t>
  </si>
  <si>
    <t>4000=DE</t>
  </si>
  <si>
    <t>CND2 Feedback QR Sticker DU</t>
  </si>
  <si>
    <t>4000=EN</t>
  </si>
  <si>
    <t>CND2 Feedback QR Sticker EN</t>
  </si>
  <si>
    <t>4000=FR</t>
  </si>
  <si>
    <t>CND2 Feedback QR Sticker FR</t>
  </si>
  <si>
    <t>4000=NL</t>
  </si>
  <si>
    <t>CND2 Feedback QR Sticker NL</t>
  </si>
  <si>
    <t>4008-03250</t>
  </si>
  <si>
    <t>Gespiede buisas 1" 3mm verzinkt L=3.250 mm</t>
  </si>
  <si>
    <t>4008-03500</t>
  </si>
  <si>
    <t>Gespiede buisas 1" 3mm verzinkt L=3.500 mm</t>
  </si>
  <si>
    <t>4008-04000</t>
  </si>
  <si>
    <t>Gespiede buisas 1" 3mm verzinkt L=4.000 mm</t>
  </si>
  <si>
    <t>4008-04250</t>
  </si>
  <si>
    <t>Gespiede buisas 1" 3mm verzinkt L=4.250 mm</t>
  </si>
  <si>
    <t>4008-05000</t>
  </si>
  <si>
    <t>Gespiede buisas 1" 3mm verzinkt L=5.000 mm</t>
  </si>
  <si>
    <t>4008-05850</t>
  </si>
  <si>
    <t>Gespiede buisas 1" 3mm verzinkt L=5.850 mm</t>
  </si>
  <si>
    <t>4009-02800</t>
  </si>
  <si>
    <t>Gespiede buisas 1" 2mm verzinkt L=2.800 mm</t>
  </si>
  <si>
    <t>4011-00300</t>
  </si>
  <si>
    <t>Massieve gespiede as 1" verzinkt L=300 mm</t>
  </si>
  <si>
    <t>4011-03500</t>
  </si>
  <si>
    <t>Massieve gespiede as 1" verzinkt L=3.500 mm</t>
  </si>
  <si>
    <t>4011-04000</t>
  </si>
  <si>
    <t>Massieve gespiede as 1" verzinkt L=4.000 mm</t>
  </si>
  <si>
    <t>4011-04500</t>
  </si>
  <si>
    <t>Massieve gespiede as 1" verzinkt L=4.500 mm</t>
  </si>
  <si>
    <t>4011-05000</t>
  </si>
  <si>
    <t>Massieve gespiede as 1" verzinkt L=5.000 mm</t>
  </si>
  <si>
    <t>4011-05500</t>
  </si>
  <si>
    <t>Massieve gespiede as 1" verzinkt L=5.500 mm</t>
  </si>
  <si>
    <t>4011-05850</t>
  </si>
  <si>
    <t>Massieve gespiede as 1" verzinkt L=5.850 mm</t>
  </si>
  <si>
    <t>4013-04500</t>
  </si>
  <si>
    <t>Massieve gespiede as 1.25" verzinkt L=4.500 mm</t>
  </si>
  <si>
    <t>4013-05850</t>
  </si>
  <si>
    <t>Massieve gespiede as 1.25" verzinkt L=5.850 mm</t>
  </si>
  <si>
    <t>4017</t>
  </si>
  <si>
    <t>Afdekkap buisas 4009 2mm</t>
  </si>
  <si>
    <t>4018</t>
  </si>
  <si>
    <t>Afdekkap buisas 4008 3mm</t>
  </si>
  <si>
    <t>4020-06000</t>
  </si>
  <si>
    <t>Zijafdichtingsrubber 9VB (FF) L=6.000 mm</t>
  </si>
  <si>
    <t>4022-02010</t>
  </si>
  <si>
    <t>Zijafdichtingsrubber duo flap Voor 4121 VA16-20 L=2.010 mm</t>
  </si>
  <si>
    <t>4022-02135</t>
  </si>
  <si>
    <t>Zijafdichtingsrubber duo flap Voor 4121 VA16-20 L=2.135 mm</t>
  </si>
  <si>
    <t>4022-02260</t>
  </si>
  <si>
    <t>Zijafdichtingsrubber duo flap Voor 4121 VA16-20 L=2.260 mm</t>
  </si>
  <si>
    <t>4022-02385</t>
  </si>
  <si>
    <t>Zijafdichtingsrubber duo flap Voor 4121 VA16-20 L=2.385 mm</t>
  </si>
  <si>
    <t>4022-02510</t>
  </si>
  <si>
    <t>Zijafdichtingsrubber duo flap Voor 4121 VA16-20 L=2.510 mm</t>
  </si>
  <si>
    <t>4022-02760</t>
  </si>
  <si>
    <t>Zijafdichtingsrubber duo flap Voor 4121 VA16-20 L=2.760 mm</t>
  </si>
  <si>
    <t>4022-03010</t>
  </si>
  <si>
    <t>Zijafdichtingsrubber duo flap Voor 4121 VA16-20 L=3.010 mm</t>
  </si>
  <si>
    <t>4022-03150</t>
  </si>
  <si>
    <t>Zijafdichtingsrubber duo flap Voor 4121 VA16-20 L=3.150 mm</t>
  </si>
  <si>
    <t>4022-03660</t>
  </si>
  <si>
    <t>Zijafdichtingsrubber duo flap Voor 4121 VA16-20 L=3.660 mm</t>
  </si>
  <si>
    <t>4022-04060-100</t>
  </si>
  <si>
    <t>Zijafdichtingsrubber duo flap tbv 4121L=4.060mm 100 STUKS</t>
  </si>
  <si>
    <t>4022-04260</t>
  </si>
  <si>
    <t>Zijafdichtingsrubber duo flap Voor 4121 VA16-20 L=4.260 mm</t>
  </si>
  <si>
    <t>4022-05060</t>
  </si>
  <si>
    <t>Zijafdichtingsrubber duo flap Voor 4121 VA16-20 L=5.060 mm</t>
  </si>
  <si>
    <t>4022-06000</t>
  </si>
  <si>
    <t>Zijafdichtingsrubber duo flap Voor 4121 VA16-20 L=6.000 mm</t>
  </si>
  <si>
    <t>4022-06560-100</t>
  </si>
  <si>
    <t>Zijafdichtingsrubber duo flap tbv 4121L=6.560mm 100 STUKS</t>
  </si>
  <si>
    <t>4025-06000</t>
  </si>
  <si>
    <t>Zijafdichtingsrubber 9VB verhoogd (FF) L=6.000 mm</t>
  </si>
  <si>
    <t>4037</t>
  </si>
  <si>
    <t>Geperforeerde hoeklijn 40x40x2.5mm L=3042 mm verzinkt</t>
  </si>
  <si>
    <t>4058-07000</t>
  </si>
  <si>
    <t>Verstevigingsprofiel verzinkt RAL9016FS 30% 75 mm L=7.000 mm</t>
  </si>
  <si>
    <t>4059-07000</t>
  </si>
  <si>
    <t>Verstevigingsprofiel verzinkt RAL9002 75 mm L=7.000 mm</t>
  </si>
  <si>
    <t>4060-04000</t>
  </si>
  <si>
    <t>Verstevigingsprofiel verzinkt 75 mm L=4.000 mm</t>
  </si>
  <si>
    <t>4060-05000</t>
  </si>
  <si>
    <t>Verstevigingsprofiel verzinkt 75 mm L=5.000 mm</t>
  </si>
  <si>
    <t>4060-06000</t>
  </si>
  <si>
    <t>Verstevigingsprofiel verzinkt 75 mm L=6.000 mm</t>
  </si>
  <si>
    <t>4060-07000</t>
  </si>
  <si>
    <t>Verstevigingsprofiel verzinkt 75 mm L=7.000 mm</t>
  </si>
  <si>
    <t>4060-08000</t>
  </si>
  <si>
    <t>Verstevigingsprofiel verzinkt 75 mm L=8.000 mm</t>
  </si>
  <si>
    <t>4061</t>
  </si>
  <si>
    <t>Kunststof afdekkap zwart verstevigingsprofiel 75mm (4060)/PP</t>
  </si>
  <si>
    <t>4062</t>
  </si>
  <si>
    <t>Verstevigingsprofiel75 mm verstevigingsbok loopdeur verzinkt</t>
  </si>
  <si>
    <t>4065-08500</t>
  </si>
  <si>
    <t>Verstevigingsprofiel verzinkt 100 mm L=8.500 mm</t>
  </si>
  <si>
    <t>4065-09500</t>
  </si>
  <si>
    <t>Verstevigingsprofiel verzinkt 100 mm L=9.500 mm</t>
  </si>
  <si>
    <t>4065-10500</t>
  </si>
  <si>
    <t>Verstevigingsprofiel verzinkt 100 mm L=10.500 mm</t>
  </si>
  <si>
    <t>4066</t>
  </si>
  <si>
    <t>Kunststof afdekkap zwart voor strut 100 mm (4065) / PP</t>
  </si>
  <si>
    <t>4067</t>
  </si>
  <si>
    <t>Kunststof afdekkap zwart voor strut 150 mm (4075) / PP</t>
  </si>
  <si>
    <t>4085-03000</t>
  </si>
  <si>
    <t>Stalen klemprofiel RAL 9002 L=3.000 mm</t>
  </si>
  <si>
    <t>4101-06500</t>
  </si>
  <si>
    <t>Looprail FF 2" 2V6500 / verzinkt L=6.500 mm</t>
  </si>
  <si>
    <t>4102-06500</t>
  </si>
  <si>
    <t>Vert.hoeklijn FF 9VB6500 90x62x2 L=6.500 mm</t>
  </si>
  <si>
    <t>4120-03100</t>
  </si>
  <si>
    <t>Vert.hoeklijn VA20 SV L=3.100 mm</t>
  </si>
  <si>
    <t>4120-03600</t>
  </si>
  <si>
    <t>Vert.hoeklijn VA20 SV L=3.600 mm</t>
  </si>
  <si>
    <t>4120-04100</t>
  </si>
  <si>
    <t>Vert.hoeklijn VA20 SV L=4.100 mm</t>
  </si>
  <si>
    <t>4120-04600</t>
  </si>
  <si>
    <t>Vert.hoeklijn VA20 SV L=4.600 mm</t>
  </si>
  <si>
    <t>4120-05100</t>
  </si>
  <si>
    <t>Vert.hoeklijn VA20 SV L=5.100 mm</t>
  </si>
  <si>
    <t>4120-05600</t>
  </si>
  <si>
    <t>Vert.hoeklijn VA20 SV L=5.600 mm</t>
  </si>
  <si>
    <t>4120-06100</t>
  </si>
  <si>
    <t>Vert.hoeklijn VA20 SV L=6.100 mm</t>
  </si>
  <si>
    <t>4120-06600</t>
  </si>
  <si>
    <t>Vert.hoeklijn VA20 SV L=6.600 mm</t>
  </si>
  <si>
    <t>4120-07100</t>
  </si>
  <si>
    <t>Vert.hoeklijn VA20 SV L=7.100 mm</t>
  </si>
  <si>
    <t>4121-02380</t>
  </si>
  <si>
    <t>Vert.hoeklijn VA20 (incl. gatenpatroon) SV L=2.380 mm</t>
  </si>
  <si>
    <t>4121-02880</t>
  </si>
  <si>
    <t>Vert.hoeklijn VA20 (incl. gatenpatroon) SV L=2.880 mm</t>
  </si>
  <si>
    <t>4121-03380</t>
  </si>
  <si>
    <t>Vert.hoeklijn VA20 (incl. gatenpatroon) SV L=3.380 mm</t>
  </si>
  <si>
    <t>4121-03880</t>
  </si>
  <si>
    <t>Vert.hoeklijn VA20 (incl. gatenpatroon) SV L=3.880 mm</t>
  </si>
  <si>
    <t>4121-04380</t>
  </si>
  <si>
    <t>Vert.hoeklijn VA20 (incl. gatenpatroon) SV L=4.380 mm</t>
  </si>
  <si>
    <t>4121-04880</t>
  </si>
  <si>
    <t>Vert.hoeklijn VA20 (incl. gatenpatroon) SV L=4.880 mm</t>
  </si>
  <si>
    <t>4121-05380</t>
  </si>
  <si>
    <t>Vert.hoeklijn VA20 (incl. gatenpatroon) SV L=5.380 mm</t>
  </si>
  <si>
    <t>4121-05880</t>
  </si>
  <si>
    <t>Vert.hoeklijn VA20 (incl. gatenpatroon) SV L=5.880 mm</t>
  </si>
  <si>
    <t>4121-06380</t>
  </si>
  <si>
    <t>Vert.hoeklijn VA20 (incl. gatenpatroon) SV L=6.380 mm</t>
  </si>
  <si>
    <t>4121-06880</t>
  </si>
  <si>
    <t>Vert.hoeklijn VA20 (incl. gatenpatroon) SV L=6.880 mm</t>
  </si>
  <si>
    <t>4121-07380</t>
  </si>
  <si>
    <t>Vert.hoeklijn VA20 (incl. gatenpatroon) SV L=7.380 mm</t>
  </si>
  <si>
    <t>4121-07880</t>
  </si>
  <si>
    <t>Vert.hoeklijn VA20 (incl. gatenpatroon) SV L=7.880 mm</t>
  </si>
  <si>
    <t>4121-08380</t>
  </si>
  <si>
    <t>Vert.hoeklijn VA20 (incl. gatenpatroon) SV L=8.380 mm</t>
  </si>
  <si>
    <t>4121-08880</t>
  </si>
  <si>
    <t>Vert.hoeklijn VA20 (incl. gatenpatroon) SV L=8.880 mm</t>
  </si>
  <si>
    <t>4122-02380</t>
  </si>
  <si>
    <t>Vert.hoeklijn VA16 (incl. gatenpatroon) SV L=2.380 mm</t>
  </si>
  <si>
    <t>4122-02880</t>
  </si>
  <si>
    <t>Vert.hoeklijn VA16 (incl. gatenpatroon) SV L=2.880 mm</t>
  </si>
  <si>
    <t>4122-03380</t>
  </si>
  <si>
    <t>Vert.hoeklijn VA16 (incl. gatenpatroon) SV L=3.380 mm</t>
  </si>
  <si>
    <t>4122-03880</t>
  </si>
  <si>
    <t>Vert.hoeklijn VA16 (incl. gatenpatroon) SV L=3.880 mm</t>
  </si>
  <si>
    <t>4122-04380</t>
  </si>
  <si>
    <t>Vert.hoeklijn VA16 (incl. gatenpatroon) SV L=4.380 mm</t>
  </si>
  <si>
    <t>4122-04880</t>
  </si>
  <si>
    <t>Vert.hoeklijn VA16 (incl. gatenpatroon) SV L=4.880 mm</t>
  </si>
  <si>
    <t>4122-05380</t>
  </si>
  <si>
    <t>Vert.hoeklijn VA16 (incl. gatenpatroon) SV L=5.380 mm</t>
  </si>
  <si>
    <t>4122-05880</t>
  </si>
  <si>
    <t>Vert.hoeklijn VA16 (incl. gatenpatroon) SV L=5.880 mm</t>
  </si>
  <si>
    <t>4122-06380</t>
  </si>
  <si>
    <t>Vert.hoeklijn VA16 (incl. gatenpatroon) SV L=6.380 mm</t>
  </si>
  <si>
    <t>4122-06880</t>
  </si>
  <si>
    <t>Vert.hoeklijn VA16 (incl. gatenpatroon) SV L=6.880 mm</t>
  </si>
  <si>
    <t>4122-07380</t>
  </si>
  <si>
    <t>Vert.hoeklijn VA16 (incl. gatenpatroon) SV L=7.380 mm</t>
  </si>
  <si>
    <t>4122-07880</t>
  </si>
  <si>
    <t>Vert.hoeklijn VA16 (incl. gatenpatroon) SV L=7.880 mm</t>
  </si>
  <si>
    <t>4122-08380</t>
  </si>
  <si>
    <t>Vert.hoeklijn VA16 (incl. gatenpatroon) SV L=8.380 mm</t>
  </si>
  <si>
    <t>4122-08880</t>
  </si>
  <si>
    <t>Vert.hoeklijn VA16 (incl. gatenpatroon) SV L=8.880 mm</t>
  </si>
  <si>
    <t>4130-03145</t>
  </si>
  <si>
    <t>C-Profiel CP18 SV L=3.145 mm</t>
  </si>
  <si>
    <t>4130-03350</t>
  </si>
  <si>
    <t>C-Profiel CP18 SV L=3.350 mm</t>
  </si>
  <si>
    <t>4130-03700</t>
  </si>
  <si>
    <t>C-Profiel CP18 SV L=3.700 mm</t>
  </si>
  <si>
    <t>4130-04050</t>
  </si>
  <si>
    <t>C-Profiel CP18 SV L=4.050 mm</t>
  </si>
  <si>
    <t>4130-04400</t>
  </si>
  <si>
    <t>C-Profiel CP18 SV L=4.400 mm</t>
  </si>
  <si>
    <t>4130-04750</t>
  </si>
  <si>
    <t>C-Profiel CP18 SV L=4.750 mm</t>
  </si>
  <si>
    <t>4130-05450</t>
  </si>
  <si>
    <t>C-Profiel CP18 SV L=5.450 mm</t>
  </si>
  <si>
    <t>4130-05800</t>
  </si>
  <si>
    <t>C-Profiel CP18 SV L=5.800 mm</t>
  </si>
  <si>
    <t>4130-06145</t>
  </si>
  <si>
    <t>C-Profiel CP18 SV L=6.145 mm</t>
  </si>
  <si>
    <t>4130-06500</t>
  </si>
  <si>
    <t>C-Profiel CP18 SV L=6.500 mm</t>
  </si>
  <si>
    <t>4130-06850</t>
  </si>
  <si>
    <t>C-Profiel CP18 SV L=6.850 mm</t>
  </si>
  <si>
    <t>4130-07200</t>
  </si>
  <si>
    <t>C-Profiel CP18 SV L=7.200 mm</t>
  </si>
  <si>
    <t>4131-02210</t>
  </si>
  <si>
    <t>C-Profiel CP18 (incl. gatenpatroon) SV L=2.210 mm</t>
  </si>
  <si>
    <t>4131-02710</t>
  </si>
  <si>
    <t>C-Profiel CP18 (incl. gatenpatroon) SV L=2.710 mm</t>
  </si>
  <si>
    <t>4131-03200</t>
  </si>
  <si>
    <t>C-Profiel CP18 (incl. gatenpatroon) SV L=3.200 mm</t>
  </si>
  <si>
    <t>4131-03700</t>
  </si>
  <si>
    <t>C-Profiel CP18 (incl. gatenpatroon) SV L=3.700 mm</t>
  </si>
  <si>
    <t>4131-04200</t>
  </si>
  <si>
    <t>C-Profiel CP18 (incl. gatenpatroon) SV L=4.200 mm</t>
  </si>
  <si>
    <t>4131-04700</t>
  </si>
  <si>
    <t>C-Profiel CP18 (incl. gatenpatroon) SV L=4.700 mm</t>
  </si>
  <si>
    <t>4131-05200</t>
  </si>
  <si>
    <t>C-Profiel CP18 (incl. gatenpatroon) SV L=5.200 mm</t>
  </si>
  <si>
    <t>4131-05700</t>
  </si>
  <si>
    <t>C-Profiel CP18 (incl. gatenpatroon) SV L=5.700 mm</t>
  </si>
  <si>
    <t>4131-06200</t>
  </si>
  <si>
    <t>C-Profiel CP18 (incl. gatenpatroon) SV L=6.200 mm</t>
  </si>
  <si>
    <t>4131-06700</t>
  </si>
  <si>
    <t>C-Profiel CP18 (incl. gatenpatroon) SV L=6.700 mm</t>
  </si>
  <si>
    <t>4131-07200</t>
  </si>
  <si>
    <t>C-Profiel CP18 (incl. gatenpatroon) SV L=7.200 mm</t>
  </si>
  <si>
    <t>4131-07700</t>
  </si>
  <si>
    <t>C-Profiel CP18 (incl. gatenpatroon) SV L=7.700 mm</t>
  </si>
  <si>
    <t>4131-08200</t>
  </si>
  <si>
    <t>C-Profiel CP18 (incl. gatenpatroon) SV L=8.200 mm</t>
  </si>
  <si>
    <t>4131-08700</t>
  </si>
  <si>
    <t>C-Profiel CP18 (incl. gatenpatroon) SV L=8.700 mm</t>
  </si>
  <si>
    <t>4131-09200</t>
  </si>
  <si>
    <t>C-Profiel CP18 (incl. gatenpatroon) SV L=9.200 mm</t>
  </si>
  <si>
    <t>4132-02210</t>
  </si>
  <si>
    <t>C-Profiel CP14 (incl. gatenpatroon) SV L=2.210 mm</t>
  </si>
  <si>
    <t>4132-02710</t>
  </si>
  <si>
    <t>C-Profiel CP14 (incl. gatenpatroon) SV L=2.710 mm</t>
  </si>
  <si>
    <t>4132-03200</t>
  </si>
  <si>
    <t>C-Profiel CP14 (incl. gatenpatroon) SV L=3.200 mm</t>
  </si>
  <si>
    <t>4132-03700</t>
  </si>
  <si>
    <t>C-Profiel CP14 (incl. gatenpatroon) SV L=3.700 mm</t>
  </si>
  <si>
    <t>4132-04200</t>
  </si>
  <si>
    <t>C-Profiel CP14 (incl. gatenpatroon) SV L=4.200 mm</t>
  </si>
  <si>
    <t>4132-04700</t>
  </si>
  <si>
    <t>C-Profiel CP14 (incl. gatenpatroon) SV L=4.700 mm</t>
  </si>
  <si>
    <t>4132-05200</t>
  </si>
  <si>
    <t>C-Profiel CP14 (incl. gatenpatroon) SV L=5.200 mm</t>
  </si>
  <si>
    <t>4132-05700</t>
  </si>
  <si>
    <t>C-Profiel CP14 (incl. gatenpatroon) SV L=5.700 mm</t>
  </si>
  <si>
    <t>4132-06200</t>
  </si>
  <si>
    <t>C-Profiel CP14 (incl. gatenpatroon) SV L=6.200 mm</t>
  </si>
  <si>
    <t>4132-06700</t>
  </si>
  <si>
    <t>C-Profiel CP14 (incl. gatenpatroon) SV L=6.700 mm</t>
  </si>
  <si>
    <t>4132-07200</t>
  </si>
  <si>
    <t>C-Profiel CP14 (incl. gatenpatroon) SV L=7.200 mm</t>
  </si>
  <si>
    <t>4132-07700</t>
  </si>
  <si>
    <t>C-Profiel CP14 (incl. gatenpatroon) SV L=7.700 mm</t>
  </si>
  <si>
    <t>4132-08200</t>
  </si>
  <si>
    <t>C-Profiel CP14 (incl. gatenpatroon) SV L=8.200 mm</t>
  </si>
  <si>
    <t>4132-08700</t>
  </si>
  <si>
    <t>C-Profiel CP14 (incl. gatenpatroon) SV L=8.700 mm</t>
  </si>
  <si>
    <t>4132-09200</t>
  </si>
  <si>
    <t>C-Profiel CP14 (incl. gatenpatroon) SV L=9.200 mm</t>
  </si>
  <si>
    <t>4133-04250</t>
  </si>
  <si>
    <t>C-Profiel CP18 (incl. 47 sleufgaten) SV L=4.250 mm</t>
  </si>
  <si>
    <t>4133-05240</t>
  </si>
  <si>
    <t>C-Profiel CP18 (incl. 58 sleufgaten) SV L=5.240 mm</t>
  </si>
  <si>
    <t>4133-06680</t>
  </si>
  <si>
    <t>C-Profiel CP18 (incl. 74 sleufgaten) SV L=6.680 mm</t>
  </si>
  <si>
    <t>4135-02645</t>
  </si>
  <si>
    <t>C-Profiel CP14 SV L=2.645 mm</t>
  </si>
  <si>
    <t>4135-03145</t>
  </si>
  <si>
    <t>C-Profiel CP14 SV L=3.145 mm</t>
  </si>
  <si>
    <t>4135-03350</t>
  </si>
  <si>
    <t>C-Profiel CP14 SV L=3.350 mm</t>
  </si>
  <si>
    <t>4140-03000</t>
  </si>
  <si>
    <t>Looprail TR18 SV L=3.000 mm</t>
  </si>
  <si>
    <t>4140-03350</t>
  </si>
  <si>
    <t>Looprail TR18 SV L=3.350 mm</t>
  </si>
  <si>
    <t>4140-03700</t>
  </si>
  <si>
    <t>Looprail TR18 SV L=3.700 mm</t>
  </si>
  <si>
    <t>4140-04050</t>
  </si>
  <si>
    <t>Looprail TR18 SV L=4.050 mm</t>
  </si>
  <si>
    <t>4140-04400</t>
  </si>
  <si>
    <t>Looprail TR18 SV L=4.400 mm</t>
  </si>
  <si>
    <t>4140-04750</t>
  </si>
  <si>
    <t>Looprail TR18 SV L=4.750 mm</t>
  </si>
  <si>
    <t>4140-05100</t>
  </si>
  <si>
    <t>Looprail TR18 SV L=5.100 mm</t>
  </si>
  <si>
    <t>4140-05450</t>
  </si>
  <si>
    <t>Looprail TR18 SV L=5.450 mm</t>
  </si>
  <si>
    <t>4140-05800</t>
  </si>
  <si>
    <t>Looprail TR18 SV L=5.800 mm</t>
  </si>
  <si>
    <t>4140-06150</t>
  </si>
  <si>
    <t>Looprail TR18 SV L=6.150 mm</t>
  </si>
  <si>
    <t>4140-06500</t>
  </si>
  <si>
    <t>Looprail TR18 SV L=6.500 mm</t>
  </si>
  <si>
    <t>4140-06850</t>
  </si>
  <si>
    <t>Looprail TR18 SV L=6.850 mm</t>
  </si>
  <si>
    <t>4140-07200</t>
  </si>
  <si>
    <t>Looprail TR18 SV L=7.200 mm</t>
  </si>
  <si>
    <t>4141-05100</t>
  </si>
  <si>
    <t>Looprail TR18 SV tromp aansluiting L+R L=5.100 mm</t>
  </si>
  <si>
    <t>4143-01490</t>
  </si>
  <si>
    <t>Looprail TR18 (incl. gatenpatroon) SV L=1.490 mm</t>
  </si>
  <si>
    <t>4143-01990</t>
  </si>
  <si>
    <t>Looprail TR18 (incl. gatenpatroon) SV L=1.990 mm</t>
  </si>
  <si>
    <t>4143-02490</t>
  </si>
  <si>
    <t>Looprail TR18 (incl. gatenpatroon) SV L=2.490 mm</t>
  </si>
  <si>
    <t>4143-02990</t>
  </si>
  <si>
    <t>Looprail TR18 (incl. gatenpatroon) SV L=2.990 mm</t>
  </si>
  <si>
    <t>4143-03490</t>
  </si>
  <si>
    <t>Looprail TR18 (incl. gatenpatroon) SV L=3.490 mm</t>
  </si>
  <si>
    <t>4143-03990</t>
  </si>
  <si>
    <t>Looprail TR18 (incl. gatenpatroon) SV L=3.990 mm</t>
  </si>
  <si>
    <t>4143-04490</t>
  </si>
  <si>
    <t>Looprail TR18 (incl. gatenpatroon) SV L=4.490 mm</t>
  </si>
  <si>
    <t>4143-04990</t>
  </si>
  <si>
    <t>Looprail TR18 (incl. gatenpatroon) SV L=4.990 mm</t>
  </si>
  <si>
    <t>4143-05490</t>
  </si>
  <si>
    <t>Looprail TR18 (incl. gatenpatroon) SV L=5.490 mm</t>
  </si>
  <si>
    <t>4143-05990</t>
  </si>
  <si>
    <t>Looprail TR18 (incl. gatenpatroon) SV L=5.990 mm</t>
  </si>
  <si>
    <t>4143-06490</t>
  </si>
  <si>
    <t>Looprail TR18 (incl. gatenpatroon) SV L=6.490 mm</t>
  </si>
  <si>
    <t>4143-06990</t>
  </si>
  <si>
    <t>Looprail TR18 (incl. gatenpatroon) SV L=6.990 mm</t>
  </si>
  <si>
    <t>4143-07490</t>
  </si>
  <si>
    <t>Looprail TR18 (incl. gatenpatroon) SV L=7.490 mm</t>
  </si>
  <si>
    <t>4143-07990</t>
  </si>
  <si>
    <t>Looprail TR18 (incl. gatenpatroon) SV L=7.990 mm</t>
  </si>
  <si>
    <t>4143-08490</t>
  </si>
  <si>
    <t>Looprail TR18 (incl. gatenpatroon) SV L=8.490 mm</t>
  </si>
  <si>
    <t>4144-03000</t>
  </si>
  <si>
    <t>Looprail TR18 Incl. 2x tromp SV L=3.000 mm</t>
  </si>
  <si>
    <t>4145-01490</t>
  </si>
  <si>
    <t>Looprail TR14 (incl. gatenpatroon) SV L=1.490 mm</t>
  </si>
  <si>
    <t>4145-01990</t>
  </si>
  <si>
    <t>Looprail TR14 (incl. gatenpatroon) SV L=1.990 mm</t>
  </si>
  <si>
    <t>4145-02490</t>
  </si>
  <si>
    <t>Looprail TR14 (incl. gatenpatroon) SV L=2.490 mm</t>
  </si>
  <si>
    <t>4145-02990</t>
  </si>
  <si>
    <t>Looprail TR14 (incl. gatenpatroon) SV L=2.990 mm</t>
  </si>
  <si>
    <t>4145-03490</t>
  </si>
  <si>
    <t>Looprail TR14 (incl. gatenpatroon) SV L=3.490 mm</t>
  </si>
  <si>
    <t>4145-03990</t>
  </si>
  <si>
    <t>Looprail TR14 (incl. gatenpatroon) SV L=3.990 mm</t>
  </si>
  <si>
    <t>4145-04490</t>
  </si>
  <si>
    <t>Looprail TR14 (incl. gatenpatroon) SV L=4.490 mm</t>
  </si>
  <si>
    <t>4145-04990</t>
  </si>
  <si>
    <t>Looprail TR14 (incl. gatenpatroon) SV L=4.990 mm</t>
  </si>
  <si>
    <t>4145-05490</t>
  </si>
  <si>
    <t>Looprail TR14 (incl. gatenpatroon) SV L=5.490 mm</t>
  </si>
  <si>
    <t>4145-05990</t>
  </si>
  <si>
    <t>Looprail TR14 (incl. gatenpatroon) SV L=5.990 mm</t>
  </si>
  <si>
    <t>4145-06490</t>
  </si>
  <si>
    <t>Looprail TR14 (incl. gatenpatroon) SV L=6.490 mm</t>
  </si>
  <si>
    <t>4145-06990</t>
  </si>
  <si>
    <t>Looprail TR14 (incl. gatenpatroon) SV L=6.990 mm</t>
  </si>
  <si>
    <t>4145-07490</t>
  </si>
  <si>
    <t>Looprail TR14 (incl. gatenpatroon) SV L=7.490 mm</t>
  </si>
  <si>
    <t>4145-07990</t>
  </si>
  <si>
    <t>Looprail TR14 (incl. gatenpatroon) SV L=7.990 mm</t>
  </si>
  <si>
    <t>4145-08490</t>
  </si>
  <si>
    <t>Looprail TR14 (incl. gatenpatroon) SV L=8.490 mm</t>
  </si>
  <si>
    <t>4177-02585</t>
  </si>
  <si>
    <t>Looprail RES elec. Hor. Boven Rechts, L=2585 mm,DMH= 2000 mm</t>
  </si>
  <si>
    <t>4177-02710</t>
  </si>
  <si>
    <t>Looprail RES elec. Hor. Boven Rechts L=2.710 mm,DMH=2125 mm</t>
  </si>
  <si>
    <t>4177-02835</t>
  </si>
  <si>
    <t>Looprail RES elec. Hor. Boven Rechts L=2.835 mm,DMH=2250 mm</t>
  </si>
  <si>
    <t>4177-02960</t>
  </si>
  <si>
    <t>Looprail RES elec. Hor. Boven Rechts L=2.960 mm,DMH=2375 mm</t>
  </si>
  <si>
    <t>4177-03085</t>
  </si>
  <si>
    <t>Looprail RES elec. Hor. Boven Rechts L=3.085 mm,DMH=2500 mm</t>
  </si>
  <si>
    <t>4177-03210</t>
  </si>
  <si>
    <t>Looprail RES elec. Hor. Boven Rechts L=3.210 mm,DMH=2625 mm</t>
  </si>
  <si>
    <t>4177-03335</t>
  </si>
  <si>
    <t>Looprail RES elec. Hor. Boven Rechts L=3.335 mm,DMH=2750 mm</t>
  </si>
  <si>
    <t>4177-03585</t>
  </si>
  <si>
    <t>Looprail RES elec. Hor. Boven Rechts L=3.585 mm,DMH=3000 mm</t>
  </si>
  <si>
    <t>4177-03835</t>
  </si>
  <si>
    <t>Looprail RES elec. Hor. Boven Rechts L=3.835 mm,DMH=3250 mm</t>
  </si>
  <si>
    <t>4177-04085</t>
  </si>
  <si>
    <t>Looprail RES elec. Hor. Boven Rechts L=4.085 mm,DMH=3500 mm</t>
  </si>
  <si>
    <t>4178-02585</t>
  </si>
  <si>
    <t>Looprail RES elec. Hor. Boven Links L=2.585 mm, DMH=2000 mm</t>
  </si>
  <si>
    <t>4178-02710</t>
  </si>
  <si>
    <t>Looprail RES elec. Hor. Boven Links L=2.710 mm, DMH=2125 mm</t>
  </si>
  <si>
    <t>4178-02835</t>
  </si>
  <si>
    <t>Looprail RES elec. Hor. Boven Links L=2.835 mm, DMH=2250 mm</t>
  </si>
  <si>
    <t>4178-02960</t>
  </si>
  <si>
    <t>Looprail RES elec. Hor. Boven Links L=2.960 mm, DMH=2375 mm</t>
  </si>
  <si>
    <t>4178-03085</t>
  </si>
  <si>
    <t>Looprail RES elec. Hor. Boven Links L=3.085 mm, DMH=2500mm</t>
  </si>
  <si>
    <t>4178-03210</t>
  </si>
  <si>
    <t>Looprail RES elec. Hor. Boven Links L=3.210 mm, DMH=2625 mm</t>
  </si>
  <si>
    <t>4178-03335</t>
  </si>
  <si>
    <t>Looprail RES elec. Hor. Boven Links L=3.335 mm, DMH=2750 mm</t>
  </si>
  <si>
    <t>4178-03585</t>
  </si>
  <si>
    <t>Looprail RES elec. Hor. Boven Links L=3.585 mm, DMH=3000 mm</t>
  </si>
  <si>
    <t>4178-03835</t>
  </si>
  <si>
    <t>Looprail RES elec. Hor. Boven Links L=3.835 mm, DMH=3250 mm</t>
  </si>
  <si>
    <t>4178-04085</t>
  </si>
  <si>
    <t>Looprail RES elec. Hor. Boven Links L=4.085 mm, DMH=3500 mm</t>
  </si>
  <si>
    <t>4183-02001</t>
  </si>
  <si>
    <t>Looprail RES elec. Hor. Onder Links,L=1.998 mm, DMH=2000 mm</t>
  </si>
  <si>
    <t>4183-02126</t>
  </si>
  <si>
    <t>Looprail RES elec. Hor. Onder Links L=2.123 mm, DMH=2125 mm</t>
  </si>
  <si>
    <t>4183-02251</t>
  </si>
  <si>
    <t>Looprail RES elec. Hor. Onder Links L=2.248 mm, DMH=2250 mm</t>
  </si>
  <si>
    <t>4183-02376</t>
  </si>
  <si>
    <t>Looprail RES elec. Hor. Onder Links L=2.373 mm, DMH=2375 mm</t>
  </si>
  <si>
    <t>4183-02501</t>
  </si>
  <si>
    <t>Looprail RES elec. Hor. Onder Links L=2.498 mm, DMH=2500 mm</t>
  </si>
  <si>
    <t>4183-02626</t>
  </si>
  <si>
    <t>Looprail RES elec. Hor. Onder Links L=2.623 mm, DMH=2625 mm</t>
  </si>
  <si>
    <t>4183-02751</t>
  </si>
  <si>
    <t>Looprail RES elec. Hor. Onder Links L=2.748 mm, DMH=2750 mm</t>
  </si>
  <si>
    <t>4183-03001</t>
  </si>
  <si>
    <t>Looprail RES elec. Hor. Onder Links L=2.998 mm, DMH=3000 mm</t>
  </si>
  <si>
    <t>4183-03251</t>
  </si>
  <si>
    <t>Looprail RES elec. Hor. Onder Links L=3.248 mm, DMH=3250 mm</t>
  </si>
  <si>
    <t>4183-03501</t>
  </si>
  <si>
    <t>Looprail RES elec. Hor. Onder Links L=3.498 mm, DMH=3500 mm</t>
  </si>
  <si>
    <t>4184-02001</t>
  </si>
  <si>
    <t>Looprail RES elec. Hor. Onder Rechts L=1.998 mm, DMH=2000 mm</t>
  </si>
  <si>
    <t>4184-02126</t>
  </si>
  <si>
    <t>Looprail RES elec. Hor. Onder Rechts L=2.123 mm, DMH=2125 mm</t>
  </si>
  <si>
    <t>4184-02251</t>
  </si>
  <si>
    <t>Looprail RES elec. Hor. Onder Rechts L=2.248 mm, DMH=2250 mm</t>
  </si>
  <si>
    <t>4184-02376</t>
  </si>
  <si>
    <t>Looprail RES elec. Hor. Onder Rechts L=2.373 mm, DMH=2375 mm</t>
  </si>
  <si>
    <t>4184-02501</t>
  </si>
  <si>
    <t>Looprail RES elec. Hor. Onder Rechts L=2.498 mm, DMH=2500 mm</t>
  </si>
  <si>
    <t>4184-02626</t>
  </si>
  <si>
    <t>Looprail RES elec. Hor. Onder Rechts L=2.623 mm ,DMH=2625 mm</t>
  </si>
  <si>
    <t>4184-02751</t>
  </si>
  <si>
    <t>Looprail RES elec. Hor. Onder Rechts L=2.748 mm, DMH=2750mm</t>
  </si>
  <si>
    <t>4184-03001</t>
  </si>
  <si>
    <t>Looprail RES elec. Hor. Onder Rechts L=2.998 mm, DMH=3000 mm</t>
  </si>
  <si>
    <t>4184-03251</t>
  </si>
  <si>
    <t>Looprail RES elec. Hor. Onder Rechts L=3.248 mm ,DMH=3250 mm</t>
  </si>
  <si>
    <t>4184-03501</t>
  </si>
  <si>
    <t>Looprail RES elec. Hor. Onder Rechts L=3.498 mm ,DMH=3500 mm</t>
  </si>
  <si>
    <t>4206-02082</t>
  </si>
  <si>
    <t>Vert.Hoeklijn RES Rechts L=2.710 mm, DMH=2000 mm</t>
  </si>
  <si>
    <t>4206-02207</t>
  </si>
  <si>
    <t>Vert.Hoeklijn RES Rechts L=2.207 mm, DMH=2125 mm</t>
  </si>
  <si>
    <t>4206-02332</t>
  </si>
  <si>
    <t>Vert.Hoeklijn RES Rechts L=2.332 mm, DMH=2250 mm</t>
  </si>
  <si>
    <t>4206-02457</t>
  </si>
  <si>
    <t>Vert.Hoeklijn RES Rechts L=2.457 mm, DMH=2375 mm</t>
  </si>
  <si>
    <t>4206-02582</t>
  </si>
  <si>
    <t>Vert.Hoeklijn RES Rechts L=2.582 mm, DMH=2500 mm</t>
  </si>
  <si>
    <t>4206-02832</t>
  </si>
  <si>
    <t>Vert.Hoeklijn RES Rechts L=2.832 mm, DMH=2750 mm</t>
  </si>
  <si>
    <t>4206-03082</t>
  </si>
  <si>
    <t>Vert.Hoeklijn RES Rechts L=3.082 mm, DMH=3000 mm</t>
  </si>
  <si>
    <t>4207-02082</t>
  </si>
  <si>
    <t>Vert.Hoeklijn RES Links L=2.082 mm, DMH=2000 mm</t>
  </si>
  <si>
    <t>4207-02207</t>
  </si>
  <si>
    <t>Vert.Hoeklijn RES Links L=2.207 mm, DMH=2125 mm</t>
  </si>
  <si>
    <t>4207-02332</t>
  </si>
  <si>
    <t>Vert.Hoeklijn RES Links L=2.332 mm, DMH=2250 mm</t>
  </si>
  <si>
    <t>4207-02457</t>
  </si>
  <si>
    <t>Vert.Hoeklijn RES Links L=2.457 mm, DMH=2375 mm</t>
  </si>
  <si>
    <t>4207-02582</t>
  </si>
  <si>
    <t>Vert.Hoeklijn RES Links L=2.582 mm, DMH=2500 mm</t>
  </si>
  <si>
    <t>4207-02832</t>
  </si>
  <si>
    <t>Vert.Hoeklijn RES Links L=2.832 mm, DMH=2750 mm</t>
  </si>
  <si>
    <t>4207-03082</t>
  </si>
  <si>
    <t>Vert.Hoeklijn RES Links L=3.082 mm, DMH=3000 mm</t>
  </si>
  <si>
    <t>4208-01477</t>
  </si>
  <si>
    <t>Looprail RES Verticaal Rechts L=1.477 mm,DMH=2000 mm</t>
  </si>
  <si>
    <t>4208-01602</t>
  </si>
  <si>
    <t>Looprail RES Verticaal Rechts L=1.602 mm, DMH=2125 mm</t>
  </si>
  <si>
    <t>4208-01727</t>
  </si>
  <si>
    <t>Looprail RES Verticaal Rechts L=1.727 mm, DMH=2250 mm</t>
  </si>
  <si>
    <t>4208-01852</t>
  </si>
  <si>
    <t>Looprail RES Verticaal Rechts L=1.852 mm, DMH=2375 mm</t>
  </si>
  <si>
    <t>4208-01977</t>
  </si>
  <si>
    <t>Looprail RES Verticaal Rechts L=1.977 mm, DMH=2500 mm</t>
  </si>
  <si>
    <t>4208-02227</t>
  </si>
  <si>
    <t>Looprail RES Verticaal Rechts L=2.227 mm, DMH=2750 mm</t>
  </si>
  <si>
    <t>4208-02477</t>
  </si>
  <si>
    <t>Looprail RES Verticaal Rechts L=2.477 mm, DMH=3000 mm</t>
  </si>
  <si>
    <t>4209-01477</t>
  </si>
  <si>
    <t>Looprail RES Verticaal Links L=1.477 mm, DMH=2000 mm</t>
  </si>
  <si>
    <t>4209-01602</t>
  </si>
  <si>
    <t>Looprail RES Verticaal Links L=1.602 mm, DMH=2125 mm</t>
  </si>
  <si>
    <t>4209-01727</t>
  </si>
  <si>
    <t>Looprail RES Verticaal Links L=1.727 mm, DMH=2250 mm</t>
  </si>
  <si>
    <t>4209-01852</t>
  </si>
  <si>
    <t>Looprail RES Verticaal Links L=1.852 mm, DMH=2375 mm</t>
  </si>
  <si>
    <t>4209-01977</t>
  </si>
  <si>
    <t>Looprail RES Verticaal Links L=1.977 mm, DMH=2500 mm</t>
  </si>
  <si>
    <t>4209-02227</t>
  </si>
  <si>
    <t>Looprail RES Verticaal Links L=2.227 mm, DMH=2750mm</t>
  </si>
  <si>
    <t>4209-02477</t>
  </si>
  <si>
    <t>Looprail RES Verticaal Links L=2.477 mm, DMH=3000 mm</t>
  </si>
  <si>
    <t>4210L</t>
  </si>
  <si>
    <t>Bocht TR18 90° LPS-0° L= 1002mm r392 SV LINKS</t>
  </si>
  <si>
    <t>4210R</t>
  </si>
  <si>
    <t>Bocht TR18 90° LPS-0° L= 1002mm r392 SV RECHTS</t>
  </si>
  <si>
    <t>4211L</t>
  </si>
  <si>
    <t>Bocht TR18 87,5° DLV-0°/LPS-2,5° L= 1005mm r392 SV LINKS</t>
  </si>
  <si>
    <t>4211R</t>
  </si>
  <si>
    <t>Bocht TR18 87,5° DLV-0°/LPS-2,5° L= 1005mm r392 SV RECHTS</t>
  </si>
  <si>
    <t>4212L</t>
  </si>
  <si>
    <t>Bocht TR18 85° DLV-2,5°/LPS-5° L= 986mm r392 SV LINKS</t>
  </si>
  <si>
    <t>4212R</t>
  </si>
  <si>
    <t>Bocht TR18 85° DLV-2,5°/LPS-5° L= 986mm r392 SV RECHTS</t>
  </si>
  <si>
    <t>4213L</t>
  </si>
  <si>
    <t>Bocht TR18 82,5° DLV-5°/LPS-7,5° L= 968mm r392 SV LINKS</t>
  </si>
  <si>
    <t>4213R</t>
  </si>
  <si>
    <t>Bocht TR18 82,5° DLV-5°/LPS-7,5° L= 968mm r392 SV RECHTS</t>
  </si>
  <si>
    <t>4214L</t>
  </si>
  <si>
    <t>Bocht TR18 80° DLV-7,5°/LPS-10° L= 949mm r392 SV LINKS</t>
  </si>
  <si>
    <t>4214R</t>
  </si>
  <si>
    <t>Bocht TR18 80° DLV-7,5°/LPS-10° L= 949mm r392 SV RECHTS</t>
  </si>
  <si>
    <t>4215L</t>
  </si>
  <si>
    <t>Bocht TR18 77,5° DLV-10°/LPS-12,5° L= 928mm r392 SV LINKS</t>
  </si>
  <si>
    <t>4215R</t>
  </si>
  <si>
    <t>Bocht TR18 77,5° DLV-10°/LPS-12,5° L= 928mm r392 SV RECHTS</t>
  </si>
  <si>
    <t>4216L</t>
  </si>
  <si>
    <t>Bocht TR18 75° DLV-12,5°/LPS-15° L= 907mm r392 SV LINKS</t>
  </si>
  <si>
    <t>4216R</t>
  </si>
  <si>
    <t>Bocht TR18 75° DLV-12,5°/LPS-15° L= 907mm r392 SV RECHTS</t>
  </si>
  <si>
    <t>4217L</t>
  </si>
  <si>
    <t>Bocht TR18 72,5° DLV-15°/LPS-17,5° L= 884mm r392 SV LINKS</t>
  </si>
  <si>
    <t>4217R</t>
  </si>
  <si>
    <t>Bocht TR18 72,5° DLV-15°/LPS-17,5° L= 884mm r392 SV RECHTS</t>
  </si>
  <si>
    <t>4218L</t>
  </si>
  <si>
    <t>Bocht TR18 70° DLV-17,5°/LPS-20° L= 861mm r392 SV LINKS</t>
  </si>
  <si>
    <t>4218R</t>
  </si>
  <si>
    <t>Bocht TR18 70° DLV-17,5°/LPS-20° L= 861mm r392 SV RECHTS</t>
  </si>
  <si>
    <t>4219L</t>
  </si>
  <si>
    <t>Bocht TR18 67,5° DLV-20°/LPS-22,5° L= 837mm r392 SV LINKS</t>
  </si>
  <si>
    <t>4219R</t>
  </si>
  <si>
    <t>Bocht TR18 67,5° DLV-20°/LPS-22,5° L= 837mm r392 SV RECHTS</t>
  </si>
  <si>
    <t>4220L</t>
  </si>
  <si>
    <t>Bocht TR18 65° DLV-22,5°/LPS-25° L= 812mm r392 SV LINKS</t>
  </si>
  <si>
    <t>4220R</t>
  </si>
  <si>
    <t>Bocht TR18 65° DLV-22,5°/LPS-25° L= 812mm r392 SV RECHTS</t>
  </si>
  <si>
    <t>4221L</t>
  </si>
  <si>
    <t>Bocht TR18 62,5° DLV-25°/LPS-27,5° L= 787mm r392 SV LINKS</t>
  </si>
  <si>
    <t>4221R</t>
  </si>
  <si>
    <t>Bocht TR18 62,5° DLV-25°/LPS-27,5° L= 787mm r392 SV RECHTS</t>
  </si>
  <si>
    <t>4222L</t>
  </si>
  <si>
    <t>Bocht TR18 60° DLV-27,5°/LPS-30° L= 761mm r392 SV LINKS</t>
  </si>
  <si>
    <t>4222R</t>
  </si>
  <si>
    <t>Bocht TR18 60° DLV-27,5°/LPS-30° L= 761mm r392 SV RECHTS</t>
  </si>
  <si>
    <t>4223L</t>
  </si>
  <si>
    <t>Bocht TR18 57,5° DLV-30°/LPS-32,5° L= 734mm r392 SV LINKS</t>
  </si>
  <si>
    <t>4223R</t>
  </si>
  <si>
    <t>Bocht TR18 57,5° DLV-30°/LPS-32,5° L= 734mm r392 SV RECHTS</t>
  </si>
  <si>
    <t>4224L</t>
  </si>
  <si>
    <t>Bocht TR18 55° DLV-32,5°/LPS-35° L= 707mm r392 SV LINKS</t>
  </si>
  <si>
    <t>4224R</t>
  </si>
  <si>
    <t>Bocht TR18 55° DLV-32,5°/LPS-35° L= 707mm r392 SV RECHTS</t>
  </si>
  <si>
    <t>4225L</t>
  </si>
  <si>
    <t>Bocht TR18 52,5° DLV-35°/LPS-37,5° L= 679mm r392 SV LINKS</t>
  </si>
  <si>
    <t>4225R</t>
  </si>
  <si>
    <t>Bocht TR18 52,5° DLV-35°/LPS-37,5° L= 679mm r392 SV RECHTS</t>
  </si>
  <si>
    <t>4226=DE</t>
  </si>
  <si>
    <t>Montagehandleiding algemeen CND2 Duits</t>
  </si>
  <si>
    <t>4226=EN</t>
  </si>
  <si>
    <t>Montagehandleiding algemeen CND2 Engels</t>
  </si>
  <si>
    <t>4226=NL</t>
  </si>
  <si>
    <t>Montagehandleiding algemeen CND2 Nederlands</t>
  </si>
  <si>
    <t>4227=DE</t>
  </si>
  <si>
    <t>Montagehandleiding compleet CND1 Pro-Line 70 Duits</t>
  </si>
  <si>
    <t>4227=EN</t>
  </si>
  <si>
    <t>Montagehandleiding compleet CND1 Pro-Line 70 Engels</t>
  </si>
  <si>
    <t>4227=FR</t>
  </si>
  <si>
    <t>Montagehandleiding compleet CND1 Pro-Line 70 Frans</t>
  </si>
  <si>
    <t>4227=NL</t>
  </si>
  <si>
    <t>Montagehandleiding compleet CND1 Pro-Line 70 NL</t>
  </si>
  <si>
    <t>4228=DE</t>
  </si>
  <si>
    <t>Montagehandleiding samenvatting CND1 Pro-Line 28/50 FU Duits</t>
  </si>
  <si>
    <t>4228=EN</t>
  </si>
  <si>
    <t>Montagehandleiding samenvatting CND1 Pro-Line 28/50 FU EN</t>
  </si>
  <si>
    <t>4228=FR</t>
  </si>
  <si>
    <t>Montagehandleiding samenvatting CND1 Pro-Line 28/50 FU Frans</t>
  </si>
  <si>
    <t>4228=NL</t>
  </si>
  <si>
    <t>Montagehandleiding samenvatting CND1 Pro-Line 28/50 FU NL</t>
  </si>
  <si>
    <t>4229=DE</t>
  </si>
  <si>
    <t>Montagehandleiding bijlage 4230 CND1 Pro-Line 28/50 FU Duits</t>
  </si>
  <si>
    <t>4229=EN</t>
  </si>
  <si>
    <t>Montagehandleiding bijlage 4230 CND1 Pro-Line 28/50 FU EN</t>
  </si>
  <si>
    <t>4229=FR</t>
  </si>
  <si>
    <t>Montagehandleiding bijlage 4230 CND1 Pro-Line 28/50 FU Frans</t>
  </si>
  <si>
    <t>4229=NL</t>
  </si>
  <si>
    <t>Montagehandleiding bijlage 4230 CND1 Pro-Line 28/50 FU NL</t>
  </si>
  <si>
    <t>4230=DE</t>
  </si>
  <si>
    <t>Montagehandleiding compleet CND1 Pro-Line 28/50 Duits</t>
  </si>
  <si>
    <t>4230=EN</t>
  </si>
  <si>
    <t>Montagehandleiding compleet CND1 Pro-Line 28/50 Engels</t>
  </si>
  <si>
    <t>4230=FR</t>
  </si>
  <si>
    <t>Montagehandleiding compleet CND1 Pro-Line 28/50 Frans</t>
  </si>
  <si>
    <t>4230=NL</t>
  </si>
  <si>
    <t>Montagehandleiding compleet CND1 Pro-Line 28/50 Nederlands</t>
  </si>
  <si>
    <t>4231=DE</t>
  </si>
  <si>
    <t>Montagehandleiding samenvatting CND1 Pro-Line 28/50/70 Duits</t>
  </si>
  <si>
    <t>4231=EN</t>
  </si>
  <si>
    <t>Montagehandleiding samenvatting CND1 Pro-Line 28/50/70 EN</t>
  </si>
  <si>
    <t>4231=FR</t>
  </si>
  <si>
    <t>Montagehandleiding samenvatting CND1 Pro-Line 28/50 /70 FR</t>
  </si>
  <si>
    <t>4231=NL</t>
  </si>
  <si>
    <t>Montagehandleiding samenvatting CND1 Pro-Line 28/50/70 NL</t>
  </si>
  <si>
    <t>4232</t>
  </si>
  <si>
    <t>Montagehandleiding CND1 Microschakelaar schuifgrendel</t>
  </si>
  <si>
    <t>4233</t>
  </si>
  <si>
    <t>Montagehandleiding CND1 Verkeerslicht en flitslicht</t>
  </si>
  <si>
    <t>4238</t>
  </si>
  <si>
    <t>PL CND1 Elektronische eindschakelaar (incl magneet) Single-A</t>
  </si>
  <si>
    <t>4246</t>
  </si>
  <si>
    <t>Pro-Line CND1 KU Slinger 10mm PL 28-50</t>
  </si>
  <si>
    <t>4247</t>
  </si>
  <si>
    <t>Pro-Line CND1 KU Slinger 12mm PL 70</t>
  </si>
  <si>
    <t>4249</t>
  </si>
  <si>
    <t>Pro-Line CND1 Besturingskast montagesteun (4651+4259)</t>
  </si>
  <si>
    <t>4250</t>
  </si>
  <si>
    <t>Pro-Line CND1 Ketting Wandhouder SV 50x50x1,5 mm</t>
  </si>
  <si>
    <t>4255-01500</t>
  </si>
  <si>
    <t>Pro-Line CND1/CS310 E module Ontkoppelingsset 2x L=1500mm</t>
  </si>
  <si>
    <t>4255-03000</t>
  </si>
  <si>
    <t>4255-05000</t>
  </si>
  <si>
    <t>Pro-Line CND1/CS310 E module Ontkoppelingsset 2x L=2500mm</t>
  </si>
  <si>
    <t>4255-07000</t>
  </si>
  <si>
    <t>Pro-Line CND1/CS310 E module Ontkoppelingsset 2x L=3500mm</t>
  </si>
  <si>
    <t>4255-09000</t>
  </si>
  <si>
    <t>Pro-Line CND1/CS310 E module Ontkoppelingsset 2x L=4500mm</t>
  </si>
  <si>
    <t>4255-11000</t>
  </si>
  <si>
    <t>Pro-Line CND1/CS310 E module Ontkoppelingsset 2x L=5500mm</t>
  </si>
  <si>
    <t>4255-13000</t>
  </si>
  <si>
    <t>Pro-Line CND1/CS310 E module Ontkoppelingsset 2x L=6500mm</t>
  </si>
  <si>
    <t>4255-15000</t>
  </si>
  <si>
    <t>Pro-Line CND1/CS310 E module Ontkoppelingsset 2x L=7500mm</t>
  </si>
  <si>
    <t>4255-17000</t>
  </si>
  <si>
    <t>Pro-Line CND1/CS310 E module Ontkoppelingsset 2x L=8500mm</t>
  </si>
  <si>
    <t>4255-19000</t>
  </si>
  <si>
    <t>Pro-Line CND1/CS310 E module Ontkoppelingsset 2x L=9500mm</t>
  </si>
  <si>
    <t>4255-21000</t>
  </si>
  <si>
    <t>Pro-Line CND1/CS310 E module Ontkoppelingsset 2x L=10500mm</t>
  </si>
  <si>
    <t>4255-23000</t>
  </si>
  <si>
    <t>Pro-Line CND1/CS310 E module Ontkoppelingsset 2x L=11500mm</t>
  </si>
  <si>
    <t>4255-25000</t>
  </si>
  <si>
    <t>Pro-Line CND1/CS310 E module Ontkoppelingsset 2x L=12500mm</t>
  </si>
  <si>
    <t>4255-27000</t>
  </si>
  <si>
    <t>Pro-Line CND1/CS310 E module Ontkoppelingsset 2x L=13500mm</t>
  </si>
  <si>
    <t>4255-29000</t>
  </si>
  <si>
    <t>Pro-Line CND1/CS310 E module Ontkoppelingsset 2x L=14500mm</t>
  </si>
  <si>
    <t>4255-31000</t>
  </si>
  <si>
    <t>Pro-Line CND1/CS310 E module Ontkoppelingsset 2x L=15500mm</t>
  </si>
  <si>
    <t>4256</t>
  </si>
  <si>
    <t>Pro-Line CND1 inschuifwartel M20 afsluitstop zwart</t>
  </si>
  <si>
    <t>4257</t>
  </si>
  <si>
    <t>Pro-Line CND1 Zomer/Winter schakelaar met kabel</t>
  </si>
  <si>
    <t>4260</t>
  </si>
  <si>
    <t>Pro-Line CND1 Kortsluitingsbrug 45mm 1,5 mm2 / zwart</t>
  </si>
  <si>
    <t>4261</t>
  </si>
  <si>
    <t>Pro-Line CND1 Kortsluitingsbrug 55mm 1,5 mm2 / zwart</t>
  </si>
  <si>
    <t>4268</t>
  </si>
  <si>
    <t>PL-HL CND1 868 Mhz externe ontvanger (code CND1) + kabel 64</t>
  </si>
  <si>
    <t>4269</t>
  </si>
  <si>
    <t>PL-HL CND1/CS310 868 Mhz ext ontvanger(codeMFZ-MA)+kabel 100</t>
  </si>
  <si>
    <t>4270</t>
  </si>
  <si>
    <t>Pro-Line CND1 Tegenverkeersmodule compleet</t>
  </si>
  <si>
    <t>4271</t>
  </si>
  <si>
    <t>Pro-Line CND1 868 Mhz ontvanger insteek 1kan (code CND1) 195</t>
  </si>
  <si>
    <t>4273</t>
  </si>
  <si>
    <t>Pro-Line CND1 868 MHz handzender 24 kanaals zwart</t>
  </si>
  <si>
    <t>4274</t>
  </si>
  <si>
    <t>Pro-Line CND1 868 MHz handzender 2 kanaals zwart</t>
  </si>
  <si>
    <t>4275</t>
  </si>
  <si>
    <t>Pro-Line CND1 868 MHz handzender 4 kanaals zwart</t>
  </si>
  <si>
    <t>4276</t>
  </si>
  <si>
    <t>Pro-Line CND1/CS310 Verkeerslicht oranje LED / 230V compleet</t>
  </si>
  <si>
    <t>4277</t>
  </si>
  <si>
    <t>Pro-Line CND1/CS310 Verkeerslicht rood LED / 230V compleet</t>
  </si>
  <si>
    <t>4278</t>
  </si>
  <si>
    <t>Pro-Line CND1/CS310 Verkeerslicht groen LED / 230V compleet</t>
  </si>
  <si>
    <t>4279</t>
  </si>
  <si>
    <t>Pro-Line CND1/CS310 Inductielus Ontvanger 2 kanaal</t>
  </si>
  <si>
    <t>4280</t>
  </si>
  <si>
    <t>Pro-Line CND1 Insteekprint relais module (2x extra)</t>
  </si>
  <si>
    <t>4282</t>
  </si>
  <si>
    <t>PL CND1/CS310 Verkeerslicht groen-rood / 230V / 5m kabel</t>
  </si>
  <si>
    <t>4283</t>
  </si>
  <si>
    <t>HL / PL CND1/CS310 Verkeerslicht Flitslicht oranje LED / 24V</t>
  </si>
  <si>
    <t>4284</t>
  </si>
  <si>
    <t>Pro-Line Verkeerslicht transformator 230V naar 24V</t>
  </si>
  <si>
    <t>4285</t>
  </si>
  <si>
    <t>Pro-Line CND1 868 MHz Draadloze codeschakelaar 4 kan. IP54</t>
  </si>
  <si>
    <t>4286</t>
  </si>
  <si>
    <t>Pro-Line CND1 op stop neer drukknoppen (4651-4259 (verlicht)</t>
  </si>
  <si>
    <t>4295</t>
  </si>
  <si>
    <t>LED Dock lamp rond 30W + Arm IP65</t>
  </si>
  <si>
    <t>4297</t>
  </si>
  <si>
    <t>Mechanische eindschakelaar vervangingskit - 4 nokken</t>
  </si>
  <si>
    <t>4298</t>
  </si>
  <si>
    <t>Pro-Line CND1 KE-module 4mm 1:1 PL 28-50 incl zak tandwiel</t>
  </si>
  <si>
    <t>4299</t>
  </si>
  <si>
    <t>Pro-Line CND1 Ketting 4mm verzinkt PL28-50-70</t>
  </si>
  <si>
    <t>4299-01500</t>
  </si>
  <si>
    <t>Pro-Line CND1 Ketting set 4mm +1x schalm L=1.500 (4298)</t>
  </si>
  <si>
    <t>4299-03000</t>
  </si>
  <si>
    <t>Pro-Line CND1 Ketting set 4mm +1x schalm L=3.000 (4298)</t>
  </si>
  <si>
    <t>4299-05000</t>
  </si>
  <si>
    <t>Pro-Line CND1 Ketting set 4mm +1x schalm L=5.000 (4298)</t>
  </si>
  <si>
    <t>4299-07000</t>
  </si>
  <si>
    <t>Pro-Line CND1 Ketting set 4mm +1x schalm L=7.000 (4298)</t>
  </si>
  <si>
    <t>4299-09000</t>
  </si>
  <si>
    <t>Pro-Line CND1 Ketting set 4mm +1x schalm L=9.000 (4298)</t>
  </si>
  <si>
    <t>4299-11000</t>
  </si>
  <si>
    <t>Pro-Line CND1 Ketting set 4mm +1x schalmL=11.000 (4298)</t>
  </si>
  <si>
    <t>4299-13000</t>
  </si>
  <si>
    <t>Pro-Line CND1 Ketting set 4mm +1x schalm L=13.000 (4298)</t>
  </si>
  <si>
    <t>4299-15000</t>
  </si>
  <si>
    <t>Pro-Line CND1 Ketting set 4mm +1x schalm L=15.000 (4298)</t>
  </si>
  <si>
    <t>4299-17000</t>
  </si>
  <si>
    <t>Pro-Line CND1 Ketting set 4mm +1x schalm L=17.000 (4298)</t>
  </si>
  <si>
    <t>4299-19000</t>
  </si>
  <si>
    <t>Pro-Line CND1 Ketting set 4mm +1x schalm L=19.000 (4298)</t>
  </si>
  <si>
    <t>4299-21000</t>
  </si>
  <si>
    <t>Pro-Line CND1 Ketting set 4mm +1x schalm L=21.000 (4298)</t>
  </si>
  <si>
    <t>4299-23000</t>
  </si>
  <si>
    <t>Pro-Line CND1 Ketting set 4mm +1x schalm L=23.000 (4298)</t>
  </si>
  <si>
    <t>4299-25000</t>
  </si>
  <si>
    <t>Pro-Line CND1 Ketting set 4mm +1x schalm L=25.000 (4298)</t>
  </si>
  <si>
    <t>4299-27000</t>
  </si>
  <si>
    <t>Pro-Line CND1 Ketting set 4mm +1x schalm L=27.000 (4298)</t>
  </si>
  <si>
    <t>4299-29000</t>
  </si>
  <si>
    <t>Pro-Line CND1 Ketting set 4mm +1x schalm L=29.000 (4298)</t>
  </si>
  <si>
    <t>4299-31000</t>
  </si>
  <si>
    <t>Pro-Line CND1 Ketting set 4mm +1x schalm L=31.000 (4298)</t>
  </si>
  <si>
    <t>4318-07000</t>
  </si>
  <si>
    <t>ALU U-profiel LLC 8.2x8x2mm RAL9016 L=7.000</t>
  </si>
  <si>
    <t>4329-07000</t>
  </si>
  <si>
    <t>ALU U-profiel LLC 8.2x8x2mm RAL7016 L=7.000</t>
  </si>
  <si>
    <t>4351-07000</t>
  </si>
  <si>
    <t>ALU U-profiel LLC 8.2x8x2mm RALXXXX L=7.000mm</t>
  </si>
  <si>
    <t>4362-07000</t>
  </si>
  <si>
    <t>ALU U-profiel LLC 8.2x8x2mm ANO L=7.000 mm</t>
  </si>
  <si>
    <t>4406</t>
  </si>
  <si>
    <t>PVC waterkapje LLC zwart 35x18.5mm</t>
  </si>
  <si>
    <t>4407</t>
  </si>
  <si>
    <t>PVC drempel verbinding links LLC 40,3 x 36,4mm zwart</t>
  </si>
  <si>
    <t>4408</t>
  </si>
  <si>
    <t>PVC drempel verbinding rechts LLC 40,3x36,4mm zwart</t>
  </si>
  <si>
    <t>4409</t>
  </si>
  <si>
    <t>PVC afdekkapje waterlijst zwart LLC 16.3x14.8mm</t>
  </si>
  <si>
    <t>4410</t>
  </si>
  <si>
    <t>PVC afdekkap vleugel links LLC</t>
  </si>
  <si>
    <t>4411</t>
  </si>
  <si>
    <t>PVC afdekkap vleugel rechts LLC</t>
  </si>
  <si>
    <t>4412</t>
  </si>
  <si>
    <t>Borstelprofiel LLC 9mm</t>
  </si>
  <si>
    <t>4413</t>
  </si>
  <si>
    <t>Borstelprofiel LLC 28mm / L=3000mm</t>
  </si>
  <si>
    <t>4416-00500</t>
  </si>
  <si>
    <t>Valdorpel LLC 24x20.5 L=500 mm incl. bevestigingsmateriaal</t>
  </si>
  <si>
    <t>4416-00600</t>
  </si>
  <si>
    <t>Valdorpel LLC 24x20.5 L=600 mm incl. bevestigingsmateriaal</t>
  </si>
  <si>
    <t>4416-00700</t>
  </si>
  <si>
    <t>Valdorpel LLC 24x20.5 L=700 mm incl. bevestigingsmateriaal</t>
  </si>
  <si>
    <t>4416-00900</t>
  </si>
  <si>
    <t>Valdorpel LLC 24x20.5 L=900 mm incl. bevestigingsmateriaal</t>
  </si>
  <si>
    <t>4416-01100</t>
  </si>
  <si>
    <t>Valdorpel LLC 24x20.5 L=1.100 mm incl. bevestigingsmateriaal</t>
  </si>
  <si>
    <t>4416-01300</t>
  </si>
  <si>
    <t>Valdorpel LLC 24x20.5 L=1.300 mm incl bevestigingsmateriaal</t>
  </si>
  <si>
    <t>4416-01500</t>
  </si>
  <si>
    <t>Valdorpel LLC 24x20.5 L=1.500 mm incl bevestigingsmateriaal</t>
  </si>
  <si>
    <t>4417</t>
  </si>
  <si>
    <t>Klemblokje voor hoekverbinder LLC / 7mm incl inbusbout M5x13</t>
  </si>
  <si>
    <t>4420</t>
  </si>
  <si>
    <t>Afsluitrubber vleugel LLC</t>
  </si>
  <si>
    <t>4421</t>
  </si>
  <si>
    <t>Keilrubber buitenzijde LLC 4mm</t>
  </si>
  <si>
    <t>4422</t>
  </si>
  <si>
    <t>Keilrubber glaslatzijde LLC 6-9mm</t>
  </si>
  <si>
    <t>4423</t>
  </si>
  <si>
    <t>Bodem afsluitrubber LLC 21mm</t>
  </si>
  <si>
    <t>4428</t>
  </si>
  <si>
    <t>Afsluitrubber vleugel LLC - klasse 2</t>
  </si>
  <si>
    <t>4430</t>
  </si>
  <si>
    <t>ALU hoekverbinding schroef LLC 70x21,8x14,4mm (4300)</t>
  </si>
  <si>
    <t>4431</t>
  </si>
  <si>
    <t>ALU hoekverbinding schroef LLC 83.4x36.8x14.4mm (4301-4302)</t>
  </si>
  <si>
    <t>4432</t>
  </si>
  <si>
    <t>ALU hoekverbinding schroef LLC 70x14.4x14.9mm (4304)</t>
  </si>
  <si>
    <t>4433</t>
  </si>
  <si>
    <t>ALU hoekverbinding schroef LLC 70x25x14.4mm (4304)</t>
  </si>
  <si>
    <t>4437</t>
  </si>
  <si>
    <t>Bevestigingen t.b.v. deurscharnier opbouw 2-delig LLC (4435)</t>
  </si>
  <si>
    <t>4439</t>
  </si>
  <si>
    <t>Afsluitrubber kader (binnen-inner) LLC</t>
  </si>
  <si>
    <t>4440</t>
  </si>
  <si>
    <t>Trekveer ERA-RES F2 verzinkt D2,1/D3,0 Q30150 L=1006 mm</t>
  </si>
  <si>
    <t>4441</t>
  </si>
  <si>
    <t>Trekveer ERA-RES F2 verzinkt D2,1/D3,1 Q30142 L=916 mm</t>
  </si>
  <si>
    <t>4442</t>
  </si>
  <si>
    <t>Trekveer ERA-RES F2 verzinkt D2/D2,9 Q30130 L=835 mm</t>
  </si>
  <si>
    <t>4443</t>
  </si>
  <si>
    <t>Trekveer ERA-RES F2 verzinkt D2/D2,8 Q30120 L=788 mm</t>
  </si>
  <si>
    <t>4444</t>
  </si>
  <si>
    <t>Trekveer ERA-RES F2 verzinkt D1,9/D2,7 Q30108 L=720 mm</t>
  </si>
  <si>
    <t>4445</t>
  </si>
  <si>
    <t>Trekveer ERA-RES F2 verzinkt D1,8/D2,6 Q30099 L=705 mm</t>
  </si>
  <si>
    <t>4446</t>
  </si>
  <si>
    <t>Trekveer ERA-RES F2 verzinkt D1,8/D2,5 Q30091 L=656 mm</t>
  </si>
  <si>
    <t>4447</t>
  </si>
  <si>
    <t>Trekveer ERA-RES F2 verzinkt D1,8/D2,4 Q30083 L=617 mm</t>
  </si>
  <si>
    <t>4448</t>
  </si>
  <si>
    <t>Trekveer ERA-RES F2 verzinkt D1,7/D2,3 Q30076 L=613 mm</t>
  </si>
  <si>
    <t>4449</t>
  </si>
  <si>
    <t>Trekveer ERA-RES F2 verzinkt D1,6/D2,3 Q30069 L=551 mm</t>
  </si>
  <si>
    <t>4450</t>
  </si>
  <si>
    <t>Trekveer ERA-RES F2 verzinkt D1,5/D2,2 Q30063 L=554 mm</t>
  </si>
  <si>
    <t>4451</t>
  </si>
  <si>
    <t>Trekveer ERA-RES F2 verzinkt D1,5/D2,1 Q30056 L=507 mm</t>
  </si>
  <si>
    <t>4452</t>
  </si>
  <si>
    <t>Trekveer ERA-RES F2 verzinkt D2,4 Q28049 L=481 mm</t>
  </si>
  <si>
    <t>4453</t>
  </si>
  <si>
    <t>Trekveer ERA-RES F2 verzinkt D2,2 Q26041 L=417 mm</t>
  </si>
  <si>
    <t>4454</t>
  </si>
  <si>
    <t>Trekveer ERA-RES F2 verzinkt D2,1 Q23033 L=298 mm</t>
  </si>
  <si>
    <t>4455</t>
  </si>
  <si>
    <t>Trekveer ERA-RES F2 verzinkt D2,0 Q21028 L=244 mm</t>
  </si>
  <si>
    <t>4456</t>
  </si>
  <si>
    <t>Trekveer ERA-RES F2 verzinkt D2,1/D3,0 Q28150 L=981 mm</t>
  </si>
  <si>
    <t>4457</t>
  </si>
  <si>
    <t>Trekveer ERA-RES F2 verzinkt D2,1/D3,0 Q27150 L=856 mm</t>
  </si>
  <si>
    <t>4458</t>
  </si>
  <si>
    <t>Trekveer ERA-RES F2 verzinkt D2,1/D3,0 Q24150 L=781 mm</t>
  </si>
  <si>
    <t>4459</t>
  </si>
  <si>
    <t>Trekveer ERA-RES F2 verzinkt D2,1/D3,0 Q22150 L=725 mm</t>
  </si>
  <si>
    <t>4460</t>
  </si>
  <si>
    <t>Trekveer ERA-RES F2 verzinkt D2,1/D3,0 Q21150 L=687 mm</t>
  </si>
  <si>
    <t>4461</t>
  </si>
  <si>
    <t>Trekveer ERA-RES F2 verzinkt D2,1/D2,9 Q26137 L=810 mm</t>
  </si>
  <si>
    <t>4462</t>
  </si>
  <si>
    <t>Trekveer ERA-RES F2 verzinkt D2/D2,8 Q24118 L=659 mm</t>
  </si>
  <si>
    <t>4463</t>
  </si>
  <si>
    <t>Trekveer ERA-RES F2 verzinkt D1,9/D2,6 Q23102 L=554 mm</t>
  </si>
  <si>
    <t>4464</t>
  </si>
  <si>
    <t>Trekveer ERA-RES F2 verzinkt D1,8/D2,5 Q22088 L=477 mm</t>
  </si>
  <si>
    <t>4465</t>
  </si>
  <si>
    <t>Trekveer ERA-RES F2 verzinkt D1,7/D2,3 Q20076 L=441 mm</t>
  </si>
  <si>
    <t>4467</t>
  </si>
  <si>
    <t>Trekveer ERA-RES F2 verzinkt D2/D3,0 Q24134 L=699 mm</t>
  </si>
  <si>
    <t>4468</t>
  </si>
  <si>
    <t>Trekveer ERA-RES F2 verzinkt D1,9/D2,8 Q22117 L=591 mm</t>
  </si>
  <si>
    <t>4469</t>
  </si>
  <si>
    <t>Trekveer ERA-RES F2 verzinkt D1,8/D2,6 Q19094 L=446 mm</t>
  </si>
  <si>
    <t>4470</t>
  </si>
  <si>
    <t>Trekveer ERA-RES F2 verzinkt D2/D2,9 Q22135 L=672 mm</t>
  </si>
  <si>
    <t>4471</t>
  </si>
  <si>
    <t>Trekveer ERA-RES F2 verzinkt D1,9/D2,8 Q20115 L=535 mm</t>
  </si>
  <si>
    <t>4472</t>
  </si>
  <si>
    <t>Trekveer ERA-RES F2 verzinkt D2/D3,0 Q21136 L=628 mm</t>
  </si>
  <si>
    <t>4473</t>
  </si>
  <si>
    <t>Trekveer ERA-RES F2 verzinkt D1,9/D2,9 Q20120 L=556 mm</t>
  </si>
  <si>
    <t>4474</t>
  </si>
  <si>
    <t>Trekveer ERA-RES F2 verzinkt D2/D3,0 Q20142 L=629 mm</t>
  </si>
  <si>
    <t>4475</t>
  </si>
  <si>
    <t>Trekveer ERA-RES F2 verzinkt D2/D2,9 Q19134 L=579 mm</t>
  </si>
  <si>
    <t>4476</t>
  </si>
  <si>
    <t>Trekveer ERA-RES F2 verzinkt D2,1/D3,0 Q26150 L=899 mm</t>
  </si>
  <si>
    <t>4477</t>
  </si>
  <si>
    <t>Trekveer ERA-RES F2 verzinkt D2,1/D3,0 Q23150 L=808 mm</t>
  </si>
  <si>
    <t>4478</t>
  </si>
  <si>
    <t>Trekveer ERA-RES F2 verzinkt D2,1/D3,0 Q22149 L=730 mm</t>
  </si>
  <si>
    <t>4491</t>
  </si>
  <si>
    <t>Kunststof tussen ring tbv 4425 LL scharnier</t>
  </si>
  <si>
    <t>4495-00140</t>
  </si>
  <si>
    <t>C-Profiel CP14 Rail verbindingsprofiel RVS L=140 mm</t>
  </si>
  <si>
    <t>4495-00170</t>
  </si>
  <si>
    <t>C-Profiel CP14 Rail verbindingsprofiel RVS L=170 mm</t>
  </si>
  <si>
    <t>4495-00210</t>
  </si>
  <si>
    <t>C-Profiel CP14 Rail verbindingsprofiel RVS L=210 mm</t>
  </si>
  <si>
    <t>4495-00240</t>
  </si>
  <si>
    <t>C-Profiel CP14 Rail verbindingsprofiel RVS L=240 mm</t>
  </si>
  <si>
    <t>4495-00270</t>
  </si>
  <si>
    <t>C-Profiel CP14 Rail verbindingsprofiel RVS L=270 mm</t>
  </si>
  <si>
    <t>4495-00300</t>
  </si>
  <si>
    <t>C-Profiel CP14 Rail verbindingsprofiel RVS L=300 mm</t>
  </si>
  <si>
    <t>4495-00330</t>
  </si>
  <si>
    <t>C-Profiel CP14 Rail verbindingsprofiel RVS L=330 mm</t>
  </si>
  <si>
    <t>4495-00360</t>
  </si>
  <si>
    <t>C-Profiel CP14 Rail verbindingsprofiel RVS L=360 mm</t>
  </si>
  <si>
    <t>4495-00390</t>
  </si>
  <si>
    <t>C-Profiel CP14 Rail verbindingsprofiel RVS L=390 mm</t>
  </si>
  <si>
    <t>4495-00420</t>
  </si>
  <si>
    <t>C-Profiel CP14 Rail verbindingsprofiel RVS L=420 mm</t>
  </si>
  <si>
    <t>4495-00450</t>
  </si>
  <si>
    <t>C-Profiel CP14 Rail verbindingsprofiel RVS L=450 mm</t>
  </si>
  <si>
    <t>4495-00480</t>
  </si>
  <si>
    <t>C-Profiel CP14 Rail verbindingsprofiel RVS L=480 mm</t>
  </si>
  <si>
    <t>4495-00510</t>
  </si>
  <si>
    <t>C-Profiel CP14 Rail verbindingsprofiel RVS L=510 mm</t>
  </si>
  <si>
    <t>4495-00540</t>
  </si>
  <si>
    <t>C-Profiel CP14 Rail verbindingsprofiel RVS L=540 mm</t>
  </si>
  <si>
    <t>4495-00570</t>
  </si>
  <si>
    <t>C-Profiel CP14 Rail verbindingsprofiel RVS L=570 mm</t>
  </si>
  <si>
    <t>4495-00600</t>
  </si>
  <si>
    <t>C-Profiel CP14 Rail verbindingsprofiel RVS L=600 mm</t>
  </si>
  <si>
    <t>4496-00295</t>
  </si>
  <si>
    <t>C-Profiel CP14 Veerbumper montagedeel RVS L=295 mm</t>
  </si>
  <si>
    <t>4497-04380</t>
  </si>
  <si>
    <t>Vert.hoeklijn VA20 ERA (incl. gatenpatroon) RVS L=4.380mm</t>
  </si>
  <si>
    <t>4497-06380</t>
  </si>
  <si>
    <t>Vert.hoeklijn VA20 ERA (incl. gatenpatroon) RVS L=6.380mm</t>
  </si>
  <si>
    <t>4498-04490</t>
  </si>
  <si>
    <t>Looprail TR18 ERA (incl. gatenpatroon) RVS L=4.490 mm</t>
  </si>
  <si>
    <t>4498-06490</t>
  </si>
  <si>
    <t>Looprail TR18 ERA (incl. gatenpatroon) RVS L=6.490 mm</t>
  </si>
  <si>
    <t>4499-04200</t>
  </si>
  <si>
    <t>C-Profiel CP18 ERA (incl. gatenpatroon) RVS L=4.200mm</t>
  </si>
  <si>
    <t>4499-06200</t>
  </si>
  <si>
    <t>C-Profiel CP18 ERA (incl. gatenpatroon) RVS L=6.200mm</t>
  </si>
  <si>
    <t>4513-03050</t>
  </si>
  <si>
    <t>Geperforeerde hoeklijn 40x40x2.5mm RVS L=3.050mm</t>
  </si>
  <si>
    <t>4514</t>
  </si>
  <si>
    <t>Deurparker 6,3x11 mm/RVS A2/kop 10 mm/DIN 6928</t>
  </si>
  <si>
    <t>4515</t>
  </si>
  <si>
    <t>Paro klemplaatje RVS</t>
  </si>
  <si>
    <t>4516</t>
  </si>
  <si>
    <t>Paro klemplaatje RVS Basis Dubbel</t>
  </si>
  <si>
    <t>4517</t>
  </si>
  <si>
    <t>Deurparker 6,3x16 mm/RVS A2/kop 10 mm/DIN 6928</t>
  </si>
  <si>
    <t>4518</t>
  </si>
  <si>
    <t>Middenscharnier FS EPCO RVS 71x60 mm HM45 nok</t>
  </si>
  <si>
    <t>4519</t>
  </si>
  <si>
    <t>Middenscharnier FS EPCO RVS 71x60 mm HM45</t>
  </si>
  <si>
    <t>4523</t>
  </si>
  <si>
    <t>Toprolhouder LPS RVS</t>
  </si>
  <si>
    <t>4529</t>
  </si>
  <si>
    <t>Schuifgrendel zwarte knop RVS 304</t>
  </si>
  <si>
    <t>4533</t>
  </si>
  <si>
    <t>Veerbumper kort LINKS L=350mm RVS</t>
  </si>
  <si>
    <t>4534</t>
  </si>
  <si>
    <t>Veerbumper kort RECHTS L=350mm RVS</t>
  </si>
  <si>
    <t>4537</t>
  </si>
  <si>
    <t>Veerbumper lang LINKS L=680mm RVS</t>
  </si>
  <si>
    <t>4538</t>
  </si>
  <si>
    <t>Veerbumper lang RECHTS L=680mm RVS</t>
  </si>
  <si>
    <t>4539</t>
  </si>
  <si>
    <t>Crawford kabelklem 3-5 mm</t>
  </si>
  <si>
    <t>4540</t>
  </si>
  <si>
    <t>Puntkous RVS 3 mm</t>
  </si>
  <si>
    <t>4541</t>
  </si>
  <si>
    <t>Puntkous RVS 4 mm</t>
  </si>
  <si>
    <t>4542</t>
  </si>
  <si>
    <t>Puntkous RVS 5 mm</t>
  </si>
  <si>
    <t>4543</t>
  </si>
  <si>
    <t>Puntkous RVS 6 mm</t>
  </si>
  <si>
    <t>4544</t>
  </si>
  <si>
    <t>Kabelklem koper ovaal 3mm</t>
  </si>
  <si>
    <t>4545</t>
  </si>
  <si>
    <t>Kabelklem koper ovaal 4mm</t>
  </si>
  <si>
    <t>4546</t>
  </si>
  <si>
    <t>Kabelklem koper ovaal 5mm</t>
  </si>
  <si>
    <t>4547</t>
  </si>
  <si>
    <t>Kabelklem koper ovaal 6mm</t>
  </si>
  <si>
    <t>4548</t>
  </si>
  <si>
    <t>Zijscharnier FS EPCO RVS 159x60 mm HM45 nok</t>
  </si>
  <si>
    <t>4549</t>
  </si>
  <si>
    <t>Zijscharnier FS EPCO RVS 159x60 mm HM45</t>
  </si>
  <si>
    <t>4554</t>
  </si>
  <si>
    <t>Zijscharnier TRADITIONEEL ST3/ST7 knot 8,5-155x60mm RVS HM45</t>
  </si>
  <si>
    <t>4556</t>
  </si>
  <si>
    <t>Railkoppelplaat 2" RVS 150x105x2mm</t>
  </si>
  <si>
    <t>4557</t>
  </si>
  <si>
    <t>Railkoppelplaat 2" RVS 150x155x2mm</t>
  </si>
  <si>
    <t>4558</t>
  </si>
  <si>
    <t>Railplaat 2" RVS 60x103x2mm</t>
  </si>
  <si>
    <t>4559</t>
  </si>
  <si>
    <t>Railplaat 2" RVS 60x130x2mm</t>
  </si>
  <si>
    <t>4560</t>
  </si>
  <si>
    <t>Railplaat 2" RVS 60x155x2mm</t>
  </si>
  <si>
    <t>4561</t>
  </si>
  <si>
    <t>Railverbindingsplaat 2" RVS 50x90x2mm</t>
  </si>
  <si>
    <t>4562</t>
  </si>
  <si>
    <t>HL Railverbindingsplaat 2" RVS 80x165x2mm</t>
  </si>
  <si>
    <t>4563</t>
  </si>
  <si>
    <t>HL Verbindingsplaat 2" RVS Hor &amp; Vert</t>
  </si>
  <si>
    <t>4568</t>
  </si>
  <si>
    <t>Railplaat Schuifgrendel 100x35x2 RVS</t>
  </si>
  <si>
    <t>4570</t>
  </si>
  <si>
    <t>Zijscharnier KDC fingersafe/ST1V 166x60mm RVS HM45</t>
  </si>
  <si>
    <t>4571</t>
  </si>
  <si>
    <t>Zijscharnier HOESCH fingersafe /ST3V 166x60mm RVS HM45</t>
  </si>
  <si>
    <t>4572</t>
  </si>
  <si>
    <t>Zijscharnier TRADITIONEEL ST3/ST7/ST80 155x60mm RVS HM45</t>
  </si>
  <si>
    <t>4573</t>
  </si>
  <si>
    <t>Zijscharnier HOESCH fingersafe/ST3V-LD 166x60mm RVS HM45</t>
  </si>
  <si>
    <t>4576</t>
  </si>
  <si>
    <t>Toprolhouder 130x60mm RVS</t>
  </si>
  <si>
    <t>4578</t>
  </si>
  <si>
    <t>Rolhouder enkel t.b.v. 4570/71/72/74/76 RVS</t>
  </si>
  <si>
    <t>4579</t>
  </si>
  <si>
    <t>Rolhouder dubbel t.b.v. 4570/71/72/74/76 RVS</t>
  </si>
  <si>
    <t>4580</t>
  </si>
  <si>
    <t>Middenscharnier KDC fingersafe/ST1V 77x60mm RVS HM45</t>
  </si>
  <si>
    <t>4581</t>
  </si>
  <si>
    <t>Middenscharnier HOESCH fingersafe / ST3V 77x60mm RVS HM45</t>
  </si>
  <si>
    <t>4582</t>
  </si>
  <si>
    <t>Middenscharnier TRADITIONEEL/ST3/ST7 66x60mm RVS HM45</t>
  </si>
  <si>
    <t>4583</t>
  </si>
  <si>
    <t>Middenscharnier HOESCH fingersafe/ST3V-LD 77x60mm RVS HM45</t>
  </si>
  <si>
    <t>4588-01286</t>
  </si>
  <si>
    <t>Bocht TR18 R392 RVS L=1.286mm</t>
  </si>
  <si>
    <t>4590</t>
  </si>
  <si>
    <t>Hoekbeugel RVS 60x60x50x2 mm</t>
  </si>
  <si>
    <t>4591</t>
  </si>
  <si>
    <t>Contra C plaat DLV systeem</t>
  </si>
  <si>
    <t>4592</t>
  </si>
  <si>
    <t>Koppelplaat DLV RVS</t>
  </si>
  <si>
    <t>4593</t>
  </si>
  <si>
    <t>Railverbindingsplaat 2" RVS 100x110x3mm VA-CP</t>
  </si>
  <si>
    <t>4601L</t>
  </si>
  <si>
    <t>Eindstijl HL-E+ST9V enkel Links 500 / 40 / RVS / 1mm</t>
  </si>
  <si>
    <t>4601R</t>
  </si>
  <si>
    <t>Eindstijl HL-E+ST9V enkel Rechts 500 / 40 / RVS / 1mm</t>
  </si>
  <si>
    <t>4603L</t>
  </si>
  <si>
    <t>Eindstijl HL-E+ST9V enkel Links 610 / 40 / RVS / 1mm</t>
  </si>
  <si>
    <t>4603R</t>
  </si>
  <si>
    <t>Eindstijl HL-E+ST9V enkel Rechts 610 / 40 / RVS / 1mm</t>
  </si>
  <si>
    <t>4611L</t>
  </si>
  <si>
    <t>Eindstijl HL-E+ST9V dubbel Links 500 / 40 / RVS / 1mm</t>
  </si>
  <si>
    <t>4611R</t>
  </si>
  <si>
    <t>Eindstijl HL-E+ST9V dubbel Rechts 500 / 40 / RVS / 1mm</t>
  </si>
  <si>
    <t>4613L</t>
  </si>
  <si>
    <t>Eindstijl HL-E+ST9V dubbel Links 610 / 40 / RVS / 1mm</t>
  </si>
  <si>
    <t>4613R</t>
  </si>
  <si>
    <t>Eindstijl HL-E+ST9V dubbel Rechts 610 / 40 / RVS / 1mm</t>
  </si>
  <si>
    <t>4620</t>
  </si>
  <si>
    <t>Tandemlooprol lang / as 11 mm / L=162 mm / Verstelbaar RVS</t>
  </si>
  <si>
    <t>4621</t>
  </si>
  <si>
    <t>Tandemlooprol kort / as 11 mm / L=100 mm / verstelbaar RVS</t>
  </si>
  <si>
    <t>4622</t>
  </si>
  <si>
    <t>Tandemlooprol kort / as 11 mm / toprol LPS200-250 RVS</t>
  </si>
  <si>
    <t>4623</t>
  </si>
  <si>
    <t>Tandemlooprol kort 11 mm bodemconsole LPS200-250 Links RVS</t>
  </si>
  <si>
    <t>4624</t>
  </si>
  <si>
    <t>Tandemlooprol kort 11 mm bodemconsole LPS200-250 Rechts RVS</t>
  </si>
  <si>
    <t>4627</t>
  </si>
  <si>
    <t>Tandemlooprol RES verstelbaar kort / as 11mm / L=76,5 mm</t>
  </si>
  <si>
    <t>4628</t>
  </si>
  <si>
    <t>CND1 KE Heavy ontkoppelings arm tbv 4239 &amp; 4686</t>
  </si>
  <si>
    <t>4642</t>
  </si>
  <si>
    <t>Pro-Line CND1/CS310 Hoofdschakelaar incl. 4 aansluitdraden</t>
  </si>
  <si>
    <t>4643</t>
  </si>
  <si>
    <t>Pro-Line CND1/CS310 Noodschakelaar incl. 2 aansluitdraden</t>
  </si>
  <si>
    <t>4644</t>
  </si>
  <si>
    <t>Pro-Line CND2 Voedingskabel /Schuko/1F+PE/1x230V/CEE7/7</t>
  </si>
  <si>
    <t>4645</t>
  </si>
  <si>
    <t>Pro-Line CND1 Voedingskabel /4P/3F+PE/3x230V/CEE/blauw/1m</t>
  </si>
  <si>
    <t>4646</t>
  </si>
  <si>
    <t>Pro-Line CND1 Voedingskabel HS/4P/3F+PE/3x230V/CEE/blauw/1m</t>
  </si>
  <si>
    <t>4653</t>
  </si>
  <si>
    <t>Pro-Line CND1 Voedingskabel 5P/3f/400V/CEE-Stekker/rood/1 m</t>
  </si>
  <si>
    <t>4654</t>
  </si>
  <si>
    <t>Pro-Line CND1-2 Voedingskab 3P/1f/230V/CEE-Stekker/blauw/1m</t>
  </si>
  <si>
    <t>4655</t>
  </si>
  <si>
    <t>Pro-Line CND1 Voedingskab HS/5P/3f/400V/CEE-Stekker/rood/1 m</t>
  </si>
  <si>
    <t>4656</t>
  </si>
  <si>
    <t>Pro-Line CND1 VoedingskabHS/3P/1f/230V/CEE-Stekker/blauw/1 m</t>
  </si>
  <si>
    <t>4659-03000</t>
  </si>
  <si>
    <t>Pro-Line CND1FU Kabelset 3 meter</t>
  </si>
  <si>
    <t>4659-05000</t>
  </si>
  <si>
    <t>Pro-Line CND1FU Kabelset 5 meter</t>
  </si>
  <si>
    <t>4659-07000</t>
  </si>
  <si>
    <t>Pro-Line CND1FU Kabelset 7 meter</t>
  </si>
  <si>
    <t>4659-09000</t>
  </si>
  <si>
    <t>Pro-Line CND1FU Kabelset 9 meter</t>
  </si>
  <si>
    <t>4659-11000</t>
  </si>
  <si>
    <t>Pro-Line CND1FU Kabelset 11 meter</t>
  </si>
  <si>
    <t>4659-13000</t>
  </si>
  <si>
    <t>Pro-Line CND1FU Kabelset 13 meter</t>
  </si>
  <si>
    <t>4659-15000</t>
  </si>
  <si>
    <t>Pro-Line CND1FU Kabelset 15 meter</t>
  </si>
  <si>
    <t>4660-03000</t>
  </si>
  <si>
    <t>Pro-Line CND1 Kabelset 3 meter</t>
  </si>
  <si>
    <t>4660-05000</t>
  </si>
  <si>
    <t>Pro-Line CND1 Kabelset 5 meter</t>
  </si>
  <si>
    <t>4660-07000</t>
  </si>
  <si>
    <t>Pro-Line CND1 Kabelset 7 meter</t>
  </si>
  <si>
    <t>4660-09000</t>
  </si>
  <si>
    <t>Pro-Line CND1 Kabelset 9 meter</t>
  </si>
  <si>
    <t>4660-11000</t>
  </si>
  <si>
    <t>Pro-Line CND1 Kabelset 11 meter</t>
  </si>
  <si>
    <t>4660-13000</t>
  </si>
  <si>
    <t>Pro-Line CND1 Kabelset 13 meter</t>
  </si>
  <si>
    <t>4660-15000</t>
  </si>
  <si>
    <t>Pro-Line CND1 Kabelset 15 meter</t>
  </si>
  <si>
    <t>4660-XXXX</t>
  </si>
  <si>
    <t>Pro-Line CND1 Kabelset L=XXXX meter</t>
  </si>
  <si>
    <t>4661</t>
  </si>
  <si>
    <t>(X3_8) Pro-Line CND1 Stekker 3-polig blauw tbv printplaat</t>
  </si>
  <si>
    <t>4662</t>
  </si>
  <si>
    <t>(X20) Pro-Line CND1 Stekker 4-polig groen tbv printplaat</t>
  </si>
  <si>
    <t>4663</t>
  </si>
  <si>
    <t>(X2) Pro-Line CND1 Stekker 5-polig groen tbv printplaat</t>
  </si>
  <si>
    <t>4664</t>
  </si>
  <si>
    <t>(X13) Pro-Line CND1 Stekker 6-polig zwart tbv printplaat</t>
  </si>
  <si>
    <t>4665</t>
  </si>
  <si>
    <t>(X3_7) Pro-Line CND1 Stekker 2-polig geel tbv printplaat</t>
  </si>
  <si>
    <t>4670</t>
  </si>
  <si>
    <t>Pro-Line CND1 Onderloopbeveiliging set Opto sensor (ex 5589)</t>
  </si>
  <si>
    <t>4678-00100</t>
  </si>
  <si>
    <t>Pro-Line CND1 UVW verlengkabel 80% 6x1mm² L=100mm</t>
  </si>
  <si>
    <t>4678-00300</t>
  </si>
  <si>
    <t>Pro-Line CND1 UVW verlengkabel 120V 6x1mm² L=300mm</t>
  </si>
  <si>
    <t>4679-03000</t>
  </si>
  <si>
    <t>Pro-Line CND1 Verbindingskabel 2x3x0,14 + 4x stekker L=3.000</t>
  </si>
  <si>
    <t>4679-03500</t>
  </si>
  <si>
    <t>Pro-Line CND1 Verbindingskabel 2x3x0,14 + 4x stekker L=3.500</t>
  </si>
  <si>
    <t>4679-04000</t>
  </si>
  <si>
    <t>Pro-Line CND1 Verbindingskabel 2x3x0,14 + 4x stekker L=4.000</t>
  </si>
  <si>
    <t>4679-04500</t>
  </si>
  <si>
    <t>Pro-Line CND1 Verbindingskabel 2x3x0,14 + 4x stekker L=4.500</t>
  </si>
  <si>
    <t>4679-05000</t>
  </si>
  <si>
    <t>Pro-Line CND1 Verbindingskabel 2x3x0,14 + 4x stekker L=5.000</t>
  </si>
  <si>
    <t>4679-05500</t>
  </si>
  <si>
    <t>Pro-Line CND1 Verbindingskabel 2x3x0,14 + 4x stekker L=5.500</t>
  </si>
  <si>
    <t>4679-06500</t>
  </si>
  <si>
    <t>Pro-Line CND1 Verbindingskabel 2x3x0,14 + 4x stekker L=6.500</t>
  </si>
  <si>
    <t>4679-08500</t>
  </si>
  <si>
    <t>Pro-Line CND1 Verbindingskabel 2x3x0,14 + 4x stekker L=8.500</t>
  </si>
  <si>
    <t>4679-13500</t>
  </si>
  <si>
    <t>Pro-Line CND1 Verbindingskabel 2x3x0,14 + 4x stekker L=13500</t>
  </si>
  <si>
    <t>4680</t>
  </si>
  <si>
    <t>Pro-Line CND1 Wartel M20x1,5 incl moer RAL9005</t>
  </si>
  <si>
    <t>4681</t>
  </si>
  <si>
    <t>Pro-Line CND1 Inschuifwartel M20 inclusief moer RAL9005</t>
  </si>
  <si>
    <t>4682</t>
  </si>
  <si>
    <t>Pro-Line CND1 Wartel M16x1,5 incl moer RAL9005</t>
  </si>
  <si>
    <t>4683</t>
  </si>
  <si>
    <t>Pro-Line CND1 KU module excl. slinger 10mm PL 28-50</t>
  </si>
  <si>
    <t>4684</t>
  </si>
  <si>
    <t>Pro-Line CND1 KU module excl. slinger 12mm PL70</t>
  </si>
  <si>
    <t>4697</t>
  </si>
  <si>
    <t>Pro-Line CND1 Afdekdop t.b.v. Opto sensor (4670)</t>
  </si>
  <si>
    <t>4698</t>
  </si>
  <si>
    <t>Pro-Line CND1 Kabelafdichting U/gesloten / klein PL 28-50</t>
  </si>
  <si>
    <t>4701</t>
  </si>
  <si>
    <t>Cube Driehoeksplaat 700x813x4 mm EV LINKS</t>
  </si>
  <si>
    <t>4702</t>
  </si>
  <si>
    <t>Cube Driehoeksplaat 700x813x4 mm EV RECHTS</t>
  </si>
  <si>
    <t>4703</t>
  </si>
  <si>
    <t>Cube Driehoek vangplaat 191,1x92,4 mm EV LINKS</t>
  </si>
  <si>
    <t>4704</t>
  </si>
  <si>
    <t>Cube Driehoek vangplaat 191,1x92,4 mm EV RECHTS</t>
  </si>
  <si>
    <t>4705</t>
  </si>
  <si>
    <t>Cube Driehoek steunplaat 105x105x3 mm EV</t>
  </si>
  <si>
    <t>4706</t>
  </si>
  <si>
    <t>Cube Stop-beugel 200x35x30x3 mm EV</t>
  </si>
  <si>
    <t>4709</t>
  </si>
  <si>
    <t>Cube Verstelbare ligger 373mm EV</t>
  </si>
  <si>
    <t>4710L</t>
  </si>
  <si>
    <t>CUBE Verstelbare ligger 703 mm EV LINKS</t>
  </si>
  <si>
    <t>4710R</t>
  </si>
  <si>
    <t>CUBE Verstelbare ligger 703 mm EV RECHTS</t>
  </si>
  <si>
    <t>4715</t>
  </si>
  <si>
    <t>Cube Verstelbaar looprol 100x85x87,5x4 mm EV</t>
  </si>
  <si>
    <t>4716</t>
  </si>
  <si>
    <t>Cube Zijscharnier onder 488 EV LINKS</t>
  </si>
  <si>
    <t>4717</t>
  </si>
  <si>
    <t>Cube Zijscharnier onder 488 EV RECHTS</t>
  </si>
  <si>
    <t>4718</t>
  </si>
  <si>
    <t>Cube Zijscharnier boven 110x70x4 mm EV</t>
  </si>
  <si>
    <t>4720</t>
  </si>
  <si>
    <t>Looprol kort RVS as 11 mm / L=121 mm / max. 45 kg</t>
  </si>
  <si>
    <t>4721</t>
  </si>
  <si>
    <t>Looprol lang RVS as 11mm / L=186 mm / max. 45 kg</t>
  </si>
  <si>
    <t>4724-05400</t>
  </si>
  <si>
    <t>Cube middenscharnier ALU BRUTE (A+B) L=5.400 mm</t>
  </si>
  <si>
    <t>4725-05400</t>
  </si>
  <si>
    <t>Cube middenscharnier ALU ANO (A+B) L=5.400 mm</t>
  </si>
  <si>
    <t>4726</t>
  </si>
  <si>
    <t>Cube Zijscharnier onder 610 EV LINKS</t>
  </si>
  <si>
    <t>4727</t>
  </si>
  <si>
    <t>Cube Zijscharnier onder 610 EV RECHTS</t>
  </si>
  <si>
    <t>4728</t>
  </si>
  <si>
    <t>Cube Nylon sluitring 12 mm PA6 wit</t>
  </si>
  <si>
    <t>4740</t>
  </si>
  <si>
    <t>Pro-Line CND1/CS310 UPS Comfort Basic LED / 1 x 230V</t>
  </si>
  <si>
    <t>4741</t>
  </si>
  <si>
    <t>Pro-Line CND1/CS310 UPS Comfort Advanced LED / 1 x 230V</t>
  </si>
  <si>
    <t>4742</t>
  </si>
  <si>
    <t>Pro-Line CND1/CS310 UPS Montagesteun tbv 4740 / 4741</t>
  </si>
  <si>
    <t>4744</t>
  </si>
  <si>
    <t>Pro-Line CND1/CS310 UPS Advanced Emergency LED / 1 x 230V</t>
  </si>
  <si>
    <t>4764</t>
  </si>
  <si>
    <t>Aandrijving Pro-Line 28 CS320 KE 1" 7mtr. kabel +LCD+HS</t>
  </si>
  <si>
    <t>4765</t>
  </si>
  <si>
    <t>Aandrijving Pro-Line 28 CS320 E 1" 7mtr. kabel +LCD+HS</t>
  </si>
  <si>
    <t>4766</t>
  </si>
  <si>
    <t>Aandrijving Pro-Line 28 CS320 KU 1" 7mtr. kabel +LCD+HS</t>
  </si>
  <si>
    <t>4767</t>
  </si>
  <si>
    <t>Aandrijving Pro-Line 50 CS320 KE 1,25" 7mtr. Kabel +LCD+HS</t>
  </si>
  <si>
    <t>4768</t>
  </si>
  <si>
    <t>Aandrijving Pro-Line 50 CS320 KU 1,25" 7mtr. Kabel +LCD+HS</t>
  </si>
  <si>
    <t>4769-03000</t>
  </si>
  <si>
    <t>Pro-Line CND1 PL 70 / LIER Kabelset 3 meter</t>
  </si>
  <si>
    <t>4769-05000</t>
  </si>
  <si>
    <t>Pro-Line CND1 PL 70 / LIER Kabelset 5 meter</t>
  </si>
  <si>
    <t>4769-07000</t>
  </si>
  <si>
    <t>Pro-Line CND1 PL 70 / LIER Kabelset 7 meter</t>
  </si>
  <si>
    <t>4769-09000</t>
  </si>
  <si>
    <t>Pro-Line CND1 PL 70 / LIER Kabelset 9 meter</t>
  </si>
  <si>
    <t>4769-11000</t>
  </si>
  <si>
    <t>Pro-Line CND1 PL 70 / LIER Kabelset 11 meter</t>
  </si>
  <si>
    <t>4769-13000</t>
  </si>
  <si>
    <t>Pro-Line CND1 PL 70 / LIER Kabelset 13 meter</t>
  </si>
  <si>
    <t>4769-15000</t>
  </si>
  <si>
    <t>Pro-Line CND1 PL 70 / LIER Kabelset 15 meter</t>
  </si>
  <si>
    <t>4770-05000</t>
  </si>
  <si>
    <t>Pro-Line CND1FU PL 70 / LIER Kabelset 5 meter</t>
  </si>
  <si>
    <t>4770-07000</t>
  </si>
  <si>
    <t>Pro-Line CND1FU PL 70 / LIER Kabelset 7 meter</t>
  </si>
  <si>
    <t>4770-09000</t>
  </si>
  <si>
    <t>Pro-Line CND1FU PL 70 / LIER Kabelset 9 meter</t>
  </si>
  <si>
    <t>4770-11000</t>
  </si>
  <si>
    <t>Pro-Line CND1FU PL 70 / LIER Kabelset 11 meter</t>
  </si>
  <si>
    <t>4770-13000</t>
  </si>
  <si>
    <t>Pro-Line CND1FU PL 70 / LIER Kabelset 13 meter</t>
  </si>
  <si>
    <t>4770-15000</t>
  </si>
  <si>
    <t>Pro-Line CND1FU PL 70 / LIER Kabelset 15 meter</t>
  </si>
  <si>
    <t>4771</t>
  </si>
  <si>
    <t>Pro-Line CND1 Spiraalkabel 1,6mtr tbv OPTO (excl aansl.doos)</t>
  </si>
  <si>
    <t>4772-07000</t>
  </si>
  <si>
    <t>Pro-Line CND1 Kabelset / anti verstoring / 12 aders L=7000mm</t>
  </si>
  <si>
    <t>4772-11000</t>
  </si>
  <si>
    <t>Pro-Line CND1 Kabelset / anti verstoring /12 aders L=11000mm</t>
  </si>
  <si>
    <t>4772-15000</t>
  </si>
  <si>
    <t>Pro-Line CND1 Kabelset / anti verstoring /12 aders L=15000mm</t>
  </si>
  <si>
    <t>4773</t>
  </si>
  <si>
    <t>Pro-Line CND1 Spiraalkabel 5 mtr tbv OPTO (excl aansl.doos)</t>
  </si>
  <si>
    <t>4774-07000</t>
  </si>
  <si>
    <t>Pro-Line CND1-CS310 PL28-50 / Combi Kabelset 7 meter</t>
  </si>
  <si>
    <t>4775</t>
  </si>
  <si>
    <t>PL CND1 Spiraalkabel 5mtr/7mtr spiraal tbv OPTO (excl. doos)</t>
  </si>
  <si>
    <t>4776</t>
  </si>
  <si>
    <t>Pro-Line CND1 Spiraalkabel 1,6mtr tbv DW (excl aansl.doos)</t>
  </si>
  <si>
    <t>4777</t>
  </si>
  <si>
    <t>Pro-Line CND1 Spiraalkabel 5 mtr tbv DW (excl aansl.doos)</t>
  </si>
  <si>
    <t>4779</t>
  </si>
  <si>
    <t>Pro-Line CND1 Beugel t.b.v. Spiraalkabel</t>
  </si>
  <si>
    <t>4786</t>
  </si>
  <si>
    <t>Pro-Line CND1/CS310/UNI Aansluitdoos leeg / OPTO-OPTO DUO</t>
  </si>
  <si>
    <t>4787</t>
  </si>
  <si>
    <t>Pro-Line CND1/CS310/UNI Deksel Aansluitdoos / DW</t>
  </si>
  <si>
    <t>4788</t>
  </si>
  <si>
    <t>Pro-Line DW schakelaar Bircher</t>
  </si>
  <si>
    <t>4792</t>
  </si>
  <si>
    <t>Pro-Line CND1 Besturing printplaat 1F230/3F230-400</t>
  </si>
  <si>
    <t>4795</t>
  </si>
  <si>
    <t>Pro-Line CND1FU Printplaat 0,75KW 1F230 V7E SR</t>
  </si>
  <si>
    <t>4800</t>
  </si>
  <si>
    <t>Pro-Line CND1 433 Mhz ontvanger insteek 1-kan (code GFA) 63</t>
  </si>
  <si>
    <t>4801</t>
  </si>
  <si>
    <t>Pro-Line CND1 868 Mhz ontvanger insteek 1-kan (code MFZ) 63</t>
  </si>
  <si>
    <t>4802</t>
  </si>
  <si>
    <t>PL-HL CND1/CS310 externe ontvanger (code Homelink)</t>
  </si>
  <si>
    <t>4803</t>
  </si>
  <si>
    <t>Sprint CND1 Rem gelijkrichter compleet (clip en schroef)</t>
  </si>
  <si>
    <t>4804</t>
  </si>
  <si>
    <t>Pro-Line CND1 Verwarmings-element 230V-10W incl DIN-rail</t>
  </si>
  <si>
    <t>4805-01600</t>
  </si>
  <si>
    <t>CND1 Spiraalkabel 1,6m/OPTO/UNI/2x aansluitd incl weerstand</t>
  </si>
  <si>
    <t>4805-03000</t>
  </si>
  <si>
    <t>PL CND1 Spiraalkabel 3m OPTO/UNI/2x aansluitd incl weerstand</t>
  </si>
  <si>
    <t>4805-05000</t>
  </si>
  <si>
    <t>PL CND1 Spiraalkabel 5m OPTO/UNI/2x aansluitd incl weerstand</t>
  </si>
  <si>
    <t>4806-01600</t>
  </si>
  <si>
    <t>CND1 Spiraalkabel 1,6m/DUO/UNI/2x aansluitd incl weerstand</t>
  </si>
  <si>
    <t>4806-05000</t>
  </si>
  <si>
    <t>PL CND1 Spiraalkabel 5m/DUO/UNI/2x aansluitd incl weerstand</t>
  </si>
  <si>
    <t>4807-01600</t>
  </si>
  <si>
    <t>PL CND1 Spiraalkabel 1,6m/DW/UNI/2x aansluitd incl weerstand</t>
  </si>
  <si>
    <t>4807-05000</t>
  </si>
  <si>
    <t>PL CND1 Spiraalkabel 5m/DW/UNI/2x aansluitd incl weerstand</t>
  </si>
  <si>
    <t>4812</t>
  </si>
  <si>
    <t>PL CND1/UNI Aansluitdoos tbv spiraalkabel OPTO weerstand</t>
  </si>
  <si>
    <t>4813</t>
  </si>
  <si>
    <t>PL CND1/CS310/UNI Aansluitdoos OPTO weerstand</t>
  </si>
  <si>
    <t>4814</t>
  </si>
  <si>
    <t>PL CND1/UNI Aansluitdoos tbv Spiraalkabel OPTO-DUO weerstand</t>
  </si>
  <si>
    <t>4815</t>
  </si>
  <si>
    <t>PL CND1/CS310/UNI Aansluitdoos OPTO-DUO weerstand</t>
  </si>
  <si>
    <t>4816</t>
  </si>
  <si>
    <t>PL CND1/UNI Aansluitdoos tbv Spiraalkabel DW weerstand</t>
  </si>
  <si>
    <t>4817</t>
  </si>
  <si>
    <t>PL CND1/CS310/UNI Aansluitdoos DW weerstand</t>
  </si>
  <si>
    <t>4819-01600</t>
  </si>
  <si>
    <t>Pro-Line CND1 UNI Spiraalkabel 1,6mtr</t>
  </si>
  <si>
    <t>4819-03000</t>
  </si>
  <si>
    <t>Pro-Line CND1 UNI Spiraalkabel 3 mtr</t>
  </si>
  <si>
    <t>4819-05000</t>
  </si>
  <si>
    <t>Pro-Line CND1 UNI Spiraalkabel 5 mtr</t>
  </si>
  <si>
    <t>5000-04000</t>
  </si>
  <si>
    <t>Kokerprofiel staal rechthoekig 120 x 40 x 3 mm EV L=4.000 mm</t>
  </si>
  <si>
    <t>5000-06000</t>
  </si>
  <si>
    <t>Kokerprofiel staal rechthoekig 120 x 40 x 3 mm EV L=6.000 mm</t>
  </si>
  <si>
    <t>5002-06000</t>
  </si>
  <si>
    <t>Kokerprofiel staal vierkant 40 x 40 x 2 mm SV L=6.000 mm</t>
  </si>
  <si>
    <t>5003-06000</t>
  </si>
  <si>
    <t>Kokerprofiel staal rechthoekig 100 x 40 x 3 mm EV L=6.000 mm</t>
  </si>
  <si>
    <t>5004-06000</t>
  </si>
  <si>
    <t>Kokerprofiel staal vierkant 120x120x3 mm EV L=6.000 mm</t>
  </si>
  <si>
    <t>5006-04000</t>
  </si>
  <si>
    <t>Kokerprofiel staal vierkant 100 x 100 x 3 mm EV L=4.000 mm</t>
  </si>
  <si>
    <t>5006-05000</t>
  </si>
  <si>
    <t>Kokerprofiel staal vierkant 100 x 100 x 3 mm EV L=5.000 mm</t>
  </si>
  <si>
    <t>5006-06000</t>
  </si>
  <si>
    <t>Kokerprofiel staal vierkant 100 x 100 x 3 mm EV L=6.000 mm</t>
  </si>
  <si>
    <t>5006-07000</t>
  </si>
  <si>
    <t>Kokerprofiel staal vierkant 100 x 100 x 3 mm EV L=7.000 mm</t>
  </si>
  <si>
    <t>5006-08000</t>
  </si>
  <si>
    <t>Kokerprofiel staal vierkant 100 x 100 x 3 mm EV L=8.000 mm</t>
  </si>
  <si>
    <t>5007-06000</t>
  </si>
  <si>
    <t>Kokerprofiel staal vierkant 60 x 60 x 3 mm EV L=6.000 mm</t>
  </si>
  <si>
    <t>5008-06000</t>
  </si>
  <si>
    <t>Kokerprofiel staal rechthoekig 140 x 40 x 3 mm EV L=6.000 mm</t>
  </si>
  <si>
    <t>5009-06000</t>
  </si>
  <si>
    <t>Kokerprofiel staal rechthoekig 120 x 60 x 4 mm EV L=6.000 mm</t>
  </si>
  <si>
    <t>5010-03390</t>
  </si>
  <si>
    <t>Kokerprofiel staal rechthoekig 60 x 40 x 2 mm SV L=3.390 mm</t>
  </si>
  <si>
    <t>5010-04000</t>
  </si>
  <si>
    <t>Kokerprofiel staal rechthoekig 60 x 40 x 2 mm SV L=4.000 mm</t>
  </si>
  <si>
    <t>5010-05000</t>
  </si>
  <si>
    <t>Kokerprofiel staal rechthoekig 60 x 40 x 2 mm SV L=5.000 mm</t>
  </si>
  <si>
    <t>5010-06000</t>
  </si>
  <si>
    <t>Kokerprofiel staal rechthoekig 60 x 40 x 2 mm SV L=6.000 mm</t>
  </si>
  <si>
    <t>5010-07000</t>
  </si>
  <si>
    <t>Kokerprofiel staal rechthoekig 60 x 40 x 2 mm SV L=7.000 mm</t>
  </si>
  <si>
    <t>5015-06000</t>
  </si>
  <si>
    <t>Kokerprofiel staal rechthoekig 80 x 40 x 3 mm EV L=6.000 mm</t>
  </si>
  <si>
    <t>5017-06000</t>
  </si>
  <si>
    <t>Kokerprofiel staal rechthoekig 200 x 40 x 4 mm EV L=6.000 mm</t>
  </si>
  <si>
    <t>5190</t>
  </si>
  <si>
    <t>ProLine 310/320 Spiraalkabel 5Aderig 1,6 mtr ex aansluitdoos</t>
  </si>
  <si>
    <t>5191</t>
  </si>
  <si>
    <t>Pro-Line 310/320 Spiraalkabel 5-Aderig 5 mtr ex aansluitdoos</t>
  </si>
  <si>
    <t>5192</t>
  </si>
  <si>
    <t>Pro-Line 310/320 Aansluitdoos stekker/klem / spiraalkabel</t>
  </si>
  <si>
    <t>5193</t>
  </si>
  <si>
    <t>Pro-Line 310/320 Aansluitdoos stekker/klem DW / spiraalkabel</t>
  </si>
  <si>
    <t>5194</t>
  </si>
  <si>
    <t>Pro-Line 310/320 Aansluitdoos stekker/klem blind/extra</t>
  </si>
  <si>
    <t>5221</t>
  </si>
  <si>
    <t>Ventilatierooster spuiten in RAL</t>
  </si>
  <si>
    <t>5223</t>
  </si>
  <si>
    <t>Kokerprofiel poedercoaten in RAL =&lt; 7000 mm</t>
  </si>
  <si>
    <t>5299</t>
  </si>
  <si>
    <t>Aandrijving Comfort 390 Plus met ingebouwde besturing</t>
  </si>
  <si>
    <t>5306</t>
  </si>
  <si>
    <t>Aandrijving Pro-Line 28 CS320 KE 1" 7 mtr. kabel +LCD</t>
  </si>
  <si>
    <t>5307</t>
  </si>
  <si>
    <t>Aandrijving Pro-Line 28 CS320 E 1" 7 mtr. Kabel +LCD</t>
  </si>
  <si>
    <t>5308</t>
  </si>
  <si>
    <t>Aandrijving Pro-Line 28 CS320 KU 1" 7 mtr. kabel +LCD</t>
  </si>
  <si>
    <t>5309</t>
  </si>
  <si>
    <t>Aandrijving Pro-Line 50 CS320 KE 1,25" 7 mtr. Kabel +LCD</t>
  </si>
  <si>
    <t>5310</t>
  </si>
  <si>
    <t>Aandrijving Pro-Line 50 CS320 KU 1,25" 7 mtr. Kabel +LCD</t>
  </si>
  <si>
    <t>5311</t>
  </si>
  <si>
    <t>Aandrijving Pro-Line 28F CS320 KU 1" 7 mtr. Kabel +LCD</t>
  </si>
  <si>
    <t>5312</t>
  </si>
  <si>
    <t>Aandrijving Pro-Line 28F CS320FU KE 1" 7 mtr. Kabel +LCD</t>
  </si>
  <si>
    <t>5313</t>
  </si>
  <si>
    <t>Aandrijving Pro-Line 28F CS320FU E 1" 7 mtr. kabel +LCD</t>
  </si>
  <si>
    <t>5314</t>
  </si>
  <si>
    <t>Aandrijving Pro-Line 28F CS320 KU 1" 11 mtr. Kabel +LCD</t>
  </si>
  <si>
    <t>5315</t>
  </si>
  <si>
    <t>Aandrijving Pro-Line 28F CS320FU KE 1" 11 mtr. Kabel +LCD</t>
  </si>
  <si>
    <t>5316</t>
  </si>
  <si>
    <t>Aandrijving Pro-Line 28F CS320FU E 1" 11 mtr. kabel +LCD</t>
  </si>
  <si>
    <t>5317</t>
  </si>
  <si>
    <t>Aandrijving Pro-Line 50F CS320FU KU 1,25" 11 mtr. Kabel +LCD</t>
  </si>
  <si>
    <t>5318</t>
  </si>
  <si>
    <t>Aandrijving Pro-Line 50F CS310FU KE 1,25" 11 mtr. Kabel +LCD</t>
  </si>
  <si>
    <t>5319</t>
  </si>
  <si>
    <t>Select-L/High-Line DL motorrail 2-delig DMH&lt;3000mm L=4000mm</t>
  </si>
  <si>
    <t>5320</t>
  </si>
  <si>
    <t>Aandrijving Select-Line 12 / 1200N incl 2+1 868 Excl. rail</t>
  </si>
  <si>
    <t>5322</t>
  </si>
  <si>
    <t>Select-L/High-Line DL motorrail 2-delig DMH&lt;2250mm L=3300mm</t>
  </si>
  <si>
    <t>5325</t>
  </si>
  <si>
    <t>Aandrijving Select-Line 10 / 1000N incl 2+1 868 Excl. rail</t>
  </si>
  <si>
    <t>5327</t>
  </si>
  <si>
    <t>Select-L/High-Line DL externe ontvanger 1-kanaals 868 MHz</t>
  </si>
  <si>
    <t>5329</t>
  </si>
  <si>
    <t>Select-Line Codeschakelaar 2-kanaals 868 MHz</t>
  </si>
  <si>
    <t>5332</t>
  </si>
  <si>
    <t>High-Line MA Handzender 2 kanaals bi-linked 572</t>
  </si>
  <si>
    <t>5333</t>
  </si>
  <si>
    <t>High-Line MA Handzender 4 kanaals bi-linked 564</t>
  </si>
  <si>
    <t>5336</t>
  </si>
  <si>
    <t>High-Line MA Wandschakelaar 2 kanaals bi-directioneel 644</t>
  </si>
  <si>
    <t>5338</t>
  </si>
  <si>
    <t>High-Line MA Codeschakelaar 3 kanaals IP54 bi-linked 525</t>
  </si>
  <si>
    <t>5339</t>
  </si>
  <si>
    <t>High-Line MA Codeschakelaar 3 kanaals IP54+kap bi-linked 526</t>
  </si>
  <si>
    <t>5343</t>
  </si>
  <si>
    <t>High-Line MA Ontvanger 1 kanaal bi-directioneel 921</t>
  </si>
  <si>
    <t>5344</t>
  </si>
  <si>
    <t>High-Line MA Ontvanger 1 kanaal bi-directioneel +Antenne 941</t>
  </si>
  <si>
    <t>5347</t>
  </si>
  <si>
    <t>Aandrijving High-Line MA 10 bi-linked (incl.2 handz/ex.Rail)</t>
  </si>
  <si>
    <t>5348</t>
  </si>
  <si>
    <t>Aandrijving High-Line MA 15 bi-linked (incl 2 handz/ex.Rail)</t>
  </si>
  <si>
    <t>5349</t>
  </si>
  <si>
    <t>Aandrijving High-Line MA 18 bi-linked (incl.2 handz/ex rail)</t>
  </si>
  <si>
    <t>5359</t>
  </si>
  <si>
    <t>High-Line MA Batterij Back-up HL10/15/18</t>
  </si>
  <si>
    <t>5362</t>
  </si>
  <si>
    <t>High-Line MA Adapter huls C2xx/C3xx (5st set) 102993</t>
  </si>
  <si>
    <t>5365=RX</t>
  </si>
  <si>
    <t>Pro-line Lichtlijst los GS-Pro Rx L=2000mm SY-2000-20 B&lt;10m1</t>
  </si>
  <si>
    <t>5365=TX</t>
  </si>
  <si>
    <t>Pro-line Lichtlijst los GS-Pro Tx L=2000mm SY-2000-20 B&lt;10m1</t>
  </si>
  <si>
    <t>5366</t>
  </si>
  <si>
    <t>Pro-line lichtlijst GS-Pro Besturingskabel 6 polig L=5000mm</t>
  </si>
  <si>
    <t>5367</t>
  </si>
  <si>
    <t>Pro-line lichtlijst GS-Pro Best. kabel 6 polig L=5000mm P&amp;P</t>
  </si>
  <si>
    <t>5368</t>
  </si>
  <si>
    <t>Pro-line lichtlijst GS-Pro verbindingskabel 4-P L=10.000mm</t>
  </si>
  <si>
    <t>5369</t>
  </si>
  <si>
    <t>Pro-line TOF-Spot 6mtr /Kabel 6P L=1500 incl beugel+marker</t>
  </si>
  <si>
    <t>5372</t>
  </si>
  <si>
    <t>High-Line MA aandrijving rail DMH&lt;2125 (2D-SZ11SL)</t>
  </si>
  <si>
    <t>5373</t>
  </si>
  <si>
    <t>High-Line MA aandrijving rail DMH&lt;2375 (2D-SZ12SL) 5346-5349</t>
  </si>
  <si>
    <t>5374</t>
  </si>
  <si>
    <t>High-Line MA aandrijving rail DMH&lt;3255 (2D-SZ13SL) 5346-5349</t>
  </si>
  <si>
    <t>5378=RX</t>
  </si>
  <si>
    <t>Pro-line Lichtlijst los GS-Pro Rx L=2500mm SY-2500-22 B&lt;10m1</t>
  </si>
  <si>
    <t>5378=TX</t>
  </si>
  <si>
    <t>Pro-line Lichtlijst los GS-Pro Tx L=2500mm SY-2500-22 B&lt;10m1</t>
  </si>
  <si>
    <t>5379</t>
  </si>
  <si>
    <t>High-Line LM/MA Deurbladbeugel voor NS IND special 112</t>
  </si>
  <si>
    <t>5383</t>
  </si>
  <si>
    <t>Pro-Line CS320 Best. incl. Kast, hoofdsch + LCD 230V/1Ph</t>
  </si>
  <si>
    <t>5384</t>
  </si>
  <si>
    <t>Pro-Line CS320 Best. incl. Kast, zo/wi + LCD 230V/1Ph</t>
  </si>
  <si>
    <t>5389</t>
  </si>
  <si>
    <t>pro-line / CND1 noodontkoppelingset met behuizing</t>
  </si>
  <si>
    <t>5398</t>
  </si>
  <si>
    <t>Aandrijving Select-Line 8 / 800N incl 1x HZ 868 Excl. rail</t>
  </si>
  <si>
    <t>5399</t>
  </si>
  <si>
    <t>Select-L/High-Line DL motorrail 2-delig DMH&lt;2125mm L=3150mm</t>
  </si>
  <si>
    <t>5422</t>
  </si>
  <si>
    <t>Select-Line Zonneklep zender 2-kanaals 868 MHz</t>
  </si>
  <si>
    <t>5423</t>
  </si>
  <si>
    <t>Select-Line Handzender 4-kanaals 868 MHz</t>
  </si>
  <si>
    <t>5424</t>
  </si>
  <si>
    <t>Select-Line Wandschakelaar 3-kanaals 868 MHz</t>
  </si>
  <si>
    <t>5426</t>
  </si>
  <si>
    <t>Loopdeurschakelaar magneet / draadloos /</t>
  </si>
  <si>
    <t>5434-03500</t>
  </si>
  <si>
    <t>Pro-Line CS310/320 Verbindingskabel 3,5 mtr 2e SKB L=3.500</t>
  </si>
  <si>
    <t>5434-04500</t>
  </si>
  <si>
    <t>Pro-Line CS310/320 Verbindingskabel 4,5 mtr 2e SKB L=4.500</t>
  </si>
  <si>
    <t>5434-06500</t>
  </si>
  <si>
    <t>Pro-Line CS310/320 Verbindingskabel 6,5 mtr 2e SKB L=6.500</t>
  </si>
  <si>
    <t>5434-08500</t>
  </si>
  <si>
    <t>Pro-Line CS310/320 Verbindingskabel 8,5 mtr 2e SKB L=8.500</t>
  </si>
  <si>
    <t>5434-13500</t>
  </si>
  <si>
    <t>Pro-Line CS310/320 Verbindingskabel 13,5 mtr 2e SKB L=13.500</t>
  </si>
  <si>
    <t>5436</t>
  </si>
  <si>
    <t>ProLine CS310/320 Verbindingskabel 7-aderig voorlopende opto</t>
  </si>
  <si>
    <t>5471</t>
  </si>
  <si>
    <t>Pro-Line CND1 CS310/320 Ketting 4mm Verbindingsschalm tbv KE</t>
  </si>
  <si>
    <t>5487</t>
  </si>
  <si>
    <t>Pro-Line Asketting / Kettingoverbrenging 1" =&gt;1¼" (31,75 mm)</t>
  </si>
  <si>
    <t>5499</t>
  </si>
  <si>
    <t>Pro-Line Asketting / Kettingoverbrenging 1" =&gt; 1" (25,4 mm)</t>
  </si>
  <si>
    <t>5505</t>
  </si>
  <si>
    <t>High-Line MA WK2 uitbreidingsset HL 8/10/15-108 na 04-2020</t>
  </si>
  <si>
    <t>5506</t>
  </si>
  <si>
    <t>High-Line MA LED strook HL 10 &amp; 15 312</t>
  </si>
  <si>
    <t>5507</t>
  </si>
  <si>
    <t>High-Line MA EP 161 uitbreidingsmodule 24 Volt</t>
  </si>
  <si>
    <t>5508</t>
  </si>
  <si>
    <t>High-Line MA EP 141 Adapterbus Systeemstekker</t>
  </si>
  <si>
    <t>5510</t>
  </si>
  <si>
    <t>High-Line MA handzender 4 kanaals 433 Mhz 384</t>
  </si>
  <si>
    <t>5511</t>
  </si>
  <si>
    <t>High-Line / Select-Line Noodontkoppeling compleet</t>
  </si>
  <si>
    <t>5523</t>
  </si>
  <si>
    <t>High-Line MA ontvanger 1 kanaal 868Mhz 6/10.2/15.2 oud 164</t>
  </si>
  <si>
    <t>5524</t>
  </si>
  <si>
    <t>High-Line MA ontvanger 1 kanaal 868Mhz 168</t>
  </si>
  <si>
    <t>5525</t>
  </si>
  <si>
    <t>Koppeling 1" naar Crawford zeskant 32mm</t>
  </si>
  <si>
    <t>5526</t>
  </si>
  <si>
    <t>High-Line MA Referentiepunt schakelaar HL6 / HL10.2 / HL15.2</t>
  </si>
  <si>
    <t>5527</t>
  </si>
  <si>
    <t>High-Line MA referentiepunt tandriem oude SZ11 / SZ 12 -13</t>
  </si>
  <si>
    <t>5530</t>
  </si>
  <si>
    <t>High-Line MA WK2 uitbreidingsset HL 8/10/15-108 t/m 04-2020</t>
  </si>
  <si>
    <t>5534</t>
  </si>
  <si>
    <t>PL/SL/HL-DL Doorloopbev. fotocel zend/ontv incl Beugels</t>
  </si>
  <si>
    <t>5546</t>
  </si>
  <si>
    <t>Pro-line lichtlijst GS-Mini Besturing verlengkab.6-P L=3000</t>
  </si>
  <si>
    <t>5553</t>
  </si>
  <si>
    <t>Pro-line Stop Knop champignon</t>
  </si>
  <si>
    <t>5554</t>
  </si>
  <si>
    <t>Pro-line Stop Knop champignon met sleutel</t>
  </si>
  <si>
    <t>5555</t>
  </si>
  <si>
    <t>Pro-line CS310/320 ontvanger 1 kanaal insteek !!433Mhz!!</t>
  </si>
  <si>
    <t>5559</t>
  </si>
  <si>
    <t>Pro-line CS300/310/320 ontvanger 1 kanaal insteek868 Mhz</t>
  </si>
  <si>
    <t>5569</t>
  </si>
  <si>
    <t>Pro-Line CS310/320 handzender 10 kanaals 868 MHZ 306</t>
  </si>
  <si>
    <t>5574</t>
  </si>
  <si>
    <t>High-Line MA aandrijv rail L=6500mm (SZ-Spec-SL) 5346-5349</t>
  </si>
  <si>
    <t>5581</t>
  </si>
  <si>
    <t>High-Line MA Ontkoppeling spec 312 Marantec</t>
  </si>
  <si>
    <t>5589</t>
  </si>
  <si>
    <t>Pro-Line CND1/CS310/320 Opto beschermbus 35,5 x 22 mm</t>
  </si>
  <si>
    <t>5590</t>
  </si>
  <si>
    <t>High-Line MA Draadloze drukknopkast voor binnen 868 MHz 131</t>
  </si>
  <si>
    <t>5592</t>
  </si>
  <si>
    <t>High-Line MA Draadloze codeschakelaar 4 kan. 868MHz IP65 222</t>
  </si>
  <si>
    <t>5595</t>
  </si>
  <si>
    <t>High-Line MA Draadloze codeschakelaar 3 kan. 868MHz IP54 231</t>
  </si>
  <si>
    <t>5596</t>
  </si>
  <si>
    <t>High-Line MA Doorloopbeveiliging fotocel zender-ontvanger</t>
  </si>
  <si>
    <t>5598</t>
  </si>
  <si>
    <t>High-Line MA Drukknoppenkast binnen 9 mtr kabel 107</t>
  </si>
  <si>
    <t>5619</t>
  </si>
  <si>
    <t>Pro-line montagebeugel lichtlijst GS-Pro 48x25x0,5 mm</t>
  </si>
  <si>
    <t>5624</t>
  </si>
  <si>
    <t>Pro-line montagebeugel lichtlijst GS-Mini 48x40x2 mm EV</t>
  </si>
  <si>
    <t>5626</t>
  </si>
  <si>
    <t>Pro-Line CS310/CS320 printplaat</t>
  </si>
  <si>
    <t>5630</t>
  </si>
  <si>
    <t>Pro-Line Slappekabelbeveiliging tbv ALU verst. bodemconsole</t>
  </si>
  <si>
    <t>5644</t>
  </si>
  <si>
    <t>PL Slappekabelbeveiliging tbv ALU verst. bodemconsole 1,5kO</t>
  </si>
  <si>
    <t>5645</t>
  </si>
  <si>
    <t>Pro-Line CS310/320 Optoset S80 Pro-Line 10.000mm ( DUO )</t>
  </si>
  <si>
    <t>5646</t>
  </si>
  <si>
    <t>Pro-Line CS310/320 Optoset max DMB 3700mm incl. huls</t>
  </si>
  <si>
    <t>5647</t>
  </si>
  <si>
    <t>Pro-Line CS310/320 Optoset max DMB 5700mm incl. huls</t>
  </si>
  <si>
    <t>5648</t>
  </si>
  <si>
    <t>Pro-Line CS310/320 Optoset max DMB 10200mm incl.huls</t>
  </si>
  <si>
    <t>5649</t>
  </si>
  <si>
    <t>Pro-Line Voorlopende optoset compleet</t>
  </si>
  <si>
    <t>5657</t>
  </si>
  <si>
    <t>Pro-Line CS320 Besturing incl. kast + LCD</t>
  </si>
  <si>
    <t>5658</t>
  </si>
  <si>
    <t>Pro-Line CS320 Besturing incl. kast, hoofdsch. + LCD</t>
  </si>
  <si>
    <t>5659</t>
  </si>
  <si>
    <t>Pro-Line CS320 Besturing incl. kast, zo/wi + LCD</t>
  </si>
  <si>
    <t>5670</t>
  </si>
  <si>
    <t>Pro-Line DW Messing-buisje 175 mm tbv DW</t>
  </si>
  <si>
    <t>5672</t>
  </si>
  <si>
    <t>Pro-Line DW slang PVC helder 2,5 x 1,0 mm L=250mm</t>
  </si>
  <si>
    <t>5674</t>
  </si>
  <si>
    <t>Pro-Line DW Rubberstop L=30/D=22mm/MOS</t>
  </si>
  <si>
    <t>5676</t>
  </si>
  <si>
    <t>Pro-Line DW Tule voor slang 2mm (5672)</t>
  </si>
  <si>
    <t>5679</t>
  </si>
  <si>
    <t>Pro-Line DW Rubberstop L=30/D=22mm/Ø5mm gat /MOS</t>
  </si>
  <si>
    <t>5680</t>
  </si>
  <si>
    <t>Pro-Line Microschakelaar schuifgrendel incl. 4 meter kabel</t>
  </si>
  <si>
    <t>5686</t>
  </si>
  <si>
    <t>SKB schakelaar kabelbreuk 3172-3173-3194 excl bout/moer</t>
  </si>
  <si>
    <t>5687</t>
  </si>
  <si>
    <t>Schakelaar tbv veerbreuk 3160-3163 (Excl bout/moer)</t>
  </si>
  <si>
    <t>5688</t>
  </si>
  <si>
    <t>SKB schakelaar kabelbreuk 3172-3173 Excl bout/moer 1,50 kO</t>
  </si>
  <si>
    <t>5690</t>
  </si>
  <si>
    <t>Microschakelaar MEA9108G + wartel tbv dockboard en lier</t>
  </si>
  <si>
    <t>5695</t>
  </si>
  <si>
    <t>Pro-Line Reduceerhuls 1¼" naar 1" massief x 100 mm</t>
  </si>
  <si>
    <t>5696</t>
  </si>
  <si>
    <t>Pro-Line Reduceerhuls 40 mm naar 1¼" massief x 120 mm</t>
  </si>
  <si>
    <t>5702</t>
  </si>
  <si>
    <t>Spie recht 6,35x6,35x130mm verzinkt t.b.v. massieve as</t>
  </si>
  <si>
    <t>5703</t>
  </si>
  <si>
    <t>Spie recht 6,35x9,5x130mm verzinkt t.b.v. Buisas</t>
  </si>
  <si>
    <t>5808</t>
  </si>
  <si>
    <t>Pro-Line CND1/CS310/320 Kabel t.b.v. Inductielus (100 meter)</t>
  </si>
  <si>
    <t>5819</t>
  </si>
  <si>
    <t>Pro-Line Set draadloze signaaloverbrenging (tbv skb)</t>
  </si>
  <si>
    <t>5823</t>
  </si>
  <si>
    <t>Pro-Line Radar beweging &amp; aanwezigheidsmelder (incl.10 mtr.)</t>
  </si>
  <si>
    <t>5824</t>
  </si>
  <si>
    <t>Pro-Line Radar locatiezoeker t.b.v. 5823</t>
  </si>
  <si>
    <t>5825</t>
  </si>
  <si>
    <t>Pro-Line Radar afstandsbediening t.b.v. 5823 + 5878</t>
  </si>
  <si>
    <t>5826</t>
  </si>
  <si>
    <t>Pro-Line SPRINT Champignon stopknop schakelaar</t>
  </si>
  <si>
    <t>5828</t>
  </si>
  <si>
    <t>Pro-Line steun L=2.450mm t.b.v. Trekschakelaar (5907)</t>
  </si>
  <si>
    <t>5829</t>
  </si>
  <si>
    <t>Pro-Line SPRINT Verbindingskabel 10m Radar bewegingsmelder</t>
  </si>
  <si>
    <t>5830</t>
  </si>
  <si>
    <t>Pro-Line CS300/CS310/CS320 Kabelset 7 meter PL 20/28/50</t>
  </si>
  <si>
    <t>5831</t>
  </si>
  <si>
    <t>Pro-Line CS300/CS310/CS320 Kabelset 11 meter PL 20/28/50</t>
  </si>
  <si>
    <t>5833</t>
  </si>
  <si>
    <t>Pro-Line Sprint Kabelset 11 meter</t>
  </si>
  <si>
    <t>5844</t>
  </si>
  <si>
    <t>Pro-Line CS300/CS310/CS320 Zomer/Winter schakelaar met kabel</t>
  </si>
  <si>
    <t>5845</t>
  </si>
  <si>
    <t>Pro-Line CS300//CS310/CS320 Hoofdschakelaar Los</t>
  </si>
  <si>
    <t>5849</t>
  </si>
  <si>
    <t>Pro-Line CS310/320 Optoset max DMB 13500 mm SPECIAAL incl hu</t>
  </si>
  <si>
    <t>5854</t>
  </si>
  <si>
    <t>Pro-Line CS310 Handzender 2-kanaals 868Mhz 382</t>
  </si>
  <si>
    <t>5855</t>
  </si>
  <si>
    <t>Pro-Line CS310 Handzender 4-kanaals 868Mhz 384</t>
  </si>
  <si>
    <t>5857</t>
  </si>
  <si>
    <t>Pro-Line CS310/CS320 Drukknoppenset</t>
  </si>
  <si>
    <t>5862</t>
  </si>
  <si>
    <t>Pro-Line CS320 Kettingbediening Pro-Line Horizontale montage</t>
  </si>
  <si>
    <t>5863</t>
  </si>
  <si>
    <t>PL/SL/HL-DL Doorloopbev. Fotocel Reflector incl beugels</t>
  </si>
  <si>
    <t>5867</t>
  </si>
  <si>
    <t>ProLine 310/320 Kettingbediening PL 20-28-50 incl 5m ketting</t>
  </si>
  <si>
    <t>5868</t>
  </si>
  <si>
    <t>CND1 Hoek motorsteun 43x45x3 mm L=150 mm SP</t>
  </si>
  <si>
    <t>5870</t>
  </si>
  <si>
    <t>Pro-Line Bescherming Doorloopbeveiliging Fotocel 5534/5863</t>
  </si>
  <si>
    <t>5871</t>
  </si>
  <si>
    <t>Pro-Line Bescherming Doorloopbeveiliging Reflector 5863</t>
  </si>
  <si>
    <t>5878</t>
  </si>
  <si>
    <t>Pro-Line Radar bewegingsmelder (incl. 10 m kabel)</t>
  </si>
  <si>
    <t>5879</t>
  </si>
  <si>
    <t>Pro-line CND1 programmeer unit tbv externe ontvanger 5881</t>
  </si>
  <si>
    <t>5881</t>
  </si>
  <si>
    <t>Pro-Line CND1 868 Mhz ontvanger 2-kanaal (code CND1) 195</t>
  </si>
  <si>
    <t>5885</t>
  </si>
  <si>
    <t>PL CND1/CS310/CS320 Elektronische eindschakelaar Single</t>
  </si>
  <si>
    <t>5890</t>
  </si>
  <si>
    <t>PL CND1/CS310/320/GFA Elektronische eindschakelaar Multi</t>
  </si>
  <si>
    <t>5893</t>
  </si>
  <si>
    <t>High-Line DL Handzender 4-kanaals 868 MHz</t>
  </si>
  <si>
    <t>5905</t>
  </si>
  <si>
    <t>Pro-Line Drukknoppenkast op-stop-neer IP54 compl. + kabel 5m</t>
  </si>
  <si>
    <t>5906</t>
  </si>
  <si>
    <t>Pro-Line Drukknoppenkast op-stop-neer IP67 compl. + kabel 5m</t>
  </si>
  <si>
    <t>5907</t>
  </si>
  <si>
    <t>Pro-Line Trekschakelaar EM 41 1Ö/1S Kabel-ja /touw -nee</t>
  </si>
  <si>
    <t>5910</t>
  </si>
  <si>
    <t>Pro-Line Sleutelschakelaar opbouw PULS IP54</t>
  </si>
  <si>
    <t>5912</t>
  </si>
  <si>
    <t>Pro-Line Sleutelschakelaar met knoppen op-stop-neer opbouw</t>
  </si>
  <si>
    <t>5914</t>
  </si>
  <si>
    <t>High-Line MA Sleutelschakelaar Command 314 / inbouw IP54</t>
  </si>
  <si>
    <t>5915</t>
  </si>
  <si>
    <t>High-Line MA Sleutelschakelaar Command 414 / opbouw IP54</t>
  </si>
  <si>
    <t>5920</t>
  </si>
  <si>
    <t>Pro-Line Brandweerkast met breekglaasje</t>
  </si>
  <si>
    <t>5933</t>
  </si>
  <si>
    <t>High-Line DL Wandschakelaar 3-kanaals 868 MHz</t>
  </si>
  <si>
    <t>5935</t>
  </si>
  <si>
    <t>Select-L/High-Line DL motorrail 2-delig DMH&lt;3500mm L=4500mm</t>
  </si>
  <si>
    <t>5936</t>
  </si>
  <si>
    <t>Select-L/High-Line DL motorrail 2-delig DMH&lt;2500mm L=3500mm</t>
  </si>
  <si>
    <t>5938</t>
  </si>
  <si>
    <t>Pro-Line CS300/CS310/CS320 LCD monitor</t>
  </si>
  <si>
    <t>5940</t>
  </si>
  <si>
    <t>Aandrijving High-Line DL 8 / 800N incl 2+1 868 Excl. rail</t>
  </si>
  <si>
    <t>5941</t>
  </si>
  <si>
    <t>Aandrijving High-Line DL 10 / 1000N incl 2+1 868 Excl. rail</t>
  </si>
  <si>
    <t>5942</t>
  </si>
  <si>
    <t>Aandrijving High-Line DL 18 / 1500N incl 2+1 868 Excl. rail</t>
  </si>
  <si>
    <t>5948</t>
  </si>
  <si>
    <t>SL / High-Line DL Universele drawbarbevestiging (muur)</t>
  </si>
  <si>
    <t>5949</t>
  </si>
  <si>
    <t>SL / High-Line DL Universele drawbarbevestiging (paneel)</t>
  </si>
  <si>
    <t>5958</t>
  </si>
  <si>
    <t>Aandrijving Pro-Line 28 E/KE 1" 7mtr.kabel incl. CS320+LCD</t>
  </si>
  <si>
    <t>5978</t>
  </si>
  <si>
    <t>Pro-Line SPRINT Besturingskast (exclusief kabel)</t>
  </si>
  <si>
    <t>5986</t>
  </si>
  <si>
    <t>Aandrijving Pro-Line 28F CS320FU E/KE 1" 7 mtr. kabel +LCD</t>
  </si>
  <si>
    <t>5987</t>
  </si>
  <si>
    <t>Pro-Line CS320FU Besturing incl. kast + LCD 230V</t>
  </si>
  <si>
    <t>5988</t>
  </si>
  <si>
    <t>Pro-Line CS320FU Besturing incl. kast, hoofdsch. + LCD 230V</t>
  </si>
  <si>
    <t>5989</t>
  </si>
  <si>
    <t>Pro-Line CS320FU Besturing incl. kast, zo/wi + LCD 230V</t>
  </si>
  <si>
    <t>5994</t>
  </si>
  <si>
    <t>Aandrijving Pro-Line 50F CS320FU E/KE 1,25" 7mtr.Kabel +LCD</t>
  </si>
  <si>
    <t>5996</t>
  </si>
  <si>
    <t>Pro-Line Trekkoord t.b.v. trekschakelaar L=5.000 mm</t>
  </si>
  <si>
    <t>5998</t>
  </si>
  <si>
    <t>Pro-Line Verloopstekker Pro-Line besturing/M-Tec aandrijving</t>
  </si>
  <si>
    <t>5999</t>
  </si>
  <si>
    <t>Pro-Line Verloopstekker M-Tec besturing/Pro-Line aandrijving</t>
  </si>
  <si>
    <t>6000</t>
  </si>
  <si>
    <t>Venster Industrie 40mm Rechthoekig 680x373mm zwart klik 3mm</t>
  </si>
  <si>
    <t>6003</t>
  </si>
  <si>
    <t>Venster Industrie 40 mm Rechthoekig 638x206 mm zwart schroef</t>
  </si>
  <si>
    <t>6005</t>
  </si>
  <si>
    <t>Venster Industrie 40 mm ovaal 663x343 mm zwart klik 3mm</t>
  </si>
  <si>
    <t>6008</t>
  </si>
  <si>
    <t>Kruis Venster garage 416x254 mm wit tbv 6006 &amp; C9880</t>
  </si>
  <si>
    <t>6009</t>
  </si>
  <si>
    <t>Kruis Venster garage 416x254 mm zwart tbv 6007 &amp; C9900</t>
  </si>
  <si>
    <t>6013</t>
  </si>
  <si>
    <t>Venster cassette garage 532x344 mm/RAL9010/PMMA/40/schroef</t>
  </si>
  <si>
    <t>6014</t>
  </si>
  <si>
    <t>Venster IND 40 mm rechthoekig 609x146 zwart schroef PMMA</t>
  </si>
  <si>
    <t>6016</t>
  </si>
  <si>
    <t>Venster Industrie 80 mm rechthoekig 609x146 zwart schroef 4V</t>
  </si>
  <si>
    <t>6017</t>
  </si>
  <si>
    <t>Venster Garage 40 mm rechthoekig 496x330 wit klik</t>
  </si>
  <si>
    <t>6025</t>
  </si>
  <si>
    <t>Venster Industrie 80 mm Rechthoekig 638x334 zwart schroef 4V</t>
  </si>
  <si>
    <t>6031</t>
  </si>
  <si>
    <t>Beglazing 2-voudig 21 mm Acryl 2.5mm tbv 6006/6007 445x280mm</t>
  </si>
  <si>
    <t>6034</t>
  </si>
  <si>
    <t>Inzetstuk garage wagenwiel set van 3 tbv 6006 &amp; C9880</t>
  </si>
  <si>
    <t>6036</t>
  </si>
  <si>
    <t>Venster Industrie 80 mm ovaal 670x345 mm zwart schroef 4V</t>
  </si>
  <si>
    <t>6042</t>
  </si>
  <si>
    <t>Venster RVS RES 40 mm 980x140mm schroef 3V PMMA Pro-Tec</t>
  </si>
  <si>
    <t>6043</t>
  </si>
  <si>
    <t>Venster RVS RES 40 mm 980x140mm schroef 3V PMMA SATIN ProTec</t>
  </si>
  <si>
    <t>6044</t>
  </si>
  <si>
    <t>Venster IND 40 mm Rechthoekig 610x203 mm zwart schroef</t>
  </si>
  <si>
    <t>6046</t>
  </si>
  <si>
    <t>Venster RES vierkant 310x310 mm RVS schroef 3V PMMA Pro-Tec</t>
  </si>
  <si>
    <t>6047</t>
  </si>
  <si>
    <t>Venster RES VK 310x310 mm RVS schroef 3V PMMA satijn Pro-Tec</t>
  </si>
  <si>
    <t>6048</t>
  </si>
  <si>
    <t>Venster RES rond 330mm RVS schroef 3V PMMA Pro-Tec</t>
  </si>
  <si>
    <t>6049</t>
  </si>
  <si>
    <t>Venster RES rond 330mm RVS schroef 3V PMMA Satijn Pro-Tec</t>
  </si>
  <si>
    <t>6050</t>
  </si>
  <si>
    <t>Beglazing 2-V 21mm Acrylaat/opaal 80% tbv 6006/6007 3-3 mm</t>
  </si>
  <si>
    <t>6051</t>
  </si>
  <si>
    <t>Venster IND 80mm Rechthoekig 610x203 mm zwart schroef</t>
  </si>
  <si>
    <t>6102</t>
  </si>
  <si>
    <t>Vulling 20mm stucco ALU Brute EPS30 3000x1250 mm</t>
  </si>
  <si>
    <t>6108</t>
  </si>
  <si>
    <t>Vulling 20mm stucco-brute ALU EPS30 op maat &lt;3050mm</t>
  </si>
  <si>
    <t>6118</t>
  </si>
  <si>
    <t>Vlakke plaat ALU 1,5mm 2000x1000mm 1050A H14/H24</t>
  </si>
  <si>
    <t>6125</t>
  </si>
  <si>
    <t>Vulling 1-V 2 mm Strekmetaal 28x10 ANO OP MAAT &lt; 1500mm</t>
  </si>
  <si>
    <t>6126</t>
  </si>
  <si>
    <t>Vulling 1-V 2 mm perfo plaat C8U12 ALU ANO OP MAAT &lt; 2500 mm</t>
  </si>
  <si>
    <t>6135</t>
  </si>
  <si>
    <t>Staalplaat SV 0,75 mm / RAL XXXX ( L x B )</t>
  </si>
  <si>
    <t>6135=9002</t>
  </si>
  <si>
    <t>Staalplaat SV 0,75 mm / RAL 9002 ( L x B )</t>
  </si>
  <si>
    <t>6135=9010</t>
  </si>
  <si>
    <t>Staalplaat SV 0,75 mm / RAL 9010 ( L x B )</t>
  </si>
  <si>
    <t>6135=9016</t>
  </si>
  <si>
    <t>Staalplaat SV 0,75 mm / RAL 9016 ( L x B )</t>
  </si>
  <si>
    <t>6136</t>
  </si>
  <si>
    <t>Staalplaat SV 1,0 mm ( L x B )</t>
  </si>
  <si>
    <t>6137</t>
  </si>
  <si>
    <t>Staalplaat SV 1,0 mm / RAL XXXX ( L x B )</t>
  </si>
  <si>
    <t>6138</t>
  </si>
  <si>
    <t>Staalplaat SV 1,5 mm ( L x B )</t>
  </si>
  <si>
    <t>6205</t>
  </si>
  <si>
    <t>Beglazing 1-voudig 4 mm Hardglas &lt;2900mm</t>
  </si>
  <si>
    <t>6206</t>
  </si>
  <si>
    <t>Beglazing 1-V 2 mm acrylaat op maat &lt;3050mm</t>
  </si>
  <si>
    <t>6207</t>
  </si>
  <si>
    <t>Beglazing 1-V 3 mm Pinspot acrylaat helder op maat &lt;2050mm</t>
  </si>
  <si>
    <t>6212</t>
  </si>
  <si>
    <t>Beglazing 1-V 3 mm Polycarbonaat op maat &lt;3050mm</t>
  </si>
  <si>
    <t>6214</t>
  </si>
  <si>
    <t>Beglazing 1-V 3 mm acrylaat Opaal 30% op maat &lt;1800mm</t>
  </si>
  <si>
    <t>6216</t>
  </si>
  <si>
    <t>Beglazing 2-V 21mm Polycarbonaat 3-3 mm op maat &lt;3050mm</t>
  </si>
  <si>
    <t>6223</t>
  </si>
  <si>
    <t>Beglazing 2-voudig 20 mm Hardglas 4-4 mm &lt;2500mm</t>
  </si>
  <si>
    <t>6228</t>
  </si>
  <si>
    <t>Beglazing 2-voudig 20 mm Hardglas satijn 4-4 mm &lt;2500mm</t>
  </si>
  <si>
    <t>6244</t>
  </si>
  <si>
    <t>Vlakvulling 68mm RAL9006 A80 XPS30 op maat &lt;3000mm</t>
  </si>
  <si>
    <t>6246</t>
  </si>
  <si>
    <t>Beglazing 2-voudig 21 mm Acrylaat/Polycarbonaat 3-3 mm</t>
  </si>
  <si>
    <t>6247</t>
  </si>
  <si>
    <t>Beglazing 2-V 21mm acrylaat/Opaal 80% 3-3mm op maat &lt;3050mm</t>
  </si>
  <si>
    <t>6248</t>
  </si>
  <si>
    <t>Beglazing 2-V 21mm acrylaat/Opaal 30% 3-3mm op maat &lt;1800mm</t>
  </si>
  <si>
    <t>6249</t>
  </si>
  <si>
    <t>Beglazing 2-voudig 21 mm Acrylaat/Pinspot 3-3 mm &lt;2050mm</t>
  </si>
  <si>
    <t>6250</t>
  </si>
  <si>
    <t>Beglazing 1-voudig 4 mm Hardglas Satijn &lt;2900mm</t>
  </si>
  <si>
    <t>6251</t>
  </si>
  <si>
    <t>Beglazing 1-V 3 mm acrylaat Opaal 80% op maat &lt;3050mm</t>
  </si>
  <si>
    <t>6253</t>
  </si>
  <si>
    <t>Beglazing 1-V 2 mm Pro-Tec (acrylaat) op maat &lt;3050mm</t>
  </si>
  <si>
    <t>6254</t>
  </si>
  <si>
    <t>Vlakvulling 21mm RAL9006 XPS30 op maat &lt;3000mm</t>
  </si>
  <si>
    <t>6255</t>
  </si>
  <si>
    <t>Beglazing 3-voudig 20 mm Kanaalplaat helder PC (max 4000mm)</t>
  </si>
  <si>
    <t>6256</t>
  </si>
  <si>
    <t>Beglazing 1-V 3 mm acrylaat op maat &lt;3050mm</t>
  </si>
  <si>
    <t>6257</t>
  </si>
  <si>
    <t>Beglazing 2-V 21mm acrylaat 3-3mm op maat &lt;3050mm</t>
  </si>
  <si>
    <t>6262</t>
  </si>
  <si>
    <t>Beglazing 3-voudig 20 mm Kanaalplaat Opaal 50% PC max4000 mm</t>
  </si>
  <si>
    <t>6263</t>
  </si>
  <si>
    <t>Beglazing 2-voudig A80 22,7 mm Hardglas HR++ Krypton 4-4 mm</t>
  </si>
  <si>
    <t>6264</t>
  </si>
  <si>
    <t>Beglazing 1-V 3 mm acrylaat Smoke op maat &lt;3050mm C009</t>
  </si>
  <si>
    <t>6269</t>
  </si>
  <si>
    <t>Beglazing 1-voudig 4 mm Hardglas Smoke &lt;2900mm</t>
  </si>
  <si>
    <t>6273</t>
  </si>
  <si>
    <t>Beglazing 2-voudig 20 mm Hardglas Smoke 4-4 mm &lt;2225mm</t>
  </si>
  <si>
    <t>6274</t>
  </si>
  <si>
    <t>Beglazing 1-V 3 mm Pro-Tec (acrylaat) op maat &lt;3050mm</t>
  </si>
  <si>
    <t>6296</t>
  </si>
  <si>
    <t>Beglazing 2-V 21 mm acrylaat Smoke/helder 3-3mm o/m &lt;3050mm</t>
  </si>
  <si>
    <t>6297</t>
  </si>
  <si>
    <t>Vlakvulling 68mm A80 XPS30 RAL naar keuze</t>
  </si>
  <si>
    <t>6299</t>
  </si>
  <si>
    <t>Beglazing 2-V 21mm Pro-Tec (acrylaat) 3-3mm op maat &lt;3050mm</t>
  </si>
  <si>
    <t>6315</t>
  </si>
  <si>
    <t>Beglazing 2-V 21mm PC 4-4 mm op maat 3051-4000mm</t>
  </si>
  <si>
    <t>6318</t>
  </si>
  <si>
    <t>Beglazing 2-V 21mm acrylaat 4-4mm op maat 3051-4000mm</t>
  </si>
  <si>
    <t>6320</t>
  </si>
  <si>
    <t>Beglazing 1-V 4 mm Pro-Tec (acrylaat) op maat (3051-4000mm)</t>
  </si>
  <si>
    <t>6321</t>
  </si>
  <si>
    <t>Beglazing 2-V 21mm Pro-Tec (acrylaat) 4-4mm 3051-4000</t>
  </si>
  <si>
    <t>6329</t>
  </si>
  <si>
    <t>Beglazing 3-V A80 67,3mm acrylaat pro-tec 3-2-3 &lt;3050mm</t>
  </si>
  <si>
    <t>6330</t>
  </si>
  <si>
    <t>Beglazing 3-V A80 67,3mm acrylaat 3-2-3 &lt;3050mm</t>
  </si>
  <si>
    <t>6331</t>
  </si>
  <si>
    <t>Beglazing 2-V A80 67,3mm acrylaat 3-3 &lt;3050mm</t>
  </si>
  <si>
    <t>6332</t>
  </si>
  <si>
    <t>Beglazing 4-V A80 67,3mm acrylaat 3-2-2-3 &lt;3050mm</t>
  </si>
  <si>
    <t>6333</t>
  </si>
  <si>
    <t>Beglazing 4-V A80 Pro-Tec 67,3mm acrylaat 3-2-2-3 &lt;3050mm</t>
  </si>
  <si>
    <t>6334</t>
  </si>
  <si>
    <t>Beglazing 4-V A80 67,3mm PC-acrylaat 3-2-2-3 &lt;3050mm</t>
  </si>
  <si>
    <t>6335</t>
  </si>
  <si>
    <t>Beglazing 4-V A80 67,3mm smoke acrylaat 3-2-2-3 &lt;3050mm C009</t>
  </si>
  <si>
    <t>6336</t>
  </si>
  <si>
    <t>Beglazing 4-V A80 67,3mm opaal 30 acrylaat 3-2-2-3 &lt;3050mm</t>
  </si>
  <si>
    <t>6337</t>
  </si>
  <si>
    <t>Beglazing 4-V A80 67,3mm opaal 80 acrylaat 3-2-2-3 &lt;3050mm</t>
  </si>
  <si>
    <t>6338</t>
  </si>
  <si>
    <t>Beglazing 4-V A80 67,3mm pinspot acrylaat 3-2-2-3 &lt;2050mm</t>
  </si>
  <si>
    <t>6352</t>
  </si>
  <si>
    <t>Vlakvulling 21mm RAL9006 XPS30 op maat 3001-4000mm</t>
  </si>
  <si>
    <t>6355</t>
  </si>
  <si>
    <t>Beglazing 2-voudig 20 mm Hardglas HR++ Krypton 4-4 mm &lt;2500m</t>
  </si>
  <si>
    <t>6364</t>
  </si>
  <si>
    <t>Beglazing 2-V acrylaat 3-3mm op maat &lt;3050mm D= XXmm</t>
  </si>
  <si>
    <t>6366</t>
  </si>
  <si>
    <t>Beglazing 1-V 2,5 mm acrylaat op maat &lt;3050mm</t>
  </si>
  <si>
    <t>6367</t>
  </si>
  <si>
    <t>Beglazing 1-V 2,5 mm Pro-Tec (acrylaat) op maat &lt;3050mm</t>
  </si>
  <si>
    <t>6368</t>
  </si>
  <si>
    <t>Beglazing 2-V 21mm acrylaat 2,5-2,5 mm op maat &lt;3050mm</t>
  </si>
  <si>
    <t>6369</t>
  </si>
  <si>
    <t>Beglazing 2-V 21mm Pro-Tec / acrylaat 2,5-2,5mm op maat&lt;3050</t>
  </si>
  <si>
    <t>6373</t>
  </si>
  <si>
    <t>Beglazing 2-V acrylaat 2,5-2,5mm op maat &lt;3050mm D= XXmm</t>
  </si>
  <si>
    <t>6374</t>
  </si>
  <si>
    <t>Vlakvulling 40mm RAL9006 XPS30 LL op maat &lt;3000mm</t>
  </si>
  <si>
    <t>6376</t>
  </si>
  <si>
    <t>Vulling stucco-brute/vlak ANO 20mm ALU EPS30 op maat &lt;3000mm</t>
  </si>
  <si>
    <t>6378</t>
  </si>
  <si>
    <t>Beglazing 1-voudig 4 mm Hardglas Bronze &lt;2900mm</t>
  </si>
  <si>
    <t>6379</t>
  </si>
  <si>
    <t>Beglazing 1-V 3 mm acrylaat grijs op maat &lt;3050mm C008</t>
  </si>
  <si>
    <t>6380</t>
  </si>
  <si>
    <t>Beglazing 2-V 21 mm acrylaat C008/C008 3-3mm o/m &lt;3050mm</t>
  </si>
  <si>
    <t>6381</t>
  </si>
  <si>
    <t>Beglazing 2-V 21mm acrylaat Smoke/Smoke C009 3-3mm &lt;3050mm</t>
  </si>
  <si>
    <t>6382</t>
  </si>
  <si>
    <t>Beglazing 2-V gelaagd glas 22mm Satin HR++ 6-4mm Argon / LL</t>
  </si>
  <si>
    <t>6389</t>
  </si>
  <si>
    <t>Beglazing 2-V gelaagd glas 22mm HR++ 6-4mm Argon</t>
  </si>
  <si>
    <t>6401</t>
  </si>
  <si>
    <t>Aandrijving High-Line LM 18-1300N (incl 2+1 868/excl rail)</t>
  </si>
  <si>
    <t>6402</t>
  </si>
  <si>
    <t>Aandrijving High-Line LM 15-1000N (incl 2+1 868/excl rail)</t>
  </si>
  <si>
    <t>6403</t>
  </si>
  <si>
    <t>Aandrijving High-Line LM 10-800N (incl 2+1 868/excl rail)</t>
  </si>
  <si>
    <t>6404</t>
  </si>
  <si>
    <t>Aandrijving High-Line LM 8-600N (incl 2+1 868/excl rail)</t>
  </si>
  <si>
    <t>6409</t>
  </si>
  <si>
    <t>High-Line LM aandrijving rail 2P DMH&lt;=2634mm (tbv 6401-6404)</t>
  </si>
  <si>
    <t>6410</t>
  </si>
  <si>
    <t>High-Line LM aandrijving rail 2P DMH&lt;=2125mm (tbv 6401-6404)</t>
  </si>
  <si>
    <t>6411</t>
  </si>
  <si>
    <t>High-Line LM aandrijving rail 2P DMH&lt;=2918mm (tbv 6401-6404)</t>
  </si>
  <si>
    <t>6412</t>
  </si>
  <si>
    <t>High-Line LM aandrijving rail 2P DMH&lt;=3259mm (tbv 6401-6404)</t>
  </si>
  <si>
    <t>6414</t>
  </si>
  <si>
    <t>High-Line LM aandrijving rail 2P DMH&lt;=3618mm (tbv 6401-6404)</t>
  </si>
  <si>
    <t>6420</t>
  </si>
  <si>
    <t>High-Line LM Handzender 4 kanaals 868Mhz</t>
  </si>
  <si>
    <t>6421</t>
  </si>
  <si>
    <t>High-Line LM Handzender 4 kanaals 433Mhz</t>
  </si>
  <si>
    <t>6422</t>
  </si>
  <si>
    <t>High-Line LM Car kit adaptor set (t.b.v. 6420-6421)</t>
  </si>
  <si>
    <t>6423</t>
  </si>
  <si>
    <t>High-Line LM Draadloze wandschakelaar 2 Kanaal binnen</t>
  </si>
  <si>
    <t>6425</t>
  </si>
  <si>
    <t>High-Line LM externe ontvanger 3-kanaal 433-868Mhz</t>
  </si>
  <si>
    <t>6426</t>
  </si>
  <si>
    <t>High-Line LM Codeschakelaar IP55 (model 2022)</t>
  </si>
  <si>
    <t>6428</t>
  </si>
  <si>
    <t>High-Line LM myQ Lamp opbouw 19W-1500lm 230V</t>
  </si>
  <si>
    <t>6429</t>
  </si>
  <si>
    <t>High-Line LM myQ Doorloopbev. fotocel compleet zender-ontv.</t>
  </si>
  <si>
    <t>6430</t>
  </si>
  <si>
    <t>High-Line LM myQ Internet interface "Gateway"</t>
  </si>
  <si>
    <t>6433</t>
  </si>
  <si>
    <t>High-Line LM Aandrijving referentiepunt schakelaar</t>
  </si>
  <si>
    <t>6434</t>
  </si>
  <si>
    <t>High-Line LM Rail referentiepunt tandriem</t>
  </si>
  <si>
    <t>6435</t>
  </si>
  <si>
    <t>High-Line LM Adapter huls metaal</t>
  </si>
  <si>
    <t>6436</t>
  </si>
  <si>
    <t>High-Line LM Rail koppelstuk voor tandriem</t>
  </si>
  <si>
    <t>6437</t>
  </si>
  <si>
    <t>High-Line LM Rail set rail afhangbeugels</t>
  </si>
  <si>
    <t>6440</t>
  </si>
  <si>
    <t>High-Line LM Universele drawbarbevestiging</t>
  </si>
  <si>
    <t>6441</t>
  </si>
  <si>
    <t>High-Line LM / Select-Line Rail bevestigingsbeugel</t>
  </si>
  <si>
    <t>6442</t>
  </si>
  <si>
    <t>High-Line LM WK2 railbeugel 72 x 23 x 2mm SV</t>
  </si>
  <si>
    <t>6443</t>
  </si>
  <si>
    <t>High-line LM EU =&gt; UK adapter</t>
  </si>
  <si>
    <t>6444</t>
  </si>
  <si>
    <t>High-line LM Verlichte Wanddrukknop</t>
  </si>
  <si>
    <t>6445</t>
  </si>
  <si>
    <t>High-line LM / Select Line EU (Schuco) =&gt; UK adapter zwart</t>
  </si>
  <si>
    <t>6446</t>
  </si>
  <si>
    <t>High-line LM Drawbar haakbeugel 45°</t>
  </si>
  <si>
    <t>6600=DE</t>
  </si>
  <si>
    <t>Brochure Industrie DU</t>
  </si>
  <si>
    <t>6600=EN</t>
  </si>
  <si>
    <t>Brochure Industrie EN</t>
  </si>
  <si>
    <t>6600=FR</t>
  </si>
  <si>
    <t>Brochure Industrie FR</t>
  </si>
  <si>
    <t>6600=NL</t>
  </si>
  <si>
    <t>Brochure Industrie NL</t>
  </si>
  <si>
    <t>6601=DE</t>
  </si>
  <si>
    <t>Brochure High-Line DU</t>
  </si>
  <si>
    <t>6601=EN</t>
  </si>
  <si>
    <t>Brochure High-Line EN</t>
  </si>
  <si>
    <t>6601=FR</t>
  </si>
  <si>
    <t>Brochure High-Line FR</t>
  </si>
  <si>
    <t>6601=NL</t>
  </si>
  <si>
    <t>Brochure High-Line NL</t>
  </si>
  <si>
    <t>6606=DE</t>
  </si>
  <si>
    <t>Brochure Luxe-Line SINGLE / TWIN DU</t>
  </si>
  <si>
    <t>6606=EN</t>
  </si>
  <si>
    <t>Brochure Luxe-Line SINGLE / TWIN EN</t>
  </si>
  <si>
    <t>6606=FR</t>
  </si>
  <si>
    <t>Brochure Luxe-Line SINGLE / TWIN FR</t>
  </si>
  <si>
    <t>6606=NL</t>
  </si>
  <si>
    <t>Brochure Luxe-Line SINGLE / TWIN NL</t>
  </si>
  <si>
    <t>6607=DE</t>
  </si>
  <si>
    <t>High-Line boek garagedeuren DE</t>
  </si>
  <si>
    <t>6607=EN</t>
  </si>
  <si>
    <t>High-Line boek garagedeuren EN</t>
  </si>
  <si>
    <t>6607=FR</t>
  </si>
  <si>
    <t>High-Line boek garagedeuren FR</t>
  </si>
  <si>
    <t>6607=NL</t>
  </si>
  <si>
    <t>High-Line boek garagedeuren NL</t>
  </si>
  <si>
    <t>6640</t>
  </si>
  <si>
    <t>QR Stickervel TS100 met detailvideo’s van installatie</t>
  </si>
  <si>
    <t>6649</t>
  </si>
  <si>
    <t>Genummerde transparante sticker ponsgaten TS100 vert. rails</t>
  </si>
  <si>
    <t>6670=DE</t>
  </si>
  <si>
    <t>10000 - High-Line Serie Design &amp; Uitstraling productblad DE</t>
  </si>
  <si>
    <t>6670=EN</t>
  </si>
  <si>
    <t>10000 - High-Line Serie Design &amp; Uitstraling productblad EN</t>
  </si>
  <si>
    <t>6670=FR</t>
  </si>
  <si>
    <t>10000 - High-Line Serie Design &amp; Uitstraling productblad FR</t>
  </si>
  <si>
    <t>6670=NL</t>
  </si>
  <si>
    <t>10000 - High-Line Serie Design &amp; Uitstraling productblad NL</t>
  </si>
  <si>
    <t>6672=DE</t>
  </si>
  <si>
    <t>12001 - High-Line aandrijving productblad DE</t>
  </si>
  <si>
    <t>6672=EN</t>
  </si>
  <si>
    <t>12001 - High-Line aandrijving productblad EN</t>
  </si>
  <si>
    <t>6672=FR</t>
  </si>
  <si>
    <t>12001 - High-Line aandrijving productblad FR</t>
  </si>
  <si>
    <t>6672=NL</t>
  </si>
  <si>
    <t>12001 - High-Line aandrijving productblad NL</t>
  </si>
  <si>
    <t>6673=DE</t>
  </si>
  <si>
    <t>14000 - Residentiele Railsystemen productblad DE</t>
  </si>
  <si>
    <t>6673=EN</t>
  </si>
  <si>
    <t>14000 - Residentiele Railsystemen productblad EN</t>
  </si>
  <si>
    <t>6673=FR</t>
  </si>
  <si>
    <t>14000 - Residentiele Railsystemen productblad FR</t>
  </si>
  <si>
    <t>6673=NL</t>
  </si>
  <si>
    <t>14000 - Residentiele Railsystemen productblad NL</t>
  </si>
  <si>
    <t>6675=DE</t>
  </si>
  <si>
    <t>19000 - Garantie - productblad DE</t>
  </si>
  <si>
    <t>6675=EN</t>
  </si>
  <si>
    <t>19000 - Garantie - productblad EN</t>
  </si>
  <si>
    <t>6675=FR</t>
  </si>
  <si>
    <t>19000 - Garantie - productblad FR</t>
  </si>
  <si>
    <t>6675=NL</t>
  </si>
  <si>
    <t>19000 - Garantie - productblad NL</t>
  </si>
  <si>
    <t>6676=DE</t>
  </si>
  <si>
    <t>19002 - Toebehoren, deurbladopties productblad DE</t>
  </si>
  <si>
    <t>6676=EN</t>
  </si>
  <si>
    <t>19002 - Toebehoren, deurbladopties productblad EN</t>
  </si>
  <si>
    <t>6676=FR</t>
  </si>
  <si>
    <t>19002 - Toebehoren, deurbladopties productblad FR</t>
  </si>
  <si>
    <t>6676=NL</t>
  </si>
  <si>
    <t>19002 - Toebehoren, deurbladopties productblad NL</t>
  </si>
  <si>
    <t>6677=DE</t>
  </si>
  <si>
    <t>19003 - Onderhoud garagedeuren productblad DE</t>
  </si>
  <si>
    <t>6677=EN</t>
  </si>
  <si>
    <t>19003 - Onderhoud garagedeuren productblad EN</t>
  </si>
  <si>
    <t>6677=FR</t>
  </si>
  <si>
    <t>19003 - Onderhoud garagedeuren productblad FR</t>
  </si>
  <si>
    <t>6677=NL</t>
  </si>
  <si>
    <t>19003 - Onderhoud garagedeuren productblad NL</t>
  </si>
  <si>
    <t>6678=DE</t>
  </si>
  <si>
    <t>20001 - T40 ISO A40 ISO productblad DE</t>
  </si>
  <si>
    <t>6678=EN</t>
  </si>
  <si>
    <t>20001 - T40 ISO A40 ISO productblad EN</t>
  </si>
  <si>
    <t>6678=FR</t>
  </si>
  <si>
    <t>20001 - T40 ISO A40 ISO productblad FR</t>
  </si>
  <si>
    <t>6678=NL</t>
  </si>
  <si>
    <t>20001 - T40 ISO A40 ISO productblad NL</t>
  </si>
  <si>
    <t>6679=DE</t>
  </si>
  <si>
    <t>22001 - Pro-Line CND1 productblad DE</t>
  </si>
  <si>
    <t>6679=EN</t>
  </si>
  <si>
    <t>22001 - Pro-Line CND1 productblad EN</t>
  </si>
  <si>
    <t>6679=FR</t>
  </si>
  <si>
    <t>22001 - Pro-Line CND1 productblad FR</t>
  </si>
  <si>
    <t>6679=NL</t>
  </si>
  <si>
    <t>22001 - Pro-Line CND1 productblad NL</t>
  </si>
  <si>
    <t>6681=DE</t>
  </si>
  <si>
    <t>50001 – Poedercoaten productblad DE</t>
  </si>
  <si>
    <t>6681=EN</t>
  </si>
  <si>
    <t>50001 – Poedercoaten productblad EN</t>
  </si>
  <si>
    <t>6681=FR</t>
  </si>
  <si>
    <t>50001 – Poedercoaten productblad FR</t>
  </si>
  <si>
    <t>6681=NL</t>
  </si>
  <si>
    <t>50001 – Poedercoaten productblad NL</t>
  </si>
  <si>
    <t>6684=DE</t>
  </si>
  <si>
    <t>14002 - Montagesystemen productblad DE</t>
  </si>
  <si>
    <t>6684=EN</t>
  </si>
  <si>
    <t>14002 - Montagesystemen productblad EN</t>
  </si>
  <si>
    <t>6684=FR</t>
  </si>
  <si>
    <t>14002 - Montagesystemen productblad FR</t>
  </si>
  <si>
    <t>6684=NL</t>
  </si>
  <si>
    <t>14002 - Montagesystemen productblad NL</t>
  </si>
  <si>
    <t>6687=DE</t>
  </si>
  <si>
    <t>Quickstart ProLine 16 BASIQ Duits</t>
  </si>
  <si>
    <t>6687=EN</t>
  </si>
  <si>
    <t>Quickstart ProLine 16 BASIQ Engels</t>
  </si>
  <si>
    <t>6687=FR</t>
  </si>
  <si>
    <t>Quickstart ProLine 16 BASIQ Frans</t>
  </si>
  <si>
    <t>6687=NL</t>
  </si>
  <si>
    <t>Quickstart ProLine 16 BASIQ Nederlands</t>
  </si>
  <si>
    <t>6688=DE</t>
  </si>
  <si>
    <t>Montagehandleiding ProLine 16 BASIQ Duits</t>
  </si>
  <si>
    <t>6688=EN</t>
  </si>
  <si>
    <t>Montagehandleiding ProLine 16 BASIQ Engels</t>
  </si>
  <si>
    <t>6688=FR</t>
  </si>
  <si>
    <t>Montagehandleiding ProLine 16 BASIQ Frans</t>
  </si>
  <si>
    <t>6688=NL</t>
  </si>
  <si>
    <t>Montagehandleiding ProLine 16 BASIQ Nederlands</t>
  </si>
  <si>
    <t>6690=10274</t>
  </si>
  <si>
    <t>Naamplaat BREMER (135x40mm)</t>
  </si>
  <si>
    <t>6794</t>
  </si>
  <si>
    <t>Latei montage beugel afdek profiel 1690</t>
  </si>
  <si>
    <t>6795</t>
  </si>
  <si>
    <t>Montagebeugel zijwaartse montage VA SV</t>
  </si>
  <si>
    <t>6796</t>
  </si>
  <si>
    <t>Montagebeugel zijwaartse montage verstelbaar (nr. 15)</t>
  </si>
  <si>
    <t>6797</t>
  </si>
  <si>
    <t>Montagebeugel ALU bekledingset horizontaal verstelbaar</t>
  </si>
  <si>
    <t>6834</t>
  </si>
  <si>
    <t>Stapelbak kunststof stapelbaar KLT 600x400x147mm blauw</t>
  </si>
  <si>
    <t>6835</t>
  </si>
  <si>
    <t>ERA Assemblage tafel</t>
  </si>
  <si>
    <t>6836</t>
  </si>
  <si>
    <t>ERA Zaagmachine voor zaagtafel (6838)</t>
  </si>
  <si>
    <t>6838</t>
  </si>
  <si>
    <t>ERA zaagtafel</t>
  </si>
  <si>
    <t>6839</t>
  </si>
  <si>
    <t>ERA Pons machine voor ponstafel</t>
  </si>
  <si>
    <t>6840</t>
  </si>
  <si>
    <t>ERA Pons tafel</t>
  </si>
  <si>
    <t>7174</t>
  </si>
  <si>
    <t>Karton balk 690x70x70mm (2+1+2 kokers)</t>
  </si>
  <si>
    <t>7214</t>
  </si>
  <si>
    <t>Kabelbinder 98 x 2,5 mm zwart (CND1)</t>
  </si>
  <si>
    <t>7451</t>
  </si>
  <si>
    <t>Magnetische dopbit 10 mm met veer</t>
  </si>
  <si>
    <t>7500</t>
  </si>
  <si>
    <t>MAGNA bit P2/50mm kruiskop/PH</t>
  </si>
  <si>
    <t>7503</t>
  </si>
  <si>
    <t>Bit PH3/150mm kruiskop/PH</t>
  </si>
  <si>
    <t>7504</t>
  </si>
  <si>
    <t>Bit PH3/110mm kruiskop/PH</t>
  </si>
  <si>
    <t>7506</t>
  </si>
  <si>
    <t>Zeskantdopsleutel 10 mm L=100 mm magnetisch</t>
  </si>
  <si>
    <t>7507</t>
  </si>
  <si>
    <t>Zeskantdopsleutel 10 mm L=50 mm magnetisch</t>
  </si>
  <si>
    <t>7510</t>
  </si>
  <si>
    <t>Torx bit T10 x 25 (Magna 1/4")</t>
  </si>
  <si>
    <t>7706</t>
  </si>
  <si>
    <t>Kabelbinder 160 x 4,5 mm zwart / 100 stuks</t>
  </si>
  <si>
    <t>7709</t>
  </si>
  <si>
    <t>Gedore 138 Las-griptang</t>
  </si>
  <si>
    <t>7726</t>
  </si>
  <si>
    <t>Rolmaat Stanley Powerlock 8M</t>
  </si>
  <si>
    <t>7727</t>
  </si>
  <si>
    <t>Rolmaat Stanley Powerlock 10M</t>
  </si>
  <si>
    <t>7728</t>
  </si>
  <si>
    <t>Rolmaat Stanley Powerlock 3M</t>
  </si>
  <si>
    <t>7749</t>
  </si>
  <si>
    <t>RALwaaier/K7 classic 213 kleur</t>
  </si>
  <si>
    <t>7775</t>
  </si>
  <si>
    <t>Maskingtape wit 50mm x 50 meter 80° type 228</t>
  </si>
  <si>
    <t>7781</t>
  </si>
  <si>
    <t>Interflon TF Lube 500ml t.b.v. bewerken aluminium</t>
  </si>
  <si>
    <t>7782</t>
  </si>
  <si>
    <t>Maintenance Box</t>
  </si>
  <si>
    <t>7864</t>
  </si>
  <si>
    <t>Vulplaat schuifgrendel LPS200 (27 mm) PE WIT</t>
  </si>
  <si>
    <t>7873</t>
  </si>
  <si>
    <t>Vulplaat schuifgrendel G100/TS100 (10 mm)</t>
  </si>
  <si>
    <t>7876</t>
  </si>
  <si>
    <t>Torx T20 – 25 mm bit</t>
  </si>
  <si>
    <t>7884</t>
  </si>
  <si>
    <t>Inslagdop 45 x 45 mm LDPE zwart</t>
  </si>
  <si>
    <t>7885</t>
  </si>
  <si>
    <t>Inslagdop 100 x 100 mm LDPE zwart</t>
  </si>
  <si>
    <t>7888</t>
  </si>
  <si>
    <t>Inslagdop 60 x 40 mm LDPE zwart</t>
  </si>
  <si>
    <t>7889</t>
  </si>
  <si>
    <t>Inslagdop 120 x 40 mm LDPE zwart</t>
  </si>
  <si>
    <t>7890</t>
  </si>
  <si>
    <t>Inslagdop 120 x 120 mm LDPE zwart</t>
  </si>
  <si>
    <t>7891</t>
  </si>
  <si>
    <t>Inslagdop 60 x 60 mm LDPE zwart</t>
  </si>
  <si>
    <t>7895</t>
  </si>
  <si>
    <t>Knoopcel batterij CR2032</t>
  </si>
  <si>
    <t>7896</t>
  </si>
  <si>
    <t>Alkaline batterij 12v</t>
  </si>
  <si>
    <t>7920</t>
  </si>
  <si>
    <t>AR9 bovenprofiel Inslagdop 12mm PE zwart</t>
  </si>
  <si>
    <t>7923</t>
  </si>
  <si>
    <t>Vulblok U-paneel joint TPE</t>
  </si>
  <si>
    <t>7924</t>
  </si>
  <si>
    <t>Vulblok U-paneel joint LLC TPE</t>
  </si>
  <si>
    <t>7925</t>
  </si>
  <si>
    <t>Vulblok U-paneel intermediate TPE</t>
  </si>
  <si>
    <t>7944</t>
  </si>
  <si>
    <t>Zwaluw Wit vet Spray 400 ML</t>
  </si>
  <si>
    <t>7964</t>
  </si>
  <si>
    <t>Dubbelzijdig tape 19x0,8 mm/zwart/PE /rol 10 meter</t>
  </si>
  <si>
    <t>7998</t>
  </si>
  <si>
    <t>Schroef verzinkte flenskop 4,2x19 RAL 9010</t>
  </si>
  <si>
    <t>8001</t>
  </si>
  <si>
    <t>Parker 5.5 x 50 / EV / DIN 7981B / PH3</t>
  </si>
  <si>
    <t>8003</t>
  </si>
  <si>
    <t>Boorparker 4.2 x 13 / DIN 7504M / EV</t>
  </si>
  <si>
    <t>8010</t>
  </si>
  <si>
    <t>Zelftapper M8 x 20 / kop 13 mm / EV</t>
  </si>
  <si>
    <t>8014</t>
  </si>
  <si>
    <t>Deurparker zelfborend 6,3x25 mm/EV/kop 10 mm/DIN 7504K</t>
  </si>
  <si>
    <t>8030</t>
  </si>
  <si>
    <t>Popnagel 4.8 x 14 mm BK ALU/ST</t>
  </si>
  <si>
    <t>8031</t>
  </si>
  <si>
    <t>Popnagel 4.8 x 14 mm VZ ALU/ST</t>
  </si>
  <si>
    <t>8032</t>
  </si>
  <si>
    <t>Popnagel 3.2 x 6 mm BK ALU/ST</t>
  </si>
  <si>
    <t>8033</t>
  </si>
  <si>
    <t>Spreidpopnagel 4.8 x 20 mm ALU/ST reparatie</t>
  </si>
  <si>
    <t>8034</t>
  </si>
  <si>
    <t>Popnagel 4,8 x 26 mm BK ALU/ST</t>
  </si>
  <si>
    <t>8045</t>
  </si>
  <si>
    <t>Splitpen 4.0x32 mm RVS A2 DIN 94</t>
  </si>
  <si>
    <t>8046</t>
  </si>
  <si>
    <t>Splitpen 2.5x32/EV/DIN 94</t>
  </si>
  <si>
    <t>8047</t>
  </si>
  <si>
    <t>Stelschroef M6 x 6 / DIN 916 / EV t.b.v. veerbreuk res.</t>
  </si>
  <si>
    <t>8049</t>
  </si>
  <si>
    <t>Deurparker zelfborend 6,3x35 mm/EV/kop 10mm/DIN7504K</t>
  </si>
  <si>
    <t>8050</t>
  </si>
  <si>
    <t>Moer M3 EV / DIN 934-8</t>
  </si>
  <si>
    <t>8057</t>
  </si>
  <si>
    <t>Borgpin TS100 Ø2,0x40</t>
  </si>
  <si>
    <t>8068</t>
  </si>
  <si>
    <t>Slotbout M8x70 mm EV 4.6 DIN 603</t>
  </si>
  <si>
    <t>8070</t>
  </si>
  <si>
    <t>Bout M3 x 35 mm EV / DIN 7985 / PH1</t>
  </si>
  <si>
    <t>8072</t>
  </si>
  <si>
    <t>Bout M8 x 25 EV / DIN 933</t>
  </si>
  <si>
    <t>8074</t>
  </si>
  <si>
    <t>Flensmoer M10 RVS</t>
  </si>
  <si>
    <t>8076</t>
  </si>
  <si>
    <t>Slotbout M6x16 mm RVS DIN 603</t>
  </si>
  <si>
    <t>8077</t>
  </si>
  <si>
    <t>Slotbout M8x25 mm RVS DIN 603</t>
  </si>
  <si>
    <t>8078</t>
  </si>
  <si>
    <t>Flensmoer M6 RVS VERT</t>
  </si>
  <si>
    <t>8079</t>
  </si>
  <si>
    <t>Flensmoer M8 RVS A2 DIN 6923A</t>
  </si>
  <si>
    <t>8080</t>
  </si>
  <si>
    <t>Flensmoer M8 EV VERT DIN 6923</t>
  </si>
  <si>
    <t>8084</t>
  </si>
  <si>
    <t>Flensmoer M10 / EV / DIN 6923</t>
  </si>
  <si>
    <t>8085</t>
  </si>
  <si>
    <t>Flensmoer M5 / EV / VERT / DIN 6923</t>
  </si>
  <si>
    <t>8111</t>
  </si>
  <si>
    <t>Bout M6 x 30 EV / DIN 933</t>
  </si>
  <si>
    <t>8121</t>
  </si>
  <si>
    <t>Bout M10 x 40 EV / DIN 933</t>
  </si>
  <si>
    <t>8126</t>
  </si>
  <si>
    <t>Bout 3/8' x 2½' (63,5 mm) UNC 8.8 EV B18.2</t>
  </si>
  <si>
    <t>8127</t>
  </si>
  <si>
    <t>Bout M10 x 25 EV / DIN 933</t>
  </si>
  <si>
    <t>8133</t>
  </si>
  <si>
    <t>Bout M12 x 40 EV / DIN 933</t>
  </si>
  <si>
    <t>8135</t>
  </si>
  <si>
    <t>Bout M 12 x 55 EV / DIN 933</t>
  </si>
  <si>
    <t>8140</t>
  </si>
  <si>
    <t>Sluitring M3 EV / DIN 125A</t>
  </si>
  <si>
    <t>8143</t>
  </si>
  <si>
    <t>Sluitring M6 EV / DIN 125A</t>
  </si>
  <si>
    <t>8144</t>
  </si>
  <si>
    <t>Sluitring M8 EV / DIN 125A</t>
  </si>
  <si>
    <t>8146</t>
  </si>
  <si>
    <t>Sluitring M12 EV / DIN 125A</t>
  </si>
  <si>
    <t>8150</t>
  </si>
  <si>
    <t>Boorparker 4,8x32 mm EV DIN 7504N</t>
  </si>
  <si>
    <t>8155</t>
  </si>
  <si>
    <t>Carrosseriering M10 x 30 mm EV DIN 9021</t>
  </si>
  <si>
    <t>8190</t>
  </si>
  <si>
    <t>Bout M8 x 16 EV / DIN 933</t>
  </si>
  <si>
    <t>8209</t>
  </si>
  <si>
    <t>Borgmoer M2 EV DIN 985</t>
  </si>
  <si>
    <t>8211</t>
  </si>
  <si>
    <t>Borgmoer M5 EV DIN 985</t>
  </si>
  <si>
    <t>8213</t>
  </si>
  <si>
    <t>Borgmoer M8 EV Din 985</t>
  </si>
  <si>
    <t>8215</t>
  </si>
  <si>
    <t>Borgmoer M12 EV DIN 985</t>
  </si>
  <si>
    <t>8218</t>
  </si>
  <si>
    <t>Popnagel A2 3,2 x 10 mm / RVS / BK</t>
  </si>
  <si>
    <t>8230</t>
  </si>
  <si>
    <t>Inbusbout M5x16 EV DIN 912 VD</t>
  </si>
  <si>
    <t>8233</t>
  </si>
  <si>
    <t>Inbusbout M5x30 mm EV DIN 912 VD</t>
  </si>
  <si>
    <t>8240</t>
  </si>
  <si>
    <t>Inbusbout M10x25 mm EV DIN 912</t>
  </si>
  <si>
    <t>8269</t>
  </si>
  <si>
    <t>Inbusbout M8x16 mm EV DIN 7984</t>
  </si>
  <si>
    <t>8280</t>
  </si>
  <si>
    <t>Platkop slotbout M8 x 15 mm EV 8.8</t>
  </si>
  <si>
    <t>8281</t>
  </si>
  <si>
    <t>Platkop slotbout M8 x 15 mm RVS</t>
  </si>
  <si>
    <t>8284</t>
  </si>
  <si>
    <t>Platkop slotbout M8 x 12 mm EV 8.8</t>
  </si>
  <si>
    <t>8285</t>
  </si>
  <si>
    <t>Hamerkopbout M6 x 15 /EV/8.8</t>
  </si>
  <si>
    <t>8286</t>
  </si>
  <si>
    <t>Flensmoer M8 / EV / VERT / DIN 6923 H=6.5mm 8.8</t>
  </si>
  <si>
    <t>8287</t>
  </si>
  <si>
    <t>Hamerkopbout M6x15 mm RVS</t>
  </si>
  <si>
    <t>8290</t>
  </si>
  <si>
    <t>Platkop slotbout M6 x 16 mm EV 8.8</t>
  </si>
  <si>
    <t>8291</t>
  </si>
  <si>
    <t>Bolverzonken bout M5x25 PZ/EV/DIN 966-Z</t>
  </si>
  <si>
    <t>8292</t>
  </si>
  <si>
    <t>Zelftapper 5,5x38 mm / 4.6 / EV / DIN 7504K</t>
  </si>
  <si>
    <t>8295</t>
  </si>
  <si>
    <t>Carrosseriering M8 x 24 x 2 mm EV DIN 9021 KVP-200</t>
  </si>
  <si>
    <t>8296</t>
  </si>
  <si>
    <t>Slotbout M6x100 mm EV 4.6 DIN 603</t>
  </si>
  <si>
    <t>8300</t>
  </si>
  <si>
    <t>Platkopbout M8 x 12 mm EV 8.8 TORX 30</t>
  </si>
  <si>
    <t>8309</t>
  </si>
  <si>
    <t>Popnagel 4,8 x 22 mm BK ALU/RVS</t>
  </si>
  <si>
    <t>8323</t>
  </si>
  <si>
    <t>Inbusbout verzonken kop M5x30 mm EV DIN 7991 VD</t>
  </si>
  <si>
    <t>8328</t>
  </si>
  <si>
    <t>Inbusbout verzonken kop M5x55 EV DIN 7991</t>
  </si>
  <si>
    <t>8364</t>
  </si>
  <si>
    <t>Platkop slotbout M8 x 25 mm EV 8.8</t>
  </si>
  <si>
    <t>8366</t>
  </si>
  <si>
    <t>Slotbout M10x25 mm EV 4.6 DIN 603</t>
  </si>
  <si>
    <t>8368</t>
  </si>
  <si>
    <t>Parker 6,3 x 60 / RVS A2 / kop 10 mm / DIN 7976C</t>
  </si>
  <si>
    <t>8381</t>
  </si>
  <si>
    <t>Hamerkopbout M8x20 mm RVS</t>
  </si>
  <si>
    <t>8383</t>
  </si>
  <si>
    <t>Popnagel 3.2 x 6 mm BK ALU/ST zwart</t>
  </si>
  <si>
    <t>8384</t>
  </si>
  <si>
    <t>Hamerkopbout M8x20 mm EV 8.8</t>
  </si>
  <si>
    <t>8395</t>
  </si>
  <si>
    <t>Popnagel 4.8 x 14 mm BK ALU/ST RAL 9016 WIT</t>
  </si>
  <si>
    <t>8396</t>
  </si>
  <si>
    <t>Popnagel 4,8 x 45 mm BK ALU-ST Luxe-Line</t>
  </si>
  <si>
    <t>8397</t>
  </si>
  <si>
    <t>Popnagel MULTIGRIP 4,8x10,3 mm ALU-ST</t>
  </si>
  <si>
    <t>8398</t>
  </si>
  <si>
    <t>Popnagel Tre-Go AL-AL 5,2x19,1 mm klembereik 1,5-6,4 mm</t>
  </si>
  <si>
    <t>8401</t>
  </si>
  <si>
    <t>Zelftapper TS100 M5 x 8 mm / kop 8 mm / EV</t>
  </si>
  <si>
    <t>8402</t>
  </si>
  <si>
    <t>Zelftapper TS100 M5 x 25 mm / kop 8 mm / EV</t>
  </si>
  <si>
    <t>8403</t>
  </si>
  <si>
    <t>Kooimoer TS100 M6 EV DIN 88109</t>
  </si>
  <si>
    <t>8404</t>
  </si>
  <si>
    <t>Vleugelschroef TS100 M6x30 mm EV DIN 316 (ROOD)</t>
  </si>
  <si>
    <t>8405</t>
  </si>
  <si>
    <t>Carrosserie ring TS100 M5 x 15 x 1,2 mm EV DIN 9021</t>
  </si>
  <si>
    <t>8406</t>
  </si>
  <si>
    <t>Afstandbus TS100 25 mm PA6 zwart</t>
  </si>
  <si>
    <t>8408</t>
  </si>
  <si>
    <t>Bout M5 x 30 mm RVS A2 DIN 933</t>
  </si>
  <si>
    <t>8410</t>
  </si>
  <si>
    <t>Spaanplaatschroef 6x50 mm TX30 PK EV</t>
  </si>
  <si>
    <t>8418</t>
  </si>
  <si>
    <t>Parker 4.2 x 13 / DIN 7981C / EV TORX</t>
  </si>
  <si>
    <t>8437</t>
  </si>
  <si>
    <t>Stelschroef M8x16 mm DIN 916 45H</t>
  </si>
  <si>
    <t>8440</t>
  </si>
  <si>
    <t>Cilinderschroef met zaaggleuf M2x12 EV / DIN 84</t>
  </si>
  <si>
    <t>8441</t>
  </si>
  <si>
    <t>Deurparker zelfborend 6,3x25 mm/RVS 410/kop 10 mm/DIN 7504K</t>
  </si>
  <si>
    <t>8443</t>
  </si>
  <si>
    <t>Parker 3,9 x 38 DIN 7981C T20 EV</t>
  </si>
  <si>
    <t>8444</t>
  </si>
  <si>
    <t>Parker 3,9 x 16 DIN 7981C Torx EV</t>
  </si>
  <si>
    <t>8445</t>
  </si>
  <si>
    <t>Parker 4,2 x 70 DIN 7981CT Torx 20 EV</t>
  </si>
  <si>
    <t>8446</t>
  </si>
  <si>
    <t>Parker 3,9 x 13 DIN 7982C VK Torx TX20 EV</t>
  </si>
  <si>
    <t>8449</t>
  </si>
  <si>
    <t>Boorparker 3,9 x 13 DIN 7504 O VK Torx 20 EV</t>
  </si>
  <si>
    <t>8487</t>
  </si>
  <si>
    <t>Schroef 4.2 x 80 MM A2 DIN 7981 CH</t>
  </si>
  <si>
    <t>8611</t>
  </si>
  <si>
    <t>Spanijzers lang Ø20 mm / 52-3 L=850 mm (set is 2x)</t>
  </si>
  <si>
    <t>8612</t>
  </si>
  <si>
    <t>Spanijzers kort Ø12,7 mm / 37-2 L=400 mm Res. (set is 2x))</t>
  </si>
  <si>
    <t>8630</t>
  </si>
  <si>
    <t>Geassembleerde kabelschijf / 140 mm (Set=2stuks)</t>
  </si>
  <si>
    <t>8631</t>
  </si>
  <si>
    <t>Geassembleerde kabelschijf / 100 mm (2stuks)</t>
  </si>
  <si>
    <t>8931</t>
  </si>
  <si>
    <t>Trekveer ERA-RES verzinkt D1,5/2,0 Q214 L=430 mm</t>
  </si>
  <si>
    <t>8932</t>
  </si>
  <si>
    <t>Trekveer ERA-RES verzinkt D1,5/2,1 Q215 L=445 mm</t>
  </si>
  <si>
    <t>8933</t>
  </si>
  <si>
    <t>Trekveer ERA-RES verzinkt D1,6/2,1 Q216 L=453 mm</t>
  </si>
  <si>
    <t>8934</t>
  </si>
  <si>
    <t>Trekveer ERA-RES verzinkt D1,7/2,25 Q217 L=447 mm</t>
  </si>
  <si>
    <t>8935</t>
  </si>
  <si>
    <t>Trekveer ERA-RES verzinkt D1,7/2,4 Q218 L=449 mm</t>
  </si>
  <si>
    <t>8940</t>
  </si>
  <si>
    <t>Trekveer ERA-RES verzinkt D1,5/2,1 Q414 L=505 mm</t>
  </si>
  <si>
    <t>8943</t>
  </si>
  <si>
    <t>Trekveer ERA-RES verzinkt D1,7/2,3 Q417 L=547 mm</t>
  </si>
  <si>
    <t>8944</t>
  </si>
  <si>
    <t>Trekveer ERA-RES verzinkt D1,8/2,4 Q418 L=555 mm</t>
  </si>
  <si>
    <t>8978-01800</t>
  </si>
  <si>
    <t>Trekveer afdekprofiel TS100 82x30 mm L=1800 mm</t>
  </si>
  <si>
    <t>8978-02300</t>
  </si>
  <si>
    <t>Trekveer afdekprofiel TS100 82x30 mm L=2300 mm</t>
  </si>
  <si>
    <t>8978-02800</t>
  </si>
  <si>
    <t>Trekveer afdekprofiel TS100 82x30 mm L=2800 mm</t>
  </si>
  <si>
    <t>90570</t>
  </si>
  <si>
    <t>Lagerplaat residentieel 70 mm 1" SV</t>
  </si>
  <si>
    <t>90572</t>
  </si>
  <si>
    <t>Lagerplaat-motorsteun residentieel 58-93 mm SV</t>
  </si>
  <si>
    <t>9201</t>
  </si>
  <si>
    <t>Montagehandleiding G100 / R60</t>
  </si>
  <si>
    <t>9202</t>
  </si>
  <si>
    <t>Montagehandleiding G200/G160</t>
  </si>
  <si>
    <t>9227</t>
  </si>
  <si>
    <t>Handleiding Loopdeur SC</t>
  </si>
  <si>
    <t>9232</t>
  </si>
  <si>
    <t>Montagehandleiding Bodemrubber 3062 i.c.m. Garagedeur</t>
  </si>
  <si>
    <t>9235</t>
  </si>
  <si>
    <t>Montagehandleiding Select-Line TS100 korte versie</t>
  </si>
  <si>
    <t>9236</t>
  </si>
  <si>
    <t>Montagehandleiding Select-Line TS100</t>
  </si>
  <si>
    <t>9303</t>
  </si>
  <si>
    <t>Muurrubber LLC EPDM</t>
  </si>
  <si>
    <t>9304-07200</t>
  </si>
  <si>
    <t>ALU Montageprofiel LLC achter dagmaat ANO L=7.200 mm</t>
  </si>
  <si>
    <t>9323</t>
  </si>
  <si>
    <t>ALU hoekverbinding Luxe-Line 65x65x13mm (9301)</t>
  </si>
  <si>
    <t>9343-07800</t>
  </si>
  <si>
    <t>ALU Muurprofiel LLC 88 x 21 mm RAL 9016 L=7.800 mm</t>
  </si>
  <si>
    <t>9344-07800</t>
  </si>
  <si>
    <t>ALU Deklijst LLC 24,8 x 11 mm RAL 9016 L=7.800 mm</t>
  </si>
  <si>
    <t>9345-07200</t>
  </si>
  <si>
    <t>ALU Montageprofiel LLC achter dagmaat RAL 9016 L=7.200 mm</t>
  </si>
  <si>
    <t>9347-06000</t>
  </si>
  <si>
    <t>ALU Deklijst LLC 24,8 x 11 mm RAL 7016 L=6.000 mm</t>
  </si>
  <si>
    <t>93645</t>
  </si>
  <si>
    <t>Looprol kort / as 10 mm</t>
  </si>
  <si>
    <t>93706-01965</t>
  </si>
  <si>
    <t>Staalkabel 3 mm dubbel 6x19 EV SFC-PP TS100 L=1.965mm (L+R)</t>
  </si>
  <si>
    <t>93706-02065</t>
  </si>
  <si>
    <t>Staalkabel 3 mm dubbel 6x19 EV SFC-PP TS100 L=2.065mm (L+R)</t>
  </si>
  <si>
    <t>93706-02115</t>
  </si>
  <si>
    <t>Staalkabel 3 mm dubbel 6x19 EV SFC-PP TS100 L=2.115mm (L+R)</t>
  </si>
  <si>
    <t>93706-02165</t>
  </si>
  <si>
    <t>Staalkabel 3 mm dubbel 6x19 EV SFC-PP TS100 L=2.165mm (L+R)</t>
  </si>
  <si>
    <t>93706-02215</t>
  </si>
  <si>
    <t>Staalkabel 3 mm dubbel 6x19 EV SFC-PP TS100 L=2.215mm (L+R)</t>
  </si>
  <si>
    <t>93706-02265</t>
  </si>
  <si>
    <t>Staalkabel 3 mm dubbel 6x19 EV SFC-PP TS100 L=2.265mm (L+R)</t>
  </si>
  <si>
    <t>93706-02315</t>
  </si>
  <si>
    <t>Staalkabel 3 mm dubbel 6x19 EV SFC-PP TS100 L=2.315mm (L+R)</t>
  </si>
  <si>
    <t>93706-02365</t>
  </si>
  <si>
    <t>Staalkabel 3 mm dubbel 6x19 EV SFC-PP TS100 L=2.365mm (L+R)</t>
  </si>
  <si>
    <t>93706-02415</t>
  </si>
  <si>
    <t>Staalkabel 3 mm dubbel 6x19 EV SFC-PP TS100 L=2.415mm (L+R)</t>
  </si>
  <si>
    <t>93706-02465</t>
  </si>
  <si>
    <t>Staalkabel 3 mm dubbel 6x19 EV SFC-PP TS100 L=2.465mm (L+R)</t>
  </si>
  <si>
    <t>93706-02515</t>
  </si>
  <si>
    <t>Staalkabel 3 mm dubbel 6x19 EV SFC-PP TS100 L=2.515mm (L+R)</t>
  </si>
  <si>
    <t>93706-02565</t>
  </si>
  <si>
    <t>Staalkabel 3 mm dubbel 6x19 EV SFC-PP TS100 L=2.565mm (L+R)</t>
  </si>
  <si>
    <t>93706-02615</t>
  </si>
  <si>
    <t>Staalkabel 3 mm dubbel 6x19 EV SFC-PP TS100 L=2.615mm (L+R)</t>
  </si>
  <si>
    <t>93706-02665</t>
  </si>
  <si>
    <t>Staalkabel 3 mm dubbel 6x19 EV SFC-PP TS100 L=2.665mm (L+R)</t>
  </si>
  <si>
    <t>93706-02715</t>
  </si>
  <si>
    <t>Staalkabel 3 mm dubbel 6x19 EV SFC-PP TS100 L=2.715mm (L+R)</t>
  </si>
  <si>
    <t>93706-02765</t>
  </si>
  <si>
    <t>Staalkabel 3 mm dubbel 6x19 EV SFC-PP TS100 L=2.765mm (L+R)</t>
  </si>
  <si>
    <t>93706-02815</t>
  </si>
  <si>
    <t>Staalkabel 3 mm dubbel 6x19 EV SFC-PP TS100 L=2.815mm (L+R)</t>
  </si>
  <si>
    <t>93706-02865</t>
  </si>
  <si>
    <t>Staalkabel 3 mm dubbel 6x19 EV SFC-PP TS100 L=2.865mm (L+R)</t>
  </si>
  <si>
    <t>93706-02915</t>
  </si>
  <si>
    <t>Staalkabel 3 mm dubbel 6x19 EV SFC-PP TS100 L=2.915mm (L+R)</t>
  </si>
  <si>
    <t>93706-02965</t>
  </si>
  <si>
    <t>Staalkabel 3 mm dubbel 6x19 EV SFC-PP TS100 L=2.965mm (L+R)</t>
  </si>
  <si>
    <t>93706-03015</t>
  </si>
  <si>
    <t>Staalkabel 3 mm dubbel 6x19 EV SFC-PP TS100 L=3.015mm (L+R)</t>
  </si>
  <si>
    <t>93706-03065</t>
  </si>
  <si>
    <t>Staalkabel 3 mm dubbel 6x19 EV SFC-PP TS100 L=3.065mm (L+R)</t>
  </si>
  <si>
    <t>93706-03115</t>
  </si>
  <si>
    <t>Staalkabel 3 mm dubbel 6x19 EV SFC-PP TS100 L=3.115mm (L+R)</t>
  </si>
  <si>
    <t>93706-03165</t>
  </si>
  <si>
    <t>Staalkabel 3 mm dubbel 6x19 EV SFC-PP TS100 L=3.165mm (L+R)</t>
  </si>
  <si>
    <t>93706-03215</t>
  </si>
  <si>
    <t>Staalkabel 3 mm dubbel 6x19 EV SFC-PP TS100 L=3.215mm (L+R)</t>
  </si>
  <si>
    <t>93707-02960</t>
  </si>
  <si>
    <t>Staalkabel 3 mm 6x19 EV SFC-PP kern G160 T7-T14 L=2.960 L+R</t>
  </si>
  <si>
    <t>93708-02960</t>
  </si>
  <si>
    <t>Staalkabel 3 mm 6x19 EV SFC-PP kern T7 L=2.960 mm L+R</t>
  </si>
  <si>
    <t>93708-03805</t>
  </si>
  <si>
    <t>Staalkabel 3 mm 6x19 EV SFC-PP kern T7 L=3.805 mm L+R</t>
  </si>
  <si>
    <t>93708-07205</t>
  </si>
  <si>
    <t>Staalkabel 3 mm 6x19 EV SFC-PP kern T7 L=7.205 mm L+R</t>
  </si>
  <si>
    <t>93708-07705</t>
  </si>
  <si>
    <t>Staalkabel 3 mm 6x19 EV SFC-PP kern T7 L=7.705 mm L+R</t>
  </si>
  <si>
    <t>93709-03805</t>
  </si>
  <si>
    <t>Staalkabel 4 mm 6x19 EV SFC-PP kern T7 L=3.805 mm L+R</t>
  </si>
  <si>
    <t>93709-07205</t>
  </si>
  <si>
    <t>Staalkabel 4 mm 6x19 EV SFC-PP kern T7 L=7.205 mm L+R</t>
  </si>
  <si>
    <t>93709-07705</t>
  </si>
  <si>
    <t>Staalkabel 4 mm 6x19 EV SFC-PP kern T7 L=7.705 mm L+R</t>
  </si>
  <si>
    <t>9381</t>
  </si>
  <si>
    <t>Boorparker VZ 3,9 x 32 mm DIN 7504P EV</t>
  </si>
  <si>
    <t>9382</t>
  </si>
  <si>
    <t>Boorparker 4,2x19 mm EV DIN 7504 N/M</t>
  </si>
  <si>
    <t>9384</t>
  </si>
  <si>
    <t>Boorparker 4,8x16 mm EV DIN 7504 N luxe-line</t>
  </si>
  <si>
    <t>9396</t>
  </si>
  <si>
    <t>Montageplaat LLC RVS 26,5x24x4mm -6mm tbv buitenkader 4308</t>
  </si>
  <si>
    <t>94040</t>
  </si>
  <si>
    <t>Afhangprofiel garagedeur 1.5mm L=176 mm SV</t>
  </si>
  <si>
    <t>94041</t>
  </si>
  <si>
    <t>Afhangprofiel garagedeur 1.5mm L=350 mm SV</t>
  </si>
  <si>
    <t>94042</t>
  </si>
  <si>
    <t>Afhangprofiel garagedeur 1.5mm L=408 mm SV</t>
  </si>
  <si>
    <t>94043</t>
  </si>
  <si>
    <t>Beugel afhangprofiel 107x66 mm (tbv 94040-94041-94042)</t>
  </si>
  <si>
    <t>94044</t>
  </si>
  <si>
    <t>Beugel afhangprofiel 107x66 mm GAT M8(tbv 94040/94042+94050)</t>
  </si>
  <si>
    <t>94050</t>
  </si>
  <si>
    <t>Afhangprofiel garagedeur 1.5mm L=611 mm SV</t>
  </si>
  <si>
    <t>94051</t>
  </si>
  <si>
    <t>Steun beugel afhangprofiel</t>
  </si>
  <si>
    <t>9441</t>
  </si>
  <si>
    <t>Kunststof Grendelblok voor Luxe-line klapgrendel ( 9475)</t>
  </si>
  <si>
    <t>9451</t>
  </si>
  <si>
    <t>PVC waterkapje Luxe-Line Zwart 40x16mm</t>
  </si>
  <si>
    <t>9457</t>
  </si>
  <si>
    <t>Keilrubber Luxe-Line glaslatzijde 4mm</t>
  </si>
  <si>
    <t>9464</t>
  </si>
  <si>
    <t>Sluitplaat elektrisch 12-24V DINL Stroomloos Dicht Luxe-Line</t>
  </si>
  <si>
    <t>9465</t>
  </si>
  <si>
    <t>Sluitplaat elektrisch 12-24V DINR Stroomloos Dicht Luxe-Line</t>
  </si>
  <si>
    <t>9470</t>
  </si>
  <si>
    <t>Wig blauw 1-5 mm Luxe-Line</t>
  </si>
  <si>
    <t>9471</t>
  </si>
  <si>
    <t>Wig bruin 4-8 mm Luxe-Line</t>
  </si>
  <si>
    <t>9472</t>
  </si>
  <si>
    <t>Kantschuif 250 x 17 Luxe-line</t>
  </si>
  <si>
    <t>9473</t>
  </si>
  <si>
    <t>Kantschuif 400 x 20 Luxe-line</t>
  </si>
  <si>
    <t>9474</t>
  </si>
  <si>
    <t>Kantschuif 600 x 20 Luxe-line</t>
  </si>
  <si>
    <t>9475</t>
  </si>
  <si>
    <t>Klapgrendel LLC L=140mm / D=10mm / Pen 9x6,5mmF</t>
  </si>
  <si>
    <t>9480</t>
  </si>
  <si>
    <t>Europrofiel cilinder 80mm (40-40) Luxe-Line + schroef M5x50</t>
  </si>
  <si>
    <t>9483</t>
  </si>
  <si>
    <t>Deurscharnier tweedelig ANO naturel Luxe-Line</t>
  </si>
  <si>
    <t>9484</t>
  </si>
  <si>
    <t>Kantschuif Sluitblok Luxe-Line Twin</t>
  </si>
  <si>
    <t>9485</t>
  </si>
  <si>
    <t>Kantschuif Luxe-Line Twin</t>
  </si>
  <si>
    <t>9498</t>
  </si>
  <si>
    <t>Slot Klemplaat Luxe-Line 24x12x3 mm (incl. bout M5x14)</t>
  </si>
  <si>
    <t>9499</t>
  </si>
  <si>
    <t>Vulplaat Luxe-Line 24x20x3 mm RVS</t>
  </si>
  <si>
    <t>9502</t>
  </si>
  <si>
    <t>Compriband 15mm breed 10mm dik / rol a 12.5 meter</t>
  </si>
  <si>
    <t>9516</t>
  </si>
  <si>
    <t>Zijscharnier compleet Crawford/Assa Abloy</t>
  </si>
  <si>
    <t>9517</t>
  </si>
  <si>
    <t>Middenscharnier Crawford/Assa Abloy</t>
  </si>
  <si>
    <t>9518</t>
  </si>
  <si>
    <t>Zijscharnier verstelbaar Hörmann SV compleet</t>
  </si>
  <si>
    <t>9519</t>
  </si>
  <si>
    <t>Middenscharnier Hörmann SV</t>
  </si>
  <si>
    <t>9520L</t>
  </si>
  <si>
    <t>Eindstijl Hörmann enkel / 500 / SPU30 / SPU40 / SV / 1,5mm</t>
  </si>
  <si>
    <t>9520R</t>
  </si>
  <si>
    <t>Eindstijl Hörmann / 500 / SPU30/40 / Rechts / SV / 1,5mm</t>
  </si>
  <si>
    <t>9521L</t>
  </si>
  <si>
    <t>Eindstijl Hörmann / 625 / SPU30/40 / links / SV / 1,5mm</t>
  </si>
  <si>
    <t>9521R</t>
  </si>
  <si>
    <t>Eindstijl Hörmann / 625 / SPU30/40 / Rechts / SV / 1,5mm</t>
  </si>
  <si>
    <t>9522L</t>
  </si>
  <si>
    <t>Eindstijl Hörmann / 750 / SPU30/40 / Links / SV / 1,5</t>
  </si>
  <si>
    <t>9522R</t>
  </si>
  <si>
    <t>Eindstijl Hörmann / 750 / SPU30/40 / Rechts / SV / 1,5mm</t>
  </si>
  <si>
    <t>9523</t>
  </si>
  <si>
    <t>Hörmann Looprol K - type</t>
  </si>
  <si>
    <t>9524</t>
  </si>
  <si>
    <t>Hörmann Looprol KS - type</t>
  </si>
  <si>
    <t>9525</t>
  </si>
  <si>
    <t>Hörmann toprolhouder voor HS</t>
  </si>
  <si>
    <t>9526L</t>
  </si>
  <si>
    <t>Hörmann toprolhouder voor NS Links</t>
  </si>
  <si>
    <t>9526R</t>
  </si>
  <si>
    <t>Hörmann toprolhouder voor NS Rechts</t>
  </si>
  <si>
    <t>9527</t>
  </si>
  <si>
    <t>Hörmann Tandemlooprol</t>
  </si>
  <si>
    <t>9528</t>
  </si>
  <si>
    <t>Hörmann Zijscharnier Type 6 verzinkt</t>
  </si>
  <si>
    <t>9529</t>
  </si>
  <si>
    <t>Hörmann Rolhouder Verzinkt</t>
  </si>
  <si>
    <t>9530</t>
  </si>
  <si>
    <t>Hörmann Middenscharnier Type 6 verzinkt</t>
  </si>
  <si>
    <t>9531</t>
  </si>
  <si>
    <t>Hörmann Middenscharnier Type 4 verzinkt</t>
  </si>
  <si>
    <t>9532L</t>
  </si>
  <si>
    <t>Hörmann bodemconsole LS / NS links</t>
  </si>
  <si>
    <t>9532R</t>
  </si>
  <si>
    <t>Hörmann bodemconsole LS / NS rechts</t>
  </si>
  <si>
    <t>9533L</t>
  </si>
  <si>
    <t>Hörmann bodemconsole HS / VL Links</t>
  </si>
  <si>
    <t>9533R</t>
  </si>
  <si>
    <t>Hörmann bodemconsole HS / VL Rechts</t>
  </si>
  <si>
    <t>9534</t>
  </si>
  <si>
    <t>Hörmann Kabelbreukbeveiliging type N</t>
  </si>
  <si>
    <t>9535</t>
  </si>
  <si>
    <t>Hörmann Kabelbreukbeveiliging type H, L, V</t>
  </si>
  <si>
    <t>9536</t>
  </si>
  <si>
    <t>Hörmann bodemrubber voor Opto HG025</t>
  </si>
  <si>
    <t>9537</t>
  </si>
  <si>
    <t>Hörmann bodemrubber voor Opto HG033</t>
  </si>
  <si>
    <t>9538</t>
  </si>
  <si>
    <t>Hörmann Toprubber HG004</t>
  </si>
  <si>
    <t>9539</t>
  </si>
  <si>
    <t>Hörmann Zijafdichtingsrubber</t>
  </si>
  <si>
    <t>9540</t>
  </si>
  <si>
    <t>Hörmann Veerbumper kort</t>
  </si>
  <si>
    <t>9541</t>
  </si>
  <si>
    <t>Hörmann Veerbumper montageplaat voor HS</t>
  </si>
  <si>
    <t>9542</t>
  </si>
  <si>
    <t>Hörmann Veerbumper montageplaat voor LS</t>
  </si>
  <si>
    <t>9543</t>
  </si>
  <si>
    <t>Hörmann Veerbumper montageplaat voor VS</t>
  </si>
  <si>
    <t>9544</t>
  </si>
  <si>
    <t>Hörmann Curve 90 ° voor industrieel</t>
  </si>
  <si>
    <t>9545</t>
  </si>
  <si>
    <t>Hörmann stationair en spanplug</t>
  </si>
  <si>
    <t>9546</t>
  </si>
  <si>
    <t>Hörmann Veerplug stationair plug type 2 95 mm</t>
  </si>
  <si>
    <t>9547</t>
  </si>
  <si>
    <t>Hörmann Veerplug spanplug type 2 95 mm</t>
  </si>
  <si>
    <t>9548</t>
  </si>
  <si>
    <t>Hörmann Veerplug stationair plug type 3 142 mm</t>
  </si>
  <si>
    <t>9549</t>
  </si>
  <si>
    <t>Hörmann Veerplug spanplug plug type 3 142 mm</t>
  </si>
  <si>
    <t>9550</t>
  </si>
  <si>
    <t>Hörmann Lagerplaat Type 1, Maat 2 L/R</t>
  </si>
  <si>
    <t>9551</t>
  </si>
  <si>
    <t>Hörmann Lagerplaat Maat 1</t>
  </si>
  <si>
    <t>9552</t>
  </si>
  <si>
    <t>Hörmann Lagerplaat Maat 2, 4, 6</t>
  </si>
  <si>
    <t>9553</t>
  </si>
  <si>
    <t>Hörmann Handgreep interieur</t>
  </si>
  <si>
    <t>9554</t>
  </si>
  <si>
    <t>Hörmann Hadgreep plat exterieur</t>
  </si>
  <si>
    <t>9555</t>
  </si>
  <si>
    <t>Hörmann Handzender 4-kanaals 868 MHz</t>
  </si>
  <si>
    <t>9556</t>
  </si>
  <si>
    <t>Hörmann Onderprofiel 42 mm L = 7.000mm</t>
  </si>
  <si>
    <t>9600-06000</t>
  </si>
  <si>
    <t>Glaslat PVC / 21 mm vulling 23,5 x 9,7 mm grijs L=6.000 mm</t>
  </si>
  <si>
    <t>9602-09150</t>
  </si>
  <si>
    <t>ISO80 Onderprofiel 80 mm PVC 78,6 x 15,2 mm zwart L=9.150 mm</t>
  </si>
  <si>
    <t>9605-06000</t>
  </si>
  <si>
    <t>AR6-7-9 Vulprofiel 17,4x20 mm/HPVC/grijs L=6.000 mm</t>
  </si>
  <si>
    <t>96055</t>
  </si>
  <si>
    <t>Crawford as koppeling, hex. as, L = 150 mm, aluminium</t>
  </si>
  <si>
    <t>9607-04000</t>
  </si>
  <si>
    <t>ISO40-80 VA Isolator 73,3 x 2,5mm PVC zw. L=4.000 incl tape</t>
  </si>
  <si>
    <t>9608-06000</t>
  </si>
  <si>
    <t>AR80 Vulprofiel 45x20 mm/HPVC/grijs L=6.000 mm</t>
  </si>
  <si>
    <t>9609-09150</t>
  </si>
  <si>
    <t>ISO80 PVC U-Profiel 80 mm grijs L=9.150 mm</t>
  </si>
  <si>
    <t>9611-04100-96</t>
  </si>
  <si>
    <t>ISO40 Onderprof. 40 PVC39,7x16,5 zwart L=4100 ST7/ALU1/96st</t>
  </si>
  <si>
    <t>9611-05100-96</t>
  </si>
  <si>
    <t>ISO40 Onderprof. 40 PVC39,7x16,5 zwart L=5100 ST7/ALU1/96st</t>
  </si>
  <si>
    <t>9611-06100-96</t>
  </si>
  <si>
    <t>ISO40 Onderprof. 40 PVC39,7x16,5 zwart L=6100 ST7/ALU1/96st</t>
  </si>
  <si>
    <t>9611-09150</t>
  </si>
  <si>
    <t>ISO40 Onderprofiel 40mm PVC 39,7x16,5 zwart L=9150 ST7/ALU1</t>
  </si>
  <si>
    <t>9612-06000</t>
  </si>
  <si>
    <t>Glaslat PVC / 3 mm vulling L=6.000 mm</t>
  </si>
  <si>
    <t>9614</t>
  </si>
  <si>
    <t>Vulplaat lagerplaat 69x30mm PVC grijs bij VA isolator</t>
  </si>
  <si>
    <t>9615</t>
  </si>
  <si>
    <t>ISO40 PVC Eindstijl 40 mm ENKEL grijs 488mm L=478mm</t>
  </si>
  <si>
    <t>9616</t>
  </si>
  <si>
    <t>ISO40 PVC Eindstijl 40 mm ENKEL grijs 610mm L=600mm</t>
  </si>
  <si>
    <t>9617</t>
  </si>
  <si>
    <t>ISO40 PVC Eindstijl 40 mm DUBBEL grijs 488mm L=478mm</t>
  </si>
  <si>
    <t>9618</t>
  </si>
  <si>
    <t>ISO40 PVC Eindstijl 40 mm DUBBEL grijs 610mm L=600mm</t>
  </si>
  <si>
    <t>9619L</t>
  </si>
  <si>
    <t>Eindkap LINKS voor drempel 2164 PA6 zwart</t>
  </si>
  <si>
    <t>9619R</t>
  </si>
  <si>
    <t>Eindkap RECHTS voor drempel 2164 PA6 zwart</t>
  </si>
  <si>
    <t>9628</t>
  </si>
  <si>
    <t>ISO80 PVC Eindstijl 80 mm ENKEL grijs 610mm L=600mm</t>
  </si>
  <si>
    <t>9629</t>
  </si>
  <si>
    <t>ISO80 PVC Eindstijl 80 mm DUBBEL grijs 610mm L=600mm</t>
  </si>
  <si>
    <t>9634</t>
  </si>
  <si>
    <t>Stickervel 85x29,5 mm letselgevaar-gevaar (rol 500)</t>
  </si>
  <si>
    <t>9638</t>
  </si>
  <si>
    <t>ISO80 PVC Eindstijl 80 mm ENKEL grijs 488mm L=478mm</t>
  </si>
  <si>
    <t>9639</t>
  </si>
  <si>
    <t>ISO80 PVC Eindstijl 80 mm DUBBEL grijs 488mm L=478mm</t>
  </si>
  <si>
    <t>9640-09150</t>
  </si>
  <si>
    <t>ISO40 PVC U-Profiel 40 mm grijs L=9.150 mm</t>
  </si>
  <si>
    <t>9641</t>
  </si>
  <si>
    <t>Afdekkap deurparker WIT</t>
  </si>
  <si>
    <t>9642</t>
  </si>
  <si>
    <t>Gevaarlabel veren TS100 100x40 mm geel</t>
  </si>
  <si>
    <t>9651</t>
  </si>
  <si>
    <t>ISO40 PVC Eindstijl 40 mm ENKEL grijs 500mm L=490mm</t>
  </si>
  <si>
    <t>9652</t>
  </si>
  <si>
    <t>ISO40 PVC Eindstijl 40 mm DUBBEL grijs 500mm L=490mm</t>
  </si>
  <si>
    <t>9653-04100-96</t>
  </si>
  <si>
    <t>ISO40 Onderprof 40 PVC35,3x25,8 zwart L=4100 HL-E/ST9V/96st</t>
  </si>
  <si>
    <t>9653-05100-96</t>
  </si>
  <si>
    <t>ISO40 Onderprof 40 PVC35,3x25,8 zwart L=5100 HL-E/ST9V/96st</t>
  </si>
  <si>
    <t>9653-06100-96</t>
  </si>
  <si>
    <t>ISO40 Onderprof 40 PVC35,3x25,8 zwart L=6100 HL-E/ST9V/96st</t>
  </si>
  <si>
    <t>9653-09150</t>
  </si>
  <si>
    <t>ISO40 Onderprofiel 40 PVC 35,3x25,8 zwart L=9150 HL-E/ST9V</t>
  </si>
  <si>
    <t>9654</t>
  </si>
  <si>
    <t>Hoekafdichting zwart PA 6 t.b.v VA-Toprubber 3001</t>
  </si>
  <si>
    <t>9670</t>
  </si>
  <si>
    <t>LDI40-80 Afstandhouder Ø12 x 11,1 mm PVC</t>
  </si>
  <si>
    <t>9680</t>
  </si>
  <si>
    <t>Sticker 200 mm voetgangers verboden</t>
  </si>
  <si>
    <t>9681</t>
  </si>
  <si>
    <t>Sticker 200 mm klimmen verboden</t>
  </si>
  <si>
    <t>9682</t>
  </si>
  <si>
    <t>Sticker 200 mm parkeren verboden</t>
  </si>
  <si>
    <t>9683</t>
  </si>
  <si>
    <t>Sticker 200 mm verboden obstakels te plaatsen</t>
  </si>
  <si>
    <t>9684</t>
  </si>
  <si>
    <t>Sticker 200 mm verboden voor onbevoegden</t>
  </si>
  <si>
    <t>9685</t>
  </si>
  <si>
    <t>Sticker 200 mm waarschuwing beknellingsgevaar</t>
  </si>
  <si>
    <t>9686</t>
  </si>
  <si>
    <t>Sticker 200 mm waarschuwing struikelgevaar</t>
  </si>
  <si>
    <t>9687</t>
  </si>
  <si>
    <t>Sticker 200 mm waarschuwing algemeen</t>
  </si>
  <si>
    <t>9700</t>
  </si>
  <si>
    <t>ALU rooster afsluitbaar 500 x 100 mm (incl. 8 schroeven)</t>
  </si>
  <si>
    <t>9701</t>
  </si>
  <si>
    <t>Ventilatierooster kunststof wit 450 x 90 mm</t>
  </si>
  <si>
    <t>9702</t>
  </si>
  <si>
    <t>Ventilatierooster kunststof zwart 450 x 90 mm</t>
  </si>
  <si>
    <t>9703</t>
  </si>
  <si>
    <t>ALU rooster afsluitbaar 325 x 65 mm (incl. 8 schroeven)</t>
  </si>
  <si>
    <t>9704</t>
  </si>
  <si>
    <t>Ventilatierooster S40 afsluitbaar kunststof wit 344 x 138 mm</t>
  </si>
  <si>
    <t>9705</t>
  </si>
  <si>
    <t>Ventilatierooster S40 afsluitbr kunststof zwart 344 x 138 mm</t>
  </si>
  <si>
    <t>9710</t>
  </si>
  <si>
    <t>Anti-inbraakstrip 40 x 4 x 490 mm / ALU (alleen ST panelen)</t>
  </si>
  <si>
    <t>9718-09150</t>
  </si>
  <si>
    <t>AR6T Adapterprofiel rubber 42x12,7mm PVC zwart L=9150mm</t>
  </si>
  <si>
    <t>9719</t>
  </si>
  <si>
    <t>Kabelbinder KLIK 200x4,7 mm zwart tbv VA montage /zak a 10st</t>
  </si>
  <si>
    <t>9720</t>
  </si>
  <si>
    <t>Kunststof rooster Luxe-line RAL9016 afsluitbaar compleet</t>
  </si>
  <si>
    <t>9724=DE</t>
  </si>
  <si>
    <t>Montagehandleiding compleet Select Line Aandrijving DE</t>
  </si>
  <si>
    <t>9724=EN</t>
  </si>
  <si>
    <t>Montagehandleiding compleet Select Line Aandrijving EN</t>
  </si>
  <si>
    <t>9724=FR</t>
  </si>
  <si>
    <t>Montagehandleiding compleet Select Line Aandrijving FR</t>
  </si>
  <si>
    <t>9724=NL</t>
  </si>
  <si>
    <t>Montagehandleiding compleet Select Line Aandrijving NL</t>
  </si>
  <si>
    <t>9954</t>
  </si>
  <si>
    <t>Schoon / Dreft afwasmiddel / 1000ml</t>
  </si>
  <si>
    <t>C1010</t>
  </si>
  <si>
    <t>Pro-Line CND1 Kettingoverbrenging 1" (1:1)</t>
  </si>
  <si>
    <t>C1080</t>
  </si>
  <si>
    <t>Sample plate kleurenwaaier EPCO garagedeur</t>
  </si>
  <si>
    <t>C1081</t>
  </si>
  <si>
    <t>Sample plate kleurenwaaier EPCO industriedeur</t>
  </si>
  <si>
    <t>C1083</t>
  </si>
  <si>
    <t>Sample plate waaier EPCO ST7E</t>
  </si>
  <si>
    <t>C1940</t>
  </si>
  <si>
    <t>Monsterkoffer met foam (vol) zwart</t>
  </si>
  <si>
    <t>C2833</t>
  </si>
  <si>
    <t>Magneetschakelaar VDS-B incl. beugel en bevestigingmateriaal</t>
  </si>
  <si>
    <t>C3074-09150</t>
  </si>
  <si>
    <t>AR6T Adapterprofiel + rubber 3074+9718 zwart L=9150mm</t>
  </si>
  <si>
    <t>C3218</t>
  </si>
  <si>
    <t>Rolhouder enkel geassembleerd tbv 3201/02/03/05/06/09/16 EV</t>
  </si>
  <si>
    <t>C3346</t>
  </si>
  <si>
    <t>Kettingkoppeling 31,75 mm (1¼"as)</t>
  </si>
  <si>
    <t>C3347</t>
  </si>
  <si>
    <t>Kettingkoppeling 25,4 mm (1"as)</t>
  </si>
  <si>
    <t>C3348</t>
  </si>
  <si>
    <t>Kettingkoppeling 25,4 - 31,75 mm (1" - 1¼" as)</t>
  </si>
  <si>
    <t>C3349</t>
  </si>
  <si>
    <t>Montageset voor ALU bekledingset 1600- 1601</t>
  </si>
  <si>
    <t>C3589</t>
  </si>
  <si>
    <t>Set versteviging veerbreukconsole R60-G100 compleet</t>
  </si>
  <si>
    <t>C3641</t>
  </si>
  <si>
    <t>Cilinderslot inbouw licht compleet INCL CILINDER 60mm</t>
  </si>
  <si>
    <t>C3642</t>
  </si>
  <si>
    <t>Ombouwset van 3618 voor G100/TS100/R60</t>
  </si>
  <si>
    <t>C3690</t>
  </si>
  <si>
    <t>Veerbumper kort L=220mm compleet</t>
  </si>
  <si>
    <t>C3691</t>
  </si>
  <si>
    <t>Veerbumper lang L=680mm compleet</t>
  </si>
  <si>
    <t>C3857</t>
  </si>
  <si>
    <t>Cilinderslot met snapsluiting-residentieel-zwart-compleet</t>
  </si>
  <si>
    <t>C3858</t>
  </si>
  <si>
    <t>Cilinderslot met snapsluiting-resident.-ALU/chroom-compleet</t>
  </si>
  <si>
    <t>C3886</t>
  </si>
  <si>
    <t>Kabelschijfconstructie DS-HS</t>
  </si>
  <si>
    <t>C3888</t>
  </si>
  <si>
    <t>Kabelschijfconstructie DS-VS/Type 2/LINKS</t>
  </si>
  <si>
    <t>C3889</t>
  </si>
  <si>
    <t>Kabelschijfconstructie DS-VS/Type 2/RECHTS</t>
  </si>
  <si>
    <t>C3890</t>
  </si>
  <si>
    <t>Kabelschijfconstructie VSK-HSK zwaar EV (per set L+R))</t>
  </si>
  <si>
    <t>C4272</t>
  </si>
  <si>
    <t>Pro-Line CND1 Insteekprint voor verkeerslicht compleet</t>
  </si>
  <si>
    <t>C4746A</t>
  </si>
  <si>
    <t>PL CND1 Combi Besturing 1-3 ventiel Dock swing lip 5x knop</t>
  </si>
  <si>
    <t>C4746B</t>
  </si>
  <si>
    <t>PL CND1 Combi Besturing 1-3 ventiel Dock swing lip 6x knop</t>
  </si>
  <si>
    <t>C4746C</t>
  </si>
  <si>
    <t>PL CND1 Combi Besturing 1-3 ventiel Telescoop level. 7x knop</t>
  </si>
  <si>
    <t>C5910</t>
  </si>
  <si>
    <t>Pro-Line Sleutelschakelaar opbouw PULS tbv Gelijksluitend</t>
  </si>
  <si>
    <t>C7800</t>
  </si>
  <si>
    <t>Fixatieset LDI40-80 Deurgeleider vanger</t>
  </si>
  <si>
    <t>C9400=7016</t>
  </si>
  <si>
    <t>LDSC profiel kit bodem 610 mm DIN R EPCO RAL 7016</t>
  </si>
  <si>
    <t>C9400=9006</t>
  </si>
  <si>
    <t>LDSC profiel kit bodem 610 mm DIN R EPCO RAL 9006</t>
  </si>
  <si>
    <t>C9401=7016</t>
  </si>
  <si>
    <t>LDSC profiel kit bodem 610 mm DIN L EPCO RAL 7016</t>
  </si>
  <si>
    <t>C9401=9006</t>
  </si>
  <si>
    <t>LDSC profiel kit bodem 610 mm DIN L EPCO RAL 9006</t>
  </si>
  <si>
    <t>C9402=7016</t>
  </si>
  <si>
    <t>LDSC profiel kit bodem 500 mm DIN R EPCO RAL 7016</t>
  </si>
  <si>
    <t>C9402=9006</t>
  </si>
  <si>
    <t>LDSC profiel kit bodem 500 mm DIN R EPCO RAL 9006</t>
  </si>
  <si>
    <t>C9403=7016</t>
  </si>
  <si>
    <t>LDSC profiel kit bodem 500 mm DIN L EPCO RAL 7016</t>
  </si>
  <si>
    <t>C9403=9006</t>
  </si>
  <si>
    <t>LDSC profiel kit bodem 500 mm DIN L EPCO RAL 9006</t>
  </si>
  <si>
    <t>C9404=7016</t>
  </si>
  <si>
    <t>LDSC profiel kit tussen 610 mm DIN R EPCO RAL 7016</t>
  </si>
  <si>
    <t>C9404=9006</t>
  </si>
  <si>
    <t>LDSC profiel kit tussen 610 mm DIN R EPCO RAL 9006</t>
  </si>
  <si>
    <t>C9405=7016</t>
  </si>
  <si>
    <t>LDSC profiel kit tussen 610 mm DIN L EPCO RAL 7016</t>
  </si>
  <si>
    <t>C9405=9006</t>
  </si>
  <si>
    <t>LDSC profiel kit tussen 610 mm DIN L EPCO RAL 9006</t>
  </si>
  <si>
    <t>C94051</t>
  </si>
  <si>
    <t>Extra steunbeugel (2x) t.b.v. afhangprofiel</t>
  </si>
  <si>
    <t>C9406=7016</t>
  </si>
  <si>
    <t>LDSC profiel kit tussen 500 mm DIN R EPCO RAL 7016</t>
  </si>
  <si>
    <t>C9406=9006</t>
  </si>
  <si>
    <t>LDSC profiel kit tussen 500 mm DIN R EPCO RAL 9006</t>
  </si>
  <si>
    <t>C9407=7016</t>
  </si>
  <si>
    <t>LDSC profiel kit tussen 500 mm DIN L EPCO RAL 7016</t>
  </si>
  <si>
    <t>C9407=9006</t>
  </si>
  <si>
    <t>LDSC profiel kit tussen 500 mm DIN L EPCO RAL 9006</t>
  </si>
  <si>
    <t>C9408=7016</t>
  </si>
  <si>
    <t>LDSC prof. kit tussen 610 mm DIN R EPCO RAL 7016 SLOT</t>
  </si>
  <si>
    <t>C9408=9006</t>
  </si>
  <si>
    <t>LDSC prof. kit tussen 610 mm DIN R EPCO RAL 9006 SLOT</t>
  </si>
  <si>
    <t>C9409=7016</t>
  </si>
  <si>
    <t>LDSC prof. kit tussen 610 mm DIN L EPCO RAL 7016 SLOT</t>
  </si>
  <si>
    <t>C9409=9006</t>
  </si>
  <si>
    <t>LDSC prof. kit tussen 610 mm DIN L EPCO RAL 9006 SLOT</t>
  </si>
  <si>
    <t>C9410=7016</t>
  </si>
  <si>
    <t>LDSC prof. kit tussen 500 mm DIN R EPCO RAL 7016 SLOT</t>
  </si>
  <si>
    <t>C9410=9006</t>
  </si>
  <si>
    <t>LDSC prof. kit tussen 500 mm DIN R EPCO RAL 9006 SLOT</t>
  </si>
  <si>
    <t>C9411=7016</t>
  </si>
  <si>
    <t>LDSC prof. kit tussen 500 mm DIN L EPCO RAL 7016 SLOT</t>
  </si>
  <si>
    <t>C9411=9006</t>
  </si>
  <si>
    <t>LDSC prof. kit tussen 500 mm DIN L EPCO RAL 9006 SLOT</t>
  </si>
  <si>
    <t>C9412=7016</t>
  </si>
  <si>
    <t>LDSC profiel kit top 610 mm DIN R EPCO RAL 7016</t>
  </si>
  <si>
    <t>C9412=9006</t>
  </si>
  <si>
    <t>LDSC profiel kit top 610 mm DIN R EPCO RAL 9006</t>
  </si>
  <si>
    <t>C9413=7016</t>
  </si>
  <si>
    <t>LDSC profiel kit top 610 mm DIN L EPCO RAL 7016</t>
  </si>
  <si>
    <t>C9413=9006</t>
  </si>
  <si>
    <t>LDSC profiel kit top 610 mm DIN L EPCO RAL 9006</t>
  </si>
  <si>
    <t>C9414=7016</t>
  </si>
  <si>
    <t>LDSC profiel kit top 500 mm DIN R EPCO RAL 7016</t>
  </si>
  <si>
    <t>C9414=9006</t>
  </si>
  <si>
    <t>LDSC profiel kit top 500 mm DIN R EPCO RAL 9006</t>
  </si>
  <si>
    <t>C9415=7016</t>
  </si>
  <si>
    <t>LDSC profiel kit top 500 mm DIN L EPCO RAL 7016</t>
  </si>
  <si>
    <t>C9415=9006</t>
  </si>
  <si>
    <t>LDSC profiel kit top 500 mm DIN L EPCO RAL 9006</t>
  </si>
  <si>
    <t>C9440</t>
  </si>
  <si>
    <t>LDSC afdichting-/montagemateriaal kit 4 secties</t>
  </si>
  <si>
    <t>C9441</t>
  </si>
  <si>
    <t>LDSC afdichting-/montagemateriaal kit 5 secties</t>
  </si>
  <si>
    <t>C9449</t>
  </si>
  <si>
    <t>High-Line LM Smart Pack</t>
  </si>
  <si>
    <t>C9470</t>
  </si>
  <si>
    <t>LDI40 Introductie kit</t>
  </si>
  <si>
    <t>C9471</t>
  </si>
  <si>
    <t>LDI80 Introductie kit</t>
  </si>
  <si>
    <t>C9500</t>
  </si>
  <si>
    <t>Ventilatierooster S80 afsluitbaar kunststof wit 344 x 138 mm</t>
  </si>
  <si>
    <t>C9501</t>
  </si>
  <si>
    <t>Ventilatierooster S80 afsluitbr kunststof zwart 344 x 138 mm</t>
  </si>
  <si>
    <t>C9502</t>
  </si>
  <si>
    <t>Vulblok set U-paneel Plancha TPE</t>
  </si>
  <si>
    <t>C9503</t>
  </si>
  <si>
    <t>Vulblok set U-paneel Ligna TPE</t>
  </si>
  <si>
    <t>C9504</t>
  </si>
  <si>
    <t>Vulblok set U-paneel Plano TPE</t>
  </si>
  <si>
    <t>C9510-02000</t>
  </si>
  <si>
    <t>Hor.railset RES/ERA elec.(rechte rails) 1,3mm DMH 2000mm</t>
  </si>
  <si>
    <t>C9510-02125</t>
  </si>
  <si>
    <t>Hor.railset RES/ERA elec.(rechte rails) 1,3mm DMH 2125mm</t>
  </si>
  <si>
    <t>C9510-02250</t>
  </si>
  <si>
    <t>Hor.railset RES/ERA elec.(rechte rails) 1,3mm DMH 2250mm</t>
  </si>
  <si>
    <t>C9510-02375</t>
  </si>
  <si>
    <t>Hor.railset RES/ERA elec.(rechte rails) 1,3mm DMH 2375mm</t>
  </si>
  <si>
    <t>C9510-02500</t>
  </si>
  <si>
    <t>Hor.railset RES/ERA elec.(rechte rails) 1,3mm DMH 2500mm</t>
  </si>
  <si>
    <t>C9510-02625</t>
  </si>
  <si>
    <t>Hor.railset RES/ERA elec.(rechte rails) 1,3mm DMH 2625mm</t>
  </si>
  <si>
    <t>C9510-02750</t>
  </si>
  <si>
    <t>Hor.railset RES/ERA elec.(rechte rails) 1,3mm DMH 2750mm</t>
  </si>
  <si>
    <t>C9510-03000</t>
  </si>
  <si>
    <t>Hor.railset RES/ERA elec.(rechte rails) 1,3mm DMH 3000mm</t>
  </si>
  <si>
    <t>C9510-03250</t>
  </si>
  <si>
    <t>Hor.railset RES/ERA elec.(rechte rails) 1,3mm DMH 3250mm</t>
  </si>
  <si>
    <t>C9520-02000</t>
  </si>
  <si>
    <t>Hor. railset RES/ERA hand./elec.(ex.bocht) 1,3mm DMH 2000mm</t>
  </si>
  <si>
    <t>C9520-02125</t>
  </si>
  <si>
    <t>Hor. railset RES/ERA hand./elec.(ex.bocht) 1,3mm DMH 2125mm</t>
  </si>
  <si>
    <t>C9520-02250</t>
  </si>
  <si>
    <t>Hor. railset RES/ERA hand./elec.(ex.bocht) 1,3mm DMH 2250mm</t>
  </si>
  <si>
    <t>C9520-02375</t>
  </si>
  <si>
    <t>Hor. railset RES/ERA hand./elec.(ex.bocht) 1,3mm DMH 2375mm</t>
  </si>
  <si>
    <t>C9520-02500</t>
  </si>
  <si>
    <t>Hor. railset RES/ERA hand./elec.(ex.bocht) 1,3mm DMH 2500mm</t>
  </si>
  <si>
    <t>C9520-02625</t>
  </si>
  <si>
    <t>Hor. railset RES/ERA hand./elec.(ex.bocht) 1,3mm DMH 2625mm</t>
  </si>
  <si>
    <t>C9520-02750</t>
  </si>
  <si>
    <t>Hor. railset RES/ERA hand./elec.(ex.bocht) 1,3mm DMH 2750mm</t>
  </si>
  <si>
    <t>C9520-03000</t>
  </si>
  <si>
    <t>Hor. railset RES/ERA hand./elec.(ex.bocht) 1,3mm DMH 3000mm</t>
  </si>
  <si>
    <t>C9520-03250</t>
  </si>
  <si>
    <t>Hor. railset RES/ERA hand./elec.(ex.bocht) 1,3mm DMH 3250mm</t>
  </si>
  <si>
    <t>C9520-03500</t>
  </si>
  <si>
    <t>Hor. railset RES/ERA hand./elec.(ex.bocht) 1,3mm DMH 3500mm</t>
  </si>
  <si>
    <t>C9523</t>
  </si>
  <si>
    <t>Stripset - buffer op scharnier RVS</t>
  </si>
  <si>
    <t>C9581</t>
  </si>
  <si>
    <t>Venster Garage 40mm rechthoek OPAAL 80% / 488x325mm Wit</t>
  </si>
  <si>
    <t>C9595</t>
  </si>
  <si>
    <t>Pro-Line CND1 montageset massieve as 1" en 1,25"</t>
  </si>
  <si>
    <t>C9596</t>
  </si>
  <si>
    <t>Pro-Line CND1 montageset buisas 1"</t>
  </si>
  <si>
    <t>C9603</t>
  </si>
  <si>
    <t>Pro-Line Lichtlijst GS-Pro Compl HS+VS+Sprint B&lt;10000/H&lt;2600</t>
  </si>
  <si>
    <t>C9604</t>
  </si>
  <si>
    <t>Pro-Line Lichtlijst GS-Pro Compl HS+VS+Sprint B&lt;10000/H&gt;2600</t>
  </si>
  <si>
    <t>C9605</t>
  </si>
  <si>
    <t>Pro-Line Lichtlijst GS-Pro Compl.LPS200+NS B&lt;10000/H&lt;2800</t>
  </si>
  <si>
    <t>C9606</t>
  </si>
  <si>
    <t>Pro-Line Lichtlijst GS-Pro Compl. LPS200+NS B&lt;10000/H=&gt;2800</t>
  </si>
  <si>
    <t>C9609</t>
  </si>
  <si>
    <t>Pro-Line CND1 montageset 1¼" as</t>
  </si>
  <si>
    <t>C9611</t>
  </si>
  <si>
    <t>Pro-Line CND1 motorsteun t.b.v montage kokersysteem/LPS/DOC</t>
  </si>
  <si>
    <t>C9612</t>
  </si>
  <si>
    <t>Montagestrip kettingtakel 3830 + bevestigingsmateriaal</t>
  </si>
  <si>
    <t>C9613</t>
  </si>
  <si>
    <t>Pro-Line CND1 besturingskast montagebeugel compleet</t>
  </si>
  <si>
    <t>C9630</t>
  </si>
  <si>
    <t>Pro-Line CND1 Besturingskast compleet tbv CND1 aandrijving</t>
  </si>
  <si>
    <t>C9631</t>
  </si>
  <si>
    <t>Pro-Line CND1 stekker set spiraalkabel</t>
  </si>
  <si>
    <t>C9634</t>
  </si>
  <si>
    <t>Pro-Line CND1 stekker set motorkabel</t>
  </si>
  <si>
    <t>C9635</t>
  </si>
  <si>
    <t>PL CND1 Besturingskast compleet tbv NIET CND1 aandrijving</t>
  </si>
  <si>
    <t>C9636</t>
  </si>
  <si>
    <t>PL CND1 FU Besturingskast CND1 / UNI aandr 0,75KW 1F230</t>
  </si>
  <si>
    <t>C9640</t>
  </si>
  <si>
    <t>Aandrijving Pro-Line 28 KE CND1 + 7m kabel + Best. tbv OPTO</t>
  </si>
  <si>
    <t>C9641</t>
  </si>
  <si>
    <t>Aandrijving Pro-Line 28 KU CND1 + 7m kabel + Best. tbv OPTO</t>
  </si>
  <si>
    <t>C9645</t>
  </si>
  <si>
    <t>Aandrijving Pro-Line 28 KE CND1 + 7m kabel + Best. tbv DW</t>
  </si>
  <si>
    <t>C9646</t>
  </si>
  <si>
    <t>Aandrijving Pro-Line 28 KU CND1 + 7m kabel + Best. tbv DW</t>
  </si>
  <si>
    <t>C9655</t>
  </si>
  <si>
    <t>Aandrijving Pro-Line 50 HEX KE CND1 + 7m kabel + Best. DW</t>
  </si>
  <si>
    <t>C9656</t>
  </si>
  <si>
    <t>Aandrijving Pro-Line 50 HEX KU CND1 + 7m kabel + Best. DW</t>
  </si>
  <si>
    <t>C9657</t>
  </si>
  <si>
    <t>Aandrijving PL 50FU HEX 230V KE CND1 + 7m kabel + Best. DW</t>
  </si>
  <si>
    <t>C9658</t>
  </si>
  <si>
    <t>Aandrijving PL 50FU HEX 230V KU CND1 + 7m kabel + Best. DW</t>
  </si>
  <si>
    <t>C9675</t>
  </si>
  <si>
    <t>PL CND1 FU Besturing CND1 NIET CND1 aandr 2.2KW 1F230 + Rem</t>
  </si>
  <si>
    <t>C9680</t>
  </si>
  <si>
    <t>Pro-Line CND1 DW onderloop set exclusief aansluitdoos</t>
  </si>
  <si>
    <t>C9685</t>
  </si>
  <si>
    <t>Pro-Line CND1 DW onderloop set compleet</t>
  </si>
  <si>
    <t>C9690</t>
  </si>
  <si>
    <t>Montageset Industrie Steen/Beton</t>
  </si>
  <si>
    <t>C9691L</t>
  </si>
  <si>
    <t>Slappekabelbeveiliging tbv kabelbreukbeveiliging 3194 LINKS</t>
  </si>
  <si>
    <t>C9691R</t>
  </si>
  <si>
    <t>Slappekabelbeveiliging tbv kabelbreukbeveiliging 3194 RECHTS</t>
  </si>
  <si>
    <t>C9692L</t>
  </si>
  <si>
    <t>Slappekabelbeveiliging tbv kabelbreukbev. 3194 L 1,50 kO</t>
  </si>
  <si>
    <t>C9692R</t>
  </si>
  <si>
    <t>Slappekabelbeveiliging tbv kabelbreukbev. 3194 R 1,50 kO</t>
  </si>
  <si>
    <t>C9697-02000</t>
  </si>
  <si>
    <t>Verticale railset ERA (incl rubber) DMH 2.000 mm</t>
  </si>
  <si>
    <t>C9697-02125</t>
  </si>
  <si>
    <t>Verticale railset ERA (incl rubber) DMH 2.125 mm</t>
  </si>
  <si>
    <t>C9697-02250</t>
  </si>
  <si>
    <t>Verticale railset ERA (incl rubber) DMH 2.250 mm</t>
  </si>
  <si>
    <t>C9697-02375</t>
  </si>
  <si>
    <t>Verticale railset ERA (incl rubber) DMH 2.375 mm</t>
  </si>
  <si>
    <t>C9697-02500</t>
  </si>
  <si>
    <t>Verticale railset ERA (incl rubber) DMH 2.500 mm</t>
  </si>
  <si>
    <t>C9697-02750</t>
  </si>
  <si>
    <t>Verticale railset ERA (incl rubber) DMH 2.750 mm</t>
  </si>
  <si>
    <t>C9697-03000</t>
  </si>
  <si>
    <t>Verticale railset ERA (incl rubber) DMH 3.000 mm</t>
  </si>
  <si>
    <t>C9698</t>
  </si>
  <si>
    <t>Ombouwset G200 naar G100 (&gt;mei 2019)</t>
  </si>
  <si>
    <t>C9699</t>
  </si>
  <si>
    <t>Pro-Line DUO aansluitdoos 2x CS310 set</t>
  </si>
  <si>
    <t>C9718-01</t>
  </si>
  <si>
    <t>LDSC scharnierenset/bodem/HL-E+ST9V/DIN L/RALxxxx DOOS 1x</t>
  </si>
  <si>
    <t>C9719-01</t>
  </si>
  <si>
    <t>LDSC scharnierenset/bodem/HL-E+ST9V/DIN L/RAL9016 DOOS 1x</t>
  </si>
  <si>
    <t>C9720-01</t>
  </si>
  <si>
    <t>LDSC scharnierenset/tussen/HL-E+ST9V/DIN L/RALxxxx DOOS 1x</t>
  </si>
  <si>
    <t>C9721-01</t>
  </si>
  <si>
    <t>LDSC scharnierenset/tussen/HL-E+ST9V/DIN L/RAL9016 DOOS 1x</t>
  </si>
  <si>
    <t>C9722-01</t>
  </si>
  <si>
    <t>LDSC scharnierenset/top/HL-E+ST9V/DIN L/RALxxxx DOOS 1x</t>
  </si>
  <si>
    <t>C9723-01</t>
  </si>
  <si>
    <t>LDSC scharnierenset/top/HL-E+ST9V/DIN L/RAL9016 DOOS 1x</t>
  </si>
  <si>
    <t>C9724-01</t>
  </si>
  <si>
    <t>LDSC scharnierenset/bodem/HL-E+ST9V/DIN R/RALxxxx DOOS 1x</t>
  </si>
  <si>
    <t>C9725-01</t>
  </si>
  <si>
    <t>LDSC scharnierenset/bodem/HL-E+ST9V/DIN R/RAL9016 DOOS 1x</t>
  </si>
  <si>
    <t>C9726-01</t>
  </si>
  <si>
    <t>LDSC scharnierenset/tussen/HL-E+ST9V/DIN R/RALxxxx DOOS 1x</t>
  </si>
  <si>
    <t>C9727-01</t>
  </si>
  <si>
    <t>LDSC scharnierenset/tussen/HL-E+ST9V/DIN R/RAL9016 DOOS 1x</t>
  </si>
  <si>
    <t>C9728-01</t>
  </si>
  <si>
    <t>LDSC scharnierenset/top/HL-E+ST9V/DIN R/RALxxxx DOOS 1x</t>
  </si>
  <si>
    <t>C9729-01</t>
  </si>
  <si>
    <t>LDSC scharnierenset/top/HL-E+ST9V/DIN R/RAL9016 DOOS 1x</t>
  </si>
  <si>
    <t>C9734-02500</t>
  </si>
  <si>
    <t>Lateiafdichting HOOG 60mm Ral 9004 Compleet L=2.500 mm</t>
  </si>
  <si>
    <t>C9734-04000</t>
  </si>
  <si>
    <t>Lateiafdichting HOOG 60mm Ral 9004 Compleet L=4.000 mm</t>
  </si>
  <si>
    <t>C9734-06000</t>
  </si>
  <si>
    <t>Lateiafdichting HOOG 60mm Ral 9004 Compleet L=6.000 mm</t>
  </si>
  <si>
    <t>C9739</t>
  </si>
  <si>
    <t>Verstevigingsset kabelschijfconstructie G100/R60 &gt;200 kg</t>
  </si>
  <si>
    <t>C9747</t>
  </si>
  <si>
    <t>Montageset DOC Pro-Line 20/28 compleet</t>
  </si>
  <si>
    <t>C9752</t>
  </si>
  <si>
    <t>High-Line MA Signaallamp oranje 24V LED + print 5507</t>
  </si>
  <si>
    <t>C9756</t>
  </si>
  <si>
    <t>Bochtversteviging set DLV&gt;=10° COMPLEET</t>
  </si>
  <si>
    <t>C9758-01</t>
  </si>
  <si>
    <t>LDSC scharnierenset/bodem/HL-E+ST9V/DIN L/RAL9006 DOOS 1x</t>
  </si>
  <si>
    <t>C9759-01</t>
  </si>
  <si>
    <t>LDSC scharnierenset/bodem/HL-E+ST9V/DIN L/RAL7016 DOOS 1x</t>
  </si>
  <si>
    <t>C9761-01</t>
  </si>
  <si>
    <t>LDSC scharnierenset/tussen/HL-E+ST9V/DIN L/RAL9006 DOOS 1x</t>
  </si>
  <si>
    <t>C9762-01</t>
  </si>
  <si>
    <t>LDSC scharnierenset/tussen/HL-E+ST9V/DIN L/RAL7016 DOOS 1x</t>
  </si>
  <si>
    <t>C9764-01</t>
  </si>
  <si>
    <t>LDSC scharnierenset/top/HL-E+ST9V/DIN L/RAL9006 DOOS 1x</t>
  </si>
  <si>
    <t>C9765-01</t>
  </si>
  <si>
    <t>LDSC scharnierenset/top/HL-E+ST9V/DIN L/RAL7016 DOOS 1x</t>
  </si>
  <si>
    <t>C9767-01</t>
  </si>
  <si>
    <t>LDSC scharnierenset/bodem/HL-E+ST9V/DIN R/RAL9006 DOOS 1x</t>
  </si>
  <si>
    <t>C9768-01</t>
  </si>
  <si>
    <t>LDSC scharnierenset/bodem/HL-E+ST9V/DIN R/RAL7016 DOOS 1x</t>
  </si>
  <si>
    <t>C9770-01</t>
  </si>
  <si>
    <t>LDSC scharnierenset/tussen/HL-E+ST9V/DIN R/RAL9006 DOOS 1x</t>
  </si>
  <si>
    <t>C9771-01</t>
  </si>
  <si>
    <t>LDSC scharnierenset/tussen/HL-E+ST9V/DIN R/RAL7016 DOOS 1x</t>
  </si>
  <si>
    <t>C9773-01</t>
  </si>
  <si>
    <t>LDSC scharnierenset/top/HL-E+ST9V/DIN R/RAL9006 DOOS 1x</t>
  </si>
  <si>
    <t>C9774-01</t>
  </si>
  <si>
    <t>LDSC scharnierenset/top/HL-E+ST9V/DIN R/RAL7016 DOOS 1x</t>
  </si>
  <si>
    <t>C9775</t>
  </si>
  <si>
    <t>High-Line Noodontkoppeling d.m.v cilind. Greep zwart INBOUW</t>
  </si>
  <si>
    <t>C9784-02000</t>
  </si>
  <si>
    <t>Verticale railset RES/ERA (ex. rubber) DMH 2.000 mm</t>
  </si>
  <si>
    <t>C9784-02125</t>
  </si>
  <si>
    <t>Verticale railset RES/ERA (ex. rubber) DMH 2.125 mm</t>
  </si>
  <si>
    <t>C9784-02250</t>
  </si>
  <si>
    <t>Verticale railset RES/ERA (ex. rubber) DMH 2.250 mm</t>
  </si>
  <si>
    <t>C9784-02375</t>
  </si>
  <si>
    <t>Verticale railset RES/ERA (ex. rubber) DMH 2.375 mm</t>
  </si>
  <si>
    <t>C9784-02500</t>
  </si>
  <si>
    <t>Verticale railset RES/ERA (ex. rubber) DMH 2.500 mm</t>
  </si>
  <si>
    <t>C9784-02750</t>
  </si>
  <si>
    <t>Verticale railset RES/ERA (ex. rubber) DMH 2.750 mm</t>
  </si>
  <si>
    <t>C9784-03000</t>
  </si>
  <si>
    <t>Verticale railset RES/ERA (ex. rubber) DMH 3.000 mm</t>
  </si>
  <si>
    <t>C9784-03250</t>
  </si>
  <si>
    <t>Verticale railset RES/ERA (ex. rubber) DMH 3.250 mm</t>
  </si>
  <si>
    <t>C9785</t>
  </si>
  <si>
    <t>Venster Garage 40mm rechthoek OPAAL 80% / 488x325mm zwart</t>
  </si>
  <si>
    <t>C9786</t>
  </si>
  <si>
    <t>Dagmaatvrij Touwtakel Residentieel</t>
  </si>
  <si>
    <t>C9787</t>
  </si>
  <si>
    <t>High-Line Bevestiging set motorrail horizontale verbinding</t>
  </si>
  <si>
    <t>C9788</t>
  </si>
  <si>
    <t>Bijzetslot Nemef WK2 50 mm (Incl. 2x Rozet en sluitplaat)</t>
  </si>
  <si>
    <t>C9798</t>
  </si>
  <si>
    <t>Pro-Line CS310 DW setje voor DUO DW 3062</t>
  </si>
  <si>
    <t>C9800</t>
  </si>
  <si>
    <t>Kabeltrekset universeel</t>
  </si>
  <si>
    <t>C9807</t>
  </si>
  <si>
    <t>Staalkabel 6 mm 7x19 RVS stalen kern WSC T2 L=13000 mm L+R</t>
  </si>
  <si>
    <t>C9808</t>
  </si>
  <si>
    <t>Staalkabel 6 mm 7x19 RVS stalen kern WSC T4 L=13000 mm L+R</t>
  </si>
  <si>
    <t>C9810</t>
  </si>
  <si>
    <t>Geassembleerde kabelschijf tbv C9800</t>
  </si>
  <si>
    <t>C9826</t>
  </si>
  <si>
    <t>Pro-Line CS300/CS310 DW onderloop set compleet</t>
  </si>
  <si>
    <t>C9839</t>
  </si>
  <si>
    <t>Cilinderslot ovaal 235x150mm zwart (INCL. cilinder) 40mm</t>
  </si>
  <si>
    <t>C9834</t>
  </si>
  <si>
    <t>slappekabelcontact</t>
  </si>
  <si>
    <t>C9844</t>
  </si>
  <si>
    <t>Pro-Line CND1 Kettingoverbrenging 1¼" (1:1)</t>
  </si>
  <si>
    <t>C9849</t>
  </si>
  <si>
    <t>Cilinderslot ovaal 235x150mm zwart (INCL. cilinder) 80mm</t>
  </si>
  <si>
    <t>C9850</t>
  </si>
  <si>
    <t>Pro-Line CS300/CS310 DW onderloop Loopdeur LD / S80 ISO</t>
  </si>
  <si>
    <t>C9851</t>
  </si>
  <si>
    <t>Lagerplaat zwaar 1¼" 152 mm compleet</t>
  </si>
  <si>
    <t>C9852</t>
  </si>
  <si>
    <t>Lagerplaat zwaar 1¼" 190mm compleet</t>
  </si>
  <si>
    <t>C9855</t>
  </si>
  <si>
    <t>Pro-Line Dockboard beveiligingschakelaar compleet</t>
  </si>
  <si>
    <t>C9856</t>
  </si>
  <si>
    <t>Kabelschijfconstructie LPS200/Nylon bocht/40mm/LINKS</t>
  </si>
  <si>
    <t>C9857</t>
  </si>
  <si>
    <t>Kabelschijfconstructie LPS200/Nylon bocht/40mm/RECHTS</t>
  </si>
  <si>
    <t>C9858</t>
  </si>
  <si>
    <t>Kabelschijfconstructie LPS200/Nylon bocht/80mm/LINKS</t>
  </si>
  <si>
    <t>C9859</t>
  </si>
  <si>
    <t>Kabelschijfconstructie LPS200/Nylon bocht/80mm/RECHTS</t>
  </si>
  <si>
    <t>C9860</t>
  </si>
  <si>
    <t>Kabelschijfconstructie LPS250/Nylon bocht/40mm/LINKS</t>
  </si>
  <si>
    <t>C9861</t>
  </si>
  <si>
    <t>Kabelschijfconstructie LPS250/Nylon bocht/40mm/RECHTS</t>
  </si>
  <si>
    <t>C9862</t>
  </si>
  <si>
    <t>Kabelschijfconstructie LPS250/Nylon bocht/80mm/LINKS</t>
  </si>
  <si>
    <t>C9863</t>
  </si>
  <si>
    <t>Kabelschijfconstructie LPS250/Nylon bocht/80mm/RECHTS</t>
  </si>
  <si>
    <t>C9864</t>
  </si>
  <si>
    <t>Kabelschijfconstructie LPS200-DLV/Nylon bocht/40mm/LINKS</t>
  </si>
  <si>
    <t>C9865</t>
  </si>
  <si>
    <t>Kabelschijfconstructie LPS200-DLV/Nylon bocht/40mm/RECHTS</t>
  </si>
  <si>
    <t>C9866</t>
  </si>
  <si>
    <t>Kabelschijfconstructie LPS200-DLV/Nylon bocht/80mm/LINKS</t>
  </si>
  <si>
    <t>C9867</t>
  </si>
  <si>
    <t>Kabelschijfconstructie LPS200-DLV/Nylon bocht/80mm/RECHTS</t>
  </si>
  <si>
    <t>C9868</t>
  </si>
  <si>
    <t>Kabelschijfconstructie LPS250-DLV/Nylon bocht/40mm/LINKS</t>
  </si>
  <si>
    <t>C9869</t>
  </si>
  <si>
    <t>Kabelschijfconstructie LPS250-DLV/Nylon bocht/40mm/RECHTS</t>
  </si>
  <si>
    <t>C9870</t>
  </si>
  <si>
    <t>Kabelschijfconstructie LPS250-DLV/Nylon bocht/80mm/LINKS</t>
  </si>
  <si>
    <t>C9871</t>
  </si>
  <si>
    <t>Kabelschijfconstructie LPS250-DLV/Nylon bocht/80mm/RECHTS</t>
  </si>
  <si>
    <t>C9872</t>
  </si>
  <si>
    <t>Veerbreukbeveiliging 1" RHW IND (incl. microschakelaar)</t>
  </si>
  <si>
    <t>C9873</t>
  </si>
  <si>
    <t>Veerbreukbeveiliging 1" LHW IND (incl. microschakelaar)</t>
  </si>
  <si>
    <t>C9874</t>
  </si>
  <si>
    <t>Veerbreukbeveiliging 1¼" RHW IND (incl. microschakelaar)</t>
  </si>
  <si>
    <t>C9875</t>
  </si>
  <si>
    <t>Veerbreukbeveiliging 1¼" LHW IND (incl. microschakelaar)</t>
  </si>
  <si>
    <t>C9877</t>
  </si>
  <si>
    <t>High-Line Universele drawbarbevestiging Epco-Thyssen</t>
  </si>
  <si>
    <t>C9878</t>
  </si>
  <si>
    <t>Montageset Luxe-Line TUSSEN de dagmaat</t>
  </si>
  <si>
    <t>C9879</t>
  </si>
  <si>
    <t>Montageset Luxe-Line i.c.m. Montageprofiel</t>
  </si>
  <si>
    <t>C9880</t>
  </si>
  <si>
    <t>Venster Garage 40 mm rechthoekig 488x325 mm wit schroef</t>
  </si>
  <si>
    <t>C9881</t>
  </si>
  <si>
    <t>Staalkabel 3 mm 6x19 EV SFC-PP kern T1 L=14000 mm L+R</t>
  </si>
  <si>
    <t>C9882</t>
  </si>
  <si>
    <t>Staalkabel 3 mm 6x19 EV SFC-PP kern T3 L=14000 mm L+R</t>
  </si>
  <si>
    <t>C9883</t>
  </si>
  <si>
    <t>Staalkabel 3 mm 6x19 EV SFC-PP kern T5 L=14000 mm L+R</t>
  </si>
  <si>
    <t>C9884</t>
  </si>
  <si>
    <t>Staalkabel 4 mm 6x19 EV SFC-PP kern T3 L=14000 mm L+R</t>
  </si>
  <si>
    <t>C9885</t>
  </si>
  <si>
    <t>Staalkabel 4 mm 6x19 EV SFC-PP kern T5 L=14000 mm L+R</t>
  </si>
  <si>
    <t>C9886</t>
  </si>
  <si>
    <t>Staalkabel 5 mm 6x19 EV SFC-PP kern T1 L=14000 mm L+R</t>
  </si>
  <si>
    <t>C9887</t>
  </si>
  <si>
    <t>Staalkabel 5 mm 6x19 EV SFC-PP kern T3 L=14000 mm L+R</t>
  </si>
  <si>
    <t>C9888</t>
  </si>
  <si>
    <t>Staalkabel 5 mm 6x19 EV SFC-PP kern T5 L=14000 mm L+R</t>
  </si>
  <si>
    <t>C9890</t>
  </si>
  <si>
    <t>Staalkabel 6 mm 6x19 EV SFC-PP kern T3 L=14000 mm L+R</t>
  </si>
  <si>
    <t>C9891</t>
  </si>
  <si>
    <t>Staalkabel 6 mm 6x19 EV SFC-PP kern T5 L=14000 mm L+R</t>
  </si>
  <si>
    <t>C9892</t>
  </si>
  <si>
    <t>Staalkabel 3 mm 6x19 RVS SFC-PP kern T2 L=13000 mm L+R</t>
  </si>
  <si>
    <t>C9893</t>
  </si>
  <si>
    <t>Staalkabel 3 mm 6x19 RVS SFC-PP kern T4 L=13000 mm L+R</t>
  </si>
  <si>
    <t>C9894</t>
  </si>
  <si>
    <t>Staalkabel 4 mm 6x19 RVS SFC-PP kern T2 L=13000 mm L+R</t>
  </si>
  <si>
    <t>C9895</t>
  </si>
  <si>
    <t>Staalkabel 4 mm 6x19 RVS SFC-PP kern T4 L=13000 mm L+R</t>
  </si>
  <si>
    <t>C9896</t>
  </si>
  <si>
    <t>Staalkabel 5 mm 6x19 RVS SFC-PP kern T2 L=13000 mm L+R</t>
  </si>
  <si>
    <t>C9897</t>
  </si>
  <si>
    <t>Staalkabel 5 mm 6x19 RVS SFC-PP kern T4 L=13000 mm L+R</t>
  </si>
  <si>
    <t>C9900</t>
  </si>
  <si>
    <t>Venster Garage 40 mm rechthoekig 488x325 mm zwart schroef</t>
  </si>
  <si>
    <t>C9901</t>
  </si>
  <si>
    <t>Bocht verstevigingsset NS</t>
  </si>
  <si>
    <t>C9922</t>
  </si>
  <si>
    <t>Zijscharnier EPCO fingersafe /HL-E+ST9V (incl rolh./parkers)</t>
  </si>
  <si>
    <t>C9923</t>
  </si>
  <si>
    <t>Middenscharnier EPCO fingersafe/HL-E+ST9V (incl. parkers)</t>
  </si>
  <si>
    <t>C9924</t>
  </si>
  <si>
    <t>Zijscharnier TRADITIONEEL / ST3/ST7 (incl. rolh., parkers)</t>
  </si>
  <si>
    <t>C9925</t>
  </si>
  <si>
    <t>Middenscharnier TRADITIONEEL ST3/ST7 (incl. parkers)</t>
  </si>
  <si>
    <t>C9926</t>
  </si>
  <si>
    <t>Montageset Industrie Hout/Steen</t>
  </si>
  <si>
    <t>C9927</t>
  </si>
  <si>
    <t>Montageset Industrie Staal</t>
  </si>
  <si>
    <t>C9929</t>
  </si>
  <si>
    <t>Touwtakel / set</t>
  </si>
  <si>
    <t>C9958</t>
  </si>
  <si>
    <t>Montageset residentieel voor staal-aluminium</t>
  </si>
  <si>
    <t>C9959</t>
  </si>
  <si>
    <t>Montageset residentieel voor hout-steen-beton</t>
  </si>
  <si>
    <t>C9960</t>
  </si>
  <si>
    <t>Kick out venster incl rubber 40mm 740x395mm</t>
  </si>
  <si>
    <t>C9961</t>
  </si>
  <si>
    <t>Kick out venster incl rubber 80mm</t>
  </si>
  <si>
    <t>C9971</t>
  </si>
  <si>
    <t>Touw L= 2500 mm (incl clip, bout, moer) t.b.v. garagedeur</t>
  </si>
  <si>
    <t>C9982</t>
  </si>
  <si>
    <t>Pro-Line Motorsteun tbv PL 70 / MDF-SA 350x210mm EV COMPLEET</t>
  </si>
  <si>
    <t>C9983</t>
  </si>
  <si>
    <t>Kabelbreukbeveiliging 3194 beugelset kabels buiten max 600KG</t>
  </si>
  <si>
    <t>C9984</t>
  </si>
  <si>
    <t>Stripset - buffer op scharnier EV</t>
  </si>
  <si>
    <t>C9985</t>
  </si>
  <si>
    <t>Set voor inbraakwerendheid klasse 2 (WK2)</t>
  </si>
  <si>
    <t>C9986</t>
  </si>
  <si>
    <t>Geassembleerde kabelschijf / 140 mm (2stuks) / ZWAAR</t>
  </si>
  <si>
    <t>C9994</t>
  </si>
  <si>
    <t>Cube Driehoekplatenset / veren boven</t>
  </si>
  <si>
    <t>C9995</t>
  </si>
  <si>
    <t>Cube Driehoekplatenset / veren achter</t>
  </si>
  <si>
    <t>M0007</t>
  </si>
  <si>
    <t>Monsterkoffer industriedeur panelen</t>
  </si>
  <si>
    <t>M0026</t>
  </si>
  <si>
    <t>Monsterset hardware TS100</t>
  </si>
  <si>
    <t>SG2006L-1700</t>
  </si>
  <si>
    <t>Verenstreng grijs 51x4,25x1700mm LHW</t>
  </si>
  <si>
    <t>SG2006L-3000</t>
  </si>
  <si>
    <t>Verenstreng grijs 51x4,25x3000mm LHW</t>
  </si>
  <si>
    <t>SG2006R-1700</t>
  </si>
  <si>
    <t>Verenstreng grijs 51x4,25x1700mm RHW</t>
  </si>
  <si>
    <t>SG2006R-3000</t>
  </si>
  <si>
    <t>Verenstreng grijs 51x4,25x3000mm RHW</t>
  </si>
  <si>
    <t>SG2007L-1700</t>
  </si>
  <si>
    <t>Verenstreng grijs 51x4,5x1700mm LHW</t>
  </si>
  <si>
    <t>SG2007L-3000</t>
  </si>
  <si>
    <t>Verenstreng grijs 51x4,5x3000mm LHW</t>
  </si>
  <si>
    <t>SG2007R-1700</t>
  </si>
  <si>
    <t>Verenstreng grijs 51x4,5x1700mm RHW</t>
  </si>
  <si>
    <t>SG2007R-3000</t>
  </si>
  <si>
    <t>Verenstreng grijs 51x4,5x3000mm RHW</t>
  </si>
  <si>
    <t>SG2008L-1700</t>
  </si>
  <si>
    <t>Verenstreng grijs 51x4,75x1700mm LHW</t>
  </si>
  <si>
    <t>SG2008L-3000</t>
  </si>
  <si>
    <t>Verenstreng grijs 51x4,75x3000mm LHW</t>
  </si>
  <si>
    <t>SG2008R-1700</t>
  </si>
  <si>
    <t>Verenstreng grijs 51x4,75x1700mm RHW</t>
  </si>
  <si>
    <t>SG2008R-3000</t>
  </si>
  <si>
    <t>Verenstreng grijs 51x4,75x3000mm RHW</t>
  </si>
  <si>
    <t>SG2009L-1700</t>
  </si>
  <si>
    <t>Verenstreng grijs 51x5,0x1700mm LHW</t>
  </si>
  <si>
    <t>SG2009L-3000</t>
  </si>
  <si>
    <t>Verenstreng grijs 51x5,0x3000mm LHW</t>
  </si>
  <si>
    <t>SG2009R-1700</t>
  </si>
  <si>
    <t>Verenstreng grijs 51x5,0x1700mm RHW</t>
  </si>
  <si>
    <t>SG2009R-3000</t>
  </si>
  <si>
    <t>Verenstreng grijs 51x5,0x3000mm RHW</t>
  </si>
  <si>
    <t>SG2010L-1700</t>
  </si>
  <si>
    <t>Verenstreng grijs 51x5,25x1700mm LHW</t>
  </si>
  <si>
    <t>SG2010L-3000</t>
  </si>
  <si>
    <t>Verenstreng grijs 51x5,25x3000mm LHW</t>
  </si>
  <si>
    <t>SG2010R-1700</t>
  </si>
  <si>
    <t>Verenstreng grijs 51x5,25x1700mm RHW</t>
  </si>
  <si>
    <t>SG2010R-3000</t>
  </si>
  <si>
    <t>Verenstreng grijs 51x5,25x3000mm RHW</t>
  </si>
  <si>
    <t>SG2011L-1700</t>
  </si>
  <si>
    <t>Verenstreng grijs 51x5,5x1700mm LHW</t>
  </si>
  <si>
    <t>SG2011L-3000</t>
  </si>
  <si>
    <t>Verenstreng grijs 51x5,5x3000mm LHW</t>
  </si>
  <si>
    <t>SG2011R-1700</t>
  </si>
  <si>
    <t>Verenstreng grijs 51x5,5x1700mm RHW</t>
  </si>
  <si>
    <t>SG2011R-3000</t>
  </si>
  <si>
    <t>Verenstreng grijs 51x5,5x3000mm RHW</t>
  </si>
  <si>
    <t>SG2013L-1700</t>
  </si>
  <si>
    <t>Verenstreng grijs 51x6,0x1700mm LHW</t>
  </si>
  <si>
    <t>SG2013L-3000</t>
  </si>
  <si>
    <t>Verenstreng grijs 51x6,0x3000mm LHW</t>
  </si>
  <si>
    <t>SG2013R-1700</t>
  </si>
  <si>
    <t>Verenstreng grijs 51x6,0x1700mm RHW</t>
  </si>
  <si>
    <t>SG2013R-3000</t>
  </si>
  <si>
    <t>Verenstreng grijs 51x6,0x3000mm RHW</t>
  </si>
  <si>
    <t>SG2014L-1700</t>
  </si>
  <si>
    <t>Verenstreng grijs 51x6,25x1700mm LHW</t>
  </si>
  <si>
    <t>SG2014L-3000</t>
  </si>
  <si>
    <t>Verenstreng grijs 51x6,25x3000mm LHW</t>
  </si>
  <si>
    <t>SG2014R-1700</t>
  </si>
  <si>
    <t>Verenstreng grijs 51x6,25x1700mm RHW</t>
  </si>
  <si>
    <t>SG2014R-3000</t>
  </si>
  <si>
    <t>Verenstreng grijs 51x6,25x3000mm RHW</t>
  </si>
  <si>
    <t>SG2015L-1700</t>
  </si>
  <si>
    <t>Verenstreng grijs 51x6,5x1700mm LHW</t>
  </si>
  <si>
    <t>SG2015L-3000</t>
  </si>
  <si>
    <t>Verenstreng grijs 51x6,5x3000mm LHW</t>
  </si>
  <si>
    <t>SG2015R-1700</t>
  </si>
  <si>
    <t>Verenstreng grijs 51x6,5x1700mm RHW</t>
  </si>
  <si>
    <t>SG2015R-3000</t>
  </si>
  <si>
    <t>Verenstreng grijs 51x6,5x3000mm RHW</t>
  </si>
  <si>
    <t>SG2016L-3000</t>
  </si>
  <si>
    <t>Verenstreng grijs 51x6,75x3000mm LHW</t>
  </si>
  <si>
    <t>SG2016R-3000</t>
  </si>
  <si>
    <t>Verenstreng grijs 51x6,75x3000mm RHW</t>
  </si>
  <si>
    <t>SG2017L-1700</t>
  </si>
  <si>
    <t>Verenstreng grijs 51x7,0x1700mm LHW</t>
  </si>
  <si>
    <t>SG2017L-3000</t>
  </si>
  <si>
    <t>Verenstreng grijs 51x7,0x3000mm LHW</t>
  </si>
  <si>
    <t>SG2017R-1700</t>
  </si>
  <si>
    <t>Verenstreng grijs 51x7,0x1700mm RHW</t>
  </si>
  <si>
    <t>SG2017R-3000</t>
  </si>
  <si>
    <t>Verenstreng grijs 51x7,0x3000mm RHW</t>
  </si>
  <si>
    <t>SG2207L-0380</t>
  </si>
  <si>
    <t>Geassem. Veer 2P 1" grijs 51x4,5x380mm LHW</t>
  </si>
  <si>
    <t>SG2207L-0402</t>
  </si>
  <si>
    <t>Geassem. Veer 2P 1" grijs 51x4,5x402mm LHW</t>
  </si>
  <si>
    <t>SG2207L-0529</t>
  </si>
  <si>
    <t>Geassem. Veer 2P 1" grijs 51x4,5x529mm LHW</t>
  </si>
  <si>
    <t>SG2207L-0599</t>
  </si>
  <si>
    <t>Geassem. Veer 2P 1" grijs 51x4,5x599mm LHW</t>
  </si>
  <si>
    <t>SG2207R-0563</t>
  </si>
  <si>
    <t>Geassem. Veer 2P 1" grijs 51x4,5x563mm RHW</t>
  </si>
  <si>
    <t>SG2208L-0435</t>
  </si>
  <si>
    <t>Geassem. Veer 2P 1" grijs 51x4,75x435mm LHW</t>
  </si>
  <si>
    <t>SG2208L-0487</t>
  </si>
  <si>
    <t>Geassem. Veer 2P 1" grijs 51x4,75x487mm LHW</t>
  </si>
  <si>
    <t>SG2208L-0602</t>
  </si>
  <si>
    <t>Geassem. Veer 2P 1" grijs 51x4,75x602mm LHW</t>
  </si>
  <si>
    <t>SG2208R-0412</t>
  </si>
  <si>
    <t>Geassem. Veer 2P 1" grijs 51x4,75x412mm RHW</t>
  </si>
  <si>
    <t>SG2208R-0435</t>
  </si>
  <si>
    <t>Geassem. Veer 2P 1" grijs 51x4,75x435mm RHW</t>
  </si>
  <si>
    <t>SG2208R-0487</t>
  </si>
  <si>
    <t>Geassem. Veer 2P 1" grijs 51x4,75x487mm RHW</t>
  </si>
  <si>
    <t>SG2208R-0640</t>
  </si>
  <si>
    <t>Geassem. Veer 2P 1" grijs 51x4,75x640mm RHW</t>
  </si>
  <si>
    <t>SG2209L-0440</t>
  </si>
  <si>
    <t>Geassem. Veer 2P 1" grijs 51x5x440mm LHW</t>
  </si>
  <si>
    <t>SG2209L-0465</t>
  </si>
  <si>
    <t>Geassem. Veer 2P 1" grijs 51x5x465mm LHW</t>
  </si>
  <si>
    <t>SG2209L-0492</t>
  </si>
  <si>
    <t>Geassem. Veer 2P 1" grijs 51x5x492mm LHW</t>
  </si>
  <si>
    <t>SG2209L-0551</t>
  </si>
  <si>
    <t>Geassem. Veer 2P 1" grijs 51x5x551mm LHW</t>
  </si>
  <si>
    <t>SG2209L-0617</t>
  </si>
  <si>
    <t>Geassem. Veer 2P 1" grijs 51x5x617mm LHW</t>
  </si>
  <si>
    <t>SG2209L-0676</t>
  </si>
  <si>
    <t>Geassem. Veer 2P 1" grijs 51x5x676mm LHW</t>
  </si>
  <si>
    <t>SG2209R-0440</t>
  </si>
  <si>
    <t>Geassem. Veer 2P 1" grijs 51x5x440mm RHW</t>
  </si>
  <si>
    <t>SG2209R-0492</t>
  </si>
  <si>
    <t>Geassem. Veer 2P 1" grijs 51x5x492mm RHW</t>
  </si>
  <si>
    <t>SG2209R-0521</t>
  </si>
  <si>
    <t>Geassem. Veer 2P 1" grijs 51x5x521mm RHW</t>
  </si>
  <si>
    <t>SG2209R-0551</t>
  </si>
  <si>
    <t>Geassem. Veer 2P 1" grijs 51x5x551mm RHW</t>
  </si>
  <si>
    <t>SG2209R-0617</t>
  </si>
  <si>
    <t>Geassem. Veer 2P 1" grijs 51x5x617mm RHW</t>
  </si>
  <si>
    <t>SG2209R-0719</t>
  </si>
  <si>
    <t>Geassem. Veer 2P 1" grijs 51x5x719mm RHW</t>
  </si>
  <si>
    <t>SG2210L-0493</t>
  </si>
  <si>
    <t>Geassem. veer 2P 1" grijs 51x5,25x493mm LHW</t>
  </si>
  <si>
    <t>SG2210L-0520</t>
  </si>
  <si>
    <t>Geassem. Veer 2P 1" grijs 51x5,25x520mm LHW</t>
  </si>
  <si>
    <t>SG2210L-0582</t>
  </si>
  <si>
    <t>Geassem. Veer 2P 1" grijs 51x5,25x582mm LHW</t>
  </si>
  <si>
    <t>SG2210L-0616</t>
  </si>
  <si>
    <t>Geassem. Veer 2P 1" grijs 51x5,25x616mm LHW</t>
  </si>
  <si>
    <t>SG2210L-0691</t>
  </si>
  <si>
    <t>Geassem. Veer 2P 1" grijs 51x5,25x691mm LHW</t>
  </si>
  <si>
    <t>SG2210R-0493</t>
  </si>
  <si>
    <t>Geassem. veer 2P 1" grijs 51x5,25x493mm RHW</t>
  </si>
  <si>
    <t>SG2210R-0550</t>
  </si>
  <si>
    <t>Geassem. Veer 2P 1" grijs 51x5,25x550mm RHW</t>
  </si>
  <si>
    <t>SG2210R-0653</t>
  </si>
  <si>
    <t>Geassem. Veer 2P 1" grijs 51x5,25x653mm RHW</t>
  </si>
  <si>
    <t>SG2210R-0691</t>
  </si>
  <si>
    <t>Geassem. Veer 2P 1" grijs 51x5,25x691mm RHW</t>
  </si>
  <si>
    <t>SG2210R-0799</t>
  </si>
  <si>
    <t>Geassem. Veer 2P 1" grijs 51x5,25x799mm RHW</t>
  </si>
  <si>
    <t>SG2211L-0544</t>
  </si>
  <si>
    <t>Geassem. Veer 2P 1" grijs 51x5,5x544mm LHW</t>
  </si>
  <si>
    <t>SG2211L-0609</t>
  </si>
  <si>
    <t>Geassem. Veer 2P 1" grijs 51x5,5x609mm LHW</t>
  </si>
  <si>
    <t>SG2211L-0645</t>
  </si>
  <si>
    <t>Geassem. Veer 2P 1" grijs 51x5,5x645mm LHW</t>
  </si>
  <si>
    <t>SG2211L-0683</t>
  </si>
  <si>
    <t>Geassem. Veer 2P 1" grijs 51x5,5x683mm LHW</t>
  </si>
  <si>
    <t>SG2211L-0723</t>
  </si>
  <si>
    <t>Geassem. Veer 2P 1" grijs 51x5,5x723mm LHW</t>
  </si>
  <si>
    <t>SG2211L-0766</t>
  </si>
  <si>
    <t>Geassem. Veer 2P 1" grijs 51x5,5x766mm LHW</t>
  </si>
  <si>
    <t>SG2211L-0825</t>
  </si>
  <si>
    <t>Geassem. Veer 2P 1" grijs 51x5,5x825mm LHW</t>
  </si>
  <si>
    <t>SG2211R-0544</t>
  </si>
  <si>
    <t>Geassem. Veer 2P 1" grijs 51x5,5x544mm RHW</t>
  </si>
  <si>
    <t>SG2211R-0576</t>
  </si>
  <si>
    <t>Geassem. Veer 2P 1" grijs 51x5,5x576mm RHW</t>
  </si>
  <si>
    <t>SG2211R-0609</t>
  </si>
  <si>
    <t>Geassem. Veer 2P 1" grijs 51x5,5x609mm RHW</t>
  </si>
  <si>
    <t>SG2211R-0683</t>
  </si>
  <si>
    <t>Geassem. Veer 2P 1" grijs 51x5,5x683mm RHW</t>
  </si>
  <si>
    <t>SG2211R-0766</t>
  </si>
  <si>
    <t>Geassem. Veer 2P 1" grijs 51x5,5x766mm RHW</t>
  </si>
  <si>
    <t>SG2211R-0855</t>
  </si>
  <si>
    <t>Geassem. Veer 2P 1" grijs 51x5,5x855mm RHW</t>
  </si>
  <si>
    <t>SG2213L-0648</t>
  </si>
  <si>
    <t>Geassem. Veer 2P 1" grijs 51x6x648mm LHW</t>
  </si>
  <si>
    <t>SG2213L-0726</t>
  </si>
  <si>
    <t>Geassem. Veer 2P 1" grijs 51x6x726mm LHW</t>
  </si>
  <si>
    <t>SG2213L-0814</t>
  </si>
  <si>
    <t>Geassem. Veer 2P 1" grijs 51x6x814mm LHW</t>
  </si>
  <si>
    <t>SG2213L-0914</t>
  </si>
  <si>
    <t>Geassem. Veer 2P 1" grijs 51x6x914mm LHW</t>
  </si>
  <si>
    <t>SG2213L-0968</t>
  </si>
  <si>
    <t>Geassem. Veer 2P 1" grijs 51x6x968mm LHW</t>
  </si>
  <si>
    <t>SG2213R-0648</t>
  </si>
  <si>
    <t>Geassem. Veer 2P 1" grijs 51x6x648mm RHW</t>
  </si>
  <si>
    <t>SG2213R-0686</t>
  </si>
  <si>
    <t>Geassem. Veer 2P 1" grijs 51x6x686mm RHW</t>
  </si>
  <si>
    <t>SG2213R-0726</t>
  </si>
  <si>
    <t>Geassem. Veer 2P 1" grijs 51x6x726mm RHW</t>
  </si>
  <si>
    <t>SG2213R-0814</t>
  </si>
  <si>
    <t>Geassem. Veer 2P 1" grijs 51x6x814mm RHW</t>
  </si>
  <si>
    <t>SG2213R-0862</t>
  </si>
  <si>
    <t>Geassem. Veer 2P 1" grijs 51x6x862mm RHW</t>
  </si>
  <si>
    <t>SG2213R-0914</t>
  </si>
  <si>
    <t>Geassem. Veer 2P 1" grijs 51x6x914mm RHW</t>
  </si>
  <si>
    <t>SG2213R-0968</t>
  </si>
  <si>
    <t>Geassem. Veer 2P 1" grijs 51x6x968mm RHW</t>
  </si>
  <si>
    <t>SG2214L-0985</t>
  </si>
  <si>
    <t>Geassem. Veer 2P 1" grijs 51x6,25x985mm LHW</t>
  </si>
  <si>
    <t>SG2215L-0747</t>
  </si>
  <si>
    <t>Geassem. Veer 2P 1" grijs 51x6,5x747mm LHW</t>
  </si>
  <si>
    <t>SG2215L-0837</t>
  </si>
  <si>
    <t>Geassem. Veer 2P 1" grijs 51x6,5x837mm LHW</t>
  </si>
  <si>
    <t>SG2215L-0939</t>
  </si>
  <si>
    <t>Geassem. Veer 2P 1" grijs 51x6,5x939mm LHW</t>
  </si>
  <si>
    <t>SG2215L-1055</t>
  </si>
  <si>
    <t>Geassem. Veer 2P 1" grijs 51x6,5x1055mm LHW</t>
  </si>
  <si>
    <t>SG2215R-0837</t>
  </si>
  <si>
    <t>Geassem. Veer 2P 1" grijs 51x6,5x837mm RHW</t>
  </si>
  <si>
    <t>SG2215R-0887</t>
  </si>
  <si>
    <t>Geassem. Veer 2P 1" grijs 51x6,5x887mm RHW</t>
  </si>
  <si>
    <t>SG2215R-0939</t>
  </si>
  <si>
    <t>Geassem. Veer 2P 1" grijs 51x6,5x939mm RHW</t>
  </si>
  <si>
    <t>SG2215R-0995</t>
  </si>
  <si>
    <t>Geassem. Veer 2P 1" grijs 51x6,5x995mm RHW</t>
  </si>
  <si>
    <t>SG2215R-1055</t>
  </si>
  <si>
    <t>Geassem. Veer 2P 1" grijs 51x6,5x1055mm RHW</t>
  </si>
  <si>
    <t>SG2215R-1189</t>
  </si>
  <si>
    <t>Geassem. Veer 2P 1" grijs 51x6,5x1189mm RHW</t>
  </si>
  <si>
    <t>SG2217L-1054</t>
  </si>
  <si>
    <t>Geassem. Veer 2P 1" grijs 51x7x1054mm LHW</t>
  </si>
  <si>
    <t>SG2217L-1184</t>
  </si>
  <si>
    <t>Geassem. Veer 2P 1" grijs 51x7x1184mm LHW</t>
  </si>
  <si>
    <t>SG2217L-1330</t>
  </si>
  <si>
    <t>Geassem. Veer 2P 1" grijs 51x7x1330mm LHW</t>
  </si>
  <si>
    <t>SG2217R-0995</t>
  </si>
  <si>
    <t>Geassem. Veer 2P 1" grijs 51x7x995mm RHW</t>
  </si>
  <si>
    <t>SG2217R-1184</t>
  </si>
  <si>
    <t>Geassem. Veer 2P 1" grijs 51x7x1184mm RHW</t>
  </si>
  <si>
    <t>SG2217R-1255</t>
  </si>
  <si>
    <t>Geassem. Veer 2P 1" grijs 51x7x1255mm RHW</t>
  </si>
  <si>
    <t>SG2306L-1700</t>
  </si>
  <si>
    <t>Geassem. Veer 1P 1" grijs 51x4,25x1700mm LHW</t>
  </si>
  <si>
    <t>SG2306R-1700</t>
  </si>
  <si>
    <t>Geassem. Veer 1P 1" grijs 51x4,25x1700mm RHW</t>
  </si>
  <si>
    <t>SG2307L-1700</t>
  </si>
  <si>
    <t>Geassem. Veer 1P 1" grijs 51x4,5x1700mm LHW</t>
  </si>
  <si>
    <t>SG2307R-1700</t>
  </si>
  <si>
    <t>Geassem. Veer 1P 1" grijs 51x4,5x1700mm RHW</t>
  </si>
  <si>
    <t>SG2308L-0781</t>
  </si>
  <si>
    <t>Geassem. Veer 1P 1" grijs 51x4,75x781mm LHW</t>
  </si>
  <si>
    <t>SG2308L-1700</t>
  </si>
  <si>
    <t>Geassem. Veer 1P 1" grijs 51x4,75x1700mm LHW</t>
  </si>
  <si>
    <t>SG2308R-0781</t>
  </si>
  <si>
    <t>Geassem. Veer 1P 1" grijs 51x4,75x781mm RHW</t>
  </si>
  <si>
    <t>SG2308R-1700</t>
  </si>
  <si>
    <t>Geassem. Veer 1P 1" grijs 51x4,75x1700mm RHW</t>
  </si>
  <si>
    <t>SG2309L-1094</t>
  </si>
  <si>
    <t>Geassem. Veer 1P 1" grijs 51x5x1094mm LHW</t>
  </si>
  <si>
    <t>SG2309L-1700</t>
  </si>
  <si>
    <t>Geassem. Veer 1P 1" grijs 51x5x1700mm LHW</t>
  </si>
  <si>
    <t>SG2309R-1094</t>
  </si>
  <si>
    <t>Geassem. Veer 1P 1" grijs 51x5x1094mm RHW</t>
  </si>
  <si>
    <t>SG2309R-1700</t>
  </si>
  <si>
    <t>Geassem. Veer 1P 1" grijs 51x5x1700mm RHW</t>
  </si>
  <si>
    <t>SG2310L-0850</t>
  </si>
  <si>
    <t>Geassem. Veer 1P 1" grijs 51x5,25x850mm LHW</t>
  </si>
  <si>
    <t>SG2310L-1700</t>
  </si>
  <si>
    <t>Geassem. Veer 1P 1" grijs 51x5,25x1700mm LHW</t>
  </si>
  <si>
    <t>SG2310R-1700</t>
  </si>
  <si>
    <t>Geassem. Veer 1P 1" grijs 51x5,25x1700mm RHW</t>
  </si>
  <si>
    <t>SG2311L-1364</t>
  </si>
  <si>
    <t>Geassem. Veer 1P 1" grijs 51x5,5x1364mm LHW</t>
  </si>
  <si>
    <t>SG2311L-1700</t>
  </si>
  <si>
    <t>Geassem. Veer 1P 1" grijs 51x5,5x1700mm LHW</t>
  </si>
  <si>
    <t>SG2311R-1083</t>
  </si>
  <si>
    <t>Geassem. Veer 1P 1" grijs 51x5,55x1083mm RHW</t>
  </si>
  <si>
    <t>SG2311R-1364</t>
  </si>
  <si>
    <t>Geassem. Veer 1P 1" grijs 51x5,5x1364mm RHW</t>
  </si>
  <si>
    <t>SG2311R-1700</t>
  </si>
  <si>
    <t>Geassem. Veer 1P 1" grijs 51x5,5x1700mm RHW</t>
  </si>
  <si>
    <t>SG2313L-1462</t>
  </si>
  <si>
    <t>Geassem. Veer 1P 1" grijs 51x6x1462mm LHW</t>
  </si>
  <si>
    <t>SG2313L-1700</t>
  </si>
  <si>
    <t>Geassem. Veer 1P 1" grijs 51x6x1700mm LHW</t>
  </si>
  <si>
    <t>SG2313R-1130</t>
  </si>
  <si>
    <t>Geassem. Veer 1P 1" grijs 51x6x1130mm RHW</t>
  </si>
  <si>
    <t>SG2313R-1700</t>
  </si>
  <si>
    <t>Geassem. Veer 1P 1" grijs 51x6x1700mm RHW</t>
  </si>
  <si>
    <t>SG2314L-1700</t>
  </si>
  <si>
    <t>Geassem. Veer 1P 1" grijs 51x6,25x1700mm LHW</t>
  </si>
  <si>
    <t>SG2314R-1700</t>
  </si>
  <si>
    <t>Geassem. Veer 1P 1" grijs 51x6,25x1700mm RHW</t>
  </si>
  <si>
    <t>SG2315L-1299</t>
  </si>
  <si>
    <t>Geassem. Veer 1P 1" grijs 51x6,5x1299mm LHW</t>
  </si>
  <si>
    <t>SG2315L-1700</t>
  </si>
  <si>
    <t>Geassem. Veer 1P 1" grijs 51x6,5x1700mm LHW</t>
  </si>
  <si>
    <t>SG2315R-1700</t>
  </si>
  <si>
    <t>Geassem. Veer 1P 1" grijs 51x6,5x1700mm RHW</t>
  </si>
  <si>
    <t>SG2317L-1700</t>
  </si>
  <si>
    <t>Geassem. Veer 1P 1" grijs 51x7x1700mm LHW</t>
  </si>
  <si>
    <t>SG2317R-1391</t>
  </si>
  <si>
    <t>Geassem. Veer 1P 1" grijs 51x7x1391mm RHW</t>
  </si>
  <si>
    <t>SG2317R-1700</t>
  </si>
  <si>
    <t>Geassem. Veer 1P 1" grijs 51x7x1700mm RHW</t>
  </si>
  <si>
    <t>SG4009L-1700</t>
  </si>
  <si>
    <t>Verenstreng grijs 67x5x1700mm LHW</t>
  </si>
  <si>
    <t>SG4009L-3000</t>
  </si>
  <si>
    <t>Verenstreng grijs 67x5x3000mm LHW</t>
  </si>
  <si>
    <t>SG4009R-1700</t>
  </si>
  <si>
    <t>Verenstreng grijs 67x5x1700mm RHW</t>
  </si>
  <si>
    <t>SG4009R-3000</t>
  </si>
  <si>
    <t>Verenstreng grijs 67x5x3000mm RHW</t>
  </si>
  <si>
    <t>SG4011L-1700</t>
  </si>
  <si>
    <t>Verenstreng grijs 67x5,5x1700mm LHW</t>
  </si>
  <si>
    <t>SG4011L-3000</t>
  </si>
  <si>
    <t>Verenstreng grijs 67x5,5x3000mm LHW</t>
  </si>
  <si>
    <t>SG4011R-1700</t>
  </si>
  <si>
    <t>Verenstreng grijs 67x5,5x1700mm RHW</t>
  </si>
  <si>
    <t>SG4011R-3000</t>
  </si>
  <si>
    <t>Verenstreng grijs 67x5,5x3000mm RHW</t>
  </si>
  <si>
    <t>SG4013L-1700</t>
  </si>
  <si>
    <t>Verenstreng grijs 67x6,0x1700mm LHW</t>
  </si>
  <si>
    <t>SG4013L-3000</t>
  </si>
  <si>
    <t>Verenstreng grijs 67x6,0x3000mm LHW</t>
  </si>
  <si>
    <t>SG4013R-1700</t>
  </si>
  <si>
    <t>Verenstreng grijs 67x6,0x1700mm RHW</t>
  </si>
  <si>
    <t>SG4013R-3000</t>
  </si>
  <si>
    <t>Verenstreng grijs 67x6,0x3000mm RHW</t>
  </si>
  <si>
    <t>SG4014L-1700</t>
  </si>
  <si>
    <t>Verenstreng grijs 67x6,25x1700mm LHW</t>
  </si>
  <si>
    <t>SG4014L-3000</t>
  </si>
  <si>
    <t>Verenstreng grijs 67x6,25x3000mm LHW</t>
  </si>
  <si>
    <t>SG4014R-1700</t>
  </si>
  <si>
    <t>Verenstreng grijs 67x6,25x1700mm RHW</t>
  </si>
  <si>
    <t>SG4014R-3000</t>
  </si>
  <si>
    <t>Verenstreng grijs 67x6,25x3000mm RHW</t>
  </si>
  <si>
    <t>SG4015L-1700</t>
  </si>
  <si>
    <t>Verenstreng grijs 67x6,5x1700mm LHW</t>
  </si>
  <si>
    <t>SG4015L-3000</t>
  </si>
  <si>
    <t>Verenstreng grijs 67x6,5x3000mm LHW</t>
  </si>
  <si>
    <t>SG4015R-1700</t>
  </si>
  <si>
    <t>Verenstreng grijs 67x6,5x1700mm RHW</t>
  </si>
  <si>
    <t>SG4015R-3000</t>
  </si>
  <si>
    <t>Verenstreng grijs 67x6,5x3000mm RHW</t>
  </si>
  <si>
    <t>SG4017L-1700</t>
  </si>
  <si>
    <t>Verenstreng grijs 67x7,0x1700mm LHW</t>
  </si>
  <si>
    <t>SG4017L-3000</t>
  </si>
  <si>
    <t>Verenstreng grijs 67x7,0x3000mm LHW</t>
  </si>
  <si>
    <t>SG4017R-1700</t>
  </si>
  <si>
    <t>Verenstreng grijs 67x7,0x1700mm RHW</t>
  </si>
  <si>
    <t>SG4017R-3000</t>
  </si>
  <si>
    <t>Verenstreng grijs 67x7,0x3000mm RHW</t>
  </si>
  <si>
    <t>SG4019L-1700</t>
  </si>
  <si>
    <t>Verenstreng grijs 67x7,5x1700mm LHW</t>
  </si>
  <si>
    <t>SG4019L-3000</t>
  </si>
  <si>
    <t>Verenstreng grijs 67x7,5x3000mm LHW</t>
  </si>
  <si>
    <t>SG4019R-1700</t>
  </si>
  <si>
    <t>Verenstreng grijs 67x7,5x1700mm RHW</t>
  </si>
  <si>
    <t>SG4019R-3000</t>
  </si>
  <si>
    <t>Verenstreng grijs 67x7,5x3000mm RHW</t>
  </si>
  <si>
    <t>SG4209L-1000</t>
  </si>
  <si>
    <t>Geassem. Veer 2P 1" grijs 67x5x1000mm LHW</t>
  </si>
  <si>
    <t>SG4209R-1000</t>
  </si>
  <si>
    <t>Geassem. Veer 2P 1" grijs 67x5x1000mm RHW</t>
  </si>
  <si>
    <t>SG4211L-0501</t>
  </si>
  <si>
    <t>Geassem. Veer 2P 1" grijs 67x5,5x501mm LHW</t>
  </si>
  <si>
    <t>SG4211L-0800</t>
  </si>
  <si>
    <t>Geassem. Veer 2P 1" grijs 67x5,5x800mm LHW</t>
  </si>
  <si>
    <t>SG4211L-1000</t>
  </si>
  <si>
    <t>Geassem. Veer 2P 1" grijs 67x5,5x1000mm LHW</t>
  </si>
  <si>
    <t>SG4211R-0501</t>
  </si>
  <si>
    <t>Geassem. Veer 2P 1" grijs 67x5,5x501mm RHW</t>
  </si>
  <si>
    <t>SG4211R-0800</t>
  </si>
  <si>
    <t>Geassem. Veer 2P 1" grijs 67x5,5x800mm RHW</t>
  </si>
  <si>
    <t>SG4211R-1000</t>
  </si>
  <si>
    <t>Geassem. Veer 2P 1" grijs 67x5,5x1000mm RHW</t>
  </si>
  <si>
    <t>SG4213L-0639</t>
  </si>
  <si>
    <t>Geassem. Veer 2P 1" grijs 67x6x639mm LHW</t>
  </si>
  <si>
    <t>SG4213L-0674</t>
  </si>
  <si>
    <t>Geassem. Veer 2P 1" grijs 67x6x674mm LHW</t>
  </si>
  <si>
    <t>SG4213L-0710</t>
  </si>
  <si>
    <t>Geassem. Veer 2P 1" grijs 67x6x710mm LHW</t>
  </si>
  <si>
    <t>SG4213L-0790</t>
  </si>
  <si>
    <t>Geassem. Veer 2P 1" grijs 67x6x790mm LHW</t>
  </si>
  <si>
    <t>SG4213L-0833</t>
  </si>
  <si>
    <t>Geassem. Veer 2P 1" grijs 67x6x833mm LHW</t>
  </si>
  <si>
    <t>SG4213L-0927</t>
  </si>
  <si>
    <t>Geassem. Veer 2P 1" grijs 67x6x927mm LHW</t>
  </si>
  <si>
    <t>SG4213L-1400</t>
  </si>
  <si>
    <t>Geassem. Veer 2P 1" grijs 67x6x1400mm LHW</t>
  </si>
  <si>
    <t>SG4213R-0639</t>
  </si>
  <si>
    <t>Geassem. Veer 2P 1" grijs 67x6x639mm RHW</t>
  </si>
  <si>
    <t>SG4213R-0674</t>
  </si>
  <si>
    <t>Geassem. Veer 2P 1" grijs 67x6x674mm RHW</t>
  </si>
  <si>
    <t>SG4213R-0710</t>
  </si>
  <si>
    <t>Geassem. Veer 2P 1" grijs 67x6x710mm RHW</t>
  </si>
  <si>
    <t>SG4213R-0790</t>
  </si>
  <si>
    <t>Geassem. Veer 2P 1" grijs 67x6x790mm RHW</t>
  </si>
  <si>
    <t>SG4213R-0833</t>
  </si>
  <si>
    <t>Geassem. Veer 2P 1" grijs 67x6x833mm RHW</t>
  </si>
  <si>
    <t>SG4213R-0927</t>
  </si>
  <si>
    <t>Geassem. Veer 2P 1" grijs 67x6x927mm RHW</t>
  </si>
  <si>
    <t>SG4213R-1400</t>
  </si>
  <si>
    <t>Geassem. Veer 2P 1" grijs 67x6x1400mm RHW</t>
  </si>
  <si>
    <t>SG4214L-0695</t>
  </si>
  <si>
    <t>Geassem. Veer 2P 1" grijs 67x6,25x695mm LHW</t>
  </si>
  <si>
    <t>SG4214L-0773</t>
  </si>
  <si>
    <t>Geassem. Veer 2P 1" grijs 67x6,25x773mm LHW</t>
  </si>
  <si>
    <t>SG4214L-0815</t>
  </si>
  <si>
    <t>Geassem. Veer 2P 1" grijs 67x6,25x815mm LHW</t>
  </si>
  <si>
    <t>SG4214L-0860</t>
  </si>
  <si>
    <t>Geassem. Veer 2P 1" grijs 67x6,25x860mm LHW</t>
  </si>
  <si>
    <t>SG4214L-1010</t>
  </si>
  <si>
    <t>Geassem. Veer 2P 1" grijs 67x6,25x1010mm LHW</t>
  </si>
  <si>
    <t>SG4214R-0695</t>
  </si>
  <si>
    <t>Geassem. Veer 2P 1" grijs 67x6,25x695mm RHW</t>
  </si>
  <si>
    <t>SG4214R-0773</t>
  </si>
  <si>
    <t>Geassem. Veer 2P 1" grijs 67x6,25x773mm RHW</t>
  </si>
  <si>
    <t>SG4214R-0815</t>
  </si>
  <si>
    <t>Geassem. Veer 2P 1" grijs 67x6,25x815mm RHW</t>
  </si>
  <si>
    <t>SG4214R-0860</t>
  </si>
  <si>
    <t>Geassem. Veer 2P 1" grijs 67x6,25x860mm RHW</t>
  </si>
  <si>
    <t>SG4214R-1010</t>
  </si>
  <si>
    <t>Geassem. Veer 2P 1" grijs 67x6,25x1010mm RHW</t>
  </si>
  <si>
    <t>SG4215L-0791</t>
  </si>
  <si>
    <t>Geassem. Veer 2P 1" grijs 67x6,5x791mm LHW</t>
  </si>
  <si>
    <t>SG4215L-0834</t>
  </si>
  <si>
    <t>Geassem. Veer 2P 1" grijs 67x6,5x834mm LHW</t>
  </si>
  <si>
    <t>SG4215L-0880</t>
  </si>
  <si>
    <t>Geassem. Veer 2P 1" grijs 67x6,5x880mm LHW</t>
  </si>
  <si>
    <t>SG4215L-0928</t>
  </si>
  <si>
    <t>Geassem. Veer 2P 1" grijs 67x6,5x928mm LHW</t>
  </si>
  <si>
    <t>SG4215L-1091</t>
  </si>
  <si>
    <t>Geassem. Veer 2P 1" grijs 67x6,5x1091mm LHW</t>
  </si>
  <si>
    <t>SG4215L-1400</t>
  </si>
  <si>
    <t>Geassem. Veer 2P 1" grijs 67x6,5x1400mm LHW</t>
  </si>
  <si>
    <t>SG4215R-0791</t>
  </si>
  <si>
    <t>Geassem. Veer 2P 1" grijs 67x6,5x791mm RHW</t>
  </si>
  <si>
    <t>SG4215R-0834</t>
  </si>
  <si>
    <t>Geassem. Veer 2P 1" grijs 67x6,5x834mm RHW</t>
  </si>
  <si>
    <t>SG4215R-0880</t>
  </si>
  <si>
    <t>Geassem. Veer 2P 1" grijs 67x6,5x880mm RHW</t>
  </si>
  <si>
    <t>SG4215R-0928</t>
  </si>
  <si>
    <t>Geassem. Veer 2P 1" grijs 67x6,5x928mm RHW</t>
  </si>
  <si>
    <t>SG4215R-1091</t>
  </si>
  <si>
    <t>Geassem. Veer 2P 1" grijs 67x6,5x1091mm RHW</t>
  </si>
  <si>
    <t>SG4215R-1400</t>
  </si>
  <si>
    <t>Geassem. Veer 2P 1" grijs 67x6,5x1400mm RHW</t>
  </si>
  <si>
    <t>SG4217L-0857</t>
  </si>
  <si>
    <t>Geassem. Veer 2P 1" grijs 67x7x857mm LHW</t>
  </si>
  <si>
    <t>SG4217L-0904</t>
  </si>
  <si>
    <t>Geassem. Veer 2P 1" grijs 67x7x904mm LHW</t>
  </si>
  <si>
    <t>SG4217L-0953</t>
  </si>
  <si>
    <t>Geassem. Veer 2P 1" grijs 67x7x953mm LHW</t>
  </si>
  <si>
    <t>SG4217L-1006</t>
  </si>
  <si>
    <t>Geassem. Veer 2P 1" grijs 67x7x1006mm LHW</t>
  </si>
  <si>
    <t>SG4217L-1061</t>
  </si>
  <si>
    <t>Geassem. Veer 2P 1" grijs 67x7x1061mm LHW</t>
  </si>
  <si>
    <t>SG4217L-1120</t>
  </si>
  <si>
    <t>Geassem. Veer 2P 1" grijs 67x7x1120mm LHW</t>
  </si>
  <si>
    <t>SG4217L-1182</t>
  </si>
  <si>
    <t>Geassem. Veer 2P 1" grijs 67x7x1182mm LHW</t>
  </si>
  <si>
    <t>SG4217R-0857</t>
  </si>
  <si>
    <t>Geassem. Veer 2P 1" grijs 67x7x857mm RHW</t>
  </si>
  <si>
    <t>SG4217R-0904</t>
  </si>
  <si>
    <t>Geassem. Veer 2P 1" grijs 67x7x904mm RHW</t>
  </si>
  <si>
    <t>SG4217R-0953</t>
  </si>
  <si>
    <t>Geassem. Veer 2P 1" grijs 67x7x953mm RHW</t>
  </si>
  <si>
    <t>SG4217R-1006</t>
  </si>
  <si>
    <t>Geassem. Veer 2P 1" grijs 67x7x1006mm RHW</t>
  </si>
  <si>
    <t>SG4217R-1061</t>
  </si>
  <si>
    <t>Geassem. Veer 2P 1" grijs 67x7x1061mm RHW</t>
  </si>
  <si>
    <t>SG4217R-1120</t>
  </si>
  <si>
    <t>Geassem. Veer 2P 1" grijs 67x7x1120mm RHW</t>
  </si>
  <si>
    <t>SG4217R-1182</t>
  </si>
  <si>
    <t>Geassem. Veer 2P 1" grijs 67x7x1182mm RHW</t>
  </si>
  <si>
    <t>SG4219L-1184</t>
  </si>
  <si>
    <t>Geassem. Veer 2P 1" grijs 67x7,5x1184mm LHW</t>
  </si>
  <si>
    <t>SG4219L-1249</t>
  </si>
  <si>
    <t>Geassem. Veer 2P 1" grijs 67x7,5x1249mm LHW</t>
  </si>
  <si>
    <t>SG4219L-1319</t>
  </si>
  <si>
    <t>Geassem. Veer 2P 1" grijs 67x7,5x1319mm LHW</t>
  </si>
  <si>
    <t>SG4219R-1184</t>
  </si>
  <si>
    <t>Geassem. Veer 2P 1" grijs 67x7,5x1184mm RHW</t>
  </si>
  <si>
    <t>SG4219R-1249</t>
  </si>
  <si>
    <t>Geassem. Veer 2P 1" grijs 67x7,5x1249mm RHW</t>
  </si>
  <si>
    <t>SG4219R-1319</t>
  </si>
  <si>
    <t>Geassem. Veer 2P 1" grijs 67x7,5x1319mm RHW</t>
  </si>
  <si>
    <t>SG4309L-1700</t>
  </si>
  <si>
    <t>Geassem. Veer 1P 1" grijs 67x5x1700mm LHW</t>
  </si>
  <si>
    <t>SG4309R-1700</t>
  </si>
  <si>
    <t>Geassem. Veer 1P 1" grijs 67x5x1700mm RHW</t>
  </si>
  <si>
    <t>SG4311L-1700</t>
  </si>
  <si>
    <t>Geassem. Veer 1P 1" grijs 67x5,5x1700mm LHW</t>
  </si>
  <si>
    <t>SG4311R-1700</t>
  </si>
  <si>
    <t>Geassem. Veer 1P 1" grijs 67x5,5x1700mm RHW</t>
  </si>
  <si>
    <t>SG4313L-1700</t>
  </si>
  <si>
    <t>Geassem. Veer 1P 1" grijs 67x6x1700mm LHW</t>
  </si>
  <si>
    <t>SG4313R-1700</t>
  </si>
  <si>
    <t>Geassem. Veer 1P 1" grijs 67x6x1700mm RHW</t>
  </si>
  <si>
    <t>SG4314L-1700</t>
  </si>
  <si>
    <t>Geassem. Veer 1P 1" grijs 67x6,25x1700mm LHW</t>
  </si>
  <si>
    <t>SG4314R-1700</t>
  </si>
  <si>
    <t>Geassem. Veer 1P 1" grijs 67x6,25x1700mm RHW</t>
  </si>
  <si>
    <t>SG4315L-1700</t>
  </si>
  <si>
    <t>Geassem. Veer 1P 1" grijs 67x6,5x1700mm LHW</t>
  </si>
  <si>
    <t>SG4315R-1700</t>
  </si>
  <si>
    <t>Geassem. Veer 1P 1" grijs 67x6,5x1700mm RHW</t>
  </si>
  <si>
    <t>SG4317L-1227</t>
  </si>
  <si>
    <t>Geassem. Veer 1P 1" grijs 67x7x1227mm LHW</t>
  </si>
  <si>
    <t>SG4317L-1700</t>
  </si>
  <si>
    <t>Geassem. Veer 1P 1" grijs 67x7x1700mm LHW</t>
  </si>
  <si>
    <t>SG4317R-1349</t>
  </si>
  <si>
    <t>Geassem. Veer 1P 1" grijs 67x7x1349mm RHW</t>
  </si>
  <si>
    <t>SG4317R-1700</t>
  </si>
  <si>
    <t>Geassem. Veer 1P 1" grijs 67x7x1700mm RHW</t>
  </si>
  <si>
    <t>SG4319L-1700</t>
  </si>
  <si>
    <t>Geassem. Veer 1P 1" grijs 67x7,5x1700mm LHW</t>
  </si>
  <si>
    <t>SG4319R-1700</t>
  </si>
  <si>
    <t>Geassem. Veer 1P 1" grijs 67x7,5x1700mm RHW</t>
  </si>
  <si>
    <t>SG6011L-1700</t>
  </si>
  <si>
    <t>Verenstreng grijs 95x5,5x1700mm LHW</t>
  </si>
  <si>
    <t>SG6011L-3000</t>
  </si>
  <si>
    <t>Verenstreng grijs 95x5,5x3000mm LHW</t>
  </si>
  <si>
    <t>SG6011R-1700</t>
  </si>
  <si>
    <t>Verenstreng grijs 95x5,5x1700mm RHW</t>
  </si>
  <si>
    <t>SG6011R-3000</t>
  </si>
  <si>
    <t>Verenstreng grijs 95x5,5x3000mm RHW</t>
  </si>
  <si>
    <t>SG6013L-1700</t>
  </si>
  <si>
    <t>Verenstreng grijs 95x6,0x1700mm LHW</t>
  </si>
  <si>
    <t>SG6013L-3000</t>
  </si>
  <si>
    <t>Verenstreng grijs 95x6,0x3000mm LHW</t>
  </si>
  <si>
    <t>SG6013R-1700</t>
  </si>
  <si>
    <t>Verenstreng grijs 95x6,0x1700mm RHW</t>
  </si>
  <si>
    <t>SG6013R-3000</t>
  </si>
  <si>
    <t>Verenstreng grijs 95x6,0x3000mm RHW</t>
  </si>
  <si>
    <t>SG6015L-1700</t>
  </si>
  <si>
    <t>Verenstreng grijs 95x6,5x1700mm LHW</t>
  </si>
  <si>
    <t>SG6015R-1700</t>
  </si>
  <si>
    <t>Verenstreng grijs 95x6,5x1700mm RHW</t>
  </si>
  <si>
    <t>SG6017L-1700</t>
  </si>
  <si>
    <t>Verenstreng grijs 95x7,0x1700mm LHW</t>
  </si>
  <si>
    <t>SG6017R-1700</t>
  </si>
  <si>
    <t>Verenstreng grijs 95x7,0x1700mm RHW</t>
  </si>
  <si>
    <t>SG6019L-1700</t>
  </si>
  <si>
    <t>Verenstreng grijs 95x7,5x1700mm LHW</t>
  </si>
  <si>
    <t>SG6019L-3000</t>
  </si>
  <si>
    <t>Verenstreng grijs 95x7,5x3000mm LHW</t>
  </si>
  <si>
    <t>SG6019R-1700</t>
  </si>
  <si>
    <t>Verenstreng grijs 95x7,5x1700mm RHW</t>
  </si>
  <si>
    <t>SG6019R-3000</t>
  </si>
  <si>
    <t>Verenstreng grijs 95x7,5x3000mm RHW</t>
  </si>
  <si>
    <t>SG6021L-1700</t>
  </si>
  <si>
    <t>Verenstreng grijs 95x8,0x1700mm LHW</t>
  </si>
  <si>
    <t>SG6021L-3000</t>
  </si>
  <si>
    <t>Verenstreng grijs 95x8,0x3000mm LHW</t>
  </si>
  <si>
    <t>SG6021R-1700</t>
  </si>
  <si>
    <t>Verenstreng grijs 95x8,0x1700mm RHW</t>
  </si>
  <si>
    <t>SG6021R-3000</t>
  </si>
  <si>
    <t>Verenstreng grijs 95x8,0x3000mm RHW</t>
  </si>
  <si>
    <t>SG6023L-1700</t>
  </si>
  <si>
    <t>Verenstreng grijs 95x8,5x1700mm LHW</t>
  </si>
  <si>
    <t>SG6023L-3000</t>
  </si>
  <si>
    <t>Verenstreng grijs 95x8,5x3000mm LHW</t>
  </si>
  <si>
    <t>SG6023R-1700</t>
  </si>
  <si>
    <t>Verenstreng grijs 95x8,5x1700mm RHW</t>
  </si>
  <si>
    <t>SG6023R-3000</t>
  </si>
  <si>
    <t>Verenstreng grijs 95x8,5x3000mm RHW</t>
  </si>
  <si>
    <t>SG6025L-1700</t>
  </si>
  <si>
    <t>Verenstreng grijs 95x9,0x1700mm LHW</t>
  </si>
  <si>
    <t>SG6025R-1700</t>
  </si>
  <si>
    <t>Verenstreng grijs 95x9,0x1700mm RHW</t>
  </si>
  <si>
    <t>SG6027L-1700</t>
  </si>
  <si>
    <t>Verenstreng grijs 95x9,5x1700mm LHW</t>
  </si>
  <si>
    <t>SG6027L-3000</t>
  </si>
  <si>
    <t>Verenstreng grijs 95x9,5x3000mm LHW</t>
  </si>
  <si>
    <t>SG6027R-1700</t>
  </si>
  <si>
    <t>Verenstreng grijs 95x9,5x1700mm RHW</t>
  </si>
  <si>
    <t>SG6027R-3000</t>
  </si>
  <si>
    <t>Verenstreng grijs 95x9,5x3000mm RHW</t>
  </si>
  <si>
    <t>SG6311L-0500</t>
  </si>
  <si>
    <t>Geassem. Veer spanplug 1P 1" grijs 95x5,5x500mm LHW</t>
  </si>
  <si>
    <t>SG6311L-0700</t>
  </si>
  <si>
    <t>Geassem. Veer spanplug 1P 1" grijs 95x5,5x700mm LHW</t>
  </si>
  <si>
    <t>SG6311L-1000</t>
  </si>
  <si>
    <t>Geassem. Veer spanplug 1P 1" grijs 95x5,5x1000mm LHW</t>
  </si>
  <si>
    <t>SG6311L-1700</t>
  </si>
  <si>
    <t>Geassem. Veer spanplug 1P 1"grijs 95x5,5x1700mm LHW</t>
  </si>
  <si>
    <t>SG6311R-0500</t>
  </si>
  <si>
    <t>Geassem. Veer spanplug 1P 1" grijs 95x5,5x500mm RHW</t>
  </si>
  <si>
    <t>SG6311R-0700</t>
  </si>
  <si>
    <t>Geassem. Veer spanplug 1P 1" grijs 95x5,5x700mm RHW</t>
  </si>
  <si>
    <t>SG6311R-1000</t>
  </si>
  <si>
    <t>Geassem. Veer spanplug 1P 1" grijs 95x5,5x1000mm RHW</t>
  </si>
  <si>
    <t>SG6311R-1700</t>
  </si>
  <si>
    <t>Geassem. Veer spanplug 1P 1"grijs 95x5,5x1700mm RHW</t>
  </si>
  <si>
    <t>SG6313L-0479</t>
  </si>
  <si>
    <t>Geassem. Veer spanplug 1P 1" grijs 95x6,0x479mm LHW</t>
  </si>
  <si>
    <t>SG6313L-0700</t>
  </si>
  <si>
    <t>Geassem. Veer spanplug 1P 1" grijs 95x6,0x700mm LHW</t>
  </si>
  <si>
    <t>SG6313L-0800</t>
  </si>
  <si>
    <t>Geassem. Veer spanplug 1P 1" grijs 95x6,0x800mm LHW</t>
  </si>
  <si>
    <t>SG6313L-1250</t>
  </si>
  <si>
    <t>Geassem. Veer spanplug 1P 1" grijs 95x6,0x1250mm LHW</t>
  </si>
  <si>
    <t>SG6313L-1700</t>
  </si>
  <si>
    <t>Geassem. Veer spanplug 1P 1"grijs 95x6,0x1700mm LHW</t>
  </si>
  <si>
    <t>SG6313R-0479</t>
  </si>
  <si>
    <t>Geassem. Veer spanplug 1P 1" grijs 95x6,0x479mm RHW</t>
  </si>
  <si>
    <t>SG6313R-0700</t>
  </si>
  <si>
    <t>Geassem. Veer spanplug 1P 1" grijs 95x6,0x700mm RHW</t>
  </si>
  <si>
    <t>SG6313R-0800</t>
  </si>
  <si>
    <t>Geassem. Veer spanplug 1P 1" grijs 95x6,0x800mm RHW</t>
  </si>
  <si>
    <t>SG6313R-1250</t>
  </si>
  <si>
    <t>Geassem. Veer spanplug 1P 1" grijs 95x6,0x1250mm RHW</t>
  </si>
  <si>
    <t>SG6313R-1700</t>
  </si>
  <si>
    <t>Geassem. Veer spanplug 1P 1"grijs 95x6,0x1700mm RHW</t>
  </si>
  <si>
    <t>SG6315L-0627</t>
  </si>
  <si>
    <t>Geassem. Veer spanplug 1P 1" grijs 95x6,5x627mm LHW</t>
  </si>
  <si>
    <t>SG6315L-0697</t>
  </si>
  <si>
    <t>Geassem. Veer spanplug 1P 1" grijs 95x6,5x697mm LHW</t>
  </si>
  <si>
    <t>SG6315L-0900</t>
  </si>
  <si>
    <t>Geassem. Veer spanplug 1P 1" grijs 95x6,5x900mm LHW</t>
  </si>
  <si>
    <t>SG6315L-1084</t>
  </si>
  <si>
    <t>Geassem. Veer 1P 1" grijs 95x6,5x1084mm LHW</t>
  </si>
  <si>
    <t>SG6315L-1300</t>
  </si>
  <si>
    <t>Geassem. Veer spanplug 1P 1" grijs 95x6,5x1300mm LHW</t>
  </si>
  <si>
    <t>SG6315L-1650</t>
  </si>
  <si>
    <t>Geassem. Veer spanplug 1P 1" grijs 95x6,5x1650mm LHW</t>
  </si>
  <si>
    <t>SG6315L-1700</t>
  </si>
  <si>
    <t>Geassem. Veer spanplug 1P 1"grijs 95x6,5x1700mm LHW</t>
  </si>
  <si>
    <t>SG6315R-0627</t>
  </si>
  <si>
    <t>Geassem. Veer spanplug 1P 1" grijs 95x6,5x627mm RHW</t>
  </si>
  <si>
    <t>SG6315R-0697</t>
  </si>
  <si>
    <t>Geassem. Veer spanplug 1P 1" grijs 95x6,5x697mm RHW</t>
  </si>
  <si>
    <t>SG6315R-0900</t>
  </si>
  <si>
    <t>Geassem. Veer spanplug 1P 1" grijs 95x6,5x900mm RHW</t>
  </si>
  <si>
    <t>SG6315R-1084</t>
  </si>
  <si>
    <t>Geassem. Veer 1P 1" grijs 95x6,5x1084mm RHW</t>
  </si>
  <si>
    <t>SG6315R-1300</t>
  </si>
  <si>
    <t>Geassem. Veer spanplug 1P 1" grijs 95x6,5x1300mm RHW</t>
  </si>
  <si>
    <t>SG6315R-1650</t>
  </si>
  <si>
    <t>Geassem. Veer spanplug 1P 1" grijs 95x6,5x1650mm RHW</t>
  </si>
  <si>
    <t>SG6315R-1700</t>
  </si>
  <si>
    <t>Geassem. Veer spanplug 1P 1"grijs 95x6,5x1700mm RHW</t>
  </si>
  <si>
    <t>SG6317L-0523</t>
  </si>
  <si>
    <t>Geassem. Veer spanplug 1P 1" grijs 95x7,0x523mm LHW</t>
  </si>
  <si>
    <t>SG6317L-0551</t>
  </si>
  <si>
    <t>Geassem. Veer spanplug 1P 1" grijs 95x7,0x551mm LHW</t>
  </si>
  <si>
    <t>SG6317L-0580</t>
  </si>
  <si>
    <t>Geassem. Veer spanplug 1P 1" grijs 95x7,0x580mm LHW</t>
  </si>
  <si>
    <t>SG6317L-0645</t>
  </si>
  <si>
    <t>Geassem. Veer spanplug 1P 1" grijs 95x7,0x645mm LHW</t>
  </si>
  <si>
    <t>SG6317L-0717</t>
  </si>
  <si>
    <t>Geassem. Veer spanplug 1P 1" grijs 95x7,0x717mm LHW</t>
  </si>
  <si>
    <t>SG6317L-0798</t>
  </si>
  <si>
    <t>Geassem. Veer spanplug 1P 1" grijs 95x7,0x798mm LHW</t>
  </si>
  <si>
    <t>SG6317L-0889</t>
  </si>
  <si>
    <t>Geassem. Veer spanplug 1P 1" grijs 95x7,0x889mm LHW</t>
  </si>
  <si>
    <t>SG6317L-0991</t>
  </si>
  <si>
    <t>Geassem. Veer spanplug 1P 1" grijs 95x7,0x991mm LHW</t>
  </si>
  <si>
    <t>SG6317L-1200</t>
  </si>
  <si>
    <t>Geassem. Veer spanplug 1P 1" grijs 95x7,0x1200mm LHW</t>
  </si>
  <si>
    <t>SG6317L-1500</t>
  </si>
  <si>
    <t>Assemb. Spring winding 1P 1" grey 95x7,0x1500mm LHW</t>
  </si>
  <si>
    <t>SG6317L-1700</t>
  </si>
  <si>
    <t>Geassem. Veer spanplug 1P 1"grijs 95x7,0x1700mm LHW</t>
  </si>
  <si>
    <t>SG6317R-0523</t>
  </si>
  <si>
    <t>Geassem. Veer spanplug 1P 1" grijs 95x7,0x523mm RHW</t>
  </si>
  <si>
    <t>SG6317R-0580</t>
  </si>
  <si>
    <t>Geassem. Veer spanplug 1P 1" grijs 95x7,0x580mm RHW</t>
  </si>
  <si>
    <t>SG6317R-0612</t>
  </si>
  <si>
    <t>Geassem. Veer spanplug 1P 1" grijs 95x7,0x612mm RHW</t>
  </si>
  <si>
    <t>SG6317R-0645</t>
  </si>
  <si>
    <t>Geassem. Veer spanplug 1P 1" grijs 95x7,0x645mm RHW</t>
  </si>
  <si>
    <t>SG6317R-0680</t>
  </si>
  <si>
    <t>Geassem. Veer spanplug 1P 1" grijs 95x7,0x680mm RHW</t>
  </si>
  <si>
    <t>SG6317R-0717</t>
  </si>
  <si>
    <t>Geassem. Veer spanplug 1P 1" grijs 95x7,0x717mm RHW</t>
  </si>
  <si>
    <t>SG6317R-0798</t>
  </si>
  <si>
    <t>Geassem. Veer spanplug 1P 1" grijs 95x7,0x798mm RHW</t>
  </si>
  <si>
    <t>SG6317R-0889</t>
  </si>
  <si>
    <t>Geassem. Veer spanplug 1P 1" grijs 95x7,0x889mm RHW</t>
  </si>
  <si>
    <t>SG6317R-0991</t>
  </si>
  <si>
    <t>Geassem. Veer spanplug 1P 1" grijs 95x7,0x991mm RHW</t>
  </si>
  <si>
    <t>SG6317R-1200</t>
  </si>
  <si>
    <t>Geassem. Veer spanplug 1P 1" grijs 95x7,0x1200mm RHW</t>
  </si>
  <si>
    <t>SG6317R-1500</t>
  </si>
  <si>
    <t>Assemb. Spring winding 1P 1" grey 95x7,0x1500mm RHW</t>
  </si>
  <si>
    <t>SG6317R-1700</t>
  </si>
  <si>
    <t>Geassem. Veer spanplug 1P 1"grijs 95x7,0x1700mm RHW</t>
  </si>
  <si>
    <t>SG6319L-0583</t>
  </si>
  <si>
    <t>Geassem. Veer spanplug 1P 1" grijs 95x7,5x583mm LHW</t>
  </si>
  <si>
    <t>SG6319L-0648</t>
  </si>
  <si>
    <t>Geassem. Veer spanplug 1P 1" grijs 95x7,5x648mm LHW</t>
  </si>
  <si>
    <t>SG6319L-0683</t>
  </si>
  <si>
    <t>Geassem. Veer spanplug 1P 1" grijs 95x7,5x683mm LHW</t>
  </si>
  <si>
    <t>SG6319L-0720</t>
  </si>
  <si>
    <t>Geassem. Veer spanplug 1P 1" grijs 95x7,5x720mm LHW</t>
  </si>
  <si>
    <t>SG6319L-0760</t>
  </si>
  <si>
    <t>Geassem. Veer spanplug 1P 1" grijs 95x7,5x760mm LHW</t>
  </si>
  <si>
    <t>SG6319L-0801</t>
  </si>
  <si>
    <t>Geassem. Veer spanplug 1P 1" grijs 95x7,5x801mm LHW</t>
  </si>
  <si>
    <t>SG6319L-0892</t>
  </si>
  <si>
    <t>Geassem. Veer spanplug 1P 1" grijs 95x7,5x892mm LHW</t>
  </si>
  <si>
    <t>SG6319L-0994</t>
  </si>
  <si>
    <t>Geassem. Veer spanplug 1P 1" grijs 95x7,5x994mm LHW</t>
  </si>
  <si>
    <t>SG6319L-1108</t>
  </si>
  <si>
    <t>Geassem. Veer spanplug 1P 1" grijs 95x7,5x1108mm LHW</t>
  </si>
  <si>
    <t>SG6319L-1235</t>
  </si>
  <si>
    <t>Geassem. Veer spanplug 1P 1" grijs 95x7,5x1235mm LHW</t>
  </si>
  <si>
    <t>SG6319L-1400</t>
  </si>
  <si>
    <t>Geassem. Veer spanplug 1P 1" grijs 95x7,5x1400mm LHW</t>
  </si>
  <si>
    <t>SG6319L-1700</t>
  </si>
  <si>
    <t>Geassem. Veer spanplug 1P 1" grijs 95x7,5x1700mm LHW</t>
  </si>
  <si>
    <t>SG6319R-0583</t>
  </si>
  <si>
    <t>Geassem. Veer spanplug 1P 1" grijs 95x7,5x583mm RHW</t>
  </si>
  <si>
    <t>SG6319R-0648</t>
  </si>
  <si>
    <t>Geassem. Veer spanplug 1P 1" grijs 95x7,5x648mm RHW</t>
  </si>
  <si>
    <t>SG6319R-0720</t>
  </si>
  <si>
    <t>Geassem. Veer spanplug 1P 1" grijs 95x7,5x720mm RHW</t>
  </si>
  <si>
    <t>SG6319R-0801</t>
  </si>
  <si>
    <t>Geassem. Veer spanplug 1P 1" grijs 95x7,5x801mm RHW</t>
  </si>
  <si>
    <t>SG6319R-0846</t>
  </si>
  <si>
    <t>Geassem. Veer spanplug 1P 1" grijs 95x7,5x846mm RHW</t>
  </si>
  <si>
    <t>SG6319R-0892</t>
  </si>
  <si>
    <t>Geassem. Veer spanplug 1P 1" grijs 95x7,5x892mm RHW</t>
  </si>
  <si>
    <t>SG6319R-0994</t>
  </si>
  <si>
    <t>Geassem. Veer spanplug 1P 1" grijs 95x7,5x994mm RHW</t>
  </si>
  <si>
    <t>SG6319R-1108</t>
  </si>
  <si>
    <t>Geassem. Veer spanplug 1P 1" grijs 95x7,5x1108mm RHW</t>
  </si>
  <si>
    <t>SG6319R-1235</t>
  </si>
  <si>
    <t>Geassem. Veer spanplug 1P 1" grijs 95x7,5x1235mm RHW</t>
  </si>
  <si>
    <t>SG6319R-1400</t>
  </si>
  <si>
    <t>Geassem. Veer spanplug 1P 1" grijs 95x7,5x1400mm RHW</t>
  </si>
  <si>
    <t>SG6319R-1700</t>
  </si>
  <si>
    <t>Geassem. Veer spanplug 1P 1" grijs 95x7,5x1700mm RHW</t>
  </si>
  <si>
    <t>SG6321L-0788</t>
  </si>
  <si>
    <t>Geassem. Veer spanplug 1P 1" grijs 95x8,0x788mm LHW</t>
  </si>
  <si>
    <t>SG6321L-0877</t>
  </si>
  <si>
    <t>Geassem. Veer spanplug 1P 1" grijs 95x8,0x877mm LHW</t>
  </si>
  <si>
    <t>SG6321L-0925</t>
  </si>
  <si>
    <t>Geassem. Veer spanplug 1P 1" grijs 95x8,0x925mm LHW</t>
  </si>
  <si>
    <t>SG6321L-0976</t>
  </si>
  <si>
    <t>Geassem. Veer spanplug 1P 1" grijs 95x8,0x976mm LHW</t>
  </si>
  <si>
    <t>SG6321L-1030</t>
  </si>
  <si>
    <t>Geassem. Veer spanplug 1P 1" grijs 95x8,0x1030mm LHW</t>
  </si>
  <si>
    <t>SG6321L-1087</t>
  </si>
  <si>
    <t>Geassem. Veer spanplug 1P 1" grijs 95x8,0x1087mm LHW</t>
  </si>
  <si>
    <t>SG6321L-1212</t>
  </si>
  <si>
    <t>Geassem. Veer spanplug 1P 1" grijs 95x8,0x1212mm LHW</t>
  </si>
  <si>
    <t>SG6321L-1352</t>
  </si>
  <si>
    <t>Geassem. Veer spanplug 1P 1" grijs 95x8,0x1352mm LHW</t>
  </si>
  <si>
    <t>SG6321L-1508</t>
  </si>
  <si>
    <t>Geassem. Veer spanplug 1P 1" grijs 95x8,0x1508mm LHW</t>
  </si>
  <si>
    <t>SG6321L-1700</t>
  </si>
  <si>
    <t>Geassem. Veer spanplug 1P 1"grijs 95x8,0x1700mm LHW</t>
  </si>
  <si>
    <t>SG6321R-0788</t>
  </si>
  <si>
    <t>Geassem. Veer spanplug 1P 1" grijs 95x8,0x788mm RHW</t>
  </si>
  <si>
    <t>SG6321R-0877</t>
  </si>
  <si>
    <t>Geassem. Veer spanplug 1P 1" grijs 95x8,0x877mm RHW</t>
  </si>
  <si>
    <t>SG6321R-0976</t>
  </si>
  <si>
    <t>Geassem. Veer spanplug 1P 1" grijs 95x8,0x976mm RHW</t>
  </si>
  <si>
    <t>SG6321R-1070</t>
  </si>
  <si>
    <t>Geassem. Veer spanplug 1P 1" grijs 95x8,0x1070mm RHW</t>
  </si>
  <si>
    <t>SG6321R-1087</t>
  </si>
  <si>
    <t>Geassem. Veer spanplug 1P 1" grijs 95x8,0x1087mm RHW</t>
  </si>
  <si>
    <t>SG6321R-1148</t>
  </si>
  <si>
    <t>Geassem. Veer spanplug 1P 1" grijs 95x8,0x1148mm RHW</t>
  </si>
  <si>
    <t>SG6321R-1212</t>
  </si>
  <si>
    <t>Geassem. Veer spanplug 1P 1" grijs 95x8,0x1212mm RHW</t>
  </si>
  <si>
    <t>SG6321R-1352</t>
  </si>
  <si>
    <t>Geassem. Veer spanplug 1P 1" grijs 95x8,0x1352mm RHW</t>
  </si>
  <si>
    <t>SG6321R-1508</t>
  </si>
  <si>
    <t>Geassem. Veer spanplug 1P 1" grijs 95x8,0x1508mm RHW</t>
  </si>
  <si>
    <t>SG6321R-1700</t>
  </si>
  <si>
    <t>Geassem. Veer spanplug 1P 1"grijs 95x8,0x1700mm RHW</t>
  </si>
  <si>
    <t>SG6323L-0846</t>
  </si>
  <si>
    <t>Geassem. Veer spanplug 1P 1" grijs 95x8,5x846mm LHW</t>
  </si>
  <si>
    <t>SG6323L-0941</t>
  </si>
  <si>
    <t>Geassem. Veer spanplug 1P 1" grijs 95x8,5x941mm LHW</t>
  </si>
  <si>
    <t>SG6323L-1048</t>
  </si>
  <si>
    <t>Geassem. Veer spanplug 1P 1" grijs 95x8,5x1048mm LHW</t>
  </si>
  <si>
    <t>SG6323L-1168</t>
  </si>
  <si>
    <t>Geassem. Veer spanplug 1P 1" grijs 95x8,5x1168mm LHW</t>
  </si>
  <si>
    <t>SG6323L-1215</t>
  </si>
  <si>
    <t>Geassem. Veer spanplug 1P 1" grijs 95x8,5x1215mm LHW</t>
  </si>
  <si>
    <t>SG6323L-1302</t>
  </si>
  <si>
    <t>Geassem. Veer spanplug 1P 1" grijs 95x8,5x1302mm LHW</t>
  </si>
  <si>
    <t>SG6323L-1452</t>
  </si>
  <si>
    <t>Geassem. Veer spanplug 1P 1" grijs 95x8,5x1452mm LHW</t>
  </si>
  <si>
    <t>SG6323L-1620</t>
  </si>
  <si>
    <t>Geassem. Veer spanplug 1P 1" grijs 95x8,5x1620mm LHW</t>
  </si>
  <si>
    <t>SG6323L-1700</t>
  </si>
  <si>
    <t>Geassem. Veer spanplug 1P 1" grijs 95x8,5x1700mm LHW</t>
  </si>
  <si>
    <t>SG6323R-0846</t>
  </si>
  <si>
    <t>Geassem. Veer spanplug 1P 1" grijs 95x8,5x846mm RHW</t>
  </si>
  <si>
    <t>SG6323R-0941</t>
  </si>
  <si>
    <t>Geassem. Veer spanplug 1P 1" grijs 95x8,5x941mm RHW</t>
  </si>
  <si>
    <t>SG6323R-1048</t>
  </si>
  <si>
    <t>Geassem. Veer spanplug 1P 1" grijs 95x8,5x1048mm RHW</t>
  </si>
  <si>
    <t>SG6323R-1106</t>
  </si>
  <si>
    <t>Geassem. Veer spanplug 1P 1" grijs 95x8,5x1106mm RHW</t>
  </si>
  <si>
    <t>SG6323R-1168</t>
  </si>
  <si>
    <t>Geassem. Veer spanplug 1P 1" grijs 95x8,5x1168mm RHW</t>
  </si>
  <si>
    <t>SG6323R-1233</t>
  </si>
  <si>
    <t>Geassem. Veer spanplug 1P 1" grijs 95x8,5x1233mm RHW</t>
  </si>
  <si>
    <t>SG6323R-1302</t>
  </si>
  <si>
    <t>Geassem. Veer spanplug 1P 1" grijs 95x8,5x1302mm RHW</t>
  </si>
  <si>
    <t>SG6323R-1377</t>
  </si>
  <si>
    <t>Geassem. Veer spanplug 1P 1" grijs 95x8,5x1377mm RHW</t>
  </si>
  <si>
    <t>SG6323R-1452</t>
  </si>
  <si>
    <t>Geassem. Veer spanplug 1P 1" grijs 95x8,5x1452mm RHW</t>
  </si>
  <si>
    <t>SG6323R-1620</t>
  </si>
  <si>
    <t>Geassem. Veer spanplug 1P 1" grijs 95x8,5x1620mm RHW</t>
  </si>
  <si>
    <t>SG6323R-1700</t>
  </si>
  <si>
    <t>Geassem. Veer spanplug 1P 1" grijs 95x8,5x1700mm RHW</t>
  </si>
  <si>
    <t>SG6325L-1107</t>
  </si>
  <si>
    <t>Geassem. Veer spanplug 1P 1" grijs 95x9,0x1107mm LHW</t>
  </si>
  <si>
    <t>SG6325L-1233</t>
  </si>
  <si>
    <t>Geassem. Veer spanplug 1P 1" grijs 95x9,0x1233mm LHW</t>
  </si>
  <si>
    <t>SG6325L-1375</t>
  </si>
  <si>
    <t>Geassem. Veer spanplug 1P 1" grijs 95x9,0x1375mm LHW</t>
  </si>
  <si>
    <t>SG6325L-1452</t>
  </si>
  <si>
    <t>Geassem. Veer spanplug 1P 1" grijs 95x9,0x1452mm LHW</t>
  </si>
  <si>
    <t>SG6325L-1533</t>
  </si>
  <si>
    <t>Geassem. Veer spanplug 1P 1" grijs 95x9,0x1533mm LHW</t>
  </si>
  <si>
    <t>SG6325L-1700</t>
  </si>
  <si>
    <t>Geassem. Veer spanplug 1P 1"grijs 95x9,0x1700mm LHW</t>
  </si>
  <si>
    <t>SG6325R-1107</t>
  </si>
  <si>
    <t>Geassem. Veer spanplug 1P 1" grijs 95x9,0x1107mm RHW</t>
  </si>
  <si>
    <t>SG6325R-1233</t>
  </si>
  <si>
    <t>Geassem. Veer spanplug 1P 1" grijs 95x9,0x1233mm RHW</t>
  </si>
  <si>
    <t>SG6325R-1375</t>
  </si>
  <si>
    <t>Geassem. Veer spanplug 1P 1" grijs 95x9,0x1375mm RHW</t>
  </si>
  <si>
    <t>SG6325R-1533</t>
  </si>
  <si>
    <t>Geassem. Veer spanplug 1P 1" grijs 95x9,0x1533mm RHW</t>
  </si>
  <si>
    <t>SG6325R-1700</t>
  </si>
  <si>
    <t>Geassem. Veer spanplug 1P 1"grijs 95x9,0x1700mm RHW</t>
  </si>
  <si>
    <t>SG6327L-1151</t>
  </si>
  <si>
    <t>Geassem. Veer spanplug 1P 1" grijs 95x9,5x1151mm LHW</t>
  </si>
  <si>
    <t>SG6327L-1283</t>
  </si>
  <si>
    <t>Geassem. Veer spanplug 1P 1" grijs 95x9,5x1283mm LHW</t>
  </si>
  <si>
    <t>SG6327L-1430</t>
  </si>
  <si>
    <t>Geassem. Veer spanplug 1P 1" grijs 95x9,5x1430mm LHW</t>
  </si>
  <si>
    <t>SG6327L-1595</t>
  </si>
  <si>
    <t>Geassem. Veer spanplug 1P 1" grijs 95x9,5x1595mm LHW</t>
  </si>
  <si>
    <t>SG6327L-1700</t>
  </si>
  <si>
    <t>Geassem. Veer spanplug 1P 1"grijs 95x9,5x1700mm LHW</t>
  </si>
  <si>
    <t>SG6327R-1151</t>
  </si>
  <si>
    <t>Geassem. Veer spanplug 1P 1" grijs 95x9,5x1151mm RHW</t>
  </si>
  <si>
    <t>SG6327R-1283</t>
  </si>
  <si>
    <t>Geassem. Veer spanplug 1P 1" grijs 95x9,5x1283mm RHW</t>
  </si>
  <si>
    <t>SG6327R-1430</t>
  </si>
  <si>
    <t>Geassem. Veer spanplug 1P 1" grijs 95x9,5x1430mm RHW</t>
  </si>
  <si>
    <t>SG6327R-1595</t>
  </si>
  <si>
    <t>Geassem. Veer spanplug 1P 1" grijs 95x9,5x1595mm RHW</t>
  </si>
  <si>
    <t>SG6327R-1700</t>
  </si>
  <si>
    <t>Geassem. Veer spanplug 1P 1"grijs 95x9,5x1700mm RHW</t>
  </si>
  <si>
    <t>SG6329L-1468</t>
  </si>
  <si>
    <t>Geassem. Veer spanplug 1P 1" grijs 95x10,0x1468mm LHW</t>
  </si>
  <si>
    <t>SG6329L-1637</t>
  </si>
  <si>
    <t>Geassem. Veer spanplug 1P 1" grijs 95x10,0x1637mm LHW</t>
  </si>
  <si>
    <t>SG6329L-1700</t>
  </si>
  <si>
    <t>Geassem. Veer spanplug 1P 1"grijs 95x10,0x1700mm LHW</t>
  </si>
  <si>
    <t>SG6329R-1468</t>
  </si>
  <si>
    <t>Geassem. Veer spanplug 1P 1" grijs 95x10,0x1468mm RHW</t>
  </si>
  <si>
    <t>SG6329R-1637</t>
  </si>
  <si>
    <t>Geassem. Veer spanplug 1P 1" grijs 95x10,0x1637mm RHW</t>
  </si>
  <si>
    <t>SG6329R-1700</t>
  </si>
  <si>
    <t>Geassem. Veer spanplug 1P 1"grijs 95x10,0x1700mm RHW</t>
  </si>
  <si>
    <t>SG8019L-1700</t>
  </si>
  <si>
    <t>Verenstreng grijs 152x7,5x1700mm LHW</t>
  </si>
  <si>
    <t>SG8019R-1700</t>
  </si>
  <si>
    <t>Verenstreng grijs 152x7,5x1700mm RHW</t>
  </si>
  <si>
    <t>SG8021L-1700</t>
  </si>
  <si>
    <t>Verenstreng grijs 152x8,0x1700mm LHW</t>
  </si>
  <si>
    <t>SG8021R-1700</t>
  </si>
  <si>
    <t>Verenstreng grijs 152x8,0x1700mm RHW</t>
  </si>
  <si>
    <t>SG8023L-1700</t>
  </si>
  <si>
    <t>Verenstreng grijs 152x8,5x1700mm LHW</t>
  </si>
  <si>
    <t>SG8023R-1700</t>
  </si>
  <si>
    <t>Verenstreng grijs 152x8,5x1700mm RHW</t>
  </si>
  <si>
    <t>SG8025L-1700</t>
  </si>
  <si>
    <t>Verenstreng grijs 152x9,0x1700mm LHW</t>
  </si>
  <si>
    <t>SG8025R-1700</t>
  </si>
  <si>
    <t>Verenstreng grijs 152x9,0x1700mm RHW</t>
  </si>
  <si>
    <t>SG8027L-1700</t>
  </si>
  <si>
    <t>Verenstreng grijs 152x9,5x1700mm LHW</t>
  </si>
  <si>
    <t>SG8027L-3000</t>
  </si>
  <si>
    <t>Verenstreng grijs 152x9,5x3000mm LHW</t>
  </si>
  <si>
    <t>SG8027R-1700</t>
  </si>
  <si>
    <t>Verenstreng grijs 152x9,5x1700mm RHW</t>
  </si>
  <si>
    <t>SG8029L-1700</t>
  </si>
  <si>
    <t>Verenstreng grijs 152x10,0x1700mm LHW</t>
  </si>
  <si>
    <t>SG8029L-3000</t>
  </si>
  <si>
    <t>Verenstreng grijs 152x10x3000mm LHW</t>
  </si>
  <si>
    <t>SG8029R-1700</t>
  </si>
  <si>
    <t>Verenstreng grijs 152x10,0x1700mm RHW</t>
  </si>
  <si>
    <t>SG8029R-3000</t>
  </si>
  <si>
    <t>Verenstreng grijs 152x10x3000mm RHW</t>
  </si>
  <si>
    <t>SG8031L-1700</t>
  </si>
  <si>
    <t>Verenstreng grijs 152x10,5x1700mm LHW</t>
  </si>
  <si>
    <t>SG8031L-3000</t>
  </si>
  <si>
    <t>Verenstreng grijs 152x10,5x3000mm LHW</t>
  </si>
  <si>
    <t>SG8031R-1700</t>
  </si>
  <si>
    <t>Verenstreng grijs 152x10,5x1700mm RHW</t>
  </si>
  <si>
    <t>SG8031R-3000</t>
  </si>
  <si>
    <t>Verenstreng grijs 152x10,5x3000mm RHW</t>
  </si>
  <si>
    <t>SG8033L-1700</t>
  </si>
  <si>
    <t>Verenstreng grijs 152x11,0x1700mm LHW</t>
  </si>
  <si>
    <t>SG8033L-3000</t>
  </si>
  <si>
    <t>Verenstreng grijs 152x11x3000mm LHW</t>
  </si>
  <si>
    <t>SG8033R-1700</t>
  </si>
  <si>
    <t>Verenstreng grijs 152x11,0x1700mm RHW</t>
  </si>
  <si>
    <t>SG8033R-3000</t>
  </si>
  <si>
    <t>Verenstreng grijs 152x11x3000mm RHW</t>
  </si>
  <si>
    <t>SG8035L-1700</t>
  </si>
  <si>
    <t>Verenstreng grijs 152x11,5x1700mm LHW</t>
  </si>
  <si>
    <t>SG8035L-3000</t>
  </si>
  <si>
    <t>Verenstreng grijs 152x11,5x3000mm LHW</t>
  </si>
  <si>
    <t>SG8035R-1700</t>
  </si>
  <si>
    <t>Verenstreng grijs 152x11,5x1700mm RHW</t>
  </si>
  <si>
    <t>SG8035R-3000</t>
  </si>
  <si>
    <t>Verenstreng grijs 152x11,5x3000mm RHW</t>
  </si>
  <si>
    <t>SG8037L-1700</t>
  </si>
  <si>
    <t>Verenstreng grijs 152x12,0x1700mm LHW</t>
  </si>
  <si>
    <t>SG8037L-3000</t>
  </si>
  <si>
    <t>Verenstreng grijs 152x12,0x3000mm LHW</t>
  </si>
  <si>
    <t>SG8037R-1700</t>
  </si>
  <si>
    <t>Verenstreng grijs 152x12,0x1700mm RHW</t>
  </si>
  <si>
    <t>SG8037R-3000</t>
  </si>
  <si>
    <t>Verenstreng grijs 152x12,0x3000mm RHW</t>
  </si>
  <si>
    <t>SG8119L-0603</t>
  </si>
  <si>
    <t>Geassem. Veer Stationair 1P grijs 152x7,5x603mm LHW</t>
  </si>
  <si>
    <t>SG8119L-0716</t>
  </si>
  <si>
    <t>Geassem. Veer Stationair 1P grijs 152x7,5x716mm LHW</t>
  </si>
  <si>
    <t>SG8119L-0850</t>
  </si>
  <si>
    <t>Geassem. Veer Stationair 1P grijs 152x7,5x850mm LHW</t>
  </si>
  <si>
    <t>SG8119L-1039</t>
  </si>
  <si>
    <t>Geassem. Veer Stationair 1P grijs 152x7,5x1039mm LHW</t>
  </si>
  <si>
    <t>SG8119L-1700</t>
  </si>
  <si>
    <t>Geassem. Veer Stationair 1P grijs 152x7,5x1700mm LHW</t>
  </si>
  <si>
    <t>SG8119R-0603</t>
  </si>
  <si>
    <t>Geassem. Veer Stationair 1P grijs 152x7,5x603mm RHW</t>
  </si>
  <si>
    <t>SG8119R-0716</t>
  </si>
  <si>
    <t>Geassem. Veer Stationair 1P grijs 152x7,5x716mm RHW</t>
  </si>
  <si>
    <t>SG8119R-0850</t>
  </si>
  <si>
    <t>Geassem. Veer Stationair 1P grijs 152x7,5x850mm RHW</t>
  </si>
  <si>
    <t>SG8119R-1039</t>
  </si>
  <si>
    <t>Geassem. Veer Stationair 1P grijs 152x7,5x1039mm RHW</t>
  </si>
  <si>
    <t>SG8119R-1700</t>
  </si>
  <si>
    <t>Geassem. Veer Stationair 1P grijs 152x7,5x1700mm RHW</t>
  </si>
  <si>
    <t>SG8121L-0736</t>
  </si>
  <si>
    <t>Geassem. Veer Stationair 1P grijs 152x8,0x736mm LHW</t>
  </si>
  <si>
    <t>SG8121L-0876</t>
  </si>
  <si>
    <t>Geassem. Veer Stationair 1P grijs 152x8,0x876mm LHW</t>
  </si>
  <si>
    <t>SG8121L-1000</t>
  </si>
  <si>
    <t>Geassem. Veer Stationair 1P grijs 152x8,0x1000mm LHW</t>
  </si>
  <si>
    <t>SG8121L-1134</t>
  </si>
  <si>
    <t>Geassem. Veer stationair 1P grijs 152x8x1134mm LHW</t>
  </si>
  <si>
    <t>SG8121L-1300</t>
  </si>
  <si>
    <t>Geassem. Veer Stationair 1P grijs 152x8,0x1300mm LHW</t>
  </si>
  <si>
    <t>SG8121L-1600</t>
  </si>
  <si>
    <t>Geassem. Veer Stationair 1P grijs 152x8,0x1600mm LHW</t>
  </si>
  <si>
    <t>SG8121L-1700</t>
  </si>
  <si>
    <t>Geassem. Veer Stationair 1P grijs 152x8,0x1700mm LHW</t>
  </si>
  <si>
    <t>SG8121R-0736</t>
  </si>
  <si>
    <t>Geassem. Veer Stationair 1P grijs 152x8,0x736mm RHW</t>
  </si>
  <si>
    <t>SG8121R-0876</t>
  </si>
  <si>
    <t>Geassem. Veer Stationair 1P grijs 152x8,0x876mm RHW</t>
  </si>
  <si>
    <t>SG8121R-1000</t>
  </si>
  <si>
    <t>Geassem. Veer Stationair 1P grijs 152x8,0x1000mm RHW</t>
  </si>
  <si>
    <t>SG8121R-1134</t>
  </si>
  <si>
    <t>Geassem. Veer stationair 1P 1" grijs 152x8x1134mm RHW</t>
  </si>
  <si>
    <t>SG8121R-1300</t>
  </si>
  <si>
    <t>Geassem. Veer Stationair 1P grijs 152x8,0x1300mm RHW</t>
  </si>
  <si>
    <t>SG8121R-1600</t>
  </si>
  <si>
    <t>Geassem. Veer Stationair 1P grijs 152x8,0x1600mm RHW</t>
  </si>
  <si>
    <t>SG8121R-1700</t>
  </si>
  <si>
    <t>Geassem. Veer Stationair 1P grijs 152x8,0x1700mm RHW</t>
  </si>
  <si>
    <t>SG8123L-0826</t>
  </si>
  <si>
    <t>Geassem. Veer Stationair 1P grijs 152x8,5x826mm LHW</t>
  </si>
  <si>
    <t>SG8123L-0982</t>
  </si>
  <si>
    <t>Geassem. Veer Stationair 1P grijs 152x8,5x982mm LHW</t>
  </si>
  <si>
    <t>SG8123L-1019</t>
  </si>
  <si>
    <t>Geassem. Veer stationair 1P grijs 152x8,5x1019mm LHW</t>
  </si>
  <si>
    <t>SG8123L-1124</t>
  </si>
  <si>
    <t>Geassem. Veer stationair 1P grijs 152x8,5x1124mm LHW</t>
  </si>
  <si>
    <t>SG8123L-1200</t>
  </si>
  <si>
    <t>Geassem. Veer Stationair 1P grijs 152x8,5x1200mm LHW</t>
  </si>
  <si>
    <t>SG8123L-1500</t>
  </si>
  <si>
    <t>Geassem. Veer Stationair 1P grijs 152x8,5x1500mm LHW</t>
  </si>
  <si>
    <t>SG8123L-1700</t>
  </si>
  <si>
    <t>Geassem. Veer Stationair 1P grijs 152x8,5x1700mm LHW</t>
  </si>
  <si>
    <t>SG8123R-0826</t>
  </si>
  <si>
    <t>Geassem. Veer Stationair 1P grijs 152x8,5x826mm RHW</t>
  </si>
  <si>
    <t>SG8123R-0982</t>
  </si>
  <si>
    <t>Geassem. Veer Stationair 1P grijs 152x8,5x982mm RHW</t>
  </si>
  <si>
    <t>SG8123R-1088</t>
  </si>
  <si>
    <t>Geassem. Veer staionair 1P grijs 152x8,5x1088mm RHW</t>
  </si>
  <si>
    <t>SG8123R-1124</t>
  </si>
  <si>
    <t>Geassem. Veer stationair 1P 1" grijs 152x8,5x1124mm RHW</t>
  </si>
  <si>
    <t>SG8123R-1200</t>
  </si>
  <si>
    <t>Geassem. Veer Stationair 1P grijs 152x8,5x1200mm RHW</t>
  </si>
  <si>
    <t>SG8123R-1500</t>
  </si>
  <si>
    <t>Geassem. Veer Stationair 1P grijs 152x8,5x1500mm RHW</t>
  </si>
  <si>
    <t>SG8123R-1700</t>
  </si>
  <si>
    <t>Geassem. Veer Stationair 1P grijs 152x8,5x1700mm RHW</t>
  </si>
  <si>
    <t>SG8125L-0911</t>
  </si>
  <si>
    <t>Geassem. Veer Stationair 1P grijs 152x9,0x911mm LHW</t>
  </si>
  <si>
    <t>SG8125L-0994</t>
  </si>
  <si>
    <t>Geassem. Veer Stationair 1P grijs 152x9,0x994mm LHW</t>
  </si>
  <si>
    <t>SG8125L-1084</t>
  </si>
  <si>
    <t>Geassem. Veer Stationair 1P grijs 152x9,0x1084mm LHW</t>
  </si>
  <si>
    <t>SG8125L-1183</t>
  </si>
  <si>
    <t>Geassem. Veer Stationair 1P grijs 152x9,0x1183mm LHW</t>
  </si>
  <si>
    <t>SG8125L-1292</t>
  </si>
  <si>
    <t>Geassem. Veer Stationair 1P grijs 152x9,0x1292mm LHW</t>
  </si>
  <si>
    <t>SG8125L-1450</t>
  </si>
  <si>
    <t>Geassem. Veer Stationair 1P grijs 152x9,0x1450mm LHW</t>
  </si>
  <si>
    <t>SG8125L-1700</t>
  </si>
  <si>
    <t>Geassem. Veer Stationair 1P grijs 152x9,0x1700mm LHW</t>
  </si>
  <si>
    <t>SG8125R-0911</t>
  </si>
  <si>
    <t>Geassem. Veer Stationair 1P grijs 152x9,0x911mm RHW</t>
  </si>
  <si>
    <t>SG8125R-0994</t>
  </si>
  <si>
    <t>Geassem. Veer Stationair 1P grijs 152x9,0x994mm RHW</t>
  </si>
  <si>
    <t>SG8125R-1084</t>
  </si>
  <si>
    <t>Geassem. Veer Stationair 1P grijs 152x9,0x1084mm RHW</t>
  </si>
  <si>
    <t>SG8125R-1183</t>
  </si>
  <si>
    <t>Geassem. Veer Stationair 1P grijs 152x9,0x1183mm RHW</t>
  </si>
  <si>
    <t>SG8125R-1292</t>
  </si>
  <si>
    <t>Geassem. Veer Stationair 1P grijs 152x9,0x1292mm RHW</t>
  </si>
  <si>
    <t>SG8125R-1450</t>
  </si>
  <si>
    <t>Geassem. Veer Stationair 1P grijs 152x9,0x1450mm RHW</t>
  </si>
  <si>
    <t>SG8125R-1700</t>
  </si>
  <si>
    <t>Geassem. Veer Stationair 1P grijs 152x9,0x1700mm RHW</t>
  </si>
  <si>
    <t>SG8127L-0908</t>
  </si>
  <si>
    <t>Geassem. Veer Stationair 1P grijs 152x9,5x908mm LHW</t>
  </si>
  <si>
    <t>SG8127L-0990</t>
  </si>
  <si>
    <t>Geassem. Veer Stationair 1P grijs 152x9,5x990mm LHW</t>
  </si>
  <si>
    <t>SG8127L-1080</t>
  </si>
  <si>
    <t>Geassem. Veer Stationair 1P grijs 152x9,5x1080mm LHW</t>
  </si>
  <si>
    <t>SG8127L-1179</t>
  </si>
  <si>
    <t>Geassem. Veer Stationair 1P grijs 152x9,5x1179mm LHW</t>
  </si>
  <si>
    <t>SG8127L-1287</t>
  </si>
  <si>
    <t>Geassem. Veer Stationair 1P grijs 152x9,5x1287mm LHW</t>
  </si>
  <si>
    <t>SG8127L-1406</t>
  </si>
  <si>
    <t>Geassem. Veer Stationair 1P grijs 152x9,5x1406mm LHW</t>
  </si>
  <si>
    <t>SG8127L-1550</t>
  </si>
  <si>
    <t>Geassem. Veer Stationair 1P grijs 152x9,5x1550mm LHW</t>
  </si>
  <si>
    <t>SG8127L-1700</t>
  </si>
  <si>
    <t>Geassem. Veer Stationair 1P grijs 152x9,5x1700mm LHW</t>
  </si>
  <si>
    <t>SG8127R-0908</t>
  </si>
  <si>
    <t>Geassem. Veer Stationair 1P grijs 152x9,5x908mm RHW</t>
  </si>
  <si>
    <t>SG8127R-0990</t>
  </si>
  <si>
    <t>Geassem. Veer Stationair 1P grijs 152x9,5x990mm RHW</t>
  </si>
  <si>
    <t>SG8127R-1080</t>
  </si>
  <si>
    <t>Geassem. Veer Stationair 1P grijs 152x9,5x1080mm RHW</t>
  </si>
  <si>
    <t>SG8127R-1179</t>
  </si>
  <si>
    <t>Geassem. Veer Stationair 1P grijs 152x9,5x1179mm RHW</t>
  </si>
  <si>
    <t>SG8127R-1287</t>
  </si>
  <si>
    <t>Geassem. Veer Stationair 1P grijs 152x9,5x1287mm RHW</t>
  </si>
  <si>
    <t>SG8127R-1406</t>
  </si>
  <si>
    <t>Geassem. Veer Stationair 1P grijs 152x9,5x1406mm RHW</t>
  </si>
  <si>
    <t>SG8127R-1550</t>
  </si>
  <si>
    <t>Assemb. Spring Stationary 1P grey 152x9,5x1550mm RHW</t>
  </si>
  <si>
    <t>SG8127R-1700</t>
  </si>
  <si>
    <t>Geassem. Veer Stationair 1P grijs 152x9,5x1700mm RHW</t>
  </si>
  <si>
    <t>SG8129L-0894</t>
  </si>
  <si>
    <t>Geassem. Veer Stationair 1P grijs 152x10,0x894mm LHW</t>
  </si>
  <si>
    <t>SG8129L-0974</t>
  </si>
  <si>
    <t>Geassem. Veer Stationair 1P grijs 152x10,0x974mm LHW</t>
  </si>
  <si>
    <t>SG8129L-1062</t>
  </si>
  <si>
    <t>Geassem. Veer Stationair 1P grijs 152x10,0x1062mm LHW</t>
  </si>
  <si>
    <t>SG8129L-1159</t>
  </si>
  <si>
    <t>Geassem. Veer Stationair 1P grijs 152x10,0x1159mm LHW</t>
  </si>
  <si>
    <t>SG8129L-1216</t>
  </si>
  <si>
    <t>Geassem. Veer stationair 1P grijs 152x10x1216mm LHW</t>
  </si>
  <si>
    <t>SG8129L-1265</t>
  </si>
  <si>
    <t>Geassem. Veer Stationair 1P grijs 152x10,0x1265mm LHW</t>
  </si>
  <si>
    <t>SG8129L-1330</t>
  </si>
  <si>
    <t>Geassem. Veer stationair 1P grijs 152x10x1330mm LHW</t>
  </si>
  <si>
    <t>SG8129L-1381</t>
  </si>
  <si>
    <t>Geassem. Veer Stationair 1P grijs 152x10,0x1381mm LHW</t>
  </si>
  <si>
    <t>SG8129L-1508</t>
  </si>
  <si>
    <t>Geassem. Veer Stationair 1P grijs 152x10,0x1508mm LHW</t>
  </si>
  <si>
    <t>SG8129L-1650</t>
  </si>
  <si>
    <t>Geassem. Veer Stationair 1P grijs 152x10,0x1650mm LHW</t>
  </si>
  <si>
    <t>SG8129L-1700</t>
  </si>
  <si>
    <t>Geassem. Veer Stationair 1P grijs 152x10,0x1700mm LHW</t>
  </si>
  <si>
    <t>SG8129R-0894</t>
  </si>
  <si>
    <t>Geassem. Veer Stationair 1P grijs 152x10,0x894mm RHW</t>
  </si>
  <si>
    <t>SG8129R-0974</t>
  </si>
  <si>
    <t>Geassem. Veer Stationair 1P grijs 152x10,0x1062mm RHW</t>
  </si>
  <si>
    <t>SG8129R-1062</t>
  </si>
  <si>
    <t>Geassem. Veer Stationair 1P grijs 152x10x1062mm RHW</t>
  </si>
  <si>
    <t>SG8129R-1159</t>
  </si>
  <si>
    <t>Geassem. Veer Stationair 1P grijs 152x10,0x1159mm RHW</t>
  </si>
  <si>
    <t>SG8129R-1191</t>
  </si>
  <si>
    <t>Geassem. Veer stationair 1P grijs 152x10x1191mm RHW</t>
  </si>
  <si>
    <t>SG8129R-1265</t>
  </si>
  <si>
    <t>Geassem. Veer Stationair 1P grijs 152x10,0x1265mm RHW</t>
  </si>
  <si>
    <t>SG8129R-1310</t>
  </si>
  <si>
    <t>Geassem. Veer stationair 1P grijs 152x10x1310mm RHW</t>
  </si>
  <si>
    <t>SG8129R-1381</t>
  </si>
  <si>
    <t>Geassem. Veer Stationair 1P grijs 152x10,0x1381mm RHW</t>
  </si>
  <si>
    <t>SG8129R-1508</t>
  </si>
  <si>
    <t>Geassem. Veer Stationair 1P grijs 152x10,0x1650mm RHW</t>
  </si>
  <si>
    <t>SG8129R-1650</t>
  </si>
  <si>
    <t>SG8129R-1700</t>
  </si>
  <si>
    <t>Geassem. Veer Stationair 1P grijs 152x10,0x1700mm RHW</t>
  </si>
  <si>
    <t>SG8131L-1126</t>
  </si>
  <si>
    <t>Geassem. Veer Stationair 1P grijs 152x10,5x1126mm LHW</t>
  </si>
  <si>
    <t>SG8131L-1228</t>
  </si>
  <si>
    <t>Geassem. Veer Stationair 1P grijs 152x10,5x1228mm LHW</t>
  </si>
  <si>
    <t>SG8131L-1340</t>
  </si>
  <si>
    <t>Geassem. Veer Stationair 1P grijs 152x10,5x1340mm LHW</t>
  </si>
  <si>
    <t>SG8131L-1392</t>
  </si>
  <si>
    <t>Geassem. Veer 1P 1" grijs 152x10,5x1392mm LHW</t>
  </si>
  <si>
    <t>SG8131L-1463</t>
  </si>
  <si>
    <t>Geassem. Veer Stationair 1P grijs 152x10,5x1463mm LHW</t>
  </si>
  <si>
    <t>SG8131L-1598</t>
  </si>
  <si>
    <t>Geassem. Veer Stationair 1P grijs 152x10,5x1598mm LHW</t>
  </si>
  <si>
    <t>SG8131L-1700</t>
  </si>
  <si>
    <t>Geassem. Veer Stationair 1P grijs 152x10,5x1700mm LHW</t>
  </si>
  <si>
    <t>SG8131R-1126</t>
  </si>
  <si>
    <t>Geassem. Veer Stationair 1P grijs 152x10,5x1126mm RHW</t>
  </si>
  <si>
    <t>SG8131R-1228</t>
  </si>
  <si>
    <t>Geassem. Veer Stationair 1P grijs 152x10,5x1228mm RHW</t>
  </si>
  <si>
    <t>SG8131R-1340</t>
  </si>
  <si>
    <t>Geassem. Veer Stationair 1P grijs 152x10,5x1340mm RHW</t>
  </si>
  <si>
    <t>SG8131R-1384</t>
  </si>
  <si>
    <t>Geassem. Veer 1P 1" grijs 152x10,5x1384mm RHW</t>
  </si>
  <si>
    <t>SG8131R-1463</t>
  </si>
  <si>
    <t>Geassem. Veer Stationair 1P grijs 152x10,5x1463mm RHW</t>
  </si>
  <si>
    <t>SG8131R-1598</t>
  </si>
  <si>
    <t>Geassem. Veer Stationair 1P grijs 152x10,5x1598mm RHW</t>
  </si>
  <si>
    <t>SG8131R-1700</t>
  </si>
  <si>
    <t>Geassem. Veer Stationair 1P grijs 152x10,5x1700mm RHW</t>
  </si>
  <si>
    <t>SG8133L-1250</t>
  </si>
  <si>
    <t>Geassem. Veer Stationair 1P grijs 152x11,0x1250mm LHW</t>
  </si>
  <si>
    <t>SG8133L-1405</t>
  </si>
  <si>
    <t>Geassem. Veer Stationair 1P grijs 152x11,0x1405mm LHW</t>
  </si>
  <si>
    <t>SG8133L-1534</t>
  </si>
  <si>
    <t>Geassem. Veer Stationair 1P grijs 152x11,0x1534mm LHW</t>
  </si>
  <si>
    <t>SG8133L-1700</t>
  </si>
  <si>
    <t>Geassem. Veer Stationair 1P grijs 152x11,0x1700mm LHW</t>
  </si>
  <si>
    <t>SG8133R-1250</t>
  </si>
  <si>
    <t>Geassem. Veer Stationair 1P grijs 152x11,0x1250mm RHW</t>
  </si>
  <si>
    <t>SG8133R-1405</t>
  </si>
  <si>
    <t>Geassem. Veer Stationair 1P grijs 152x11,0x1405mm RHW</t>
  </si>
  <si>
    <t>SG8133R-1534</t>
  </si>
  <si>
    <t>Geassem. Veer Stationair 1P grijs 152x11,0x1534mm RHW</t>
  </si>
  <si>
    <t>SG8133R-1700</t>
  </si>
  <si>
    <t>Geassem. Veer Stationair 1P grijs 152x11,0x1700mm RHW</t>
  </si>
  <si>
    <t>SG8135L-1422</t>
  </si>
  <si>
    <t>Geassem. Veer Stationair 1P grijs 152x11,5x1422mm LHW</t>
  </si>
  <si>
    <t>SG8135L-1553</t>
  </si>
  <si>
    <t>Geassem. Veer Stationair 1P grijs 152x11,5x1553mm LHW</t>
  </si>
  <si>
    <t>SG8135L-1700</t>
  </si>
  <si>
    <t>Geassem. Veer Stationair 1P grijs 152x11,5x1700mm LHW</t>
  </si>
  <si>
    <t>SG8135R-1422</t>
  </si>
  <si>
    <t>Geassem. Veer Stationair 1P grijs 152x11,5x1422mm RHW</t>
  </si>
  <si>
    <t>SG8135R-1553</t>
  </si>
  <si>
    <t>Geassem. Veer Stationair 1P grijs 152x11,5x1553mm RHW</t>
  </si>
  <si>
    <t>SG8135R-1700</t>
  </si>
  <si>
    <t>Geassem. Veer Stationair 1P grijs 152x11,5x1700mm RHW</t>
  </si>
  <si>
    <t>SG8137L-1700</t>
  </si>
  <si>
    <t>Geassem. Veer Stationair 1P grijs 152x12,0x1700mm LHW</t>
  </si>
  <si>
    <t>SG8137R-1700</t>
  </si>
  <si>
    <t>Geassem. Veer Stationair 1P grijs 152x12,0x1700mm RHW</t>
  </si>
  <si>
    <t>4094-09150</t>
  </si>
  <si>
    <t>Onderprofiel staal verdoken Epco vingerklemveilig</t>
  </si>
  <si>
    <t>Kabelbreukset APOI</t>
  </si>
  <si>
    <t>Veerbreukset APOI</t>
  </si>
  <si>
    <t xml:space="preserve">Luxe line deur stock </t>
  </si>
  <si>
    <t>Cras NV</t>
  </si>
  <si>
    <t>WND SLS 38X63 3,00</t>
  </si>
  <si>
    <t>MTX KL3 Okoume weather garant 25 jaar 18x2500x1220</t>
  </si>
  <si>
    <t>Ivory oak - 3 zijdes</t>
  </si>
  <si>
    <t>Ivory oak - 4 zijdes (31x3040x65)</t>
  </si>
  <si>
    <t>Ivory oak - 4 zijdes (31x3040x80)</t>
  </si>
  <si>
    <t>Eik onbehandeld - 3 zijdes</t>
  </si>
  <si>
    <t>Eik onbehandeld - 4 zijdes (31x3040x65)</t>
  </si>
  <si>
    <t>Eik onbehandeld - 4 zijdes (31x3040x80)</t>
  </si>
  <si>
    <t>Amerikaanse eik dosse - classic (1x3050x1240)</t>
  </si>
  <si>
    <t>Amerikaanse notelaar dosse - architectural</t>
  </si>
  <si>
    <t>Eik kwartiers - classic (0,5mm)</t>
  </si>
  <si>
    <t>Eik kwartiers - classic (0,6mm)</t>
  </si>
  <si>
    <t>Amerikaanse eik dosse - classic (1x2500x1240)</t>
  </si>
  <si>
    <t>Europese eik vals kwartier - architectural</t>
  </si>
  <si>
    <t>Amerikaanse notelaar mixmatch - classic - A/B+</t>
  </si>
  <si>
    <t>Amerikaanse notelaar - classic - A/B - dosse</t>
  </si>
  <si>
    <t>Eik dosse - classic - 0,6mm - A/B</t>
  </si>
  <si>
    <t>Eik kwartiers - classic - 0,6mm - A/A</t>
  </si>
  <si>
    <t>Eik kwartiers - classic - A/B (2800x2070)</t>
  </si>
  <si>
    <t>Eik kwartiers - classic - A/B (3050x1220)</t>
  </si>
  <si>
    <t>Eik kwartiers - commercial - A/B (2500x1240)</t>
  </si>
  <si>
    <t>Eik kwartiers - commercial - A/B (3050x1220)</t>
  </si>
  <si>
    <t>Eik kwartiers - commercial - A/R (3050x1220)</t>
  </si>
  <si>
    <t>Eik vals kwartiers - classic - A/B</t>
  </si>
  <si>
    <t>Eik kwartiers - commercial - A/R (2150x1220)</t>
  </si>
  <si>
    <t>Eik kwartiers - commercial - A/B (multiplex meranti 2500x1220)</t>
  </si>
  <si>
    <t>Afrormosia - classic - A/R</t>
  </si>
  <si>
    <t>Afzelia - classic - A/R</t>
  </si>
  <si>
    <t>Beuk wit - commercial - A/B (Multiplex MR)</t>
  </si>
  <si>
    <t>Eik kwartiers - commercial - A/B (Multiplex MR 2500x1220)</t>
  </si>
  <si>
    <t>Eik kwartiers - commercial - A/R (Multiplex MR 2500x1220)</t>
  </si>
  <si>
    <t>Eik kwartiers - commercial - A/R (Multiplex MR 2500x1220 19 mm)</t>
  </si>
  <si>
    <t>Eik kwartiers - commercial - A/R (Multiplex MR 2500x1220 9mm)</t>
  </si>
  <si>
    <t>Eik kwartiers - classic - A/B (Multiplex populier 2500x1220)</t>
  </si>
  <si>
    <t>Beuk wit - commercial - A/B (Multiplex populier)</t>
  </si>
  <si>
    <t>Naturals - elegance - A/B</t>
  </si>
  <si>
    <t>Naturals - mystique - A/B</t>
  </si>
  <si>
    <t>Naturals - heritage - A/B</t>
  </si>
  <si>
    <t>Naturals - elegance - kant</t>
  </si>
  <si>
    <t>Natural - mystique - kant</t>
  </si>
  <si>
    <t>Natural - heritage - kant</t>
  </si>
  <si>
    <t>Adiago - B1</t>
  </si>
  <si>
    <t>Adiago - plain</t>
  </si>
  <si>
    <t>Allegro B1</t>
  </si>
  <si>
    <t>Allegro plain</t>
  </si>
  <si>
    <t>Retro Harlem B1</t>
  </si>
  <si>
    <t>Vivace plain</t>
  </si>
  <si>
    <t>Vivace S1</t>
  </si>
  <si>
    <t>Adiago - 0,6mm - A/B+ - 1 zijde</t>
  </si>
  <si>
    <t>Adiago - 0,6mm - A/B+ - plain</t>
  </si>
  <si>
    <t>Adiago -1,5mm - A/B+ - 2 zijden</t>
  </si>
  <si>
    <t>Allegro - 0,6mm - A/B+ - 1 zijde</t>
  </si>
  <si>
    <t>Allegro - 0,6mm - A/B+ - plain</t>
  </si>
  <si>
    <t>Allegro -1,5mm - A/B+ - 2 zijden</t>
  </si>
  <si>
    <t>Adiago - 0,6mm - A/B - 1 zijde (2800x2070)</t>
  </si>
  <si>
    <t>Adiago - 0,6mm - A/B - 1 zijde (3050x1220)</t>
  </si>
  <si>
    <t>Adiago - 0,6mm - A/B - plain</t>
  </si>
  <si>
    <t>Adiago -1,5mm - A/B - 2 zijden</t>
  </si>
  <si>
    <t>Adiago -1,5mm - A/B - plain</t>
  </si>
  <si>
    <t>Allegro - 0,6mm - A/B - 1 zijde (2800x2070)</t>
  </si>
  <si>
    <t>Allegro - 0,6mm - A/B - 1 zijde (3050x1220)</t>
  </si>
  <si>
    <t>Allegro - 0,6mm - A/B - plain</t>
  </si>
  <si>
    <t>Allegro -1,5mm - A/B - 2 zijden</t>
  </si>
  <si>
    <t>Allegro -1,5mm - A/B - plain</t>
  </si>
  <si>
    <t>Allegro - 1mm - A/B - 1 zijde</t>
  </si>
  <si>
    <t>Vivace - 0,6mm - A/B - plain</t>
  </si>
  <si>
    <t>Vivace - 0,6mm - A/B - 1 zijde</t>
  </si>
  <si>
    <t>Vivace - 1,5mm -A/B - plain</t>
  </si>
  <si>
    <t>Vivace - 1,5mm -A/B - 1 zijde</t>
  </si>
  <si>
    <t>Retro Harlem - 0,6mm - A/A - 1 zijde</t>
  </si>
  <si>
    <t>Vintage harlem - 1mm -A/A - plain</t>
  </si>
  <si>
    <t>Kant - naturals + retro harlem + scratched (26x50)</t>
  </si>
  <si>
    <t>Kant - naturals + retro harlem + scratched (46x50)</t>
  </si>
  <si>
    <t>Kant - naturals + retro harlem + brushed (26x50)</t>
  </si>
  <si>
    <t>Kant - naturals + retro harlem + brushed (46x50)</t>
  </si>
  <si>
    <t>Kant - naturals - plain (26x50)</t>
  </si>
  <si>
    <t>Kant - naturals - plain (46x50)</t>
  </si>
  <si>
    <t>Kant - Vintage harlem - brushed (26x50)</t>
  </si>
  <si>
    <t>Kant - Vintage harlem - brushed (46x50)</t>
  </si>
  <si>
    <t>Bondi oak - 1 zijde</t>
  </si>
  <si>
    <t>Burley oak - 1 zijde</t>
  </si>
  <si>
    <t>Cinnamon triba - 1 zijde</t>
  </si>
  <si>
    <t>Desert oak - 1 zijde</t>
  </si>
  <si>
    <t>Frozen walnut - 1 zijde</t>
  </si>
  <si>
    <t>Ivory inf Oak - 1 zijde</t>
  </si>
  <si>
    <t>Ivory Oak - 1 zijde</t>
  </si>
  <si>
    <t>Manhattan oak - 1 zijde</t>
  </si>
  <si>
    <t>Milk oak - 1 zijde</t>
  </si>
  <si>
    <t>Natural oak - 1 zijde</t>
  </si>
  <si>
    <t>Pebble triba - 1 zijde</t>
  </si>
  <si>
    <t>Pure walnut - 1 zijde</t>
  </si>
  <si>
    <t>Raven oak - 1 zijde</t>
  </si>
  <si>
    <t>Sahara oak - 1 zijde</t>
  </si>
  <si>
    <t>Shadow eucalyp - 1 zijde</t>
  </si>
  <si>
    <t>Smoked walnut - 1 zijde</t>
  </si>
  <si>
    <t>Stardust walnut - 1 zijde</t>
  </si>
  <si>
    <t>Terra sapeli - 1 zijde</t>
  </si>
  <si>
    <t>Burley oak - 2 zijden</t>
  </si>
  <si>
    <t>Frozen walnut - 2 zijden</t>
  </si>
  <si>
    <t>Ivory oak - 2 zijden</t>
  </si>
  <si>
    <t>Pure walnut - 2 zijden</t>
  </si>
  <si>
    <t>Smoked walnut - 2 zijden</t>
  </si>
  <si>
    <t>Lam / Strat - Bondi oak</t>
  </si>
  <si>
    <t>Lam / Strat - Burley oak</t>
  </si>
  <si>
    <t>Lam / Strat - Cinnamon triba</t>
  </si>
  <si>
    <t>Lam / Strat - Desert oak</t>
  </si>
  <si>
    <t>Lam / Strat - Frozen walnut</t>
  </si>
  <si>
    <t>Lam / Strat - Ivory inf oak</t>
  </si>
  <si>
    <t>Lam / Strat - ivory oak</t>
  </si>
  <si>
    <t>Lam / Strat - Manhattan oak</t>
  </si>
  <si>
    <t>Lam / Strat - Milk oak</t>
  </si>
  <si>
    <t>Lam / Strat - natural oak</t>
  </si>
  <si>
    <t>Lam / Strat - Pebble triba</t>
  </si>
  <si>
    <t>Lam / Strat - Pure walnut</t>
  </si>
  <si>
    <t>Lam / Strat - Raven oak</t>
  </si>
  <si>
    <t>Lam / Strat - Sahara oak</t>
  </si>
  <si>
    <t>Lam / Strat - Shadow eucalyptus</t>
  </si>
  <si>
    <t>Lam / Strat - Smoked walnut</t>
  </si>
  <si>
    <t>Lam / Strat - Stardust walnut</t>
  </si>
  <si>
    <t>Lam / Strat - Terra sapeli</t>
  </si>
  <si>
    <t>Corr - Bondi oak</t>
  </si>
  <si>
    <t>Corr - burley oak</t>
  </si>
  <si>
    <t>Corr - cinnamon triba</t>
  </si>
  <si>
    <t>Corr - Desert oak</t>
  </si>
  <si>
    <t>Corr - Frozen walnut</t>
  </si>
  <si>
    <t>Corr - Ivory inf oak</t>
  </si>
  <si>
    <t>Corr - Ivory oak</t>
  </si>
  <si>
    <t>Corr - Manhattan oak</t>
  </si>
  <si>
    <t>Corr - Milk oak</t>
  </si>
  <si>
    <t>Corr - Natural oak</t>
  </si>
  <si>
    <t>Corr - Pebble triba</t>
  </si>
  <si>
    <t>Corr - Pure walnut</t>
  </si>
  <si>
    <t>Corr - Raven oak</t>
  </si>
  <si>
    <t>Corr - Sahara oak</t>
  </si>
  <si>
    <t>Groove 2 - rood noords grenen</t>
  </si>
  <si>
    <t>Groove 2 - thermo vuren (18x130)</t>
  </si>
  <si>
    <t>Groove 2 - thermo vuren (21x130)</t>
  </si>
  <si>
    <t>Groove 2 - thermo ayous (21x130)</t>
  </si>
  <si>
    <t>Groove 1 - afrormosia</t>
  </si>
  <si>
    <t>Groove 1 - afzelia doussie</t>
  </si>
  <si>
    <t>Groove 2 - thermo frake</t>
  </si>
  <si>
    <t>Groove 1 - meranti</t>
  </si>
  <si>
    <t>Groove 1 - padouk</t>
  </si>
  <si>
    <t>Groove 2 - eik</t>
  </si>
  <si>
    <t>Groove 2 - thermo es</t>
  </si>
  <si>
    <t>Groove 2 - thermo populier</t>
  </si>
  <si>
    <t>Groove 1 - eik (15x112)</t>
  </si>
  <si>
    <t>Groove 2 - thermo frake (geborsteld)</t>
  </si>
  <si>
    <t>Groove 2 - thermo vuren (best black)</t>
  </si>
  <si>
    <t>Groove 2 - thermo populier (best black)</t>
  </si>
  <si>
    <t>Groove 2 - thermo ayous (18x130)</t>
  </si>
  <si>
    <t>Groove 1 - thermo frake</t>
  </si>
  <si>
    <t>Groove 1 - eik (15 x 147)</t>
  </si>
  <si>
    <t>Groove 2 - douglas</t>
  </si>
  <si>
    <t>Double U - padouk</t>
  </si>
  <si>
    <t>Cottage M - thermo vuren</t>
  </si>
  <si>
    <t>Cottage M - eik</t>
  </si>
  <si>
    <t>Cottage L - thermo vuren</t>
  </si>
  <si>
    <t>Triple 21 - thermo vuren</t>
  </si>
  <si>
    <t>Triple 33 - thermo vuren</t>
  </si>
  <si>
    <t>Triple 21 - thermo ayous</t>
  </si>
  <si>
    <t>Triple 33 - thermo ayous</t>
  </si>
  <si>
    <t>Triple 21 - thermo frake</t>
  </si>
  <si>
    <t>Tripe 33 - padouk</t>
  </si>
  <si>
    <t>Triple 21 - thermo populier</t>
  </si>
  <si>
    <t>Triple 21 - Thermo frake (fast forward grey)</t>
  </si>
  <si>
    <t>Triple - thermo vuren</t>
  </si>
  <si>
    <t>Triple - thermo populier</t>
  </si>
  <si>
    <t>Ventilat - thermo vuren (27x65)</t>
  </si>
  <si>
    <t>Ventilat - thermo vuren (21x65)</t>
  </si>
  <si>
    <t>Ventilat - thermo ayous (21x65)</t>
  </si>
  <si>
    <t>Ventilat - thermo vuren (18x65)</t>
  </si>
  <si>
    <t>Ventilat - douglas</t>
  </si>
  <si>
    <t>Matrix - thermo uren</t>
  </si>
  <si>
    <t>Acces - thermo vuren</t>
  </si>
  <si>
    <t>QR - thermo vuren</t>
  </si>
  <si>
    <t>Acces - thermo populier</t>
  </si>
  <si>
    <t>QR - thermo populier</t>
  </si>
  <si>
    <t>Matrix - thermo populier</t>
  </si>
  <si>
    <t>Morse - thermo populier</t>
  </si>
  <si>
    <t>Bar - thermo populier</t>
  </si>
  <si>
    <t>Secret - thermo populier</t>
  </si>
  <si>
    <t>Tempo - thermo ayous</t>
  </si>
  <si>
    <t>Echo - thermo ayous</t>
  </si>
  <si>
    <t>Candence - thermo ayous</t>
  </si>
  <si>
    <t>Harmony - thermo ayous</t>
  </si>
  <si>
    <t>Tempo - afrormosia</t>
  </si>
  <si>
    <t>Echo - afrormosia</t>
  </si>
  <si>
    <t>Cadence - afrormosia</t>
  </si>
  <si>
    <t>Harmony - afrormosia</t>
  </si>
  <si>
    <t>Linup 65 - thermo vuren</t>
  </si>
  <si>
    <t>Linup 90 - thermo vuren</t>
  </si>
  <si>
    <t>Linup 140 - thermmo vuren</t>
  </si>
  <si>
    <t>Linup character 140 - thermo vuren</t>
  </si>
  <si>
    <t>Linup 65 - thermo populier</t>
  </si>
  <si>
    <t>Linup 90 - thermo populier</t>
  </si>
  <si>
    <t>Linup 140 - thermo populier</t>
  </si>
  <si>
    <t>Linup clip med</t>
  </si>
  <si>
    <t>Linup clip larg</t>
  </si>
  <si>
    <t>Linup clip start/stop</t>
  </si>
  <si>
    <t>Linup profiel alu</t>
  </si>
  <si>
    <t>ventilat rechthoek - thermo vuren</t>
  </si>
  <si>
    <t>Ventilat rechthoek - thermo ayous</t>
  </si>
  <si>
    <t>Ventilat parallel - thermo vuren</t>
  </si>
  <si>
    <t>Ventilat parallel - thermo ayous</t>
  </si>
  <si>
    <t>hoekprofiel - thermo ayous</t>
  </si>
  <si>
    <t>Hoekprofiel - thermo vuren</t>
  </si>
  <si>
    <t>Opdekprofiel - thermo ayous</t>
  </si>
  <si>
    <t>Montagelat - rood noords grenen (35x46)</t>
  </si>
  <si>
    <t>Montagelat - rood noords grenen (35x72)</t>
  </si>
  <si>
    <t>Montagelat - rood noords grenen (35x95)</t>
  </si>
  <si>
    <t>Montagelat - rood noords grenen (46x46)</t>
  </si>
  <si>
    <t>Montagelat - rood noords grenen (24x48)</t>
  </si>
  <si>
    <t>Montagelat - rood noords grenen (35x46) -zwart</t>
  </si>
  <si>
    <t>Montagelat - rood noords grenen (35x72) - zwart</t>
  </si>
  <si>
    <t>Montagelat - rood noords grenen (35x46) - zwart - vertical flow</t>
  </si>
  <si>
    <t>Spaanplaat/agglo - grijs tortora SIII</t>
  </si>
  <si>
    <t>Superpan - grijs tortora SIII</t>
  </si>
  <si>
    <t>Superpan - verde arcilla SIII</t>
  </si>
  <si>
    <t>Spaanplaat/agglo - gris vesubio SIII</t>
  </si>
  <si>
    <t>Superpan - gris vesubio SIII</t>
  </si>
  <si>
    <t>Superpan - terracotta nova SIII</t>
  </si>
  <si>
    <t>Superpan - rosa talco</t>
  </si>
  <si>
    <t>Spaanplaat / agglo - gris tormento SIII</t>
  </si>
  <si>
    <t>Superpan - gris tormenta SIII</t>
  </si>
  <si>
    <t>Spaanplaat / agglo - sahara SIII</t>
  </si>
  <si>
    <t>Superpan - sahara SIII</t>
  </si>
  <si>
    <t>Spaanplaat / agglo - lino cancun textil</t>
  </si>
  <si>
    <t>Superpan - lino cancun textil</t>
  </si>
  <si>
    <t>Spaanplaat / agglo - Lino habana textil</t>
  </si>
  <si>
    <t>Superpan - lino habana textil</t>
  </si>
  <si>
    <t>Spaanplaat / agglo - grijs coco SIII</t>
  </si>
  <si>
    <t>Superpan - grijs coco SIII</t>
  </si>
  <si>
    <t>Superpan - grijs coco blues</t>
  </si>
  <si>
    <t>spaanplaat / agglo - duna SIII</t>
  </si>
  <si>
    <t>Superpan - duna SIII</t>
  </si>
  <si>
    <t>Spaanplaat / agglo wit (8mm 2440x1220)</t>
  </si>
  <si>
    <t>Spaanplaat / agglo wit (8mm 2850x2100)</t>
  </si>
  <si>
    <t>Spaanplaat / agglo wit (12mm 2850x2100)</t>
  </si>
  <si>
    <t>Superpan - wit (10mm 2440x1220)</t>
  </si>
  <si>
    <t>Superpan - wit (10mm 2850x2100)</t>
  </si>
  <si>
    <t>Superpan - wit (16mm 2440x1220)</t>
  </si>
  <si>
    <t>Superpan - wit (16mm 2850x2100)</t>
  </si>
  <si>
    <t>Superpan - wit (18mm 2440x1220)</t>
  </si>
  <si>
    <t>Superpan - wit (18mm 2850x2100)</t>
  </si>
  <si>
    <t>Superpan - wit (18mm 3050x1220)</t>
  </si>
  <si>
    <t>Superpan - wit (22mm 2850x2100)</t>
  </si>
  <si>
    <t>Superpan - wit (25mm 2850x2100)</t>
  </si>
  <si>
    <t>Superpan - wit (30mm 2850x2100)</t>
  </si>
  <si>
    <t>Spaanplaat / agglo - gris calcio SIII</t>
  </si>
  <si>
    <t>Superpan - gris calcio SIII</t>
  </si>
  <si>
    <t>Spaanplaat / agglo - blanco artic SIII</t>
  </si>
  <si>
    <t>Superpan - blanco artic SIII</t>
  </si>
  <si>
    <t>Spaanplaat / agglo - gris suave SIII</t>
  </si>
  <si>
    <t>Superpan - gris suave SIII</t>
  </si>
  <si>
    <t>Spaanplaat / agglo - grijs GU SIII</t>
  </si>
  <si>
    <t>Superpan - Grijs GU SIII (18mm)</t>
  </si>
  <si>
    <t>Superpan - Grijs GU SIII (25mm)</t>
  </si>
  <si>
    <t>Spaanplaat / agglo - crema SIII</t>
  </si>
  <si>
    <t>Superpan - crema SIII</t>
  </si>
  <si>
    <t>Superpan - grijs azul SIII (16mm)</t>
  </si>
  <si>
    <t>Superpan - grijs azul SIII (18mm)</t>
  </si>
  <si>
    <t>Superpan - grijs azul SIII (25mm)</t>
  </si>
  <si>
    <t>Spaanplaat / agglo - grijs 004 SIII</t>
  </si>
  <si>
    <t>Superpan - grijs 004 SIII</t>
  </si>
  <si>
    <t>Spaanplaat / agglo - zwart SIII</t>
  </si>
  <si>
    <t>Spaanplaat / agllo - negro atlas</t>
  </si>
  <si>
    <t>Superpan - zwart SII (18mm)</t>
  </si>
  <si>
    <t>Superpan - zwart SII (25mm)</t>
  </si>
  <si>
    <t>Superpan - negro atlas</t>
  </si>
  <si>
    <t>Superpan - Negro SIII</t>
  </si>
  <si>
    <t>Superpan - negro nude</t>
  </si>
  <si>
    <t>Superpan - cavas greige ari</t>
  </si>
  <si>
    <t>Spaanplaat / agglo - marf talc SIII</t>
  </si>
  <si>
    <t>Superpan - marf talc SIII</t>
  </si>
  <si>
    <t>Spaanplaat / agglo - rojo arcil SIII</t>
  </si>
  <si>
    <t>Superpan - rojo arcil SIII</t>
  </si>
  <si>
    <t>Spaanplaat / agglo - azul pied SIII</t>
  </si>
  <si>
    <t>Superpan - azul pied SIII</t>
  </si>
  <si>
    <t>Superpan - antraciet</t>
  </si>
  <si>
    <t>Superpan - wit</t>
  </si>
  <si>
    <t>Superpan - zwart</t>
  </si>
  <si>
    <t>Spaanplaat / agglo - eik cambria sega</t>
  </si>
  <si>
    <t>Superpan - eik cambria sega</t>
  </si>
  <si>
    <t>Spaanplaat / agglo - roble amazona atlas</t>
  </si>
  <si>
    <t>Superpan - roble amazon atlas</t>
  </si>
  <si>
    <t>Superpan - wild wood rock &amp; roll</t>
  </si>
  <si>
    <t>Spaanplaat / agglo - roble bello mesura</t>
  </si>
  <si>
    <t>Superpan - roble bello mesura</t>
  </si>
  <si>
    <t>Spaanplaat / agglo - roble mina boreal</t>
  </si>
  <si>
    <t>Superpan - roble mina boreal</t>
  </si>
  <si>
    <t>Spaanplaat / agglo - nogal siroko atlas</t>
  </si>
  <si>
    <t>Superpan - nogal siroko atlas</t>
  </si>
  <si>
    <t>Spaanplaat / agglo - haya gala atlas</t>
  </si>
  <si>
    <t>Superpan - haya gala atlas</t>
  </si>
  <si>
    <t>Spaanplaat / agglo - nogal victoria atlas</t>
  </si>
  <si>
    <t>Superpan - nogal victoria atlas</t>
  </si>
  <si>
    <t>Spaanplaat / agglo - roble stella atlas</t>
  </si>
  <si>
    <t>Superpan - roble stella atlas</t>
  </si>
  <si>
    <t>Superpan - white SR209 tango</t>
  </si>
  <si>
    <t>Spaanplaat / agglo - nogal siena sm</t>
  </si>
  <si>
    <t>Superpan - nogal siena sm</t>
  </si>
  <si>
    <t>Spaanplaat / agglo - mapel nomada balm</t>
  </si>
  <si>
    <t>Superpan - mapel nomada balm</t>
  </si>
  <si>
    <t>Spaanplaat /agglo - roble denver atlas</t>
  </si>
  <si>
    <t>Superpan - roble denver atlas</t>
  </si>
  <si>
    <t>Spaanplaat / agglo - aura pine moa</t>
  </si>
  <si>
    <t>Superpan - aura pine moa</t>
  </si>
  <si>
    <t>Spaanplaat /agglo - olmo bovary atlas</t>
  </si>
  <si>
    <t>Superpan - olmo bovary atlas</t>
  </si>
  <si>
    <t>Spaanplaat / agglo - roble aurora atlas</t>
  </si>
  <si>
    <t>Superpan - roble aurora atlas</t>
  </si>
  <si>
    <t>Spaanplaat / agglo - tasmanian natural boreal</t>
  </si>
  <si>
    <t>Superpan - tasmanian naturel boreal</t>
  </si>
  <si>
    <t>Spaanplaat / agglo - tasmanian moka boreal</t>
  </si>
  <si>
    <t>Superpan - tasmanian moka boreal</t>
  </si>
  <si>
    <t>Spaanplaat / agglo - roble poem atlas</t>
  </si>
  <si>
    <t>Superpan - roble poem atlas</t>
  </si>
  <si>
    <t>Spaanplaat / agglo - roble verso atlas</t>
  </si>
  <si>
    <t>Superpan - roble verso atlas</t>
  </si>
  <si>
    <t>Superpan - roble calima fado</t>
  </si>
  <si>
    <t>superpan - roble barlovento fado</t>
  </si>
  <si>
    <t>Superpan - roble socaire fado</t>
  </si>
  <si>
    <t>Superpan - roble bitacora fado</t>
  </si>
  <si>
    <t>Superpan - roble proa blues</t>
  </si>
  <si>
    <t>Superpan - aruba oscuro calypso</t>
  </si>
  <si>
    <t>Superpan - aruba natural calypso</t>
  </si>
  <si>
    <t>Superpan - saona trigo bolero</t>
  </si>
  <si>
    <t>Superpan - saona cognac bolero</t>
  </si>
  <si>
    <t>Superpan - saona oscuro bolero</t>
  </si>
  <si>
    <t>Superpan - trinidad antique bolero</t>
  </si>
  <si>
    <t>Superpan - trinidad dark bolero</t>
  </si>
  <si>
    <t>Spaanplaat / agglo - aluminio cava moon</t>
  </si>
  <si>
    <t>Superpan - aluminio cava moon</t>
  </si>
  <si>
    <t>Superpan - aluminio cava calypso</t>
  </si>
  <si>
    <t>Spaanplat / agglo - luna nuevo moa</t>
  </si>
  <si>
    <t>Superpan - luna nuevo moa</t>
  </si>
  <si>
    <t>Superpan - espiga pimienta textil</t>
  </si>
  <si>
    <t>Superpan - textil cuero nude</t>
  </si>
  <si>
    <t>Superpan - espiga sal textil</t>
  </si>
  <si>
    <t>Spaanplaat / agglo - canvas pardo</t>
  </si>
  <si>
    <t>Superpan - canvas pardo</t>
  </si>
  <si>
    <t>Spaanplaat / agglo - titania tambo moon</t>
  </si>
  <si>
    <t>Superpan - titania tambo moon</t>
  </si>
  <si>
    <t>Spaanplaat / agglo - gravity marengo moa</t>
  </si>
  <si>
    <t>Superpan - gravity marengo moa</t>
  </si>
  <si>
    <t>Spaanplaat / agglo - metalizado grey moon</t>
  </si>
  <si>
    <t>Superpan - metalizado grey moon</t>
  </si>
  <si>
    <t>Izeon satin ral 7016</t>
  </si>
  <si>
    <t>Izeon satin ral 7021</t>
  </si>
  <si>
    <t>Izeon satin ral 7022</t>
  </si>
  <si>
    <t>Izeon satin ral 7030</t>
  </si>
  <si>
    <t>Izeon satin ral 7035</t>
  </si>
  <si>
    <t>Izeon satin ral 7037</t>
  </si>
  <si>
    <t>Izeon satin ral 7039</t>
  </si>
  <si>
    <t>Izeon satin ral 9001</t>
  </si>
  <si>
    <t>Izeon satin ral 9005</t>
  </si>
  <si>
    <t>Izeon satin ral 9010</t>
  </si>
  <si>
    <t>Izean satin ral 9016</t>
  </si>
  <si>
    <t>Izeon schroef RSV A4 ral 7021</t>
  </si>
  <si>
    <t>Izeon schroef RVS A4 ral 7030</t>
  </si>
  <si>
    <t>Meteon lumen diffuse (3050x1530)</t>
  </si>
  <si>
    <t>Meteon lumen diffuse (3650x1860)</t>
  </si>
  <si>
    <t>Meteon satin A0300 (3050x1530)</t>
  </si>
  <si>
    <t>Meteon satin A0340 (3050x1530)</t>
  </si>
  <si>
    <t>Meteon satin A0500 6 mm (2550x1860)</t>
  </si>
  <si>
    <t>Meteon satin A0500 6 mm (3050x1530)</t>
  </si>
  <si>
    <t>Meteon satin A0500 8 mm (2550x1860)</t>
  </si>
  <si>
    <t>Meteon satin A0500 8 mm (3050x1530)</t>
  </si>
  <si>
    <t>Meteon satin A0500 8 mm (3650x1860)</t>
  </si>
  <si>
    <t>Meteon satin A0550 (3050x1530)</t>
  </si>
  <si>
    <t>Meteon satin A0881 (3050x1530)</t>
  </si>
  <si>
    <t>Meteon satin A2151 (3050x1530)</t>
  </si>
  <si>
    <t>Meteon satin A2170 (3050x1530)</t>
  </si>
  <si>
    <t>Meteon satin A2581 8 mm (2550x1860)</t>
  </si>
  <si>
    <t>Meteon satin A2581 8 mm (3050x1530)</t>
  </si>
  <si>
    <t>Meteon satin A2581 8 mm (3650x1860)</t>
  </si>
  <si>
    <t>Meteon satin A9000 6 mm (2550x1860)</t>
  </si>
  <si>
    <t>Meteon satin A9000 8 mm (2550x1860)</t>
  </si>
  <si>
    <t>Meteon satin A9000 8 mm (3050x1530)</t>
  </si>
  <si>
    <t>Meteon satin A9000 8 mm (3650x1860)</t>
  </si>
  <si>
    <t>Meteon satin A9000 10 mm (3050x1530)</t>
  </si>
  <si>
    <t>Meteon satin ral 7016</t>
  </si>
  <si>
    <t>Meteon satin ral 7021</t>
  </si>
  <si>
    <t>Meteon satin ral 9010</t>
  </si>
  <si>
    <t>Meteon lumen diffuse (2550x1860)</t>
  </si>
  <si>
    <t>Meteon schroef / vis A2151</t>
  </si>
  <si>
    <t>doos (100)</t>
  </si>
  <si>
    <t>Meteon schroef / vis A2170</t>
  </si>
  <si>
    <t>Meteon schroef / vis A2581</t>
  </si>
  <si>
    <t>Meteon schroef / vis A0300</t>
  </si>
  <si>
    <t>Meteon schroef / vis A0340</t>
  </si>
  <si>
    <t>Meteon schroef / vis A0500</t>
  </si>
  <si>
    <t>Meteon schroef / vis A0510</t>
  </si>
  <si>
    <t>Meteon schroef / vis A0511</t>
  </si>
  <si>
    <t>Meteon schroef / vis A0550</t>
  </si>
  <si>
    <t>Meteon schroef / vis A0831</t>
  </si>
  <si>
    <t>Meteon schroef / vis A0881</t>
  </si>
  <si>
    <t>Meteon schroef / vis A9000</t>
  </si>
  <si>
    <t>Meteon schroef / vis L9000</t>
  </si>
  <si>
    <t>Meteon schroef / vis ral 7022</t>
  </si>
  <si>
    <t>Meteon schroef / vis ral 7035</t>
  </si>
  <si>
    <t>Meteon schroef / vis ral 9016</t>
  </si>
  <si>
    <t>Trespa pura siding PU17</t>
  </si>
  <si>
    <t>Trespa pura siding PU22</t>
  </si>
  <si>
    <t>Trespa pura siding PU24</t>
  </si>
  <si>
    <t>Trespa pura siding PU28</t>
  </si>
  <si>
    <t>Trespa pura siding PU08</t>
  </si>
  <si>
    <t>Buitenhoek profiel PU17 + PU24</t>
  </si>
  <si>
    <t>Buitenhoek profiel PU22</t>
  </si>
  <si>
    <t>Buitenhoek profiel PU08</t>
  </si>
  <si>
    <t>Buitenhoek profiel PU28</t>
  </si>
  <si>
    <t>Eindprofiel flush PU17 + PU24</t>
  </si>
  <si>
    <t>Eindprofiel flush PU22</t>
  </si>
  <si>
    <t>Eindprofiel flush PU08</t>
  </si>
  <si>
    <t>Eindprofiel flush PU028</t>
  </si>
  <si>
    <t>Clips + schroeven flush</t>
  </si>
  <si>
    <t>doos (200)</t>
  </si>
  <si>
    <t>Schroef / vis PU17+PU24</t>
  </si>
  <si>
    <t>Schroef / vis PU22</t>
  </si>
  <si>
    <t>Schroef / vis PU08</t>
  </si>
  <si>
    <t>Schroef / vis PU28</t>
  </si>
  <si>
    <t>Schroef / vis SFS</t>
  </si>
  <si>
    <t>Buitenhoek profiel PUL2581</t>
  </si>
  <si>
    <t>Eindprofiel PUL2581</t>
  </si>
  <si>
    <t>Buitenhoek profiel PUL9000</t>
  </si>
  <si>
    <t>Eindprofiel PUL9000</t>
  </si>
  <si>
    <t>Steunprofiel PUL9000</t>
  </si>
  <si>
    <t>Schroef / vis PUL9000</t>
  </si>
  <si>
    <t>Steunprofiel bruin</t>
  </si>
  <si>
    <t>Startprofiel alu + schroef zwart</t>
  </si>
  <si>
    <t>Timkern EXT 2 zijden ral 7016 8 mm</t>
  </si>
  <si>
    <t>Timkern EXT 2 zijden ral 9005</t>
  </si>
  <si>
    <t>Timkern EXT 2 zijden ral 9010 3 mm</t>
  </si>
  <si>
    <t>Timkern EXT 2 zijden ral 9010 6 mm</t>
  </si>
  <si>
    <t>Timkern EXT 2 zijden ral 9010 8 mm</t>
  </si>
  <si>
    <t>geperforeed afsluitprof alu 50*30*2500mm</t>
  </si>
  <si>
    <t>Timkern EXT 2 zijden ral 7016 6 mm</t>
  </si>
  <si>
    <t>Rockpanel colours ral 7004 8 mm</t>
  </si>
  <si>
    <t>Rockpanel colours ral 7016 8 mm</t>
  </si>
  <si>
    <t>Rockpanel colours ral 7021 8 mm</t>
  </si>
  <si>
    <t>Rockpanel colours ral 7022 8 mm</t>
  </si>
  <si>
    <t>Rockpanel colours ral 7030 8 mm</t>
  </si>
  <si>
    <t>Rockpanel colours ral 7035 8 mm</t>
  </si>
  <si>
    <t>Rockpanel colours ral 7037 8 mm</t>
  </si>
  <si>
    <t>Rockpanel colours ral 7039 8 mm</t>
  </si>
  <si>
    <t>Rockpanel colours ral 8028 8 mm</t>
  </si>
  <si>
    <t>Rockpanel colours ral 9001 8 mm</t>
  </si>
  <si>
    <t>Rockpanel colours ral 9005 8 mm (2500x1200)</t>
  </si>
  <si>
    <t>Rockpanel colours ral 9005 8 mm (3050x1200)</t>
  </si>
  <si>
    <t>Rockpanel colours ral 9010 8 mm</t>
  </si>
  <si>
    <t>Rockpanel ply 8 mm</t>
  </si>
  <si>
    <t>Rockpanel uni ral 9005</t>
  </si>
  <si>
    <t>Rockpanel uni ral 9010</t>
  </si>
  <si>
    <t>Rockpanel uni ral 7016</t>
  </si>
  <si>
    <t>Rockpanel schroef / vis ral 9010</t>
  </si>
  <si>
    <t>Tectiva plaat ongekant TE00 8 mm (2520x1240)</t>
  </si>
  <si>
    <t>Tectiva plaat ongekant TE00 8 mm (3070x1240)</t>
  </si>
  <si>
    <t>Tectiva plaat ongekant TE10 8 mm (2520x1240)</t>
  </si>
  <si>
    <t>Tectiva plaat ongekant TE10 8 mm (3070x1240)</t>
  </si>
  <si>
    <t>Tectiva plaat ongekant TE15 8 mm (2520x1240)</t>
  </si>
  <si>
    <t>Tectiva plaat ongekant TE15 8 mm (3070x1240)</t>
  </si>
  <si>
    <t>Tectiva plaat ongekant TE20 8 mm (2520x1240)</t>
  </si>
  <si>
    <t>Tectiva plaat ongekant TE20 8 mm (3070x1240)</t>
  </si>
  <si>
    <t>Tectiva plaat ongekant TE60 8 mm (2520x1240)</t>
  </si>
  <si>
    <t>Tectiva plaat ongekant TE60 8 mm (3070x1240)</t>
  </si>
  <si>
    <t>Tectiva plaat ongekant TE85 8 mm (2520x1240)</t>
  </si>
  <si>
    <t>Tectiva plaat ongekant TE85 8 mm (3070x1240)</t>
  </si>
  <si>
    <t>Tectiva plaat ongekant TE90 8 mm (2520x1240)</t>
  </si>
  <si>
    <t>Tectiva plaat ongekant TE90 8 mm (3070x1240)</t>
  </si>
  <si>
    <t>Pictura plaat ongekant PA041</t>
  </si>
  <si>
    <t>Pictura plaat ongekant PW141</t>
  </si>
  <si>
    <t>Schroef / vis tectiva K15 TE20 ral 7018</t>
  </si>
  <si>
    <t>Schroef / vis K15 pictura ral 7019</t>
  </si>
  <si>
    <t>doos (250)</t>
  </si>
  <si>
    <t>Huls pictura nat pro ral 7020</t>
  </si>
  <si>
    <t>Cedral click smooth C01</t>
  </si>
  <si>
    <t>Cedral click smooth C05</t>
  </si>
  <si>
    <t>Cedral click wood C01</t>
  </si>
  <si>
    <t>Cedral click wood C03</t>
  </si>
  <si>
    <t>Cedral click wood C05</t>
  </si>
  <si>
    <t>Cedral click wood C18</t>
  </si>
  <si>
    <t>Cedral click wood C50</t>
  </si>
  <si>
    <t>Cedral click wood C52</t>
  </si>
  <si>
    <t>Cedral lap wood C01</t>
  </si>
  <si>
    <t>Cedral lap wood C05</t>
  </si>
  <si>
    <t>Cedral lap wood C18</t>
  </si>
  <si>
    <t>Cedral lap wood C52</t>
  </si>
  <si>
    <t>Cedral board C05 (2500x1220)</t>
  </si>
  <si>
    <t>Cedral board C05 (3050x1220)</t>
  </si>
  <si>
    <t>Cedral board C18</t>
  </si>
  <si>
    <t>Rood noords grenen groen recht 35 x 46 (montagelatten)</t>
  </si>
  <si>
    <t>Rood noords grenen 35 x 72 (montagelatten)</t>
  </si>
  <si>
    <t>Rood noords grenen 35 x 95 (montagelatten)</t>
  </si>
  <si>
    <t>Rood noords grenen 46 x 46 (montagelatten)</t>
  </si>
  <si>
    <t>Witte noordse grenen 24 x 48 (montagelatten)</t>
  </si>
  <si>
    <t>Rood noords grenen zwart parallelo 35 x 46 (montagelatten)</t>
  </si>
  <si>
    <t>Rood noords grenen zwart 35 x 72 (montagelatten)</t>
  </si>
  <si>
    <t>Rood noords grenen zwart vertical flow 35 x 46 (montagelatten)</t>
  </si>
  <si>
    <t>Rood noords grenen bijgedroogd groen recht 35 x 95 (montagelatten)</t>
  </si>
  <si>
    <t>Rood noords grenen bijgedroogd groen recht 35 x 72 (montagelatten)</t>
  </si>
  <si>
    <t>Rood noords grenen bijgedroogd groen recht 35 x 46 (montagelatten)</t>
  </si>
  <si>
    <t>Morgofass slim plus zwart</t>
  </si>
  <si>
    <t>Morgofass UV zwart</t>
  </si>
  <si>
    <t>Morgovent 120 plus wit</t>
  </si>
  <si>
    <t>Morgovent 120 plus zwart</t>
  </si>
  <si>
    <t>Tape airseal black UV-FR 60 mm x 25 m</t>
  </si>
  <si>
    <t>S922 U - intense ultra black 12 mm 3680x760 (platen)</t>
  </si>
  <si>
    <t>S028 - Alpine white 6 mm 2490x760 (platen)</t>
  </si>
  <si>
    <t>S028 - Alpine white 6 mm 2490x910 (platen)</t>
  </si>
  <si>
    <t>S028 - Alpine white 6 mm 3680x1350 (platen)</t>
  </si>
  <si>
    <t>S028 - Alpine white 9 mm 3680x760 (platen)</t>
  </si>
  <si>
    <t>S028 - Alpine white 12 mm 3680x760 (platen)</t>
  </si>
  <si>
    <t>S028 - Alpine white 12 mm 3680x910 (platen)</t>
  </si>
  <si>
    <t>S028 - Alpine white 12 mm 3680x1350 (platen)</t>
  </si>
  <si>
    <t>S028 - Alpine white 12 mm 3680x1520 (platen)</t>
  </si>
  <si>
    <t>M605 - San Remo 12 mm 3680x760 (platen)</t>
  </si>
  <si>
    <t>S029 - Ivory white 12 mm 3680x760 (platen)</t>
  </si>
  <si>
    <t>S029 - Arctic white 12 mm 3680x760 (platen)</t>
  </si>
  <si>
    <t>Q001 - Terazzo classic 12 mm 3680x760 (platen)</t>
  </si>
  <si>
    <t>M628 - Aurora daymoon 12 mm 3680x760 (platen)</t>
  </si>
  <si>
    <t>S001 - Satin white 12 mm 3680x760 (platen)</t>
  </si>
  <si>
    <t>S002 - Almond 12 mm 3680x760 (platen)</t>
  </si>
  <si>
    <t>S005 - Grey 12 mm 3680x760 (platen)</t>
  </si>
  <si>
    <t>S009 - Cream 12 mm 3680x760 (platen)</t>
  </si>
  <si>
    <t>S034 - Diamond white 12 mm 3680x760 (platen)</t>
  </si>
  <si>
    <t>S102 - Babylon beige 12 mm 3680x760 (platen)</t>
  </si>
  <si>
    <t>S119 - Evergreen 12 mm 3680x760 (platen)</t>
  </si>
  <si>
    <t>S121 - Suede 12 mm 3680x760 (platen)</t>
  </si>
  <si>
    <t>S201 - Nougat cream 12 mm 3680x760 (platen)</t>
  </si>
  <si>
    <t>S203 - Sky blue 12 mm 3680x760 (platen)</t>
  </si>
  <si>
    <t>S212 - Light green 12 mm 3680x760 (platen)</t>
  </si>
  <si>
    <t>S233 - Pink leia 12 mm 3680x760 (platen)</t>
  </si>
  <si>
    <t>S022 - Black 12 mm 3680x760 (platen)</t>
  </si>
  <si>
    <t>S025 - Fiery red 12 mm 3680x760 (platen)</t>
  </si>
  <si>
    <t>S026 -Banana 12 mm 3680x760 (platen)</t>
  </si>
  <si>
    <t>S027 - Orange 12 mm 3680x760 (platen)</t>
  </si>
  <si>
    <t>S100 - Coffee brown 12 mm 3680x760 (platen)</t>
  </si>
  <si>
    <t>S103 - Concrete grey 12 mm 3680x760 (platen)</t>
  </si>
  <si>
    <t>S108 - Marta grey 12 mm 3680x760 (platen)</t>
  </si>
  <si>
    <t>S109 - Steel grey 12 mm 3680x760 (platen)</t>
  </si>
  <si>
    <t>S111 - Dark night 12 mm 3680x760 (platen)</t>
  </si>
  <si>
    <t>S117 - Midnight grey 12 mm 3680x760 (platen)</t>
  </si>
  <si>
    <t>S728 - Alpine white - fire resistant 12 mm 3680x760 (platen)</t>
  </si>
  <si>
    <t>S828 - Alpine white - UV+ 12 mm 3680x760 (platen)</t>
  </si>
  <si>
    <t>S928U - Alpine white - thermo 12 mm 3680x760 (platen)</t>
  </si>
  <si>
    <t>S923U - Intense ultra grey 12 mm 3680x760 (platen)</t>
  </si>
  <si>
    <t>S924U - Intense ultra dark grey 12 mm 3680x760 (platen)</t>
  </si>
  <si>
    <t>S925U - Intense ultra light grey 12 mm 3680x760 (platen)</t>
  </si>
  <si>
    <t>S302 - Opal 12 mm 3680x760 (platen)</t>
  </si>
  <si>
    <t>S303 - Sapphire 12 mm 3680x760 (platen)</t>
  </si>
  <si>
    <t>S304 - Ruby 12 mm 3680x760 (platen)</t>
  </si>
  <si>
    <t>S305 - Emerald 12 mm 3680x760 (platen)</t>
  </si>
  <si>
    <t>G002 - Grey sand 12 mm 3680x760 (platen)</t>
  </si>
  <si>
    <t>G009 - Black sand 12 mm 3680x760 (platen)</t>
  </si>
  <si>
    <t>G010 - Black pearl12 mm 3680x760 (platen)</t>
  </si>
  <si>
    <t>G048 - Beach sand 12 mm 3680x760 (platen)</t>
  </si>
  <si>
    <t>G050 - Tapioca pearl 12 mm 3680x760 (platen)</t>
  </si>
  <si>
    <t>G107 - Pebble pearl 12 mm 3680x760 (platen)</t>
  </si>
  <si>
    <t>G108 - Lunar sand 12 mm 3680x760 (platen)</t>
  </si>
  <si>
    <t>G004 - White quartz 12 mm 3680x760 (platen)</t>
  </si>
  <si>
    <t>G038 - Sea oat quartz 12 mm 3680x760 (platen)</t>
  </si>
  <si>
    <t>G063 - Allspice quartz 12 mm 3680x760 (platen)</t>
  </si>
  <si>
    <t>G101 - Crystal beige 12 mm 3680x760 (platen)</t>
  </si>
  <si>
    <t>G007 - Platinum granite 12 mm 3680x760 (platen)</t>
  </si>
  <si>
    <t>G031 - Black granite 12 mm 3680x760 (platen)</t>
  </si>
  <si>
    <t>G034 - Arctic granite 12 mm 3680x760 (platen)</t>
  </si>
  <si>
    <t>G174 - Mocha stone 12 mm 3680x760 (platen)</t>
  </si>
  <si>
    <t>G100 - Peanut butter 12 mm 3680x760 (platen)</t>
  </si>
  <si>
    <t>G180 - Cotton field 12 mm 3680x760 (platen)</t>
  </si>
  <si>
    <t>G181 - Windy hill 12 mm 3680x760 (platen)</t>
  </si>
  <si>
    <t>G183 - Highland 12 mm 3680x760 (platen)</t>
  </si>
  <si>
    <t>GM01 - Gravilla snow 12 mm 3680x760 (platen)</t>
  </si>
  <si>
    <t>GM02 - Gravilla cream 12 mm 3680x760 (platen)</t>
  </si>
  <si>
    <t>GM03 - Gravilla milston 12 mm 3680x760 (platen)</t>
  </si>
  <si>
    <t>GM05 - Gravilla charcoa 12 mm 3680x760 (platen)</t>
  </si>
  <si>
    <t>G554 - Urban concrete 12 mm 3680x760 (platen)</t>
  </si>
  <si>
    <t>G555 - Steel concrete 12 mm 3680x760 (platen)</t>
  </si>
  <si>
    <t>G556 - Snow concrete 12 mm 3680x760 (platen)</t>
  </si>
  <si>
    <t>G557 - Cloud concrete 12 mm 3680x760 (platen)</t>
  </si>
  <si>
    <t>M551 - Chic concrete 12 mm 3680x760 (platen)</t>
  </si>
  <si>
    <t>M552 - Shadow concrete 12 mm 3680x760 (platen)</t>
  </si>
  <si>
    <t>M553 - Ebony concrete 12 mm 3680x760 (platen)</t>
  </si>
  <si>
    <t>W001 - Ice queen 12 mm 3680x760 (platen)</t>
  </si>
  <si>
    <t>W003 - Shadow queen 12 mm 3680x760 (platen)</t>
  </si>
  <si>
    <t>W004 - Star queen 12 mm 3680x760 (platen)</t>
  </si>
  <si>
    <t>W010 - Red quinoia 12 mm 3680x760 (platen)</t>
  </si>
  <si>
    <t>Q002 - Terrazzo grigio 12 mm 3680x760 (platen)</t>
  </si>
  <si>
    <t>Z001 - Strato cloud 12 mm 3680x760 (platen)</t>
  </si>
  <si>
    <t>Z003 - Strato wind 12 mm 3680x760 (platen)</t>
  </si>
  <si>
    <t>Z005 - Strato slate 12 mm 3680x760 (platen)</t>
  </si>
  <si>
    <t>M201 - Terni 12 mm 3680x760 (platen)</t>
  </si>
  <si>
    <t>M427 - Bellizzi 12 mm 3680x760 (platen)</t>
  </si>
  <si>
    <t>M428 - Ispani 12 mm 3680x760 (platen)</t>
  </si>
  <si>
    <t>M501 - Edessa 12 mm 3680x760 (platen)</t>
  </si>
  <si>
    <t>M601 - Aurora torano 12 mm 3680x760 (platen)</t>
  </si>
  <si>
    <t>M603 - Pavia 12 mm 3680x760 (platen)</t>
  </si>
  <si>
    <t>M606 - Aurora bianco 12 mm 3680x760 (platen)</t>
  </si>
  <si>
    <t>M608 - Aurora grey 12 mm 3680x760 (platen)</t>
  </si>
  <si>
    <t>M610 - Aurora almond 12 mm 3680x760 (platen)</t>
  </si>
  <si>
    <t>M612 - Aurora bisque 12 mm 3680x760 (platen)</t>
  </si>
  <si>
    <t>M614 - Aurora umber 12 mm 3680x760 (platen)</t>
  </si>
  <si>
    <t>M615 - Aurora cotton 12 mm 3680x760 (platen)</t>
  </si>
  <si>
    <t>M617 - Aurora blanc 12 mm 3680x760 (platen)</t>
  </si>
  <si>
    <t>M623 - Aurora linen cream 12 mm 3680x760 (platen)</t>
  </si>
  <si>
    <t>M624 - Aurora cocoa 12 mm 3680x760 (platen)</t>
  </si>
  <si>
    <t>M625 - Aurora terra 12 mm 3680x760 (platen)</t>
  </si>
  <si>
    <t>M626 - Aurora modern grey 12 mm 3680x760 (platen)</t>
  </si>
  <si>
    <t>M627 - Aurora butter cream 12 mm 3680x760 (platen)</t>
  </si>
  <si>
    <t>M701 - Aurora ecru 12 mm 3680x760 (platen)</t>
  </si>
  <si>
    <t>M702 - Aurora frost 12 mm 3680x760 (platen)</t>
  </si>
  <si>
    <t>M703 - Aurora midnight 12 mm 3680x760 (platen)</t>
  </si>
  <si>
    <t>M704 - Aurora stone grey 12 mm 3680x760 (platen)</t>
  </si>
  <si>
    <t>M705 - Aurora canyon 12 mm 3680x760 (platen)</t>
  </si>
  <si>
    <t>M706 - Aurora angora 12 mm 3680x760 (platen)</t>
  </si>
  <si>
    <t>M707 - Aurora magnolia12 mm 3680x760 (platen)</t>
  </si>
  <si>
    <t>M708 - Aurora sable 12 mm 3680x760 (platen)</t>
  </si>
  <si>
    <t>M801 - Aurora calacat luna 12 mm 3680x760 (platen)</t>
  </si>
  <si>
    <t>M802 - Aurora calacatta 12 mm 3680x760 (platen)</t>
  </si>
  <si>
    <t>M803 - Calacat ramo 12 mm 3680x760 (platen)</t>
  </si>
  <si>
    <t>M904 - Napels 12 mm 3680x760 (platen)</t>
  </si>
  <si>
    <t>T010 - Nebula 12 mm 3680x760 (platen)</t>
  </si>
  <si>
    <t>T011 - Venus 12 mm 3680x760 (platen)</t>
  </si>
  <si>
    <t>T017 - Andromeda 12 mm 3680x760 (platen)</t>
  </si>
  <si>
    <t>VA01 - Santa Ana 12 mm 3680x760 (platen)</t>
  </si>
  <si>
    <t>VA22 - Frosty 12 mm 3680x760 (platen)</t>
  </si>
  <si>
    <t>VB02 - Cima 12 mm 3680x760 (platen)</t>
  </si>
  <si>
    <t>VE01 - Tambora 12 mm 3680x760 (platen)</t>
  </si>
  <si>
    <t>VG21 - Maui 12 mm 3680x760 (platen)</t>
  </si>
  <si>
    <t>VW01 - Gemini 12 mm 3680x760 (platen)</t>
  </si>
  <si>
    <t>Bowl rome - S028 - alpine white 180 mm 498x398</t>
  </si>
  <si>
    <t>Bowl rome - S028 - alpine white 180 mm 165x398</t>
  </si>
  <si>
    <t>Bowl lissabon - S028 - alpine white 127 mm 500x330</t>
  </si>
  <si>
    <t>Bowl lissabon - S028 - alpine white 127 mm 820x330</t>
  </si>
  <si>
    <t>Bowl wenen - S028 - alpine white 120 mm 500x320</t>
  </si>
  <si>
    <t>Bowl oslo - S028 - alpine white 125 mm 465x361</t>
  </si>
  <si>
    <t>Bowl parijs - S028 - alpine white 88 mm 410x302</t>
  </si>
  <si>
    <t>Bowl londen - S028 - alpine white 127 mm 478x336</t>
  </si>
  <si>
    <t>Bowl brussel - S028 - alpine white 114 mm 360x360</t>
  </si>
  <si>
    <t>Bowl CB402 - S028 - Alpine white 120 mm 400x280</t>
  </si>
  <si>
    <t>Bowl CB422 - S028 - Alpine white 156 mm 462x376</t>
  </si>
  <si>
    <t>Bowl CB465 - S028 - Alpine white 176 mm 505x411</t>
  </si>
  <si>
    <t>Bowl CB502 - S028 - Alpine white 120 mm 500x280</t>
  </si>
  <si>
    <t>Bowl CB503 - S028 - Alpine white 105,9 mm 500x320</t>
  </si>
  <si>
    <t>Bowl CB602 - S028 - Alpine white 120 mm 600x280</t>
  </si>
  <si>
    <t>Bowl rome - S028 - Alpine white 180 mm 165x305</t>
  </si>
  <si>
    <t>Sink CS404 - S028 - Alpine white 196 mm 400x400</t>
  </si>
  <si>
    <t>Cover - S028 - alpine white</t>
  </si>
  <si>
    <t>Schacht plug - pop-up</t>
  </si>
  <si>
    <t>Schacht plug - open</t>
  </si>
  <si>
    <t>Korfplug manueel</t>
  </si>
  <si>
    <t>Korfplug automatisch</t>
  </si>
  <si>
    <t>Overloopset badkamer</t>
  </si>
  <si>
    <t>Lijm h02 arctic white</t>
  </si>
  <si>
    <t>Lijm h134 deep black</t>
  </si>
  <si>
    <t>Lijm h20 cream</t>
  </si>
  <si>
    <t>Lijm h35 dark</t>
  </si>
  <si>
    <t>Lijm h32 ivory</t>
  </si>
  <si>
    <t>Lijm h01/h001 satin white</t>
  </si>
  <si>
    <t>Lijm h36 silver</t>
  </si>
  <si>
    <t>Lijm h16 alpine white 45ml</t>
  </si>
  <si>
    <t>Lijm h16 alpine white 250ml</t>
  </si>
  <si>
    <t>Lijmpistool 45ml</t>
  </si>
  <si>
    <t>Lijmpistool 250ml</t>
  </si>
  <si>
    <t>Lijm mengtip 45ml</t>
  </si>
  <si>
    <t>Lijm mengtip 250ml</t>
  </si>
  <si>
    <t>Himacs onderhoudskit</t>
  </si>
  <si>
    <t>Ipé 21 x 140 vlak strongbird clips</t>
  </si>
  <si>
    <t>Padouk 21 x 140 vlak strongbird clips</t>
  </si>
  <si>
    <t>Afrormosia 21 x 140 vlak strongbird clips</t>
  </si>
  <si>
    <t>Ipé 21 x 145 vlak geschroefd</t>
  </si>
  <si>
    <t>Massaranduba 21 x 145 vlak geschroefd</t>
  </si>
  <si>
    <t>Cumaru 21 x 145 vlak geschroefd</t>
  </si>
  <si>
    <t>Afrormosia 21 x 145 vlak geschroefd</t>
  </si>
  <si>
    <t>Itauba 21 x 145 vlak geschroefd</t>
  </si>
  <si>
    <t>Cumaru rood 21 x 145 vlak geschroefd</t>
  </si>
  <si>
    <t>Padouk 21 x 145 vlak geschroefd</t>
  </si>
  <si>
    <t>Bilinga 21 x 145 vlak geschroefd</t>
  </si>
  <si>
    <t>Ipé 27 x 190 vlak strongbird clips</t>
  </si>
  <si>
    <t>Padouk 27 x 190 vlak strongbird clips</t>
  </si>
  <si>
    <t>Bilinga 25 x 140 grof - vlak geschroefd</t>
  </si>
  <si>
    <t>Bilinga 25 x 145 grof - vlak geschroefd</t>
  </si>
  <si>
    <t>Bangkirai 25 x 145 grof - vlak geschroefd</t>
  </si>
  <si>
    <t>Thermo grenen 26 x 140 vlak</t>
  </si>
  <si>
    <t>Thermo grenen 26 x 140 grof</t>
  </si>
  <si>
    <t>RND groen geïmpregneerd 27 x 145 grof - vlak geschroefd</t>
  </si>
  <si>
    <t>RND groen geïmpregneerd 27 x 145 fijn - vlak geschroefd</t>
  </si>
  <si>
    <t>Bamboo X-treme 20x137 grof-vlak</t>
  </si>
  <si>
    <t>Bamboo X-treme 20x178 grof-vlak</t>
  </si>
  <si>
    <t>Bamboo N-durance 20x137 grof-vlak</t>
  </si>
  <si>
    <t>Clip + schroef</t>
  </si>
  <si>
    <t>doos (90)</t>
  </si>
  <si>
    <t>startclip + schroef</t>
  </si>
  <si>
    <t>doos (30)</t>
  </si>
  <si>
    <t>Onderligger 40x60</t>
  </si>
  <si>
    <t>Borstel silicium</t>
  </si>
  <si>
    <t>Sealer kopse kant 250ml</t>
  </si>
  <si>
    <t>Exterior wood oil 2,5L</t>
  </si>
  <si>
    <t>RND groen geïmpregneerd 46x60 (onderliger)</t>
  </si>
  <si>
    <t>Terrasplankdrager 3,5/5</t>
  </si>
  <si>
    <t>Terrasplankdrager 5/8/+CP</t>
  </si>
  <si>
    <t>Terrasplankdrager 8 / 11/+CP</t>
  </si>
  <si>
    <t>Terrasplankdrager 11/14/+CP</t>
  </si>
  <si>
    <t>Terrasplankdrager 4/17/+CP</t>
  </si>
  <si>
    <t>Verlengstuk 30 mm</t>
  </si>
  <si>
    <t>Strongbird schroef 4,5x50</t>
  </si>
  <si>
    <t>Terrasschroef 5x60</t>
  </si>
  <si>
    <t>Strongbird clips en schroeven</t>
  </si>
  <si>
    <t>Thermo clip + schroef</t>
  </si>
  <si>
    <t>4 EX LOG 90x90 L:1800mm</t>
  </si>
  <si>
    <t>4 EX LOG 90x90 L:2100mm</t>
  </si>
  <si>
    <t>4 EX LOG 90x90 L:2400mm</t>
  </si>
  <si>
    <t>4 EX LOG 90x90 L:2700mm</t>
  </si>
  <si>
    <t>4 EX LOG 90x90 L:3000mm</t>
  </si>
  <si>
    <t>1 EX LOG 90x90 L:2400mm</t>
  </si>
  <si>
    <t>1 EX LOG 90x90 L:2700mm</t>
  </si>
  <si>
    <t>1 EXLOG 90x90 L:3000mm</t>
  </si>
  <si>
    <t>4 EX LOG 70x70 L:2100mm</t>
  </si>
  <si>
    <t>4 EX LOG 70x70 L:2400mm</t>
  </si>
  <si>
    <t>1 EX LOG 120x120 L:3000mm</t>
  </si>
  <si>
    <t>1 EX LOG 120x120 L:3600mm</t>
  </si>
  <si>
    <t>1 EX LOG 120x120 L:4200mm</t>
  </si>
  <si>
    <t>1 EX LOG 135x135 L:3000mm</t>
  </si>
  <si>
    <t>RND groen geïmpregneerd dia 80 L:1500mm</t>
  </si>
  <si>
    <t>RND groen geïmpregneerd dia 80 L:2000mm</t>
  </si>
  <si>
    <t>RND groen geïmpregneerd dia 80 L:2500mm</t>
  </si>
  <si>
    <t>Houder met grondplaat 91x91 L:150mm</t>
  </si>
  <si>
    <t>Houder gepunt 91x91 L:900mm</t>
  </si>
  <si>
    <t>Gleufpaal 90x90 L:2650mm</t>
  </si>
  <si>
    <t>Hoekpaal 90x90 L:2650mm</t>
  </si>
  <si>
    <t>Eindpaal 90x90 L:2650mm</t>
  </si>
  <si>
    <t>RND groen geïmpregneerd 27x130 L1800 (blokbouwprofiel)</t>
  </si>
  <si>
    <t>RND groen geïmpregneerd 27x130 L2400 (blokbouwprofiel)</t>
  </si>
  <si>
    <t>RND groen geïmpregneerd 27x130 L2700 (blokbouwprofiel)</t>
  </si>
  <si>
    <t>RND groen geïmpregneerd 27x130 L3000 (blokbouwprofiel)</t>
  </si>
  <si>
    <t>RND groen geïmpregneerd 27x130 L3600 (blokbouwprofiel)</t>
  </si>
  <si>
    <t>RND groen geïmpregneerd 27x130 L4200 (blokbouwprofiel)</t>
  </si>
  <si>
    <t>Eindprofiel 27x130 L3600</t>
  </si>
  <si>
    <t>RND groen geïmpregneerd 24x145 L1800mm (planken)</t>
  </si>
  <si>
    <t>RND groen geïmpregneerd 24x145 L2400mm (planken)</t>
  </si>
  <si>
    <t>RND groen geïmpregneerd 24x145 L3600mm (planken)</t>
  </si>
  <si>
    <t>RND groen geïmpregneerd 24x145 L4200mm (planken)</t>
  </si>
  <si>
    <t>RND groen geïmpregneerd 45x145 L3600mm (planken)</t>
  </si>
  <si>
    <t>RND groen geïmpregneerd 45x145 L4200mm (planken)</t>
  </si>
  <si>
    <t>Crop</t>
  </si>
  <si>
    <t>Wagner Furno 750 Heteluchtpistool</t>
  </si>
  <si>
    <t>COLAD Maskeerfolie met tape 60cm x 25 meter op rol</t>
  </si>
  <si>
    <t>Culligan Belgium NV</t>
  </si>
  <si>
    <t>W19</t>
  </si>
  <si>
    <t>Water 19L</t>
  </si>
  <si>
    <t>Cuprochimique NV</t>
  </si>
  <si>
    <t>dubbel</t>
  </si>
  <si>
    <t>Toptrusch L = 5030 mm</t>
  </si>
  <si>
    <t>TOPT5030</t>
  </si>
  <si>
    <t>Gelakte aluminium profielen, 9104281 - ALU TOPPROFIEL, EN AW 6060, T66, L: 5030 mm E6EV105 E6EV105</t>
  </si>
  <si>
    <t>Toptrusch L = 5530 mm</t>
  </si>
  <si>
    <t>TOPT5530</t>
  </si>
  <si>
    <t>Gelakte aluminium profielen, 9104281 - ALU TOPPROFIEL, EN AW 6060, T66, L: 5530 mm E6EV105 E6EV105</t>
  </si>
  <si>
    <t>TOPT6530</t>
  </si>
  <si>
    <t>Gelakte aluminium profielen, 9104281 - ALU TOPPROFIEL, EN AW 6060, T66, L: 6530 mm E6EV105 E6EV105</t>
  </si>
  <si>
    <t>H6925</t>
  </si>
  <si>
    <t>Top- en bodemprofiel H6925</t>
  </si>
  <si>
    <t>H6925-9005</t>
  </si>
  <si>
    <t>Top- en bodemprofiel H6925-9005</t>
  </si>
  <si>
    <t>H6926</t>
  </si>
  <si>
    <t>Alu profiel, ONDERLAT, H6926, EN AW 6060, T66 MF, L: 7200 mm</t>
  </si>
  <si>
    <t>H6926-9016</t>
  </si>
  <si>
    <t>Gelakte aluminium profielen, ONDERLAT, H6926, EN AW 6060, T66, L: 7200 mm RAL9016 SATIJN AE700191</t>
  </si>
  <si>
    <t>H6926-9005</t>
  </si>
  <si>
    <t>Gelakte aluminium profielen, ONDERLAT, H6926, EN AW 6060, T66, L: 7200 mm RAL9005 SATIJN AE700149</t>
  </si>
  <si>
    <t>H6927</t>
  </si>
  <si>
    <t>Alu profiel, TOPPROFIEL, H6927, EN AW 6060, T66 MF, L: 7200 mm</t>
  </si>
  <si>
    <t>H6927-9016</t>
  </si>
  <si>
    <t>Gelakte aluminium profielen, TOPPROFIEL, H6927, EN AW 6060, T66, L: 7200 mm RAL9016 SATIJN AE7001</t>
  </si>
  <si>
    <t>H6927-9005</t>
  </si>
  <si>
    <t>Gelakte aluminium profielen, TOPPROFIEL, H6927, EN AW 6060, T66, L: 7200 mm RAL9005 COATEX AE0305</t>
  </si>
  <si>
    <t>buiten</t>
  </si>
  <si>
    <t>topprofiel 7016</t>
  </si>
  <si>
    <t>topprofiel 7039</t>
  </si>
  <si>
    <t>L15/20/2</t>
  </si>
  <si>
    <t>Aluminium L-profielen, EN AW 6060, T66, 2,00 X 15,00 X 20,00 mm, L: 6000 mm</t>
  </si>
  <si>
    <t>L20/20/2-9016</t>
  </si>
  <si>
    <t>Gelakte aluminium L-profielen, EN AW 6060, T66, 2,00 X 20,00 X 20,00 mm, L: 6000 mm RAL9016 MAT A</t>
  </si>
  <si>
    <t>L30/30/2-9016</t>
  </si>
  <si>
    <t>Gelakte aluminium L-profielen, EN AW 6060, T66, 2,00 X 30,00 X 30,00 mm, L: 6000 mm RAL9016 MAT A</t>
  </si>
  <si>
    <t>L40/40/2-9016</t>
  </si>
  <si>
    <t>Gelakte aluminium T-profielen, EN AW 6060, T66, 2,00 X 40,00 X 40,00 mm, L: 6000 mm RAL9016 MAT A</t>
  </si>
  <si>
    <t xml:space="preserve">L20/20/2 </t>
  </si>
  <si>
    <t>ongelakt 6000mm</t>
  </si>
  <si>
    <t>T40/40/2 -9016</t>
  </si>
  <si>
    <t>Alu T 40x40x2 6m F22 RAL 9016</t>
  </si>
  <si>
    <t>L25/20/2</t>
  </si>
  <si>
    <t>Aluminium L-profielen, EN AW 6060, T66, 2,00 X 25,00 X 20,00 mm, L: 6000 mm</t>
  </si>
  <si>
    <t>L25/25/2</t>
  </si>
  <si>
    <t>Aluminium L-profielen, EN AW 6060, T66, 2,00 X 25,00 X 25,00 mm, L: 6000 mm</t>
  </si>
  <si>
    <t>L30/10/2</t>
  </si>
  <si>
    <t>Aluminium L-profielen, EN AW 6060, T66, 2,00 X 30,00 X 10,00 mm, L: 6000 mm</t>
  </si>
  <si>
    <t>L30/15/2</t>
  </si>
  <si>
    <t>Aluminium L-profielen, EN AW 6060, T66, 2,00 X 30,00 X 15,00 mm, L: 6000 mm</t>
  </si>
  <si>
    <t>L30/20/2</t>
  </si>
  <si>
    <t>Aluminium L-profielen, EN AW 6060, T66, 2,00 X 30,00 X 20,00 mm, L: 6000 mm</t>
  </si>
  <si>
    <t>L30/25/2</t>
  </si>
  <si>
    <t>Aluminium L-profielen, EN AW 6060, T66, 2,00 X 30,00 X 25,00 mm, L: 6000 mm</t>
  </si>
  <si>
    <t>L30/30/2</t>
  </si>
  <si>
    <t>Aluminium L-profielen, EN AW 6060, T66, 2,00 X 30,00 X 30,00 mm, L: 6000 mm</t>
  </si>
  <si>
    <t>L40/20/2</t>
  </si>
  <si>
    <t>Aluminium L-profielen, EN AW 6060, T66, 2,00 X 20,00 X 40,00 mm, L: 6000 mm</t>
  </si>
  <si>
    <t>L40/25/2</t>
  </si>
  <si>
    <t>Aluminium L-profielen, EN AW 6060, T66, 2,00 X 25,00 X 40,00 mm, L: 6000 mm</t>
  </si>
  <si>
    <t>L40/30/2</t>
  </si>
  <si>
    <t>Aluminium L-profielen, EN AW 6060, T66, 2,00 X 30,00 X 40,00 mm, L: 6000 mm</t>
  </si>
  <si>
    <t>L40/40/2</t>
  </si>
  <si>
    <t>Aluminium L-profielen, EN AW 6060, T66, 2,00 X 40,00 X 40,00 mm, L: 6000 mm</t>
  </si>
  <si>
    <t>L50/10/2</t>
  </si>
  <si>
    <t>Aluminium L-profielen, EN AW 6060, T66, 2,00 X 50,00 X 10,00 mm, L: 6000 mm</t>
  </si>
  <si>
    <t>L50/15/2</t>
  </si>
  <si>
    <t>Aluminium L-profielen, EN AW 6060, T66, 2,00 X 50,00 X 15,00 mm, L: 6000 mm</t>
  </si>
  <si>
    <t>L50/25/2</t>
  </si>
  <si>
    <t>Aluminium L-profielen, EN AW 6060, T66, 2,00 X 50,00 X 25,00 mm, L: 6000 mm</t>
  </si>
  <si>
    <t>L50/20/2</t>
  </si>
  <si>
    <t>Aluminium L-profielen, EN AW 6060, T66, 2,00 X 50,00 X 20,00 mm, L: 6000 mm</t>
  </si>
  <si>
    <t>L50/30/2</t>
  </si>
  <si>
    <t>Aluminium L-profielen, EN AW 6060, T66, 2,00 X 50,00 X 30,00 mm, L: 6000 mm</t>
  </si>
  <si>
    <t>L50/50/3</t>
  </si>
  <si>
    <t>Aluminium L-profielen, EN AW 6060, T66, 3,00 X 50,00 X 50,00 mm, L: 6000 mm</t>
  </si>
  <si>
    <t>L50/50/5</t>
  </si>
  <si>
    <t>Aluminium L-profielen, EN AW 6060, T66, 5,00 X 50,00 X 10,00 mm, L: 6000 mm</t>
  </si>
  <si>
    <t>L60/20/2</t>
  </si>
  <si>
    <t>Aluminium L-profielen, EN AW 6060, T66, 2,00 X 20,00 X 60,00 mm, L: 6000 mm</t>
  </si>
  <si>
    <t>L60/30/2</t>
  </si>
  <si>
    <t>Aluminium L-profielen, EN AW 6060, T66, 2,00 X 30,00 X 60,00 mm, L: 6000 mm</t>
  </si>
  <si>
    <t>L60/40/2</t>
  </si>
  <si>
    <t>Aluminium L-profielen, EN AW 6060, T66, 2,00 X 40,00 X 60,00 mm, L: 6000 mm</t>
  </si>
  <si>
    <t>L60/60/2</t>
  </si>
  <si>
    <t>Aluminium L-profielen, EN AW 6060, T66, 2,00 X 60,00 X 60,00 mm, L: 6000 mm</t>
  </si>
  <si>
    <t>L80/25/2</t>
  </si>
  <si>
    <t>Aluminium L-profielen, EN AW 6060, T66, 2,00 X 25,00 X 80,00 mm, L: 6000 mm</t>
  </si>
  <si>
    <t>L80/30/2</t>
  </si>
  <si>
    <t>Aluminium L-profielen, EN AW 6060, T66, 2,00 X 30,00 X 80,00 mm, L: 6000 mm</t>
  </si>
  <si>
    <t>L80/80/3</t>
  </si>
  <si>
    <t>Aluminium L-profielen, EN AW 6060, T66, 3,00 X 80,00 X 80,00 mm, L: 6000 mm</t>
  </si>
  <si>
    <t>K25/10/2</t>
  </si>
  <si>
    <t>Aluminiumbuizen rechthoek, EN AW 6060 (AlMgSi0,5), T66,Geperst, 2,00 X 10,00 X 25,00, L: 6000 mm</t>
  </si>
  <si>
    <t>K25/15/2</t>
  </si>
  <si>
    <t>Aluminiumbuizen rechthoek, EN AW 6060 (AlMgSi0,5), T66,Geperst, 2,00 X 15,00 X 25,00, L: 6000 mm</t>
  </si>
  <si>
    <t>K30/30/2</t>
  </si>
  <si>
    <t>Aluminiumbuizen vierkant, EN AW 6060 (AlMgSi0,5), T66,Geperst, 2,00 X 30,00 X 30,00, L: 6000 mm</t>
  </si>
  <si>
    <t>K40/15/2</t>
  </si>
  <si>
    <t>Aluminiumbuizen rechthoek, EN AW 6060 (AlMgSi0,5), T66,Geperst, 2,00 X 15,00 X 40,00, L: 6000 mm</t>
  </si>
  <si>
    <t>K40/20/2</t>
  </si>
  <si>
    <t>Aluminiumbuizen rechthoek, EN AW 6060 (AlMgSi0,5), T66,Geperst, 2,00 X 40,00 X 20,00, L: 6000 mm</t>
  </si>
  <si>
    <t>K40/25/2</t>
  </si>
  <si>
    <t>Aluminiumbuizen rechthoek, EN AW 6060 (AlMgSi0,5), T66,Geperst, 2,00 X 40,00 X 25,00, L: 6000 mm</t>
  </si>
  <si>
    <t>K40/40/2</t>
  </si>
  <si>
    <t>Aluminiumbuizen vierkant, EN AW 6060 (AlMgSi0,5), T66,Geperst, 2,00 X 40,00 X 40,00, L: 6000 mm</t>
  </si>
  <si>
    <t>K40/40/3</t>
  </si>
  <si>
    <t>Aluminiumbuizen vierkant, EN AW 6060 (AlMgSi0,5), T66,Geperst, 3,00 X 40,00 X 40,00, L: 6000 mm</t>
  </si>
  <si>
    <t>K50/15/2</t>
  </si>
  <si>
    <t>Aluminiumbuizen rechthoek, EN AW 6060 (AlMgSi0,5), T66,Geperst, 2,00 X 15,00 X 50,00, L: 6000 mm</t>
  </si>
  <si>
    <t>K50/50/2</t>
  </si>
  <si>
    <t>Aluminiumbuizen vierkant, EN AW 6060 (AlMgSi0,5), T66,Geperst, 2,00 X 50,00 X 50,00, L: 6000 mm</t>
  </si>
  <si>
    <t>K60/20/2</t>
  </si>
  <si>
    <t>Aluminiumbuizen rechthoek, EN AW 6060 (AlMgSi0,5), T66,Geperst, 2,00 X 60,00 X 20,00, L: 6000 mm</t>
  </si>
  <si>
    <t>K60/25/3</t>
  </si>
  <si>
    <t>Aluminiumbuizen rechthoek, EN AW 6060 (AlMgSi0,5), T66,Geperst, 2,00 X 60,00 X 25,00, L: 6000 mm</t>
  </si>
  <si>
    <t>K60/40/2</t>
  </si>
  <si>
    <t>Aluminiumbuizen rechthoek, EN AW 6060 (AlMgSi0,5), T66,Geperst, 2,00 X 60,00 X 40,00, L: 6000 mm</t>
  </si>
  <si>
    <t>K60/40/2,5</t>
  </si>
  <si>
    <t>Aluminiumbuizen rechthoek, EN AW 6060 (AlMgSi0,5), T66,Geperst, 2,50 X 60,00 X 40,00, L: 6000 mm</t>
  </si>
  <si>
    <t>K60/40/3</t>
  </si>
  <si>
    <t>Aluminiumbuizen rechthoek, EN AW 6060 (AlMgSi0,5), T66,Geperst, 3,00 X 60,00 X 40,00, L: 6000 mm</t>
  </si>
  <si>
    <t>K60/45/3</t>
  </si>
  <si>
    <t>Aluminiumbuizen rechthoek, EN AW 6060 (AlMgSi0,5), T66,Geperst, 3,00 X 60,00 X 45,00, L: 6000 mm</t>
  </si>
  <si>
    <t>K60/60/2</t>
  </si>
  <si>
    <t>Aluminiumbuizen vierkant, EN AW 6060 (AlMgSi0,5), T66,Geperst, 2,00 X 60,00 X 60,00, L: 6000 mm</t>
  </si>
  <si>
    <t>K80/20/2</t>
  </si>
  <si>
    <t>Aluminiumbuizen rechthoek, EN AW 6060 (AlMgSi0,5), T66,Geperst, 2,00 X 80,00 X 20,00, L: 6000 mm</t>
  </si>
  <si>
    <t>K80/30/2</t>
  </si>
  <si>
    <t>Aluminiumbuizen rechthoek, EN AW 6060 (AlMgSi0,5), T66,Geperst, 2,00 X 80,00 X 40,00, L: 6000 mm</t>
  </si>
  <si>
    <t>K80/40/3</t>
  </si>
  <si>
    <t>Aluminiumbuizen rechthoek, EN AW 6060 (AlMgSi0,5), T66,Geperst, 3,00 X 80,00 X 40,00, L: 6000 mm</t>
  </si>
  <si>
    <t>K80/80/2</t>
  </si>
  <si>
    <t>Aluminiumbuizen vierkant, EN AW 6060 (AlMgSi0,5), T66,Geperst, 2,00 X 80,00 X 80,00, L: 6000 mm</t>
  </si>
  <si>
    <t>K80/80/4</t>
  </si>
  <si>
    <t>Aluminiumbuizen vierkant, EN AW 6060 (AlMgSi0,5), T66,Geperst, 4,00 X 80,00 X 80,00, L: 6000 mm</t>
  </si>
  <si>
    <t>K100/20/2</t>
  </si>
  <si>
    <t>Aluminiumbuizen rechthoek, EN AW 6060 (AlMgSi0,5), T66,Geperst, 2,00 X 100,00 X 20,00, L: 6000 mm</t>
  </si>
  <si>
    <t>K100/25/2</t>
  </si>
  <si>
    <t>Aluminiumbuizen rechthoek, EN AW 6060 (AlMgSi0,5), T66,Geperst, 2,00 X 100,00 X 25,00, L: 6000 mm</t>
  </si>
  <si>
    <t>K100/40/2</t>
  </si>
  <si>
    <t>Aluminiumbuizen rechthoek, EN AW 6060 (AlMgSi0,5), T66,Geperst, 2,00 X 100,00 X 40,00, L: 6000 mm</t>
  </si>
  <si>
    <t>K100/40/4</t>
  </si>
  <si>
    <t>Aluminiumbuizen rechthoek, EN AW 6060 (AlMgSi0,5), T66,Geperst, 4,00 X 100,00 X 40,00, L: 6000 mm</t>
  </si>
  <si>
    <t>K100/60/2</t>
  </si>
  <si>
    <t>Aluminiumbuizen rechthoek, EN AW 6060 (AlMgSi0,5), T66,Geperst, 2,00 X 100,00 X 60,00, L: 6000 mm</t>
  </si>
  <si>
    <t>K100/60/4</t>
  </si>
  <si>
    <t>Aluminiumbuizen rechthoek, EN AW 6060 (AlMgSi0,5), T66,Geperst, 4,00 X 100,00 X 60,00, L: 6000 mm</t>
  </si>
  <si>
    <t>K100/100/2</t>
  </si>
  <si>
    <t>Aluminiumbuizen vierkant, EN AW 6060 (AlMgSi0,5), T66,Geperst, 2,00 X 100,00 X 100,00, L: 6000 mm</t>
  </si>
  <si>
    <t>K120/40/4</t>
  </si>
  <si>
    <t>Aluminiumbuizen rechthoek, EN AW 6060 (AlMgSi0,5), T66,Geperst, 4,00 X 120,00 X 40,00, L: 6000 mm</t>
  </si>
  <si>
    <t>K120/50/4</t>
  </si>
  <si>
    <t>Aluminiumbuizen rechthoek, EN AW 6060 (AlMgSi0,5), T66,Geperst, 4,00 X 120,00 X 50,00, L: 6000 mm</t>
  </si>
  <si>
    <t>K150/30/2,5</t>
  </si>
  <si>
    <t>Aluminiumbuizen rechthoek, EN AW 6060 (AlMgSi0,5), T66,Geperst, 2,50 X 150,00 X 30,00, L: 6000 mm</t>
  </si>
  <si>
    <t>K150/40/4</t>
  </si>
  <si>
    <t>Aluminiumbuizen rechthoek, EN AW 6060 (AlMgSi0,5), T66,Geperst, 4,00 X 150,00 X 40,00, L: 6000 mm</t>
  </si>
  <si>
    <t>K200/50/4</t>
  </si>
  <si>
    <t>Aluminiumbuizen rechthoek, EN AW 6060 (AlMgSi0,5), T66,Geperst, 4,00 X 200,00 X 50,00, L: 6000 mm</t>
  </si>
  <si>
    <t>T20/20/2</t>
  </si>
  <si>
    <t>Alu T 20x20x2 6m F22 BRUT</t>
  </si>
  <si>
    <t>T40/40/2</t>
  </si>
  <si>
    <t>Alu T 40x40x2 6m F22 BRUT</t>
  </si>
  <si>
    <t>T50/50/3</t>
  </si>
  <si>
    <t>Alu T 50x50x3 6m F22 BRUT</t>
  </si>
  <si>
    <t>T/80/50/2</t>
  </si>
  <si>
    <t>Alu T 80x50x2 6m F22 BRUT</t>
  </si>
  <si>
    <t>DFM Europe</t>
  </si>
  <si>
    <t>Electromagnetic door holder Kendrion 800N (GTR063000A07) + floor mounting element</t>
  </si>
  <si>
    <t>Roll installed on the floor inox</t>
  </si>
  <si>
    <t>roll installed on the floor</t>
  </si>
  <si>
    <t>Eco shulte low handle (black)</t>
  </si>
  <si>
    <t>Drive in guide with fishing anchors</t>
  </si>
  <si>
    <t>Doco</t>
  </si>
  <si>
    <t>25240.1</t>
  </si>
  <si>
    <t>verbindingsmof 150x129 mm</t>
  </si>
  <si>
    <t>Kabeltrommels M102-2400 SL</t>
  </si>
  <si>
    <t>Kabeltrommels M102-3125 SL</t>
  </si>
  <si>
    <t>Kabeltrommels M102-2400 SL met derde setschroef</t>
  </si>
  <si>
    <t>Kabeltrommels M134-5500 SL</t>
  </si>
  <si>
    <t>Kabeltrommels M203-9750 SL</t>
  </si>
  <si>
    <t>Kabeltrommels M162-4165 HL</t>
  </si>
  <si>
    <t>Kabeltrommels M102-1375 HL</t>
  </si>
  <si>
    <t>Kabeltrommels M134-1375 HL</t>
  </si>
  <si>
    <t>Kabeltrommels M146-3050 HL</t>
  </si>
  <si>
    <t>Kabeltrommels M203-3050 HL</t>
  </si>
  <si>
    <t>Kabeltrommels M216-3350 VL</t>
  </si>
  <si>
    <t>Kabeltrommels M280-5500 VL</t>
  </si>
  <si>
    <t>Kabeltrommels M102-3760 SL</t>
  </si>
  <si>
    <t>Kabeltrommels M76-3048 SL</t>
  </si>
  <si>
    <t>Kabeltrommels M76-3660 SL</t>
  </si>
  <si>
    <t>Kabeltrommels M203-9750 31.75 mm SL</t>
  </si>
  <si>
    <t>Kabeltrommels M162-4165 31.75 mm HL</t>
  </si>
  <si>
    <t>Kabeltrommels M203-3050 31.75 mm HL</t>
  </si>
  <si>
    <t>Kabeltrommels M102-2500 1" SL</t>
  </si>
  <si>
    <t>Kabeltrommels 2SW NL12-3680</t>
  </si>
  <si>
    <t>Kabeltrommels 2SW NL18-5570</t>
  </si>
  <si>
    <t>Kabeltrommels 2SW NL32-10175</t>
  </si>
  <si>
    <t>Kabeltrommels 2SW NL32-125-10175</t>
  </si>
  <si>
    <t>Kabeltrommels 2SW HL120-5020/HL3010</t>
  </si>
  <si>
    <t>Kabeltrommels 2SW HL164-6000/HL4100</t>
  </si>
  <si>
    <t>Kabeltrommels 2SW HL164-125-6000/HL4100</t>
  </si>
  <si>
    <t>Kabeltrommels 2SW HL54-4800/HL1370</t>
  </si>
  <si>
    <t>Kabeltrommels 2SW VL11-3300</t>
  </si>
  <si>
    <t>Kabeltrommels 2SW VL18-6000 1"</t>
  </si>
  <si>
    <t>Kabeltrommels 2SW VL18-125-6000 1-1/4"</t>
  </si>
  <si>
    <t>Voetplaat 100 links/rechts RVS</t>
  </si>
  <si>
    <t>Poelie afdekkap</t>
  </si>
  <si>
    <t>Kabelkompensator uit staal</t>
  </si>
  <si>
    <t>Voetplaat 100 links/rechts galv</t>
  </si>
  <si>
    <t>Veer verbindingsstrip pre tension</t>
  </si>
  <si>
    <t>HOME-X Voorspanningskabel aansluitadapter</t>
  </si>
  <si>
    <t>Klemplaatje cover HOME X</t>
  </si>
  <si>
    <t>Kabelset EXS70_2000</t>
  </si>
  <si>
    <t>Kabelset EXS70_2125</t>
  </si>
  <si>
    <t>Kabelset EXS70_2250</t>
  </si>
  <si>
    <t>Kabelset EXS70_2375</t>
  </si>
  <si>
    <t>Kabelset EXS70_2500</t>
  </si>
  <si>
    <t>115210-1760</t>
  </si>
  <si>
    <t>Kabel EXS-40_1760 in set 2 stuks</t>
  </si>
  <si>
    <t>115210-1875</t>
  </si>
  <si>
    <t>Kabel EXS-40_1875 in set 2 stuks</t>
  </si>
  <si>
    <t>115210-2000</t>
  </si>
  <si>
    <t>Kabel EXS-40_2000 in set 2 stuks</t>
  </si>
  <si>
    <t>115210-2125</t>
  </si>
  <si>
    <t>Kabel EXS-40_2125 in set 2 stuks</t>
  </si>
  <si>
    <t>115210-2250</t>
  </si>
  <si>
    <t>Kabel EXS-40_2250 in set 2 stuks</t>
  </si>
  <si>
    <t>115210-2375</t>
  </si>
  <si>
    <t>Kabel EXS-40_2375 in set 2 stuks</t>
  </si>
  <si>
    <t>115210-2500</t>
  </si>
  <si>
    <t>Kabel EXS-40_2500 in set 2 stuks</t>
  </si>
  <si>
    <t>115211-1875</t>
  </si>
  <si>
    <t>HOME Kabelset voor deurhoogte 1875 mm</t>
  </si>
  <si>
    <t>115211-2000</t>
  </si>
  <si>
    <t>HOME Kabelset voor deurhoogte 2000 mm</t>
  </si>
  <si>
    <t>115211-2125</t>
  </si>
  <si>
    <t>HOME Kabelset voor deurhoogte 2125 mm</t>
  </si>
  <si>
    <t>115213-2250</t>
  </si>
  <si>
    <t>HOME-kabelset 2 mm incl. compensator voorspanning DH = 2250</t>
  </si>
  <si>
    <t>115213-2375</t>
  </si>
  <si>
    <t>HOME-kabelset 2 mm incl. compensator voorspanning DH = 2375</t>
  </si>
  <si>
    <t>115213-2500</t>
  </si>
  <si>
    <t>HOME-kabelset 2 mm incl. compensator voorspanning DH = 2500</t>
  </si>
  <si>
    <t>115213-2625</t>
  </si>
  <si>
    <t>HOME-kabelset 2 mm incl. compensator voorspanning DH = 2625</t>
  </si>
  <si>
    <t>115213-2745</t>
  </si>
  <si>
    <t>HOME-kabelset 2 mm incl. compensator voorspanning DH = 2745</t>
  </si>
  <si>
    <t>115213-2750</t>
  </si>
  <si>
    <t>HOME-kabelset 2 mm incl. compensator voorspanning DH = 2750</t>
  </si>
  <si>
    <t>115213-2870</t>
  </si>
  <si>
    <t>HOME-kabelset 2 mm incl. compensator voorspanning DH = 2870</t>
  </si>
  <si>
    <t>115213-2875</t>
  </si>
  <si>
    <t>HOME-kabelset 2 mm incl. compensator voorspanning DH = 2875</t>
  </si>
  <si>
    <t>115213-3000</t>
  </si>
  <si>
    <t>HOME-kabelset 2 mm incl. compensator voorspanning DH = 3000</t>
  </si>
  <si>
    <t>Trekveer met oog 576 mm -EXS70-</t>
  </si>
  <si>
    <t>Trekveer met oog 610 mm -EXS70-</t>
  </si>
  <si>
    <t>Trekveer met oog 640 mm -EXS70-</t>
  </si>
  <si>
    <t>Trekveer met oog 599 mm -EXS70-</t>
  </si>
  <si>
    <t>Trekveer met oog 635 mm -EXS70-</t>
  </si>
  <si>
    <t>Trekveer met oog 671 mm -EXS70-</t>
  </si>
  <si>
    <t>Trekveer met oog 701 mm -EXS70-</t>
  </si>
  <si>
    <t>Trekveer met oog 731 mm -EXS70-</t>
  </si>
  <si>
    <t>Trekveer met oog 761 mm -EXS70-</t>
  </si>
  <si>
    <t>Trekveer met oog 691 mm -EXS70-</t>
  </si>
  <si>
    <t>Trekveer met oog 707 mm -EXS70-</t>
  </si>
  <si>
    <t>Trekveer met oog 758 mm -EXS70-</t>
  </si>
  <si>
    <t>Trekveer met oog 771 mm -EXS70-</t>
  </si>
  <si>
    <t>Trekveer met oog 784 mm -EXS70-</t>
  </si>
  <si>
    <t>Trekveer met oog 825 mm -EXS70-</t>
  </si>
  <si>
    <t>Trekveer met oog 889 mm -EXS70-</t>
  </si>
  <si>
    <t>Trekveer met oog 949 mm -EXS70-</t>
  </si>
  <si>
    <t>Samengestelde trekveerset 595 mm EXS40 &amp; EXS40R</t>
  </si>
  <si>
    <t>Samengestelde trekveerset 635 mm EXS40 &amp; EXS40R</t>
  </si>
  <si>
    <t>Samengestelde trekveerset 565 mm EXS40 &amp; EXS40R</t>
  </si>
  <si>
    <t>Samengestelde trekveerset 510 mm EXS40 &amp; EXS40R</t>
  </si>
  <si>
    <t>Samengestelde trekveerset 765 mm EXS40 &amp; EXS40R</t>
  </si>
  <si>
    <t>Samengestelde trekveerset 560 mm EXS40 &amp; EXS40R</t>
  </si>
  <si>
    <t>Samengestelde trekveerset 790 mm EXS40 &amp; EXS40R</t>
  </si>
  <si>
    <t>Samengestelde trekveerset 660 mm EXS40 &amp; EXS40R</t>
  </si>
  <si>
    <t>Samengestelde trekveerset 735 mm EXS40 &amp; EXS40R</t>
  </si>
  <si>
    <t>Samengestelde trekveerset 655 mm EXS40 &amp; EXS40R</t>
  </si>
  <si>
    <t>Samengestelde trekveerset 915 mm EXS40 &amp; EXS40R</t>
  </si>
  <si>
    <t>Samengestelde trekveerset 625 mm EXS40 &amp; EXS40R</t>
  </si>
  <si>
    <t>Samengestelde trekveerset 870 mm EXS40 &amp; EXS40R</t>
  </si>
  <si>
    <t>Samengestelde trekveerset 715 mm EXS40 &amp; EXS40R</t>
  </si>
  <si>
    <t>Samengestelde trekveerset 825 mm EXS40 &amp; EXS40R</t>
  </si>
  <si>
    <t>Samengestelde trekveerset 670 mm EXS40 &amp; EXS40R</t>
  </si>
  <si>
    <t>Samengestelde trekveerset 770 mm EXS40 &amp; EXS40R</t>
  </si>
  <si>
    <t>Samengestelde trekveerset 630 mm EXS40 &amp; EXS40R</t>
  </si>
  <si>
    <t>Samengestelde trekveerset 600 mm EXS40 &amp; EXS40R</t>
  </si>
  <si>
    <t>Samengestelde trekveerset 645 mm EXS40 &amp; EXS40R</t>
  </si>
  <si>
    <t>115400-2030</t>
  </si>
  <si>
    <t>Afdekprofiel HOME L=2030 mm</t>
  </si>
  <si>
    <t>115400-2405</t>
  </si>
  <si>
    <t>Afdekprofiel HOME L=2405 mm</t>
  </si>
  <si>
    <t>115400-2905</t>
  </si>
  <si>
    <t>Afdekprofiel HOME L=2905 mm</t>
  </si>
  <si>
    <t>HOME-X Verenset L=650, 1875_2000 (2,1 / 3,0 / -)</t>
  </si>
  <si>
    <t>HOME-X Verenset L=650, 1875_2000 (2,3 / 3,0 / -)</t>
  </si>
  <si>
    <t>HOME-X Verenset L=650, 1875_2000 (2,1 / 3,2 / -)</t>
  </si>
  <si>
    <t>HOME-X Verenset L=650, 1875_2000 (2,3 / 3,2 / -)</t>
  </si>
  <si>
    <t>HOME-X Verenset L=650, 1875_2000 (2,1 / 3,4 / -)</t>
  </si>
  <si>
    <t>HOME-X Verenset L=650, 1875_2000 (2,3 / 3,4 / -)</t>
  </si>
  <si>
    <t>HOME-X Verenset L=650, 1875_2000 (- / 3,4 / 3,8)</t>
  </si>
  <si>
    <t>HOME-X Verenset L=650, 1875_2000 (- / 3,4 / 4,0)</t>
  </si>
  <si>
    <t>HOME-X Verenset L=650, 1875_2000 (- / 3,4 / 4,3)</t>
  </si>
  <si>
    <t>HOME-X Verenset L=650, 1875_2000 (2,1 / 3,4 / 4,3)</t>
  </si>
  <si>
    <t>HOME-X Verenset L=650, 1875_2000 (2,1 / 3,4 / 4,5)</t>
  </si>
  <si>
    <t>HOME-X Verenset L=735, 2125_2250 (2,3 / 2,8 / -)</t>
  </si>
  <si>
    <t>HOME-X Verenset L=735, 2125_2250 (1,9 / 3,2 / -)</t>
  </si>
  <si>
    <t>HOME-X Verenset L=735, 2125_2250 (2,1 / 3,2 / -)</t>
  </si>
  <si>
    <t>HOME-X Verenset L=735, 2125_2250 (1,9 / 3,4 / -)</t>
  </si>
  <si>
    <t>HOME-X Verenset L=735, 2125_2250 (2,1 / 3,4 / -)</t>
  </si>
  <si>
    <t>HOME-X Verenset L=735, 2125_2250 (2,3 / 3,4 / -)</t>
  </si>
  <si>
    <t>HOME-X Verenset L=735, 2125_2250 (- / 3,4 / 3,8)</t>
  </si>
  <si>
    <t>HOME-X Verenset L=735, 2125_2250 (- / 3,2 / 4,3)</t>
  </si>
  <si>
    <t>HOME-X Verenset L=735, 2125_2250 (- / 3,4 / 4,3)</t>
  </si>
  <si>
    <t>HOME-X Verenset L=735, 2125_2250 (2,1 / 3,4 / 4,3)</t>
  </si>
  <si>
    <t>HOME-X Verenset L=735, 2125_2250 (2,0 / 3,4 / 4,5)</t>
  </si>
  <si>
    <t>HOME-X Verenset L=820, 2375_2500 (1,9 / 3,2 / -)</t>
  </si>
  <si>
    <t>HOME-X Verenset L=820, 2375_2500 (2,1 / 3,2 / -)</t>
  </si>
  <si>
    <t>HOME-X Verenset L=820, 2375_2500 (1,9 / 3,4 / -)</t>
  </si>
  <si>
    <t>HOME-X Verenset L=820, 2375_2500 (2,1 / 3,4 / -)</t>
  </si>
  <si>
    <t>HOME-X Verenset L=820, 2375_2500 (- / 3,2 / 3,8)</t>
  </si>
  <si>
    <t>HOME-X Verenset L=820, 2375_2500 (- / 3,2 / 4,0)</t>
  </si>
  <si>
    <t>HOME-X Verenset L=820, 2375_2500 (- / 3,4 / 3,8)</t>
  </si>
  <si>
    <t>HOME-X Verenset L=820, 2375_2500 (- / 3,2 / 4,3)</t>
  </si>
  <si>
    <t>HOME-X Verenset L=820, 2375_2500 (- / 3,4 / 4,3)</t>
  </si>
  <si>
    <t>HOME-X Verenset L=820, 2375_2500 (2,1 / 3,4 / 4,3)</t>
  </si>
  <si>
    <t>HOME-X Verenset L=820, 2375_2500 (2,0 / 3,4 / 4,5)</t>
  </si>
  <si>
    <t>HOME-X Verenset L=905, 2625_2750 (2,0 / 3,2 / -)</t>
  </si>
  <si>
    <t>HOME-X Verenset L=905, 2625_2750 (2,1 / 3,2 / -)</t>
  </si>
  <si>
    <t>HOME-X Verenset L=905, 2625_2750 (2,3 / 3,2 / -)</t>
  </si>
  <si>
    <t>HOME-X Verenset L=905, 2625_2750 (2,1 / 3,4 / -)</t>
  </si>
  <si>
    <t>HOME-X Verenset L=905, 2625_2750 (2,3 / 3,4 / -)</t>
  </si>
  <si>
    <t>HOME-X Verenset L=905, 2625_2750 (- / 3,4 / 3,8)</t>
  </si>
  <si>
    <t>HOME-X Verenset L=905, 2625_2750 (- / 3,2 / 4,3)</t>
  </si>
  <si>
    <t>HOME-X Verenset L=905, 2625_2750 (- / 3,4 / 4,3)</t>
  </si>
  <si>
    <t>HOME-X Verenset L=905, 2625_2750 (2,1 / 3,4 / 4,3)</t>
  </si>
  <si>
    <t>HOME-X Verenset L=905, 2625_2750 (2,0 / 3,4 / 4,5)</t>
  </si>
  <si>
    <t>HOME-X Verenset L=990, 2875_3000 (2,0 / 3,2 / -)</t>
  </si>
  <si>
    <t>HOME-X Verenset L=990, 2875_3000 (2,1 / 3,2 / -)</t>
  </si>
  <si>
    <t>HOME-X Verenset L=990, 2875_3000 (2,3 / 3,2 / -)</t>
  </si>
  <si>
    <t>HOME-X Verenset L=990, 2875_3000 (2,1 / 3,4 / -)</t>
  </si>
  <si>
    <t>HOME-X Verenset L=990, 2875_3000 (2,3 / 3,4 / -)</t>
  </si>
  <si>
    <t>HOME-X Verenset L=990, 2875_3000 (- / 3,4 / 3,8)</t>
  </si>
  <si>
    <t>HOME-X Verenset L=990, 2875_3000 (- / 3,2 / 4,3)</t>
  </si>
  <si>
    <t>HOME-X Verenset L=990, 2875_3000 (- / 3,4 / 4,3)</t>
  </si>
  <si>
    <t>HOME-X Verenset L=990, 2875_3000 (2,1 / 3,4 / 4,3)</t>
  </si>
  <si>
    <t>HOME-X Verenset L=990, 2875_3000 (2,0 / 3,4 / 4,5)</t>
  </si>
  <si>
    <t>Hardwaredoos HOME -X-</t>
  </si>
  <si>
    <t>Hardwaredoos HOME -F-</t>
  </si>
  <si>
    <t>Hardwaredoos HOME -R-</t>
  </si>
  <si>
    <t>Veerpluggen M-67</t>
  </si>
  <si>
    <t>Veerpluggen M-50</t>
  </si>
  <si>
    <t>Veerpluggen M-152</t>
  </si>
  <si>
    <t>Paar duplex veerpluggen M-152/95 mm</t>
  </si>
  <si>
    <t>Vaste veerplug M-95 mm</t>
  </si>
  <si>
    <t>Veerpluggen M-95</t>
  </si>
  <si>
    <t>Set veerpluggen M-133 mm (SL-SR-WL-WR)</t>
  </si>
  <si>
    <t>Set veerpluggen M-152 mm ECO (SL-SR-WL-WR)</t>
  </si>
  <si>
    <t>Spanstang D=16/13 mm, L = 700mm</t>
  </si>
  <si>
    <t>Veerpluggen M-50 mm met sleufgat voor gebogen veeruiteinde</t>
  </si>
  <si>
    <t>Veerpluggen M-152-1.25"</t>
  </si>
  <si>
    <t>Set veerkoppen M-67 mm met sleufgat voor gebogen veeruiteind</t>
  </si>
  <si>
    <t>Set veerpluggen M95 WL-WR/SL-SR</t>
  </si>
  <si>
    <t>Motorsteun met as ondersteuning voor Sommer , GFA, Marantec,</t>
  </si>
  <si>
    <t>lagerplaat verbindingsstuk E-aandrijving</t>
  </si>
  <si>
    <t>13004-L.1</t>
  </si>
  <si>
    <t>Lagerkonsole , offset 152 mm, links</t>
  </si>
  <si>
    <t>13004-R.1</t>
  </si>
  <si>
    <t>Lagerkonsole , offset 152 mm, rechts</t>
  </si>
  <si>
    <t>Montage console "voor"</t>
  </si>
  <si>
    <t>Eind lager plaat reverse 86x3 mm</t>
  </si>
  <si>
    <t>Eind lager plaat reverse 111x3.5 mm</t>
  </si>
  <si>
    <t>Eind lager plaat reverse 127x4 mm</t>
  </si>
  <si>
    <t>Eind lager plaat reverse 152x4 mm</t>
  </si>
  <si>
    <t>LHI hinge springbumper plate</t>
  </si>
  <si>
    <t>HOME Zijmontageplaat links</t>
  </si>
  <si>
    <t>HOME Zijmontageplaat rechts</t>
  </si>
  <si>
    <t>HOME zijplaat klein</t>
  </si>
  <si>
    <t>13013.1</t>
  </si>
  <si>
    <t>Middenkonsole 86x4 mm</t>
  </si>
  <si>
    <t>Middenkonsole 111x4 mm</t>
  </si>
  <si>
    <t>13015.1</t>
  </si>
  <si>
    <t>Interm.bearing plate 127x4 mm</t>
  </si>
  <si>
    <t>13016.1</t>
  </si>
  <si>
    <t>Middenkonsole 152x4 mm</t>
  </si>
  <si>
    <t>Motorsteun met as ondersteuning voor SOMMER aandrijvingen. V</t>
  </si>
  <si>
    <t>instelbaar ondersteuningslager</t>
  </si>
  <si>
    <t>Verstelbare lagerplaat 54-67mm</t>
  </si>
  <si>
    <t>13020-B.1</t>
  </si>
  <si>
    <t>Lagerkonsole 67 mm</t>
  </si>
  <si>
    <t>13020.1</t>
  </si>
  <si>
    <t>Lagerkonsole 71 mm</t>
  </si>
  <si>
    <t>13023-L.1</t>
  </si>
  <si>
    <t>Universele ondersteuningskonsole, links</t>
  </si>
  <si>
    <t>13023-R.1</t>
  </si>
  <si>
    <t>Universele ondersteuningskonsole, rechts</t>
  </si>
  <si>
    <t>Lagerkonsole voor HOME-R</t>
  </si>
  <si>
    <t>13025-L.1</t>
  </si>
  <si>
    <t>Universele middenkonsole 86-152, links</t>
  </si>
  <si>
    <t>13025-R.1</t>
  </si>
  <si>
    <t>Universele middenkonsole 86-152, rechts</t>
  </si>
  <si>
    <t>13026-27.1</t>
  </si>
  <si>
    <t>Kogellager 25,4 mm met houder</t>
  </si>
  <si>
    <t>13026-H.1</t>
  </si>
  <si>
    <t>Kogellager zwaar 25,4 mm</t>
  </si>
  <si>
    <t>13026-N.1</t>
  </si>
  <si>
    <t>Nylon glijlager 25,4 mm</t>
  </si>
  <si>
    <t>13026.1</t>
  </si>
  <si>
    <t>Kogellager 25,4 mm</t>
  </si>
  <si>
    <t>13027.1</t>
  </si>
  <si>
    <t>Lagerhouder</t>
  </si>
  <si>
    <t>13028-H.1</t>
  </si>
  <si>
    <t>Kogellager 31,75 mm zwaar</t>
  </si>
  <si>
    <t>13036.1</t>
  </si>
  <si>
    <t>Zwaar flenslager 25,4 mm</t>
  </si>
  <si>
    <t>13040-L.1</t>
  </si>
  <si>
    <t>Ds beugel rail binnenzijde, links</t>
  </si>
  <si>
    <t>13040-R.1</t>
  </si>
  <si>
    <t>Ds beugel rail binnenzijde, rechts</t>
  </si>
  <si>
    <t>13301.1</t>
  </si>
  <si>
    <t>Middenkonsole offset 86 mm</t>
  </si>
  <si>
    <t>13302.1</t>
  </si>
  <si>
    <t>Middenkonsole offset 111 mm</t>
  </si>
  <si>
    <t>13303.1</t>
  </si>
  <si>
    <t>Middenkonsole offset 127 mm</t>
  </si>
  <si>
    <t>13304.1</t>
  </si>
  <si>
    <t>Middenkonsole offset 152 mm</t>
  </si>
  <si>
    <t>Lagerhouder voor 13026(H), 13028(H)</t>
  </si>
  <si>
    <t>Cuppoint bout 3/8" x 1"</t>
  </si>
  <si>
    <t>Railbout M8 x 14 mm</t>
  </si>
  <si>
    <t>Railbout M6 x 14 mm</t>
  </si>
  <si>
    <t>Flensmoer M6</t>
  </si>
  <si>
    <t>Zelftappende schroef 6.3x35</t>
  </si>
  <si>
    <t>Zelfborende schroef 6.3x25</t>
  </si>
  <si>
    <t>14019-R9016</t>
  </si>
  <si>
    <t>Zelfborende schroef 6.3x25 RAL9016</t>
  </si>
  <si>
    <t>Zelftappende schroef 6.3x16</t>
  </si>
  <si>
    <t>14020-R9016</t>
  </si>
  <si>
    <t>Zelftappende schroef 6.3x16 RAL9016</t>
  </si>
  <si>
    <t>Slotbout M8 x 25 mm , 8.8</t>
  </si>
  <si>
    <t>Flensmoer M8</t>
  </si>
  <si>
    <t>Railbout M8 x 12mm c8.8</t>
  </si>
  <si>
    <t>Zelfborende plaatschroef 6.3x35</t>
  </si>
  <si>
    <t>Zelfborende schroef 4.2 x 19 mm</t>
  </si>
  <si>
    <t>Vlakke sluitring M10 verzinkt</t>
  </si>
  <si>
    <t>Bout voor duplex veren M10 x 35</t>
  </si>
  <si>
    <t>Zeskant moer M2 din 934 verzinkt</t>
  </si>
  <si>
    <t>Bout M2 x 12 mm, din 84/4.8 verzinkt</t>
  </si>
  <si>
    <t>Afstandshouder 34x26</t>
  </si>
  <si>
    <t>Afstandhouder 1,25” x 8,5mm</t>
  </si>
  <si>
    <t>Zelfborgende Moer DIN985/8 - M10 gegalv.</t>
  </si>
  <si>
    <t>Plaatschroef 6,3x35 RVS</t>
  </si>
  <si>
    <t>Railbout M6x14 RVS</t>
  </si>
  <si>
    <t>Nylock moer M6 RVS</t>
  </si>
  <si>
    <t>Afstandsclip ø11-5 mm RAL9006</t>
  </si>
  <si>
    <t>150001-12</t>
  </si>
  <si>
    <t>Afstandsclip ø11-5 mm RAL9006. Verpakt in zak van 12 stuks.</t>
  </si>
  <si>
    <t>bag</t>
  </si>
  <si>
    <t>Zelftappende schroef 6.3x25</t>
  </si>
  <si>
    <t>150002-R9016</t>
  </si>
  <si>
    <t>Zelftappende schroef 6.3x25 RAL9016</t>
  </si>
  <si>
    <t>Kunststof bus 11x26,5 mm</t>
  </si>
  <si>
    <t>Beschermingsbus voor toprolhouder</t>
  </si>
  <si>
    <t>Bout voor duplex veren M10 x 16</t>
  </si>
  <si>
    <t>Zeskant tapbout DIN 933/8.8 sw17, M10x25, verz. zak 100</t>
  </si>
  <si>
    <t>Snijshr. Taptite Din 7500D M.R. M8 X 20 Verzinkt Cr3. Doos 1</t>
  </si>
  <si>
    <t>Zelftapper DIN 6928C-ST4,2x9,5</t>
  </si>
  <si>
    <t>Montageset voor kettingtakel 25025</t>
  </si>
  <si>
    <t>Zelfborende schroef 6.3x16 mm, Torx-T30, verzinkt</t>
  </si>
  <si>
    <t>Zelfborende schroef 6.3x25 mm, Torx-T30, verzinkt</t>
  </si>
  <si>
    <t>Zelfborende schroef 6.3x16 mm, Torx-T30, wit</t>
  </si>
  <si>
    <t>Zelfborende schroef 6.3x25 mm, Torx-T30, wit</t>
  </si>
  <si>
    <t>Borgmoer M8 DIN 985 klasse 8 verzinkt</t>
  </si>
  <si>
    <t>Bout M8x20 DIN 933 Klasse 8.8 verzinkt</t>
  </si>
  <si>
    <t>Vlakke sluitring M8 galv.</t>
  </si>
  <si>
    <t>Slotbout M10*25 8.8 Gealv.</t>
  </si>
  <si>
    <t>Vlakke Slotbout M6x12</t>
  </si>
  <si>
    <t>Splitpen DIN 94 Staal Elektrolytisch verzinkt 3,2X25MM</t>
  </si>
  <si>
    <t>Stelschroef DIN 913 M8x16</t>
  </si>
  <si>
    <t>Railbout 8.8 met vierkante hals - M8 x 15,5</t>
  </si>
  <si>
    <t>Railbout M8 x 17 mm A2-70</t>
  </si>
  <si>
    <t>Flensmoer M8 A2-70 roestvast staal</t>
  </si>
  <si>
    <t>Platkop blindklinknagel 4X10 mm</t>
  </si>
  <si>
    <t>150800-R9016</t>
  </si>
  <si>
    <t>Platkop blindklinknagel 4X10 mm RAL9016</t>
  </si>
  <si>
    <t>Zelfborende pancilinder schroef met kruisgleuf 4.8X16 mm</t>
  </si>
  <si>
    <t>Zelfborende verzonken schroef met kruisgleuf 4.2X25 mm</t>
  </si>
  <si>
    <t>Zelfborende verzonken schroef met kruisgleuf 3.9X19 mm</t>
  </si>
  <si>
    <t>Zelfborende verzonken schroef met kruisgleuf ST3,5X16mm</t>
  </si>
  <si>
    <t>Zelfborende verzonken schroef met kruisgleuf ST4,8X25mm</t>
  </si>
  <si>
    <t>Boven bocht EXS40(R)</t>
  </si>
  <si>
    <t>HOME Bovenbocht R250</t>
  </si>
  <si>
    <t>215090-1100</t>
  </si>
  <si>
    <t>Bochten R381-95º L=1100 mm</t>
  </si>
  <si>
    <t>215092-1100</t>
  </si>
  <si>
    <t>Bochten R=305 L=1100 mm</t>
  </si>
  <si>
    <t>Curve R381 1,8mm</t>
  </si>
  <si>
    <t>215094-10</t>
  </si>
  <si>
    <t>Curve pitched 10° R381 1,8mm</t>
  </si>
  <si>
    <t>215094-15</t>
  </si>
  <si>
    <t>Curve pitched 15° R381 1,8mm</t>
  </si>
  <si>
    <t>215094-20</t>
  </si>
  <si>
    <t>Curve pitched 20° R381 1,8mm</t>
  </si>
  <si>
    <t>215094-25</t>
  </si>
  <si>
    <t>Curve pitched 25° R381 1,8mm</t>
  </si>
  <si>
    <t>215094-30</t>
  </si>
  <si>
    <t>Curve pitched 30° R381 1,8mm</t>
  </si>
  <si>
    <t>215094-35</t>
  </si>
  <si>
    <t>Curve pitched 35° R381 1,8mm</t>
  </si>
  <si>
    <t>215094-40</t>
  </si>
  <si>
    <t>Curve pitched 40° R381 1,8mm</t>
  </si>
  <si>
    <t>215094-45</t>
  </si>
  <si>
    <t>Curve pitched 45° R381 1,8mm</t>
  </si>
  <si>
    <t>215094-5</t>
  </si>
  <si>
    <t>Curve pitched 5° R381 1,8mm</t>
  </si>
  <si>
    <t>Curve R305 1,8mm</t>
  </si>
  <si>
    <t>215095-10</t>
  </si>
  <si>
    <t>Curve pitched 10° R305 1,8mm</t>
  </si>
  <si>
    <t>215095-15</t>
  </si>
  <si>
    <t>Curve pitched 15° R305 1,8mm</t>
  </si>
  <si>
    <t>215095-20</t>
  </si>
  <si>
    <t>Curve pitched 20° R305 1,8mm</t>
  </si>
  <si>
    <t>215095-25</t>
  </si>
  <si>
    <t>Curve pitched 25° R305 1,8mm</t>
  </si>
  <si>
    <t>215095-30</t>
  </si>
  <si>
    <t>Curve pitched 30° R305 1,8mm</t>
  </si>
  <si>
    <t>215095-5</t>
  </si>
  <si>
    <t>Curve pitched 5° R305 1,8mm</t>
  </si>
  <si>
    <t>Bochten R=381 L= 6000 mm 130º</t>
  </si>
  <si>
    <t>Eindkap links Epco 40-500mm verzinkt</t>
  </si>
  <si>
    <t>Eindkap rechts Epco 40-500mm verzinkt</t>
  </si>
  <si>
    <t>Eindkap links Epco 40-500mm Ral9016</t>
  </si>
  <si>
    <t>Eindkap rechts Epco 40-500mm Ral9016</t>
  </si>
  <si>
    <t>Eindkap links Epco 40-610mm verzinkt</t>
  </si>
  <si>
    <t>Eindkap rechts Epco 40-610mm verzinkt</t>
  </si>
  <si>
    <t>Eindkap links Epco 40-610mm Ral9016</t>
  </si>
  <si>
    <t>Eindkap rechts Epco 40-610mm Ral9016</t>
  </si>
  <si>
    <t>Eindkap links Kingspan-Tecnopan 40-500mm verzinkt</t>
  </si>
  <si>
    <t>Eindkap rechts Kingspan-Tecnopan 40-500mm verzinkt</t>
  </si>
  <si>
    <t>Eindkap links Kingspan-Tecnopan 40-500mm Ral9016</t>
  </si>
  <si>
    <t>Eindkap rechts Kingspan-Tecnopan 40-500mm Ral9016</t>
  </si>
  <si>
    <t>Eindkap links Kingspan-Tecnopan 40-610mm verzinkt</t>
  </si>
  <si>
    <t>Eindkap rechts Kingspan-Tecnopan 40-610mm verzinkt</t>
  </si>
  <si>
    <t>Eindkap links Kingspan-Tecnopan 40-610mm Ral9016</t>
  </si>
  <si>
    <t>Eindkap rechts Kingspan-Tecnopan 40-610mm Ral9016</t>
  </si>
  <si>
    <t>Eindkap links Mar.-Met.-Ital. 40-500mm verzinkt</t>
  </si>
  <si>
    <t>Eindkap rechts Mar.-Met.-Ital. 40-500mm verzinkt</t>
  </si>
  <si>
    <t>Eindkap links Mar.-Met.-Ital. 40-500mm Ral9016</t>
  </si>
  <si>
    <t>Eindkap rechts Mar.-Met.-Ital. 40-500mm Ral9016</t>
  </si>
  <si>
    <t>Eindkap links Mar.-Met.-Ital. 40-610mm verzinkt</t>
  </si>
  <si>
    <t>Eindkap rechts Mar.-Met.-Ital. 40-610mm verzinkt</t>
  </si>
  <si>
    <t>Eindkap links Mar.-Met.-Ital. 40-610mm Ral9016</t>
  </si>
  <si>
    <t>Eindkap rechts Mar.-Met.-Ital. 40-610mm Ral9016</t>
  </si>
  <si>
    <t>Eindkap links Tecsedo 40-500mm verzinkt</t>
  </si>
  <si>
    <t>Eindkap rechts Tecsedo 40-500mm verzinkt</t>
  </si>
  <si>
    <t>Eindkap links Tecsedo 40-500mm Ral9016</t>
  </si>
  <si>
    <t>Eindkap rechts Tecsedo 40-500mm Ral9016</t>
  </si>
  <si>
    <t>Eindkap links Tecsedo 40-610mm verzinkt</t>
  </si>
  <si>
    <t>Eindkap rechts Tecsedo 40-610mm verzinkt</t>
  </si>
  <si>
    <t>Eindkap links Tecsedo 40-610mm Ral9016</t>
  </si>
  <si>
    <t>Eindkap rechts Tecsedo 40-610mm Ral9016</t>
  </si>
  <si>
    <t>Eindkap links Epco 40-555mm verzinkt</t>
  </si>
  <si>
    <t>Eindkap rechts Epco h=555 mm verzinkt</t>
  </si>
  <si>
    <t>Eindkap links Epco 40-555mm Ral9016</t>
  </si>
  <si>
    <t>Eindkap rechts Epco 40-555mm Ral9016</t>
  </si>
  <si>
    <t>Eindkap links Epco 40-625mm verzinkt</t>
  </si>
  <si>
    <t>Eindkap rechts Epco 40-625mm verzinkt</t>
  </si>
  <si>
    <t>Eindkap links Epco 40-625mm Ral9016</t>
  </si>
  <si>
    <t>Eindkap rechts Epco 40-625mm Ral9016</t>
  </si>
  <si>
    <t>Eindkap dubbel links, Epco 40-500mm verzinkt</t>
  </si>
  <si>
    <t>Eindkap dubbel rechts, Epco 40-500mm verzinkt</t>
  </si>
  <si>
    <t>Dubbele eindkap links Epco 40-555mm verzinkt</t>
  </si>
  <si>
    <t>Eindkap dubbel rechts, Epco 40-555mm verzinkt</t>
  </si>
  <si>
    <t>Eindkap dubbel links, Epco 40-610mm verzinkt</t>
  </si>
  <si>
    <t>Eindkap dubbel rechts, Epco 40-610mm verzinkt</t>
  </si>
  <si>
    <t>Eindkap links Epco-Italpanelli 60-500mm verzinkt</t>
  </si>
  <si>
    <t>Eindkap rechts Epco-Italpanelli 60-500mm verzinkt</t>
  </si>
  <si>
    <t>Eindkap links Epco-Italpanelli 60-500mm Ral9016</t>
  </si>
  <si>
    <t>Eindkap rechts Epco-Italpanelli 60-500mm Ral9016</t>
  </si>
  <si>
    <t>Eindkap links Epco-Italpanelli 60-610mm verzinkt</t>
  </si>
  <si>
    <t>Eindkap rechts Epco-Italpanelli 60-610mm verzinkt</t>
  </si>
  <si>
    <t>Eindkap links Epco-Italpanelli 60-610mm Ral9016</t>
  </si>
  <si>
    <t>Eindkap rechts Epco-Italpanelli 60-610mm Ral9016</t>
  </si>
  <si>
    <t>Eindkap dubbel links,Epco/Italpanelli 60-500mm verzinkt</t>
  </si>
  <si>
    <t>Eindkap dubbel rechts,Epco/Italpanelli 60-500mm verzinkt</t>
  </si>
  <si>
    <t>Eindkap dubbel links,Epco/Italpanelli 60-610mm verzinkt</t>
  </si>
  <si>
    <t>Eindkap dubbel rechts,Epco/Italpanelli 60-610mm verzinkt</t>
  </si>
  <si>
    <t>Eindkap universeel, enkel, 60-488mm verzinkt</t>
  </si>
  <si>
    <t>Eindkap universeel, enkel, 60-610mm verzinkt</t>
  </si>
  <si>
    <t>Eindkap universeel, enkel, 80-500mm verzinkt</t>
  </si>
  <si>
    <t>Eindkap universeel, enkel, 80-610mm verzinkt</t>
  </si>
  <si>
    <t>Eindkap universeel, dubbel, 80-488mm verzinkt</t>
  </si>
  <si>
    <t>Eindkap universeel, dubbel, 80-500mm verzinkt</t>
  </si>
  <si>
    <t>Eindkap universeel, dubbel, 80-610mm verzinkt</t>
  </si>
  <si>
    <t>Eindkap universeel, dubbel, 80-732mm verzinkt</t>
  </si>
  <si>
    <t>220014-3000</t>
  </si>
  <si>
    <t>Afdichtingsaanslag L=3000 mm</t>
  </si>
  <si>
    <t>220014-5500</t>
  </si>
  <si>
    <t>Afdichtingsaanslag L=5500 mm</t>
  </si>
  <si>
    <t>220019-2400</t>
  </si>
  <si>
    <t>Lintel profile 58 x 18 x 1.5 L=2400</t>
  </si>
  <si>
    <t>220019-2500</t>
  </si>
  <si>
    <t>Lateiprofiel 58 x 18 x 1.5 L=2500</t>
  </si>
  <si>
    <t>220019-3000</t>
  </si>
  <si>
    <t>Lateiprofiel 58 x 18 x 1.5 L=3000</t>
  </si>
  <si>
    <t>220019-4000</t>
  </si>
  <si>
    <t>Lateiprofiel 58 x 18 x 1,5 L=4000</t>
  </si>
  <si>
    <t>220019-5000</t>
  </si>
  <si>
    <t>Lateiprofiel 58 x 18 x 1.5 L=5000</t>
  </si>
  <si>
    <t>220019-6000</t>
  </si>
  <si>
    <t>Lateiprofiel 58 x 18 x 1.5 L=6000</t>
  </si>
  <si>
    <t>220021-3165</t>
  </si>
  <si>
    <t>C-Profiel 53x28.5x1.5 L=3165 mm</t>
  </si>
  <si>
    <t>220021-4665</t>
  </si>
  <si>
    <t>C-Profiel 53x28.5x1.5 L=4665 mm</t>
  </si>
  <si>
    <t>220021-6165</t>
  </si>
  <si>
    <t>C-Profiel 53x28.5x1.5 L=6165 mm</t>
  </si>
  <si>
    <t>220022-2537</t>
  </si>
  <si>
    <t>C-Profiel 40x20x1.5 L=2537 mm</t>
  </si>
  <si>
    <t>220022-2637</t>
  </si>
  <si>
    <t>C-Profiel 40x20x1.5 L=2637 mm</t>
  </si>
  <si>
    <t>220022-3137</t>
  </si>
  <si>
    <t>C-Profiel 40x20x1.5 L=3137 mm</t>
  </si>
  <si>
    <t>220022-3637</t>
  </si>
  <si>
    <t>C-Profiel 40x20x1.5 L= 3637 mm</t>
  </si>
  <si>
    <t>220022-4137</t>
  </si>
  <si>
    <t>C-profile 40x20x1.5 L= 4137 mm</t>
  </si>
  <si>
    <t>220022-4637</t>
  </si>
  <si>
    <t>C-profile 40x20x1.5 L= 4637 mm</t>
  </si>
  <si>
    <t>220022-5137</t>
  </si>
  <si>
    <t>C-profile 40x20x1.5 L= 5137 mm</t>
  </si>
  <si>
    <t>220022-5637</t>
  </si>
  <si>
    <t>C-profile 40x20x1.5 L= 5637 mm</t>
  </si>
  <si>
    <t>220022-6137</t>
  </si>
  <si>
    <t>C-profile 40x20x1.5 L= 6137 mm</t>
  </si>
  <si>
    <t>220030-3000</t>
  </si>
  <si>
    <t>Geperforeerd hoekprofiel 40x40x2.5 L=3000 mm met gaten</t>
  </si>
  <si>
    <t>220040-R7016-3000</t>
  </si>
  <si>
    <t>Reno afdek profiel 85 L=3000mm RAL7016</t>
  </si>
  <si>
    <t>220040-R9016-3000</t>
  </si>
  <si>
    <t>Reno afdek profiel 85 L=3000mm RAL9016</t>
  </si>
  <si>
    <t>220041-R7016-3000</t>
  </si>
  <si>
    <t>Reno afdek profiel 120 L=3000mm RAL7016</t>
  </si>
  <si>
    <t>220041-R9016-3000</t>
  </si>
  <si>
    <t>Reno afdek profiel 120 L=3000mm RAL9016</t>
  </si>
  <si>
    <t>220050-R7016-3000</t>
  </si>
  <si>
    <t>L-profiel 84/15 L=3000 RAL7016</t>
  </si>
  <si>
    <t>220050-R7016-5000</t>
  </si>
  <si>
    <t>L-profiel 84/15 L=5000 RAL7016</t>
  </si>
  <si>
    <t>220050-R9016-3000</t>
  </si>
  <si>
    <t>L-profiel 84/15 L=3000 RAL9016</t>
  </si>
  <si>
    <t>220050-R9016-5000</t>
  </si>
  <si>
    <t>L-profiel 84/15 L=5000 RAL9016</t>
  </si>
  <si>
    <t>220060-2250</t>
  </si>
  <si>
    <t>Looprail 1.8mm L=2250 mm</t>
  </si>
  <si>
    <t>220060-2750</t>
  </si>
  <si>
    <t>Looprail 1.8mm L=2750 mm</t>
  </si>
  <si>
    <t>220060-3250</t>
  </si>
  <si>
    <t>Looprail 1.8mm L=3250 mm</t>
  </si>
  <si>
    <t>220060-3750</t>
  </si>
  <si>
    <t>Looprail 1.8mm L=3750 mm</t>
  </si>
  <si>
    <t>220060-4250</t>
  </si>
  <si>
    <t>Looprail 1.8mm L=4250 mm</t>
  </si>
  <si>
    <t>220060-4750</t>
  </si>
  <si>
    <t>Looprail 1.8mm L=4750 mm</t>
  </si>
  <si>
    <t>220060-5250</t>
  </si>
  <si>
    <t>Looprail 1.8mm L=5250 mm</t>
  </si>
  <si>
    <t>220060-5750</t>
  </si>
  <si>
    <t>Looprail 1.8mm L=5750 mm</t>
  </si>
  <si>
    <t>220060-6250</t>
  </si>
  <si>
    <t>Looprail 1.8mm L=6250 mm</t>
  </si>
  <si>
    <t>220060-6750</t>
  </si>
  <si>
    <t>Looprail 1.8mm L=6750 mm</t>
  </si>
  <si>
    <t>Verstevigingsprofiel H81 L= 4690 mm verzinkt</t>
  </si>
  <si>
    <t>220100-5000</t>
  </si>
  <si>
    <t>Kokerprofiel 80x40x2 mm L=5000 mm verzinkt</t>
  </si>
  <si>
    <t>220100-6000</t>
  </si>
  <si>
    <t>Kokerprofiel 80x40x2 mm L=6000 mm verzinkt</t>
  </si>
  <si>
    <t>220100-7000</t>
  </si>
  <si>
    <t>Kokerprofiel 80x40x2 mm L=7000 mm verzinkt</t>
  </si>
  <si>
    <t>220101-6000</t>
  </si>
  <si>
    <t>Kokerprofiel 100x80x3 mm L=6000 mm verzinkt</t>
  </si>
  <si>
    <t>220102-7000</t>
  </si>
  <si>
    <t>Kokerprofiel 140x80x3 mm L= 7000 mm verzinkt</t>
  </si>
  <si>
    <t>Verstevigingsprofiel H81 L= 5190 mm verzinkt</t>
  </si>
  <si>
    <t>22011-R9016</t>
  </si>
  <si>
    <t>Verstevigingsprofiel H81 L= 5190 mm RAL9016</t>
  </si>
  <si>
    <t>Verstevigingsprofiel H81 L= 5690 mm verzinkt</t>
  </si>
  <si>
    <t>Verstevigingsprofiel H81 L= 6190 mm verzinkt</t>
  </si>
  <si>
    <t>Verstevigingsprofiel H81 L= 6690 mm verzinkt</t>
  </si>
  <si>
    <t>22014-R9016</t>
  </si>
  <si>
    <t>Verstevigingsprofiel H81 L= 6690 mm RAL9016</t>
  </si>
  <si>
    <t>Verstevigingsprofiel H81 L= 7190 mm verzinkt</t>
  </si>
  <si>
    <t>Verstevigingsprofiel H81 L= 7690 mm verzinkt</t>
  </si>
  <si>
    <t>Geperforeerd hoekprofiel L= 3000 mm 30x30x2 mm</t>
  </si>
  <si>
    <t>Geperforeerd hoekprofiel L= 3000 mm 50x50x3 mm</t>
  </si>
  <si>
    <t>220900-5020</t>
  </si>
  <si>
    <t>Verstevigingsprofiel H67 L=5020 mm verzinkt</t>
  </si>
  <si>
    <t>220900-5020-R9016</t>
  </si>
  <si>
    <t>Verstevigingsprofiel H67 L= 5020 mm RAL9016</t>
  </si>
  <si>
    <t>220900-5520</t>
  </si>
  <si>
    <t>Verstevigingsprofiel H67 L=5520 mm verzinkt</t>
  </si>
  <si>
    <t>220900-5520-R9016</t>
  </si>
  <si>
    <t>Verstevigingsprofiel H67 L= 5520 mm RAL9016</t>
  </si>
  <si>
    <t>220900-6020</t>
  </si>
  <si>
    <t>Verstevigingsprofiel H67 L=6020 mm verzinkt</t>
  </si>
  <si>
    <t>220900-6020-R9016</t>
  </si>
  <si>
    <t>Reinforcement profile H67 L= 6020 mm RAL9016</t>
  </si>
  <si>
    <t>220900-6520</t>
  </si>
  <si>
    <t>Verstevigingsprofiel H67 L=6520 mm verzinkt</t>
  </si>
  <si>
    <t>220900-6520-R9016</t>
  </si>
  <si>
    <t>Verstevigingsprofiel H67 L= 6520 mm RAL9016</t>
  </si>
  <si>
    <t>220900-7520</t>
  </si>
  <si>
    <t>Verstevigingsprofiel H67 L=7520 mm verzinkt</t>
  </si>
  <si>
    <t>220901-10020</t>
  </si>
  <si>
    <t>Verstevigingsprofiel H120 L=10020 mm verzinkt</t>
  </si>
  <si>
    <t>220901-8020</t>
  </si>
  <si>
    <t>Verstevigingsprofiel H120 L=8020 mm verzinkt</t>
  </si>
  <si>
    <t>225015-1935</t>
  </si>
  <si>
    <t>Zijafdichting dubbele lip L=1935</t>
  </si>
  <si>
    <t>225015-2060</t>
  </si>
  <si>
    <t>Zijafdichting dubbele lip L=2060 mm</t>
  </si>
  <si>
    <t>225015-2185</t>
  </si>
  <si>
    <t>Zijafdichting dubbele lip L=2185 mm</t>
  </si>
  <si>
    <t>225015-2310</t>
  </si>
  <si>
    <t>Zijafdichting dubbele lip L=2310 mm</t>
  </si>
  <si>
    <t>225015-2400</t>
  </si>
  <si>
    <t>Zijafdichting dubbele lip L=2400 mm</t>
  </si>
  <si>
    <t>225015-2435</t>
  </si>
  <si>
    <t>Zijafdichting dubbele lip L=2435 mm</t>
  </si>
  <si>
    <t>225015-2500</t>
  </si>
  <si>
    <t>Zijafdichting dubbele lip L=2500 mm</t>
  </si>
  <si>
    <t>225015-2560</t>
  </si>
  <si>
    <t>Zijafdichting dubbele lip L=2560 mm</t>
  </si>
  <si>
    <t>225015-2810</t>
  </si>
  <si>
    <t>Zijafdichting dubbele lip L=2810 mm</t>
  </si>
  <si>
    <t>225015-3000</t>
  </si>
  <si>
    <t>Zijafdichting dubbele lip L=3000 mm</t>
  </si>
  <si>
    <t>225015-3060</t>
  </si>
  <si>
    <t>Zijafdichting dubbele lip L=3060 mm</t>
  </si>
  <si>
    <t>225015-4000</t>
  </si>
  <si>
    <t>Zijafdichting dubbele lip L=4000 mm</t>
  </si>
  <si>
    <t>225015-5000</t>
  </si>
  <si>
    <t>Zijafdichting dubbele lip L=5000 mm</t>
  </si>
  <si>
    <t>225015-6000</t>
  </si>
  <si>
    <t>Zijafdichting dubbele lip L=6000 mm</t>
  </si>
  <si>
    <t>225015-6750</t>
  </si>
  <si>
    <t>Zijafdichting dubbele lip L=6750</t>
  </si>
  <si>
    <t>225017-2060</t>
  </si>
  <si>
    <t>HOME thermische afdichting L=2060</t>
  </si>
  <si>
    <t>225017-2185</t>
  </si>
  <si>
    <t>HOME thermische afdichting L=2185</t>
  </si>
  <si>
    <t>225017-2310</t>
  </si>
  <si>
    <t>HOME thermische afdichting L=2310</t>
  </si>
  <si>
    <t>225017-2400</t>
  </si>
  <si>
    <t>HOME thermische afdichting L=2400</t>
  </si>
  <si>
    <t>225017-2435</t>
  </si>
  <si>
    <t>HOME thermische afdichting L=2435</t>
  </si>
  <si>
    <t>225017-2500</t>
  </si>
  <si>
    <t>HOME thermische afdichting L=2500</t>
  </si>
  <si>
    <t>225017-2560</t>
  </si>
  <si>
    <t>HOME thermische afdichting L=2560</t>
  </si>
  <si>
    <t>225017-2810</t>
  </si>
  <si>
    <t>HOME thermische afdichting L=2810</t>
  </si>
  <si>
    <t>225017-3000</t>
  </si>
  <si>
    <t>HOME thermische afdichting L=3000</t>
  </si>
  <si>
    <t>225017-3060</t>
  </si>
  <si>
    <t>HOME thermische afdichting L=3060</t>
  </si>
  <si>
    <t>225017-4000</t>
  </si>
  <si>
    <t>HOME thermische afdichting L=4000</t>
  </si>
  <si>
    <t>225017-5000</t>
  </si>
  <si>
    <t>HOME thermische afdichting L=5000</t>
  </si>
  <si>
    <t>225017-6000</t>
  </si>
  <si>
    <t>HOME thermische afdichting L=6000</t>
  </si>
  <si>
    <t>Schuim afdichting rol 250 mtr.</t>
  </si>
  <si>
    <t>roll</t>
  </si>
  <si>
    <t>225022-3060</t>
  </si>
  <si>
    <t>Afdichting dubbele lip kort L=3060 mm</t>
  </si>
  <si>
    <t>225022-3660</t>
  </si>
  <si>
    <t>Afdichting dubbele lip kort L=3660 mm</t>
  </si>
  <si>
    <t>225022-4060</t>
  </si>
  <si>
    <t>Afdichting dubbele lip kort L=4060 mm</t>
  </si>
  <si>
    <t>225022-4560</t>
  </si>
  <si>
    <t>Afdichting dubbele lip kort L=4560 mm</t>
  </si>
  <si>
    <t>225022-5060</t>
  </si>
  <si>
    <t>Afdichting dubbele lip kort L=5060 mm</t>
  </si>
  <si>
    <t>225022-6000</t>
  </si>
  <si>
    <t>Afdichting dubbele lip kort L=6000 mm</t>
  </si>
  <si>
    <t>225022-6750</t>
  </si>
  <si>
    <t>Afdichting dubbele lip kort L=6750 mm</t>
  </si>
  <si>
    <t>225030-3060</t>
  </si>
  <si>
    <t>Zijafdichting L=3060 mm</t>
  </si>
  <si>
    <t>Verstelbare toprolhouder</t>
  </si>
  <si>
    <t>Zijscharnier 25234 zonder rolhouder</t>
  </si>
  <si>
    <t>Dubbel zijscharnier met rolhouder 11 mm</t>
  </si>
  <si>
    <t>Toprolhouder</t>
  </si>
  <si>
    <t>Zijscharnier Epco zonder rolhouder</t>
  </si>
  <si>
    <t>Zijscharnier Epco Ral9016 zonder rolhouder</t>
  </si>
  <si>
    <t>Zijscharnier zonder rolhouder voor Epco-Italpanelli 60 mm</t>
  </si>
  <si>
    <t>230110-R9016</t>
  </si>
  <si>
    <t>Zijscharnier zonder Rolhouder voor Epco-Italpanelli 60 mm Ral9016</t>
  </si>
  <si>
    <t>Middenscharnier voor Epco-Italpanelli 60 mm</t>
  </si>
  <si>
    <t>230111-R9016</t>
  </si>
  <si>
    <t>Middenscharnier voor Epco-Italpanelli 60 mm Ral9016</t>
  </si>
  <si>
    <t>Zijscharnier tandemrol Epco-Italpanelli 60 mm</t>
  </si>
  <si>
    <t>Toprolhouder rechts LHI</t>
  </si>
  <si>
    <t>Toprolhouder links LHI</t>
  </si>
  <si>
    <t>Toprolhouder voor 230113-230114</t>
  </si>
  <si>
    <t>230118-R9016</t>
  </si>
  <si>
    <t>Zijscharnier 25335-R9016 met "silent" rolhouder 11 mm RAL9016</t>
  </si>
  <si>
    <t>230119-L</t>
  </si>
  <si>
    <t>230119-R</t>
  </si>
  <si>
    <t>Duplex scharnier industrie</t>
  </si>
  <si>
    <t>Universal top roller, self aligning, non adjustable</t>
  </si>
  <si>
    <t>230130-R9016</t>
  </si>
  <si>
    <t>Universal top roller, self aligning, non adjustable RAL9016</t>
  </si>
  <si>
    <t>Instelbare toprolhouder</t>
  </si>
  <si>
    <t>230131-R9016</t>
  </si>
  <si>
    <t>Instelbare toprolhouder RAL9016</t>
  </si>
  <si>
    <t>Zijscharnier zonder rolhouder Kingspan-Tecnopan</t>
  </si>
  <si>
    <t>230220-R9016</t>
  </si>
  <si>
    <t>Zijscharnier met rollenbok vingerklempaneel Kingspan-Tecnopan Ral9016</t>
  </si>
  <si>
    <t>Middenscharnier Kingspan-Tecnopan</t>
  </si>
  <si>
    <t>230222-R9016</t>
  </si>
  <si>
    <t>Middenscharnier Kingspan-Tecnopan 9016</t>
  </si>
  <si>
    <t>Zijscharnier voor Duplexrol Kingspan-Tecnopan</t>
  </si>
  <si>
    <t>230225-R9016</t>
  </si>
  <si>
    <t>Duplex zijscharnier Kingspan-Tecnopan RAL9016</t>
  </si>
  <si>
    <t>230226-R9016</t>
  </si>
  <si>
    <t>Duplex zijscharnier Kingspan-Tecnopan in Ral9016 geluidsarm</t>
  </si>
  <si>
    <t>23400-6000</t>
  </si>
  <si>
    <t>Witgelakt latei voor HOME-REN H=100 mm L= 6000 mm, RAL9016</t>
  </si>
  <si>
    <t>Verbindingsplaat met gaten 120 mm links</t>
  </si>
  <si>
    <t>Hoekbeugel</t>
  </si>
  <si>
    <t>Uitrichtprofiel 435 mm</t>
  </si>
  <si>
    <t>235015-079</t>
  </si>
  <si>
    <t>Verbindingsbeugel 79 mm</t>
  </si>
  <si>
    <t>235015-099</t>
  </si>
  <si>
    <t>Verbindingsbeugel 99 mm</t>
  </si>
  <si>
    <t>235015-139</t>
  </si>
  <si>
    <t>Verbindingsbeugel 139 mm</t>
  </si>
  <si>
    <t>Montage plaat voor veerbreuk beveiliging</t>
  </si>
  <si>
    <t>Montage beugel voor LHI</t>
  </si>
  <si>
    <t>Koker bevestigingsbeugel (80x40x3) 220100</t>
  </si>
  <si>
    <t>Verbindingsbeugel 205 mm</t>
  </si>
  <si>
    <t>HOME tunnel installatie beugel</t>
  </si>
  <si>
    <t>Home tunnel afstandsprofiel</t>
  </si>
  <si>
    <t>Home tunnel ophangbeugel</t>
  </si>
  <si>
    <t>HOME tunnel latei bevestigingsbeugel</t>
  </si>
  <si>
    <t>Bevestigingsset (3 stuks) voor lateiprofiel 85 mm.</t>
  </si>
  <si>
    <t>Bevestigingsset (3 stuks) voor lateiprofiel 120 mm.</t>
  </si>
  <si>
    <t>Inbraakwerende beugel voor looprails</t>
  </si>
  <si>
    <t>Inbraakwerende bodemkonsole</t>
  </si>
  <si>
    <t>Home ZERO distance profile</t>
  </si>
  <si>
    <t>Inbraakwerende topkonsole</t>
  </si>
  <si>
    <t>HOME Uitricht profiel</t>
  </si>
  <si>
    <t>Rail overgangsclip</t>
  </si>
  <si>
    <t>Rail verbindingsplaatje offset 100 mm Pan=60</t>
  </si>
  <si>
    <t>SBD Reinforcement Bracket</t>
  </si>
  <si>
    <t>HOME Verbindingsbeugel Latei-profiel</t>
  </si>
  <si>
    <t>Home HOME-REN latei zij-aansluitbeugel</t>
  </si>
  <si>
    <t>Paro-klemplaat dubbel M8x108x32</t>
  </si>
  <si>
    <t>Klemplaatje lateiprofiel</t>
  </si>
  <si>
    <t>Lagerkonsole , offset 86 mm</t>
  </si>
  <si>
    <t>Lagerkonsole , offset 111 mm</t>
  </si>
  <si>
    <t>Lagerkonsole , offset 127 mm</t>
  </si>
  <si>
    <t>Lagerkonsole , offset 152 mm</t>
  </si>
  <si>
    <t>Lagerkonsole , offset 152 mm 1.25"</t>
  </si>
  <si>
    <t>Montage hoekprofiel voor C-profiel</t>
  </si>
  <si>
    <t>HOME Verbindingsbeugel C-profiel</t>
  </si>
  <si>
    <t>Geassembleerde kunststof voet voor hoeklijn</t>
  </si>
  <si>
    <t>Aandrijving fixatie set</t>
  </si>
  <si>
    <t>Toprol positie vernauwer</t>
  </si>
  <si>
    <t>Afdekkap voor kabeltrommel HOME-R</t>
  </si>
  <si>
    <t>Lagerkonsole , offset 86x4 mm</t>
  </si>
  <si>
    <t>Lagerkonsole , offset 111x4 mm</t>
  </si>
  <si>
    <t>Lagerkonsole , offset 127x4 mm</t>
  </si>
  <si>
    <t>Lagerkonsole , offset 152x4 mm</t>
  </si>
  <si>
    <t>Lagerkonsole , offset 152x4 mm 1,25”</t>
  </si>
  <si>
    <t>Montagebeugel voor lagerplaten offset 86 &amp; 111 mm</t>
  </si>
  <si>
    <t>Montagebeugel voor lagerplaten offset 127 mm</t>
  </si>
  <si>
    <t>Montagebeugel voor lagerplaten offset 152 mm</t>
  </si>
  <si>
    <t>Verbindingsplaat met gaten 120x(82)x80 mm</t>
  </si>
  <si>
    <t>Driehoeksplaat linkse uitvoering voor LL systeem</t>
  </si>
  <si>
    <t>Driehoeksplaat rechtse uitvoering voor LL systeem</t>
  </si>
  <si>
    <t>Verstelbare hoek daklijnvolgend systeem (ST-HL)</t>
  </si>
  <si>
    <t>Geperforeerd hoekprofiel 58x50x5 L= 278 mm</t>
  </si>
  <si>
    <t>Montagestrip voor montage van dubbele rolhouders op zijschar</t>
  </si>
  <si>
    <t>235400-135</t>
  </si>
  <si>
    <t>Rail verbindingsplaatje offset 135 mm</t>
  </si>
  <si>
    <t>235400-195</t>
  </si>
  <si>
    <t>Rail verbindingsplaatje offset 195 mm</t>
  </si>
  <si>
    <t>235400-255</t>
  </si>
  <si>
    <t>Rail verbindingsplaatje offset 255 mm</t>
  </si>
  <si>
    <t>235400-315</t>
  </si>
  <si>
    <t>Rail verbindingsplaatje offset 315 mm</t>
  </si>
  <si>
    <t>Rail verbindingsplaatje klein</t>
  </si>
  <si>
    <t>VA/Track connection plate</t>
  </si>
  <si>
    <t>235403-165</t>
  </si>
  <si>
    <t>Rail verbindingsplaatje vergrote offset 165 mm</t>
  </si>
  <si>
    <t>235403-215</t>
  </si>
  <si>
    <t>Rail verbindingsplaatje vergrote offset 215 mm</t>
  </si>
  <si>
    <t>235403-265</t>
  </si>
  <si>
    <t>Rail verbindingsplaatje vergrote offset 265 mm</t>
  </si>
  <si>
    <t>235403-315</t>
  </si>
  <si>
    <t>Rail verbindingsplaatje vergrote offset 315 mm</t>
  </si>
  <si>
    <t>Rail verbindingsbeugel</t>
  </si>
  <si>
    <t>Socket Spigot rail verbinding</t>
  </si>
  <si>
    <t>Dock deur/LL Veerbuffer beugel</t>
  </si>
  <si>
    <t>Vertical lift springbumper bracket</t>
  </si>
  <si>
    <t>LL versterkingssteun</t>
  </si>
  <si>
    <t>Paroplaat enkel M8 x18 voor 40 &amp; 53 mm C-profiel</t>
  </si>
  <si>
    <t>Paroplaat dubbel M8x95x30 voor 40 mm c-profiel</t>
  </si>
  <si>
    <t>LHI Paroplaat dubbel M8x100x36</t>
  </si>
  <si>
    <t>Verbindingsbeugel afhangsysteem</t>
  </si>
  <si>
    <t>235501-185</t>
  </si>
  <si>
    <t>Hoekbeugel afhangsysteem 100x185 mm</t>
  </si>
  <si>
    <t>235501-360</t>
  </si>
  <si>
    <t>Hoekbeugel afhangsysteem 100x360 mm</t>
  </si>
  <si>
    <t>235501-500</t>
  </si>
  <si>
    <t>Hoekbeugel afhangsysteem 100x500 mm</t>
  </si>
  <si>
    <t>Verstevigingshaak afhangsysteem 135mm</t>
  </si>
  <si>
    <t>C-profiel klem</t>
  </si>
  <si>
    <t>Verlengstuk afhangsysteem L= 285 mm</t>
  </si>
  <si>
    <t>Connectie plaat plafond afhanging HOME-R HD</t>
  </si>
  <si>
    <t>Afstandclip verticaal hoekkozijn</t>
  </si>
  <si>
    <t>Verticale hoekkozijn 2.0 mm L= 6000 mm RVS</t>
  </si>
  <si>
    <t>Bodemconsole Offset=12,5 HOME-X/R Verzinkt</t>
  </si>
  <si>
    <t>240030-R9016</t>
  </si>
  <si>
    <t>Bodemconsole Offset=12,5 HOME-X/R Wit</t>
  </si>
  <si>
    <t>Bodemconsole Offset=12,5 HOME-F Verzinkt</t>
  </si>
  <si>
    <t>240031-R9016</t>
  </si>
  <si>
    <t>Bodemconsole Offset=12,5 HOME-F Wit</t>
  </si>
  <si>
    <t>Bodemconsole Offset=18 HOME-X/R Verzinkt</t>
  </si>
  <si>
    <t>240033-R9016</t>
  </si>
  <si>
    <t>Bodemconsole Offset=18 HOME-X/R Wit</t>
  </si>
  <si>
    <t>Bodemconsole Offset=18 HOME-F Verzinkt</t>
  </si>
  <si>
    <t>240034-R9016</t>
  </si>
  <si>
    <t>Bodemconsole Offset=18 HOME-F Wit</t>
  </si>
  <si>
    <t>Bodemconsole HOME-X Pan=60 Verzinkt</t>
  </si>
  <si>
    <t>Bodemconsole HOME-F Pan=60 Verzinkt</t>
  </si>
  <si>
    <t>Versteviging bodemconsole HOME-R HD offset=18mm</t>
  </si>
  <si>
    <t>240041-R9016</t>
  </si>
  <si>
    <t>Versteviging bodemconsole HOME-R HD offset=18mm wit</t>
  </si>
  <si>
    <t>Bodemconsole Offset=18 HOME-X/R RVS</t>
  </si>
  <si>
    <t>Bodemconsole Offset=18 HOME-F RVS</t>
  </si>
  <si>
    <t>Dock deur montage beugel</t>
  </si>
  <si>
    <t>Veerbuffer Type C L=378mm LH</t>
  </si>
  <si>
    <t>Veerbuffer Type C L=378mm RH</t>
  </si>
  <si>
    <t>Veerbuffer Type C L=676mm LH</t>
  </si>
  <si>
    <t>Veerbuffer Type C L=676mm RH</t>
  </si>
  <si>
    <t>Veerbuffer RVS</t>
  </si>
  <si>
    <t>Beugel voor RVS veerbuffer</t>
  </si>
  <si>
    <t>24602.1</t>
  </si>
  <si>
    <t>Montage hoekprofiel</t>
  </si>
  <si>
    <t>Rail afstandsplaatje</t>
  </si>
  <si>
    <t>24604.1</t>
  </si>
  <si>
    <t>Rail verbindingsplaatje</t>
  </si>
  <si>
    <t>24609.1</t>
  </si>
  <si>
    <t>Verbindingsmof omgezet met gaten</t>
  </si>
  <si>
    <t>Lhr bracket</t>
  </si>
  <si>
    <t>Paro-klemplaatje</t>
  </si>
  <si>
    <t>24621.1</t>
  </si>
  <si>
    <t>Montage beugel</t>
  </si>
  <si>
    <t>Montage beugel Lintel - Lintel 23400-23405</t>
  </si>
  <si>
    <t>24704-B</t>
  </si>
  <si>
    <t>2-lips zijafdichting zwart, per 50mtr (=1 rol)</t>
  </si>
  <si>
    <t>24704-C</t>
  </si>
  <si>
    <t>2-lips zijafdichting grijs, per 50mtr (=1 rol)</t>
  </si>
  <si>
    <t>Zijafdichting L= 6000 mm</t>
  </si>
  <si>
    <t>24740-3060</t>
  </si>
  <si>
    <t>Zijafdichting L= 3500 mm</t>
  </si>
  <si>
    <t>Zijafdichting L= 4000 mm</t>
  </si>
  <si>
    <t>Zijafdichting L= 5000 mm</t>
  </si>
  <si>
    <t>24750-6000</t>
  </si>
  <si>
    <t>Afdichting Home REN L=6000 mm</t>
  </si>
  <si>
    <t>Zijafdichting clip</t>
  </si>
  <si>
    <t>C-profiel 48.5x24x1.5 L= 1350 mm met gaten</t>
  </si>
  <si>
    <t>C-profiel 48.5x24x1.5 L= 3000 mm met gaten</t>
  </si>
  <si>
    <t>Verbindingsmof omgezet RVS</t>
  </si>
  <si>
    <t>Looprol 46/11/100 mm zwart</t>
  </si>
  <si>
    <t>25001.1</t>
  </si>
  <si>
    <t>Toprolhouder 11 mm</t>
  </si>
  <si>
    <t>Aluminium askoppeling 25,4 mm</t>
  </si>
  <si>
    <t>25008.1</t>
  </si>
  <si>
    <t>Looprol 46/11/90 mm zwart</t>
  </si>
  <si>
    <t>25010-E.1</t>
  </si>
  <si>
    <t>Looprol 46/11/90 mm</t>
  </si>
  <si>
    <t>25011-E.1</t>
  </si>
  <si>
    <t>Looprol 46/11/168 mm</t>
  </si>
  <si>
    <t>Staalkabel 7x19 3 mm op rol 250 mtr.</t>
  </si>
  <si>
    <t>25012-100</t>
  </si>
  <si>
    <t>Staalkabel 7x19 3 mm op rol 100 mtr.</t>
  </si>
  <si>
    <t>Staalkabel 7x19 4 mm op rol 250 mtr.</t>
  </si>
  <si>
    <t>25013-100</t>
  </si>
  <si>
    <t>Staalkabel 7x19 4 mm op rol 100 mtr.</t>
  </si>
  <si>
    <t>25013-1000</t>
  </si>
  <si>
    <t>Staalkabel 7x19 4 mm op rol 1000 mtr</t>
  </si>
  <si>
    <t>Staalkabel 7x19 5 mm op rol 250 mtr.</t>
  </si>
  <si>
    <t>25014-100</t>
  </si>
  <si>
    <t>Staalkabel 7x19 5 mm op rol 100 mtr.</t>
  </si>
  <si>
    <t>25015-2500</t>
  </si>
  <si>
    <t>Holle as 1" L=2500 mm verzinkt</t>
  </si>
  <si>
    <t>25015-3500</t>
  </si>
  <si>
    <t>Holle as 1" L=3500 mm verzinkt</t>
  </si>
  <si>
    <t>25015-6000</t>
  </si>
  <si>
    <t>Holle as 1" L=6000 mm verzinkt</t>
  </si>
  <si>
    <t>Duplex looprol residentieel 46/11/83,5 mm</t>
  </si>
  <si>
    <t>Duplex roller 46/11/160 mm</t>
  </si>
  <si>
    <t>25019-2750</t>
  </si>
  <si>
    <t>Holle as spiebaan 25,4 mm L=2750 mm wanddikte=1,8 mm</t>
  </si>
  <si>
    <t>25019-3200</t>
  </si>
  <si>
    <t>Holle as spiebaan 25,4 mm L=3200 mm wanddikte=1,8 mm</t>
  </si>
  <si>
    <t>25019-3500</t>
  </si>
  <si>
    <t>Holle as spiebaan 25,4 mm L=3500 mm wanddikte=1,8 mm</t>
  </si>
  <si>
    <t>25019-6000</t>
  </si>
  <si>
    <t>Holle as spiebaan 25,4 mm L=6000 mm wanddikte=1,8 mm</t>
  </si>
  <si>
    <t>25020-2</t>
  </si>
  <si>
    <t>Handketting voor takel - Rol 25mtr.</t>
  </si>
  <si>
    <t>25021.1</t>
  </si>
  <si>
    <t>Ketting spanner</t>
  </si>
  <si>
    <t>25022.1</t>
  </si>
  <si>
    <t>Handkettingtakel red. 4:1</t>
  </si>
  <si>
    <t>25024.1</t>
  </si>
  <si>
    <t>25025.1</t>
  </si>
  <si>
    <t>25032-R9011</t>
  </si>
  <si>
    <t>Alu Bodemconsole Verstelbaar Max. 600kg Zwart</t>
  </si>
  <si>
    <t>25032-R9016</t>
  </si>
  <si>
    <t>Alu Bodemconsole Verstelbaar Max. 600kg Wit</t>
  </si>
  <si>
    <t>25032.1</t>
  </si>
  <si>
    <t>Alu Bodemconsole Verstelbaar Max. 600kg</t>
  </si>
  <si>
    <t>25034.1</t>
  </si>
  <si>
    <t>Askoppeling 25,4 mm L= 120 mm</t>
  </si>
  <si>
    <t>25038-39.1</t>
  </si>
  <si>
    <t>Rollenbok met instelbare rolhouder 12 mm</t>
  </si>
  <si>
    <t>25042.1</t>
  </si>
  <si>
    <t>Zware instelbare koppeling 25,4 mm</t>
  </si>
  <si>
    <t>25043-R9016</t>
  </si>
  <si>
    <t>Top looprolhouder 11 mm RAL9016</t>
  </si>
  <si>
    <t>25043.1</t>
  </si>
  <si>
    <t>Top looprolhouder 11 mm</t>
  </si>
  <si>
    <t>Instelbare koppeling 31,75 mm</t>
  </si>
  <si>
    <t>25045.1</t>
  </si>
  <si>
    <t>Residentiele koppeling 25,4 mm L= 65 mm</t>
  </si>
  <si>
    <t>Spie 6.35x6.35x100 mm</t>
  </si>
  <si>
    <t>25049.1</t>
  </si>
  <si>
    <t>Aluminium koppeling 25,4 mm L= 120 mm</t>
  </si>
  <si>
    <t>Bodemconsole Offset=13,2 HOME-X/R Verzinkt</t>
  </si>
  <si>
    <t>25052-R9016</t>
  </si>
  <si>
    <t>Bodemconsole Offset=13,2 HOME-X/R Wit</t>
  </si>
  <si>
    <t>25062.1</t>
  </si>
  <si>
    <t>Gebogen spie 6.35x6.35x96 mm</t>
  </si>
  <si>
    <t>Rechte verhoogde spie 6.35x10.5x75 mm</t>
  </si>
  <si>
    <t>25065.1</t>
  </si>
  <si>
    <t>Looprol precisie uitvoering 46/12/90 mm</t>
  </si>
  <si>
    <t>25066.2</t>
  </si>
  <si>
    <t>25067.1</t>
  </si>
  <si>
    <t>Looprol 46/12/170 mm</t>
  </si>
  <si>
    <t>25068.1</t>
  </si>
  <si>
    <t>Looprol 46/11/170 mm</t>
  </si>
  <si>
    <t>25069-4.1</t>
  </si>
  <si>
    <t>Looprol 46 mm met schroefdraad M10*16</t>
  </si>
  <si>
    <t>25069.1</t>
  </si>
  <si>
    <t>Duplex tandemrol 12 mm</t>
  </si>
  <si>
    <t>Cable Guide Duplex Roller</t>
  </si>
  <si>
    <t>25070.1</t>
  </si>
  <si>
    <t>Duplex tandemrol 11 mm</t>
  </si>
  <si>
    <t>25071-L</t>
  </si>
  <si>
    <t>Slapkabelbeveiliging, links</t>
  </si>
  <si>
    <t>25071-R</t>
  </si>
  <si>
    <t>Slapkabelbeveiliging, rechts</t>
  </si>
  <si>
    <t>Slapkabel schakelaar</t>
  </si>
  <si>
    <t>Verhoogde spie gebogen 6.35x10.5x98 mm</t>
  </si>
  <si>
    <t>Compleet cylinderslot</t>
  </si>
  <si>
    <t>Grendel verzinkt</t>
  </si>
  <si>
    <t>Tandwiel z=36 boring 25,4 mm</t>
  </si>
  <si>
    <t>Rollenketting</t>
  </si>
  <si>
    <t>25079-C</t>
  </si>
  <si>
    <t>Verbindingsschakel</t>
  </si>
  <si>
    <t>25079-O</t>
  </si>
  <si>
    <t>Offsetschakel</t>
  </si>
  <si>
    <t>25092.1</t>
  </si>
  <si>
    <t>Kettinghouder</t>
  </si>
  <si>
    <t>25093.1</t>
  </si>
  <si>
    <t>Kunststof handgreep zwart</t>
  </si>
  <si>
    <t>25095-B</t>
  </si>
  <si>
    <t>Ventilatierooster 337x131 wit, niet afsluitbaar</t>
  </si>
  <si>
    <t>25095-FB</t>
  </si>
  <si>
    <t>Ventilatierooster 132x338 wit, afsluitbaar</t>
  </si>
  <si>
    <t>25096-B</t>
  </si>
  <si>
    <t>Ventilatierooster 132x338 zwart, niet afsluitbaar</t>
  </si>
  <si>
    <t>25096-FB</t>
  </si>
  <si>
    <t>Ventilatierooster 132x338 zwart, afsluitbaar</t>
  </si>
  <si>
    <t>Kabelpershuls ovaal 3 mm</t>
  </si>
  <si>
    <t>Kabelpershuls ovaal 4 mm</t>
  </si>
  <si>
    <t>Kabelpershuls ovaal 5 mm</t>
  </si>
  <si>
    <t>Kabelpershuls ovaal 6 mm</t>
  </si>
  <si>
    <t>Kabel eindklem rond 3 mm</t>
  </si>
  <si>
    <t>Kabel eindklem rond 4 mm</t>
  </si>
  <si>
    <t>25110-10</t>
  </si>
  <si>
    <t>Geassembleerde set kabels 3 mm L=10 mtr</t>
  </si>
  <si>
    <t>25110-3</t>
  </si>
  <si>
    <t>Geassembleerde set kabels 3 mm L=3 mtr</t>
  </si>
  <si>
    <t>25110-4</t>
  </si>
  <si>
    <t>Geassembleerde set kabels 3 mm L=4 mtr</t>
  </si>
  <si>
    <t>25110-6</t>
  </si>
  <si>
    <t>Geassembleerde set kabels 3 mm L=6 mtr</t>
  </si>
  <si>
    <t>25110-8</t>
  </si>
  <si>
    <t>Geassembleerde set kabels 3 mm L=8 mtr</t>
  </si>
  <si>
    <t>25111-10</t>
  </si>
  <si>
    <t>Geassembleerde set kabels 4 mm L=10 mtr</t>
  </si>
  <si>
    <t>25111-12</t>
  </si>
  <si>
    <t>Geassembleerde set kabels 4 mm L=12 mtr</t>
  </si>
  <si>
    <t>25111-3</t>
  </si>
  <si>
    <t>Geassembleerde set kabels 4 mm L=3 mtr</t>
  </si>
  <si>
    <t>25111-4</t>
  </si>
  <si>
    <t>Geassembleerde set kabels 4 mm L=4 mtr</t>
  </si>
  <si>
    <t>25111-6</t>
  </si>
  <si>
    <t>Geassembleerde set kabels 4 mm L=6 mtr</t>
  </si>
  <si>
    <t>25111-7</t>
  </si>
  <si>
    <t>Geassembleerde set kabels 4 mm L=7 mtr</t>
  </si>
  <si>
    <t>25111-8</t>
  </si>
  <si>
    <t>Geassembleerde set kabels 4 mm L=8 mtr</t>
  </si>
  <si>
    <t>25112-10</t>
  </si>
  <si>
    <t>Geassembleerde set kabels 5 mm L=10 mtr</t>
  </si>
  <si>
    <t>25112-14</t>
  </si>
  <si>
    <t>Geassembleerde set kabels 5 mm L=14 mtr</t>
  </si>
  <si>
    <t>25112-4</t>
  </si>
  <si>
    <t>Geassembleerde set kabels 5 mm L=4 mtr</t>
  </si>
  <si>
    <t>25112-6</t>
  </si>
  <si>
    <t>Geassembleerde set kabels 5 mm L=6 mtr</t>
  </si>
  <si>
    <t>25112-8</t>
  </si>
  <si>
    <t>Geassembleerde set kabels 5 mm L=8 mtr</t>
  </si>
  <si>
    <t>25113-12</t>
  </si>
  <si>
    <t>Geassembleerde set kabels 6x19+PP 6 mm L=12 mtr</t>
  </si>
  <si>
    <t>25113-8</t>
  </si>
  <si>
    <t>Geassembleerde set kabels 6x19+PP 6 mm L=8 mtr</t>
  </si>
  <si>
    <t>25114-10</t>
  </si>
  <si>
    <t>Geassembleerde set kabels 3 mm stalen eindklem L=10 mtr</t>
  </si>
  <si>
    <t>25114-9</t>
  </si>
  <si>
    <t>Geassembleerde set kabels 3 mm stalen eindklem L=9 mtr</t>
  </si>
  <si>
    <t>25115-12</t>
  </si>
  <si>
    <t>Geassembleerde set kabels 4 mm stalen eindklem L=12 mtr</t>
  </si>
  <si>
    <t>25115-6</t>
  </si>
  <si>
    <t>Geassembleerde set kabels 4 mm stalen eindklem L=6 mtr</t>
  </si>
  <si>
    <t>25115-8</t>
  </si>
  <si>
    <t>Geassembleerde set kabels 4 mm stalen eindklem L=8 mtr</t>
  </si>
  <si>
    <t>25116-12</t>
  </si>
  <si>
    <t>Geassembleerde set kabels 5 mm stalen eindklem L=12 mtr</t>
  </si>
  <si>
    <t>25116-8</t>
  </si>
  <si>
    <t>Geassembleerde set kabels 5 mm stalen eindklem L=8 mtr</t>
  </si>
  <si>
    <t>25117-10</t>
  </si>
  <si>
    <t>Geassembleerde set kabels 6 mm stalen eindklem L=10 mtr</t>
  </si>
  <si>
    <t>25117-12</t>
  </si>
  <si>
    <t>Geassembleerde set kabels 6 mm stalen eindklem L=12 mtr</t>
  </si>
  <si>
    <t>25117-8</t>
  </si>
  <si>
    <t>Geassembleerde set kabels 6 mm stalen eindklem L=8 mtr</t>
  </si>
  <si>
    <t>25117-9</t>
  </si>
  <si>
    <t>Geassembleerde set kabels 6 mm stalen eindklem L=9 mtr</t>
  </si>
  <si>
    <t>25130.1</t>
  </si>
  <si>
    <t>Universele kunst schaalgreep</t>
  </si>
  <si>
    <t>25134.1</t>
  </si>
  <si>
    <t>Schuifgrendel type "delta"</t>
  </si>
  <si>
    <t>25135.1</t>
  </si>
  <si>
    <t>Zware schuifgrendel</t>
  </si>
  <si>
    <t>25136.1</t>
  </si>
  <si>
    <t>Middenscharnier RVS</t>
  </si>
  <si>
    <t>Euro profielcylinder</t>
  </si>
  <si>
    <t>Looprol 45/12/90 mm RVS</t>
  </si>
  <si>
    <t>Looprol staal 46/11/85 mm</t>
  </si>
  <si>
    <t>Looprol staal 46/11/152 mm</t>
  </si>
  <si>
    <t>Looprol 3" 71/11/252 mm</t>
  </si>
  <si>
    <t>25160-A.1</t>
  </si>
  <si>
    <t>Duplex tandemrol zware uitvoering</t>
  </si>
  <si>
    <t>Duplex tandemrol 46/12/152 mm</t>
  </si>
  <si>
    <t>Tandemrol 46/11/164 mm</t>
  </si>
  <si>
    <t>Zijscharnier 11 mm duplexrol residentieel</t>
  </si>
  <si>
    <t>25163-R9016</t>
  </si>
  <si>
    <t>Zijscharnier 11 mm duplexrol residentieel Ral9016</t>
  </si>
  <si>
    <t>Zijscharnier duplex Epco met silent roller carrier</t>
  </si>
  <si>
    <t>25165-R9016</t>
  </si>
  <si>
    <t>Zijscharnier Epco Ral9016 duplex met silent roller carrier</t>
  </si>
  <si>
    <t>Zijscharnier Epco voor duplex rol</t>
  </si>
  <si>
    <t>25167-R9016</t>
  </si>
  <si>
    <t>Zijscharnier Epco voor duplex rol Ral9016</t>
  </si>
  <si>
    <t>Zijscharnier tandemrol</t>
  </si>
  <si>
    <t>25171-R9016</t>
  </si>
  <si>
    <t>Toprollenhouder 12 mm</t>
  </si>
  <si>
    <t>Ophangkonsole 225x225x4 mm</t>
  </si>
  <si>
    <t>25204-20</t>
  </si>
  <si>
    <t>Pakket stormdrempel 6,10 mtr</t>
  </si>
  <si>
    <t>Staalkabel 6x19+pp 3 mm</t>
  </si>
  <si>
    <t>25212-1000</t>
  </si>
  <si>
    <t>Staalkabel 6x19+pp 3 mm EN12385, 1000 mtr haspel</t>
  </si>
  <si>
    <t>Staalkabel 6x19+pp 4 mm</t>
  </si>
  <si>
    <t>25213-1000</t>
  </si>
  <si>
    <t>Staalkabel 6x19+pp 4 mm EN12385, 1000 mtr haspel</t>
  </si>
  <si>
    <t>Staalkabel 6x19+pp 5 mm</t>
  </si>
  <si>
    <t>25214-1000</t>
  </si>
  <si>
    <t>Staalkabel 6x19+pp 5 mm EN12385, 1000 mtr haspel</t>
  </si>
  <si>
    <t>Staalkabel 6x19+pp 6 mm</t>
  </si>
  <si>
    <t>25215-1000</t>
  </si>
  <si>
    <t>Staalkabel 6x19+pp 6 mm EN12385, 1000 mtr haspel</t>
  </si>
  <si>
    <t>Schakel voor ketting 25020</t>
  </si>
  <si>
    <t>25224-H.1</t>
  </si>
  <si>
    <t>Todco slot handle -geomet</t>
  </si>
  <si>
    <t>25224-K.1</t>
  </si>
  <si>
    <t>Todco slot keeper -geomet</t>
  </si>
  <si>
    <t>Zware grendel met cyl.slot zwart</t>
  </si>
  <si>
    <t>Looprol pu 46/11/100mm</t>
  </si>
  <si>
    <t>Middenscharnier 2.5 mm</t>
  </si>
  <si>
    <t>Zijscharnier met rolhouder 11 mm</t>
  </si>
  <si>
    <t>25238-R9016</t>
  </si>
  <si>
    <t>Rolhouder 11 mm Ral9016</t>
  </si>
  <si>
    <t>Rolhouder 11 mm</t>
  </si>
  <si>
    <t>Rolhouder met kunstsof insert 11 mm.</t>
  </si>
  <si>
    <t>25239-R9016</t>
  </si>
  <si>
    <t>Rolhouder met kunstsof insert Ral9016</t>
  </si>
  <si>
    <t>Looprol RVS 46/11/95 mm</t>
  </si>
  <si>
    <t>Looprol RVS 46/11/170 mm</t>
  </si>
  <si>
    <t>Bodemconsole Offset=14 Industrie Verzinkt</t>
  </si>
  <si>
    <t>Stalen kabelschijf d=60 mm met afschermkap</t>
  </si>
  <si>
    <t>Stalen kabelschijf met afschermkap d=72 mm</t>
  </si>
  <si>
    <t>Kabelschijf staal d=80 mm</t>
  </si>
  <si>
    <t>Kabelschijf staal d=60 mm</t>
  </si>
  <si>
    <t>Rubber railstopper</t>
  </si>
  <si>
    <t>Montageplaat voor veerbuffer</t>
  </si>
  <si>
    <t>Veerbuffer met bevestigingsmateriaal</t>
  </si>
  <si>
    <t>Veerbuffer verlengd met bevestigingsmateriaal</t>
  </si>
  <si>
    <t>Universele plaat veerbuffer</t>
  </si>
  <si>
    <t>Schommelhaak M10x120 Verzinkt</t>
  </si>
  <si>
    <t>Buis-veer L= 690 mm</t>
  </si>
  <si>
    <t>Gietijzeren kabelschijf</t>
  </si>
  <si>
    <t>Kabelschijf beugel</t>
  </si>
  <si>
    <t>25408-P.1</t>
  </si>
  <si>
    <t>Handgreep rubber gecoat</t>
  </si>
  <si>
    <t>Dubbele rolhouder 11 mm</t>
  </si>
  <si>
    <t>Schakelaar kabelbreuk 3-draads</t>
  </si>
  <si>
    <t>25446A</t>
  </si>
  <si>
    <t>Schakelaars met montagebeugel</t>
  </si>
  <si>
    <t>Schakelaar veerbreuk</t>
  </si>
  <si>
    <t>25448.1</t>
  </si>
  <si>
    <t>geassembleerde Stelplaat veerbreuk</t>
  </si>
  <si>
    <t>25449-L.1</t>
  </si>
  <si>
    <t>Veerbreukbeveiliging 25,4 mm, links</t>
  </si>
  <si>
    <t>25449-R.1</t>
  </si>
  <si>
    <t>Veerbreukbeveiliging 25,4 mm, rechts</t>
  </si>
  <si>
    <t>25450-LH</t>
  </si>
  <si>
    <t>Buitenombeugels kabelbreukbeveiliging</t>
  </si>
  <si>
    <t>25450.1</t>
  </si>
  <si>
    <t>Kabelbreukbeveiliging</t>
  </si>
  <si>
    <t>25451.1</t>
  </si>
  <si>
    <t>Set anti inbraakbeveiliging voor 25450</t>
  </si>
  <si>
    <t>25454.1</t>
  </si>
  <si>
    <t>Kabelbreukbeveiliging regelbaar</t>
  </si>
  <si>
    <t>25458.1</t>
  </si>
  <si>
    <t>Kabelschijf d=100 mm</t>
  </si>
  <si>
    <t>25516-2500</t>
  </si>
  <si>
    <t>Massieve as 25,4 mm met spiebaan L= 2500 mm verzinkt</t>
  </si>
  <si>
    <t>25516-2750</t>
  </si>
  <si>
    <t>Massieve as 25,4 mm met spiebaan L=2750 mm verzinkt</t>
  </si>
  <si>
    <t>25516-3000</t>
  </si>
  <si>
    <t>Massieve as 25,4 mm met spiebaan L=3000 mm verzinkt</t>
  </si>
  <si>
    <t>25516-3250</t>
  </si>
  <si>
    <t>Massieve as 25,4 mm met spiebaan L=3250 mm verzinkt</t>
  </si>
  <si>
    <t>25516-3500</t>
  </si>
  <si>
    <t>Massieve as 25,4 mm met spiebaan L=3500 mm verzinkt</t>
  </si>
  <si>
    <t>25516-4000</t>
  </si>
  <si>
    <t>Massieve as 25,4 mm met spiebaan L=4000 mm verzinkt</t>
  </si>
  <si>
    <t>25516-4500</t>
  </si>
  <si>
    <t>Massieve as 25,4 mm met spiebaan L=4500 mm verzinkt</t>
  </si>
  <si>
    <t>25516-5000</t>
  </si>
  <si>
    <t>Massieve as 25,4 mm met spiebaan L=5000 mm verzinkt</t>
  </si>
  <si>
    <t>25516-6100</t>
  </si>
  <si>
    <t>Massieve as 25,4 mm met spiebaan L=6100 mm verzinkt</t>
  </si>
  <si>
    <t>Askoppeling staal 31,75 mm L= 100 mm</t>
  </si>
  <si>
    <t>25549-L.1</t>
  </si>
  <si>
    <t>Veerbreukbeveiliging. 31,75 mm, links</t>
  </si>
  <si>
    <t>25549-R.1</t>
  </si>
  <si>
    <t>Veerbreukbeveiliging. 31,75 mm, rechts</t>
  </si>
  <si>
    <t>25576-4500</t>
  </si>
  <si>
    <t>Massieve as 31,7 (1.25") mm met spiebaan L=4500 mm verzinkt</t>
  </si>
  <si>
    <t>25576-5500</t>
  </si>
  <si>
    <t>Massieve as 31,7 (1.25") mm met spiebaan L=5500 mm verzinkt</t>
  </si>
  <si>
    <t>25576-6000</t>
  </si>
  <si>
    <t>Massieve as 31,7 (1.25") mm met spiebaan L=6000 mm verzinkt</t>
  </si>
  <si>
    <t>Truckdoor looprol 27.0 mm</t>
  </si>
  <si>
    <t>Afstandsbusje 17/11-5 mm</t>
  </si>
  <si>
    <t>Afstandsbusje 17/11-7.5 mm</t>
  </si>
  <si>
    <t>Afstandsbusje 17/11-10 mm</t>
  </si>
  <si>
    <t>Afstandsbusje 17/12-5 mm</t>
  </si>
  <si>
    <t>Afstandsbusje 17/12-7.5 mm</t>
  </si>
  <si>
    <t>Afstandsbusje 17/12-10 mm</t>
  </si>
  <si>
    <t>25650-L</t>
  </si>
  <si>
    <t>Veerbreuk residentieel universeel m50-67, links</t>
  </si>
  <si>
    <t>25650-R</t>
  </si>
  <si>
    <t>Veerbreuk residentieel universeel m50-67, rechts</t>
  </si>
  <si>
    <t>25651-L</t>
  </si>
  <si>
    <t>25651-R</t>
  </si>
  <si>
    <t>Zijscharnier vrachtauto</t>
  </si>
  <si>
    <t>Middenscharnier vrachtauto</t>
  </si>
  <si>
    <t>Kabelbeugel vrachtauto</t>
  </si>
  <si>
    <t>25733-R9016</t>
  </si>
  <si>
    <t>Middenscharnier Ral9016 Italpanelli-Marcegaglia-Metecno</t>
  </si>
  <si>
    <t>Middenscharnier Italpanelli-Marcegaglia-Metecno</t>
  </si>
  <si>
    <t>25734-R9016</t>
  </si>
  <si>
    <t>Zijscharnier met rolhouder Ral9016 Italpanelli-Marcegaglia-Metecno</t>
  </si>
  <si>
    <t>Zijscharnier met rolhouder Italpanelli-Marcegaglia-Metecno</t>
  </si>
  <si>
    <t>Middenscharnier Epco</t>
  </si>
  <si>
    <t>25735-R9016</t>
  </si>
  <si>
    <t>Middenscharnier Epco Ral9016</t>
  </si>
  <si>
    <t>Zijscharnier Epco</t>
  </si>
  <si>
    <t>25736-R9016</t>
  </si>
  <si>
    <t>Zijscharnier Epco Ral9016</t>
  </si>
  <si>
    <t>Zijscharnier met rolhouder en kunststof insert "Silent Rolle</t>
  </si>
  <si>
    <t>25739-R9016</t>
  </si>
  <si>
    <t>Paneel verbinder</t>
  </si>
  <si>
    <t>Puntkous d=3 mm</t>
  </si>
  <si>
    <t>Puntkous d=4 mm</t>
  </si>
  <si>
    <t>Puntkous d=5 mm</t>
  </si>
  <si>
    <t>Puntkous d=6 mm</t>
  </si>
  <si>
    <t>Puntkous d=4 mm RVS</t>
  </si>
  <si>
    <t>Puntkous d=5 mm RVS</t>
  </si>
  <si>
    <t>Loprol nylon ø46-ø11-12 mm met kogellager</t>
  </si>
  <si>
    <t>25912-50</t>
  </si>
  <si>
    <t>Staalkabel 3 mm 7x19 RVS op rol 50 mtr</t>
  </si>
  <si>
    <t>25913-50</t>
  </si>
  <si>
    <t>Staalkabel 4 mm 7x19 RVS op rol 50 mtr</t>
  </si>
  <si>
    <t>25914-50</t>
  </si>
  <si>
    <t>Staalkabel 5 mm 7x19 RVS op rol 50 mtr</t>
  </si>
  <si>
    <t>25926-L.1</t>
  </si>
  <si>
    <t>Veerbuffer kort, links RVS</t>
  </si>
  <si>
    <t>25926-R.1</t>
  </si>
  <si>
    <t>Veerbuffer kort, rechts RVS</t>
  </si>
  <si>
    <t>Middenscharnier 2.5 mm RVS</t>
  </si>
  <si>
    <t>Zijscharnier/rolhouder RVS</t>
  </si>
  <si>
    <t>Schuifgrendel RVS</t>
  </si>
  <si>
    <t>Looprol nylon ø46-ø10-13.7 mm met lager 6200ZZ</t>
  </si>
  <si>
    <t>26018-2750</t>
  </si>
  <si>
    <t>Holle as spiebaan 1" L=2750 mm wanddikte = 3,0 mm</t>
  </si>
  <si>
    <t>26018-3000</t>
  </si>
  <si>
    <t>Holle as spiebaan 1" L=3000 mm wanddikte = 3,0 mm</t>
  </si>
  <si>
    <t>26018-3250</t>
  </si>
  <si>
    <t>Holle as spiebaan 1" L=3250 mm wanddikte = 3,0 mm</t>
  </si>
  <si>
    <t>26018-3500</t>
  </si>
  <si>
    <t>Holle as spiebaan 1" L=3500 mm wanddikte = 3,0 mm</t>
  </si>
  <si>
    <t>26018-4000</t>
  </si>
  <si>
    <t>Holle as spiebaan 1" L=4000 mm wanddikte = 3,0 mm</t>
  </si>
  <si>
    <t>26018-4250</t>
  </si>
  <si>
    <t>Holle as spiebaan 1" L=4250 mm wanddikte = 3,0 mm</t>
  </si>
  <si>
    <t>26018-4500</t>
  </si>
  <si>
    <t>Holle as spiebaan 1" L=4500 mm wanddikte = 3,0 mm</t>
  </si>
  <si>
    <t>26018-5000</t>
  </si>
  <si>
    <t>Holle as spiebaan 1" L=5000 mm wanddikte = 3,0 mm</t>
  </si>
  <si>
    <t>26018-5500</t>
  </si>
  <si>
    <t>Holle as spiebaan 1" L=5500 mm wanddikte = 3,0 mm</t>
  </si>
  <si>
    <t>26018-6000</t>
  </si>
  <si>
    <t>Holle as spiebaan 1" L=6000 mm wanddikte = 3,0 mm</t>
  </si>
  <si>
    <t>26018-7000</t>
  </si>
  <si>
    <t>Holle as spiebaan 1" L=7000 mm wanddikte = 3,0 mm</t>
  </si>
  <si>
    <t>Gebogen spie 9.53x6.35x96 mm</t>
  </si>
  <si>
    <t>Rechte verhoogde spie 9.53x6.35x75 mm voor 26018</t>
  </si>
  <si>
    <t>Aluminium koppeling 25,4 mm L= 90 mm</t>
  </si>
  <si>
    <t>Instelbare koppeling 25,4 mm</t>
  </si>
  <si>
    <t>Spie 6.35x6.35x43 mm verzinkt</t>
  </si>
  <si>
    <t>Spie 6.35x9.5x43 mm verzinkt</t>
  </si>
  <si>
    <t>Loopdeurslot din universeel</t>
  </si>
  <si>
    <t>Set Aluminium deurkruk met schilden</t>
  </si>
  <si>
    <t>Noodontgrendelingsslot</t>
  </si>
  <si>
    <t>Set ( 2 st. ) blanco sleutel voor cilinderslot 280004</t>
  </si>
  <si>
    <t>Deurkruk buitenzijde met smal schild PC 72</t>
  </si>
  <si>
    <t>korte deurkruk buitenzijde met smal schild PC 72</t>
  </si>
  <si>
    <t>Deurkruk binnenzijde met smal schild PC72</t>
  </si>
  <si>
    <t>Blanco sleutel voor cilinderslot 25074, 25226.1, 25147</t>
  </si>
  <si>
    <t>Bevestigingsset deurkruk voor 39-42 mm paneel</t>
  </si>
  <si>
    <t>Deurkruk binnenzijde met smal schild pc 92</t>
  </si>
  <si>
    <t>Deurkruk buitenzijde met smal schild pc 92</t>
  </si>
  <si>
    <t>Deurstop manueel</t>
  </si>
  <si>
    <t>Lock components for 25074 (for HOME-X, 40mm panels)</t>
  </si>
  <si>
    <t>280104-2350</t>
  </si>
  <si>
    <t>Rod connection for door max. 5000 mm</t>
  </si>
  <si>
    <t>Single euro cylinder 60-10</t>
  </si>
  <si>
    <t>Eindstop voor deurdranger</t>
  </si>
  <si>
    <t>Multilock DIN-Rechts</t>
  </si>
  <si>
    <t>Centrale sluitplaat voor Multilock</t>
  </si>
  <si>
    <t>Multilock DIN-Links</t>
  </si>
  <si>
    <t>Kunststof handgreep zwart binnendeel</t>
  </si>
  <si>
    <t>Kunststof handgreep set zwart</t>
  </si>
  <si>
    <t>290031-2750</t>
  </si>
  <si>
    <t>Verticale Hoeklijn 100x68,5x20x1,8mm L=2750mm</t>
  </si>
  <si>
    <t>290031-3250</t>
  </si>
  <si>
    <t>Verticale Hoeklijn 100x68,5x20x1,8mm L=3250mm</t>
  </si>
  <si>
    <t>290031-3750</t>
  </si>
  <si>
    <t>Verticale Hoeklijn 100x68,5x20x1,8mm L=3750mm</t>
  </si>
  <si>
    <t>290031-4250</t>
  </si>
  <si>
    <t>Verticale Hoeklijn 100x68,5x20x1,8mm L=4250mm</t>
  </si>
  <si>
    <t>290031-4750</t>
  </si>
  <si>
    <t>Verticale Hoeklijn 100x68,5x20x1,8mm L=4750mm</t>
  </si>
  <si>
    <t>290031-5250</t>
  </si>
  <si>
    <t>Verticale Hoeklijn 100x68,5x20x1,8mm L=5250mm</t>
  </si>
  <si>
    <t>290031-5750</t>
  </si>
  <si>
    <t>Verticale Hoeklijn 100x68,5x20x1,8mm L=5750mm</t>
  </si>
  <si>
    <t>290031-6250</t>
  </si>
  <si>
    <t>Verticale Hoeklijn 100x68,5x20x1,8mm L=6250mm</t>
  </si>
  <si>
    <t>290031-6750</t>
  </si>
  <si>
    <t>Verticale Hoeklijn 100x68,5x20x1,8mm L=6750mm</t>
  </si>
  <si>
    <t>Trekkoord 10mm zwart, polypropylene, op rol 100 mtr.</t>
  </si>
  <si>
    <t>LHI Kabelschijfcontructie links</t>
  </si>
  <si>
    <t>LHI Kabelschijfconstructie rechts</t>
  </si>
  <si>
    <t>Kabelschijf staal 104 mm</t>
  </si>
  <si>
    <t>295108-L</t>
  </si>
  <si>
    <t>LHI Kabelschijfconstructie links</t>
  </si>
  <si>
    <t>295108-R</t>
  </si>
  <si>
    <t>Oranje kap voor kabelbreukbeveiliging 25455</t>
  </si>
  <si>
    <t>Veerbreuk residentieel universeel links zonder spiebaan</t>
  </si>
  <si>
    <t>Veerbreuk residentieel universeel rechts zonder spiebaan</t>
  </si>
  <si>
    <t>Veerbreuk universeel links HD 1"</t>
  </si>
  <si>
    <t>Veerbreuk universeel rechts HD 1"</t>
  </si>
  <si>
    <t>Bevestigingsbeugel HD</t>
  </si>
  <si>
    <t>Veerdrager L= 3000 mm pe 110 mm</t>
  </si>
  <si>
    <t>Eindstop doco voor veervuller 30002.</t>
  </si>
  <si>
    <t>Veerdrager L= 3000 mm pe 75 mm</t>
  </si>
  <si>
    <t>Eindstop voor veervuller 30006</t>
  </si>
  <si>
    <t>32050L300</t>
  </si>
  <si>
    <t>Veer 50-5.0-3000 links</t>
  </si>
  <si>
    <t>32050R300</t>
  </si>
  <si>
    <t>Veer 50-5.0-3000 rechts</t>
  </si>
  <si>
    <t>32055L300</t>
  </si>
  <si>
    <t>Veer 50-5.5-3000 links</t>
  </si>
  <si>
    <t>32055R300</t>
  </si>
  <si>
    <t>Veer 50-5.5-3000 rechts</t>
  </si>
  <si>
    <t>32060L300</t>
  </si>
  <si>
    <t>Veer 50-6.0-3000 links</t>
  </si>
  <si>
    <t>32060R300</t>
  </si>
  <si>
    <t>Veer 50-6.0-3000 rechts</t>
  </si>
  <si>
    <t>32750L080</t>
  </si>
  <si>
    <t>Veer 50-5.0-800 links kogelgestraald gelakt</t>
  </si>
  <si>
    <t>32750L300</t>
  </si>
  <si>
    <t>Veer 50-5.0-3000 links kogelgestraald gelakt</t>
  </si>
  <si>
    <t>32750L325</t>
  </si>
  <si>
    <t>Veer 50-5.0-3250 links kogelgestraald gelakt</t>
  </si>
  <si>
    <t>32750R080</t>
  </si>
  <si>
    <t>Veer 50-5.0-800 rechts kogelgestraald gelakt</t>
  </si>
  <si>
    <t>32750R300</t>
  </si>
  <si>
    <t>Veer 50-5.0-3000 rechts kogelgestraald gelakt</t>
  </si>
  <si>
    <t>32750R325</t>
  </si>
  <si>
    <t>Veer 50-5.0-3250 rechts kogelgestraald gelakt</t>
  </si>
  <si>
    <t>Set geassembleerde veren kogelgestraald 50x5.0x503</t>
  </si>
  <si>
    <t>32755L080</t>
  </si>
  <si>
    <t>Veer 50-5.5-800 links kogelgestraald gelakt</t>
  </si>
  <si>
    <t>32755L100</t>
  </si>
  <si>
    <t>Veer 50-5,5-1000 links kogelgestraald gelakt</t>
  </si>
  <si>
    <t>32755L120</t>
  </si>
  <si>
    <t>Veer 50-5.5-1200 links kogelgestraald gelakt</t>
  </si>
  <si>
    <t>32755L140</t>
  </si>
  <si>
    <t>Veer 50-5.5-1400 links kogelgestraald gelakt</t>
  </si>
  <si>
    <t>32755L300</t>
  </si>
  <si>
    <t>Veer 50-5.5-3000 links kogelgestraald gelakt</t>
  </si>
  <si>
    <t>32755L325</t>
  </si>
  <si>
    <t>Veer 50-5.5-3250 links kogelgestraald gelakt</t>
  </si>
  <si>
    <t>32755R080</t>
  </si>
  <si>
    <t>Veer 50-5.5-800 rechts kogelgestraald gelakt</t>
  </si>
  <si>
    <t>32755R100</t>
  </si>
  <si>
    <t>Veer 50-5,5-1000 rechts kogelgestraald gelakt</t>
  </si>
  <si>
    <t>32755R120</t>
  </si>
  <si>
    <t>Veer 50-5.5-1200 rechts kogelgestraald gelakt</t>
  </si>
  <si>
    <t>32755R140</t>
  </si>
  <si>
    <t>Veer 50-5.5-1400 rechts kogelgestraald gelakt</t>
  </si>
  <si>
    <t>32755R300</t>
  </si>
  <si>
    <t>Veer 50-5.5-3000 rechts kogelgestraald gelakt</t>
  </si>
  <si>
    <t>32755R325</t>
  </si>
  <si>
    <t>Veer 50-5.5-3250 rechts kogelgestraald gelakt</t>
  </si>
  <si>
    <t>32760L080</t>
  </si>
  <si>
    <t>Veer 50-6.0-800 links kogelgestraald gelakt</t>
  </si>
  <si>
    <t>32760L100</t>
  </si>
  <si>
    <t>Veer 50-6.0-1000 links kogelgestraald gelakt</t>
  </si>
  <si>
    <t>32760L120</t>
  </si>
  <si>
    <t>Veer 50-6.0-1200 links kogelgestraald gelakt</t>
  </si>
  <si>
    <t>32760L180</t>
  </si>
  <si>
    <t>Veer 50-6.0-1800 links kogelgestraald gelakt</t>
  </si>
  <si>
    <t>32760L300</t>
  </si>
  <si>
    <t>Veer 50-6.0-3000 links kogelgestraald gelakt</t>
  </si>
  <si>
    <t>32760L325</t>
  </si>
  <si>
    <t>Veer 50-6.0-3250 links kogelgestraald gelakt</t>
  </si>
  <si>
    <t>32760R080</t>
  </si>
  <si>
    <t>Veer 50-6.0-800 rechts kogelgestraald gelakt</t>
  </si>
  <si>
    <t>32760R100</t>
  </si>
  <si>
    <t>Veer 50-6.0-1000 rechts kogelgestraald gelakt</t>
  </si>
  <si>
    <t>32760R120</t>
  </si>
  <si>
    <t>Veer 50-6.0-1200 rechts kogelgestraald gelakt</t>
  </si>
  <si>
    <t>32760R180</t>
  </si>
  <si>
    <t>Veer 50-6.0-1800 rechts kogelgestraald gelakt</t>
  </si>
  <si>
    <t>32760R300</t>
  </si>
  <si>
    <t>Veer 50-6.0-3000 rechts kogelgestraald gelakt</t>
  </si>
  <si>
    <t>32760R325</t>
  </si>
  <si>
    <t>Veer 50-6.0-3250 rechts kogelgestraald gelakt</t>
  </si>
  <si>
    <t>32765L100</t>
  </si>
  <si>
    <t>Veer 50-6.5-1000 links kogelgestraald gelakt</t>
  </si>
  <si>
    <t>32765L300</t>
  </si>
  <si>
    <t>Veer 50-6.5-3000 links kogelgestraald gelakt</t>
  </si>
  <si>
    <t>32765L325</t>
  </si>
  <si>
    <t>Veer 50-6.5-3250 links kogelgestraald gelakt</t>
  </si>
  <si>
    <t>32765R100</t>
  </si>
  <si>
    <t>Veer 50-6.5-1000 rechts kogelgestraald gelakt</t>
  </si>
  <si>
    <t>32765R300</t>
  </si>
  <si>
    <t>Veer 50-6.5-3000 rechts kogelgestraald gelakt</t>
  </si>
  <si>
    <t>32765R325</t>
  </si>
  <si>
    <t>Veer 50-6.5-3250 rechts kogelgestraald gelakt</t>
  </si>
  <si>
    <t>32770L300</t>
  </si>
  <si>
    <t>Veer 50-7.0-3000 links kogelgestraald gelakt</t>
  </si>
  <si>
    <t>Set geassembleerde veren verzinkt 50x5x448</t>
  </si>
  <si>
    <t>Set geassembleerde veren verzinkt 50x5x490</t>
  </si>
  <si>
    <t>Set geassembleerde veren verzinkt 50x5x533</t>
  </si>
  <si>
    <t>Set geassembleerde veren verzinkt 50x5x576</t>
  </si>
  <si>
    <t>Set geassembleerde veren verzinkt 50x5x619</t>
  </si>
  <si>
    <t>Set geassembleerde veren verzinkt 50x5x663</t>
  </si>
  <si>
    <t>Set geassembleerde veren verzinkt 50x5x706</t>
  </si>
  <si>
    <t>32950L300</t>
  </si>
  <si>
    <t>Veer 50-5.0-3000 links verzinkt</t>
  </si>
  <si>
    <t>32950R300</t>
  </si>
  <si>
    <t>Veer 50-5.0-3000 rechts verzinkt</t>
  </si>
  <si>
    <t>Set geassembleerde veren verzinkt 50x5.3x503</t>
  </si>
  <si>
    <t>Set geassembleerde veren verzinkt 50x5.3x551</t>
  </si>
  <si>
    <t>Set geassembleerde veren verzinkt 50x5.3x600</t>
  </si>
  <si>
    <t>Set geassembleerde veren verzinkt 50x5.3x649</t>
  </si>
  <si>
    <t>Set geassembleerde veren verzinkt 50x5.3x697</t>
  </si>
  <si>
    <t>Set geassembleerde veren verzinkt 50x5.3x746</t>
  </si>
  <si>
    <t>Set geassembleerde veren verzinkt 50x5.3x795</t>
  </si>
  <si>
    <t>Set geassembleerde veren verzinkt 50x5.3x844</t>
  </si>
  <si>
    <t>Set geassembleerde veren verzinkt 50x5.5x541</t>
  </si>
  <si>
    <t>Set geassembleerde veren verzinkt 50x5.5x593</t>
  </si>
  <si>
    <t>Set geassembleerde veren verzinkt 50x5.5x646</t>
  </si>
  <si>
    <t>Set geassembleerde veren verzinkt 50x5.5x698</t>
  </si>
  <si>
    <t>Set geassembleerde veren verzinkt 50x5.5x751</t>
  </si>
  <si>
    <t>Set geassembleerde veren verzinkt 50x5.5x804</t>
  </si>
  <si>
    <t>Set geassembleerde veren verzinkt 50x5.5x857</t>
  </si>
  <si>
    <t>32955L300</t>
  </si>
  <si>
    <t>Veer 50-5.5-3000 links verzinkt</t>
  </si>
  <si>
    <t>32955L325</t>
  </si>
  <si>
    <t>Veer 50-5.5-3250 links verzinkt</t>
  </si>
  <si>
    <t>32955R300</t>
  </si>
  <si>
    <t>Veer 50-5.5-3000 rechts verzinkt</t>
  </si>
  <si>
    <t>32955R325</t>
  </si>
  <si>
    <t>Veer 50-5.5-3250 rechts verzinkt</t>
  </si>
  <si>
    <t>Set geassembleerde veren verzinkt 50x6x648</t>
  </si>
  <si>
    <t>Set geassembleerde veren verzinkt 50x6x711</t>
  </si>
  <si>
    <t>Set geassembleerde veren verzinkt 50x6x775</t>
  </si>
  <si>
    <t>Set geassembleerde veren verzinkt 50x6x838</t>
  </si>
  <si>
    <t>Set geassembleerde veren verzinkt 50x6x902</t>
  </si>
  <si>
    <t>Set geassembleerde veren verzinkt 50x6x966</t>
  </si>
  <si>
    <t>Set geassembleerde veren verzinkt 50x6x1030</t>
  </si>
  <si>
    <t>Set geassembleerde veren verzinkt 50x6x1094</t>
  </si>
  <si>
    <t>Set geassembleerde veren verzinkt 50x6x1158</t>
  </si>
  <si>
    <t>32960L300</t>
  </si>
  <si>
    <t>Veer 50-6.0-3000 links verzinkt</t>
  </si>
  <si>
    <t>32960R300</t>
  </si>
  <si>
    <t>Veer 50-6.0-3000 rechts verzinkt</t>
  </si>
  <si>
    <t>Set geassembleerde veren verzinkt 50x6.5x763</t>
  </si>
  <si>
    <t>Set geassembleerde veren verzinkt 50x6.5x838</t>
  </si>
  <si>
    <t>Set geassembleerde veren verzinkt 50x6.5x913</t>
  </si>
  <si>
    <t>Set geassembleerde veren verzinkt type -v- 50x6.5x971</t>
  </si>
  <si>
    <t>Set geassembleerde veren verzinkt 50x6.5x989</t>
  </si>
  <si>
    <t>Set geassembleerde veren verzinkt 50x6.5x1064</t>
  </si>
  <si>
    <t>Set geassembleerde veren verzinkt 50x6.5x1140</t>
  </si>
  <si>
    <t>Set geassembleerde veren verzinkt 50x6.5x1216</t>
  </si>
  <si>
    <t>32965L325</t>
  </si>
  <si>
    <t>Veer 50-6.5-3250 links verzinkt</t>
  </si>
  <si>
    <t>32965R325</t>
  </si>
  <si>
    <t>Veer 50-6.5-3250 rechts verzinkt</t>
  </si>
  <si>
    <t>33060L300</t>
  </si>
  <si>
    <t>Veer 67-6.0-3000 links</t>
  </si>
  <si>
    <t>33060R300</t>
  </si>
  <si>
    <t>Veer 67-6.0-3000 rechts</t>
  </si>
  <si>
    <t>33065L300</t>
  </si>
  <si>
    <t>Veer 67-6.5-3000 links</t>
  </si>
  <si>
    <t>33065R300</t>
  </si>
  <si>
    <t>Veer 67-6.5-3000 rechts</t>
  </si>
  <si>
    <t>33070L325</t>
  </si>
  <si>
    <t>Veer 67-7.0-3250 links</t>
  </si>
  <si>
    <t>33070R325</t>
  </si>
  <si>
    <t>Veer 67-7.0-3250 rechts</t>
  </si>
  <si>
    <t>33070R375</t>
  </si>
  <si>
    <t>Veer 67-7.0-3750 rechts</t>
  </si>
  <si>
    <t>33075R340</t>
  </si>
  <si>
    <t>Veer 67-7.5-3400 rechts</t>
  </si>
  <si>
    <t>33760L080</t>
  </si>
  <si>
    <t>Veer 67-6.0-800 links kogelgestraald gelakt</t>
  </si>
  <si>
    <t>33760L100</t>
  </si>
  <si>
    <t>Veer 67-6.0-1000 links kogelgestraald gelakt</t>
  </si>
  <si>
    <t>33760L120</t>
  </si>
  <si>
    <t>Veer 67-6.0-1200 links kogelgestraald gelakt</t>
  </si>
  <si>
    <t>33760L180</t>
  </si>
  <si>
    <t>Veer 67-6.0-1800 links kogelgestraald gelakt</t>
  </si>
  <si>
    <t>33760L300</t>
  </si>
  <si>
    <t>Veer 67-6.0-3000 links kogelgestraald gelakt</t>
  </si>
  <si>
    <t>33760L325</t>
  </si>
  <si>
    <t>Spring 67-6.0-3250 left shotblasted painted</t>
  </si>
  <si>
    <t>33760R080</t>
  </si>
  <si>
    <t>Veer 67-6.0-800 rechts kogelgestraald gelakt</t>
  </si>
  <si>
    <t>33760R100</t>
  </si>
  <si>
    <t>Veer 67-6.0-1000 rechts kogelgestraald gelakt</t>
  </si>
  <si>
    <t>33760R180</t>
  </si>
  <si>
    <t>Veer 67-6.0-1800 rechts kogelgestraald gelakt</t>
  </si>
  <si>
    <t>33760R300</t>
  </si>
  <si>
    <t>Veer 67-6.0-3000 rechts kogelgestraald gelakt</t>
  </si>
  <si>
    <t>33765L100</t>
  </si>
  <si>
    <t>Veer 67-6.5-1000 links kogelgestraald gelakt</t>
  </si>
  <si>
    <t>33765L120</t>
  </si>
  <si>
    <t>Veer 67-6.5-1200 links kogelgestraald gelakt</t>
  </si>
  <si>
    <t>33765L140</t>
  </si>
  <si>
    <t>Veer 67-6.5-1400 links kogelgestraald gelakt</t>
  </si>
  <si>
    <t>33765L180</t>
  </si>
  <si>
    <t>Veer 67-6.5-1800 links kogelgestraald gelakt</t>
  </si>
  <si>
    <t>33765L300</t>
  </si>
  <si>
    <t>Veer 67-6.5-3000 links kogelgestraald gelakt</t>
  </si>
  <si>
    <t>33765L325</t>
  </si>
  <si>
    <t>Veer 67-6.5-3250 links kogelgestraald gelakt</t>
  </si>
  <si>
    <t>33765R100</t>
  </si>
  <si>
    <t>Veer 67-6.5-1000 rechts kogelgestraald gelakt</t>
  </si>
  <si>
    <t>33765R120</t>
  </si>
  <si>
    <t>Veer 67-6.5-1200 rechts kogelgestraald gelakt</t>
  </si>
  <si>
    <t>33765R140</t>
  </si>
  <si>
    <t>Veer 67-6.5-1400 rechts kogelgestraald gelakt</t>
  </si>
  <si>
    <t>33765R300</t>
  </si>
  <si>
    <t>Veer 67-6.5-3000 rechts kogelgestraald gelakt</t>
  </si>
  <si>
    <t>33765R325</t>
  </si>
  <si>
    <t>Veer 67-6.5-3250 rechts kogelgestraald gelakt</t>
  </si>
  <si>
    <t>33770L120</t>
  </si>
  <si>
    <t>Veer 67-7.0-1200 links kogelgestraald gelakt</t>
  </si>
  <si>
    <t>33770L140</t>
  </si>
  <si>
    <t>Veer 67-7.0-1400 links kogelgestraald gelakt</t>
  </si>
  <si>
    <t>33770L325</t>
  </si>
  <si>
    <t>Veer 67-7.0-3250 links kogelgestraald gelakt</t>
  </si>
  <si>
    <t>33770R120</t>
  </si>
  <si>
    <t>Veer 67-7.0-1200 rechts kogelgestraald gelakt</t>
  </si>
  <si>
    <t>33770R140</t>
  </si>
  <si>
    <t>Veer 67-7.0-1400 rechts kogelgestraald gelakt</t>
  </si>
  <si>
    <t>33770R325</t>
  </si>
  <si>
    <t>Veer 67-7.0-3250 rechts kogelgestraald gelakt</t>
  </si>
  <si>
    <t>33775L325</t>
  </si>
  <si>
    <t>Veer 67-7.5-3250 links kogelgestraald gelakt</t>
  </si>
  <si>
    <t>33775R325</t>
  </si>
  <si>
    <t>Veer 67-7.5-3250 rechts kogelgestraald gelakt</t>
  </si>
  <si>
    <t>33790L325</t>
  </si>
  <si>
    <t>Spring 67-9.0-3250 left shotblasted painted</t>
  </si>
  <si>
    <t>Assembled springs galvanized 67-6.0-811</t>
  </si>
  <si>
    <t>Assembled springs galvanized 67-6.0-861</t>
  </si>
  <si>
    <t>Assembled springs galvanized 67-6.0-911</t>
  </si>
  <si>
    <t>Assembled springs galvanized 67-6.0-961</t>
  </si>
  <si>
    <t>33960L300</t>
  </si>
  <si>
    <t>Veer 67-6.0-3000 links verzinkt</t>
  </si>
  <si>
    <t>33960L325</t>
  </si>
  <si>
    <t>Veer 67-6.0-3250 links verzinkt</t>
  </si>
  <si>
    <t>33960R300</t>
  </si>
  <si>
    <t>Veer 67-6.0-3000 rechts verzinkt</t>
  </si>
  <si>
    <t>33960R325</t>
  </si>
  <si>
    <t>Veer 67-6.0-3250 rechts verzinkt</t>
  </si>
  <si>
    <t>Assembled springs galvanized 67-6.5-1018</t>
  </si>
  <si>
    <t>Assembled springs galvanized 67-6.5-1077</t>
  </si>
  <si>
    <t>Assembled springs galvanized 67-6.5-1137</t>
  </si>
  <si>
    <t>33965L300</t>
  </si>
  <si>
    <t>Veer 67-6.5-3000 links verzinkt</t>
  </si>
  <si>
    <t>33965L325</t>
  </si>
  <si>
    <t>Veer 67-6.5-3250 links verzinkt</t>
  </si>
  <si>
    <t>33965R300</t>
  </si>
  <si>
    <t>Veer 67-6.5-3000 rechts verzinkt</t>
  </si>
  <si>
    <t>33965R325</t>
  </si>
  <si>
    <t>Veer 67-6.5-3250 rechts verzinkt</t>
  </si>
  <si>
    <t>Set geassembleerde veren verzinkt 67x7x837</t>
  </si>
  <si>
    <t>Set geassembleerde veren verzinkt 67x7x906</t>
  </si>
  <si>
    <t>Set geassembleerde veren verzinkt 67x7x975</t>
  </si>
  <si>
    <t>Set geassembleerde veren verzinkt 67x7x1044</t>
  </si>
  <si>
    <t>Set geassembleerde veren verzinkt 67x7x1113</t>
  </si>
  <si>
    <t>Set geassembleerde veren verzinkt 67x7x1183</t>
  </si>
  <si>
    <t>Set geassembleerde veren verzinkt 67x7x1252</t>
  </si>
  <si>
    <t>33970L300</t>
  </si>
  <si>
    <t>Veer 67-7.0-3000 links verzinkt</t>
  </si>
  <si>
    <t>33970L325</t>
  </si>
  <si>
    <t>Veer 67-7.0-3250 links verzinkt</t>
  </si>
  <si>
    <t>33970R300</t>
  </si>
  <si>
    <t>Veer 67-7.0-3000 rechts verzinkt</t>
  </si>
  <si>
    <t>33970R325</t>
  </si>
  <si>
    <t>Veer 67-7.0-3250 rechts verzinkt</t>
  </si>
  <si>
    <t>33975R275</t>
  </si>
  <si>
    <t>Veer 67-7.5-2750 rechts verzinkt</t>
  </si>
  <si>
    <t>34065L300</t>
  </si>
  <si>
    <t>Veer 95-6.5-3000 links</t>
  </si>
  <si>
    <t>34065R300</t>
  </si>
  <si>
    <t>Veer 95-6.5-3000 rechts</t>
  </si>
  <si>
    <t>34070L300</t>
  </si>
  <si>
    <t>Veer 95-7.0-3000 links</t>
  </si>
  <si>
    <t>34070R300</t>
  </si>
  <si>
    <t>Veer 95-7.0-3000 rechts</t>
  </si>
  <si>
    <t>34075L325</t>
  </si>
  <si>
    <t>Veer 95-7.5-3250 links</t>
  </si>
  <si>
    <t>34075R325</t>
  </si>
  <si>
    <t>Veer 95-7.5-3250 rechts</t>
  </si>
  <si>
    <t>34080L325</t>
  </si>
  <si>
    <t>Veer 95-8.0-3250 links</t>
  </si>
  <si>
    <t>34080L360</t>
  </si>
  <si>
    <t>Veer 95-8.0-3600 links</t>
  </si>
  <si>
    <t>34080R325</t>
  </si>
  <si>
    <t>Veer 95-8.0-3250 rechts</t>
  </si>
  <si>
    <t>34080R360</t>
  </si>
  <si>
    <t>Veer 95-8.0-3600 rechts</t>
  </si>
  <si>
    <t>34085L250</t>
  </si>
  <si>
    <t>Veer 95-8.5-2500 links</t>
  </si>
  <si>
    <t>34085R250</t>
  </si>
  <si>
    <t>Veer 95-8.5-2500 rechts</t>
  </si>
  <si>
    <t>34090L300</t>
  </si>
  <si>
    <t>Veer 95-9.0-3000 links</t>
  </si>
  <si>
    <t>34090R300</t>
  </si>
  <si>
    <t>Veer 95-9.0-3000 rechts</t>
  </si>
  <si>
    <t>34705L160</t>
  </si>
  <si>
    <t>Veer 95-10.5-1600 links kogelgestraald gelakt</t>
  </si>
  <si>
    <t>34705R160</t>
  </si>
  <si>
    <t>Veer 95-10.5-1600 rechts kogelgestraald gelakt</t>
  </si>
  <si>
    <t>34710L325</t>
  </si>
  <si>
    <t>Spring 95-10.0-3250 left shotblasted painted</t>
  </si>
  <si>
    <t>34710R325</t>
  </si>
  <si>
    <t>Spring 95-10.0-3250 right shotblasted painted</t>
  </si>
  <si>
    <t>34765L080</t>
  </si>
  <si>
    <t>Veer 95-6.5-800 links kogelgestraald gelakt</t>
  </si>
  <si>
    <t>34765L300</t>
  </si>
  <si>
    <t>Veer 95-6.5-3000 links kogelgestraald gelakt</t>
  </si>
  <si>
    <t>34765R080</t>
  </si>
  <si>
    <t>Veer 95-6.5-800 rechts kogelgestraald gelakt</t>
  </si>
  <si>
    <t>34765R300</t>
  </si>
  <si>
    <t>Veer 95-6.5-3000 rechts kogelgestraald gelakt</t>
  </si>
  <si>
    <t>34770L080</t>
  </si>
  <si>
    <t>Veer 95-7.0-800 links kogelgestraald gelakt</t>
  </si>
  <si>
    <t>34770L100</t>
  </si>
  <si>
    <t>Veer 95-7.0-1000 links kogelgestraald gelakt</t>
  </si>
  <si>
    <t>34770L120</t>
  </si>
  <si>
    <t>Veer 95-7.0-1200 links kogelgestraald gelakt</t>
  </si>
  <si>
    <t>34770L300</t>
  </si>
  <si>
    <t>Veer 95-7.0-3000 links kogelgestraald gelakt</t>
  </si>
  <si>
    <t>34770R080</t>
  </si>
  <si>
    <t>Veer 95-7.0-800 rechts kogelgestraald gelakt</t>
  </si>
  <si>
    <t>34770R100</t>
  </si>
  <si>
    <t>Veer 95-7.0-1000 rechts kogelgestraald gelakt</t>
  </si>
  <si>
    <t>34770R120</t>
  </si>
  <si>
    <t>Veer 95-7.0-1200 rechts kogelgestraald gelakt</t>
  </si>
  <si>
    <t>34770R300</t>
  </si>
  <si>
    <t>Veer 95-7.0-3000 rechts kogelgestraald gelakt</t>
  </si>
  <si>
    <t>34775L080</t>
  </si>
  <si>
    <t>Veer 95-7.5-800 links kogelgestraald gelakt</t>
  </si>
  <si>
    <t>34775L100</t>
  </si>
  <si>
    <t>Veer 95-7.5-1000 links kogelgestraald gelakt</t>
  </si>
  <si>
    <t>34775L120</t>
  </si>
  <si>
    <t>Veer 95-7.5-1200 links kogelgestraald gelakt</t>
  </si>
  <si>
    <t>34775L325</t>
  </si>
  <si>
    <t>Veer 95-7.5-3250 links kogelgestraald gelakt</t>
  </si>
  <si>
    <t>34775R080</t>
  </si>
  <si>
    <t>Veer 95-7.5-800 rechts kogelgestraald gelakt</t>
  </si>
  <si>
    <t>34775R100</t>
  </si>
  <si>
    <t>Veer 95-7.5-1000 rechts kogelgestraald gelakt</t>
  </si>
  <si>
    <t>34775R120</t>
  </si>
  <si>
    <t>Veer 95-7.5-1200 rechts kogelgestraald gelakt</t>
  </si>
  <si>
    <t>34775R160</t>
  </si>
  <si>
    <t>Veer 95-7.5-1600 rechts kogelgestraald gelakt</t>
  </si>
  <si>
    <t>34775R325</t>
  </si>
  <si>
    <t>Veer 95-7.5-3250 rechts kogelgestraald gelakt</t>
  </si>
  <si>
    <t>34780L080</t>
  </si>
  <si>
    <t>Veer 95-8.0-800 links kogelgestraald gelakt</t>
  </si>
  <si>
    <t>34780L100</t>
  </si>
  <si>
    <t>Veer 95-8.0-1000 links kogelgestraald gelakt</t>
  </si>
  <si>
    <t>34780L120</t>
  </si>
  <si>
    <t>Veer 95-8.0-1200 links kogelgestraald gelakt</t>
  </si>
  <si>
    <t>34780L140</t>
  </si>
  <si>
    <t>Veer 95-8.0-1400 links kogelgestraald gelakt</t>
  </si>
  <si>
    <t>34780L160</t>
  </si>
  <si>
    <t>Veer 95-8.0-1600 links kogelgestraald gelakt</t>
  </si>
  <si>
    <t>34780L300</t>
  </si>
  <si>
    <t>Veer 95-8.0-3000 links kogelgestraald gelakt</t>
  </si>
  <si>
    <t>34780L325</t>
  </si>
  <si>
    <t>Veer 95-8.0-3250 links kogelgestraald gelakt</t>
  </si>
  <si>
    <t>34780L340</t>
  </si>
  <si>
    <t>Veer 95-8.0-3400 links kogelgestraald gelakt</t>
  </si>
  <si>
    <t>34780R080</t>
  </si>
  <si>
    <t>Veer 95-8.0-800 rechts kogelgestraald gelakt</t>
  </si>
  <si>
    <t>34780R100</t>
  </si>
  <si>
    <t>Veer 95-8.0-1000 rechts kogelgestraald gelakt</t>
  </si>
  <si>
    <t>34780R120</t>
  </si>
  <si>
    <t>Veer 95-8.0-1200 rechts kogelgestraald gelakt</t>
  </si>
  <si>
    <t>34780R140</t>
  </si>
  <si>
    <t>Veer 95-8.0-1400 rechts kogelgestraald gelakt</t>
  </si>
  <si>
    <t>34780R160</t>
  </si>
  <si>
    <t>Veer 95-8.0-1600 rechts kogelgestraald gelakt</t>
  </si>
  <si>
    <t>34780R300</t>
  </si>
  <si>
    <t>Veer 95-8.0-3000 rechts kogelgestraald gelakt</t>
  </si>
  <si>
    <t>34780R325</t>
  </si>
  <si>
    <t>Veer 95-8.0-3250 rechts kogelgestraald gelakt</t>
  </si>
  <si>
    <t>34780R340</t>
  </si>
  <si>
    <t>Veer 95-8.0-3400 rechts kogelgestraald gelakt</t>
  </si>
  <si>
    <t>34785L120</t>
  </si>
  <si>
    <t>Veer 95-8.5-1200 links kogelgestraald gelakt</t>
  </si>
  <si>
    <t>34785L140</t>
  </si>
  <si>
    <t>Veer 95-8.5-1400 links kogelgestraald gelakt</t>
  </si>
  <si>
    <t>34785L160</t>
  </si>
  <si>
    <t>Veer 95-8.5-1600 links kogelgestraald gelakt</t>
  </si>
  <si>
    <t>34785L250</t>
  </si>
  <si>
    <t>Veer 95-8.5-2500 links kogelgestraald gelakt</t>
  </si>
  <si>
    <t>34785L300</t>
  </si>
  <si>
    <t>Veer 95-8.5-3000 links kogelgestraald gelakt</t>
  </si>
  <si>
    <t>34785L325</t>
  </si>
  <si>
    <t>Veer 95-8.5-3250 links kogelgestraald gelakt</t>
  </si>
  <si>
    <t>34785L360</t>
  </si>
  <si>
    <t>Veer 95-8.5-3600 links kogelgestraald gelakt</t>
  </si>
  <si>
    <t>34785R120</t>
  </si>
  <si>
    <t>Veer 95-8.5-1200 rechts kogelgestraald gelakt</t>
  </si>
  <si>
    <t>34785R140</t>
  </si>
  <si>
    <t>Veer 95-8.5-1400 rechts kogelgestraald gelakt</t>
  </si>
  <si>
    <t>34785R160</t>
  </si>
  <si>
    <t>Veer 95-8.5-1600 rechts kogelgestraald gelakt</t>
  </si>
  <si>
    <t>34785R250</t>
  </si>
  <si>
    <t>Veer 95-8.5-2500 rechts kogelgestraald gelakt</t>
  </si>
  <si>
    <t>34785R300</t>
  </si>
  <si>
    <t>Veer 95-8.5-3000 rechts kogelgestraald gelakt</t>
  </si>
  <si>
    <t>34785R325</t>
  </si>
  <si>
    <t>Veer 95-8.5-3250 rechts kogelgestraald gelakt</t>
  </si>
  <si>
    <t>34785R360</t>
  </si>
  <si>
    <t>Veer 95-8.5-3600 rechts kogelgestraald gelakt</t>
  </si>
  <si>
    <t>34790L140</t>
  </si>
  <si>
    <t>Veer 95-9.0-1400 links kogelgestraald gelakt</t>
  </si>
  <si>
    <t>34790L160</t>
  </si>
  <si>
    <t>Veer 95-9.0-1600 links kogelgestraald gelakt</t>
  </si>
  <si>
    <t>34790L300</t>
  </si>
  <si>
    <t>Veer 95-9.0-3000 links kogelgestraald gelakt</t>
  </si>
  <si>
    <t>34790L325</t>
  </si>
  <si>
    <t>Veer 95-9.0-3250 links kogelgestraald gelakt</t>
  </si>
  <si>
    <t>34790L360</t>
  </si>
  <si>
    <t>Veer 95-9.0-3600 links kogelgestraald gelakt</t>
  </si>
  <si>
    <t>34790R140</t>
  </si>
  <si>
    <t>Veer 95-9.0-1400 rechts kogelgestraald gelakt</t>
  </si>
  <si>
    <t>34790R160</t>
  </si>
  <si>
    <t>Veer 95-9.0-1600 rechts kogelgestraald gelakt</t>
  </si>
  <si>
    <t>34790R300</t>
  </si>
  <si>
    <t>Veer 95-9.0-3000 rechts kogelgestraald gelakt</t>
  </si>
  <si>
    <t>34790R325</t>
  </si>
  <si>
    <t>Veer 95-9.0-3250 rechts kogelgestraald gelakt</t>
  </si>
  <si>
    <t>34790R360</t>
  </si>
  <si>
    <t>Veer 95-9.0-3600 rechts kogelgestraald gelakt</t>
  </si>
  <si>
    <t>34795L160</t>
  </si>
  <si>
    <t>Veer 95-9.5-1600 links kogelgestraald gelakt</t>
  </si>
  <si>
    <t>34795L325</t>
  </si>
  <si>
    <t>Veer 95-9.5-3250 links kogelgestraald gelakt</t>
  </si>
  <si>
    <t>34795R160</t>
  </si>
  <si>
    <t>Veer 95-9.5-1600 rechts kogelgestraald gelakt</t>
  </si>
  <si>
    <t>34795R170</t>
  </si>
  <si>
    <t>Veer 95-9.5-1700 rechts kogelgestraald gelakt</t>
  </si>
  <si>
    <t>34795R325</t>
  </si>
  <si>
    <t>Veer 95-9.5-3250 rechts kogelgestraald gelakt</t>
  </si>
  <si>
    <t>34975L100</t>
  </si>
  <si>
    <t>Veer 95-7.5-1000 links verzinkt</t>
  </si>
  <si>
    <t>34975R100</t>
  </si>
  <si>
    <t>Veer 95-7.5-1000 rechts verzinkt</t>
  </si>
  <si>
    <t>36705L120</t>
  </si>
  <si>
    <t>Veer 152-10.5-1200 links kogelgestraald gelakt</t>
  </si>
  <si>
    <t>36705L160</t>
  </si>
  <si>
    <t>Veer 152-10.5-1600 links kogelgestraald gelakt</t>
  </si>
  <si>
    <t>36705L325</t>
  </si>
  <si>
    <t>Veer 152-10.5-3250 links kogelgestraald gelakt</t>
  </si>
  <si>
    <t>36705R120</t>
  </si>
  <si>
    <t>Veer 152-10.5-1200 rechts kogelgestraald gelakt</t>
  </si>
  <si>
    <t>36705R160</t>
  </si>
  <si>
    <t>Veer 152-10.5-1600 rechts kogelgestraald gelakt</t>
  </si>
  <si>
    <t>36705R325</t>
  </si>
  <si>
    <t>Veer 152-10.5-3250 rechts kogelgestraald gelakt</t>
  </si>
  <si>
    <t>36710L120</t>
  </si>
  <si>
    <t>Veer 152-10.0-1200 links kogelgestraald gelakt</t>
  </si>
  <si>
    <t>36710L160</t>
  </si>
  <si>
    <t>Veer 152-10.0-1600 links kogelgestraald gelakt</t>
  </si>
  <si>
    <t>36710L275</t>
  </si>
  <si>
    <t>Veer 152-10.0-2750 links kogelgestraald gelakt</t>
  </si>
  <si>
    <t>36710L325</t>
  </si>
  <si>
    <t>Veer 152-10.0-3250 links kogelgestraald gelakt</t>
  </si>
  <si>
    <t>36710R120</t>
  </si>
  <si>
    <t>Veer 152-10.0-1200 rechts kogelgestraald gelakt</t>
  </si>
  <si>
    <t>36710R160</t>
  </si>
  <si>
    <t>Veer 152-10.0-1600 rechts kogelgestraald gelakt</t>
  </si>
  <si>
    <t>36710R275</t>
  </si>
  <si>
    <t>Veer 152-10.0-2750 rechts kogelgestraald gelakt</t>
  </si>
  <si>
    <t>36710R325</t>
  </si>
  <si>
    <t>Veer 152-10.0-3250 rechts kogelgestraald gelakt</t>
  </si>
  <si>
    <t>36711L160</t>
  </si>
  <si>
    <t>Veer 152-11.0-1600 links kogelgestraald gelakt</t>
  </si>
  <si>
    <t>36711R160</t>
  </si>
  <si>
    <t>Veer 152-11.0-1600 rechts kogelgestraald gelakt</t>
  </si>
  <si>
    <t>36780L325</t>
  </si>
  <si>
    <t>Veer 152-8,0-3250 links kogelgestraald gelakt</t>
  </si>
  <si>
    <t>36780R325</t>
  </si>
  <si>
    <t>Veer 152-8,0-3250 rechts kogelgestraald gelakt</t>
  </si>
  <si>
    <t>36785L100</t>
  </si>
  <si>
    <t>Veer 152-8.5-1000 links kogelgestraald gelakt</t>
  </si>
  <si>
    <t>36785L140</t>
  </si>
  <si>
    <t>Veer 152-8.5-1400 links kogelgestraald gelakt</t>
  </si>
  <si>
    <t>36785L325</t>
  </si>
  <si>
    <t>Veer 152-8.5-3250 links kogelgestraald gelakt</t>
  </si>
  <si>
    <t>36785R100</t>
  </si>
  <si>
    <t>Veer 152-8.5-1000 rechts kogelgestraald gelakt</t>
  </si>
  <si>
    <t>36785R140</t>
  </si>
  <si>
    <t>Veer 152-8.5-1400 rechts kogelgestraald gelakt</t>
  </si>
  <si>
    <t>36785R325</t>
  </si>
  <si>
    <t>Veer 152-8.5-3250 rechts kogelgestraald gelakt</t>
  </si>
  <si>
    <t>36790L120</t>
  </si>
  <si>
    <t>Veer 152-9.0-1200 links kogelgestraald gelakt</t>
  </si>
  <si>
    <t>36790L325</t>
  </si>
  <si>
    <t>Veer 152-9.0-3250 links kogelgestraald gelakt</t>
  </si>
  <si>
    <t>36790R120</t>
  </si>
  <si>
    <t>Veer 152-9.0-1200 rechts kogelgestraald gelakt</t>
  </si>
  <si>
    <t>36790R160</t>
  </si>
  <si>
    <t>Veer 152-9.0-1600 rechts kogelgestraald gelakt</t>
  </si>
  <si>
    <t>36790R325</t>
  </si>
  <si>
    <t>Veer 152-9.0-3250 rechts kogelgestraald gelakt</t>
  </si>
  <si>
    <t>36795L120</t>
  </si>
  <si>
    <t>Veer 152-9.5-1200 links kogelgestraald gelakt</t>
  </si>
  <si>
    <t>36795L160</t>
  </si>
  <si>
    <t>Veer 152-9.5-1600 links kogelgestraald gelakt</t>
  </si>
  <si>
    <t>36795L275</t>
  </si>
  <si>
    <t>Veer 152-9.5-2750 links kogelgestraald gelakt</t>
  </si>
  <si>
    <t>36795L325</t>
  </si>
  <si>
    <t>Veer 152-9.5-3250 links kogelgestraald gelakt</t>
  </si>
  <si>
    <t>36795R120</t>
  </si>
  <si>
    <t>Veer 152-9.5-1200 rechts kogelgestraald gelakt</t>
  </si>
  <si>
    <t>36795R325</t>
  </si>
  <si>
    <t>Veer 152-9.5-3250 rechts kogelgestraald gelakt</t>
  </si>
  <si>
    <t>36795R275</t>
  </si>
  <si>
    <t>Veer 152-9.5-2750 rechts kogelgestraald gelakt</t>
  </si>
  <si>
    <t>430015-1875</t>
  </si>
  <si>
    <t>Verticale trackset HOME gebout H=1875</t>
  </si>
  <si>
    <t>430015-2000</t>
  </si>
  <si>
    <t>Verticale trackset HOME gebout H=2000</t>
  </si>
  <si>
    <t>430015-2125</t>
  </si>
  <si>
    <t>Verticale trackset HOME gebout H=2125</t>
  </si>
  <si>
    <t>430015-2250</t>
  </si>
  <si>
    <t>Verticale trackset HOME gebout H=2250</t>
  </si>
  <si>
    <t>430015-2375</t>
  </si>
  <si>
    <t>Verticale trackset HOME gebout H=2375</t>
  </si>
  <si>
    <t>430015-2500</t>
  </si>
  <si>
    <t>Verticale trackset HOME gebout H=2500</t>
  </si>
  <si>
    <t>430015-2625</t>
  </si>
  <si>
    <t>Verticale trackset HOME gebout H=2625</t>
  </si>
  <si>
    <t>430015-2750</t>
  </si>
  <si>
    <t>Verticale trackset HOME gebout H=2750</t>
  </si>
  <si>
    <t>430015-2875</t>
  </si>
  <si>
    <t>Verticale trackset HOME gebout H=2875</t>
  </si>
  <si>
    <t>430015-3000</t>
  </si>
  <si>
    <t>Verticale trackset HOME gebout H=3000</t>
  </si>
  <si>
    <t>430015-3125</t>
  </si>
  <si>
    <t>Verticale trackset HOME gebout H=3125</t>
  </si>
  <si>
    <t>430015-3250</t>
  </si>
  <si>
    <t>Verticale trackset HOME gebout H=3250</t>
  </si>
  <si>
    <t>430015-3375</t>
  </si>
  <si>
    <t>Verticale trackset HOME gebout H=3375</t>
  </si>
  <si>
    <t>430015-3500</t>
  </si>
  <si>
    <t>Verticale trackset HOME gebout H=3500</t>
  </si>
  <si>
    <t>430016-1875</t>
  </si>
  <si>
    <t>Horizontale trackset met korte alu. bocht HOME gebout H=1875</t>
  </si>
  <si>
    <t>430016-2000</t>
  </si>
  <si>
    <t>Horizontale trackset met korte alu. bocht HOME gebout H=2000</t>
  </si>
  <si>
    <t>430016-2125</t>
  </si>
  <si>
    <t>Horizontale trackset met korte alu. bocht HOME gebout H=2125</t>
  </si>
  <si>
    <t>430016-2250</t>
  </si>
  <si>
    <t>Horizontale trackset met korte alu. bocht HOME gebout H=2250</t>
  </si>
  <si>
    <t>430016-2375</t>
  </si>
  <si>
    <t>Horizontale trackset met korte alu. bocht HOME gebout H=2375</t>
  </si>
  <si>
    <t>430016-2500</t>
  </si>
  <si>
    <t>Horizontale trackset met korte alu. bocht HOME gebout H=2500</t>
  </si>
  <si>
    <t>430016-2625</t>
  </si>
  <si>
    <t>Horizontale trackset met korte alu. bocht HOME gebout H=2625</t>
  </si>
  <si>
    <t>430016-2750</t>
  </si>
  <si>
    <t>Horizontale trackset met korte alu. bocht HOME gebout H=2750</t>
  </si>
  <si>
    <t>430016-2875</t>
  </si>
  <si>
    <t>Horizontale trackset met korte alu. bocht HOME gebout H=2875</t>
  </si>
  <si>
    <t>430016-3000</t>
  </si>
  <si>
    <t>Horizontale trackset met korte alu. bocht HOME gebout H=3000</t>
  </si>
  <si>
    <t>430016-3125</t>
  </si>
  <si>
    <t>Horizontale trackset met korte alu. bocht HOME gebout H=3125</t>
  </si>
  <si>
    <t>430016-3250</t>
  </si>
  <si>
    <t>Horizontale trackset met korte alu. bocht HOME gebout H=3250</t>
  </si>
  <si>
    <t>430016-3375</t>
  </si>
  <si>
    <t>Horizontale trackset met korte alu. bocht HOME gebout H=3375</t>
  </si>
  <si>
    <t>430016-3500</t>
  </si>
  <si>
    <t>Horizontale trackset met korte alu. bocht HOME gebout H=3500</t>
  </si>
  <si>
    <t>430017-1875</t>
  </si>
  <si>
    <t>Horizontale trackset recht, HOME gebout H=1875</t>
  </si>
  <si>
    <t>430017-2000</t>
  </si>
  <si>
    <t>Horizontale trackset recht, HOME gebout H=2000</t>
  </si>
  <si>
    <t>430017-2125</t>
  </si>
  <si>
    <t>Horizontale trackset recht, HOME gebout H=2125</t>
  </si>
  <si>
    <t>430017-2250</t>
  </si>
  <si>
    <t>Horizontale trackset recht, HOME gebout H=2250</t>
  </si>
  <si>
    <t>430017-2375</t>
  </si>
  <si>
    <t>Horizontale trackset recht, HOME gebout H=2375</t>
  </si>
  <si>
    <t>430017-2500</t>
  </si>
  <si>
    <t>Horizontale trackset recht, HOME gebout H=2500</t>
  </si>
  <si>
    <t>430017-2625</t>
  </si>
  <si>
    <t>Horizontale trackset recht, HOME gebout H=2625</t>
  </si>
  <si>
    <t>430017-2750</t>
  </si>
  <si>
    <t>Horizontale trackset recht, HOME gebout H=2750</t>
  </si>
  <si>
    <t>430017-2875</t>
  </si>
  <si>
    <t>Horizontale trackset recht, HOME gebout H=2875</t>
  </si>
  <si>
    <t>430017-3000</t>
  </si>
  <si>
    <t>Horizontale trackset recht, HOME gebout H=3000</t>
  </si>
  <si>
    <t>430017-3125</t>
  </si>
  <si>
    <t>Horizontale trackset recht, HOME gebout H=3125</t>
  </si>
  <si>
    <t>430017-3250</t>
  </si>
  <si>
    <t>Horizontale trackset recht, HOME gebout H=3250</t>
  </si>
  <si>
    <t>430017-3375</t>
  </si>
  <si>
    <t>Horizontale trackset recht, HOME gebout H=3375</t>
  </si>
  <si>
    <t>430017-3500</t>
  </si>
  <si>
    <t>Horizontale trackset recht, HOME gebout H=3500</t>
  </si>
  <si>
    <t>439011-2000</t>
  </si>
  <si>
    <t>Verticale railset HOME F/R, voorgemonteerd H=2000, incl zijplaat RVS.</t>
  </si>
  <si>
    <t>439011-2125</t>
  </si>
  <si>
    <t>Verticale railset HOME F/R, voorgemonteerd H=2125, incl zijplaat RVS.</t>
  </si>
  <si>
    <t>439011-2250</t>
  </si>
  <si>
    <t>Verticale railset HOME F/R, voorgemonteerd H=2250, incl zijplaat RVS.</t>
  </si>
  <si>
    <t>439011-2375</t>
  </si>
  <si>
    <t>Verticale railset HOME F/R, voorgemonteerd H=2375, incl zijplaat RVS.</t>
  </si>
  <si>
    <t>439011-2500</t>
  </si>
  <si>
    <t>Verticale railset HOME F/R, voorgemonteerd H=2500, incl zijplaat RVS.</t>
  </si>
  <si>
    <t>439011-3000</t>
  </si>
  <si>
    <t>Verticale railset HOME F/R, voorgemonteerd H=3000, incl zijplaat RVS.</t>
  </si>
  <si>
    <t>43909-2000</t>
  </si>
  <si>
    <t>Verticale railset HOME-X voorgemonteerd. H=2000mm. RVS.</t>
  </si>
  <si>
    <t>43909-2125</t>
  </si>
  <si>
    <t>Verticale railset HOME-X voorgemonteerd. H=2125mm. RVS.</t>
  </si>
  <si>
    <t>43909-2250</t>
  </si>
  <si>
    <t>Verticale railset HOME-X voorgemonteerd. H=2250mm. RVS.</t>
  </si>
  <si>
    <t>43909-2375</t>
  </si>
  <si>
    <t>Verticale railset HOME-X voorgemonteerd. H=2375mm. RVS.</t>
  </si>
  <si>
    <t>43909-2500</t>
  </si>
  <si>
    <t>Verticale railset HOME-X voorgemonteerd. H=2500mm. RVS.</t>
  </si>
  <si>
    <t>43909-2750</t>
  </si>
  <si>
    <t>Verticale railset HOME-X voorgemonteerd. H=2750mm. RVS.</t>
  </si>
  <si>
    <t>43909-3000</t>
  </si>
  <si>
    <t>Verticale railset HOME-X voorgemonteerd. H=3000mm. RVS.</t>
  </si>
  <si>
    <t>Afhangset L = 360 mm</t>
  </si>
  <si>
    <t>Afhangset lang L = 500 mm</t>
  </si>
  <si>
    <t>Afhangset zijwaarts eenzijdig L = 500 mm</t>
  </si>
  <si>
    <t>Stalen stelring 31,75 mm</t>
  </si>
  <si>
    <t>Stalen stelring 25,4 mm</t>
  </si>
  <si>
    <t>80010-L</t>
  </si>
  <si>
    <t>Eindkap dubbel L=605 mm met gaten</t>
  </si>
  <si>
    <t>80011-L</t>
  </si>
  <si>
    <t>Eindkap dubbel L= 483 mm met gaten</t>
  </si>
  <si>
    <t>Eindkap L= 605 mm</t>
  </si>
  <si>
    <t>80012-L</t>
  </si>
  <si>
    <t>Eindkap L=605 mm met gaten</t>
  </si>
  <si>
    <t>80013-L</t>
  </si>
  <si>
    <t>Eindkap L=483 mm met gaten. Past op Hoesch industrie paneel 488 mm.</t>
  </si>
  <si>
    <t>Alu Top &amp; Bodem U-profiel H=33-66 Pan=45 Brute L=5600</t>
  </si>
  <si>
    <t>Eindkap L= 495 mm</t>
  </si>
  <si>
    <t>80017-L</t>
  </si>
  <si>
    <t>Eindkap L=495 mm met gaten</t>
  </si>
  <si>
    <t>Bodemafdichtingsprofiel op rol 25 mtr.</t>
  </si>
  <si>
    <t>Rubberslang op rol 50 mtr.</t>
  </si>
  <si>
    <t>Topafdichtingsprofiel op rol 50 mtr.</t>
  </si>
  <si>
    <t>Pvc loopdeur afdichting</t>
  </si>
  <si>
    <t>Alu Loopdeur Profiel H=53-30 Pan=40 Ano L=6000</t>
  </si>
  <si>
    <t>Alu Glaslijst Enkel H=29-26 Ano L=6000</t>
  </si>
  <si>
    <t>Alu Glaslijst Dubbel H=29-26 Ano L=6000</t>
  </si>
  <si>
    <t>Alu Loopdeur Scharnier Ano L=2500</t>
  </si>
  <si>
    <t>Bodemafdichtingsprofiel op rol 50 mtr.</t>
  </si>
  <si>
    <t>Alu Top U-profiel H=30 Pan=40 Ano L=6000</t>
  </si>
  <si>
    <t>Alu Loopdeur Set DIN-R Ano DH=1885 DB=847</t>
  </si>
  <si>
    <t>Eindkap breed 605 mm RVS</t>
  </si>
  <si>
    <t>Eindkap breed 483 mm RVS</t>
  </si>
  <si>
    <t>Bodemrubber glassektie op rol 20 mtr.</t>
  </si>
  <si>
    <t>Toprubber glassektie op rol 75 mtr.</t>
  </si>
  <si>
    <t>Glasrubber op rol 200 mtr.</t>
  </si>
  <si>
    <t>Glasrubber binnen op rol 400 mtr.</t>
  </si>
  <si>
    <t>Tussenrubber glassektie op rol 400 mtr.</t>
  </si>
  <si>
    <t>80554-396</t>
  </si>
  <si>
    <t>Alu Glassecties Zijprofiel H=100 Pan=40 Ano L=396</t>
  </si>
  <si>
    <t>80554-506</t>
  </si>
  <si>
    <t>Alu Glassecties Zijprofiel H=100 Pan=40 Ano L=506</t>
  </si>
  <si>
    <t>80554-7200</t>
  </si>
  <si>
    <t>Alu Glassecties Bodem &amp; Zijprofiel H=100 Pan=40 Ano L=7200</t>
  </si>
  <si>
    <t>80554-8000</t>
  </si>
  <si>
    <t>Alu Glassecties Bodem &amp; Zijprofiel H=100 Pan=40 Ano L=8000</t>
  </si>
  <si>
    <t>80554-B7200</t>
  </si>
  <si>
    <t>Alu Glassecties Bodem &amp; Zijprofiel H=100 Pan=40 Brute L=7200</t>
  </si>
  <si>
    <t>80555-7200</t>
  </si>
  <si>
    <t>Alu Bodemprofiel H=55 Pan=40 Ano L=7200</t>
  </si>
  <si>
    <t>80556-7200</t>
  </si>
  <si>
    <t>Alu Topprofiel H=55 Pan=40 Ano L=7200</t>
  </si>
  <si>
    <t>80557-396</t>
  </si>
  <si>
    <t>Alu Tussenprofiel H=50 Pan=40 Ano L=396</t>
  </si>
  <si>
    <t>80557-506</t>
  </si>
  <si>
    <t>Full vision intermediate profile, 610mm panel, L=506 mm</t>
  </si>
  <si>
    <t>80557-7200</t>
  </si>
  <si>
    <t>Alu Tussenprofiel H=50 Pan=40 Ano L=7200</t>
  </si>
  <si>
    <t>80557-B7200</t>
  </si>
  <si>
    <t>Alu Tussenprofiel H=50 Pan=40 Brute L=7200</t>
  </si>
  <si>
    <t>805900-50</t>
  </si>
  <si>
    <t>Bodemafdichtingsprofiel epco paneel op rol 50 mtr.</t>
  </si>
  <si>
    <t>Bodemafdichtingsprofiel Epco paneel op rol 20 mtr.</t>
  </si>
  <si>
    <t>80609-L</t>
  </si>
  <si>
    <t>Eindkap voor dubbel scharnier met gaten L=483 mm</t>
  </si>
  <si>
    <t>80610-L</t>
  </si>
  <si>
    <t>Eindkap voor dubbel scharnier met gaten, L=593 mm</t>
  </si>
  <si>
    <t>80612-L</t>
  </si>
  <si>
    <t>Eindkap met gaten L=593mm</t>
  </si>
  <si>
    <t>80617-L</t>
  </si>
  <si>
    <t>Eindkap met gaten L=483 mm</t>
  </si>
  <si>
    <t>820100-4040</t>
  </si>
  <si>
    <t>Alu Top &amp; Bodem U-profiel H=35 Pan=40 Brute L=4040</t>
  </si>
  <si>
    <t>820100-5050</t>
  </si>
  <si>
    <t>Alu Top &amp; Bodem U-profiel H=35 Pan=40 Brute L=5050</t>
  </si>
  <si>
    <t>820100-6090</t>
  </si>
  <si>
    <t>Alu Top &amp; Bodem U-profiel H=35 Pan=40 Brute L=6090</t>
  </si>
  <si>
    <t>820100-R9011-4040</t>
  </si>
  <si>
    <t>Alu Top &amp; Bodem U-profiel H=35 Pan=40 Zwart L=4040</t>
  </si>
  <si>
    <t>820100-R9011-5050</t>
  </si>
  <si>
    <t>Alu Top &amp; Bodem U-profiel H=35 Pan=40 Zwart L=5050</t>
  </si>
  <si>
    <t>820100-R9011-6090</t>
  </si>
  <si>
    <t>Alu Top &amp; Bodem U-profiel H=35 Pan=40 Zwart L=6090</t>
  </si>
  <si>
    <t>820100-R9016-4040</t>
  </si>
  <si>
    <t>Alu Top &amp; Bodem U-profiel H=35 Pan=40 Wit L=4040</t>
  </si>
  <si>
    <t>820100-R9016-5050</t>
  </si>
  <si>
    <t>Alu Top &amp; Bodem U-profiel H=35 Pan=40 Wit L=5050</t>
  </si>
  <si>
    <t>820100-R9016-6090</t>
  </si>
  <si>
    <t>Alu Top &amp; Bodem U-profiel H=35 Pan=40 Wit L=6090</t>
  </si>
  <si>
    <t>820101-4040</t>
  </si>
  <si>
    <t>Alu Top &amp; Bodem U-profiel H=55 Pan=40 Brute L=4040</t>
  </si>
  <si>
    <t>820101-5050</t>
  </si>
  <si>
    <t>Alu Top &amp; Bodem U-profiel H=55 Pan=40 Brute L=5050</t>
  </si>
  <si>
    <t>820101-6090</t>
  </si>
  <si>
    <t>Alu Top &amp; Bodem U-profiel H=55 Pan=40 Brute L=6090</t>
  </si>
  <si>
    <t>820101-R9011-6090</t>
  </si>
  <si>
    <t>Alu Top &amp; Bodem U-profiel H=55 Pan=40 Zwart L=6090</t>
  </si>
  <si>
    <t>820101-R9016-6090</t>
  </si>
  <si>
    <t>Alu Top &amp; Bodem U-profiel H=55 Pan=40 Wit L=6090</t>
  </si>
  <si>
    <t>820102-6090</t>
  </si>
  <si>
    <t>Alu Top &amp; Bodem U-profiel H=35 Pan=42 Brute L=6090</t>
  </si>
  <si>
    <t>820103-6090</t>
  </si>
  <si>
    <t>Alu Top &amp; Bodem U-profiel H=100 Pan=40 Brute L=6090</t>
  </si>
  <si>
    <t>820104-6090</t>
  </si>
  <si>
    <t>Alu Bodem L-profiel H=67 Pan=40 Brute L=6090</t>
  </si>
  <si>
    <t>820105-6090</t>
  </si>
  <si>
    <t>Alu Bodem L-profiel H=67-15 Pan=40 Brute L=6090</t>
  </si>
  <si>
    <t>820105-R9011-6090</t>
  </si>
  <si>
    <t>Alu Bodem L-profiel H=67-15 Pan=40 Zwart L=6090</t>
  </si>
  <si>
    <t>820105-R9016-6090</t>
  </si>
  <si>
    <t>Alu Bodem L-profiel H=67-15 Pan=40 Wit L=6090</t>
  </si>
  <si>
    <t>820106-6090</t>
  </si>
  <si>
    <t>Alu Top &amp; Bodem U-profiel H=70 Pan=60 Brute L=6090</t>
  </si>
  <si>
    <t>820107-6090</t>
  </si>
  <si>
    <t>Alu Top &amp; Bodem U-profiel H=35 Pan=80 Brute L=6090</t>
  </si>
  <si>
    <t>820110-6090</t>
  </si>
  <si>
    <t>Alu Bodemprofiel H=28 Pan=40 Brute L=6090</t>
  </si>
  <si>
    <t>820110-R9010-6090</t>
  </si>
  <si>
    <t>Alu Bodemprofiel H=28 Pan=40 Wit L=6090</t>
  </si>
  <si>
    <t>820111-6090</t>
  </si>
  <si>
    <t>Alu Top U-profiel H=35-15 Pan=40 Brute L=6090</t>
  </si>
  <si>
    <t>820111-R9016-6090</t>
  </si>
  <si>
    <t>Alu Top U-profiel H=35-15 Pan=40 Wit L=6090</t>
  </si>
  <si>
    <t>820401-6090</t>
  </si>
  <si>
    <t>Top en bodemprofiel 42 mm</t>
  </si>
  <si>
    <t>820503-3000</t>
  </si>
  <si>
    <t>Alu Drempel H=55-30 Pan=40 Ano L=3000</t>
  </si>
  <si>
    <t>820503-5000</t>
  </si>
  <si>
    <t>Alu Drempel H=55-30 Pan=40 Ano L=5000</t>
  </si>
  <si>
    <t>820503-R9016-3000</t>
  </si>
  <si>
    <t>Alu Drempel H=55-30 Pan=40 Wit L=3000</t>
  </si>
  <si>
    <t>820503-R9016-5000</t>
  </si>
  <si>
    <t>Alu Drempel H=55-30 Pan=40 Wit L=5000</t>
  </si>
  <si>
    <t>820600-7200</t>
  </si>
  <si>
    <t>Alu Glassecties Topprofiel EPCO Pan=40 Ano L=7200</t>
  </si>
  <si>
    <t>820604-7200</t>
  </si>
  <si>
    <t>Alu Glassecties Verstevigingsprofiel H=65 Ano L=7200</t>
  </si>
  <si>
    <t>820606-396</t>
  </si>
  <si>
    <t>Alu Glassecties Zijprofiel H=152 Pan=40 Ano L=396</t>
  </si>
  <si>
    <t>820606-506</t>
  </si>
  <si>
    <t>Alu Glassecties Zijprofiel H=152 Pan=40 Ano L=506</t>
  </si>
  <si>
    <t>820606-7200</t>
  </si>
  <si>
    <t>Alu Glassecties Zijprofiel H=152 Pan=40 Ano L=7200</t>
  </si>
  <si>
    <t>820610-7200</t>
  </si>
  <si>
    <t>Alu Glassecties Topprofiel ITAL Pan=40 Ano L=7200</t>
  </si>
  <si>
    <t>820611-7200</t>
  </si>
  <si>
    <t>Alu Glassecties Bodemprofiel ITAL Pan=40 Ano L=7200</t>
  </si>
  <si>
    <t>820620-7200</t>
  </si>
  <si>
    <t>Alu Glassecties Topprofiel KDC-TP Pan=40 Ano L=7200</t>
  </si>
  <si>
    <t>820621-7200</t>
  </si>
  <si>
    <t>Alu Glassecties Bodemprofiel KDC-TP-EPCO Pan=40 Ano L=7200</t>
  </si>
  <si>
    <t>Bodemafdichtingsprofiel op rol 35 mtr.</t>
  </si>
  <si>
    <t>Topafdichtingsprofiel op rol 35 mtr.</t>
  </si>
  <si>
    <t>Bodemprofiel voor low step profiel op rol 35 mtr.</t>
  </si>
  <si>
    <t>Bodemafdichtingsprofiel dubbele kamer voor Opto-sensor op rol 30 mtr.</t>
  </si>
  <si>
    <t>Zachte bodemafdichting op rol 35 mtr.</t>
  </si>
  <si>
    <t>825113-1000</t>
  </si>
  <si>
    <t>Bodemafdichtingsprofiel zacht EPCO paneel</t>
  </si>
  <si>
    <t>825113-35</t>
  </si>
  <si>
    <t>Bodemafdichtingsprofiel zacht EPCO paneel op rol 35 mtr.</t>
  </si>
  <si>
    <t>Venster 637x334/615x310/551x245 mm voor paneel 40 mm, buiten zwart, binnen zwart, glad, schroeven, frame ABS - korrel, beglazing PMMA 2,0 mm</t>
  </si>
  <si>
    <t>Venster 613x201/590x180/547x136 mm voor paneel 40 mm, buiten zwart R9005, binnen zwart R9005,glad, schroeven, frame PP houtnerf, beglazing AA 2,0</t>
  </si>
  <si>
    <t>Venster 665x345/640x320/575x260 mm voor paneel 40 mm, buiten zwart R9005, binnen zwart R9005, glad, schroeven, frame ABS - korrel, beglazing AA 2,0</t>
  </si>
  <si>
    <t>Venster 680x369/657x347/593x282 mm voor paneel 40 mm, buiten zwart R9005, binnen zwart R9005, glad, schroeven, frame ABS - korrel, beglazing AA 2,0</t>
  </si>
  <si>
    <t>Venster 499x328/472x302/431x261 mm voor paneel 40 mm, buiten wit ,binnen wit ,glad, schroeven, frame ABS houtnerf, beglazing AA 2,0</t>
  </si>
  <si>
    <t>Venster 499x328/472x302/431x261 mm voor paneel 40 mm, buiten zwart R9005,binnen zwart R9005,glad, schroeven, frame ABS houtnerf, beglazing AA 2,0</t>
  </si>
  <si>
    <t>Venster 532x344/510x320/465x275 mm voor paneel 40 mm, buiten wit ,binnen wit ,glad, schroeven, frame PP houtnerf, beglazing AA 2,0</t>
  </si>
  <si>
    <t>Rechthoeking venster 203x610/180x588/40mm paneel RVS316+ASA</t>
  </si>
  <si>
    <t>Rechthoekig venster 140x980/108x947/40mm paneel RVS316</t>
  </si>
  <si>
    <t>Venster plexiglas 149x609 mm "gesealde versie". Afmeting gelijk aan 85601</t>
  </si>
  <si>
    <t>Venster plexi 334x637 50 mm paneel "gesealde versie". Afmeting gelijk aan 85703</t>
  </si>
  <si>
    <t>Venster plexi 304x609 voor 60 mm paneel "gesealde versie". Afmeting gelijk aan 85803</t>
  </si>
  <si>
    <t>Venster ovaal snap-lock</t>
  </si>
  <si>
    <t>85601-F</t>
  </si>
  <si>
    <t>Venster-Frame 144x608 mm zonder glas, spacer / schroeven</t>
  </si>
  <si>
    <t>85603-PC</t>
  </si>
  <si>
    <t>Venster plexiglas 304x609 mm enkel pcd</t>
  </si>
  <si>
    <t>85603-W</t>
  </si>
  <si>
    <t>Venster plexiglas 304x609 mm wit</t>
  </si>
  <si>
    <t>Stockton gril (kruis voor 85606) wit</t>
  </si>
  <si>
    <t>Stockton gril (kruis voor 840616) zwart</t>
  </si>
  <si>
    <t>Venster wit, matglas</t>
  </si>
  <si>
    <t>Venster rond diameter 330 mm</t>
  </si>
  <si>
    <t>RVS venster rond 330 mm met glas</t>
  </si>
  <si>
    <t>RVS venster vierkant 310 mm met glas</t>
  </si>
  <si>
    <t>875000-2920</t>
  </si>
  <si>
    <t>Loopdeur drempel L=2920 mm geanodiseerd</t>
  </si>
  <si>
    <t>875000-4920</t>
  </si>
  <si>
    <t>Loopdeur drempel L=4920 mm geanodiseerd</t>
  </si>
  <si>
    <t>875000-7000</t>
  </si>
  <si>
    <t>Loopdeur drempel L=7000 mm geanodiseerd</t>
  </si>
  <si>
    <t>875000-R9016-2920</t>
  </si>
  <si>
    <t>Loopdeur drempel L=2920 mm RAL9016</t>
  </si>
  <si>
    <t>875000-R9016-4920</t>
  </si>
  <si>
    <t>Loopdeur drempel L=4920 mm RAL9016</t>
  </si>
  <si>
    <t>875001-3100</t>
  </si>
  <si>
    <t>Deur profiel loopdeur L=3100 mm geanodiseerd</t>
  </si>
  <si>
    <t>875001-R9016-3100</t>
  </si>
  <si>
    <t>Deur profiel loopdeur L=3100 mm RAL9016</t>
  </si>
  <si>
    <t>875002-3400</t>
  </si>
  <si>
    <t>Bodemprofiel voor afdichting loopdeur L=3400 mm geanodiseerd</t>
  </si>
  <si>
    <t>875003-3620</t>
  </si>
  <si>
    <t>Alu. lekdorpel loopdeur L=3620 mm geanodiseerd</t>
  </si>
  <si>
    <t>Plastic eindkap voor loopdeur drempel RAL9011</t>
  </si>
  <si>
    <t>875010-R7045</t>
  </si>
  <si>
    <t>Plastic eindkap voor loopdeur drempel RAL7045</t>
  </si>
  <si>
    <t>Plastic deurvanger voor loopdeur RAL9011</t>
  </si>
  <si>
    <t>Vingerveiligheid set loopdeur RAL9011</t>
  </si>
  <si>
    <t>875012-R7045</t>
  </si>
  <si>
    <t>Vingerveiligheid set loopdeur RAL7045</t>
  </si>
  <si>
    <t>Adapterstuk bodemafdichting deur RAL9011</t>
  </si>
  <si>
    <t>plastic verstevigingshoekje voor loopdeur</t>
  </si>
  <si>
    <t>positioneringsnok voor loopdeur</t>
  </si>
  <si>
    <t>Fingersafetyset loopdeur voor 5punt slot R9011 DIN Rechts</t>
  </si>
  <si>
    <t>875016-R7045</t>
  </si>
  <si>
    <t>Fingersafetyset loopdeur voor 5punt slot R7045 DIN, rechts</t>
  </si>
  <si>
    <t>Fingersafetyset loopdeur voor 5punt slot R9011 DIN Links</t>
  </si>
  <si>
    <t>875017-R7045</t>
  </si>
  <si>
    <t>Fingersafetyset loopdeur voor 5punt slot R7045 DIN, links</t>
  </si>
  <si>
    <t>Vingerveiligheidset loopdeur Ital-Mar-Met-Tec RAL9011</t>
  </si>
  <si>
    <t>875018-R7045</t>
  </si>
  <si>
    <t>Vingerveiligheidset loopdeur Ital-Mar-Met-Tec RAL7045</t>
  </si>
  <si>
    <t>Capset 5pointlock DIN L Ital-Mar-Met-Tec R9011</t>
  </si>
  <si>
    <t>875019-R7045</t>
  </si>
  <si>
    <t>Capset 5pointlock DIN L Ital-Mar-Met-Tec R7045</t>
  </si>
  <si>
    <t>Capset 5pointlock DIN R Ital-Mar-Met-Tec R9011</t>
  </si>
  <si>
    <t>875020-R7045</t>
  </si>
  <si>
    <t>Capset 5pointlock DIN R Ital-Mar-Met-Tec R7045</t>
  </si>
  <si>
    <t>Bodemafdichting deurzijde op rol 50 mtr.</t>
  </si>
  <si>
    <t>Pass door seal on rol 180 mtr. per roll</t>
  </si>
  <si>
    <t>Bodemafdichting voor loopdeur op rol 50 mtr.</t>
  </si>
  <si>
    <t>Geassembleerde loopdeur scharnier</t>
  </si>
  <si>
    <t>Transportbeugel voor loopdeur</t>
  </si>
  <si>
    <t>Afsluitplaat loopdeur scharnier</t>
  </si>
  <si>
    <t>875060-R9016-2880</t>
  </si>
  <si>
    <t>Verstevigingsprofiel loopdeur L=2880 mm RAL9016</t>
  </si>
  <si>
    <t>875060-R9016-4880</t>
  </si>
  <si>
    <t>Verstevigingsprofiel loopdeur L=4880 mm RAL9016</t>
  </si>
  <si>
    <t>Sluitplaat slot loopdeur</t>
  </si>
  <si>
    <t>Deurdranger met glijstang</t>
  </si>
  <si>
    <t>Door closer assembly set for passdoor</t>
  </si>
  <si>
    <t>Interne deurdranger met Geleidingsrail 480mm</t>
  </si>
  <si>
    <t>Loopdeur profiel kit,mid.paneel H=500, voor slot, geanod.</t>
  </si>
  <si>
    <t>875100-R9016</t>
  </si>
  <si>
    <t>Loopdeur profiel kit,mid.paneel H=500, voor slot, RAL9016</t>
  </si>
  <si>
    <t>Loopdeur profiel kit,mid.paneel H=555, voor slot, geanod.</t>
  </si>
  <si>
    <t>875101-R9016</t>
  </si>
  <si>
    <t>Loopdeur profiel kit,mid.paneel H=555, voor slot, RAL9016</t>
  </si>
  <si>
    <t>Loopdeur profiel kit,mid.paneel H=610, voor slot, geanod.</t>
  </si>
  <si>
    <t>875102-R9016</t>
  </si>
  <si>
    <t>Loopdeur profiel kit,mid.paneel H=610, voor slot, RAL9016</t>
  </si>
  <si>
    <t>Loopdeur profiel kit,mid. paneel H=500, zonder slot, geanod.</t>
  </si>
  <si>
    <t>875103-R9016</t>
  </si>
  <si>
    <t>Loopdeur profiel kit,mid. paneel H=500, zonder slot, RAL9016</t>
  </si>
  <si>
    <t>Loopdeur profiel kit,mid. paneel H=555, zonder slot, geanod.</t>
  </si>
  <si>
    <t>875104-R9016</t>
  </si>
  <si>
    <t>Loopdeur profiel kit,mid.paneel H=555, zonder slot, RAL9016</t>
  </si>
  <si>
    <t>Loopdeur profiel kit,mid. paneel H=610, zonder slot, geanod.</t>
  </si>
  <si>
    <t>875105-R9016</t>
  </si>
  <si>
    <t>Loopdeur profiel kit,mid. paneel H=610, zonder slot, RAL9016</t>
  </si>
  <si>
    <t>Loopdeur profiel kit, DIN Right, top paneel, geadon.</t>
  </si>
  <si>
    <t>875110-R9016</t>
  </si>
  <si>
    <t>Loopdeur profiel kit, DIN Right, top paneel, RAL9016</t>
  </si>
  <si>
    <t>Loopdeur profiel kit, DIN Right, bodem paneel H=500, geadon.</t>
  </si>
  <si>
    <t>875111-R9016</t>
  </si>
  <si>
    <t>Loopdeur profiel kit, DIN Right, bodem paneel H=500, RAL9016</t>
  </si>
  <si>
    <t>Loopdeur profiel kit, DIN Right, bodem paneel H=555, geadon.</t>
  </si>
  <si>
    <t>875112-R9016</t>
  </si>
  <si>
    <t>Loopdeur profiel kit, DIN Right, bodem paneel H=555, RAL9016</t>
  </si>
  <si>
    <t>Loopdeur profiel kit, DIN Right, bodem paneel H=610, geadon.</t>
  </si>
  <si>
    <t>875113-R9016</t>
  </si>
  <si>
    <t>Loopdeur profiel kit, DIN Right, bodem paneel H=610, RAL9016</t>
  </si>
  <si>
    <t>Loopdeur profiel kit, DIN-R, top, int. deurdranger ,geannod.</t>
  </si>
  <si>
    <t>875114-R9016</t>
  </si>
  <si>
    <t>Loopdeur profiel kit, DIN-R, top, int. deurdranger ,RAL9016</t>
  </si>
  <si>
    <t>Loopdeur profiel kit, DIN Left, top paneel, geadon.</t>
  </si>
  <si>
    <t>875120-R9016</t>
  </si>
  <si>
    <t>Loopdeur profiel kit, DIN Left, top paneel, RAL9016</t>
  </si>
  <si>
    <t>Loopdeur profiel kit, DIN Left, bodem paneel H=500, geadon.</t>
  </si>
  <si>
    <t>875121-R9016</t>
  </si>
  <si>
    <t>Passdoor profile box,DIN Left,bottom panel H=500,RAL9016</t>
  </si>
  <si>
    <t>Loopdeur profiel kit, DIN Left, bodem paneel H=555, geadon.</t>
  </si>
  <si>
    <t>875122-R9016</t>
  </si>
  <si>
    <t>Loopdeur profiel kit, DIN Left, bodem paneel H=555, RAL9016</t>
  </si>
  <si>
    <t>Loopdeur profiel kit, DIN Left, bodem paneel H=610, geadon.</t>
  </si>
  <si>
    <t>875123-R9016</t>
  </si>
  <si>
    <t>Loopdeur profiel kit, DIN Left, bodem paneel H=610, RAL9016</t>
  </si>
  <si>
    <t>Loopdeur profiel kit, DIN-L, top, int. deurdranger ,geannod.</t>
  </si>
  <si>
    <t>875124-R9016</t>
  </si>
  <si>
    <t>Loopdeur profiel kit, DIN-L, top, int. deurdranger ,RAL9016</t>
  </si>
  <si>
    <t>877000-6000</t>
  </si>
  <si>
    <t>Water kering KIT 6000</t>
  </si>
  <si>
    <t>877020-6000</t>
  </si>
  <si>
    <t>FB KIT 6000 DE C</t>
  </si>
  <si>
    <t>Gebouw hoekstukken instelbaar L+R RAL7045</t>
  </si>
  <si>
    <t>‘’Ramsauer Baudicht 320’’ kit, zwart 310 ml</t>
  </si>
  <si>
    <t>Kabelperstang "NicoPress"</t>
  </si>
  <si>
    <t>Kabelkniptang Felco C-9</t>
  </si>
  <si>
    <t>Kabelperstang 1.5-5.0 mm</t>
  </si>
  <si>
    <t>Inbussleutel 1/8"</t>
  </si>
  <si>
    <t>Meetinstrument voor kabeltang</t>
  </si>
  <si>
    <t>Kniptang</t>
  </si>
  <si>
    <t>1/4" Dopsleutel-opzetstuk, 12-kant voor bout 11mm zeskant, 3/8 vierkant</t>
  </si>
  <si>
    <t>Torx Powerbit T30 x 50mm</t>
  </si>
  <si>
    <t>Spanstang D 13 mm, L = 400 mm</t>
  </si>
  <si>
    <t>Trekveren voorspanbank</t>
  </si>
  <si>
    <t>Verendraad meter</t>
  </si>
  <si>
    <t>Residentiële veerspanner Surewinder</t>
  </si>
  <si>
    <t>Industriële torsion spring winding tool Brutewinder</t>
  </si>
  <si>
    <t>Drahtseile24 GmbH</t>
  </si>
  <si>
    <t>DS10297</t>
  </si>
  <si>
    <t>Draadschaar Felco C12</t>
  </si>
  <si>
    <t>Duthoo</t>
  </si>
  <si>
    <t>101VEH3PE092</t>
  </si>
  <si>
    <t>PCT CS703 ACTIVATOR LR FAST 1kg</t>
  </si>
  <si>
    <t>101VED3PE076</t>
  </si>
  <si>
    <t>PCT CS600 THINNER STANDARD 5L</t>
  </si>
  <si>
    <t>101LAB3PE139</t>
  </si>
  <si>
    <t>PCT PUR PAINT 2C 35-45% MAT (kleurcode: Axalta SD201C7333721 Eloxal Nature Topcoat)</t>
  </si>
  <si>
    <t>L</t>
  </si>
  <si>
    <t>101LAB3PE138</t>
  </si>
  <si>
    <t>PCT PUR PAINT 2C 20-30% DEEP MAT ( kleurcode: Axalta SD201C7333721 Eloxal Nature)</t>
  </si>
  <si>
    <t>101REI3PE072</t>
  </si>
  <si>
    <t>PCT CS410 SPECIAL CLEANER - 5L</t>
  </si>
  <si>
    <t>101PRI3PE064/35</t>
  </si>
  <si>
    <t>PCT CS342 2C PRIMER 040 RAL 9010 PURE WHITE - 3,5KG</t>
  </si>
  <si>
    <t>blik</t>
  </si>
  <si>
    <t>101LAB3PE145</t>
  </si>
  <si>
    <t>PCT PUR PAINT 2C 449 + STRUCTURE ADDITIVE (kleurcode: Axalta AE3007394827EF 154-0533 Grey)</t>
  </si>
  <si>
    <t>PCT PUR PAINT 2C 449 + STRUCTURE ADDITIVE (kleurcode: 068/71764 7021-TC)</t>
  </si>
  <si>
    <t>PCT PUR PAINT 2C 449 + STRUCTURE ADDITIVE (kleurcode: 9005 FT AE3054900520)</t>
  </si>
  <si>
    <t>PCT PUR PAINT 2C 449 + STRUCTURE ADDITIVE (kleurcode: Tiger 068/71291 7039)</t>
  </si>
  <si>
    <t>PCT PUR PAINT 2C 449 + STRUCTURE ADDITIVE (kleurcode: P917RM RAL 9017)</t>
  </si>
  <si>
    <t>PCT PUR PAINT 2C 449 + STRUCTURE ADDITIVE (kleurcode: Tiger 029/80527 9011)</t>
  </si>
  <si>
    <t>101LAB3PE145/02</t>
  </si>
  <si>
    <t>PCT PUR PAINT 2C 449 B COLOUR + STRUCTURE ADDITIVE (kleurcode: Axalta AE3053300520 RAL 3005 Wine Red)</t>
  </si>
  <si>
    <t>PCT PUR PAINT 2C 449 + STRUCTURE ADDITIVE (kleurcode: Tiger 029/73223 7006)</t>
  </si>
  <si>
    <t>PCT PUR PAINT 2C 449 + STRUCTURE ADDITIVE (kleurcode: Akzo YN305F Ral 9005)</t>
  </si>
  <si>
    <t>PCT PUR PAINT 2C 449 + STRUCTURE ADDITIVE (kleurcode: Axalta AE3057703520 Ral 7035 Light Grey)</t>
  </si>
  <si>
    <t>101LAB3PE140</t>
  </si>
  <si>
    <t>PCT PUR PAINT 2C 50-60% SEMI GLOSS (kleurcode: P910 AE70009145827)</t>
  </si>
  <si>
    <t>PCT PUR PAINT 2C 449 + STRUCTURE ADDITIVE (kleurcode: 068/60116 Toplaag)</t>
  </si>
  <si>
    <t>PCT PUR PAINT 2C 449 + STRUCTURE ADDITIVE (kleurcode: 068/60116 Voorkleur)</t>
  </si>
  <si>
    <t>PCT PUR PAINT 2C 449 + STRUCTURE ADDITIVE (kleurcode: Folie 47097-504700 AE3014116521)</t>
  </si>
  <si>
    <t>101LAB3PE143</t>
  </si>
  <si>
    <t>PCT PUR PAINT 2C + STRUCTURE ADDITIVE (kleurcode: vernis structuur 2C)</t>
  </si>
  <si>
    <t>PCT PUR PAINT 2C 449 + STRUCTURE ADDITIVE (kleurcode: Tiger 068/71752 8019)</t>
  </si>
  <si>
    <t>PCT PUR PAINT 2C 449 + STRUCTURE ADDITIVE (kleurcode: 068/80381 9005 TC)</t>
  </si>
  <si>
    <t>PCT PUR PAINT 2C 449 + STRUCTURE ADDITIVE (kleurcode: Profel P905RM PT17645)</t>
  </si>
  <si>
    <t>PCT PUR PAINT 2C 449 + STRUCTURE ADDITIVE (kleurcode: Axalta AE03054900420 Ral 9004 Signal Black)</t>
  </si>
  <si>
    <t>PCT PUR PAINT 2C 449 + STRUCTURE ADDITIVE (kleurcode: 9011 FT AE03054901120)</t>
  </si>
  <si>
    <t>PCT PUR PAINT 2C 449 + STRUCTURE ADDITIVE (kleucode: Oxyplast ZX642A8009 P723RM)</t>
  </si>
  <si>
    <t>PCT PUR PAINT 2C + STRUCTURE ADDITIVE (kleurcode: Toplaag structuurlak 0,4%)</t>
  </si>
  <si>
    <t>PCT PUR PAINT 2C 449 + STRUCTURE ADDITIVE (kleurcode: Tiger 029/71334 7016-SM voorkleur)</t>
  </si>
  <si>
    <t>PCT PUR PAINT 2C 449 + STRUCTURE ADDITIVE (kleurcode: Tiger 029/72004 Ral 9007 SF sprenkel topcoat)</t>
  </si>
  <si>
    <t>PCT PUR PAINT 2C 449 + STRUCTURE ADDITIVE (kleurcode: Tiger 029/72004 Ral 9007 SF sprenkel)</t>
  </si>
  <si>
    <t>PCT PUR PAINT 2C 20-30% DEEP MAT (kleurcode: F4365038)</t>
  </si>
  <si>
    <t>PCT PUR PAINT 2C 20-30% DEEP MAT (kleurcode: SD300C7534127)</t>
  </si>
  <si>
    <t>PCT PUR PAINT 2C 449 + STRUCTURE ADDITIVE (kleurcode: Renolit folie 7012/083 02.11.000039-808300)</t>
  </si>
  <si>
    <t>PCT PUR PAINT 2C 449 B COLOUR + STRUCTURE ADDITIVE (kleurcode: Ral 5011 Steel Blue)</t>
  </si>
  <si>
    <t>PCT PUR PAINT 2C 449 + STRUCTURE ADDITIVE (kleurcode: 7039 FT AE03057703920)</t>
  </si>
  <si>
    <t>PCT PUR PAINT 2C + STRUCTURE ADDITIVE (kleurcode: Tiger 029/60740 8014-SM topcoat)</t>
  </si>
  <si>
    <t>PCT PUR PAINT 2C 449 + STRUCTURE ADDITIVE (kleurcode: Tiger 029/60740 8014-SM)</t>
  </si>
  <si>
    <t>PCT PUR PAINT 2C 449 + STRUCTURE ADDITIVE (kleurcode: 9005-S7 029/80303)</t>
  </si>
  <si>
    <t>PCT PUR PAINT 2C 449 + STRUCTURE ADDITIVE (kleurcode: Profel P739RM)</t>
  </si>
  <si>
    <t>PCT PUR PAINT 2C 449 + STRUCTURE ADDITIVE (kleurcode: F4566001 AE3009147627)</t>
  </si>
  <si>
    <t>101VED3PE075</t>
  </si>
  <si>
    <t>PCT CS600 THINNER STANDARD - 20L</t>
  </si>
  <si>
    <t>PCT PUR PAINT 2C 449 + STRUCTURE ADDITIVE (kleurcode: 7032-S 029/72073)</t>
  </si>
  <si>
    <t>PCT PUR PAINT 2C 449 + STRUCTURE ADDITIVE (kleurcode: Oxyplast ZX641N8002 P 905 RM)</t>
  </si>
  <si>
    <t>PCT PUR PAINT 2C 449 + STRUCTURE ADDITIVE (kleurcode: Profel P721RM)</t>
  </si>
  <si>
    <t>PCT PUR PAINT 2C 20-30% DEEP MAT (kleurcode: vernis diep mat 20-30%)</t>
  </si>
  <si>
    <t>101LAB3PE122B</t>
  </si>
  <si>
    <t>PCT BASECOAT 1C B COLOUR (kleurcode: Axalta SD201C7331121 Supranodic stainless steel C31)</t>
  </si>
  <si>
    <t>PCT PUR PAINT 2C 449 + STRUCTURE ADDITIVE (kleurcode: 7T23 AE3057702320)</t>
  </si>
  <si>
    <t>PCT PUR PAINT 2C 449 + STRUCTURE ADDITIVE (kleurcode: 9005 FT AE03054900520)</t>
  </si>
  <si>
    <t>PCT PUR PAINT 2C 449 + STRUCTURE ADDITIVE (kleurcode: 068/80057 9004 TC)</t>
  </si>
  <si>
    <t>PCT PUR PAINT 2C + STRUCTURE ADDITIVE (kleurcode: Axalta SD031C8021020 City Terracott topcoat)</t>
  </si>
  <si>
    <t>101LAB3PE145/03</t>
  </si>
  <si>
    <t>PCT PUR PAINT 2C B COLOUR + STRUCTURE ADDITIVE (kleurcode: Axalta SD031C8021020 City Terracott)</t>
  </si>
  <si>
    <t>PCT PUR PAINT 2C 449 + STRUCTURE ADDITIVE (kleurcode: Axalta SD030C7700620 Ral 7006 eige grey optimum)</t>
  </si>
  <si>
    <t>PCT PUR PAINT 2C 449 + STRUCTURE ADDITIVE (kleurcode: AE3054900420 Ral 9004 FT)</t>
  </si>
  <si>
    <t>PCT PUR PAINT 2C 449 + STRUCTURE ADDITIVE (kleurcode: 02.20.01.00002.504700)</t>
  </si>
  <si>
    <t>PCT PUR PAINT 2C 449 + STRUCTURE ADDITIVE (kleurcode: 7012 FT AE3057701220)</t>
  </si>
  <si>
    <t>PCT PUR PAINT 2C 20-30% DEEP MAT (kleurcode: 7012/05 folie F4365048)</t>
  </si>
  <si>
    <t>PCT PUR PAINT 2C 449 + STRUCTURE ADDITIVE (kleurcode: 7021 FT AE03057702120)</t>
  </si>
  <si>
    <t>PCT PUR PAINT 2C 449 + STRUCTURE ADDITIVE (kleurcode: 7021-S 029/71263)</t>
  </si>
  <si>
    <t>PCT PUR PAINT 2C 449 + STRUCTURE ADDITIVE (kleurcode: 7022 FT AE03057702220)</t>
  </si>
  <si>
    <t>PCT PUR PAINT 2C 449 + STRUCTURE ADDITIVE (kleurcode: 7023 LC 029/72362)</t>
  </si>
  <si>
    <t>PCT PUR PAINT 2C 449 + STRUCTURE ADDITIVE (kleurcode: 7024 FT AE03057702420)</t>
  </si>
  <si>
    <t>PCT PUR PAINT 2C 449 + STRUCTURE ADDITIVE (kleurcode: 7043 FT AE03057704320)</t>
  </si>
  <si>
    <t>PCT PUR PAINT 2C 449 + STRUCTURE ADDITIVE (kleurcode: 7044 LC 029/71718)</t>
  </si>
  <si>
    <t>PCT PUR PAINT 2C 449 + STRUCTURE ADDITIVE (kleurcode: 8009-SM 029/60731)</t>
  </si>
  <si>
    <t>PCT PUR PAINT 2C 449 + STRUCTURE ADDITIVE (kleurcode: 8022 LC 029/60861)</t>
  </si>
  <si>
    <t>PCT PUR PAINT 2C 20-30% DEEP MAT (kleurcode: 9001 Folie F4565054 1397/05)</t>
  </si>
  <si>
    <t>PCT PUR PAINT 2C 449 + STRUCTURE ADDITIVE (kleurcode: 9005 LC 029/80070)</t>
  </si>
  <si>
    <t>PCT PUR PAINT 2C 449 + STRUCTURE ADDITIVE (kleurcode: 9008-SM 029/70786)</t>
  </si>
  <si>
    <t>PCT PUR PAINT 2C + STRUCTURE ADDITIVE (kleurcode: 9008-ST toplaag)</t>
  </si>
  <si>
    <t>PCT PUR PAINT 2C 449 + STRUCTURE ADDITIVE (kleurcode: 9011TC 068/80296)</t>
  </si>
  <si>
    <t>PCT PUR PAINT 2C 449 + STRUCTURE ADDITIVE (kleurcode: 901TTC 068/10426)</t>
  </si>
  <si>
    <t>PCT PUR PAINT 2C 449 + STRUCTURE ADDITIVE (kleurcode: AE03057703420 7034 Coatex)</t>
  </si>
  <si>
    <t>PCT PUR PAINT 2C 449 + STRUCTURE ADDITIVE (kleurcode: AE03057703820 RAL 7038 FT)</t>
  </si>
  <si>
    <t>PCT PUR PAINT 2C 449 + STRUCTURE ADDITIVE (kleurcode: AE03058801620 RAL 8016 FT)</t>
  </si>
  <si>
    <t>101LAB3PE122</t>
  </si>
  <si>
    <t>PCT BASECOAT 1C (kleurcode: AE20108000420 Anodic Brown)</t>
  </si>
  <si>
    <t>PCT PUR PAINT 2C 449 + STRUCTURE ADDITIVE (kleurcode: Aliplast 905-TC 068/80456)</t>
  </si>
  <si>
    <t>101LAB3PE123</t>
  </si>
  <si>
    <t>PCT BASECOAT 1C PEARL (kleurcode: Anodic Gold AE20111000820 voorkl.)</t>
  </si>
  <si>
    <t>PCT PUR PAINT 2C + STRUCTURE ADDITIVE (kleurcode: AP70220 Deuctone 6901)</t>
  </si>
  <si>
    <t>PCT PUR PAINT 2C 449 + STRUCTURE ADDITIVE (kleurcode: AP70375 7T36 Reyn.AE03057703620)</t>
  </si>
  <si>
    <t>PCT PUR PAINT 2C 449 + STRUCTURE ADDITIVE (kleurcode: Axalta AE03051101920 Ral 1019 Grey Beige)</t>
  </si>
  <si>
    <t>PCT PUR PAINT 2C 449 B COLOUR + STRUCTURE ADDITIVE (kleurcode: Axalta AE03053301320 Ral 3013 Tomato Red)</t>
  </si>
  <si>
    <t>PCT PUR PAINT 2C 449 + STRUCTURE ADDITIVE (kleurcode: Axalta AE03056601120 Ral 6011 Reseda Green)</t>
  </si>
  <si>
    <t>PCT PUR PAINT 2C 449 + STRUCTURE ADDITIVE (kleurcode: Axalta AE03057701620 Ral 7016 Anthracite Grey)</t>
  </si>
  <si>
    <t>PCT PUR PAINT 2C 449 + STRUCTURE ADDITIVE (kleurcode: Axalta AE03057703020 Ral 7030 Stone Grey)</t>
  </si>
  <si>
    <t>PCT PUR PAINT 2C 449 + STRUCTURE ADDITIVE (kleurcode: Axalta AE03058801920 ral 8019 Grey Brown)</t>
  </si>
  <si>
    <t>PCT PUR PAINT 2C 449 + STRUCTURE ADDITIVE (kleurcode: Axalta AE03058802220 Ral 8022 Black Brown)</t>
  </si>
  <si>
    <t>PCT PUR PAINT 2C 449 + STRUCTURE ADDITIVE (kleurcode: Axalta AE03058802820 Ral 8028 Terra Brown)</t>
  </si>
  <si>
    <t>PCT PUR PAINT 2C 449 + STRUCTURE ADDITIVE (kleurcode: Axalta AE03059900120 Ral 9001 Cream)</t>
  </si>
  <si>
    <t>PCT PUR PAINT 2C 449 + STRUCTURE ADDITIVE (kleurcode: Axalta AE03059901620 Ral 9016 Traffic White)</t>
  </si>
  <si>
    <t>PCT PUR PAINT 2C 449 B COLOUR + STRUCTURE ADDITIVE (kleurcode: Axalta AE03211136121 Ral 1035 Pearl Beige)</t>
  </si>
  <si>
    <t>PCT PUR PAINT 2C 449 + STRUCTURE ADDITIVE (kleurcode: Axalta AE03257900720 Ral 9007 FT Bariton 2)</t>
  </si>
  <si>
    <t>PCT PUR PAINT 2C 449 + STRUCTURE ADDITIVE (kleurcode: Axalta AE03257900820 ral 9008 FT Antracite Grey)</t>
  </si>
  <si>
    <t>PCT BASECOAT 1C PEARL (kleurcode: Axalta AE20108000320 Anodic Bronze)</t>
  </si>
  <si>
    <t>PCT PUR PAINT 2C 50-60% SEMI GLOSS (kleurcode: Axalta AE70016270225 ral 6011 Reseda Green)</t>
  </si>
  <si>
    <t>PCT PUR PAINT 2C 449 + STRUCTURE ADDITIVE (kleurcode: Axalta SD030C4900420 ral 9004 Signal Black Optimum)</t>
  </si>
  <si>
    <t>PCT PUR PAINT 2C 449 + STRUCTURE ADDITIVE (kleurcode: Axalta SD030C4900520 Jet Black Optimum)</t>
  </si>
  <si>
    <t>PCT BASECOAT 1C PEARL (kleurcode: Axalta SD201C8000320 Supranodic Bronze)</t>
  </si>
  <si>
    <t>PCT BASECOAT 1C B COLOUR (kleurcode: Axalta SD201C8210521 Eloxal 33 Medium Bronze)</t>
  </si>
  <si>
    <t>PCT BASECOAT 1C PEARL (kleurcode: Axalta SD201C8210621 Eloxal 34 Dark Bronze)</t>
  </si>
  <si>
    <t>PCT PUR PAINT 2C 449 + STRUCTURE ADDITIVE (kleurcode: B901MT 029/11089)</t>
  </si>
  <si>
    <t>230CET2S023/50</t>
  </si>
  <si>
    <t>SIKKENS CETOL WF771 - 2,5L (kleurcode: Cinnamon)</t>
  </si>
  <si>
    <t>PCT PUR PAINT 2C 449 + STRUCTURE ADDITIVE (kleurcode: Folie 4367003)</t>
  </si>
  <si>
    <t>PCT PUR PAINT 2C 20-30% DEEP MAT (kleurcode: Folie 8518.05)</t>
  </si>
  <si>
    <t>PCT PUR PAINT 2C 449 + STRUCTURE ADDITIVE (kleurcode: Folie F4366003)</t>
  </si>
  <si>
    <t>PCT PUR PAINT 2C 449 + STRUCTURE ADDITIVE (kleurcode: Folie F4366047)</t>
  </si>
  <si>
    <t>PCT PUR PAINT 2C 449 + STRUCTURE ADDITIVE (kleurcode: Folie zwart 02.20.01.000002-504700)</t>
  </si>
  <si>
    <t>PCT PUR PAINT 2C 449 + STRUCTURE ADDITIVE (kleurcode: Oxyplast ZX641A8007 P 739 RM)</t>
  </si>
  <si>
    <t>PCT PUR PAINT 2C 449 + STRUCTURE ADDITIVE (kleurcode: Oxyplast ZX641A8010 P 716 RM)</t>
  </si>
  <si>
    <t>PCT PUR PAINT 2C 449 + STRUCTURE ADDITIVE (kleurcode: Oxyplast ZX641M8010 P822RM)</t>
  </si>
  <si>
    <t>PCT PUR PAINT 2C 449 + STRUCTURE ADDITIVE (kleurcode: Oxyplast ZX641N8013 P 917 RM)</t>
  </si>
  <si>
    <t>PCT PUR PAINT 2C 449 + STRUCTURE ADDITIVE (kleurcode: Oxyplast ZX642A8006 P732RM)</t>
  </si>
  <si>
    <t>PCT PUR PAINT 2C 449 + STRUCTURE ADDITIVE (kleurcode: Oxyplast ZX642A8025 P744RM)</t>
  </si>
  <si>
    <t>PCT PUR PAINT 2C 449 + STRUCTURE ADDITIVE (kleurcode: Oxyplast ZX642A8028 P 706 RM)</t>
  </si>
  <si>
    <t>PCT PUR PAINT 2C 449 + STRUCTURE ADDITIVE (kleurcode: P739RM)</t>
  </si>
  <si>
    <t>PCT BASECOAT 1C B COLOUR(kleurcode: Pal004 EM Goud ano look)</t>
  </si>
  <si>
    <t>PCT PUR PAINT 2C 35-45% MAT (kleurcode: Pal004 EM Goud ano look topcoat)</t>
  </si>
  <si>
    <t>PCT PUR PAINT 2C 449 + STRUCTURE ADDITIVE (kleurcode: Profel P119RM PT15867)</t>
  </si>
  <si>
    <t>PCT PUR PAINT 2C 449 + STRUCTURE ADDITIVE (kleurcode: Profel P706RM)</t>
  </si>
  <si>
    <t>PCT PUR PAINT 2C 449 + STRUCTURE ADDITIVE (kleurcode: Profel P706RM PT17643)</t>
  </si>
  <si>
    <t>PCT PUR PAINT 2C 449 + STRUCTURE ADDITIVE (kleurcode: Profel P716RM)</t>
  </si>
  <si>
    <t>PCT PUR PAINT 2C 449 + STRUCTURE ADDITIVE (kleurcode: Profel P822RM PT17646)</t>
  </si>
  <si>
    <t>PCT PUR PAINT 2C 449 + STRUCTURE ADDITIVE (kleurcode: Profel P901RM)</t>
  </si>
  <si>
    <t>PCT PUR PAINT 2C 449 B COLOUR + STRUCTURE ADDITIVE (kleurcode: Ral 5011 Steel Blue STR)</t>
  </si>
  <si>
    <t>PCT PUR PAINT 2C 449 + STRUCTURE ADDITIVE (kleurcode: Ral 6009 Fir Green STR)</t>
  </si>
  <si>
    <t>PCT PUR PAINT 2C + STRUCTURE ADDITIVE (kleurcode: Ral 7012 AE30017701220)</t>
  </si>
  <si>
    <t>PCT PUR PAINT 2C 449 + STRUCTURE ADDITIVE (kleurcode: Ral 7016 Epco PT17133)</t>
  </si>
  <si>
    <t>PCT PUR PAINT 2C 449 + STRUCTURE ADDITIVE (kleurcode: Ral 7016 FT AE03057701620)</t>
  </si>
  <si>
    <t>PCT PUR PAINT 2C 449 + STRUCTURE ADDITIVE (kleurcode: Ral 7026 Granite Grey)</t>
  </si>
  <si>
    <t>PCT PUR PAINT 2C + STRUCTURE ADDITIVE (kleurcode: RAL 7039 AE30017703920)</t>
  </si>
  <si>
    <t>PCT PUR PAINT 2C 449 B COLOUR + STRUCTURE ADDITIVE (kleurcode: Ral 7039 Epco PT17131)</t>
  </si>
  <si>
    <t>PCT PUR PAINT 2C 50-60% SEMI GLOSS (kleurcode: Ral 7044 AE70017704420)</t>
  </si>
  <si>
    <t>PCT PUR PAINT 2C 35-45% MAT (kleurcode: Ral 7047 Telegrey 4)</t>
  </si>
  <si>
    <t>PCT PUR PAINT 2C 449 + STRUCTURE ADDITIVE (kleurcode: Ral 9005 epco)</t>
  </si>
  <si>
    <t>PCT PUR PAINT 2C 20-30% DEEP MAT (kleurcode: Ral 9016 Epco)</t>
  </si>
  <si>
    <t>PCT PUR PAINT 2C 449 + STRUCTURE ADDITIVE (kleurcode: Renolit 7016)</t>
  </si>
  <si>
    <t>PCT PUR PAINT 2C 20-30% DEEP MAT (kleurcode: Renolit choco bruin AP 104 02.12.81.000011-116701)</t>
  </si>
  <si>
    <t>PCT PUR PAINT 2C 449 + STRUCTURE ADDITIVE (kleurcode: Renolit exofol MX 02.11.71.000046-809700 ral 7039)</t>
  </si>
  <si>
    <t>PCT PUR PAINT 2C 20-30% DEEP MAT (kleurcode: Renolit Exofol MX 8518 05-116700 Black Brown)</t>
  </si>
  <si>
    <t>PCT PUR PAINT 2C 449 + STRUCTURE ADDITIVE (kleurcode: Renolit Ulti-Matt Black 02.20.01.00002.504700)</t>
  </si>
  <si>
    <t>PCT PUR PAINT 2C + STRUCTURE ADDITIVE (kleurcode: SD034C8023020 Timeless Rust)</t>
  </si>
  <si>
    <t>PCT PUR PAINT 2C 20-30% DEEP MAT (kleurcode: Taupe F4365043)</t>
  </si>
  <si>
    <t>PCT BASECOAT 1C PEARL (kleurcode: Tiger 029/65650 C 34)</t>
  </si>
  <si>
    <t>PCT PUR PAINT 2C 449 + STRUCTURE ADDITIVE (kleurcode: Tiger 029/71716 7039)</t>
  </si>
  <si>
    <t>PCT PUR PAINT 2C 449 + STRUCTURE ADDITIVE (kleurcode: Tiger 029/71724 Ral 9006 Sprenkel)</t>
  </si>
  <si>
    <t>PCT PUR PAINT 2C 449 + STRUCTURE ADDITIVE (kleurcode: Tiger 029/71724 ral 9006 FS Topcoat)</t>
  </si>
  <si>
    <t>PCT PUR PAINT 2C 449 + STRUCTURE ADDITIVE (kleurcode: Tiger 029/71740 7022)</t>
  </si>
  <si>
    <t>PCT PUR PAINT 2C 449 + STRUCTURE ADDITIVE (kleurcode: Tiger 029/72184 7037)</t>
  </si>
  <si>
    <t>PCT PUR PAINT 2C 449 + STRUCTURE ADDITIVE (kleurcode: Tiger 029/80271 9004 LC)</t>
  </si>
  <si>
    <t>PCT PUR PAINT 2C 449 + STRUCTURE ADDITIVE (kleurcode: Tiger 029/90147 9007-SM)</t>
  </si>
  <si>
    <t>PCT PUR PAINT 2C 35-45% MAT (kleurcode: Tiger 029/91089 Eloxalsilber Anodized Silver)</t>
  </si>
  <si>
    <t>PCT PUR PAINT 2C 449 + STRUCTURE ADDITIVE (kleurcode: Tiger 068/71731 7023)</t>
  </si>
  <si>
    <t>PCT PUR PAINT 2C 449 + STRUCTURE ADDITIVE (kleurcode: Tiger 068/71732 7044)</t>
  </si>
  <si>
    <t>PCT PUR PAINT 2C 449 + STRUCTURE ADDITIVE (kleurcode: Tiger 068/71756 7030)</t>
  </si>
  <si>
    <t>PCT PUR PAINT 2C 449 + STRUCTURE ADDITIVE (kleurcode: Tiger 068/80241 9005)</t>
  </si>
  <si>
    <t>PCT PUR PAINT 2C 449 + STRUCTURE ADDITIVE (kleurcode: Tiger 068/80296 9011)</t>
  </si>
  <si>
    <t>PCT PUR PAINT 2C + STRUCTURE ADDITIVE (kleurcode: Toplaag structuurlak 0,2%)</t>
  </si>
  <si>
    <t>PCT PUR PAINT 2C + STRUCTURE ADDITIVE (kleurcode: Toplaag structuurlak 0,7%)</t>
  </si>
  <si>
    <t>PCT PUR PAINT 2C 35-45% MAT (kleurcode: Vernis mat)</t>
  </si>
  <si>
    <t>230CET2S023/30</t>
  </si>
  <si>
    <t>SIKKENS CETOL WF771 BASE KLEURLOOS - 10L</t>
  </si>
  <si>
    <t>101VEH3PE093</t>
  </si>
  <si>
    <t>PCT CS704 ACTIVATOR 3840 - 1KG</t>
  </si>
  <si>
    <t>101VED3PE081/01</t>
  </si>
  <si>
    <t>PCT CS640 THINNER EXTRA SLOW - 5L</t>
  </si>
  <si>
    <t>206MAI3WO067/01</t>
  </si>
  <si>
    <t>DUTHOO AQUASTOP MATT - 5L</t>
  </si>
  <si>
    <t>820DUT3WO071</t>
  </si>
  <si>
    <t>DUTHOO OIL BRUSH 6 CM</t>
  </si>
  <si>
    <t>E &amp; M Metalworks</t>
  </si>
  <si>
    <t>ALPE</t>
  </si>
  <si>
    <t>Type E montageconsole veren APO 100S</t>
  </si>
  <si>
    <t>ALPF</t>
  </si>
  <si>
    <t>Type F keerschijfplaat APO 100S</t>
  </si>
  <si>
    <t>al2024100300</t>
  </si>
  <si>
    <t>Kabelschijfkap APO100S 2024</t>
  </si>
  <si>
    <t>al2024100301</t>
  </si>
  <si>
    <t>Kabelschijfsttief APO100S 2024</t>
  </si>
  <si>
    <t>al2024100302</t>
  </si>
  <si>
    <t>Keerschijfplaat L&amp;R APO100S 2024</t>
  </si>
  <si>
    <t>alp/20251001</t>
  </si>
  <si>
    <t>Plaatwerk in staal - TRPLT 5/7</t>
  </si>
  <si>
    <t>BodemConFFR</t>
  </si>
  <si>
    <t>Versterkte bodemconsoles rechts voor FF</t>
  </si>
  <si>
    <t>BodemConFFL</t>
  </si>
  <si>
    <t>Versterkte bodemconsoles links voor FF</t>
  </si>
  <si>
    <t>ALPD</t>
  </si>
  <si>
    <t>Type D eindkap L=1000mm</t>
  </si>
  <si>
    <t>ALPH</t>
  </si>
  <si>
    <t>Inpakplaten 400*300*1,5</t>
  </si>
  <si>
    <t>ALPK</t>
  </si>
  <si>
    <t>Type K afdekplaatje keerschijf</t>
  </si>
  <si>
    <t>Test18225</t>
  </si>
  <si>
    <t>Test 18-2-25</t>
  </si>
  <si>
    <t>ALPJ</t>
  </si>
  <si>
    <t>Type J Afdekplaatje keerschijf</t>
  </si>
  <si>
    <t>ALPI</t>
  </si>
  <si>
    <t>Type I vulring 5mm</t>
  </si>
  <si>
    <t>ALP10</t>
  </si>
  <si>
    <t>N° 10 Type F keerschijfplaat APO100S</t>
  </si>
  <si>
    <t>L profiel 70/10-3000</t>
  </si>
  <si>
    <t>L profiel 70/10 L3000 galva 2 mm dik</t>
  </si>
  <si>
    <t>Type G</t>
  </si>
  <si>
    <t>Type G bodemconsole APO100 (S)</t>
  </si>
  <si>
    <t>Type GD</t>
  </si>
  <si>
    <t>Type GD bodemconsole APO100 (S)</t>
  </si>
  <si>
    <t>Entec BV</t>
  </si>
  <si>
    <t>MYGO4</t>
  </si>
  <si>
    <t>Zender 4 kanalen, 433,92 MHz, zwart</t>
  </si>
  <si>
    <t>Epco / Re-panels</t>
  </si>
  <si>
    <t>000019016PGT</t>
  </si>
  <si>
    <t>RF 500 smooth 9016 PGT / 9010 PE       L: 10200 mm (M5)</t>
  </si>
  <si>
    <t>000739016PGT</t>
  </si>
  <si>
    <t>RF 555 smooth 9016 PGT / 9010 PE      L: 10200 mm (M5)</t>
  </si>
  <si>
    <t>000029016PGT</t>
  </si>
  <si>
    <t>RF 610 smooth 9016 PGT / 9010 PE      L: 10200 mm (M5)</t>
  </si>
  <si>
    <t>RF 500 smooth 7016 DM / 9010 PE        L: 7780 mm (M5)</t>
  </si>
  <si>
    <t>RF 555 smooth 7016 DM / 9010 PE        L: 5600 mm (M5)</t>
  </si>
  <si>
    <t>000017016DM</t>
  </si>
  <si>
    <t>RF 500 smooth 7016 DM / 9010 PE        L: 10200 mm (M5)</t>
  </si>
  <si>
    <t>1 volle pakket op rij 3 excl.1 losse van 7780</t>
  </si>
  <si>
    <t>RF 555 smooth 7016 DM / 9010 PE        L: 10200 mm (M5)</t>
  </si>
  <si>
    <t>2 volle op rij 3 excl. losse van 5600</t>
  </si>
  <si>
    <t>000027016DM</t>
  </si>
  <si>
    <t>RF 610 smooth 7016 DM / 9010 PE        L: 10200 mm (M5)</t>
  </si>
  <si>
    <t>000019005DM</t>
  </si>
  <si>
    <t>RF 500 smooth 9005 DM / 9010 PE       L: 10200 mm (M5)</t>
  </si>
  <si>
    <t>000029005DM</t>
  </si>
  <si>
    <t>RF 610 smooth 9005 DM / 9010 PE       L: 10200 mm (M5)</t>
  </si>
  <si>
    <t>000059016PGT</t>
  </si>
  <si>
    <t>RF 500 stucco 9016 9010    L: 10200 mm (M4)</t>
  </si>
  <si>
    <t>000759016PGT</t>
  </si>
  <si>
    <t>RF 555 stucco 9016 9010    L: 10200 mm (M4)</t>
  </si>
  <si>
    <t>000069016PGT</t>
  </si>
  <si>
    <t>RF 610 stucco 9016 9010    L: 10200 mm (M4)</t>
  </si>
  <si>
    <t>RF 500 smooth 9016 PGT / 9010 PE       L: 8400 mm (M5)</t>
  </si>
  <si>
    <t>2 volle op rij 3</t>
  </si>
  <si>
    <t>RF 555 smooth 9016 PGT / 9010 PE       L: 8400 mm (M5)</t>
  </si>
  <si>
    <t>RF 610 smooth 9016 PGT / 9010 PE       L: 8400 mm (M5)</t>
  </si>
  <si>
    <t>2 volle rij 1 + 2 volle op rij 3</t>
  </si>
  <si>
    <t>000017039DM</t>
  </si>
  <si>
    <t>RF 500 smooth 7039 9010         L: 8400 mm (M5)</t>
  </si>
  <si>
    <t>1 volle op rij 2</t>
  </si>
  <si>
    <t>000737039DM</t>
  </si>
  <si>
    <t>RF 555 smooth 7039 9010         L: 8400 mm (M5)</t>
  </si>
  <si>
    <t>RF 500 smooth 7039 9010         L: 3200 mm (M5)</t>
  </si>
  <si>
    <t>RF 555 smooth 7039 9010         L: 3200 mm (M5)</t>
  </si>
  <si>
    <t>000679016PGT</t>
  </si>
  <si>
    <t>RVV 500 smooth 9016 9010      L: 8249 mm (M19)</t>
  </si>
  <si>
    <t>1*vol (16) op bordes + 3*volle (18)op rij 3</t>
  </si>
  <si>
    <t>000689016PGT</t>
  </si>
  <si>
    <t>RVV 610 smooth 9016 9010      L: 8249 mm (M19)</t>
  </si>
  <si>
    <t>1*vol (18) rij 3 + 1*vol (16) bordes + 2*vol (18) bordes</t>
  </si>
  <si>
    <t>RVV 500 smooth 9016 9010      L: 8249 mm (M19) afkeur</t>
  </si>
  <si>
    <t>RVV 610 smooth 9016 9010      L: 8249 mm (M19) afkeur</t>
  </si>
  <si>
    <t>UW 500 stucco 9016       L: 7700 mm (M20)</t>
  </si>
  <si>
    <t>UW 625 stucco 9016       L: 7700 mm (M20)</t>
  </si>
  <si>
    <t>UW 500 woodgrain 9016      L: 7700 mm (M21)</t>
  </si>
  <si>
    <t>UW 625 woodgrain 9016      L: 7700 mm (M21)</t>
  </si>
  <si>
    <t>008019016PGT</t>
  </si>
  <si>
    <t>FF 500 smooth 9016 PGT / 9010 PE     L: 7700 mm</t>
  </si>
  <si>
    <t>008029016PGT</t>
  </si>
  <si>
    <t>FF 610 smooth 9016 PGT / 9010 PE     L: 7700 mm</t>
  </si>
  <si>
    <t>FF 500 smooth 9016 PGT / 9010 PE  L :2340</t>
  </si>
  <si>
    <t>FF 610 smooth 9016 PGT / 9010 PE L :2340</t>
  </si>
  <si>
    <t>FF 500 smooth 9016 PGT / 9010 PE  L :2670</t>
  </si>
  <si>
    <t>FF 500 smooth 9016 PGT / 9010 PE  L :2910</t>
  </si>
  <si>
    <t>FF 610 smooth 9016 PGT / 9010 PE L :2910</t>
  </si>
  <si>
    <t>FF500 smooth 9016 PGT / 9010 PE  L :8400</t>
  </si>
  <si>
    <t>FF 610 smooth 9016 PGT / 9010 PE L :8400</t>
  </si>
  <si>
    <t>007159016PGT</t>
  </si>
  <si>
    <t>UU 500 stucco 9016 9010     L: 5600 mm (M17)</t>
  </si>
  <si>
    <t>UU 610 stucco 9016 9010     L: 5600 mm (M17)</t>
  </si>
  <si>
    <t>toppaneel</t>
  </si>
  <si>
    <t>6 losse op bordes boven achter</t>
  </si>
  <si>
    <t>RM8 500 microline 9016     L: 5600 mm</t>
  </si>
  <si>
    <t>RM8 610 microline 9016     L: 5600 mm</t>
  </si>
  <si>
    <t>RF 500 smooth 9016 PGT / 9010 PE       L: 3200 mm</t>
  </si>
  <si>
    <t>RF 555 smooth 9016 PGT / 9010 PE      L: 3200 mm</t>
  </si>
  <si>
    <t>RF 610 smooth 9016 PGT / 9010 PE      L: 3200 mm</t>
  </si>
  <si>
    <t>RV 500 smooth 9016 PGT / 9010 PE      L:5600 mm</t>
  </si>
  <si>
    <t>RV 555 smooth 9016 PGT / 9010 PE      L:7700 mm</t>
  </si>
  <si>
    <t>RV 555 stucco 9016 PGT / 9010 PE      L:7700 mm</t>
  </si>
  <si>
    <t>RM8 610 micro 9016 PGT / 9010 PE L: 8040mm (M18)</t>
  </si>
  <si>
    <t>RM8 610 micro 9016 PGT / 9010 PE L: 7610mm (M18)</t>
  </si>
  <si>
    <t>RM8  micro 9016 PGT / 9010 PE L: 5045mm (M18)</t>
  </si>
  <si>
    <t>RM8 500 micro 9005 DM / 9010 PE L:5600mm (M18)</t>
  </si>
  <si>
    <t>RM8 610 micro 9005 DM / 9010 PE L: 5600mm (M18)</t>
  </si>
  <si>
    <t>industrie niet vingerklemveilig 500 L:5600</t>
  </si>
  <si>
    <t>industrie niet vingerklemveilig 610 L:5600</t>
  </si>
  <si>
    <t>industrie niet vingerklemveilig 500 L:7450</t>
  </si>
  <si>
    <t>IM8 500 micro indus 9010 / 9010 PE L: 9000mm (M18)</t>
  </si>
  <si>
    <t>IL8 500 indus 9010 / 9010 PE L: 12500mm</t>
  </si>
  <si>
    <t>Stock zaag panelen - 3 rekken</t>
  </si>
  <si>
    <t>Stock zaag panelen - onder trap deur panelen</t>
  </si>
  <si>
    <t>Stock zaag panelen - tegen stroom kabine</t>
  </si>
  <si>
    <t>Stock zaag panelen - tegen muur privé</t>
  </si>
  <si>
    <t>Stock zaag panelen - achter de zaag</t>
  </si>
  <si>
    <t>Eyckens BVBA</t>
  </si>
  <si>
    <t>Veiligheidscilinder</t>
  </si>
  <si>
    <t>Flexi Force</t>
  </si>
  <si>
    <t>041A2817</t>
  </si>
  <si>
    <t>Wormwiel voor 4410..</t>
  </si>
  <si>
    <t>1003B</t>
  </si>
  <si>
    <t>Railboutje (1/4")</t>
  </si>
  <si>
    <t>1005F</t>
  </si>
  <si>
    <t>Railmoertje 1/4" met karteling</t>
  </si>
  <si>
    <t>1006B</t>
  </si>
  <si>
    <t>Rail persbout M6x16 Vervangt de 1026N1.</t>
  </si>
  <si>
    <t>1006B12</t>
  </si>
  <si>
    <t>Persbout, M6x12mm, vlakke kop, zelfborgend</t>
  </si>
  <si>
    <t>1006B304</t>
  </si>
  <si>
    <t>Rail persbout M6x16 RVS</t>
  </si>
  <si>
    <t>1008B</t>
  </si>
  <si>
    <t>Rail persbout M8x55</t>
  </si>
  <si>
    <t>100K-6000</t>
  </si>
  <si>
    <t>100x100x3 verz. Kokerprofiel L=6000</t>
  </si>
  <si>
    <t>100K-7000</t>
  </si>
  <si>
    <t>100x100x3 verz. Kokerprofiel L=7000</t>
  </si>
  <si>
    <t>100KCAP</t>
  </si>
  <si>
    <t>Afdekkap tbv 100K</t>
  </si>
  <si>
    <t>1010</t>
  </si>
  <si>
    <t>Klink GROOT 8,5 4,69 PC 230218</t>
  </si>
  <si>
    <t>1011B</t>
  </si>
  <si>
    <t>Schroef M2 x 12mm cylinderkop</t>
  </si>
  <si>
    <t>1011M</t>
  </si>
  <si>
    <t>Zelfborg moer M2 Verz.Din985/6</t>
  </si>
  <si>
    <t>1011RI</t>
  </si>
  <si>
    <t>Sluitring M2 Verz.</t>
  </si>
  <si>
    <t>1014B</t>
  </si>
  <si>
    <t>Bout 3/8 x 25 unc</t>
  </si>
  <si>
    <t>1017B</t>
  </si>
  <si>
    <t>Bout 3/8 x 1 1/4" UNC (32mm)</t>
  </si>
  <si>
    <t>1025-200</t>
  </si>
  <si>
    <t>Koppelstrip 45x200mm voor "SU"</t>
  </si>
  <si>
    <t>1026P</t>
  </si>
  <si>
    <t>Enkele Paro Plaat, 47x25x5mm</t>
  </si>
  <si>
    <t>1026PB</t>
  </si>
  <si>
    <t>Paro klem,enkel,verz,47x25x5mm,1xM8</t>
  </si>
  <si>
    <t>1027N7B</t>
  </si>
  <si>
    <t>Paroklemplaat verz,113x47x7,+2 bout M8 Vervangt 10</t>
  </si>
  <si>
    <t>1027PB</t>
  </si>
  <si>
    <t>Paroklemplaat,dub,verzinkt,95x40x5mm</t>
  </si>
  <si>
    <t>1029D</t>
  </si>
  <si>
    <t>Schroef, zelftappend, klein, DIN 7504N, 4.2x13</t>
  </si>
  <si>
    <t>1030</t>
  </si>
  <si>
    <t>Vloerdrempel, rubber profiel, zwart</t>
  </si>
  <si>
    <t>103003052</t>
  </si>
  <si>
    <t>Midden Scharnier 65mm industrie</t>
  </si>
  <si>
    <t>103003053</t>
  </si>
  <si>
    <t>Zijscharnier 65mm industrie</t>
  </si>
  <si>
    <t>103009001</t>
  </si>
  <si>
    <t>Schuif voor 65mm industrie</t>
  </si>
  <si>
    <t>1030L6090</t>
  </si>
  <si>
    <t>Alu-L top/bodem 6090 mm</t>
  </si>
  <si>
    <t>1030L-S6090</t>
  </si>
  <si>
    <t>Alu-L +LIP!! top/bodem 6090 mm</t>
  </si>
  <si>
    <t>1030PL-S6090</t>
  </si>
  <si>
    <t>1030PL-S6090 Alu-L+LIP!! top/bottom 6090mm RAL 9</t>
  </si>
  <si>
    <t>1031-6000</t>
  </si>
  <si>
    <t>Alu plat boven/onderpr. 6000mm</t>
  </si>
  <si>
    <t>1031RES-6090</t>
  </si>
  <si>
    <t>Alum.onderprofiel RES 6090mm</t>
  </si>
  <si>
    <t>1032END-3000</t>
  </si>
  <si>
    <t>Alu loopd. LIP-profiel 3000 mm</t>
  </si>
  <si>
    <t>1032END-6000</t>
  </si>
  <si>
    <t>Alu loopd. LIP-profiel 6000 mm</t>
  </si>
  <si>
    <t>1032RUB</t>
  </si>
  <si>
    <t>Loopdeurrubber</t>
  </si>
  <si>
    <t>1033A1</t>
  </si>
  <si>
    <t>Verstevigingshoek SafeStep deurhoek Vervangt 1033A</t>
  </si>
  <si>
    <t>1033A2</t>
  </si>
  <si>
    <t>Verstevigingshoek SafeStep binnenhoek Vervangt 103</t>
  </si>
  <si>
    <t>1033AL3000</t>
  </si>
  <si>
    <t>Hoekprofiel,alu,zij-loopdeur,40x40,L=3000</t>
  </si>
  <si>
    <t>1033B</t>
  </si>
  <si>
    <t>Afstandsblok nylon , SafeStep, incl parker</t>
  </si>
  <si>
    <t>1033BK</t>
  </si>
  <si>
    <t>SafeStep, distance block with chamfered edge, incl screw</t>
  </si>
  <si>
    <t>1033K2500</t>
  </si>
  <si>
    <t>Deurpostprofiel,alu,zij-loopdeur,L=2500</t>
  </si>
  <si>
    <t>1033KF2500</t>
  </si>
  <si>
    <t>Deurpostprofiel,alu,met gaten,zij-loopdeur, L=2500</t>
  </si>
  <si>
    <t>1033L-3000</t>
  </si>
  <si>
    <t>Alu loopdeur lipprofiel 3000mm</t>
  </si>
  <si>
    <t>1033L-6000</t>
  </si>
  <si>
    <t>Alu loopdeur lipprofiel 6000mm</t>
  </si>
  <si>
    <t>1033LBN3000</t>
  </si>
  <si>
    <t>Loopdeurprofiel, Side(safe)Step,nieuw, L=3000</t>
  </si>
  <si>
    <t>1033LBR</t>
  </si>
  <si>
    <t>Bodemrubber RES loopdeur</t>
  </si>
  <si>
    <t>1033LC2500</t>
  </si>
  <si>
    <t>DoubleStep profiel,alu,voor afdichting,L=2500</t>
  </si>
  <si>
    <t>1033LD3100</t>
  </si>
  <si>
    <t>Loopdeurprofiel U, alu,40mm paneel L=3100mm</t>
  </si>
  <si>
    <t>1033LD42-3100</t>
  </si>
  <si>
    <t>Loopdeurprofiel,SideStep,42mm,deurzijde,L=3100</t>
  </si>
  <si>
    <t>1033LD6000BRUT</t>
  </si>
  <si>
    <t>Loopdeurprofiel U,alu,40mm paneel L=6000BRUT</t>
  </si>
  <si>
    <t>1033LDF2500</t>
  </si>
  <si>
    <t>Loopdeur profiel, alu, met gaten, L=2500</t>
  </si>
  <si>
    <t>1033LDU-2500</t>
  </si>
  <si>
    <t>Sidestep deurprofiel,U,40mm bin/buit,L2500</t>
  </si>
  <si>
    <t>1033LDUF-2500</t>
  </si>
  <si>
    <t>Side Step deurprofiel,U,40mm met gaten</t>
  </si>
  <si>
    <t>1033LRS</t>
  </si>
  <si>
    <t>Rubber afdichting voor safestep systeem vervangt</t>
  </si>
  <si>
    <t>1033LS3100</t>
  </si>
  <si>
    <t>Loopdeurprofiel U,alu,40mm,deurpost,L=3100</t>
  </si>
  <si>
    <t>1033LS42-3100</t>
  </si>
  <si>
    <t>Pass door profile, Safestep,42mm panel, doorpost, L=3100mm</t>
  </si>
  <si>
    <t>1033LS6000BRUT</t>
  </si>
  <si>
    <t>SafeStep profiel brut, L=6000(frame)</t>
  </si>
  <si>
    <t>1033LSB-S</t>
  </si>
  <si>
    <t>Loopdeurprofiel,voorgefreesd,top, tbv 1034HS</t>
  </si>
  <si>
    <t>1033LSF500-S</t>
  </si>
  <si>
    <t>Pass door profile U L=500</t>
  </si>
  <si>
    <t>1033LSF610-S</t>
  </si>
  <si>
    <t>Pass door profile U l = 610</t>
  </si>
  <si>
    <t>1033PLS-3000</t>
  </si>
  <si>
    <t>top profiel,Alu,loopdeur,post,40mm</t>
  </si>
  <si>
    <t>1033PS-3050</t>
  </si>
  <si>
    <t>Top profiel,Alu,tbv interne strut,40mm</t>
  </si>
  <si>
    <t>1033R</t>
  </si>
  <si>
    <t>Looprubber zwart</t>
  </si>
  <si>
    <t>1033U-3000</t>
  </si>
  <si>
    <t>Alu loopdeur U-profiel 3000 mm</t>
  </si>
  <si>
    <t>1033U-6000</t>
  </si>
  <si>
    <t>Alu loopdeur U-profiel 6000 mm</t>
  </si>
  <si>
    <t>1033UL-2511</t>
  </si>
  <si>
    <t>Top profiel, plat, aluminium, L=2511</t>
  </si>
  <si>
    <t>1033UL-3011</t>
  </si>
  <si>
    <t>Top profiel, plat, aluminium, L=3011</t>
  </si>
  <si>
    <t>1033UL60-2511</t>
  </si>
  <si>
    <t>1033UL60-3011</t>
  </si>
  <si>
    <t>1033UL60-5011</t>
  </si>
  <si>
    <t>1033UW16-3000</t>
  </si>
  <si>
    <t>Alu loopd.U-prof 3mtr RAL 9016</t>
  </si>
  <si>
    <t>1034BSN</t>
  </si>
  <si>
    <t>Basisplaat deurdranger ALU universeel</t>
  </si>
  <si>
    <t>1034CLM</t>
  </si>
  <si>
    <t>Slot voor RES loopdeur</t>
  </si>
  <si>
    <t>1034FLN</t>
  </si>
  <si>
    <t>Deurdranger, voor loopdeur, &lt;45kg</t>
  </si>
  <si>
    <t>1034FLN-SB</t>
  </si>
  <si>
    <t>Schuifblok voor 1034FLN</t>
  </si>
  <si>
    <t>1034FS</t>
  </si>
  <si>
    <t>Deurdranger, Safestep, inbouw,&lt;45kg</t>
  </si>
  <si>
    <t>1034FX</t>
  </si>
  <si>
    <t>Deurdranger voor loopdeur, inbouw</t>
  </si>
  <si>
    <t>1034FX-ZA</t>
  </si>
  <si>
    <t>Deurdranger voor loopdeur, inbouw, zonder arm</t>
  </si>
  <si>
    <t>1034GCAPS-02L</t>
  </si>
  <si>
    <t>Caps for door leaf, left, Black</t>
  </si>
  <si>
    <t>1034GCAPS-02R</t>
  </si>
  <si>
    <t>Caps for door leaf, right, Black</t>
  </si>
  <si>
    <t>1034GCTL</t>
  </si>
  <si>
    <t>Kapje, SSD, kunststof, onder, links</t>
  </si>
  <si>
    <t>1034GCTR</t>
  </si>
  <si>
    <t>Kapje, SSD, kunststof, onder, rechts</t>
  </si>
  <si>
    <t>1034HI</t>
  </si>
  <si>
    <t>Scharnier, intern, RES loopdeur</t>
  </si>
  <si>
    <t>1034HS</t>
  </si>
  <si>
    <t>Loopdeurscharnier,intern,SafeStep,verstelbaar</t>
  </si>
  <si>
    <t>1034KCAPS</t>
  </si>
  <si>
    <t>Set kapjes SafeStep, Kingspan/Epco, kunstof, zwart</t>
  </si>
  <si>
    <t>1034KIT</t>
  </si>
  <si>
    <t>Loopdeur set</t>
  </si>
  <si>
    <t>1034KLCAPS-L</t>
  </si>
  <si>
    <t>Set kapjes SafeStep, Multipoint, Kingspan/Epco, LH</t>
  </si>
  <si>
    <t>1034KLCAPS-R</t>
  </si>
  <si>
    <t>Set kapjes SafeStep, Multipoint, Kingspan/Epco, RH</t>
  </si>
  <si>
    <t>1034KWCAPS</t>
  </si>
  <si>
    <t>Set kapjes SafeStep, Kingspan/Epco, kunstof, wit</t>
  </si>
  <si>
    <t>1034LHT</t>
  </si>
  <si>
    <t>Grondplaat, kunststof, slot SSD</t>
  </si>
  <si>
    <t>1034LIL500R</t>
  </si>
  <si>
    <t>Slotset voor extra tussenpaneel 500, DIN links;</t>
  </si>
  <si>
    <t>1034LK1L</t>
  </si>
  <si>
    <t>Slotset, 3x500 + top, DIN rechts</t>
  </si>
  <si>
    <t>1034LK1R</t>
  </si>
  <si>
    <t>Slotset, 3x500 + Top, DIN Links</t>
  </si>
  <si>
    <t>1034LK1R-DP</t>
  </si>
  <si>
    <t>Slotset, 3x500 + Top, DIN Links, DP versie</t>
  </si>
  <si>
    <t>1034LK3R</t>
  </si>
  <si>
    <t>Slotset, 2x610, 1x500 + top,DIN Links</t>
  </si>
  <si>
    <t>1034LK4R</t>
  </si>
  <si>
    <t>Slotset, 3x610 + top,DIN Links</t>
  </si>
  <si>
    <t>1034LOCK</t>
  </si>
  <si>
    <t>Slotmechanisme voor loopdeur</t>
  </si>
  <si>
    <t>1034MCAPS</t>
  </si>
  <si>
    <t>Set kapjes SafeStep, Metecno ea, kunststof, zwart</t>
  </si>
  <si>
    <t>1034MLCAPS-L</t>
  </si>
  <si>
    <t>Set kapjes SafeStep,Multipoint, Metecno, links</t>
  </si>
  <si>
    <t>1034MLCAPS-R</t>
  </si>
  <si>
    <t>Set kapjes SafeStep,Multipoint, Metecno, rechts</t>
  </si>
  <si>
    <t>1034MLNCAPS-L</t>
  </si>
  <si>
    <t>Multipoint lock, 3 caps for Metecno/Tecsedo, left</t>
  </si>
  <si>
    <t>1034MLNCAPS-R</t>
  </si>
  <si>
    <t>Multipoint lock, 3 caps for Metecno/Tecsedo, right</t>
  </si>
  <si>
    <t>1034MPL-ACC</t>
  </si>
  <si>
    <t>Meerpunt slot, accessoire kit</t>
  </si>
  <si>
    <t>1034MPL-EKL</t>
  </si>
  <si>
    <t>Meerpunt slot, 3 kapjes voor Epco/Kingspan, links</t>
  </si>
  <si>
    <t>1034MPL-EKR</t>
  </si>
  <si>
    <t>Meerpunt slot, 3 kapjes voor Epco/Kingspan, rechts</t>
  </si>
  <si>
    <t>1034MPLL</t>
  </si>
  <si>
    <t>Meerpunt slot, links openende loopdeur, kit incl.</t>
  </si>
  <si>
    <t>1034MPL-LP</t>
  </si>
  <si>
    <t>1034MPL, centrale slotplaat voor SolidStep</t>
  </si>
  <si>
    <t>1034MPLR</t>
  </si>
  <si>
    <t>Meerpunt slot, rechts openende loopdeur, kit incl.</t>
  </si>
  <si>
    <t>1034MWCAPS</t>
  </si>
  <si>
    <t>Set kapjes SafeStep, Metecno ea, kunststof, wit</t>
  </si>
  <si>
    <t>1034N</t>
  </si>
  <si>
    <t>Alu loopdeurscharnier</t>
  </si>
  <si>
    <t>1034-OSE</t>
  </si>
  <si>
    <t>Draadloze schakelaar voor 1034FLN</t>
  </si>
  <si>
    <t>1034PBNIN</t>
  </si>
  <si>
    <t>Paniekbar slot, binnenzijde vervanger van 1034pbin</t>
  </si>
  <si>
    <t>1034PBNLO</t>
  </si>
  <si>
    <t>Paniekbar slot, buitenzijde vervanger van 1034PBLO</t>
  </si>
  <si>
    <t>1034PGHN</t>
  </si>
  <si>
    <t>Grip &amp; plaat, residentiële loopdeur, hoog</t>
  </si>
  <si>
    <t>1034PGLN</t>
  </si>
  <si>
    <t>Grip &amp; plaat, industriële loopdeur, links</t>
  </si>
  <si>
    <t>1034PGM</t>
  </si>
  <si>
    <t>Grip / Plate, set for SafeStep multipoint lock</t>
  </si>
  <si>
    <t>1034PGN</t>
  </si>
  <si>
    <t>Grip &amp; plaat, residentiële loopdeur, laag</t>
  </si>
  <si>
    <t>1034PGRN</t>
  </si>
  <si>
    <t>Grip &amp; plaat, industriële loopdeur, rechts</t>
  </si>
  <si>
    <t>1034PL</t>
  </si>
  <si>
    <t>Buitenplaten loopdeur, LINKS</t>
  </si>
  <si>
    <t>1034PR</t>
  </si>
  <si>
    <t>Buitenplaten loopdeur, RECHTS</t>
  </si>
  <si>
    <t>1034RN</t>
  </si>
  <si>
    <t>Alu lekdorpel geanod.L=5.000mm</t>
  </si>
  <si>
    <t>1034RN5100</t>
  </si>
  <si>
    <t>Regenprofiel, loopdeur, geannodiseerd, L=5100mm, pcs(1)</t>
  </si>
  <si>
    <t>1034S</t>
  </si>
  <si>
    <t>deurdranger intern</t>
  </si>
  <si>
    <t>1034SLP</t>
  </si>
  <si>
    <t>1134, opvulplaat, 1034LOCK</t>
  </si>
  <si>
    <t>1034SPL</t>
  </si>
  <si>
    <t>Enkelpuntsslot, euro cilinder, doornmaat 50mm, PC maat 29mm</t>
  </si>
  <si>
    <t>1034SPL-LP</t>
  </si>
  <si>
    <t>Centrale slotplaat voor 1034SPL, staal, verzinkt, pcs(1)</t>
  </si>
  <si>
    <t>1034TCAPS</t>
  </si>
  <si>
    <t>Set kapjes SafeStep, Thyssen, kunstof, zwart</t>
  </si>
  <si>
    <t>1034-WPDS</t>
  </si>
  <si>
    <t>Draadloze loopdeurschakelaar met ontvanger</t>
  </si>
  <si>
    <t>1035</t>
  </si>
  <si>
    <t>Onderrubber met 2 lippen</t>
  </si>
  <si>
    <t>1035DW-50m</t>
  </si>
  <si>
    <t>Bodemrubber, IND, pneumatische beveiliging, EPDM 70, 50m</t>
  </si>
  <si>
    <t>1035L</t>
  </si>
  <si>
    <t>Bodemrubber tbv drempelprofiel RES EPDM</t>
  </si>
  <si>
    <t>1035QSE60</t>
  </si>
  <si>
    <t>Onderrubber, EPDM, Epco paneel, 60mm</t>
  </si>
  <si>
    <t>1035QSEN</t>
  </si>
  <si>
    <t>Onderrubber, QuickSeal, EPDM, op rol, direct in Ep</t>
  </si>
  <si>
    <t>1035QSEN60-35</t>
  </si>
  <si>
    <t>1035REN</t>
  </si>
  <si>
    <t>Bodemrubber renovatie,1 lip,EPDM,H=44 combineer m</t>
  </si>
  <si>
    <t>1035RES</t>
  </si>
  <si>
    <t>Bodemrubber EPDM tbv 1031RES</t>
  </si>
  <si>
    <t>1035SR</t>
  </si>
  <si>
    <t>Ond.rubber 2 lip zachte uitv.</t>
  </si>
  <si>
    <t>1036</t>
  </si>
  <si>
    <t>afdichtingsrubber</t>
  </si>
  <si>
    <t>1036-36</t>
  </si>
  <si>
    <t>Top rubber lip 36mm</t>
  </si>
  <si>
    <t>1036-52</t>
  </si>
  <si>
    <t>Boven afd. rubber lip 52mm</t>
  </si>
  <si>
    <t>1036DN</t>
  </si>
  <si>
    <t>Top seal, dubbele flap vervangt 1036D</t>
  </si>
  <si>
    <t>1037</t>
  </si>
  <si>
    <t>Afdichting voor AP25 DG06</t>
  </si>
  <si>
    <t>1038-4040</t>
  </si>
  <si>
    <t>Alu boven/onderprofiel 4040 mm</t>
  </si>
  <si>
    <t>1038-42-4040</t>
  </si>
  <si>
    <t>Alu bov./ond.U-pr.42mm 4040 mm</t>
  </si>
  <si>
    <t>1038-42-5100</t>
  </si>
  <si>
    <t>Top-/bodemprofiel, alu., paneel 42mm, h = 35mm</t>
  </si>
  <si>
    <t>1038-42-6100</t>
  </si>
  <si>
    <t>1038-5100</t>
  </si>
  <si>
    <t>Top-/bodemprofiel, alu., paneel 40mm, h = 35mm</t>
  </si>
  <si>
    <t>1038-60-6100</t>
  </si>
  <si>
    <t>Top-/bodemprofiel, alu, paneel 60mm, h=70mm</t>
  </si>
  <si>
    <t>1038-6100</t>
  </si>
  <si>
    <t>1038-80-4040</t>
  </si>
  <si>
    <t>Top/Bodemprofiel,alu,80mm,H=35mm,L=4040</t>
  </si>
  <si>
    <t>1038-80-5050</t>
  </si>
  <si>
    <t>Top/Bottomprofile,alu,80mm,H=35mm,L=5050</t>
  </si>
  <si>
    <t>1038-80-5100</t>
  </si>
  <si>
    <t>Top-/bodemprofiel, alu., paneel 80mm, h = 35mm</t>
  </si>
  <si>
    <t>1038-80-6100</t>
  </si>
  <si>
    <t>1038ABS-4040</t>
  </si>
  <si>
    <t>Top/Bottom profile, black ABS, L=4040 mm</t>
  </si>
  <si>
    <t>1038ABS-5100</t>
  </si>
  <si>
    <t>Top/Bottom profile, black ABS, L=5100 mm</t>
  </si>
  <si>
    <t>1038ABS-6100</t>
  </si>
  <si>
    <t>Top/Bottom profile, black ABS, L=6100 mm</t>
  </si>
  <si>
    <t>1038BA-6100</t>
  </si>
  <si>
    <t>Top/Bodem profiel, 40mm, h=35mm, alu, zwart geanodiseerd</t>
  </si>
  <si>
    <t>1038H4040</t>
  </si>
  <si>
    <t>Top/bodemprofiel,alu,40mm,H=55,L=4040</t>
  </si>
  <si>
    <t>1038H5050</t>
  </si>
  <si>
    <t>Top/bodemprofiel,alu,40mm,H=55,L=5050</t>
  </si>
  <si>
    <t>1038H5100</t>
  </si>
  <si>
    <t>Top-/bodemprofiel, alu, paneel 40mm, h=55mm</t>
  </si>
  <si>
    <t>1038H6090</t>
  </si>
  <si>
    <t>Top/bodemprofiel,alu,40mm,H=55,L=6090</t>
  </si>
  <si>
    <t>1038H6100</t>
  </si>
  <si>
    <t>1038HW4040</t>
  </si>
  <si>
    <t>Top/Bodemprofiel,alu,wit,40mm,H=55,L=4040</t>
  </si>
  <si>
    <t>1038HW5100</t>
  </si>
  <si>
    <t>Top-/bodemprofiel, alu, wit, paneel 40mm, h=55mm</t>
  </si>
  <si>
    <t>1038HW6100</t>
  </si>
  <si>
    <t>1038INS3050</t>
  </si>
  <si>
    <t>Bodem alu insert 3050mm</t>
  </si>
  <si>
    <t>1038W-5100</t>
  </si>
  <si>
    <t>Top-/bodemprofiel, alu., wit, paneel 40mm, h = 35m</t>
  </si>
  <si>
    <t>1038W-6100</t>
  </si>
  <si>
    <t>1039</t>
  </si>
  <si>
    <t>Onderprofiel met lip</t>
  </si>
  <si>
    <t>1039-52</t>
  </si>
  <si>
    <t>Bodemrubber</t>
  </si>
  <si>
    <t>1039-55</t>
  </si>
  <si>
    <t>bodemrubber verhoogd</t>
  </si>
  <si>
    <t>104001019</t>
  </si>
  <si>
    <t>Tandemroller IDD HS Deur L100</t>
  </si>
  <si>
    <t>104001020</t>
  </si>
  <si>
    <t>Tandemroller IDD HS Deur L170</t>
  </si>
  <si>
    <t>1040-6090</t>
  </si>
  <si>
    <t>100 mm hoog alu profiel,L=6090</t>
  </si>
  <si>
    <t>1040M</t>
  </si>
  <si>
    <t>Halve moer M16, elvz din 936</t>
  </si>
  <si>
    <t>1040REGL</t>
  </si>
  <si>
    <t>Holle stelbout M16x60 mm</t>
  </si>
  <si>
    <t>1040REGL-M</t>
  </si>
  <si>
    <t>M16 holle stelbouten en moeren, set van 2 stuks</t>
  </si>
  <si>
    <t>1041L-01</t>
  </si>
  <si>
    <t>Koppelstrip voor drempelprofiel, Alu</t>
  </si>
  <si>
    <t>1041L3000M</t>
  </si>
  <si>
    <t>SafeStep,gefreesd,opening/tape mid.,L=3000</t>
  </si>
  <si>
    <t>1041L3050</t>
  </si>
  <si>
    <t>Drempelprofiel alu, RES loopdeur L=3050</t>
  </si>
  <si>
    <t>1041L5050</t>
  </si>
  <si>
    <t>Drempelprofiel Alu, RES loopdeur L=5050</t>
  </si>
  <si>
    <t>1041LCAPL-9005</t>
  </si>
  <si>
    <t>Low threshold end piece, RAL9005, left hand</t>
  </si>
  <si>
    <t>1041LCAPR-9005</t>
  </si>
  <si>
    <t>Low threshold end piece, RAL9005, right hand</t>
  </si>
  <si>
    <t>1041LE1000</t>
  </si>
  <si>
    <t>Drempel eindprofiel Alu, L=1000</t>
  </si>
  <si>
    <t>1041LT</t>
  </si>
  <si>
    <t>Afdektape voor RES drempelprofiel,rol 25m</t>
  </si>
  <si>
    <t>1041LTB3050</t>
  </si>
  <si>
    <t>Drempelprofiel,deel 1,bodem,40mml, L=3050</t>
  </si>
  <si>
    <t>1041LTB4050</t>
  </si>
  <si>
    <t>Drempelprofiel, bodemdeel, alu, SafeStep, L=4050mm</t>
  </si>
  <si>
    <t>1041LTB5050</t>
  </si>
  <si>
    <t>Drempelprofiel,deel 1,bodem,40mml, L=5050</t>
  </si>
  <si>
    <t>1041TB3000</t>
  </si>
  <si>
    <t>Drempel,alu,zij-loopdeur,L=3000</t>
  </si>
  <si>
    <t>1041U3050</t>
  </si>
  <si>
    <t>Drempelprofiel,deel 2,bodem,40mm, L=3050</t>
  </si>
  <si>
    <t>1042-304</t>
  </si>
  <si>
    <t>Clevis pin ex splitpen 304</t>
  </si>
  <si>
    <t>1042Z</t>
  </si>
  <si>
    <t>Clevis pin(dik)excl. splitpen</t>
  </si>
  <si>
    <t>1044</t>
  </si>
  <si>
    <t>Harpsluiting bb050T vz zw pin</t>
  </si>
  <si>
    <t>1045</t>
  </si>
  <si>
    <t>Clip voor TOUW bevestiging.</t>
  </si>
  <si>
    <t>1046</t>
  </si>
  <si>
    <t>Clip verstevig.profiel STRUTS</t>
  </si>
  <si>
    <t>1047</t>
  </si>
  <si>
    <t>Harpsluiting M6, elvz</t>
  </si>
  <si>
    <t>1049M</t>
  </si>
  <si>
    <t>Moer,hex M5, DIN934, SideStep</t>
  </si>
  <si>
    <t>1049MBS</t>
  </si>
  <si>
    <t>Koppelmoer, hex, M5 SideStep</t>
  </si>
  <si>
    <t>1049TRS</t>
  </si>
  <si>
    <t>Draadstang, M5x1300mm, DIN976-1A, Sidestep</t>
  </si>
  <si>
    <t>105006029</t>
  </si>
  <si>
    <t>Alpha eindstijl 610 L</t>
  </si>
  <si>
    <t>105006030</t>
  </si>
  <si>
    <t>Alpha eindstijl 610 r</t>
  </si>
  <si>
    <t>105006031</t>
  </si>
  <si>
    <t>Alpha eindstijl 732 L</t>
  </si>
  <si>
    <t>105006032</t>
  </si>
  <si>
    <t>Alpha eindstijl 732 R</t>
  </si>
  <si>
    <t>105006033</t>
  </si>
  <si>
    <t>IDDHO Eindkap 500 Links</t>
  </si>
  <si>
    <t>105006034</t>
  </si>
  <si>
    <t>IDDHO Eindkap 500 Rechts</t>
  </si>
  <si>
    <t>105006035</t>
  </si>
  <si>
    <t>IDDHO Eindkap 625 Links</t>
  </si>
  <si>
    <t>105006036</t>
  </si>
  <si>
    <t>IDDHO Eindkap 625 Rechts</t>
  </si>
  <si>
    <t>105006037</t>
  </si>
  <si>
    <t>IDDHO Eindkap 750 Links</t>
  </si>
  <si>
    <t>105006038</t>
  </si>
  <si>
    <t>IDDHO Eindkap 750 Rechts</t>
  </si>
  <si>
    <t>1050B</t>
  </si>
  <si>
    <t>Schroefoog M10x80x15, elvz</t>
  </si>
  <si>
    <t>1050BO</t>
  </si>
  <si>
    <t>Schommelhaak 22 M10x120 ELVZ</t>
  </si>
  <si>
    <t>1051D38</t>
  </si>
  <si>
    <t>Schroef,zelfborend,met losse ring,L=38</t>
  </si>
  <si>
    <t>1052BV</t>
  </si>
  <si>
    <t>Zelft. parker PERSRING 6,3x16</t>
  </si>
  <si>
    <t>1052BV-RVS</t>
  </si>
  <si>
    <t>RVS parker met PERSRING 6,3x16</t>
  </si>
  <si>
    <t>1052D</t>
  </si>
  <si>
    <t>Boorparker verz. 6,3x21mm</t>
  </si>
  <si>
    <t>1053BV</t>
  </si>
  <si>
    <t>Zelft. parker PERSRING 6,3x 35</t>
  </si>
  <si>
    <t>1053BV-RVS</t>
  </si>
  <si>
    <t>RVS parker met PERSRING 6,3x35</t>
  </si>
  <si>
    <t>1053D</t>
  </si>
  <si>
    <t>Zelfborend parker 6,3x 35+ring</t>
  </si>
  <si>
    <t>1054-16</t>
  </si>
  <si>
    <t>Parker,zelftappend,kop zeskant inbus,6.3x16</t>
  </si>
  <si>
    <t>1054T16</t>
  </si>
  <si>
    <t>Boorparker,verzinkt,6.3x16,Torx</t>
  </si>
  <si>
    <t>1054T25</t>
  </si>
  <si>
    <t>Boorparker,verzinkt,6.3x25,Torx</t>
  </si>
  <si>
    <t>1054T35</t>
  </si>
  <si>
    <t>Boorparker,verzinkt 6.3x35,Torx</t>
  </si>
  <si>
    <t>1054TNW25</t>
  </si>
  <si>
    <t>Parker zelfborend, verzinkt, witte kop met Torx, 6</t>
  </si>
  <si>
    <t>1054TW16</t>
  </si>
  <si>
    <t>Boorparker,wit,6.3x16,Torx</t>
  </si>
  <si>
    <t>1054TW25</t>
  </si>
  <si>
    <t>Boorparker,wit,6.3x25,Torx</t>
  </si>
  <si>
    <t>1054TW35</t>
  </si>
  <si>
    <t>Boorparker,wit,6.3x35,Torx</t>
  </si>
  <si>
    <t>1054W-25</t>
  </si>
  <si>
    <t>Inbusp. wit RAL 9016 verzinkt zelfb.6.3x25</t>
  </si>
  <si>
    <t>1055BV</t>
  </si>
  <si>
    <t>Zelft. parker PERSRING 6,3x 25</t>
  </si>
  <si>
    <t>1055BV-RVS</t>
  </si>
  <si>
    <t>RVS parker met PERSRING 6,3x25</t>
  </si>
  <si>
    <t>1055CAP10</t>
  </si>
  <si>
    <t>Dop voor schroef RAL 9016</t>
  </si>
  <si>
    <t>1055D</t>
  </si>
  <si>
    <t>Zelfborend parker 6,3x25</t>
  </si>
  <si>
    <t>1056</t>
  </si>
  <si>
    <t>Polyprop. touw 10mm</t>
  </si>
  <si>
    <t>1056B</t>
  </si>
  <si>
    <t>Polyprop. touw 10mm ZWART</t>
  </si>
  <si>
    <t>1056B2400</t>
  </si>
  <si>
    <t>Polypr.touw 10mm Lengte 2,4 M1</t>
  </si>
  <si>
    <t>1056B3000</t>
  </si>
  <si>
    <t>Polypr.touw 10mm lengte 3,0 M.</t>
  </si>
  <si>
    <t>1056B3600</t>
  </si>
  <si>
    <t>Polypr.touw 10mm Lengte 3,6 M1</t>
  </si>
  <si>
    <t>1056B4200</t>
  </si>
  <si>
    <t>Polypr.touw 10mm Lengte 4,2 M1</t>
  </si>
  <si>
    <t>1057B</t>
  </si>
  <si>
    <t>Tapbout M8x40, elvz D933/8.8</t>
  </si>
  <si>
    <t>1057B16</t>
  </si>
  <si>
    <t>Tapbout M08x16, elvz D933/8.8</t>
  </si>
  <si>
    <t>1057B60</t>
  </si>
  <si>
    <t>Tapbout M08x60, elvz D933/8.8</t>
  </si>
  <si>
    <t>1058B</t>
  </si>
  <si>
    <t>Tapbout M10x25, elvz D933/8.8</t>
  </si>
  <si>
    <t>1058BFN</t>
  </si>
  <si>
    <t>Bout, verzinkt, M10x25mm met dog point, 3mm hoog v</t>
  </si>
  <si>
    <t>1058BX</t>
  </si>
  <si>
    <t>Bolkop, binnenzeskant, M10x40 ISO 7380-1</t>
  </si>
  <si>
    <t>1058F</t>
  </si>
  <si>
    <t>Flensmoer M10, elvz D 6923/8</t>
  </si>
  <si>
    <t>1059B</t>
  </si>
  <si>
    <t>Tapbout M10x45, elvz D933/8.8</t>
  </si>
  <si>
    <t>1059B50</t>
  </si>
  <si>
    <t>Tapbout M10x50,elvz D 931/8.8</t>
  </si>
  <si>
    <t>1060</t>
  </si>
  <si>
    <t>Tapbout M10x130,elvz D 931/8.8</t>
  </si>
  <si>
    <t>1061B</t>
  </si>
  <si>
    <t>Tapbout M6x30, elvz D 933/8.8</t>
  </si>
  <si>
    <t>1062B</t>
  </si>
  <si>
    <t>Spec.slotbout M6x16,laag vierk</t>
  </si>
  <si>
    <t>1062BF</t>
  </si>
  <si>
    <t>Persbout, M6x16mm, platte kop, 8.8, laag vierkant</t>
  </si>
  <si>
    <t>1062BF12</t>
  </si>
  <si>
    <t>Persbout, M6x12mm, platte kop, 8.8, laag vierkant</t>
  </si>
  <si>
    <t>1062B-RVS</t>
  </si>
  <si>
    <t>RVS spec. slotbout M6 x16 .</t>
  </si>
  <si>
    <t>1062BS</t>
  </si>
  <si>
    <t>Bout,set, met Dog point M6x25 SideStep</t>
  </si>
  <si>
    <t>1062M</t>
  </si>
  <si>
    <t>Flensmoer M6, elvz D6923, sper</t>
  </si>
  <si>
    <t>1062M-RVS</t>
  </si>
  <si>
    <t>RVS flensmoer M6</t>
  </si>
  <si>
    <t>1062MS</t>
  </si>
  <si>
    <t>Moer,hex M6, SideStep</t>
  </si>
  <si>
    <t>1063</t>
  </si>
  <si>
    <t>Spuitbus olie 500 ml</t>
  </si>
  <si>
    <t>1064PVC3000</t>
  </si>
  <si>
    <t>Veersteun 3 3/4; PVC, 3000mm</t>
  </si>
  <si>
    <t>1065</t>
  </si>
  <si>
    <t>Stelring 1" (25,4mm)</t>
  </si>
  <si>
    <t>1065-125</t>
  </si>
  <si>
    <t>Stelring 1 1/4" (31,75mm)</t>
  </si>
  <si>
    <t>1065COL</t>
  </si>
  <si>
    <t>Stelring 1" met rand</t>
  </si>
  <si>
    <t>1065NYL</t>
  </si>
  <si>
    <t>Nylon stelring met schroef</t>
  </si>
  <si>
    <t>1065P</t>
  </si>
  <si>
    <t>Eindstop, tbv veervulling ,1065 PVC, 3 3/4"</t>
  </si>
  <si>
    <t>PVC buis, 65mm veervulling L=3000</t>
  </si>
  <si>
    <t>1065PVC3000</t>
  </si>
  <si>
    <t>PVC buis, 95mm veervulling L=3000</t>
  </si>
  <si>
    <t>PVC buis, 115mm veervulling L=3000</t>
  </si>
  <si>
    <t>1065S</t>
  </si>
  <si>
    <t>Tweedelige stelring voor 1"as</t>
  </si>
  <si>
    <t>1065S125</t>
  </si>
  <si>
    <t>Tweedelige stelring vr 5/4"as</t>
  </si>
  <si>
    <t>1066TB</t>
  </si>
  <si>
    <t>Spec.slotbout M8x20, zeskant zelftappend</t>
  </si>
  <si>
    <t>1067B</t>
  </si>
  <si>
    <t>Tapbout M10x35, elvz D933/8.8</t>
  </si>
  <si>
    <t>1068M</t>
  </si>
  <si>
    <t>1068M-12</t>
  </si>
  <si>
    <t>Flensmoer M8; klasse 12</t>
  </si>
  <si>
    <t>1068M304</t>
  </si>
  <si>
    <t>Flensmoer DIN6923/RVS-A2 M8</t>
  </si>
  <si>
    <t>1068MN</t>
  </si>
  <si>
    <t>Moer M8, Nyloc</t>
  </si>
  <si>
    <t>107008012</t>
  </si>
  <si>
    <t>IDDHO Schuifgrendel</t>
  </si>
  <si>
    <t>1070B129</t>
  </si>
  <si>
    <t>klasse 12.9 Slotbout M8x25</t>
  </si>
  <si>
    <t>1070B35</t>
  </si>
  <si>
    <t>Slotbout M8x25 met laag 4-kant</t>
  </si>
  <si>
    <t>1070BF</t>
  </si>
  <si>
    <t>Persbout, M8x18mm, platte kop, 8.8, laag vierkant</t>
  </si>
  <si>
    <t>1071B</t>
  </si>
  <si>
    <t>Slotbout M8x12 met laag 4-kant</t>
  </si>
  <si>
    <t>1071BF</t>
  </si>
  <si>
    <t>Persbout, M8x12mm, platte kop, 8.8</t>
  </si>
  <si>
    <t>1071BFN</t>
  </si>
  <si>
    <t>Bout, verzinkt, M8x16mm met dog point, 3.5mm hoog</t>
  </si>
  <si>
    <t>1072B</t>
  </si>
  <si>
    <t>Slotbout M8x20 met laag 4-kant</t>
  </si>
  <si>
    <t>1075P</t>
  </si>
  <si>
    <t>Eindstop, voor veervulling 1075PVC, 6"</t>
  </si>
  <si>
    <t>1075PN</t>
  </si>
  <si>
    <t>Eindstuk, voor veervulling buis 1075PVC3000</t>
  </si>
  <si>
    <t>1075PVC3000</t>
  </si>
  <si>
    <t>Spring filler tube PVC, 3000mm</t>
  </si>
  <si>
    <t>1078D</t>
  </si>
  <si>
    <t>Afstandsbus veervulling</t>
  </si>
  <si>
    <t>1078P1-3000</t>
  </si>
  <si>
    <t>Veervulling PVC,1"as,6"veer 3m</t>
  </si>
  <si>
    <t>1078PVC-3000</t>
  </si>
  <si>
    <t>Veersteun 8 x T; PVC, 3000 mm 1+1¼"</t>
  </si>
  <si>
    <t>108006017</t>
  </si>
  <si>
    <t>Askoppeling IDDHO</t>
  </si>
  <si>
    <t>1083</t>
  </si>
  <si>
    <t>Veerclips tbv bovenafdichting</t>
  </si>
  <si>
    <t>1085N-2010</t>
  </si>
  <si>
    <t>zijafdprofiel , hard PVC + flex TPE, L=2010 ver</t>
  </si>
  <si>
    <t>1085N-2035</t>
  </si>
  <si>
    <t>zijafdprofiel , hard PVC + flex TPE, L=2035 ver</t>
  </si>
  <si>
    <t>1085N-2135</t>
  </si>
  <si>
    <t>zijafdprofiel , hard PVC + flex TPE, L=2135 ver</t>
  </si>
  <si>
    <t>1085N-2160</t>
  </si>
  <si>
    <t>zijafdprofiel , hard PVC + flex TPE, L=2160 ver</t>
  </si>
  <si>
    <t>1085N-2260</t>
  </si>
  <si>
    <t>zijafdprofiel , hard PVC + flex TPE, L=2260 ver</t>
  </si>
  <si>
    <t>1085N-2285</t>
  </si>
  <si>
    <t>zijafdprofiel , hard PVC + flex TPE, L=2285 ver</t>
  </si>
  <si>
    <t>1085N-2360</t>
  </si>
  <si>
    <t>zijafdprofiel , hard PVC + flex TPE, L=2360 ver</t>
  </si>
  <si>
    <t>1085N-2385</t>
  </si>
  <si>
    <t>zijafdprofiel , hard PVC + flex TPE, L=2385 ver</t>
  </si>
  <si>
    <t>1085N-2410</t>
  </si>
  <si>
    <t>zijafdprofiel , hard PVC + flex TPE, L=2410 ver</t>
  </si>
  <si>
    <t>1085N-2510</t>
  </si>
  <si>
    <t>zijafdprofiel , hard PVC + flex TPE, L=2510 ver</t>
  </si>
  <si>
    <t>1085N-2535</t>
  </si>
  <si>
    <t>zijafdprofiel , hard PVC + flex TPE, L=2535 ver</t>
  </si>
  <si>
    <t>1085N-2760</t>
  </si>
  <si>
    <t>zijafdprofiel , hard PVC + flex TPE, L=2760 ver</t>
  </si>
  <si>
    <t>1085N-2785</t>
  </si>
  <si>
    <t>zijafdprofiel , hard PVC + flex TPE, L=2785 ver</t>
  </si>
  <si>
    <t>1085N-3010</t>
  </si>
  <si>
    <t>zijafdprofiel , hard PVC + flex TPE, L=3010 ver</t>
  </si>
  <si>
    <t>1085N-3035</t>
  </si>
  <si>
    <t>zijafdprofiel , hard PVC + flex TPE, L=3035 ver</t>
  </si>
  <si>
    <t>1085N-3060</t>
  </si>
  <si>
    <t>zijafdprofiel , hard PVC + flex TPE, L=3060 ver</t>
  </si>
  <si>
    <t>1085N-3660</t>
  </si>
  <si>
    <t>zijafdprofiel , hard PVC + flex TPE, L=3660 ver</t>
  </si>
  <si>
    <t>1085N-4060</t>
  </si>
  <si>
    <t>zijafdprofiel , hard PVC + flex TPE, L=4060 ver</t>
  </si>
  <si>
    <t>1085N-4260</t>
  </si>
  <si>
    <t>zijafdprofiel , hard PVC + flex TPE, L=4260 ver</t>
  </si>
  <si>
    <t>1085N-4560</t>
  </si>
  <si>
    <t>zijafdprofiel , hard PVC + flex TPE, L=4560 ver</t>
  </si>
  <si>
    <t>1085N-5060</t>
  </si>
  <si>
    <t>zijafdprofiel , hard PVC + flex TPE, L=5060 ver</t>
  </si>
  <si>
    <t>1085N-5560</t>
  </si>
  <si>
    <t>zijafdprofiel , hard PVC + flex TPE, L=5560 ver</t>
  </si>
  <si>
    <t>1085N-6000</t>
  </si>
  <si>
    <t>zijafdprofiel , hard PVC + flex TPE, L=6000 ver</t>
  </si>
  <si>
    <t>1085RBN2035</t>
  </si>
  <si>
    <t>Afdichting zij/top,PVC+TPR,zwart,koudebreuk,L=2035</t>
  </si>
  <si>
    <t>1085RBN2160</t>
  </si>
  <si>
    <t>Afdichting zij/top,PVC+TPR,zwart,koudebreuk,L=2160</t>
  </si>
  <si>
    <t>1085RBN2285</t>
  </si>
  <si>
    <t>Afdichting zij/top,PVC+TPR,zwart,koudebreuk,L=2228</t>
  </si>
  <si>
    <t>1085RBN2410</t>
  </si>
  <si>
    <t>Afdichting zij/top,PVC+TPR,zwart,koudebreuk,L=2410</t>
  </si>
  <si>
    <t>1085RBN2535</t>
  </si>
  <si>
    <t>Afdichting zij/top,PVC+TPR,zwart,koudebreuk,L=2535</t>
  </si>
  <si>
    <t>1085RBN2785</t>
  </si>
  <si>
    <t>Afdichting zij/top,PVC+TPR,zwart,koudebreuk,L=2785</t>
  </si>
  <si>
    <t>1085RBN3035</t>
  </si>
  <si>
    <t>Afdichting zij/top,PVC+TPR,zwart,koudebreuk,L=3035</t>
  </si>
  <si>
    <t>1085RBN5090</t>
  </si>
  <si>
    <t>Afdichting zij/top,PVC+TPR,zwart,koudebreuk,L=5090</t>
  </si>
  <si>
    <t>1086R</t>
  </si>
  <si>
    <t>Zijafdichting op rol (50m)</t>
  </si>
  <si>
    <t>1087B1</t>
  </si>
  <si>
    <t>Borstelstrip RES-L per mtr</t>
  </si>
  <si>
    <t>1088BN</t>
  </si>
  <si>
    <t>Speciale inbusbout voor RESL</t>
  </si>
  <si>
    <t>1088GT</t>
  </si>
  <si>
    <t>Bout, draag-as, SSD</t>
  </si>
  <si>
    <t>1088I</t>
  </si>
  <si>
    <t>Zijafdichting op rol (300m)</t>
  </si>
  <si>
    <t>1088IT-4060</t>
  </si>
  <si>
    <t>side seal for 9VL,therm. break,L=4060</t>
  </si>
  <si>
    <t>1088IT-6060</t>
  </si>
  <si>
    <t>side seal for 9VL,therm. break,L=6060</t>
  </si>
  <si>
    <t>1088ITC-4060</t>
  </si>
  <si>
    <t>Side seal for 9VL, thermal break L=4060 mm</t>
  </si>
  <si>
    <t>1088ITC-5060</t>
  </si>
  <si>
    <t>Side seal for 9VL, thermal break L=5060 mm</t>
  </si>
  <si>
    <t>1088ITC-6060</t>
  </si>
  <si>
    <t>Side seal for 9VL, thermal break L=6060 mm</t>
  </si>
  <si>
    <t>1088ITC-7060</t>
  </si>
  <si>
    <t>Side seal for 9VL, thermal break L=7060 mm</t>
  </si>
  <si>
    <t>1088N-1910</t>
  </si>
  <si>
    <t>Zijafdichtingsprofiel, hard PVC, flexibel TPE, L=1</t>
  </si>
  <si>
    <t>1088N-2010</t>
  </si>
  <si>
    <t>Zijafdichting, tbv 9VD hard PVC+flex TPE,L=2010</t>
  </si>
  <si>
    <t>1088N-2135</t>
  </si>
  <si>
    <t>Zijafdichtingsprofiel, hard PVC, flexibel TPE, L=2</t>
  </si>
  <si>
    <t>1088N-2260</t>
  </si>
  <si>
    <t>Zijafdichting, tbv 9VD hard PVC+flex TPE,L=2260</t>
  </si>
  <si>
    <t>1088N-2385</t>
  </si>
  <si>
    <t>1088N-2510</t>
  </si>
  <si>
    <t>1088N-2760</t>
  </si>
  <si>
    <t>1088N-3010</t>
  </si>
  <si>
    <t>Zijafdichtingsprofiel, hard PVC, flexibel TPE, L=3</t>
  </si>
  <si>
    <t>1088N-3500</t>
  </si>
  <si>
    <t>1088N-4000</t>
  </si>
  <si>
    <t>Zijafdichtingsprofiel, hard PVC, flexibel TPE, L=4</t>
  </si>
  <si>
    <t>1088N-4500</t>
  </si>
  <si>
    <t>1088N-5000</t>
  </si>
  <si>
    <t>Zijafdichtingsprofiel, hard PVC, flexibel TPE, L=5</t>
  </si>
  <si>
    <t>1088N-6000</t>
  </si>
  <si>
    <t>Zijafdichting, tbv 9VD hard PVC+flex TPE,L=6000</t>
  </si>
  <si>
    <t>1088RC-2010</t>
  </si>
  <si>
    <t>Zijafdichting 915VL, hard PVC, flexibel TPE, L=2010, pcs(1)</t>
  </si>
  <si>
    <t>1088RC-2135</t>
  </si>
  <si>
    <t>Zijafdichting 915VL, hard PVC, flexibel TPE, L=2135, pcs(1)</t>
  </si>
  <si>
    <t>1088RC-2260</t>
  </si>
  <si>
    <t>Zijafdichting 915VL, hard PVC, flexibel TPE, L=2260, pcs(1)</t>
  </si>
  <si>
    <t>1088RC-2385</t>
  </si>
  <si>
    <t>Zijafdichting 915VL, hard PVC, flexibel TPE, L=2385, pcs(1)</t>
  </si>
  <si>
    <t>1088RC-2510</t>
  </si>
  <si>
    <t>Zijafdichting 915VL, hard PVC, flexibel TPE, L=2510, pcs(1)</t>
  </si>
  <si>
    <t>1088RC-2760</t>
  </si>
  <si>
    <t>Zijafdichting 915VL, hard PVC, flexibel TPE, L=2760, pcs(1)</t>
  </si>
  <si>
    <t>1088RC-3010</t>
  </si>
  <si>
    <t>Zijafdichting 915VL, hard PVC, flexibel TPE, L=3010, pcs(1)</t>
  </si>
  <si>
    <t>1088RC-3500</t>
  </si>
  <si>
    <t>Zijafdichting 915VL, hard PVC, flexibel TPE, L=3500, pcs(1)</t>
  </si>
  <si>
    <t>1088RC-4500</t>
  </si>
  <si>
    <t>Zijafdichting 915VL, hard PVC, flexibel TPE, L=4500, pcs(1)</t>
  </si>
  <si>
    <t>1088RC-5000</t>
  </si>
  <si>
    <t>Zijafdichting 915VL, hard PVC, flexibel TPE, L=5000, pcs(1)</t>
  </si>
  <si>
    <t>1088RC-6000</t>
  </si>
  <si>
    <t>Zijafdichting 915VL, hard PVC, flexibel TPE, L=6000, pcs(1)</t>
  </si>
  <si>
    <t>1088S-3060</t>
  </si>
  <si>
    <t>Zijafdichting PVC+TPR 3060</t>
  </si>
  <si>
    <t>1088T-3060</t>
  </si>
  <si>
    <t>Zijafdichting 915VL,koudebereuk L=3060</t>
  </si>
  <si>
    <t>1088T-3660</t>
  </si>
  <si>
    <t>Zijafdichting 915VL, koudebereuk L=3660</t>
  </si>
  <si>
    <t>1088T-5060</t>
  </si>
  <si>
    <t>Zijafdichting 915VL, koudebereuk L=5060</t>
  </si>
  <si>
    <t>1088T-6000</t>
  </si>
  <si>
    <t>Zijafdichting 915VL, koudebereuk L=6000</t>
  </si>
  <si>
    <t>1088TF-3060</t>
  </si>
  <si>
    <t>side seal for 915VL thermal br</t>
  </si>
  <si>
    <t>1088TF-3660</t>
  </si>
  <si>
    <t>Side seal for 915VL, with thermal break and extended flap. L</t>
  </si>
  <si>
    <t>1088TF-5060</t>
  </si>
  <si>
    <t>1088TF-6000</t>
  </si>
  <si>
    <t>1094-40-6000</t>
  </si>
  <si>
    <t>Side seal 6000 mm</t>
  </si>
  <si>
    <t>1097W3350</t>
  </si>
  <si>
    <t>Zijafd. wigl. rail 3.35 M</t>
  </si>
  <si>
    <t>110CAP</t>
  </si>
  <si>
    <t>Strut Cap 110S</t>
  </si>
  <si>
    <t>110S10020</t>
  </si>
  <si>
    <t>110x1,0mm reinforcing strut 10020mm</t>
  </si>
  <si>
    <t>110S6520</t>
  </si>
  <si>
    <t>110x1,0mm reinforcing strut 6520mm</t>
  </si>
  <si>
    <t>110S7020</t>
  </si>
  <si>
    <t>110x1,0mm reinforcing strut 7020mm</t>
  </si>
  <si>
    <t>110S7520</t>
  </si>
  <si>
    <t>110x1,0mm reinforcing strut 7520mm</t>
  </si>
  <si>
    <t>110S8020</t>
  </si>
  <si>
    <t>110x1,0mm reinforcing strut 8020mm</t>
  </si>
  <si>
    <t>110S8520</t>
  </si>
  <si>
    <t>110x1,0mm reinforcing strut 8520mm</t>
  </si>
  <si>
    <t>110S9020</t>
  </si>
  <si>
    <t>110x1,0mm reinforcing strut 9020mm</t>
  </si>
  <si>
    <t>1134-CEK-9005</t>
  </si>
  <si>
    <t>1134, kapjes, set 4 stuks, EPCO / Kingspan, zwart</t>
  </si>
  <si>
    <t>1134-CEK-9016</t>
  </si>
  <si>
    <t>1134, kapjes, set 4 stuks, EPCO / Kingspan, wit</t>
  </si>
  <si>
    <t>1134-CM-9005</t>
  </si>
  <si>
    <t>1134; kapjes, set 4 stuks, Metecno, zwart</t>
  </si>
  <si>
    <t>1134-CM-9016</t>
  </si>
  <si>
    <t>1134; kapjes, set 4 stuks, Metecno, wit</t>
  </si>
  <si>
    <t>1134-CT-9005</t>
  </si>
  <si>
    <t>1134, kapjes, set 4 stuks, tecsedo, zwart</t>
  </si>
  <si>
    <t>1134-CT-9016</t>
  </si>
  <si>
    <t>1134, kapjes, set 4 stuks, tecsedo, wit</t>
  </si>
  <si>
    <t>1134DR3000</t>
  </si>
  <si>
    <t>1134, deur bodemrubber profiel, L=3000mm, alu, geanodiseerd</t>
  </si>
  <si>
    <t>1134HIL</t>
  </si>
  <si>
    <t>1134, scharnier, verzinkt, links</t>
  </si>
  <si>
    <t>1134HIR</t>
  </si>
  <si>
    <t>1134, scharnier, verzinkt, rechts</t>
  </si>
  <si>
    <t>1134KIT1LM-9016</t>
  </si>
  <si>
    <t>SolidStep, kit 1, links, meerpuntslotgaten, RAL9016</t>
  </si>
  <si>
    <t>1134KIT1LM-ALU</t>
  </si>
  <si>
    <t>SolidStep, kit 1, LH, pre-milled multi point lock, anodized</t>
  </si>
  <si>
    <t>1134KIT1LN-9016</t>
  </si>
  <si>
    <t>SolidStep, kit 1, links, geen slotgaten, RAL9016</t>
  </si>
  <si>
    <t>1134KIT1LN-ALU</t>
  </si>
  <si>
    <t>SolidStep, kit 1, links, geen slotgaten, aluminium</t>
  </si>
  <si>
    <t>1134KIT1LS-9016</t>
  </si>
  <si>
    <t>SolidStep, kit 1, links, gaten voor enkelslot, RAL9016</t>
  </si>
  <si>
    <t>1134KIT1LS-ALU</t>
  </si>
  <si>
    <t>SolidStep, kit 1, links, gaten voor enkelslot, aluminium</t>
  </si>
  <si>
    <t>1134KIT1RM-9016</t>
  </si>
  <si>
    <t>SolidStep, kit 1, rechts, meerpuntslotgaten, RAL9016</t>
  </si>
  <si>
    <t>1134KIT1RM-ALU</t>
  </si>
  <si>
    <t>SolidStep, kit 1, rechts, meerpuntslotgaten, aluminium</t>
  </si>
  <si>
    <t>1134KIT1RN-9016</t>
  </si>
  <si>
    <t>SolidStep, kit 1, rechts, geen slotgaten, RAL9016</t>
  </si>
  <si>
    <t>1134KIT1RN-ALU</t>
  </si>
  <si>
    <t>SolidStep, kit 1, rechts, geen slotgaten, aluminium</t>
  </si>
  <si>
    <t>1134KIT1RS-9016</t>
  </si>
  <si>
    <t>SolidStep, kit 1, rechts, gaten voor enkelslot, RAL9016</t>
  </si>
  <si>
    <t>1134KIT1RS-ALU</t>
  </si>
  <si>
    <t>SolidStep, kit 1, rechts, gaten voor enkelslot, aluminium</t>
  </si>
  <si>
    <t>1134KIT4LM-9016</t>
  </si>
  <si>
    <t>1134KIT4LM-ALU</t>
  </si>
  <si>
    <t>SolidStep, kit 1, links, meerpuntslotgaten, aluminium</t>
  </si>
  <si>
    <t>1134KIT4LN-9016</t>
  </si>
  <si>
    <t>SolidStep, kit 4, links, geen slotgaten, RAL9016</t>
  </si>
  <si>
    <t>1134KIT4LN-ALU</t>
  </si>
  <si>
    <t>SolidStep, kit 4, links, geen slotgaten, aluminium</t>
  </si>
  <si>
    <t>1134KIT4LS-9016</t>
  </si>
  <si>
    <t>1134KIT4LS-ALU</t>
  </si>
  <si>
    <t>1134KIT4RM-9016</t>
  </si>
  <si>
    <t>1134KIT4RM-ALU</t>
  </si>
  <si>
    <t>1134KIT4RN-9016</t>
  </si>
  <si>
    <t>1134KIT4RN-ALU</t>
  </si>
  <si>
    <t>1134KIT4RS-9016</t>
  </si>
  <si>
    <t>1134KIT4RS-ALU</t>
  </si>
  <si>
    <t>1134-MC</t>
  </si>
  <si>
    <t>1134, Hoekversteviging</t>
  </si>
  <si>
    <t>1134P3100</t>
  </si>
  <si>
    <t>1134, loopdeurprofiel, L=3100mm, alu, geanodiseerd</t>
  </si>
  <si>
    <t>1134R</t>
  </si>
  <si>
    <t>1134, afdichting, EPDM, zwart</t>
  </si>
  <si>
    <t>1134R_old</t>
  </si>
  <si>
    <t>1134SP</t>
  </si>
  <si>
    <t>1134, beveiligingspin, verzinkt</t>
  </si>
  <si>
    <t>1134T3100</t>
  </si>
  <si>
    <t>1134, drempel adapter profiel, L=3100mm, alu, geanodiseerd</t>
  </si>
  <si>
    <t>1134VB</t>
  </si>
  <si>
    <t>1134, visuele barrière kapje, EPDM, zwart</t>
  </si>
  <si>
    <t>1135-C-9005</t>
  </si>
  <si>
    <t>1135, kapjes, set 4 stuks, IND, zwart</t>
  </si>
  <si>
    <t>120K-4000</t>
  </si>
  <si>
    <t>120x40x3 verz. kokerprof. L=4000</t>
  </si>
  <si>
    <t>120K-6000</t>
  </si>
  <si>
    <t>120x40x3 verz. kokerprof. L=6000</t>
  </si>
  <si>
    <t>120K60CAP</t>
  </si>
  <si>
    <t>Plastic cap cover for 120K60</t>
  </si>
  <si>
    <t>120K-7000</t>
  </si>
  <si>
    <t>120x40x3 verz. kokerprof. L=7000</t>
  </si>
  <si>
    <t>120K-9000</t>
  </si>
  <si>
    <t>120x40x3 verz. kokerprof. L=9000</t>
  </si>
  <si>
    <t>120SC10020</t>
  </si>
  <si>
    <t>Verstevigingsprofiel,trapezium,H=120,L=10020</t>
  </si>
  <si>
    <t>120SC6520</t>
  </si>
  <si>
    <t>Verstevigingsprofiel,trapezium,H=120,L=6520</t>
  </si>
  <si>
    <t>120SC8020</t>
  </si>
  <si>
    <t>Verstevigingsprofiel,trapezium,H=120,L=8020</t>
  </si>
  <si>
    <t>120SCAPL</t>
  </si>
  <si>
    <t>Afschermingsdop voor 120SC, links</t>
  </si>
  <si>
    <t>120SCAPR</t>
  </si>
  <si>
    <t>Afschermingsdop voor 120SC, rechts</t>
  </si>
  <si>
    <t>128EVO</t>
  </si>
  <si>
    <t>2-kanaals draadloze wandbediening</t>
  </si>
  <si>
    <t>13155</t>
  </si>
  <si>
    <t>Verticale 3" rails, 5180 mm</t>
  </si>
  <si>
    <t>13236</t>
  </si>
  <si>
    <t>Horizontale 3" rails, 4180 mm</t>
  </si>
  <si>
    <t>16200LM</t>
  </si>
  <si>
    <t>Loopdeur / schuifgrendel schakelaar</t>
  </si>
  <si>
    <t>1702EVO</t>
  </si>
  <si>
    <t>Buitenonderbrekingsschakelaar</t>
  </si>
  <si>
    <t>201003026</t>
  </si>
  <si>
    <t>Hoofdcilinder IDDLO70</t>
  </si>
  <si>
    <t>201008005</t>
  </si>
  <si>
    <t>Lipcilinder IDDLO233/233M-500</t>
  </si>
  <si>
    <t>2030024</t>
  </si>
  <si>
    <t>Dock Bumper met gaten geel/zwart (500*250*100)</t>
  </si>
  <si>
    <t>2050</t>
  </si>
  <si>
    <t>Sluitring M10</t>
  </si>
  <si>
    <t>2050009</t>
  </si>
  <si>
    <t>IDDTR Rampaal 160</t>
  </si>
  <si>
    <t>2050-8</t>
  </si>
  <si>
    <t>Stalen Sluitring voor M8 bout</t>
  </si>
  <si>
    <t>2052</t>
  </si>
  <si>
    <t>Sluitring Nylon M10</t>
  </si>
  <si>
    <t>2052-8</t>
  </si>
  <si>
    <t>Nylon sluitring voor M8 bout</t>
  </si>
  <si>
    <t>2060-2</t>
  </si>
  <si>
    <t>Vulplaat 60/2 tbv 421(K)</t>
  </si>
  <si>
    <t>2060B27</t>
  </si>
  <si>
    <t>Afstandsbus</t>
  </si>
  <si>
    <t>2065</t>
  </si>
  <si>
    <t>Afstandsring kunst, 11mm rol, 4mm zw</t>
  </si>
  <si>
    <t>2066-05</t>
  </si>
  <si>
    <t>Afstandsbus 11 x 17 x 5 mm</t>
  </si>
  <si>
    <t>2066-07</t>
  </si>
  <si>
    <t>Afstandsbus 11x17x7,5 mm</t>
  </si>
  <si>
    <t>2066-10</t>
  </si>
  <si>
    <t>Afstandsbus 11 x 17 x 10 mm</t>
  </si>
  <si>
    <t>2076-05</t>
  </si>
  <si>
    <t>Afstandsbus 12,8x17,5x5 mm</t>
  </si>
  <si>
    <t>2076-07</t>
  </si>
  <si>
    <t>Afstandsbus 12,8x17,5x7,5 mm</t>
  </si>
  <si>
    <t>2076-10</t>
  </si>
  <si>
    <t>Afstandsbus 12,8x17,5x10 mm</t>
  </si>
  <si>
    <t>2090</t>
  </si>
  <si>
    <t>Montageplaat bumper tbv 5C</t>
  </si>
  <si>
    <t>2090L</t>
  </si>
  <si>
    <t>Montageplaat bumperbeugel LHR</t>
  </si>
  <si>
    <t>2100-15</t>
  </si>
  <si>
    <t>Rubber dop 40 x 15 mm</t>
  </si>
  <si>
    <t>2100S</t>
  </si>
  <si>
    <t>Deurstopper, set 2 stuks, incl. montagemateriaal</t>
  </si>
  <si>
    <t>2101</t>
  </si>
  <si>
    <t>Montageplaat 170 mm bumper</t>
  </si>
  <si>
    <t>2101N</t>
  </si>
  <si>
    <t>Montageplaat veerbumper</t>
  </si>
  <si>
    <t>2101S</t>
  </si>
  <si>
    <t>mounting plate for spring bumper</t>
  </si>
  <si>
    <t>2107</t>
  </si>
  <si>
    <t>Splitpen 2,5 x 25 elvz DIN94</t>
  </si>
  <si>
    <t>2107-304</t>
  </si>
  <si>
    <t>Splitpen 304 tbv 429S-304</t>
  </si>
  <si>
    <t>215BL-LD</t>
  </si>
  <si>
    <t>Top Curve LH</t>
  </si>
  <si>
    <t>215BR-LD</t>
  </si>
  <si>
    <t>Top Curve RH</t>
  </si>
  <si>
    <t>215C-B3000</t>
  </si>
  <si>
    <t>C-profiel verz,1.5mm 53x16mm,L=3000</t>
  </si>
  <si>
    <t>215C-B4500</t>
  </si>
  <si>
    <t>C-profiel verz,1.5mm 53x16mm,L=4500</t>
  </si>
  <si>
    <t>215C-B6500</t>
  </si>
  <si>
    <t>C-profiel verz,1.5mm 53x16mm,L=6500</t>
  </si>
  <si>
    <t>215C-H175</t>
  </si>
  <si>
    <t>Bevestigingsprofiel</t>
  </si>
  <si>
    <t>215C-H1850</t>
  </si>
  <si>
    <t>C-profiel met gaten, gegalvaniseerd, 1,5mm, L=1850</t>
  </si>
  <si>
    <t>215C-H2415</t>
  </si>
  <si>
    <t>C-profiel met gaten, gegalvaniseerd, 1,5mm, L=2415</t>
  </si>
  <si>
    <t>215C-H2980</t>
  </si>
  <si>
    <t>C-profiel met gaten, gegalvaniseerd, 1,5mm, L=2980</t>
  </si>
  <si>
    <t>215C-H3545</t>
  </si>
  <si>
    <t>C-profiel met gaten, gegalvaniseerd, 1,5mm, L=3545</t>
  </si>
  <si>
    <t>215C-H4110</t>
  </si>
  <si>
    <t>C-profiel met gaten, gegalvaniseerd, 1,5mm, L=4110</t>
  </si>
  <si>
    <t>215C-H4675</t>
  </si>
  <si>
    <t>C-profiel met gaten, gegalvaniseerd, 1,5mm, L=4675</t>
  </si>
  <si>
    <t>215C-H5240</t>
  </si>
  <si>
    <t>C-profiel met gaten, gegalvaniseerd, 1,5mm, L=5240</t>
  </si>
  <si>
    <t>215C-H5805</t>
  </si>
  <si>
    <t>C-profiel met gaten, gegalvaniseerd, 1,5mm, L=5805</t>
  </si>
  <si>
    <t>215C-H6370</t>
  </si>
  <si>
    <t>C-profiel met gaten, gegalvaniseerd, 1,5mm, L=6370</t>
  </si>
  <si>
    <t>215C-H6935</t>
  </si>
  <si>
    <t>C-profiel met gaten, gegalvaniseerd, 1,5mm, L=6935</t>
  </si>
  <si>
    <t>215C-H7500</t>
  </si>
  <si>
    <t>C-profiel met gaten, gegalvaniseerd, 1,5mm, L=7500</t>
  </si>
  <si>
    <t>215FHL</t>
  </si>
  <si>
    <t>RSC bolted, aluminium bovenbocht, links</t>
  </si>
  <si>
    <t>215FHR</t>
  </si>
  <si>
    <t>RSC bolted, aluminium bovenbocht, rechts</t>
  </si>
  <si>
    <t>215FNL</t>
  </si>
  <si>
    <t>bovenbocht RSC, links vervangt 215FL</t>
  </si>
  <si>
    <t>215FNR</t>
  </si>
  <si>
    <t>bovenbocht RSC, rechts vervangt 215FR</t>
  </si>
  <si>
    <t>215G0582-300-01</t>
  </si>
  <si>
    <t>Hor. 2"rails L=0582 R300 +01,100mm UNIV, set (L+R)</t>
  </si>
  <si>
    <t>215G1500-380-01</t>
  </si>
  <si>
    <t>Hor. 2"rails L=1500 R380 +01,100mm, set (L+R)</t>
  </si>
  <si>
    <t>215G2430-300-02</t>
  </si>
  <si>
    <t>Hor. 2"rails L=2430 R300 +02,100mm, set (L+R)</t>
  </si>
  <si>
    <t>215G2448-300-01</t>
  </si>
  <si>
    <t>Hor. 2"rails L=2448 R300 +01,100mm, set (L+R)</t>
  </si>
  <si>
    <t>215G2573-300-01</t>
  </si>
  <si>
    <t>Hor. 2"rails L=2573 R300 +01,100mm, set (L+R)</t>
  </si>
  <si>
    <t>215G2580-300-02</t>
  </si>
  <si>
    <t>Hor. 2"rails L=2580 R300 +02,100mm, set (L+R)</t>
  </si>
  <si>
    <t>215G2698-250-01</t>
  </si>
  <si>
    <t>Hor. 2"rails L=2698 R250 +01,100mm, set (L+R)</t>
  </si>
  <si>
    <t>215G2698-300-01</t>
  </si>
  <si>
    <t>Hor. 2"rails L=2698 R300 +01,100mm, set (L+R)</t>
  </si>
  <si>
    <t>215G2798-300-01</t>
  </si>
  <si>
    <t>Hor. 2"rails L=2798 R300 +01,100mm, set (L+R)</t>
  </si>
  <si>
    <t>215G2948-300-01</t>
  </si>
  <si>
    <t>Hor. 2"rails L=2948 R300 +01,100mm, set (L+R)</t>
  </si>
  <si>
    <t>215G3000-300-01</t>
  </si>
  <si>
    <t>Hor. 2"rails L=3000 R300 +01,100mm, set (L+R)</t>
  </si>
  <si>
    <t>215G300A0</t>
  </si>
  <si>
    <t>RSC bolted, losse bocht, R300, 0°, 1,5mm, verzinkt</t>
  </si>
  <si>
    <t>215G3030-380-02</t>
  </si>
  <si>
    <t>Curved track, 1,5mm L=3030</t>
  </si>
  <si>
    <t>215G3198-300-01</t>
  </si>
  <si>
    <t>Hor. 2"rails L=3198 R300 +01,100mm, set (L+R)</t>
  </si>
  <si>
    <t>215G3323-300-01</t>
  </si>
  <si>
    <t>Hor. 2"rails L=3323 R300 +01,100mm, set (L+R)</t>
  </si>
  <si>
    <t>215G3430-300-02</t>
  </si>
  <si>
    <t>Hor. 2"rails L=3430 R300 +01,100mm, set (L+R)</t>
  </si>
  <si>
    <t>215G3448-300-01</t>
  </si>
  <si>
    <t>Hor. 2"rails L=3448 R300 +01,100mm, set (L+R)</t>
  </si>
  <si>
    <t>215G3573-250-01</t>
  </si>
  <si>
    <t>Hor. 2"rails L=3573 R250 +01,100mm, set (L+R)</t>
  </si>
  <si>
    <t>215G3710-300-01</t>
  </si>
  <si>
    <t>Hor. 2"rails L=3710 R300 +01,100mm, set (L+R)</t>
  </si>
  <si>
    <t>215G3948-300-01</t>
  </si>
  <si>
    <t>Hor. 2"rails L=3948 R300 +01,100mm, set (L+R)</t>
  </si>
  <si>
    <t>215H0400-380-55</t>
  </si>
  <si>
    <t>Hor. 2"rails L=0400 R380 +55, set (L+R)</t>
  </si>
  <si>
    <t>215H0400-380LH</t>
  </si>
  <si>
    <t>Hor. 2"track L=0400 R380, set (L)</t>
  </si>
  <si>
    <t>215H0400-380RH</t>
  </si>
  <si>
    <t>Hor. 2"track L=0400 R380, set (R)</t>
  </si>
  <si>
    <t>215H2522-300-60</t>
  </si>
  <si>
    <t>Hor. 2"rails L=2522 R300 +60, set (L+R)</t>
  </si>
  <si>
    <t>215H2722-250-44</t>
  </si>
  <si>
    <t>Hor. 2"rails L=2722 R300 +44, set (L+R)</t>
  </si>
  <si>
    <t>215H2972-300-59</t>
  </si>
  <si>
    <t>Hor. 2"rails L=2972 R300 +59, set (L+R)</t>
  </si>
  <si>
    <t>215H3122-300-60</t>
  </si>
  <si>
    <t>Hor. 2"rails L=3122 R300 +60, set (L+R)</t>
  </si>
  <si>
    <t>215H3359-300-59</t>
  </si>
  <si>
    <t>Hor. 2"rails L=3359 R300 +59, set (L+R)</t>
  </si>
  <si>
    <t>215H3522-300-60</t>
  </si>
  <si>
    <t>Hor. 2"rails L=3522 R300 +60, set (L+R)</t>
  </si>
  <si>
    <t>215V1800</t>
  </si>
  <si>
    <t>Vert. 2" rails 1,5mm 1800mm</t>
  </si>
  <si>
    <t>215V2000</t>
  </si>
  <si>
    <t>Vert. 2" rails 1,5mm 2000mm</t>
  </si>
  <si>
    <t>215V2050</t>
  </si>
  <si>
    <t>Vert. 2" rails 1,5mm 2050mm</t>
  </si>
  <si>
    <t>215V2250</t>
  </si>
  <si>
    <t>Vert. 2" rails 1,5mm 2250mm</t>
  </si>
  <si>
    <t>215V2375</t>
  </si>
  <si>
    <t>Vert. 2" rails 1,5mm 2375mm</t>
  </si>
  <si>
    <t>215V2600</t>
  </si>
  <si>
    <t>Vert. 2" rails 1,5mm 2600mm</t>
  </si>
  <si>
    <t>215V3000</t>
  </si>
  <si>
    <t>Vert. 2" rails 1,5mm 3000mm</t>
  </si>
  <si>
    <t>215V3180</t>
  </si>
  <si>
    <t>Vert. 2" track 1,0m of 1,5mm steel 3180mm</t>
  </si>
  <si>
    <t>215V3500</t>
  </si>
  <si>
    <t>Vert. 2" track 1,0m of 1,5mm steel 3500mm</t>
  </si>
  <si>
    <t>215V3750</t>
  </si>
  <si>
    <t>Vert. 2" rails 1,5mm 3750 mm</t>
  </si>
  <si>
    <t>215V4000</t>
  </si>
  <si>
    <t>Vert. 2" track 1,0m of 1,5mm steel 4000mm</t>
  </si>
  <si>
    <t>215V4500</t>
  </si>
  <si>
    <t>Vert. 2" rails 1,5mm 4500 mm</t>
  </si>
  <si>
    <t>215V5485</t>
  </si>
  <si>
    <t>Vert. 2" rails 1,5mm 5485mm</t>
  </si>
  <si>
    <t>215V6000</t>
  </si>
  <si>
    <t>Vert. 2" track 1,0m of 1,5mm steel 6000mm</t>
  </si>
  <si>
    <t>215V-H1547</t>
  </si>
  <si>
    <t>RSC bolted, J-vorm, looprail, 1,5mm, 1547mm, verzinkt</t>
  </si>
  <si>
    <t>215V-H1672</t>
  </si>
  <si>
    <t>RSC bolted, J-vorm, looprail, 1,5mm, 1672mm, verzinkt</t>
  </si>
  <si>
    <t>215V-H1797</t>
  </si>
  <si>
    <t>RSC bolted, J-vorm, looprail, 1,5mm, 1797mm, verzinkt</t>
  </si>
  <si>
    <t>215V-H1922</t>
  </si>
  <si>
    <t>RSC bolted, J-vorm, looprail, 1,5mm, 1922mm, verzinkt</t>
  </si>
  <si>
    <t>215V-H2047</t>
  </si>
  <si>
    <t>RSC bolted, J-vorm, looprail, 1,5mm, 2047mm, verzinkt</t>
  </si>
  <si>
    <t>215V-H2172</t>
  </si>
  <si>
    <t>RSC bolted, J-vorm, looprail, 1,5mm, 2172mm, verzinkt</t>
  </si>
  <si>
    <t>215V-H2297</t>
  </si>
  <si>
    <t>RSC bolted, J-vorm, looprail, 1,5mm, 2297mm, verzinkt</t>
  </si>
  <si>
    <t>215V-H2422</t>
  </si>
  <si>
    <t>RSC bolted, J-vorm, looprail, 1,5mm, 2422mm, verzinkt</t>
  </si>
  <si>
    <t>215V-H2547</t>
  </si>
  <si>
    <t>RSC bolted, J-vorm, looprail, 1,5mm, 2547mm, verzinkt</t>
  </si>
  <si>
    <t>215V-H2797</t>
  </si>
  <si>
    <t>RSC bolted, J-vorm, looprail, 1,5mm, 2797mm, verzinkt</t>
  </si>
  <si>
    <t>215V-H3047</t>
  </si>
  <si>
    <t>RSC bolted, J-vorm, looprail, 1,5mm, 3047mm, verzinkt</t>
  </si>
  <si>
    <t>215V-HT2452</t>
  </si>
  <si>
    <t>RSC bolted, J-profile, top roller track, 1,5mm, 2452mm, galv</t>
  </si>
  <si>
    <t>215V-HT2577</t>
  </si>
  <si>
    <t>RSC bolted, J-profile, top roller track, 1,5mm, 2577mm, galv</t>
  </si>
  <si>
    <t>215V-HT2702</t>
  </si>
  <si>
    <t>RSC bolted, J-profile, top roller track, 1,5mm, 2702mm, galv</t>
  </si>
  <si>
    <t>215V-HT2827</t>
  </si>
  <si>
    <t>RSC bolted, J-profile, top roller track, 1,5mm, 2827mm, galv</t>
  </si>
  <si>
    <t>215V-HT2952</t>
  </si>
  <si>
    <t>RSC bolted, J-profile, top roller track, 1,5mm, 2952mm, galv</t>
  </si>
  <si>
    <t>215V-HT3077</t>
  </si>
  <si>
    <t>RSC bolted, J-profile, top roller track, 1,5mm, 3077mm, galv</t>
  </si>
  <si>
    <t>215V-HT3202</t>
  </si>
  <si>
    <t>RSC bolted, J-profile, top roller track, 1,5mm, 3202mm, galv</t>
  </si>
  <si>
    <t>215V-HT3327</t>
  </si>
  <si>
    <t>RSC bolted, J-profile, top roller track, 1,5mm, 3327mm, galv</t>
  </si>
  <si>
    <t>215V-HT3452</t>
  </si>
  <si>
    <t>RSC bolted, J-profile, top roller track, 1,5mm, 3452mm, galv</t>
  </si>
  <si>
    <t>215V-HT3577</t>
  </si>
  <si>
    <t>RSC bolted, J-profile, top roller track, 1,5mm, 3577mm, galv</t>
  </si>
  <si>
    <t>2200CL</t>
  </si>
  <si>
    <t>Raam wit, helder glas</t>
  </si>
  <si>
    <t>2200CL-BLA</t>
  </si>
  <si>
    <t>Raam zwart, helder glas</t>
  </si>
  <si>
    <t>2200CL-BRO</t>
  </si>
  <si>
    <t>Raam bruin,helder glas RAL8014</t>
  </si>
  <si>
    <t>2200GR</t>
  </si>
  <si>
    <t>Raam wit, granite glas</t>
  </si>
  <si>
    <t>2210CL</t>
  </si>
  <si>
    <t>Raam wit,helder glas</t>
  </si>
  <si>
    <t>2210GR</t>
  </si>
  <si>
    <t>Raam wit,granite glas,Kingspan</t>
  </si>
  <si>
    <t>2225N</t>
  </si>
  <si>
    <t>Raam,rechth,helder,wit,Kingsp.schroef vervangt 222</t>
  </si>
  <si>
    <t>2230CL</t>
  </si>
  <si>
    <t>Raam woodgrain RES RAL 9016</t>
  </si>
  <si>
    <t>2230CL-BLA</t>
  </si>
  <si>
    <t>Raam woodgrain,RES, zwart</t>
  </si>
  <si>
    <t>2230CL-BLA-W</t>
  </si>
  <si>
    <t>Buitenframe raam woodgrain,RES, zwart</t>
  </si>
  <si>
    <t>2230CL-BRO</t>
  </si>
  <si>
    <t>Raam woodgrain,RES,bruin R8014</t>
  </si>
  <si>
    <t>2230CL-BRO-W</t>
  </si>
  <si>
    <t>Buitenframe raam woodgrain,RES,bruin R8014</t>
  </si>
  <si>
    <t>2230CL-F</t>
  </si>
  <si>
    <t>Binnenframe raam woodgrain RES RAL 9010</t>
  </si>
  <si>
    <t>2230CL-W</t>
  </si>
  <si>
    <t>Buitenframe raam woodgrain RES RAL 9010</t>
  </si>
  <si>
    <t>2235</t>
  </si>
  <si>
    <t>Raam,rechth,helder,wit,Metec, schroef</t>
  </si>
  <si>
    <t>2245</t>
  </si>
  <si>
    <t>Raam,rechth, SAN 38-40,schroef, zw</t>
  </si>
  <si>
    <t>2245N</t>
  </si>
  <si>
    <t>Venster, rechthoekig, XXL, zwart kunststof, 892x435mm</t>
  </si>
  <si>
    <t>2300</t>
  </si>
  <si>
    <t>Raam 623x303mm exkl rubber</t>
  </si>
  <si>
    <t>2339CL</t>
  </si>
  <si>
    <t>Raam,rond 329,zw kunststof,schroef</t>
  </si>
  <si>
    <t>2340G</t>
  </si>
  <si>
    <t>Raamrubber 40 mm ring gelijmd</t>
  </si>
  <si>
    <t>2370</t>
  </si>
  <si>
    <t>Raam, rechthoekig, 605x144mm, schroef</t>
  </si>
  <si>
    <t>2375</t>
  </si>
  <si>
    <t>Raam, rechthoekig, 608x202mm, schroef</t>
  </si>
  <si>
    <t>2380SCR-TC1</t>
  </si>
  <si>
    <t>Schroef tbv 2380TC1 (12st)</t>
  </si>
  <si>
    <t>2380TC1</t>
  </si>
  <si>
    <t>Raam 638 x 206mm, incl. 12 schr. paneel 38-42mm</t>
  </si>
  <si>
    <t>2380TC1Z</t>
  </si>
  <si>
    <t>Raam 638 x 206mm, excl. schr. paneel 38-42mm</t>
  </si>
  <si>
    <t>2390</t>
  </si>
  <si>
    <t>Raam 727 x 326mm, Proflex</t>
  </si>
  <si>
    <t>2390A</t>
  </si>
  <si>
    <t>Raam 727 x 326mm, Proflex, ASA, pcs(1)</t>
  </si>
  <si>
    <t>2390F</t>
  </si>
  <si>
    <t>Proflex raam 2390 inner frame</t>
  </si>
  <si>
    <t>2390FA</t>
  </si>
  <si>
    <t>Proflex raam 2390 inner frame, ASA, pcs(1)</t>
  </si>
  <si>
    <t>2390W</t>
  </si>
  <si>
    <t>Proflex raam 2390 outer frame</t>
  </si>
  <si>
    <t>2390WA</t>
  </si>
  <si>
    <t>Proflex raam 2390 outer frame, ASA, pcs(1)</t>
  </si>
  <si>
    <t>2397</t>
  </si>
  <si>
    <t>Raam 663 x 343mm, afgerond</t>
  </si>
  <si>
    <t>2397-50</t>
  </si>
  <si>
    <t>Raam 50mm afger. 663x343 mm</t>
  </si>
  <si>
    <t>2397-50A</t>
  </si>
  <si>
    <t>Raam 50mm afger. 663x343 mm, ASA, pcs(1)</t>
  </si>
  <si>
    <t>2397A</t>
  </si>
  <si>
    <t>Raam 663 x 343mm, afgerond, ASA, pcs(1)</t>
  </si>
  <si>
    <t>2397F</t>
  </si>
  <si>
    <t>Raam afgerond inner clip frame</t>
  </si>
  <si>
    <t>2397SN</t>
  </si>
  <si>
    <t>Raam 663 x 343mm, afgerond, SAN</t>
  </si>
  <si>
    <t>2397SNA</t>
  </si>
  <si>
    <t>2397W</t>
  </si>
  <si>
    <t>Raam afgerond windowframe</t>
  </si>
  <si>
    <t>2397WA</t>
  </si>
  <si>
    <t>Oval 40mm window outside clip frame, ASA, pcs(1)</t>
  </si>
  <si>
    <t>2397WS</t>
  </si>
  <si>
    <t>Raam afgerond windowframe SAN</t>
  </si>
  <si>
    <t>2397WSA</t>
  </si>
  <si>
    <t>2400-90</t>
  </si>
  <si>
    <t>Raam 680 x 373mm, rechthoekig</t>
  </si>
  <si>
    <t>2400-90A</t>
  </si>
  <si>
    <t>Raam 680 x 373mm, rechthoekig, ASA, pcs(1)</t>
  </si>
  <si>
    <t>2400-90F</t>
  </si>
  <si>
    <t>Raam 680x370mm inner frame</t>
  </si>
  <si>
    <t>2400-90SN</t>
  </si>
  <si>
    <t>Raam 680 x 373mm, rechthoekig, SAN</t>
  </si>
  <si>
    <t>2400-90SNA</t>
  </si>
  <si>
    <t>2400-90W</t>
  </si>
  <si>
    <t>Raam 680x370mm window frame</t>
  </si>
  <si>
    <t>2400-90WA</t>
  </si>
  <si>
    <t>Raam 680x370mm window frame, ASA, pcs(1)</t>
  </si>
  <si>
    <t>2400-90WS</t>
  </si>
  <si>
    <t>Raam 680x370mm windowframe SAN</t>
  </si>
  <si>
    <t>2400-90WSA</t>
  </si>
  <si>
    <t>2410</t>
  </si>
  <si>
    <t>Raam,rechth, SAN 38-40,click, zw</t>
  </si>
  <si>
    <t>2415C</t>
  </si>
  <si>
    <t>Raam, 634x329, pnl: 38-40, schroef, plastic, zwart, pcs(1)</t>
  </si>
  <si>
    <t>2415NA</t>
  </si>
  <si>
    <t>Raam,rechth,zwart,638x333mm, paneel38-40mm,schroef</t>
  </si>
  <si>
    <t>2420</t>
  </si>
  <si>
    <t>Raam,ovaal, SAN,38-40mm,klick,zw</t>
  </si>
  <si>
    <t>2425</t>
  </si>
  <si>
    <t>Raam,ovaal, SAN 38-40,schroef,zw</t>
  </si>
  <si>
    <t>2430R1</t>
  </si>
  <si>
    <t>Raam, roestvrij staal, dubbel accrylaat, rond 240m</t>
  </si>
  <si>
    <t>2430R1-02</t>
  </si>
  <si>
    <t>Acrylate double glass small round</t>
  </si>
  <si>
    <t>2430R1EG</t>
  </si>
  <si>
    <t>Components for RVS window round small excl. glass</t>
  </si>
  <si>
    <t>2430R2</t>
  </si>
  <si>
    <t>Raam, roestvrij staal, dubbel accrylaat, rond 330m</t>
  </si>
  <si>
    <t>2430R2-02</t>
  </si>
  <si>
    <t>Acrylate double glass large round</t>
  </si>
  <si>
    <t>2430R2EG</t>
  </si>
  <si>
    <t>Components for RVS window round large excl. glass</t>
  </si>
  <si>
    <t>2430RS1</t>
  </si>
  <si>
    <t>Raam, roestvrij staal, dubbel glas hard, rond 240m</t>
  </si>
  <si>
    <t>2430RS1-SB</t>
  </si>
  <si>
    <t>Raam, roestvrij staal, dubbel glas gezandstraald,</t>
  </si>
  <si>
    <t>2430RS2</t>
  </si>
  <si>
    <t>RVS Window Round Large 330mm double glass hardened</t>
  </si>
  <si>
    <t>2430RS2-SB</t>
  </si>
  <si>
    <t>2431</t>
  </si>
  <si>
    <t>Raam,RVS,veiligheidsglas,rond242mm,38-42mm</t>
  </si>
  <si>
    <t>2431-SB</t>
  </si>
  <si>
    <t>Raam,RVS, rond 242mm,voor 38-42mm</t>
  </si>
  <si>
    <t>2435R1</t>
  </si>
  <si>
    <t>Raam, RVS, vierkant 230x230mm, dubbel acrylaat gl</t>
  </si>
  <si>
    <t>2435R1-02</t>
  </si>
  <si>
    <t>Acrylate double glass small square</t>
  </si>
  <si>
    <t>2435R1-G</t>
  </si>
  <si>
    <t>Raam,RVS,230x230,dubbel hardglas</t>
  </si>
  <si>
    <t>2435R2</t>
  </si>
  <si>
    <t>Raam, RVS, vierkant 310x310mm, dubbel glas(acryl)</t>
  </si>
  <si>
    <t>2435R2-02</t>
  </si>
  <si>
    <t>Acrylate double glass medium square</t>
  </si>
  <si>
    <t>2435R20-316</t>
  </si>
  <si>
    <t>Window, SS 316, square 260x260</t>
  </si>
  <si>
    <t>2435RS1</t>
  </si>
  <si>
    <t>2435RS1-300EG</t>
  </si>
  <si>
    <t>Components for small spuare window 2435R(S)1(-SB) ex. glass</t>
  </si>
  <si>
    <t>2435RS1-SB</t>
  </si>
  <si>
    <t>Raam,RVS,230x230,gestraald hardglas</t>
  </si>
  <si>
    <t>2435RS2</t>
  </si>
  <si>
    <t>Raam,RVS,310x310,dubbel hardglas</t>
  </si>
  <si>
    <t>2435RS2-300EG</t>
  </si>
  <si>
    <t>Components for medium spuare window 2435R(S)2(-SB) ex. glass</t>
  </si>
  <si>
    <t>2435RS2-SB</t>
  </si>
  <si>
    <t>Raam,RVS,310x310,gestraald hardglas</t>
  </si>
  <si>
    <t>2445</t>
  </si>
  <si>
    <t>Raam 680 x 373mm, rechthoekig, tbv 45mm paneel</t>
  </si>
  <si>
    <t>2445A</t>
  </si>
  <si>
    <t>Raam 680 x 373mm, rechthoekig, tbv 45mm paneel, ASA, pcs(1)</t>
  </si>
  <si>
    <t>2445W</t>
  </si>
  <si>
    <t>Raam voor 45mm, window frame</t>
  </si>
  <si>
    <t>2445WA</t>
  </si>
  <si>
    <t>ASA Raam voor 45mm, window frame, pcs(1)</t>
  </si>
  <si>
    <t>2450C</t>
  </si>
  <si>
    <t>Raam, 634x329, pnl: 44-50, schroef, plastic, zwart, pcs(1)</t>
  </si>
  <si>
    <t>2450NA</t>
  </si>
  <si>
    <t>Raam,rechth,zwart,638x333mm panelen 44-50mm,schro</t>
  </si>
  <si>
    <t>2460C</t>
  </si>
  <si>
    <t>Raam, 634x329, pnl: 56-60, schroef, plastic, zwart, pcs(1)</t>
  </si>
  <si>
    <t>2460NA</t>
  </si>
  <si>
    <t>Raam,rechth,zwart,638x333mm panelen 56-60mm,schro</t>
  </si>
  <si>
    <t>2460W</t>
  </si>
  <si>
    <t>Raam voor 60mm, window frame</t>
  </si>
  <si>
    <t>2480C</t>
  </si>
  <si>
    <t>Raam, 634x329, pnl: 75-80, schroef, plastic, zwart, pcs(1)</t>
  </si>
  <si>
    <t>2480NA</t>
  </si>
  <si>
    <t>Raam,rechth,zwart,638x333mm panelen 75-80mm,schro</t>
  </si>
  <si>
    <t>2503BEI-31</t>
  </si>
  <si>
    <t>Geharde beitel met 2 gaten 31G</t>
  </si>
  <si>
    <t>2507AFD</t>
  </si>
  <si>
    <t>Afdekplaat tbv kabelbreukbev.</t>
  </si>
  <si>
    <t>2510BMOE</t>
  </si>
  <si>
    <t>Borgmoer M10, verz. Din 985</t>
  </si>
  <si>
    <t>2513MOE</t>
  </si>
  <si>
    <t>Moer zesk. M3 verz. Din 934</t>
  </si>
  <si>
    <t>2514DOP</t>
  </si>
  <si>
    <t>Dop voor KBB, 15,7mm 000 nat.</t>
  </si>
  <si>
    <t>2530RVS</t>
  </si>
  <si>
    <t>RVS schroefoog M8x80x10</t>
  </si>
  <si>
    <t>2535M-RVS</t>
  </si>
  <si>
    <t>RVS borgmoer M8, Din 985</t>
  </si>
  <si>
    <t>2600</t>
  </si>
  <si>
    <t>Z-beugel voor trekset</t>
  </si>
  <si>
    <t>2601</t>
  </si>
  <si>
    <t>Bracket</t>
  </si>
  <si>
    <t>2602</t>
  </si>
  <si>
    <t>Hoekbracket 50x63 met sleufgat</t>
  </si>
  <si>
    <t>2602SU</t>
  </si>
  <si>
    <t>RSC, verbindingsbeugel, 2mm, verzinkt</t>
  </si>
  <si>
    <t>2603</t>
  </si>
  <si>
    <t>Afst. plaatje/zadeltje trekset</t>
  </si>
  <si>
    <t>2603VLX</t>
  </si>
  <si>
    <t>Beugel, latie fixatie vervangen door 2603XL/R</t>
  </si>
  <si>
    <t>2603XL</t>
  </si>
  <si>
    <t>Lateifixatie beugel vervangt 2603VLX</t>
  </si>
  <si>
    <t>2603XR</t>
  </si>
  <si>
    <t>2604SL</t>
  </si>
  <si>
    <t>Vloerbeugel vert.hoeklijn,inbraakwerend L</t>
  </si>
  <si>
    <t>2604SR</t>
  </si>
  <si>
    <t>Vloerbeugel vert.hoeklijn,inbraakwerend R</t>
  </si>
  <si>
    <t>2605L</t>
  </si>
  <si>
    <t>grondbeugel, tbv looprol, inbraakwerend, L</t>
  </si>
  <si>
    <t>2605R</t>
  </si>
  <si>
    <t>Grondbeugel, voor looprol, inbraakwerend, rechts</t>
  </si>
  <si>
    <t>2605SZL</t>
  </si>
  <si>
    <t>Vloerconsole,voor RSC vert. rails, links (vervangt</t>
  </si>
  <si>
    <t>2605SZR</t>
  </si>
  <si>
    <t>Vloerconsole,voor RSC vert. rails, rechts (vervang</t>
  </si>
  <si>
    <t>2606</t>
  </si>
  <si>
    <t>tussenplaat, inbraakwerend</t>
  </si>
  <si>
    <t>Staaldraad klem 3mm elvz D 741</t>
  </si>
  <si>
    <t>2630GTL</t>
  </si>
  <si>
    <t>Beugel, bovenhoek, SSD, links</t>
  </si>
  <si>
    <t>2630GTR</t>
  </si>
  <si>
    <t>Beugel, bovenhoek, SSD, rechts</t>
  </si>
  <si>
    <t>2631GT304</t>
  </si>
  <si>
    <t>Beugel, onderhoek, SSD, INOX</t>
  </si>
  <si>
    <t>2633</t>
  </si>
  <si>
    <t>Beugel, bevestiging SideStep deur</t>
  </si>
  <si>
    <t>2635</t>
  </si>
  <si>
    <t>Beugel, drawbar montage, verstelbaar</t>
  </si>
  <si>
    <t>26660-02</t>
  </si>
  <si>
    <t>zelftapper kruiskop verzinkt DIN 7981-ST 2.9x9.5mm</t>
  </si>
  <si>
    <t>26670-05</t>
  </si>
  <si>
    <t>Pancylinderop plaatschroef, kruiskop DIN7981-ST4,8</t>
  </si>
  <si>
    <t>2D4238-380-56-34</t>
  </si>
  <si>
    <t>Hor.2" rails R380, graden set (L+R)</t>
  </si>
  <si>
    <t>2F1500-380-02</t>
  </si>
  <si>
    <t>Hor.2" rails 1,5 m1, R380, +02 set (L+R)</t>
  </si>
  <si>
    <t>2F2738-380-02E</t>
  </si>
  <si>
    <t>Hor. 2"rails L=2738 R380, +02, ex gaten set (L+R)</t>
  </si>
  <si>
    <t>2F3000-380-02</t>
  </si>
  <si>
    <t>Hor. 2" rails L=3000 R380, +02 set (L+R)</t>
  </si>
  <si>
    <t>2F3058-380-02E</t>
  </si>
  <si>
    <t>Hor. 2"rails L=3058 R380, +02, ex gaten set (L+R)</t>
  </si>
  <si>
    <t>2F3500-380-02</t>
  </si>
  <si>
    <t>Hor.2" rails L=3500 R380, +02 set (L+R)</t>
  </si>
  <si>
    <t>2F4478-380-02E</t>
  </si>
  <si>
    <t>Hor. 2"rails L=4478 R380, +02, ex gaten set (L+R)</t>
  </si>
  <si>
    <t>2F4500-380-02</t>
  </si>
  <si>
    <t>Hor.2" rails L=4500 R380, +02 set (L+R)</t>
  </si>
  <si>
    <t>2F5000-380-02</t>
  </si>
  <si>
    <t>Hor.2" rails L=5000 R380, +02 set (L+R)</t>
  </si>
  <si>
    <t>2FSS1500-380-02</t>
  </si>
  <si>
    <t>RVS hor. 2" rails L=3000 R380, +02 set (L+R)</t>
  </si>
  <si>
    <t>2FSS1500-380-05</t>
  </si>
  <si>
    <t>RVS hor. 2" rails L=1500 R380, +05 set (L+R)</t>
  </si>
  <si>
    <t>2G0673-380-82</t>
  </si>
  <si>
    <t>Top Curve LHR, set (L+R)</t>
  </si>
  <si>
    <t>2G0678-380-77</t>
  </si>
  <si>
    <t>2G0683-380-72</t>
  </si>
  <si>
    <t>2G0688-380-67</t>
  </si>
  <si>
    <t>2G0728-380UNI-62</t>
  </si>
  <si>
    <t>Top Curve universeel, set (L+R)</t>
  </si>
  <si>
    <t>2G1500-380-02</t>
  </si>
  <si>
    <t>Hor.2" rails L=1500 R380 +02, 100mm, set (L+R)</t>
  </si>
  <si>
    <t>2G1500-380-05</t>
  </si>
  <si>
    <t>Hor.2" rails L=1500 R380 +05, 100mm, set (L+R)</t>
  </si>
  <si>
    <t>2G2950-250E LINDAB</t>
  </si>
  <si>
    <t>Hor. 2"track L=2950 R250, 2mm, ex holes, set (L+R), Lindab</t>
  </si>
  <si>
    <t>2G3159-380-02</t>
  </si>
  <si>
    <t>Hor.2" rails L=3159 R380 +02, 100mm, set (L+R)</t>
  </si>
  <si>
    <t>2G3196-250E LINDAB</t>
  </si>
  <si>
    <t>Toprolhouder, 40mm, verstelbaar, gegalvaniseerd</t>
  </si>
  <si>
    <t>2G3206-250E</t>
  </si>
  <si>
    <t>Hor. 2"rails L=3206 R250, 2mm, ex gaten, set (L+R)</t>
  </si>
  <si>
    <t>2G3206-250E LINDAB</t>
  </si>
  <si>
    <t>Hor. 2"track L=3206 R250, 2mm, ex holes, set (L+R), Lindab</t>
  </si>
  <si>
    <t>2G3640-380-02</t>
  </si>
  <si>
    <t>Hor.2" rails L=3640 R380 +02,100mm, set (L+R)</t>
  </si>
  <si>
    <t>2G3706-250E</t>
  </si>
  <si>
    <t>Hor, 2"rails L=3706 R250, 2mm, ex gaten, set (L+R)</t>
  </si>
  <si>
    <t>2G3706-250E LINDAB</t>
  </si>
  <si>
    <t>Hor, 2"track L=3706 R250, 2mm, ex holes, set (L+R), Lindab</t>
  </si>
  <si>
    <t>2G380A0</t>
  </si>
  <si>
    <t>Bocht, 2", R380mm, 100mm</t>
  </si>
  <si>
    <t>2G380A10</t>
  </si>
  <si>
    <t>Bocht, 2", R380mm +10 graad, 100mm</t>
  </si>
  <si>
    <t>2G380A15</t>
  </si>
  <si>
    <t>Bocht, 2", R380mm +15 graad, 100mm</t>
  </si>
  <si>
    <t>2G380A20</t>
  </si>
  <si>
    <t>Bocht, 2", R380mm +20 graad, 100mm</t>
  </si>
  <si>
    <t>2G380A25</t>
  </si>
  <si>
    <t>Bocht, 2", R380mm +25 graad, 100mm</t>
  </si>
  <si>
    <t>2G380A30</t>
  </si>
  <si>
    <t>Bocht, 2", R380mm +30 graad, 100mm</t>
  </si>
  <si>
    <t>2G380A35</t>
  </si>
  <si>
    <t>Bocht, 2", R380mm +35 graad, 100mm</t>
  </si>
  <si>
    <t>2G380A40</t>
  </si>
  <si>
    <t>Bocht, 2", R380mm +40 graad, 100mm</t>
  </si>
  <si>
    <t>2G380A45</t>
  </si>
  <si>
    <t>Bocht, 2", R380mm +45 graad, 100mm</t>
  </si>
  <si>
    <t>2G380A5</t>
  </si>
  <si>
    <t>Bocht, 2", R380mm +05 graad, 100mm</t>
  </si>
  <si>
    <t>2G4169-380-02</t>
  </si>
  <si>
    <t>Hor.2" rails 4169mm R380 +2graad,100mm, set (L+R)</t>
  </si>
  <si>
    <t>2G4674-380-02</t>
  </si>
  <si>
    <t>Hor.2" rails 4674mm R380 +2graad,100mm, set (L+R)</t>
  </si>
  <si>
    <t>2G5179-380-02</t>
  </si>
  <si>
    <t>Hor.2" rails 5179mm R380 +2graad,100mm, set (L+R)</t>
  </si>
  <si>
    <t>2G5684-380-02</t>
  </si>
  <si>
    <t>Hor.2" rails 5684mm R380 +2graad,100mm, set (L+R)</t>
  </si>
  <si>
    <t>2G6189-380-02</t>
  </si>
  <si>
    <t>Hor.2" rails 6189mm R380 +2graad,100mm, set (L+R)</t>
  </si>
  <si>
    <t>2GD1500-380-02</t>
  </si>
  <si>
    <t>Hor.2" rails 1,5m1 R380 +2graad LHR CE, set (L+R)</t>
  </si>
  <si>
    <t>2GD1500-380-12</t>
  </si>
  <si>
    <t>Hor.2" rails 1,5m1 R380 +12graad FLH CE, set (L+R)</t>
  </si>
  <si>
    <t>2GD1500-380-17</t>
  </si>
  <si>
    <t>Hor.2" rails 1,5m1 R380 +17graad FLH CE, set (L+R)</t>
  </si>
  <si>
    <t>2GD1500-380-22</t>
  </si>
  <si>
    <t>Hor.2" rails 1,5m1 R380 +22graad FLH CE, set (L+R)</t>
  </si>
  <si>
    <t>2GD1500-380-30</t>
  </si>
  <si>
    <t>Hor.2" rails 1,5m1 R380 +30graad FLH CE, set (L+R)</t>
  </si>
  <si>
    <t>2H0645-300LHR-LH</t>
  </si>
  <si>
    <t>Hor.2" rails LHR tbv 566-3, Left</t>
  </si>
  <si>
    <t>2H0645-300LHR-RH</t>
  </si>
  <si>
    <t>Hor.2" rails LHR tbv 566-3, Right</t>
  </si>
  <si>
    <t>2H0768-380LH</t>
  </si>
  <si>
    <t>Curve, 2", 0768mm, R380mm LHR (L)</t>
  </si>
  <si>
    <t>2H0768-380RH</t>
  </si>
  <si>
    <t>Curve, 2", 0768mm, R380mm LHR (R)</t>
  </si>
  <si>
    <t>2H1500-250</t>
  </si>
  <si>
    <t>Hor.2" rails 1,5 m1 R250, set (L+R)</t>
  </si>
  <si>
    <t>2H1500-300</t>
  </si>
  <si>
    <t>Hor.2" rails 1,5 m1 R300, set (L+R)</t>
  </si>
  <si>
    <t>2H1500-300EX</t>
  </si>
  <si>
    <t>Hor.2" rails 1,5m1 R300 ex.gat, set (L+R)</t>
  </si>
  <si>
    <t>2H1500-300LHR</t>
  </si>
  <si>
    <t>Hor.2" rails lowheadroom R300, set (L+R)</t>
  </si>
  <si>
    <t>2H1500-380</t>
  </si>
  <si>
    <t>Hor.2" rails 2,0 m1 R380, set (L+R)</t>
  </si>
  <si>
    <t>2H1500-380-03</t>
  </si>
  <si>
    <t>Hor.2" rails 2,0 m1 R380 +3 graad, set (L+R)</t>
  </si>
  <si>
    <t>2H3000-250</t>
  </si>
  <si>
    <t>Hor.2" rails 3,0 m1 R250, set (L+R)</t>
  </si>
  <si>
    <t>2H3000-250-3000</t>
  </si>
  <si>
    <t>Hor.2" rails 3,0 m1 R250 RAL 3000 &gt; Red</t>
  </si>
  <si>
    <t>2H3000-300</t>
  </si>
  <si>
    <t>Hor.2" rails 3,0 m1 R300, set (L+R)</t>
  </si>
  <si>
    <t>2H3000-300-3000</t>
  </si>
  <si>
    <t>Hor.2" rails 3,0 m1 R300 RAL 3000 &gt; Red</t>
  </si>
  <si>
    <t>2H3000-380</t>
  </si>
  <si>
    <t>Hor.2" rails 3,0 m1 R380, set (L+R)</t>
  </si>
  <si>
    <t>2H3500-300</t>
  </si>
  <si>
    <t>Hor.2" rails 3,5 m1 R300, set (L+R)</t>
  </si>
  <si>
    <t>2H3500-380</t>
  </si>
  <si>
    <t>Hor.2" rails 3,5 m1 R380, set (L+R)</t>
  </si>
  <si>
    <t>2H3750-380</t>
  </si>
  <si>
    <t>Hor.2" rails 3,75 m1 R380, set (L+R)</t>
  </si>
  <si>
    <t>2H4000-300</t>
  </si>
  <si>
    <t>Hor.2" rails 4,0 m1 R300, set (L+R)</t>
  </si>
  <si>
    <t>2H4000-380</t>
  </si>
  <si>
    <t>Hor.2" rails 4,0 m1 R380, set (L+R)</t>
  </si>
  <si>
    <t>2H4500-250</t>
  </si>
  <si>
    <t>Hor.2" rails 4,5 m1 R250, set (L+R)</t>
  </si>
  <si>
    <t>2H4500-380</t>
  </si>
  <si>
    <t>Hor.2" rails 4,5 m1 R380, set (L+R)</t>
  </si>
  <si>
    <t>2H5000-300</t>
  </si>
  <si>
    <t>Hor.2" rails 5,0 m1 R300, set (L+R)</t>
  </si>
  <si>
    <t>2H5000-380</t>
  </si>
  <si>
    <t>Hor.2" rails 5,0 m1 R380, set (L+R)</t>
  </si>
  <si>
    <t>2RL925-400</t>
  </si>
  <si>
    <t>Hoekbocht RES-L 2V</t>
  </si>
  <si>
    <t>2RLW-P925-400</t>
  </si>
  <si>
    <t>Hoekbocht RES-L 2V, RAl 9016</t>
  </si>
  <si>
    <t>2V0665</t>
  </si>
  <si>
    <t>Vert. 2" rails 0,665 m LHR</t>
  </si>
  <si>
    <t>2V1635E LINDAB</t>
  </si>
  <si>
    <t>Vert. 2" rails 1635mm, Without holes, Lindab</t>
  </si>
  <si>
    <t>2V1643E</t>
  </si>
  <si>
    <t>Vert. 2" rails 1643, excl. gaten</t>
  </si>
  <si>
    <t>2V1643E LINDAB</t>
  </si>
  <si>
    <t>Vert. 2" rails 1643mm , Without holes, Lindab</t>
  </si>
  <si>
    <t>2V1765E LINDAB</t>
  </si>
  <si>
    <t>Vert. 2" rails 1765mm, Without holes, Lindab</t>
  </si>
  <si>
    <t>2V1773E</t>
  </si>
  <si>
    <t>Vert. 2" rails 1773mm, ex. gaten</t>
  </si>
  <si>
    <t>2V1773E LINDAB</t>
  </si>
  <si>
    <t>Vert. 2" rails 1773mm , Without holes, Lindab</t>
  </si>
  <si>
    <t>2V1835E LINDAB</t>
  </si>
  <si>
    <t>Vert. 2" rails 1835mm, Without holes, Lindab</t>
  </si>
  <si>
    <t>2V1843E</t>
  </si>
  <si>
    <t>Vert. 2" rails 1843, excl. gaten</t>
  </si>
  <si>
    <t>2V1843E LINDAB</t>
  </si>
  <si>
    <t>Vert. 2" rails 1843mm , Without holes, Lindab</t>
  </si>
  <si>
    <t>2V1850E LINDAB</t>
  </si>
  <si>
    <t>Vert. 2" rails 1850mm, Without holes, Lindab</t>
  </si>
  <si>
    <t>2V1858E LINDAB</t>
  </si>
  <si>
    <t>Vert. 2" rails 1858mm , Without holes, Lindab</t>
  </si>
  <si>
    <t>2V2035E</t>
  </si>
  <si>
    <t>vert. 2" rails 2.035m ex. gaten</t>
  </si>
  <si>
    <t>2V2035E LINDAB</t>
  </si>
  <si>
    <t>Vert. 2" rails 2035mm, Without holes, Lindab</t>
  </si>
  <si>
    <t>2V2043E</t>
  </si>
  <si>
    <t>Vert. 2" rails 2043, excl. gaten</t>
  </si>
  <si>
    <t>2V2043E LINDAB</t>
  </si>
  <si>
    <t>Vert. 2" rails 2043mm , Without holes, Lindab</t>
  </si>
  <si>
    <t>2V2135E LINDAB</t>
  </si>
  <si>
    <t>Vert. 2" rails 2135mm, Without holes, Lindab</t>
  </si>
  <si>
    <t>2V2435E</t>
  </si>
  <si>
    <t>Vert. 2" rails 2.435 m, ex. gaten</t>
  </si>
  <si>
    <t>2V2500</t>
  </si>
  <si>
    <t>Vert. 2" rails 2,5 m1</t>
  </si>
  <si>
    <t>2V2639E</t>
  </si>
  <si>
    <t>vert. 2" rails 2.639m ex. holes</t>
  </si>
  <si>
    <t>2V2643E</t>
  </si>
  <si>
    <t>Vert. 2" rails 2643, excl. gaten</t>
  </si>
  <si>
    <t>2V2643E LINDAB</t>
  </si>
  <si>
    <t>Vert. 2" rails 2643mm , Without holes, Lindab</t>
  </si>
  <si>
    <t>2V2679E</t>
  </si>
  <si>
    <t>vert. 2" rails 2.679m ex. holes</t>
  </si>
  <si>
    <t>2V2795E</t>
  </si>
  <si>
    <t>Vert. 2" rails 2.795m, ex gaten</t>
  </si>
  <si>
    <t>2V2835E</t>
  </si>
  <si>
    <t>Vert. 2" rails 2.835m, ex. holes</t>
  </si>
  <si>
    <t>2V2843E</t>
  </si>
  <si>
    <t>Vert. 2" rails 2843, excl. gaten</t>
  </si>
  <si>
    <t>2V2843E LINDAB</t>
  </si>
  <si>
    <t>Vert. 2" rails 2843mm , Without holes, Lindab</t>
  </si>
  <si>
    <t>2V2879E</t>
  </si>
  <si>
    <t>Vert. 2" rails 2879, excl. gaten</t>
  </si>
  <si>
    <t>2V2879E LINDAB</t>
  </si>
  <si>
    <t>Vert. 2" rails 2879mm , Without holes, Lindab</t>
  </si>
  <si>
    <t>2V3000</t>
  </si>
  <si>
    <t>Vert. 2" rails 3,0 m1 oranje</t>
  </si>
  <si>
    <t>2V3500</t>
  </si>
  <si>
    <t>Vert. 2" rails 3,5 m1</t>
  </si>
  <si>
    <t>2V3750</t>
  </si>
  <si>
    <t>Vert. 2" rails 3,75 m1</t>
  </si>
  <si>
    <t>2V4000</t>
  </si>
  <si>
    <t>Vert. 2" rails 4,0 m1</t>
  </si>
  <si>
    <t>2V4250</t>
  </si>
  <si>
    <t>Vert. 2" rails 4,25 m1</t>
  </si>
  <si>
    <t>2V4500</t>
  </si>
  <si>
    <t>Vert. 2" rails 4,5 m1</t>
  </si>
  <si>
    <t>2V5000</t>
  </si>
  <si>
    <t>Vert. 2" rails 5,0 m1</t>
  </si>
  <si>
    <t>2V5500</t>
  </si>
  <si>
    <t>Vert. 2" rails 5,5 m1</t>
  </si>
  <si>
    <t>2V6000</t>
  </si>
  <si>
    <t>Vert. 2" rails 6000mm</t>
  </si>
  <si>
    <t>2V6500</t>
  </si>
  <si>
    <t>Vert. 2" rails 6,5 m1</t>
  </si>
  <si>
    <t>2V6500-3000</t>
  </si>
  <si>
    <t>Vert. 2" rails 6,5 m1 RAL 3000 &gt; ROOD</t>
  </si>
  <si>
    <t>2V7000</t>
  </si>
  <si>
    <t>Vert. 2" rails 7,0 m1</t>
  </si>
  <si>
    <t>2V-H1160</t>
  </si>
  <si>
    <t>Looprail, 2" geboute rails, recht, verzinkt, 2,0mm, L=1160</t>
  </si>
  <si>
    <t>2V-H1725</t>
  </si>
  <si>
    <t>Looprail, 2" geboute rails, recht, verzinkt, 2,0mm, L=1725</t>
  </si>
  <si>
    <t>2V-H2290</t>
  </si>
  <si>
    <t>Looprail, 2" geboute rails, recht, verzinkt, 2,0mm, L=2290</t>
  </si>
  <si>
    <t>2V-H2855</t>
  </si>
  <si>
    <t>Looprail, 2" geboute rails, recht, verzinkt, 2,0mm, L=2855</t>
  </si>
  <si>
    <t>2V-H3420</t>
  </si>
  <si>
    <t>Looprail, 2" geboute rails, recht, verzinkt, 2,0mm, L=3420</t>
  </si>
  <si>
    <t>2V-H3985</t>
  </si>
  <si>
    <t>Looprail, 2" geboute rails, recht, verzinkt, 2,0mm, L=3985</t>
  </si>
  <si>
    <t>2V-H4550</t>
  </si>
  <si>
    <t>Looprail, 2" geboute rails, recht, verzinkt, 2,0mm, L=4550</t>
  </si>
  <si>
    <t>2V-H5115</t>
  </si>
  <si>
    <t>Looprail, 2" geboute rails, recht, verzinkt, 2,0mm, L=5115</t>
  </si>
  <si>
    <t>2V-H5680</t>
  </si>
  <si>
    <t>Looprail, 2" geboute rails, recht, verzinkt, 2,0mm, L=5680</t>
  </si>
  <si>
    <t>2V-H6245</t>
  </si>
  <si>
    <t>Looprail, 2" geboute rails, recht, verzinkt, 2,0mm, L=6245</t>
  </si>
  <si>
    <t>2V-H6810</t>
  </si>
  <si>
    <t>Looprail, 2" geboute rails, recht, verzinkt, 2,0mm, L=6810</t>
  </si>
  <si>
    <t>2V-P5000</t>
  </si>
  <si>
    <t>Coated Vert. 2" rails 5,0m1</t>
  </si>
  <si>
    <t>2VSS6000</t>
  </si>
  <si>
    <t>Vert. 2" rails 6,0 m1 RVS!!!</t>
  </si>
  <si>
    <t>3005L</t>
  </si>
  <si>
    <t>Mont.Pl.Driehoek LH</t>
  </si>
  <si>
    <t>3005R</t>
  </si>
  <si>
    <t>Mont.Pl.Driehoek RH</t>
  </si>
  <si>
    <t>300PB</t>
  </si>
  <si>
    <t>Motor bevestigingsbeugel, 3mm, ISC</t>
  </si>
  <si>
    <t>300SB</t>
  </si>
  <si>
    <t>Veermontagebeugel, met bouten, 4mm, ISC</t>
  </si>
  <si>
    <t>Montage plaat Driehoek</t>
  </si>
  <si>
    <t>302</t>
  </si>
  <si>
    <t>ZIJLAGERPLAAT vlak met 1"lager</t>
  </si>
  <si>
    <t>3021</t>
  </si>
  <si>
    <t>Hoekbeugel ongelijkz.180x96</t>
  </si>
  <si>
    <t>3021H</t>
  </si>
  <si>
    <t>Hoekbeugel, afhangen hor. rails, HD, L=183mm</t>
  </si>
  <si>
    <t>3021HL</t>
  </si>
  <si>
    <t>Hoekbeugel, afhangen hor. rails, HD, L=380mm</t>
  </si>
  <si>
    <t>3021L</t>
  </si>
  <si>
    <t>Hoekbeugel lange versie 380x96</t>
  </si>
  <si>
    <t>3021S</t>
  </si>
  <si>
    <t>Verstevigingsprofiel tbv afhangbeugel 3021(L)</t>
  </si>
  <si>
    <t>3022D</t>
  </si>
  <si>
    <t>Railconsole dubbele rail</t>
  </si>
  <si>
    <t>3022HD</t>
  </si>
  <si>
    <t>Railconsole, afhanging, voor 3021H(L)</t>
  </si>
  <si>
    <t>3022S</t>
  </si>
  <si>
    <t>Railconsole enkele rail</t>
  </si>
  <si>
    <t>304-12</t>
  </si>
  <si>
    <t>Zijlagerplaten 86mm, 1" lager, RES, set (L+R)</t>
  </si>
  <si>
    <t>304-12LH</t>
  </si>
  <si>
    <t>Zijlagerplaat 86mm GOHD LH</t>
  </si>
  <si>
    <t>304-12RH</t>
  </si>
  <si>
    <t>Zijlagerplaat 86mm GOHD RH</t>
  </si>
  <si>
    <t>305-8</t>
  </si>
  <si>
    <t>Zijlagerplaten 86mm, 1" lager, set (L+R)</t>
  </si>
  <si>
    <t>305-8LH</t>
  </si>
  <si>
    <t>Zijlagerplaat LH 3 3/8"(86 mm)</t>
  </si>
  <si>
    <t>305-8RH</t>
  </si>
  <si>
    <t>Zijlagerplaat RH 3 3/8"(86 mm)</t>
  </si>
  <si>
    <t>307-4B</t>
  </si>
  <si>
    <t>Zijlagerplaten 127mm, 1" lager, set (L+R)</t>
  </si>
  <si>
    <t>307-4LH</t>
  </si>
  <si>
    <t>Zijlagerplaat LH 5" (127 mm)</t>
  </si>
  <si>
    <t>307-4RH</t>
  </si>
  <si>
    <t>Zijlagerplaat RH 5" (127 mm)</t>
  </si>
  <si>
    <t>3086C</t>
  </si>
  <si>
    <t>Midden lagerplaat 86mm</t>
  </si>
  <si>
    <t>3086S</t>
  </si>
  <si>
    <t>Zijlagerplaten 86mm, ribben, 1" lager, set (L+R)</t>
  </si>
  <si>
    <t>3086S-LH</t>
  </si>
  <si>
    <t>Zijlagerplaat 86mm LH</t>
  </si>
  <si>
    <t>3086S-RH</t>
  </si>
  <si>
    <t>Zijlagerplaat 86mm RH</t>
  </si>
  <si>
    <t>30B20-0500-S</t>
  </si>
  <si>
    <t>Gep.hoekl.30x30x2 500mm SLEUF</t>
  </si>
  <si>
    <t>30B20-1500</t>
  </si>
  <si>
    <t>geperf.hoeklijn 30x30x2 1500mm SLEUF</t>
  </si>
  <si>
    <t>30B20-1500-S</t>
  </si>
  <si>
    <t>Angle, perforated, slotted holes, 30x30x2mm, L=1500mm</t>
  </si>
  <si>
    <t>30B20-3000</t>
  </si>
  <si>
    <t>Gep.hoekl.30x30x2 3000mm SLEUF</t>
  </si>
  <si>
    <t>30B20-3000-S</t>
  </si>
  <si>
    <t>310-67NL</t>
  </si>
  <si>
    <t>Lagerplaat, verzinkt, incl. 1" lager, links</t>
  </si>
  <si>
    <t>310-67NR</t>
  </si>
  <si>
    <t>Lagerplaat, verzinkt, incl. 1" lager, rechts</t>
  </si>
  <si>
    <t>310-67NR(T)</t>
  </si>
  <si>
    <t>310CL</t>
  </si>
  <si>
    <t>test</t>
  </si>
  <si>
    <t>310CR</t>
  </si>
  <si>
    <t>Spec. alleen voor LIND01 !!!</t>
  </si>
  <si>
    <t>3111C</t>
  </si>
  <si>
    <t>Midden lagerplaat 111mm</t>
  </si>
  <si>
    <t>3111FL</t>
  </si>
  <si>
    <t>Zijlagerplaat LH ISC,4mm galv.Hartmaat 111mm</t>
  </si>
  <si>
    <t>3111FR</t>
  </si>
  <si>
    <t>Zijlagerplaat RH ISC,4mm galv.Hartmaat 111mm</t>
  </si>
  <si>
    <t>3111S</t>
  </si>
  <si>
    <t>Zijlagerplaten 111mm, ribben, 1" lager, set (L+R)</t>
  </si>
  <si>
    <t>3111S-LH</t>
  </si>
  <si>
    <t>Zijlagerplaat 111mm LH</t>
  </si>
  <si>
    <t>3111S-RH</t>
  </si>
  <si>
    <t>Zijlagerplaat 111mm RH</t>
  </si>
  <si>
    <t>3127C</t>
  </si>
  <si>
    <t>Midden lagerplaat 127mm</t>
  </si>
  <si>
    <t>3127FL</t>
  </si>
  <si>
    <t>Zijlagerplaat ISC LH,4mm galv. Hartmaat 127mm</t>
  </si>
  <si>
    <t>3127FR</t>
  </si>
  <si>
    <t>Zijlagerplaat ISC RH,4mm galv. Hartmaat 127mm</t>
  </si>
  <si>
    <t>3127S</t>
  </si>
  <si>
    <t>Zijlagerplaten 127mm, ribben, 1" lager, set (L+R)</t>
  </si>
  <si>
    <t>3127S-LH</t>
  </si>
  <si>
    <t>Zijlagerplaat 127mm LH</t>
  </si>
  <si>
    <t>3127S-RH</t>
  </si>
  <si>
    <t>Zijlagerplaat 127mm RH</t>
  </si>
  <si>
    <t>312R</t>
  </si>
  <si>
    <t>Lagerplaat, verstelbaar</t>
  </si>
  <si>
    <t>312RC</t>
  </si>
  <si>
    <t>Midden asondersteuning,incl. latei verbinding</t>
  </si>
  <si>
    <t>312RSC</t>
  </si>
  <si>
    <t>RSC lagerplaat met motorrail ondersteuning, verzinkt</t>
  </si>
  <si>
    <t>3152C</t>
  </si>
  <si>
    <t>Midden lagerplaat 152mm</t>
  </si>
  <si>
    <t>3152FL</t>
  </si>
  <si>
    <t>Zijlagerplaat ISC LH,4mm galv.Hartmaat 152mm</t>
  </si>
  <si>
    <t>3152FR</t>
  </si>
  <si>
    <t>Zijlagerplaat ISC RH,4mm galv.Hartmaat 152mm</t>
  </si>
  <si>
    <t>3152S</t>
  </si>
  <si>
    <t>Zijlagerplaten 152mm, ribben, 1" lager, set (L+R)</t>
  </si>
  <si>
    <t>3152S-LH</t>
  </si>
  <si>
    <t>Zijlagerplaat 152mm LH</t>
  </si>
  <si>
    <t>3152S-RH</t>
  </si>
  <si>
    <t>Zijlagerplaat 152mm RH</t>
  </si>
  <si>
    <t>315-4B</t>
  </si>
  <si>
    <t>Lagerplaat inkl. lager (86 mm)</t>
  </si>
  <si>
    <t>315-4BOM</t>
  </si>
  <si>
    <t>86mm plaat, borst lager omge.</t>
  </si>
  <si>
    <t>315-4N</t>
  </si>
  <si>
    <t>Lagerplaat sleuf,ex lager/86mm</t>
  </si>
  <si>
    <t>316-4B</t>
  </si>
  <si>
    <t>Lagerplaat incl. lager (111mm)</t>
  </si>
  <si>
    <t>316-4BOM</t>
  </si>
  <si>
    <t>111mm plaat, borst lager omgek</t>
  </si>
  <si>
    <t>316-4N</t>
  </si>
  <si>
    <t>Lagerplaat sleuf/ex lager/111m</t>
  </si>
  <si>
    <t>317-4B</t>
  </si>
  <si>
    <t>Lagerplaat inkl. lager(127 mm)</t>
  </si>
  <si>
    <t>317-4BOM</t>
  </si>
  <si>
    <t>127mm plaat, borstlager omgek</t>
  </si>
  <si>
    <t>317-4N</t>
  </si>
  <si>
    <t>Lagerplaat sleuf/ex lager 127m</t>
  </si>
  <si>
    <t>318-4B</t>
  </si>
  <si>
    <t>Lagerplaat inkl. lager(152 mm)</t>
  </si>
  <si>
    <t>318-4BOM</t>
  </si>
  <si>
    <t>152mm plaat, borst lager omgek</t>
  </si>
  <si>
    <t>318-4C</t>
  </si>
  <si>
    <t>Lagerplaat 1 1/4" lager 152 mm</t>
  </si>
  <si>
    <t>318-4CP</t>
  </si>
  <si>
    <t>Zijlagerplaten 152mm, 1 1/4" lager, set (L+R)</t>
  </si>
  <si>
    <t>318-4CPL</t>
  </si>
  <si>
    <t>Zijlagerplaat LH 1 1/4"(152mm)</t>
  </si>
  <si>
    <t>318-4CPR</t>
  </si>
  <si>
    <t>Zijlagerplaat RH 1 1/4"(152mm)</t>
  </si>
  <si>
    <t>318-4N</t>
  </si>
  <si>
    <t>Lagerplaat sleuf/ex lager 152m</t>
  </si>
  <si>
    <t>320-4</t>
  </si>
  <si>
    <t>Lagerplaat excl. lager(190 mm)</t>
  </si>
  <si>
    <t>323LAG-B</t>
  </si>
  <si>
    <t>Lagerplaat incl. lager 1"</t>
  </si>
  <si>
    <t>325</t>
  </si>
  <si>
    <t>Lagerhouder voor lager od 51mm</t>
  </si>
  <si>
    <t>325B</t>
  </si>
  <si>
    <t>Lagerhouder voor lager 51mm</t>
  </si>
  <si>
    <t>340CHL</t>
  </si>
  <si>
    <t>RSC Bolted, veren achter, hoekversteviging, links</t>
  </si>
  <si>
    <t>340CHR</t>
  </si>
  <si>
    <t>RSC Bolted, veren achter, hoekversteviging, rechts</t>
  </si>
  <si>
    <t>340CL</t>
  </si>
  <si>
    <t>Hoekconsole superclick, Links</t>
  </si>
  <si>
    <t>340CR</t>
  </si>
  <si>
    <t>Hoekconsole superclick, Rechts</t>
  </si>
  <si>
    <t>340LH</t>
  </si>
  <si>
    <t>Lagerplaatsteun RES70 LH</t>
  </si>
  <si>
    <t>340RH</t>
  </si>
  <si>
    <t>Lagerplaatsteun RES70 RH</t>
  </si>
  <si>
    <t>340S</t>
  </si>
  <si>
    <t>Lagerplaat, rails, veren achter, RES</t>
  </si>
  <si>
    <t>340SH</t>
  </si>
  <si>
    <t>RSC Bolted, veren achter, lagerplaat</t>
  </si>
  <si>
    <t>340SL</t>
  </si>
  <si>
    <t>Hoekplaat,assteun,RES,veren achter,Links</t>
  </si>
  <si>
    <t>340SR</t>
  </si>
  <si>
    <t>Hoekplaat,assteun,RES,veren achter,rechts</t>
  </si>
  <si>
    <t>342L</t>
  </si>
  <si>
    <t>Driehoeksplaat verzinkt, 375x225x2.5mm, sleufgaten</t>
  </si>
  <si>
    <t>342R</t>
  </si>
  <si>
    <t>355CNS</t>
  </si>
  <si>
    <t>Driehoeksplaat, zwaar, veren op koker 100K, met ga</t>
  </si>
  <si>
    <t>355CS</t>
  </si>
  <si>
    <t>Driekhoeksplaat voor muurbevestiging, 400x400x4mm</t>
  </si>
  <si>
    <t>355GRS</t>
  </si>
  <si>
    <t>Kabelgeleider voor 355CS driekhoeksplaat, compleet</t>
  </si>
  <si>
    <t>355L</t>
  </si>
  <si>
    <t>Driehoekspl LH zw tbv kokermont 100K,120K</t>
  </si>
  <si>
    <t>355R</t>
  </si>
  <si>
    <t>Driehoekspl RH zw tbv kokermont 100K,120K</t>
  </si>
  <si>
    <t>355STRI</t>
  </si>
  <si>
    <t>Strip t.b.v. 100K</t>
  </si>
  <si>
    <t>357</t>
  </si>
  <si>
    <t>Motorplaat gegalv.</t>
  </si>
  <si>
    <t>35U120</t>
  </si>
  <si>
    <t>Beugel tbv montage 120x80 kokerprofiel</t>
  </si>
  <si>
    <t>35U300-LH</t>
  </si>
  <si>
    <t>U-bracket for 3-angle plate LH</t>
  </si>
  <si>
    <t>35U300-RH</t>
  </si>
  <si>
    <t>U-bracket for 3-angle plate RH</t>
  </si>
  <si>
    <t>35U40</t>
  </si>
  <si>
    <t>U-bracket for 40/80 profile</t>
  </si>
  <si>
    <t>35U80</t>
  </si>
  <si>
    <t>Beugel tbv montage 80x80 kokerprofiel</t>
  </si>
  <si>
    <t>370AF</t>
  </si>
  <si>
    <t>Beugel, verstelbare hoek, FTR/FHL systeem</t>
  </si>
  <si>
    <t>375DPL</t>
  </si>
  <si>
    <t>Duplex plug tbv duplex veren</t>
  </si>
  <si>
    <t>38100-01</t>
  </si>
  <si>
    <t>sluitring 104HV 3.2mm Verzinkt</t>
  </si>
  <si>
    <t>3G380A0</t>
  </si>
  <si>
    <t>Curve, 3", R380mm, 2x 275mm, pcs(1)</t>
  </si>
  <si>
    <t>3VH1200</t>
  </si>
  <si>
    <t>Looprail, 3", 3mm, gegalvaniseerd, L=1200mm, pcs(1)</t>
  </si>
  <si>
    <t>3VH4720</t>
  </si>
  <si>
    <t>Looprail, 3", 3mm, gegalvaniseerd, L=4720mm, pcs(1)</t>
  </si>
  <si>
    <t>40B15-1180-S</t>
  </si>
  <si>
    <t>Roofhanger with Slots 1180mm</t>
  </si>
  <si>
    <t>40B15-2001-S</t>
  </si>
  <si>
    <t>Roofhanger with Slots 2001mm</t>
  </si>
  <si>
    <t>40B25-3000</t>
  </si>
  <si>
    <t>Gep.hoekl.40x40x2,5 3M SLEUF</t>
  </si>
  <si>
    <t>40B25-3000-S</t>
  </si>
  <si>
    <t>Roofhanger with Slots 3000mm</t>
  </si>
  <si>
    <t>40E488</t>
  </si>
  <si>
    <t>Eindstijl voor paneel 488-40mm</t>
  </si>
  <si>
    <t>40E488W</t>
  </si>
  <si>
    <t>Eindstijl 488-40mm Swit RAL 9016</t>
  </si>
  <si>
    <t>40E500</t>
  </si>
  <si>
    <t>Eindstijl voor paneel 500-40mm</t>
  </si>
  <si>
    <t>40E500EW</t>
  </si>
  <si>
    <t>Eindstijl 500-40mm wit RAL 9016 ZONDER GATEN</t>
  </si>
  <si>
    <t>40E500W</t>
  </si>
  <si>
    <t>Eindstijl 500-40mm wit RAL 9016</t>
  </si>
  <si>
    <t>40E585</t>
  </si>
  <si>
    <t>Endcap panel 585-40mm</t>
  </si>
  <si>
    <t>40E590</t>
  </si>
  <si>
    <t>Enkele eindstijl 40 tbv 590mm</t>
  </si>
  <si>
    <t>40E595</t>
  </si>
  <si>
    <t>Eindstijl 40mm, 595mm</t>
  </si>
  <si>
    <t>40E610</t>
  </si>
  <si>
    <t>Eindstijl voor paneel 610-40mm</t>
  </si>
  <si>
    <t>40E610EW</t>
  </si>
  <si>
    <t>Eindstijl 610-40mm wit RAL 9016 ZONDER GATEN</t>
  </si>
  <si>
    <t>40E610W</t>
  </si>
  <si>
    <t>Eindstijl 610-40mm wit RAL 9016</t>
  </si>
  <si>
    <t>40E732</t>
  </si>
  <si>
    <t>Eindstijl voor paneel 723-40mm</t>
  </si>
  <si>
    <t>40E900</t>
  </si>
  <si>
    <t>Eindstijl 900/40mm ex gaten</t>
  </si>
  <si>
    <t>40ED500</t>
  </si>
  <si>
    <t>DUBBELE eindstijl 40 tbv 500mm</t>
  </si>
  <si>
    <t>40ED500E-075</t>
  </si>
  <si>
    <t>Double endcap 500-40mm, 0,75mm ,ex. holes</t>
  </si>
  <si>
    <t>40ED585</t>
  </si>
  <si>
    <t>DUBBELE eindstijl 40 mm, 585mm</t>
  </si>
  <si>
    <t>40ED590</t>
  </si>
  <si>
    <t>Dubbele eindstijl 40mm 590mm</t>
  </si>
  <si>
    <t>40ED595</t>
  </si>
  <si>
    <t>Dubbele eindstijl 40mm</t>
  </si>
  <si>
    <t>40ED610</t>
  </si>
  <si>
    <t>DUBBELE eindstijl 40 mm, 610mm</t>
  </si>
  <si>
    <t>40ED610-9016</t>
  </si>
  <si>
    <t>Dubbele eindstijl 40 mm, 610mm coated RAL 9016</t>
  </si>
  <si>
    <t>40ED900</t>
  </si>
  <si>
    <t>DUBBELE eindstijl 40 mm, 900mm</t>
  </si>
  <si>
    <t>40EINS500</t>
  </si>
  <si>
    <t>Eindstijl thermische insert, ABS voor 42EU500 endc</t>
  </si>
  <si>
    <t>40EINS610</t>
  </si>
  <si>
    <t>Eindstijl thermische insert, ABS voor 42EU610 endc</t>
  </si>
  <si>
    <t>40EKL500EL</t>
  </si>
  <si>
    <t>Endcap, Epco/Kingspan 40mm / 500mm, double, B = 154mm, li</t>
  </si>
  <si>
    <t>40EKL500ER</t>
  </si>
  <si>
    <t>Endcap, Epco/Kingspan 40mm / 500mm, double, B = 154mm, re</t>
  </si>
  <si>
    <t>40EKL500L</t>
  </si>
  <si>
    <t>Eindstijl, Epco/Kingspan paneel 40mm / 500mm, dubb</t>
  </si>
  <si>
    <t>40EKL500R</t>
  </si>
  <si>
    <t>Endcap, Epco/Kingspan panel 40mm / 500mm, double, B = 15</t>
  </si>
  <si>
    <t>40EKL555L</t>
  </si>
  <si>
    <t>Endcap, Epco/Kingspan panel 40mm / 555mm, double, B = 15</t>
  </si>
  <si>
    <t>40EKL555R</t>
  </si>
  <si>
    <t>40EKL610EL</t>
  </si>
  <si>
    <t>Endcap, Epco/Kingspan panel 40mm / 610mm, double, B = 15</t>
  </si>
  <si>
    <t>40EKL610ER</t>
  </si>
  <si>
    <t>40EKL610L</t>
  </si>
  <si>
    <t>40EKL610R</t>
  </si>
  <si>
    <t>40EKM500L</t>
  </si>
  <si>
    <t>Eindstijl, Epco/Kingspan paneel 40mm / 500mm, enke</t>
  </si>
  <si>
    <t>40EKM500R</t>
  </si>
  <si>
    <t>40EKM500WL</t>
  </si>
  <si>
    <t>Endcap, Epco/Kingspan panel 40mm / 500mm, single, B = 77m</t>
  </si>
  <si>
    <t>40EKM500WR</t>
  </si>
  <si>
    <t>40EKM555L</t>
  </si>
  <si>
    <t>End cap, EPCO / Kingspan panel 40mm / 555mm, single, B = 77m</t>
  </si>
  <si>
    <t>40EKM555R</t>
  </si>
  <si>
    <t>40EKM555WL</t>
  </si>
  <si>
    <t>Endcap, white, Epco/Kingspanpanel 40mm / 555mm, single, B =</t>
  </si>
  <si>
    <t>40EKM555WR</t>
  </si>
  <si>
    <t>Endcap, white, Epco/Kingspan panel 40mm / 555mm, single, B</t>
  </si>
  <si>
    <t>40EKM610L</t>
  </si>
  <si>
    <t>Eindstijl, Epco/Kingspan paneel 40mm / 610mm, enke</t>
  </si>
  <si>
    <t>40EKM610R</t>
  </si>
  <si>
    <t>40EKM610WL</t>
  </si>
  <si>
    <t>Endcap, Epco/Kingspan panel 40mm / 610mm, single, B = 77m</t>
  </si>
  <si>
    <t>40EKM610WR</t>
  </si>
  <si>
    <t>40EKM625WL</t>
  </si>
  <si>
    <t>Endcap, white, Epco/Kingspan panel 40mm / 625mm, single, B</t>
  </si>
  <si>
    <t>40EKM625WR</t>
  </si>
  <si>
    <t>40EKS500EL</t>
  </si>
  <si>
    <t>Endcap, Epco/Kingspan 40mm / 500mm, double, B = 66mm, li</t>
  </si>
  <si>
    <t>40EKS500ER</t>
  </si>
  <si>
    <t>Endcap, Epco/Kingspan 40mm / 500mm, double, B = 66mm, re</t>
  </si>
  <si>
    <t>40EKS500EWL</t>
  </si>
  <si>
    <t>Endcap, white, Epco/Kingspan 40mm / 500mm, double, B = 66mm</t>
  </si>
  <si>
    <t>40EKS500EWR</t>
  </si>
  <si>
    <t>40EKS500L</t>
  </si>
  <si>
    <t>End cap, EPCO / Kingspan panel 40mm / 500mm, single, B = 67m</t>
  </si>
  <si>
    <t>40EKS500R</t>
  </si>
  <si>
    <t>40EKS500WL</t>
  </si>
  <si>
    <t>Eindstijl, wit, Epco/Kingspan paneel 40mm / 500mm,</t>
  </si>
  <si>
    <t>40EKS500WR</t>
  </si>
  <si>
    <t>40EKS555EWL</t>
  </si>
  <si>
    <t>Endcap, White, Epco/Kingspan Panel 40mm / 555, single, left</t>
  </si>
  <si>
    <t>40EKS555EWR</t>
  </si>
  <si>
    <t>Endcap, White, Epco/Kingspan Panel 40mm / 555, single, right</t>
  </si>
  <si>
    <t>40EKS555L</t>
  </si>
  <si>
    <t>Eindstijl,EPCO,40mm,555mm,W=67,enkel,L vervanger v</t>
  </si>
  <si>
    <t>40EKS555R</t>
  </si>
  <si>
    <t>Eindstijl,EPCO,40mm,555mm,W=67,enkel,R Vervanger v</t>
  </si>
  <si>
    <t>40EKS555WL</t>
  </si>
  <si>
    <t>40EKS555WR</t>
  </si>
  <si>
    <t>40EKS610EL</t>
  </si>
  <si>
    <t>Endcap, Epco/Kingspan panel 40mm / 610mm, double, B = 67</t>
  </si>
  <si>
    <t>40EKS610ER</t>
  </si>
  <si>
    <t>40EKS610EWL</t>
  </si>
  <si>
    <t>Endcap, white, Epco/Kingspan panel 40mm / 610mm, double, B</t>
  </si>
  <si>
    <t>40EKS610EWR</t>
  </si>
  <si>
    <t>40EKS610L</t>
  </si>
  <si>
    <t>End cap, EPCO / Kingspan panel 40mm / 610mm, single, B = 67m</t>
  </si>
  <si>
    <t>40EKS610R</t>
  </si>
  <si>
    <t>40EKS610WL</t>
  </si>
  <si>
    <t>Eindstijl Epco/Kingspan 40mm/610mm RAL 9016 vervan</t>
  </si>
  <si>
    <t>40EKS610WR</t>
  </si>
  <si>
    <t>Eindstijl Epco/Kingspan 40mm/610mm wit RAL 9016 ve</t>
  </si>
  <si>
    <t>40EKS625L</t>
  </si>
  <si>
    <t>40EKS625R</t>
  </si>
  <si>
    <t>40EKS625WL</t>
  </si>
  <si>
    <t>40EKS625WR</t>
  </si>
  <si>
    <t>40EL500L</t>
  </si>
  <si>
    <t>Eindst.tbv pan500-40mm 1.00mm</t>
  </si>
  <si>
    <t>40EL500R</t>
  </si>
  <si>
    <t>40EM500R</t>
  </si>
  <si>
    <t>40EM610L</t>
  </si>
  <si>
    <t>Eindst.tbv pan610-40mm 1.00mm LH</t>
  </si>
  <si>
    <t>40EM610R</t>
  </si>
  <si>
    <t>Eindst.tbv pan610-40mm 1.00mm RH</t>
  </si>
  <si>
    <t>40EM610WL</t>
  </si>
  <si>
    <t>Eindst.Kingspan 610-40mm 1mm L RAL 9016</t>
  </si>
  <si>
    <t>40EM610WR</t>
  </si>
  <si>
    <t>Eindst.Kingspan 610-40mm 1mm R RAL 9016</t>
  </si>
  <si>
    <t>40ES500L</t>
  </si>
  <si>
    <t>Eindst.tbv pan500-40mm 0.75mm</t>
  </si>
  <si>
    <t>40ES500R</t>
  </si>
  <si>
    <t>40ES500WL</t>
  </si>
  <si>
    <t>Eindst.tbv pan500 0.75mm RAL 9016 LH</t>
  </si>
  <si>
    <t>40ES610R</t>
  </si>
  <si>
    <t>Eindst.tbv pan610-40mm 0.75mm</t>
  </si>
  <si>
    <t>40ES610WL</t>
  </si>
  <si>
    <t>Eindst.tbv pan610 0.75mm RAL 9016 LH</t>
  </si>
  <si>
    <t>40ES610WR</t>
  </si>
  <si>
    <t>Eindst.tbv pan610 0.75mm RAL 9016 RH</t>
  </si>
  <si>
    <t>40FL500L</t>
  </si>
  <si>
    <t>Eindst.Bremet,40/500mm 154mm L</t>
  </si>
  <si>
    <t>40FL500R</t>
  </si>
  <si>
    <t>Eindst.Bremet,40/500mm 154mm R</t>
  </si>
  <si>
    <t>40FL610L</t>
  </si>
  <si>
    <t>Eindst.Bremet,40/610mm 154mm L</t>
  </si>
  <si>
    <t>40FL610R</t>
  </si>
  <si>
    <t>Eindst.Bremet,40/610mm 154mm R</t>
  </si>
  <si>
    <t>40FM500EWL</t>
  </si>
  <si>
    <t>Eindst.Metecno 500,77mm,RAL 9016,Links excl. gaten</t>
  </si>
  <si>
    <t>40FM500EWR</t>
  </si>
  <si>
    <t>Eindst.Metecno 500,77mm,RAL 9016,Rechts excl. gate</t>
  </si>
  <si>
    <t>40FM500L</t>
  </si>
  <si>
    <t>Eindst.Bremet, 40/500mm 77mm L</t>
  </si>
  <si>
    <t>40FM500R</t>
  </si>
  <si>
    <t>Eindst.Bremet, 40/500mm 77mm R</t>
  </si>
  <si>
    <t>40FM500WL</t>
  </si>
  <si>
    <t>Eindst.Bremet,500mm 77mm RAL 9016 LH</t>
  </si>
  <si>
    <t>40FM500WR</t>
  </si>
  <si>
    <t>Eindst.Bremet,500mm 77mm RAL 9016 RH</t>
  </si>
  <si>
    <t>40FM610EWL</t>
  </si>
  <si>
    <t>Eindst.Metecno 610,77mm,RAL 9016,Links excl. gaten</t>
  </si>
  <si>
    <t>40FM610EWR</t>
  </si>
  <si>
    <t>Eindst.Metecno 610,77mm,RAL 9016,Rechts excl. gate</t>
  </si>
  <si>
    <t>40FM610L</t>
  </si>
  <si>
    <t>Eindst.Bremet, 40/610mm 77mm L</t>
  </si>
  <si>
    <t>40FM610R</t>
  </si>
  <si>
    <t>Eindst.Bremet, 40/610mm 77mm R</t>
  </si>
  <si>
    <t>40FM610WL</t>
  </si>
  <si>
    <t>Eindst.Bremet,610mm 77mm RAL 9016 LH</t>
  </si>
  <si>
    <t>40FM610WR</t>
  </si>
  <si>
    <t>Eindst.Bremet,610mm 77mm RAL 9016 RH</t>
  </si>
  <si>
    <t>40FS500L</t>
  </si>
  <si>
    <t>Eindst.Bremet, 40/500mm 67mm L</t>
  </si>
  <si>
    <t>40FS500R</t>
  </si>
  <si>
    <t>Eindst.Bremet, 40/500mm 67mm R</t>
  </si>
  <si>
    <t>40FS500WL</t>
  </si>
  <si>
    <t>Eindst.Bremet,500mm 67mm RAL 9016 LH</t>
  </si>
  <si>
    <t>40FS500WR</t>
  </si>
  <si>
    <t>Eindst.Bremet,500mm 67mm RAL 9016 RH</t>
  </si>
  <si>
    <t>40FS610L</t>
  </si>
  <si>
    <t>Eindst.Bremet, 40/610mm 67mm L</t>
  </si>
  <si>
    <t>40FS610R</t>
  </si>
  <si>
    <t>Eindst.Bremet, 40/610mm 67mm R</t>
  </si>
  <si>
    <t>40FS610WL</t>
  </si>
  <si>
    <t>Eindst.Bremet,610mm 67mm RAL 9016 LH</t>
  </si>
  <si>
    <t>40FS610WR</t>
  </si>
  <si>
    <t>Eindst.Bremet,610mm 67mm RAL 9016 RH</t>
  </si>
  <si>
    <t>40K40-6000</t>
  </si>
  <si>
    <t>40x40x2 verz. kokerprofiel 6000mm</t>
  </si>
  <si>
    <t>40MM500WL</t>
  </si>
  <si>
    <t>Eindstijl, marcegaglia, 40mm/500mm, 1x 70mm, wit, L</t>
  </si>
  <si>
    <t>40MM500WR</t>
  </si>
  <si>
    <t>Eindstijl, marcegaglia, 40mm/500mm, 1x 70mm, wit, R</t>
  </si>
  <si>
    <t>40MS500L</t>
  </si>
  <si>
    <t>Eindstijl, marcegaglia, 40mm/500mm, 1x 60mm, verzinkt, L</t>
  </si>
  <si>
    <t>40MS500R</t>
  </si>
  <si>
    <t>40MS500WL</t>
  </si>
  <si>
    <t>Eindstijl, marcegaglia, 40mm/500mm, 1x 60mm, wit, L</t>
  </si>
  <si>
    <t>40MS500WR</t>
  </si>
  <si>
    <t>Eindstijl, marcegaglia, 40mm/500mm, 1x 60mm, wit, R</t>
  </si>
  <si>
    <t>40MS610WL</t>
  </si>
  <si>
    <t>Eindstijl, marcegaglia, 40mm/610mm, 1x 60mm, wit, L</t>
  </si>
  <si>
    <t>40MS610WR</t>
  </si>
  <si>
    <t>Eindstijl, marcegaglia, 40mm/610mm, 1x 60mm, wit, R</t>
  </si>
  <si>
    <t>40PL500EL</t>
  </si>
  <si>
    <t>Eindstijl Epco 40mm/500mm dubbel,B=154mm,LH ex holes</t>
  </si>
  <si>
    <t>40PL500ER</t>
  </si>
  <si>
    <t>Eindstijl Epco 40mm/500mm dubbel, ex holes</t>
  </si>
  <si>
    <t>40PL555R</t>
  </si>
  <si>
    <t>Eindstijl,EPCO,40mm,555mm,dubbel,R</t>
  </si>
  <si>
    <t>40PM500R</t>
  </si>
  <si>
    <t>Eindstijl Epco 40mm/500mm enkel,B=77mm,RH</t>
  </si>
  <si>
    <t>40PM555L</t>
  </si>
  <si>
    <t>Eindstijl,EPCO,40mm,555mm,enkel,L</t>
  </si>
  <si>
    <t>40PM555R</t>
  </si>
  <si>
    <t>Eindstijl,EPCO,40mm,555mm,enkel,R</t>
  </si>
  <si>
    <t>40PM555WL</t>
  </si>
  <si>
    <t>Eindstijl,EPCO,40mm,555mm,wit, enkel,L</t>
  </si>
  <si>
    <t>40PS500EWL</t>
  </si>
  <si>
    <t>Eindstijl Epco 40/500mm, excl. gaten,</t>
  </si>
  <si>
    <t>40PS500EWR</t>
  </si>
  <si>
    <t>40PS500R</t>
  </si>
  <si>
    <t>Eindstijl Epco 40mm / 500mm</t>
  </si>
  <si>
    <t>40PS500WL</t>
  </si>
  <si>
    <t>Eindstijl Epco 40mm/500mm RAL 9016</t>
  </si>
  <si>
    <t>40PS500WR</t>
  </si>
  <si>
    <t>40PS555L</t>
  </si>
  <si>
    <t>Eindstijl,EPCO,40mm,555mm,W=67,enkel,L</t>
  </si>
  <si>
    <t>40PS555R</t>
  </si>
  <si>
    <t>Eindstijl,EPCO,40mm,555mm,W=67,enkel,R</t>
  </si>
  <si>
    <t>40PS555WL</t>
  </si>
  <si>
    <t>Eindstijl,EPCO,40mm,555mm,W=67,wit,enkel,L</t>
  </si>
  <si>
    <t>40PS610EWL</t>
  </si>
  <si>
    <t>Eindstijl Epco 40mm/610mm, ex. holes Ral 9010</t>
  </si>
  <si>
    <t>40PS610EWR</t>
  </si>
  <si>
    <t>Eindstijl Epco 40mm/610mm, ex. holes RAL 9010</t>
  </si>
  <si>
    <t>40PS610R</t>
  </si>
  <si>
    <t>Eindstijl Epco 40mm / 610mm</t>
  </si>
  <si>
    <t>40PS625L</t>
  </si>
  <si>
    <t>Eindstijl,EPCO,40mm,625mm,W=67,enkel,L</t>
  </si>
  <si>
    <t>40PS625R</t>
  </si>
  <si>
    <t>Eindstijl,EPCO,40mm,625mm,W=67,enkel,R</t>
  </si>
  <si>
    <t>40TL500L</t>
  </si>
  <si>
    <t>Eindst.Tecsedo 40/500 154mm L</t>
  </si>
  <si>
    <t>40TL500R</t>
  </si>
  <si>
    <t>Eindst.Tecsedo 40/500 154mm R</t>
  </si>
  <si>
    <t>40TL610L</t>
  </si>
  <si>
    <t>Eindst.Tecsedo 40/610 154mm L</t>
  </si>
  <si>
    <t>40TL610R</t>
  </si>
  <si>
    <t>Eindst.Tecsedo 40/610 154mm R</t>
  </si>
  <si>
    <t>40TM500L</t>
  </si>
  <si>
    <t>Eindst.Tecsedo 40/500mm 77mm L</t>
  </si>
  <si>
    <t>40TM500R</t>
  </si>
  <si>
    <t>Eindst.Tecsedo 40/500mm 77mm R</t>
  </si>
  <si>
    <t>40TM500WL</t>
  </si>
  <si>
    <t>Eindst.Tecsedo 500mm 77mm RAL 9016</t>
  </si>
  <si>
    <t>40TM500WR</t>
  </si>
  <si>
    <t>40TM610L</t>
  </si>
  <si>
    <t>Eindst.Tecsedo 40/610 77mm L</t>
  </si>
  <si>
    <t>40TM610R</t>
  </si>
  <si>
    <t>Eindst.Tecsedo 40/610 77mm R</t>
  </si>
  <si>
    <t>40TS500L</t>
  </si>
  <si>
    <t>Eindst.Tecsedo 40/500mm 67mm L</t>
  </si>
  <si>
    <t>40TS500R</t>
  </si>
  <si>
    <t>Eindst.Tecsedo 40/500mm 67mm R</t>
  </si>
  <si>
    <t>40TS500WL</t>
  </si>
  <si>
    <t>Eindst.Tecsedo 500mm 67mm RAL 9016</t>
  </si>
  <si>
    <t>40TS500WR</t>
  </si>
  <si>
    <t>40TS610L</t>
  </si>
  <si>
    <t>Eindst.Tecsedo 40/610mm 67mm L</t>
  </si>
  <si>
    <t>40TS610R</t>
  </si>
  <si>
    <t>Eindst.Tecsedo 40/610mm 67mm R</t>
  </si>
  <si>
    <t>40TS610WL</t>
  </si>
  <si>
    <t>Eindst.Tecsedo 610mm 67mm RAL 9016</t>
  </si>
  <si>
    <t>40TS610WR</t>
  </si>
  <si>
    <t>40U60</t>
  </si>
  <si>
    <t>Beugel voor kokerprofiel 60K40</t>
  </si>
  <si>
    <t>40YL610L</t>
  </si>
  <si>
    <t>Eindstijl TK,40/610/154mm,dubbel,L</t>
  </si>
  <si>
    <t>40YL610R</t>
  </si>
  <si>
    <t>Eindstijl TK,40/610/154mm,dubbel,R</t>
  </si>
  <si>
    <t>40YM500E-075L</t>
  </si>
  <si>
    <t>End cap TK, 500-40/77mm, L single, 0,75mm</t>
  </si>
  <si>
    <t>40YM500E-075R</t>
  </si>
  <si>
    <t>End cap TK, 500-40/77mm, R single, 0,75mm</t>
  </si>
  <si>
    <t>40YM500EL</t>
  </si>
  <si>
    <t>Eindstijl TK 40/500/77, LH, enkel, zonder gaten</t>
  </si>
  <si>
    <t>40YM500ER</t>
  </si>
  <si>
    <t>Eindstijl TK 40/500/77, RH, enkel, zonder gaten</t>
  </si>
  <si>
    <t>40YM500L</t>
  </si>
  <si>
    <t>Eindstijl TK,40/500/77mm,enkel,L</t>
  </si>
  <si>
    <t>40YM500R</t>
  </si>
  <si>
    <t>40YM610EL</t>
  </si>
  <si>
    <t>Eindstijl TK 40/610/77, LH, enkel, zonder gaten</t>
  </si>
  <si>
    <t>40YM610ER</t>
  </si>
  <si>
    <t>Eindstijl TK 40/610/77, RH, enkel, zonder gaten</t>
  </si>
  <si>
    <t>40YM610L</t>
  </si>
  <si>
    <t>Eindstijl TK,40/610/77mm,enkel,L</t>
  </si>
  <si>
    <t>40YM610R</t>
  </si>
  <si>
    <t>Eindstijl TK,40/610/77mm,enkel,R</t>
  </si>
  <si>
    <t>411CL</t>
  </si>
  <si>
    <t>Zijscharnierbok RES, LH</t>
  </si>
  <si>
    <t>411CR</t>
  </si>
  <si>
    <t>Zijscharnierbok RES, RH</t>
  </si>
  <si>
    <t>414CZ</t>
  </si>
  <si>
    <t>414RZ</t>
  </si>
  <si>
    <t>415-304</t>
  </si>
  <si>
    <t>304 Toprolhoud. hoh 45mm compl</t>
  </si>
  <si>
    <t>415CZ</t>
  </si>
  <si>
    <t>415R304</t>
  </si>
  <si>
    <t>304 toprolhouder excl schuif</t>
  </si>
  <si>
    <t>415RL</t>
  </si>
  <si>
    <t>Eindlooprol beugel RES-V</t>
  </si>
  <si>
    <t>415RN304</t>
  </si>
  <si>
    <t>304 Top Bracket excl. Slide</t>
  </si>
  <si>
    <t>415RZ</t>
  </si>
  <si>
    <t>Bok toprolhouder</t>
  </si>
  <si>
    <t>415RZW</t>
  </si>
  <si>
    <t>Bok toprolhouder RAL 9016</t>
  </si>
  <si>
    <t>415SP-SET1</t>
  </si>
  <si>
    <t>Special set of components based on 415RZ, Set(6)</t>
  </si>
  <si>
    <t>417</t>
  </si>
  <si>
    <t>Toprolhouder lage bovenruimte, B = 70mm</t>
  </si>
  <si>
    <t>417A</t>
  </si>
  <si>
    <t>Toprolhouder lage bovenruimte,B=70 verstevigd</t>
  </si>
  <si>
    <t>417H-LDC</t>
  </si>
  <si>
    <t>Bracket Roller for Lindab</t>
  </si>
  <si>
    <t>417H-LDC-LH</t>
  </si>
  <si>
    <t>Looprol met scharnier LH</t>
  </si>
  <si>
    <t>417H-LDC-RH</t>
  </si>
  <si>
    <t>Looprol met scharnier RH</t>
  </si>
  <si>
    <t>417LDC-LH</t>
  </si>
  <si>
    <t>Looprol LH</t>
  </si>
  <si>
    <t>417LDC-RH</t>
  </si>
  <si>
    <t>Looprol RH</t>
  </si>
  <si>
    <t>417N304</t>
  </si>
  <si>
    <t>Toprolhouder, 70mm, RVS</t>
  </si>
  <si>
    <t>417SN</t>
  </si>
  <si>
    <t>Toprolhouder, 60mm, gegalvaniseerd</t>
  </si>
  <si>
    <t>417SN-9016</t>
  </si>
  <si>
    <t>Toprolhouder, 60mm, wit</t>
  </si>
  <si>
    <t>417SW</t>
  </si>
  <si>
    <t>Toprolh. lage bovenr.RAL 9016</t>
  </si>
  <si>
    <t>417W</t>
  </si>
  <si>
    <t>418BUS</t>
  </si>
  <si>
    <t>Kunststof bus RES70</t>
  </si>
  <si>
    <t>418SL</t>
  </si>
  <si>
    <t>Toprolhouder LH</t>
  </si>
  <si>
    <t>418SNL</t>
  </si>
  <si>
    <t>Toprolhouder, 60mm, gegalvaniseerd, links</t>
  </si>
  <si>
    <t>418SNL-9016</t>
  </si>
  <si>
    <t>Toproller bracket 60mm galv. L</t>
  </si>
  <si>
    <t>418SNR</t>
  </si>
  <si>
    <t>Toprolhouder, 60mm, gegalvaniseerd, rechts</t>
  </si>
  <si>
    <t>418SNR-9016</t>
  </si>
  <si>
    <t>Toproller bracket 60mm galv. R</t>
  </si>
  <si>
    <t>418SWL</t>
  </si>
  <si>
    <t>Toprolhouder RAL 9016</t>
  </si>
  <si>
    <t>418SWR</t>
  </si>
  <si>
    <t>418WLH</t>
  </si>
  <si>
    <t>Toprolhouder RES70 LH wit 9016</t>
  </si>
  <si>
    <t>418WRH</t>
  </si>
  <si>
    <t>Toprolhouder RES70 RH wit 9016</t>
  </si>
  <si>
    <t>419CB</t>
  </si>
  <si>
    <t>Kunstof ring voor 419S</t>
  </si>
  <si>
    <t>419SD</t>
  </si>
  <si>
    <t>419SD-9016</t>
  </si>
  <si>
    <t>Toprolhouder, 40mm, verstelbaar, wit</t>
  </si>
  <si>
    <t>419SL</t>
  </si>
  <si>
    <t>419SN</t>
  </si>
  <si>
    <t>Toprolhouder, 60mm, verstelbaar, gegalvaniseerd</t>
  </si>
  <si>
    <t>419SN-9016</t>
  </si>
  <si>
    <t>Toprolhouder, 60mm, verstelbaar, wit</t>
  </si>
  <si>
    <t>419SWL</t>
  </si>
  <si>
    <t>Toprolhouder LH RAL 9016</t>
  </si>
  <si>
    <t>419SWR</t>
  </si>
  <si>
    <t>Toprolhouder RH RAL 9016</t>
  </si>
  <si>
    <t>420CZN10R</t>
  </si>
  <si>
    <t>Zijscharnier, verzinkt, verstelbaar, 10mm verhoog</t>
  </si>
  <si>
    <t>420CZNW10R</t>
  </si>
  <si>
    <t>Zijscharnier, wit RAL9016, verstelbaar, 10mm verh</t>
  </si>
  <si>
    <t>420FZN10R</t>
  </si>
  <si>
    <t>Zijscharnier, Niet verstelbaar, voor tandem loopro</t>
  </si>
  <si>
    <t>420FZNW10R</t>
  </si>
  <si>
    <t>Side hinge tandem roller 70mm Bremet RAL 9016</t>
  </si>
  <si>
    <t>420HZ</t>
  </si>
  <si>
    <t>Middenscharnier, verzinkt, 10mm verhoogd bovenblad</t>
  </si>
  <si>
    <t>420HZN10R</t>
  </si>
  <si>
    <t>420HZNW10R</t>
  </si>
  <si>
    <t>Intermediate hinge, powder coated RAL 9016</t>
  </si>
  <si>
    <t>420RZ10R</t>
  </si>
  <si>
    <t>zijscharnier wit</t>
  </si>
  <si>
    <t>420RZN10R</t>
  </si>
  <si>
    <t>Zijscharnier, verzinkt, verstelbaar, 10mm verhoogd</t>
  </si>
  <si>
    <t>420RZNW10R</t>
  </si>
  <si>
    <t>Side hinge, powder coated RAL 9016</t>
  </si>
  <si>
    <t>420S</t>
  </si>
  <si>
    <t>Slide 11mm</t>
  </si>
  <si>
    <t>420SW</t>
  </si>
  <si>
    <t>Slide 11mm RAL 9016</t>
  </si>
  <si>
    <t>421AC</t>
  </si>
  <si>
    <t>Bodemconsoles, RES, verstelbaar, set (L+R)</t>
  </si>
  <si>
    <t>421ARK</t>
  </si>
  <si>
    <t>Bodemconsole, RSC, verstelbare looprol, knop, verzinkt</t>
  </si>
  <si>
    <t>421ARK-9016</t>
  </si>
  <si>
    <t>Bottom bracket,RSC, Adjust roller, Cable fixture, White</t>
  </si>
  <si>
    <t>421CZ10R</t>
  </si>
  <si>
    <t>Complete side hinge, 10mm raised top blade, Epco,</t>
  </si>
  <si>
    <t>421CZN10R</t>
  </si>
  <si>
    <t>Scharnier, zij, set, 40mm EPCO, W=60mm, verzinkt, set(1)</t>
  </si>
  <si>
    <t>421CZNW10R</t>
  </si>
  <si>
    <t>Scharnier, zij, set, 40mm EPCO, W=60mm, wit, set(1)</t>
  </si>
  <si>
    <t>421CZW10R</t>
  </si>
  <si>
    <t>Complete side hinge White,10mm raised top blade, E</t>
  </si>
  <si>
    <t>421FZ</t>
  </si>
  <si>
    <t>Zijscharnier niet verstelb.tbv tandem looprol Epco</t>
  </si>
  <si>
    <t>421FZ60</t>
  </si>
  <si>
    <t>Zijscharnier,tandem looprol, Epco 60mm,W=60</t>
  </si>
  <si>
    <t>421FZB10R</t>
  </si>
  <si>
    <t>Zijscharnier, 60mm, geluidsdempend</t>
  </si>
  <si>
    <t>421FZBW10R</t>
  </si>
  <si>
    <t>Zijscharnier, 60mm, geluidsdempend, wit</t>
  </si>
  <si>
    <t>421FZN10R</t>
  </si>
  <si>
    <t>Scharnier, zij, tandem, 40mm EPCO, W=60mm, verzinkt</t>
  </si>
  <si>
    <t>421FZNW10R</t>
  </si>
  <si>
    <t>Scharnier, zij, tandem, 40mm EPCO, W=60mm, wit, pcs(1)</t>
  </si>
  <si>
    <t>421FZW</t>
  </si>
  <si>
    <t>Zijscharn vast,tandemrol,EPCO,RAL9016,B=60</t>
  </si>
  <si>
    <t>421H304</t>
  </si>
  <si>
    <t>Middenscharnier, Epco, 60mm, RVS</t>
  </si>
  <si>
    <t>421HRZ</t>
  </si>
  <si>
    <t>reversed hinge (special)</t>
  </si>
  <si>
    <t>421HZ</t>
  </si>
  <si>
    <t>Middenscharn.10mm,verhoogd bov.blad EPCO panelen B</t>
  </si>
  <si>
    <t>421HZ60</t>
  </si>
  <si>
    <t>Middenscharnier,Epco 60mm,W=60</t>
  </si>
  <si>
    <t>421HZN10R</t>
  </si>
  <si>
    <t>Scharnier, midden, 40mm EPCO, W=60mm, verzinkt</t>
  </si>
  <si>
    <t>421HZN60</t>
  </si>
  <si>
    <t>Scharnier, midden, 60mm EPCO, W=60mm, verzinkt</t>
  </si>
  <si>
    <t>421HZNW10R</t>
  </si>
  <si>
    <t>Scharnier, midden, 40mm EPCO, W=60mm, wit, pcs(1)</t>
  </si>
  <si>
    <t>421HZNW60</t>
  </si>
  <si>
    <t>Middenscharnier, Epco 60mm paneel, w=60mm Wit</t>
  </si>
  <si>
    <t>421HZW</t>
  </si>
  <si>
    <t>Middensch,bov.blad+10,EPCO,RAL9016,B=60</t>
  </si>
  <si>
    <t>421HZW60</t>
  </si>
  <si>
    <t>421K</t>
  </si>
  <si>
    <t>Bodemconsoles, RES, niet verst. set (L+R)</t>
  </si>
  <si>
    <t>421KL</t>
  </si>
  <si>
    <t>Bodemkonsole LH</t>
  </si>
  <si>
    <t>421KLW</t>
  </si>
  <si>
    <t>Bodemcons.niet vers.LH RAL9016</t>
  </si>
  <si>
    <t>421KR</t>
  </si>
  <si>
    <t>Bodemkonsole RH</t>
  </si>
  <si>
    <t>421KRW</t>
  </si>
  <si>
    <t>Bodemcons.niet vers.RH RAL9016</t>
  </si>
  <si>
    <t>421K-SET</t>
  </si>
  <si>
    <t>Bottom Console not adjustable</t>
  </si>
  <si>
    <t>421KW</t>
  </si>
  <si>
    <t>Bodemconsoles, RES, niet verst. set (L+R), WIT</t>
  </si>
  <si>
    <t>421N</t>
  </si>
  <si>
    <t>Bodemconsoles, RES, niet verst. RSCT, set (L+R)</t>
  </si>
  <si>
    <t>421NW</t>
  </si>
  <si>
    <t>Bodemcons. RES, niet verst. RSCT, set (L+R) WIT</t>
  </si>
  <si>
    <t>421P</t>
  </si>
  <si>
    <t>Scharnierplaat,B=60, Epco paneel</t>
  </si>
  <si>
    <t>421PN</t>
  </si>
  <si>
    <t>Scharnier plaat, EPCO, W=60mm,</t>
  </si>
  <si>
    <t>421PNW</t>
  </si>
  <si>
    <t>Scharnier plaat, EPCO, W=60mm, wit, pcs(1)</t>
  </si>
  <si>
    <t>421PW</t>
  </si>
  <si>
    <t>Scharnierplaat,B=60,Epco,RAL9016</t>
  </si>
  <si>
    <t>421RZ10R</t>
  </si>
  <si>
    <t>Zijscharnier 10mm verhoogd bov.blad Epco panelen b</t>
  </si>
  <si>
    <t>421RZ60</t>
  </si>
  <si>
    <t>Zijscharnier bok,Epco 60mm,W=60</t>
  </si>
  <si>
    <t>421RZN10R</t>
  </si>
  <si>
    <t>Scharnier, zij, 40mm EPCO, W=60mm, verzinkt</t>
  </si>
  <si>
    <t>421RZN60</t>
  </si>
  <si>
    <t>Scharnier, zij, 60mm EPCO, W=60mm, verzinkt</t>
  </si>
  <si>
    <t>421RZNW10R</t>
  </si>
  <si>
    <t>Scharnier, zij, 40mm EPCO, W=60mm, wit, pcs(1)</t>
  </si>
  <si>
    <t>421RZNW60</t>
  </si>
  <si>
    <t>Side hinge, tube, Epco panel 60mm, w = 60mm White</t>
  </si>
  <si>
    <t>421RZW10R</t>
  </si>
  <si>
    <t>Scharnbok RAL9016,bov.blad+10,EPCO B=60mm</t>
  </si>
  <si>
    <t>421RZW60</t>
  </si>
  <si>
    <t>422</t>
  </si>
  <si>
    <t>422CMCAP</t>
  </si>
  <si>
    <t>Kap, voor 422 bodemconsole</t>
  </si>
  <si>
    <t>422CML</t>
  </si>
  <si>
    <t>Bodemconsole,G60-TOF,W=60,links</t>
  </si>
  <si>
    <t>422CMR</t>
  </si>
  <si>
    <t>Bodemconsole,G60-TOF,W=60,rechts</t>
  </si>
  <si>
    <t>422CXZ</t>
  </si>
  <si>
    <t>Zijscharnier, verstelbaar, 60mm, uni</t>
  </si>
  <si>
    <t>422CXZN</t>
  </si>
  <si>
    <t>Scharnier, zij, set, 40mm EPCO/KSp/Th, W=60mm, verzinkt</t>
  </si>
  <si>
    <t>422CZ10R</t>
  </si>
  <si>
    <t>Complete side hinge,10mm raised top blade, Epco, W</t>
  </si>
  <si>
    <t>422CZN10R</t>
  </si>
  <si>
    <t>Scharnier, zij, set, EPCO 40mm, W=70mm, verzinkt, set(1)</t>
  </si>
  <si>
    <t>422CZNW10R</t>
  </si>
  <si>
    <t>Scharnier, zij, set, EPCO 40mm, W=70mm, wit, set(1)</t>
  </si>
  <si>
    <t>422CZW10R</t>
  </si>
  <si>
    <t>422H304</t>
  </si>
  <si>
    <t>Middenscharnier, Epco, 70mm, RVS</t>
  </si>
  <si>
    <t>422HZ</t>
  </si>
  <si>
    <t>Middenscharnier 10mm verhoogd bov.blad,EPCO B=70mm</t>
  </si>
  <si>
    <t>422HZN10R</t>
  </si>
  <si>
    <t>Scharnier, midden, EPCO 40mm, W=70mm, verzinkt</t>
  </si>
  <si>
    <t>422HZNW10R</t>
  </si>
  <si>
    <t>Scharnier, midden, EPCO 40mm, W=70mm, wit, pcs(1)</t>
  </si>
  <si>
    <t>422HZW</t>
  </si>
  <si>
    <t>Middensch. wit,verh. bov.blad,EPCO B=70mm RAL 9016</t>
  </si>
  <si>
    <t>422LH</t>
  </si>
  <si>
    <t>Bodemkonsole LH resid. RBB75</t>
  </si>
  <si>
    <t>422R304</t>
  </si>
  <si>
    <t>Zijscharnier, Epco, bok, 70mm, RVS</t>
  </si>
  <si>
    <t>422RH</t>
  </si>
  <si>
    <t>Bodemkonsole (resid.) RBB 75</t>
  </si>
  <si>
    <t>422RZ10R</t>
  </si>
  <si>
    <t>Zijscharnier 10mm verhoogd bov.blad,EPCO bok,B=70m</t>
  </si>
  <si>
    <t>422RZN10R</t>
  </si>
  <si>
    <t>Scharnier, zij, EPCO 40mm, W=70mm, verzinkt</t>
  </si>
  <si>
    <t>422RZNW10R</t>
  </si>
  <si>
    <t>Scharnier, zij, EPCO 40mm, W=70mm, wit, pcs(1)</t>
  </si>
  <si>
    <t>422RZW10R</t>
  </si>
  <si>
    <t>Zijsch,verhoogd bov.blad,EPCO bok,B=70mm RAL 9016</t>
  </si>
  <si>
    <t>422S</t>
  </si>
  <si>
    <t>Bodemconsoles, RES, mini, niet verst. set (L+R)</t>
  </si>
  <si>
    <t>422SL</t>
  </si>
  <si>
    <t>Bodemconsole,light niet-verstelbaar,LH</t>
  </si>
  <si>
    <t>422SR</t>
  </si>
  <si>
    <t>Bodemconsole,light niet-verstelbaar,RH</t>
  </si>
  <si>
    <t>422W</t>
  </si>
  <si>
    <t>Bodemconsoles, niet verst. set (L+R) WIT</t>
  </si>
  <si>
    <t>422WLH</t>
  </si>
  <si>
    <t>Bodemkonsole LH wit, RAL9016</t>
  </si>
  <si>
    <t>422WRH</t>
  </si>
  <si>
    <t>Bodemkonsole RH wit, RAL9016</t>
  </si>
  <si>
    <t>423CZ10R</t>
  </si>
  <si>
    <t>Verz.zijscharn. +10 compl.GOHD</t>
  </si>
  <si>
    <t>423CZN10R</t>
  </si>
  <si>
    <t>Scharnier, zij, set, 40mm Kingspan, W=60mm, verzinkt, set(1)</t>
  </si>
  <si>
    <t>423CZNW10R</t>
  </si>
  <si>
    <t>Scharnier, zij, set, 40mm Kingspan, W=60mm, wit, set(1)</t>
  </si>
  <si>
    <t>423CZW10R</t>
  </si>
  <si>
    <t>Verz.zijscharn. +10 compl RAL 9016</t>
  </si>
  <si>
    <t>423DZ</t>
  </si>
  <si>
    <t>Rolschuifje, dubbel, tbv 424RSZ</t>
  </si>
  <si>
    <t>423FZ</t>
  </si>
  <si>
    <t>Zijsch.tandemloopr,60mm Kingsp</t>
  </si>
  <si>
    <t>423FZN10R</t>
  </si>
  <si>
    <t>Scharnier, zij, tandem, 40mm Kingspan, W=60mm, verzinkt</t>
  </si>
  <si>
    <t>423FZNW10R</t>
  </si>
  <si>
    <t>Scharnier, zij, tandem, 40mm Kingspan, W=60mm, wit, pcs(1)</t>
  </si>
  <si>
    <t>423FZW</t>
  </si>
  <si>
    <t>Zijsch.60mm Kingsp wit RAL9016</t>
  </si>
  <si>
    <t>423HZ</t>
  </si>
  <si>
    <t>Middenscharnier RES,smal 2mm</t>
  </si>
  <si>
    <t>423HZN10R</t>
  </si>
  <si>
    <t>Scharnier, midden, 40mm Kingspan, W=60mm, verzinkt</t>
  </si>
  <si>
    <t>423HZNW10R</t>
  </si>
  <si>
    <t>Scharnier, midden, 40mm Kingspan, W=60mm, wit, pcs(1)</t>
  </si>
  <si>
    <t>423HZW</t>
  </si>
  <si>
    <t>Middensch.RES,smal 2mm RAL9016</t>
  </si>
  <si>
    <t>423RZ10R</t>
  </si>
  <si>
    <t>Zijscharnier +10 RES, smal 2mm</t>
  </si>
  <si>
    <t>423RZN10R</t>
  </si>
  <si>
    <t>Scharnier, zij, 40mm Kingspan, W=60mm, verzinkt</t>
  </si>
  <si>
    <t>423RZNW10R</t>
  </si>
  <si>
    <t>Scharnier, zij, 40mm Kingspan, W=60mm, wit, pcs(1)</t>
  </si>
  <si>
    <t>423RZW10R</t>
  </si>
  <si>
    <t>Zijsch+10 RES,smal 2mm RAL9016</t>
  </si>
  <si>
    <t>423SZ</t>
  </si>
  <si>
    <t>Looprolhouder 60mm</t>
  </si>
  <si>
    <t>423SZB</t>
  </si>
  <si>
    <t>Schuifje,enkel,voor B=60mm,low noise</t>
  </si>
  <si>
    <t>423SZW</t>
  </si>
  <si>
    <t>Looprolhouder 60mm RAL 9016</t>
  </si>
  <si>
    <t>424CZN10R</t>
  </si>
  <si>
    <t>Zijscharnier, verstelbaar, 10mm verhoogd bovenbla</t>
  </si>
  <si>
    <t>424CZNW10R</t>
  </si>
  <si>
    <t>Zijscharnier, verstelbaar, 10mm verhoogd bovenblad, Metecno</t>
  </si>
  <si>
    <t>424FZN10R</t>
  </si>
  <si>
    <t>424FZNW10R</t>
  </si>
  <si>
    <t>Side hinge, 60mm, Bremet etc RAL9016</t>
  </si>
  <si>
    <t>424FZW</t>
  </si>
  <si>
    <t>Zijsch.60mmBremet wit RAL 9016</t>
  </si>
  <si>
    <t>424HZN10R</t>
  </si>
  <si>
    <t>Middenscharnier, 10mm verhoogd bovenblad, Metecno</t>
  </si>
  <si>
    <t>424HZNW10R</t>
  </si>
  <si>
    <t>424RZN10R</t>
  </si>
  <si>
    <t>Zijscharnier+10RES 2mm vervanger van 424rz10r</t>
  </si>
  <si>
    <t>424RZNW10R</t>
  </si>
  <si>
    <t>Zijscharnier, 10mm verhoogd bovenblad, Metecno /</t>
  </si>
  <si>
    <t>424SFZ</t>
  </si>
  <si>
    <t>Zijscharnier, G60, b=60mm, voor tandemlooprol</t>
  </si>
  <si>
    <t>425CZ</t>
  </si>
  <si>
    <t>Zijscharn.compl,+10,Thyssen,60mm</t>
  </si>
  <si>
    <t>425HDL</t>
  </si>
  <si>
    <t>Bodemkonsole HD uitv. LH verst</t>
  </si>
  <si>
    <t>425RZ</t>
  </si>
  <si>
    <t>Zijscharnier,10mm verhoogd bovenblad,Thyssen,w=60mm</t>
  </si>
  <si>
    <t>426CZ10R</t>
  </si>
  <si>
    <t>Verz.zijscharn+10 INDcompl.2mm</t>
  </si>
  <si>
    <t>426CZN10R</t>
  </si>
  <si>
    <t>Scharnier, zij, set, 40mm Kingspan, W=70mm, verzinkt, set(1)</t>
  </si>
  <si>
    <t>426CZNW10R</t>
  </si>
  <si>
    <t>Scharnier, zij, set 40mm Kingspan, W=70mm, wit, set(1)</t>
  </si>
  <si>
    <t>426CZW10R</t>
  </si>
  <si>
    <t>Verz.zijscharn+10 INDcompl.WIT RAL 9016</t>
  </si>
  <si>
    <t>426FZ</t>
  </si>
  <si>
    <t>Zijsch.tandemloopr,70mm Kingsp</t>
  </si>
  <si>
    <t>426FZN10R</t>
  </si>
  <si>
    <t>Scharnier, zij, tandem, 40mm Kingspan, W=70mm, verzinkt</t>
  </si>
  <si>
    <t>426FZNW10R</t>
  </si>
  <si>
    <t>Scharnier, zij, tandem, 40mm Kingspan, W=70mm, wit, pcs(1)</t>
  </si>
  <si>
    <t>426FZW</t>
  </si>
  <si>
    <t>Zijsch.70mm Kingsp wit RAL9016</t>
  </si>
  <si>
    <t>426HZ</t>
  </si>
  <si>
    <t>Verz.middenscharnier IND 2mm</t>
  </si>
  <si>
    <t>426HZ-304</t>
  </si>
  <si>
    <t>Middenscharn.IND 2mm RVS</t>
  </si>
  <si>
    <t>426HZN10R</t>
  </si>
  <si>
    <t>Scharnier, midden, 40mm Kingspan, W=70mm, verzinkt</t>
  </si>
  <si>
    <t>426HZNW10R</t>
  </si>
  <si>
    <t>Scharnier, midden, 40mm Kingspan, W=70mm, wit, pcs(1)</t>
  </si>
  <si>
    <t>426HZW</t>
  </si>
  <si>
    <t>Verz.middenscharn IND RAL9016</t>
  </si>
  <si>
    <t>426RZ10R</t>
  </si>
  <si>
    <t>Verz.zijscharn+10 IND 2mm</t>
  </si>
  <si>
    <t>426RZ-304-10R</t>
  </si>
  <si>
    <t>Zijscharn+10 IND 2mm RVS BOK</t>
  </si>
  <si>
    <t>426RZN10R</t>
  </si>
  <si>
    <t>Scharnier, zij, 40mm Kingspan, W=70mm, verzinkt</t>
  </si>
  <si>
    <t>426RZNW10R</t>
  </si>
  <si>
    <t>Scharnier, zij, 40mm Kingspan, W=70mm, wit, pcs(1)</t>
  </si>
  <si>
    <t>426RZW10R</t>
  </si>
  <si>
    <t>Verz.zijscharn+10 IND RAL9016</t>
  </si>
  <si>
    <t>427S-304</t>
  </si>
  <si>
    <t>Bodemconsoles, verstelbaar, RVS, set (L+R)</t>
  </si>
  <si>
    <t>427SL-304</t>
  </si>
  <si>
    <t>304 2mm bodemplaat LH incompl.</t>
  </si>
  <si>
    <t>427SR-304</t>
  </si>
  <si>
    <t>304 2mm bodemplaat, RH incompl</t>
  </si>
  <si>
    <t>427SX</t>
  </si>
  <si>
    <t>Bodemconsoles, verstelbaar, set (L+R)</t>
  </si>
  <si>
    <t>427SXL</t>
  </si>
  <si>
    <t>Verbeterde bodemkonsole, LH</t>
  </si>
  <si>
    <t>427SXR</t>
  </si>
  <si>
    <t>Verbeterde bodemconsole, RH</t>
  </si>
  <si>
    <t>428CH</t>
  </si>
  <si>
    <t>Bodemconsoles, verstelbaar, ALU, set (L+R)</t>
  </si>
  <si>
    <t>428TAI</t>
  </si>
  <si>
    <t>428TAI-S</t>
  </si>
  <si>
    <t>Bodemconsoles, verstelb. open oog, ALU, set (L+R)</t>
  </si>
  <si>
    <t>429</t>
  </si>
  <si>
    <t>Bodemconsoles, niet verstelbaar, set (L+R)</t>
  </si>
  <si>
    <t>429LH</t>
  </si>
  <si>
    <t>Bodemkonsole LH, met pen</t>
  </si>
  <si>
    <t>429RH</t>
  </si>
  <si>
    <t>Bodemkonsole RH, met pen</t>
  </si>
  <si>
    <t>429S</t>
  </si>
  <si>
    <t>Bodemcons. niet verstelb. met schuif, set (L+R)</t>
  </si>
  <si>
    <t>429SL</t>
  </si>
  <si>
    <t>Bodemkonsole LH, inkompleet</t>
  </si>
  <si>
    <t>429SN-304</t>
  </si>
  <si>
    <t>Bottom bracket, non adjustable, stainless steel</t>
  </si>
  <si>
    <t>429SR</t>
  </si>
  <si>
    <t>Bodemkonsole RH, inkompleet</t>
  </si>
  <si>
    <t>42EG483MW</t>
  </si>
  <si>
    <t>Eindkap,Secura,483,RAL9016</t>
  </si>
  <si>
    <t>42EG514MW</t>
  </si>
  <si>
    <t>Eindkap,Secura,514,RAL9016</t>
  </si>
  <si>
    <t>42EG545MW</t>
  </si>
  <si>
    <t>Eindkap,Secura,545,RAL9016</t>
  </si>
  <si>
    <t>42EU500</t>
  </si>
  <si>
    <t>Eindstijl voor 500mm paneel, verzinkt, met gaten,</t>
  </si>
  <si>
    <t>42EU610</t>
  </si>
  <si>
    <t>Eindstijl voor 610mm paneel, verzinkt, met gaten,</t>
  </si>
  <si>
    <t>42PMI500L</t>
  </si>
  <si>
    <t>Eindst.pan500-42mm 1mm, links</t>
  </si>
  <si>
    <t>42PMI500R</t>
  </si>
  <si>
    <t>Eindst.pan500-42mm 1mm, rechts</t>
  </si>
  <si>
    <t>42PMI500WL</t>
  </si>
  <si>
    <t>Eindst.pan500-42mm 1mm,RAL 9016, links</t>
  </si>
  <si>
    <t>42PMI500WR</t>
  </si>
  <si>
    <t>Eindst.pan500-42mm 1mm,RAL 9016,rechts</t>
  </si>
  <si>
    <t>42PMI610L</t>
  </si>
  <si>
    <t>Eindst.pan610-42mm 1mm, links</t>
  </si>
  <si>
    <t>42PMI610R</t>
  </si>
  <si>
    <t>Eindst.pan610-42mm 1mm, rechts</t>
  </si>
  <si>
    <t>42PMI610WL</t>
  </si>
  <si>
    <t>Eindst.pan610-42mm 1mm,RAL 9016,links</t>
  </si>
  <si>
    <t>42PMI610WR</t>
  </si>
  <si>
    <t>Eindst.pan610-42mm 1mm,RAL 9016,rechts</t>
  </si>
  <si>
    <t>431</t>
  </si>
  <si>
    <t>Bodemconsole</t>
  </si>
  <si>
    <t>431S</t>
  </si>
  <si>
    <t>431SW</t>
  </si>
  <si>
    <t>Bodemconsoles, RES, niet verst. set (L+R) WIT</t>
  </si>
  <si>
    <t>437</t>
  </si>
  <si>
    <t>Bodemkonsole LHR, buitenom, set (L+R)</t>
  </si>
  <si>
    <t>437L</t>
  </si>
  <si>
    <t>Bodemkonsole LHR,LH inkompleet</t>
  </si>
  <si>
    <t>437-OUD</t>
  </si>
  <si>
    <t>437R</t>
  </si>
  <si>
    <t>Bodemkonsole LHR,RH inkompleet</t>
  </si>
  <si>
    <t>440</t>
  </si>
  <si>
    <t>Kabelbr. Beveilig. 2" niet verst. 750kg, set (L+R)</t>
  </si>
  <si>
    <t>440-3</t>
  </si>
  <si>
    <t>Kabelbr. Beveilig. 3" niet verst. 750kg, set (L+R)</t>
  </si>
  <si>
    <t>440-3LH</t>
  </si>
  <si>
    <t>Kabelbreukbev. 3" rail LH</t>
  </si>
  <si>
    <t>440-3RH</t>
  </si>
  <si>
    <t>Kabelbreukbev. 3" rail RH</t>
  </si>
  <si>
    <t>440-600</t>
  </si>
  <si>
    <t>440-600LH</t>
  </si>
  <si>
    <t>Kabelbreukbev. +hoekprofiel LH</t>
  </si>
  <si>
    <t>440-600RH</t>
  </si>
  <si>
    <t>Kabelbreukbev. +hoekprofiel RH</t>
  </si>
  <si>
    <t>440BR</t>
  </si>
  <si>
    <t>beugel tbv 440SW</t>
  </si>
  <si>
    <t>440CAPL</t>
  </si>
  <si>
    <t>Kap voor 440, LH (nieuw)</t>
  </si>
  <si>
    <t>440CAPR</t>
  </si>
  <si>
    <t>Kap voor 440, RH (nieuw)</t>
  </si>
  <si>
    <t>440ETI-LH</t>
  </si>
  <si>
    <t>etiket 440-3" LH</t>
  </si>
  <si>
    <t>440ETI-RH</t>
  </si>
  <si>
    <t>etiket 440-3" RH</t>
  </si>
  <si>
    <t>440HD</t>
  </si>
  <si>
    <t>Kabelbr. Beveilig. 2" niet verst. 960kg, set (L+R)</t>
  </si>
  <si>
    <t>440HDL</t>
  </si>
  <si>
    <t>Kabelbreukbev. 600 kg LH</t>
  </si>
  <si>
    <t>440HDR</t>
  </si>
  <si>
    <t>Kabelbreukbev. 600 kg RH</t>
  </si>
  <si>
    <t>440L</t>
  </si>
  <si>
    <t>KBB,niet-verstelbaar,11mm as,2" 750kg LH</t>
  </si>
  <si>
    <t>440LHR</t>
  </si>
  <si>
    <t>Kabelbr. Beveilig. 2" LHR 750kg, set (L+R)</t>
  </si>
  <si>
    <t>440LHR-LH</t>
  </si>
  <si>
    <t>Kabelbreukbev.+hoekprof.LHR LH</t>
  </si>
  <si>
    <t>440LHR-RH</t>
  </si>
  <si>
    <t>Kabelbreukbev.+hoekprof LHR RH</t>
  </si>
  <si>
    <t>440LOCK</t>
  </si>
  <si>
    <t>Slotbeugel tbv 440L/R kabelbreukbeveiliging</t>
  </si>
  <si>
    <t>440R</t>
  </si>
  <si>
    <t>KBB,niet-verstelbaar,11mm as,2" 750kg RH</t>
  </si>
  <si>
    <t>440REGL</t>
  </si>
  <si>
    <t>Kabelbr. Beveilig. 2" verst. 750kg, set (L+R)</t>
  </si>
  <si>
    <t>440REGL-1040</t>
  </si>
  <si>
    <t>Kabelbr. Beveilig. 2" verst. incl 750kg, set (L+R)</t>
  </si>
  <si>
    <t>440REGL40-LH</t>
  </si>
  <si>
    <t>Verstelb.kabelbreukbev. LH (sp13-034)</t>
  </si>
  <si>
    <t>440REGL40-RH</t>
  </si>
  <si>
    <t>Verstelb.kabelbreukbev. RH (sp13-034)</t>
  </si>
  <si>
    <t>440REGL-LH</t>
  </si>
  <si>
    <t>Verstelb.kabelbreukbev. LH</t>
  </si>
  <si>
    <t>440REGL-RH</t>
  </si>
  <si>
    <t>Verstelb.kabelbreukbev. RH</t>
  </si>
  <si>
    <t>440S</t>
  </si>
  <si>
    <t>440SL</t>
  </si>
  <si>
    <t>Verstelbare KBB. compact, 11mm, 2", 750KG, LH</t>
  </si>
  <si>
    <t>440SR</t>
  </si>
  <si>
    <t>Verstelbare KBB. compact, 11mm, 2", 750KG, RH</t>
  </si>
  <si>
    <t>440SWL</t>
  </si>
  <si>
    <t>KBB schakelaar+beugel LINKS</t>
  </si>
  <si>
    <t>440SWL-65</t>
  </si>
  <si>
    <t>KBB schakelaar+beugel LINKS kabel 6,5 m</t>
  </si>
  <si>
    <t>440SWN</t>
  </si>
  <si>
    <t>Beugel met schakelaar</t>
  </si>
  <si>
    <t>440SWN-01</t>
  </si>
  <si>
    <t>Schakelaarbeugel</t>
  </si>
  <si>
    <t>440SWR</t>
  </si>
  <si>
    <t>KBB schakelaar+beugel RECHTS</t>
  </si>
  <si>
    <t>441HBR-INK</t>
  </si>
  <si>
    <t>Buitenom beugel 8mm tbv kabelb niet CE</t>
  </si>
  <si>
    <t>441MBR</t>
  </si>
  <si>
    <t>Buitenombeugel 6mm tbv 2"KBB; niet CE, set van 2</t>
  </si>
  <si>
    <t>441MBR-INK</t>
  </si>
  <si>
    <t>Buitenombeugel 6mm tbv kabelbr niet CE !!!</t>
  </si>
  <si>
    <t>444</t>
  </si>
  <si>
    <t>Kabelbr. Beveilig. 2" verst. 400kg, set (L+R)</t>
  </si>
  <si>
    <t>444CAPL</t>
  </si>
  <si>
    <t>CAP OF KBD 444 LH</t>
  </si>
  <si>
    <t>444CAPR</t>
  </si>
  <si>
    <t>CAP OF KBD 444 RH</t>
  </si>
  <si>
    <t>444SW</t>
  </si>
  <si>
    <t>Kabelbr. Beveilig. 444 incl. schakelaar, set (L+R)</t>
  </si>
  <si>
    <t>445SW</t>
  </si>
  <si>
    <t>Schakelaar tbv 444</t>
  </si>
  <si>
    <t>445SW-8</t>
  </si>
  <si>
    <t>micro switch</t>
  </si>
  <si>
    <t>446Z</t>
  </si>
  <si>
    <t>Verzinkte rolschuif 12mm zetti</t>
  </si>
  <si>
    <t>447-304</t>
  </si>
  <si>
    <t>Looprolhouder, Enkel, RVS</t>
  </si>
  <si>
    <t>447DD</t>
  </si>
  <si>
    <t>Dubbele brede rolschuif tbv BS</t>
  </si>
  <si>
    <t>447DOUB</t>
  </si>
  <si>
    <t>Brede rolschuif 147mm, gelast.</t>
  </si>
  <si>
    <t>447RL</t>
  </si>
  <si>
    <t>Slide RESL 11mm</t>
  </si>
  <si>
    <t>447RLW</t>
  </si>
  <si>
    <t>Slide RESL 11mm, Wit RAL9016</t>
  </si>
  <si>
    <t>447S</t>
  </si>
  <si>
    <t>Rolschuif 11 mm gelast verz</t>
  </si>
  <si>
    <t>447S-304</t>
  </si>
  <si>
    <t>Rolschuif 11 mm gelast 304</t>
  </si>
  <si>
    <t>447STR</t>
  </si>
  <si>
    <t>Strip, bouten voor scharnier, dubbel</t>
  </si>
  <si>
    <t>447Z</t>
  </si>
  <si>
    <t>Rolschuif 11 mm (zetting) verz</t>
  </si>
  <si>
    <t>450BZN</t>
  </si>
  <si>
    <t>Toprolhouder, verstelbaar vervanger van 450bz</t>
  </si>
  <si>
    <t>450C304</t>
  </si>
  <si>
    <t>Zijscharn. hoh 45 mm compl RVS</t>
  </si>
  <si>
    <t>450CN304</t>
  </si>
  <si>
    <t>Side Hinge, stainless steel, complete, adjustable</t>
  </si>
  <si>
    <t>450CZN</t>
  </si>
  <si>
    <t>Zijscharnier, verstelbaar, compleet, 11mm looprol</t>
  </si>
  <si>
    <t>450CZN10</t>
  </si>
  <si>
    <t>450CZN10REV</t>
  </si>
  <si>
    <t>Zijscharnier, verstelbaar, 10mm verhoogd bovenblad</t>
  </si>
  <si>
    <t>450CZN50</t>
  </si>
  <si>
    <t>450CZNDOUB</t>
  </si>
  <si>
    <t>Verzinkt zijscharneer met brede rolschuif</t>
  </si>
  <si>
    <t>450CZNDS</t>
  </si>
  <si>
    <t>Industrial Double side hinge complete with mountin</t>
  </si>
  <si>
    <t>450CZNDS10</t>
  </si>
  <si>
    <t>Industrial Double side hinge raised top blade 10mm</t>
  </si>
  <si>
    <t>450CZNDS10REV</t>
  </si>
  <si>
    <t>450CZNDS50</t>
  </si>
  <si>
    <t>Industrial side hinge shortened top blade, complet</t>
  </si>
  <si>
    <t>450CZNS</t>
  </si>
  <si>
    <t>Industrial side hinge complete with mounting strip</t>
  </si>
  <si>
    <t>450CZNS10</t>
  </si>
  <si>
    <t>Industrial side hinge raised top blade 10mm, compl</t>
  </si>
  <si>
    <t>450CZNS10REV</t>
  </si>
  <si>
    <t>Industrial side hinge raised top blade 10mm, rever</t>
  </si>
  <si>
    <t>450CZNS50</t>
  </si>
  <si>
    <t>Industrial Double side hinge shortened top blade,</t>
  </si>
  <si>
    <t>450DSN</t>
  </si>
  <si>
    <t>Zijscharnier, niet-verstelbaar, wigloze rails, 11m</t>
  </si>
  <si>
    <t>450FZB</t>
  </si>
  <si>
    <t>Looprolhouder, kunststof lager, 70mm</t>
  </si>
  <si>
    <t>450HL</t>
  </si>
  <si>
    <t>Middenscharnier HL</t>
  </si>
  <si>
    <t>450HLS</t>
  </si>
  <si>
    <t>Middenscharnier RESloopdeur verz, 45mm</t>
  </si>
  <si>
    <t>450HLSI</t>
  </si>
  <si>
    <t>Middenscharnier, SafeStep industrieel</t>
  </si>
  <si>
    <t>450HN304</t>
  </si>
  <si>
    <t>Middenscharnier, RVS, Standaard</t>
  </si>
  <si>
    <t>450HSKE</t>
  </si>
  <si>
    <t>Middenscharnier,Safestep, Epco/Kingspan</t>
  </si>
  <si>
    <t>450HSKEW</t>
  </si>
  <si>
    <t>Middenscharnier, Safestep,Epco/Kingspan RAL9016</t>
  </si>
  <si>
    <t>450HZ2</t>
  </si>
  <si>
    <t>Middenscharnier verzinkt 2mm</t>
  </si>
  <si>
    <t>450HZ10</t>
  </si>
  <si>
    <t xml:space="preserve">Middenscharnier </t>
  </si>
  <si>
    <t>450HZN</t>
  </si>
  <si>
    <t>Middenscharnier, standaard, verzinkt vervanger van</t>
  </si>
  <si>
    <t>450HZN10</t>
  </si>
  <si>
    <t>Middenscharnier, 10mm verhoogd bovenblad vervanger</t>
  </si>
  <si>
    <t>450HZN50</t>
  </si>
  <si>
    <t>Middenscharnier, verkort bovenblad vervanger van 4</t>
  </si>
  <si>
    <t>450HZNW10</t>
  </si>
  <si>
    <t>Middenscharnier, wit, met 10mm verhoogd bovenblad,</t>
  </si>
  <si>
    <t>450RN304</t>
  </si>
  <si>
    <t>Zijscharnier, RVS, Standaard</t>
  </si>
  <si>
    <t>450RZN</t>
  </si>
  <si>
    <t>Zijscharnier, verstelbaar vervanger van 450rz</t>
  </si>
  <si>
    <t>450RZN10</t>
  </si>
  <si>
    <t>450RZN10REV</t>
  </si>
  <si>
    <t>450RZN50</t>
  </si>
  <si>
    <t>Zijscharnier, verkort bovenblad vervanger van 450r</t>
  </si>
  <si>
    <t>450RZNW10</t>
  </si>
  <si>
    <t>450RZREV</t>
  </si>
  <si>
    <t>zijscharnier 450HZ/RZ10REV bovenblad 450HZ icm ond</t>
  </si>
  <si>
    <t>450SP-SET1</t>
  </si>
  <si>
    <t>Special set of components based on 450RZN, Set(6)</t>
  </si>
  <si>
    <t>450STR</t>
  </si>
  <si>
    <t>Strip, bouten voor scharnier, enkel</t>
  </si>
  <si>
    <t>450STRN</t>
  </si>
  <si>
    <t>IDD-OR Mounting strip M6-Dogpoint</t>
  </si>
  <si>
    <t>450SZ</t>
  </si>
  <si>
    <t>Rolschuif 11mm voll.verzin</t>
  </si>
  <si>
    <t>450SZB</t>
  </si>
  <si>
    <t>Schuifje,enkel,voor B=70mm,low noise</t>
  </si>
  <si>
    <t>450SZW</t>
  </si>
  <si>
    <t>Looprolhouder 11mm wit RAL9016</t>
  </si>
  <si>
    <t>471B</t>
  </si>
  <si>
    <t>Lower Hinge-leaf</t>
  </si>
  <si>
    <t>471H2</t>
  </si>
  <si>
    <t>Side Hinge (spec. Lindab)</t>
  </si>
  <si>
    <t>471T</t>
  </si>
  <si>
    <t>Upper Hinge-leaf</t>
  </si>
  <si>
    <t>48SU1000</t>
  </si>
  <si>
    <t>Afhangprof. 48x23x1,5mm meters</t>
  </si>
  <si>
    <t>48SU2000</t>
  </si>
  <si>
    <t>Afhangprof 48x23x1,5mm, 2000mm</t>
  </si>
  <si>
    <t>48SU3000</t>
  </si>
  <si>
    <t>Afhangprof 48x23x1,5mm, 3000mm</t>
  </si>
  <si>
    <t>48SU4500</t>
  </si>
  <si>
    <t>Afhangprof 48x23x1,5mm, 4500mm</t>
  </si>
  <si>
    <t>48SU6000</t>
  </si>
  <si>
    <t>Afhangprof 48x23x1,5mm, 6000mm</t>
  </si>
  <si>
    <t>4H6000</t>
  </si>
  <si>
    <t>Hoeklijn 40x40x2,5 mm a 6,0 m1</t>
  </si>
  <si>
    <t>5015C2000</t>
  </si>
  <si>
    <t>Binnenkabel, bowden slot, bol,2000mm</t>
  </si>
  <si>
    <t>5015C3500</t>
  </si>
  <si>
    <t>Binnenkabel, bowden slot, bol,3500mm</t>
  </si>
  <si>
    <t>5015L3500</t>
  </si>
  <si>
    <t>Bowden kabel met lus</t>
  </si>
  <si>
    <t>503-15</t>
  </si>
  <si>
    <t>15 m1 staalkabel 3mm tbv F-680</t>
  </si>
  <si>
    <t>503F</t>
  </si>
  <si>
    <t>Verz.staalkabel 7x19; 3,0 mm (1000m)</t>
  </si>
  <si>
    <t>503F250</t>
  </si>
  <si>
    <t>Verz. staalkabel 3 mm 250m/rol</t>
  </si>
  <si>
    <t>503-PP</t>
  </si>
  <si>
    <t>Staalkabel 6x19 +PP(3mm)1000m</t>
  </si>
  <si>
    <t>503-PP-250</t>
  </si>
  <si>
    <t>Staalkabel 6x19 +PP(3mm)250m</t>
  </si>
  <si>
    <t>503RVS-250</t>
  </si>
  <si>
    <t>RVS staalkabel 7x19(3,0mm)250M</t>
  </si>
  <si>
    <t>504F</t>
  </si>
  <si>
    <t>Verzinkte staalkabel 4,0 mm.</t>
  </si>
  <si>
    <t>504F250</t>
  </si>
  <si>
    <t>Verz. staalkabel 4 mm 250m/rol</t>
  </si>
  <si>
    <t>504-PP</t>
  </si>
  <si>
    <t>Staalkabel 6x19 +PP(4mm)1000m</t>
  </si>
  <si>
    <t>504-PP-250</t>
  </si>
  <si>
    <t>Staalkabel 6x19 +PP(4mm)250m</t>
  </si>
  <si>
    <t>504RVS-250</t>
  </si>
  <si>
    <t>RVS staalkabel 7x19(4,0mm)250M</t>
  </si>
  <si>
    <t>505F</t>
  </si>
  <si>
    <t>Verzinkte staalkabel 5,0 mm. (1000m)</t>
  </si>
  <si>
    <t>505F250</t>
  </si>
  <si>
    <t>Verz. staalkabel 5 mm 250m/rol</t>
  </si>
  <si>
    <t>505-NONROTATING</t>
  </si>
  <si>
    <t>Nietgedraaide kabel 5mm (1000m)</t>
  </si>
  <si>
    <t>505-PP</t>
  </si>
  <si>
    <t>Staalkabel 6x19 +PP(5mm)1000m</t>
  </si>
  <si>
    <t>505-PP-250</t>
  </si>
  <si>
    <t>Staalkabel 6x19 +PP(5mm)250m</t>
  </si>
  <si>
    <t>505RVS-250</t>
  </si>
  <si>
    <t>RVS staalkabel 7x19(5mm) 250M</t>
  </si>
  <si>
    <t>5060L5220</t>
  </si>
  <si>
    <t>Bovenhoeklijn RESL 5220</t>
  </si>
  <si>
    <t>506F250</t>
  </si>
  <si>
    <t>Verz. staalkabel 6 mm 250m/rol</t>
  </si>
  <si>
    <t>506-PP</t>
  </si>
  <si>
    <t>Staalkabel 6x19 +PP(6mm)1000m</t>
  </si>
  <si>
    <t>506-PP-250</t>
  </si>
  <si>
    <t>Staalkabel 6x19 +PP(6mm)250m</t>
  </si>
  <si>
    <t>506RVS-250</t>
  </si>
  <si>
    <t>RVS staalkabel 7x19(6mm) 250M</t>
  </si>
  <si>
    <t>508</t>
  </si>
  <si>
    <t>Ovale kabelklem 6 mm</t>
  </si>
  <si>
    <t>509</t>
  </si>
  <si>
    <t>Ovale kabelklem 5 mm</t>
  </si>
  <si>
    <t>50B30-3000</t>
  </si>
  <si>
    <t>Gep.hoekl 50x50x3 3m SLEUF</t>
  </si>
  <si>
    <t>50B30-3000-S</t>
  </si>
  <si>
    <t>50SU1500</t>
  </si>
  <si>
    <t>Afhangprof 50x25x1,5mm, 1500mm</t>
  </si>
  <si>
    <t>50SU2750</t>
  </si>
  <si>
    <t>afhang / verb.profiel 2750 mm</t>
  </si>
  <si>
    <t>50SU3000</t>
  </si>
  <si>
    <t>Afhangprof 50x25x1,5mm, 3000mm</t>
  </si>
  <si>
    <t>50SU4500</t>
  </si>
  <si>
    <t>Afhangprof 50x25x1,5mm, 4500mm</t>
  </si>
  <si>
    <t>50SU6000</t>
  </si>
  <si>
    <t>Afhangprof 50x25x1,5mm, 6000mm</t>
  </si>
  <si>
    <t>510</t>
  </si>
  <si>
    <t>Ovale kabelklem 4 mm</t>
  </si>
  <si>
    <t>511</t>
  </si>
  <si>
    <t>Ovale kabelklem 3 mm</t>
  </si>
  <si>
    <t>511SC</t>
  </si>
  <si>
    <t>Kabeltang nastelbaar</t>
  </si>
  <si>
    <t>513</t>
  </si>
  <si>
    <t>Ronde kabelklem 6 mm</t>
  </si>
  <si>
    <t>513BFN</t>
  </si>
  <si>
    <t>Kabeltang, tafelmodel</t>
  </si>
  <si>
    <t>514</t>
  </si>
  <si>
    <t>Ronde kabelklem 5 mm</t>
  </si>
  <si>
    <t>515</t>
  </si>
  <si>
    <t>Ronde kabelklem 4 mm</t>
  </si>
  <si>
    <t>516</t>
  </si>
  <si>
    <t>Ronde kabelklem 3 mm</t>
  </si>
  <si>
    <t>518</t>
  </si>
  <si>
    <t>Puntkous 6 mm</t>
  </si>
  <si>
    <t>519</t>
  </si>
  <si>
    <t>Puntkous 4-5 mm</t>
  </si>
  <si>
    <t>Puntkous 5 mm</t>
  </si>
  <si>
    <t>521</t>
  </si>
  <si>
    <t>Puntkous 3 mm</t>
  </si>
  <si>
    <t>530H</t>
  </si>
  <si>
    <t>Hit kabelschaar (HWC-6)</t>
  </si>
  <si>
    <t>531</t>
  </si>
  <si>
    <t>Felco C-9 kabelschaar</t>
  </si>
  <si>
    <t>532AC</t>
  </si>
  <si>
    <t>Hoeklijnknipper 30B/40B/50B</t>
  </si>
  <si>
    <t>551-HOEK</t>
  </si>
  <si>
    <t>Geass. 3" pulley met hoekje</t>
  </si>
  <si>
    <t>551N</t>
  </si>
  <si>
    <t>verzinkte kabel schijf, D = 64mm, d = 10mm, max 3m</t>
  </si>
  <si>
    <t>551-ZADEL</t>
  </si>
  <si>
    <t>Geass.3" pulley met afsl.pl.</t>
  </si>
  <si>
    <t>553EYE</t>
  </si>
  <si>
    <t>Nylon kabelschijf met oog</t>
  </si>
  <si>
    <t>553HING</t>
  </si>
  <si>
    <t>Nylon kabelschijf, scharniered</t>
  </si>
  <si>
    <t>553PARO</t>
  </si>
  <si>
    <t>Geass. nylon pulley met paropl</t>
  </si>
  <si>
    <t>554-100</t>
  </si>
  <si>
    <t>Verzinkte kabelschijf 100mm</t>
  </si>
  <si>
    <t>554-140</t>
  </si>
  <si>
    <t>Verzinkte kabelschijf 140mm</t>
  </si>
  <si>
    <t>554-80</t>
  </si>
  <si>
    <t>Verzinkte kabelschijf 80mm</t>
  </si>
  <si>
    <t>557</t>
  </si>
  <si>
    <t>Nylon kabelschijf incl 557BUS</t>
  </si>
  <si>
    <t>557BUS</t>
  </si>
  <si>
    <t>Borst busje voor nylon pully</t>
  </si>
  <si>
    <t>557BUS8</t>
  </si>
  <si>
    <t>Distance ring</t>
  </si>
  <si>
    <t>557Z</t>
  </si>
  <si>
    <t>Nylon kabelsch. 100mm excl.BUS</t>
  </si>
  <si>
    <t>560F</t>
  </si>
  <si>
    <t>FTR plaat tbv BS</t>
  </si>
  <si>
    <t>562-70LH</t>
  </si>
  <si>
    <t>Zijplaat RES70 LH</t>
  </si>
  <si>
    <t>562-70RH</t>
  </si>
  <si>
    <t>Zijplaat RES70 RH</t>
  </si>
  <si>
    <t>563-103LH</t>
  </si>
  <si>
    <t>Zijplaten voor rail GOHD 103mm</t>
  </si>
  <si>
    <t>563-103RH</t>
  </si>
  <si>
    <t>563CL</t>
  </si>
  <si>
    <t>muurconsole superclick, LH</t>
  </si>
  <si>
    <t>563CR</t>
  </si>
  <si>
    <t>muurconsole superclick, RH</t>
  </si>
  <si>
    <t>563SCL</t>
  </si>
  <si>
    <t>Muurconsole, veren voor, RSC, 57mm, links</t>
  </si>
  <si>
    <t>563SCR</t>
  </si>
  <si>
    <t>Muurconsole, veren voor, RSC, 57mm, rechts</t>
  </si>
  <si>
    <t>563SL</t>
  </si>
  <si>
    <t>Muurconsole, veren voor, RSC, links</t>
  </si>
  <si>
    <t>563SR</t>
  </si>
  <si>
    <t>Muurconsole, veren voor, RSC, rechts</t>
  </si>
  <si>
    <t>563SXL</t>
  </si>
  <si>
    <t>Muurconsole, veren voor, RSCX, links</t>
  </si>
  <si>
    <t>563SXR</t>
  </si>
  <si>
    <t>Muurconsole, veren voor, RSCX, rechts</t>
  </si>
  <si>
    <t>566-3</t>
  </si>
  <si>
    <t>Zijplaten, LHR gerilde model, set (L+R)</t>
  </si>
  <si>
    <t>566-3ASS</t>
  </si>
  <si>
    <t>Zijplaten, LHR + 554-100 schijf, set (L+R)</t>
  </si>
  <si>
    <t>566-3ASS-LH</t>
  </si>
  <si>
    <t>Zijplaat + 554-100 LH</t>
  </si>
  <si>
    <t>566-3ASS-RH</t>
  </si>
  <si>
    <t>Zijplaat + 554-100 RH</t>
  </si>
  <si>
    <t>566-3LH</t>
  </si>
  <si>
    <t>Zijplaat gerild model LH</t>
  </si>
  <si>
    <t>566-3RAIL</t>
  </si>
  <si>
    <t>Zijplaten, 566-3ASS met rails, set (L+R)</t>
  </si>
  <si>
    <t>566-3RH</t>
  </si>
  <si>
    <t>Zijplaat gerild model RH</t>
  </si>
  <si>
    <t>566-554-2G15</t>
  </si>
  <si>
    <t>Zijplaten, met rails 2G1500-380, set (L+R)</t>
  </si>
  <si>
    <t>566ASS-LH</t>
  </si>
  <si>
    <t>Zijplaat + pulley assemb. LH</t>
  </si>
  <si>
    <t>566ASS-RH</t>
  </si>
  <si>
    <t>Zijplaat + pulley assemb. RH</t>
  </si>
  <si>
    <t>567-554-2GD</t>
  </si>
  <si>
    <t>Zijplaten, geass. LHR-CE, set (L+R)</t>
  </si>
  <si>
    <t>567-554-2GD-05</t>
  </si>
  <si>
    <t>Zijplaten, geass.FLH-CE, -05, set (L+R)</t>
  </si>
  <si>
    <t>567-554-2GD-10</t>
  </si>
  <si>
    <t>Zijplaten, geass.FLH-CE, -10, set (L+R)</t>
  </si>
  <si>
    <t>567-554-2GD-15</t>
  </si>
  <si>
    <t>Zijplaten, geass.FLH-CE, -15, set (L+R)</t>
  </si>
  <si>
    <t>567-554-2GD-20</t>
  </si>
  <si>
    <t>Zijplaten, geass.FLH-CE, -20, set (L+R)</t>
  </si>
  <si>
    <t>567-554-2GD-28</t>
  </si>
  <si>
    <t>Zijplaten, geass.FLH-CE, -28, set (L+R)</t>
  </si>
  <si>
    <t>567-554-2GDL</t>
  </si>
  <si>
    <t>Mounting plate, curve plate LHR LH</t>
  </si>
  <si>
    <t>567-554-2GDL-05</t>
  </si>
  <si>
    <t>Preass. Curve set galv CE-FLH 5°</t>
  </si>
  <si>
    <t>567-554-2GDL-10</t>
  </si>
  <si>
    <t>Preass. Curve set galv CE-FLH 10°</t>
  </si>
  <si>
    <t>567-554-2GDL-15</t>
  </si>
  <si>
    <t>Preass. Curve set galv CE-FLH 15°</t>
  </si>
  <si>
    <t>567-554-2GDL-25</t>
  </si>
  <si>
    <t>Preass. Curve set galv CE-FLH 25°</t>
  </si>
  <si>
    <t>567-554-2GDL-30</t>
  </si>
  <si>
    <t>Preass. Curve set galv CE-FLH 30°</t>
  </si>
  <si>
    <t>567BL-LD</t>
  </si>
  <si>
    <t>Keerschijfbeugel LHR onder, LH</t>
  </si>
  <si>
    <t>567BR-LD</t>
  </si>
  <si>
    <t>Keerschijfbeugel LHR onder, RH</t>
  </si>
  <si>
    <t>567PL</t>
  </si>
  <si>
    <t>Zijpl.LHR (tbv bevestiging) LH</t>
  </si>
  <si>
    <t>567PR</t>
  </si>
  <si>
    <t>Zijpl.LHR (ter bevestiging),RH</t>
  </si>
  <si>
    <t>567TL-LD</t>
  </si>
  <si>
    <t>Keersch.beugel LHR-LH</t>
  </si>
  <si>
    <t>567TR-LD</t>
  </si>
  <si>
    <t>Keersch.beugel LHR-RH</t>
  </si>
  <si>
    <t>568-100CL</t>
  </si>
  <si>
    <t>Low turntable bracket</t>
  </si>
  <si>
    <t>568-100CR</t>
  </si>
  <si>
    <t>568-112</t>
  </si>
  <si>
    <t>Strip 25x112 voor LHR plaat</t>
  </si>
  <si>
    <t>568ML</t>
  </si>
  <si>
    <t>Montagebeugel voor veren achter 127mm</t>
  </si>
  <si>
    <t>568MR</t>
  </si>
  <si>
    <t>568SL</t>
  </si>
  <si>
    <t>Mounting bracket for back springs 87mm</t>
  </si>
  <si>
    <t>568SR</t>
  </si>
  <si>
    <t>569U220</t>
  </si>
  <si>
    <t>U-profiel met lip, LHR/5C rail</t>
  </si>
  <si>
    <t>570-60</t>
  </si>
  <si>
    <t>Kabelschijf A RES70</t>
  </si>
  <si>
    <t>570-80</t>
  </si>
  <si>
    <t>Kabelschijf RES70</t>
  </si>
  <si>
    <t>571N</t>
  </si>
  <si>
    <t>Stalen looprol 2" lang 11/193</t>
  </si>
  <si>
    <t>572</t>
  </si>
  <si>
    <t>Stalen looprol 2" 11/119 mm</t>
  </si>
  <si>
    <t>573-60</t>
  </si>
  <si>
    <t>Nylon looprol 2" exkl. as (60)</t>
  </si>
  <si>
    <t>574-100</t>
  </si>
  <si>
    <t>Nylon looprol 2" 100/11/119 mm</t>
  </si>
  <si>
    <t>574-60</t>
  </si>
  <si>
    <t>Nylon looprol 2" 60/11/119 mm</t>
  </si>
  <si>
    <t>574LD</t>
  </si>
  <si>
    <t>Nylon looprol 2" 10/119mm</t>
  </si>
  <si>
    <t>574RN</t>
  </si>
  <si>
    <t>Roller,nylon,2",as 11mm,L=114mm,anti corrosie</t>
  </si>
  <si>
    <t>574S</t>
  </si>
  <si>
    <t>Nylon looprol 2" as 11mm 45 kg</t>
  </si>
  <si>
    <t>574SSH</t>
  </si>
  <si>
    <t>RVS-nylon looprol 119mm rvs as</t>
  </si>
  <si>
    <t>575-100</t>
  </si>
  <si>
    <t>Nylon looprol 2" 100/11/193 mm</t>
  </si>
  <si>
    <t>575-304LHR</t>
  </si>
  <si>
    <t>RVS-nylon looprol,135mm RVS as</t>
  </si>
  <si>
    <t>575LHR</t>
  </si>
  <si>
    <t>Nylon looprol 2" LHR 11/135mm</t>
  </si>
  <si>
    <t>575SSH</t>
  </si>
  <si>
    <t>RVS-nylon looprol,193mm RVS as</t>
  </si>
  <si>
    <t>576</t>
  </si>
  <si>
    <t>Korte looprol RES70</t>
  </si>
  <si>
    <t>577</t>
  </si>
  <si>
    <t>Lange looprol RES70</t>
  </si>
  <si>
    <t>578-12-198</t>
  </si>
  <si>
    <t>Nylon 3" looprol 12 mm as x193</t>
  </si>
  <si>
    <t>579-11-198</t>
  </si>
  <si>
    <t>Nylon 3" looprol 11x 198 mm as</t>
  </si>
  <si>
    <t>579N</t>
  </si>
  <si>
    <t>Stalen looprol 3" 11/193 mm</t>
  </si>
  <si>
    <t>580G</t>
  </si>
  <si>
    <t>Looprol, SSD</t>
  </si>
  <si>
    <t>582CEN</t>
  </si>
  <si>
    <t>Rollercover zwart vervanger voor 581CEN</t>
  </si>
  <si>
    <t>584-60</t>
  </si>
  <si>
    <t>Nylon looprol 2" 60/12/119 mm</t>
  </si>
  <si>
    <t>585-60</t>
  </si>
  <si>
    <t>Nylon looprol 2" 60/12/193 mm</t>
  </si>
  <si>
    <t>587LDC</t>
  </si>
  <si>
    <t>Plate roller</t>
  </si>
  <si>
    <t>590T</t>
  </si>
  <si>
    <t>Versterkte kunststof looprol</t>
  </si>
  <si>
    <t>593</t>
  </si>
  <si>
    <t>Top Roller Holder LHR</t>
  </si>
  <si>
    <t>594</t>
  </si>
  <si>
    <t>Tandemroller 12/130</t>
  </si>
  <si>
    <t>594LDC-LH</t>
  </si>
  <si>
    <t>Roller Bracket LH</t>
  </si>
  <si>
    <t>594LDC-RH</t>
  </si>
  <si>
    <t>Roller Bracket RH</t>
  </si>
  <si>
    <t>595LD</t>
  </si>
  <si>
    <t>Tandem roller, aangepaste 595RSRC</t>
  </si>
  <si>
    <t>595LDL</t>
  </si>
  <si>
    <t>Tandemroller, Lindab, 2", dedicated shaft and roller height</t>
  </si>
  <si>
    <t>595RC</t>
  </si>
  <si>
    <t>Tandemroller vervangt 595RCC</t>
  </si>
  <si>
    <t>595RSF</t>
  </si>
  <si>
    <t>Tandem roller, RES, 2", 11mm, veren voor</t>
  </si>
  <si>
    <t>595RSF-140</t>
  </si>
  <si>
    <t>Tandem roller, as 140mm (spec)</t>
  </si>
  <si>
    <t>595RSR</t>
  </si>
  <si>
    <t>Tandem roller, veren achter</t>
  </si>
  <si>
    <t>595RSRC</t>
  </si>
  <si>
    <t>Looprol,tandem,nylon,2",incl 2x 582CEN "outlet" 0</t>
  </si>
  <si>
    <t>596-11</t>
  </si>
  <si>
    <t>Tandemroller 11 mm as.</t>
  </si>
  <si>
    <t>596-11HD</t>
  </si>
  <si>
    <t>Tandem roller, gelaste as</t>
  </si>
  <si>
    <t>5C3500</t>
  </si>
  <si>
    <t>C-profiel 53x18x12mm 3500mm</t>
  </si>
  <si>
    <t>5C3750</t>
  </si>
  <si>
    <t>C-profiel 53x18x12mm 3750mm</t>
  </si>
  <si>
    <t>5C4000</t>
  </si>
  <si>
    <t>C-profiel 53x18x12mm 4000mm</t>
  </si>
  <si>
    <t>5C4250</t>
  </si>
  <si>
    <t>C-profiel 53x18x12mm 4250mm</t>
  </si>
  <si>
    <t>5C4500</t>
  </si>
  <si>
    <t>C-profiel 53x18x12mm 4500mm</t>
  </si>
  <si>
    <t>5C4750</t>
  </si>
  <si>
    <t>C-profiel 53x18x12mm 4750mm</t>
  </si>
  <si>
    <t>5C5000</t>
  </si>
  <si>
    <t>C-profiel 53x18x12mm 5000mm</t>
  </si>
  <si>
    <t>5C5500</t>
  </si>
  <si>
    <t>C-profiel 53x18x12mm 5500mm</t>
  </si>
  <si>
    <t>5C6000</t>
  </si>
  <si>
    <t>C-profiel 53x18x12mm, 6000 mm</t>
  </si>
  <si>
    <t>5C6500</t>
  </si>
  <si>
    <t>C-profiel 53x18x12mm, 6500 mm</t>
  </si>
  <si>
    <t>5CH4893</t>
  </si>
  <si>
    <t>C-profiel voor 3",sleufgaten, 2mm, galv. L=4893, pcs(1)</t>
  </si>
  <si>
    <t>5CSS6000</t>
  </si>
  <si>
    <t>RVS 5C profiel 6,00 M1</t>
  </si>
  <si>
    <t>5H5000</t>
  </si>
  <si>
    <t>Hoeklijn 50x50x3 mm a 5,0 m1</t>
  </si>
  <si>
    <t>5H6000</t>
  </si>
  <si>
    <t>Hoeklijn 50x50x3 mm a 6,0 m1</t>
  </si>
  <si>
    <t>600LP</t>
  </si>
  <si>
    <t>Beugel, gat voor slotstang, verstelbaar</t>
  </si>
  <si>
    <t>606BOX</t>
  </si>
  <si>
    <t>Slot, garagedeur, snapsluiting</t>
  </si>
  <si>
    <t>606LATCH</t>
  </si>
  <si>
    <t>Auto Latch</t>
  </si>
  <si>
    <t>606STRIKE</t>
  </si>
  <si>
    <t>Auto Strike plate</t>
  </si>
  <si>
    <t>60K40-2750</t>
  </si>
  <si>
    <t>60x40x2 verz. kokerprofiel 2750mm</t>
  </si>
  <si>
    <t>60K403-3500</t>
  </si>
  <si>
    <t>Kokerprofiel 60x40x3, verzinkt, L=3500</t>
  </si>
  <si>
    <t>60K403-6000</t>
  </si>
  <si>
    <t>Kokerprofiel 60x40x3, verzinkt, L=6000</t>
  </si>
  <si>
    <t>60K403-7000</t>
  </si>
  <si>
    <t>Kokerprofiel 60x40x3, gegalvaniseerd, L=7000, pcs(1)</t>
  </si>
  <si>
    <t>60PS500L</t>
  </si>
  <si>
    <t>Eindkap,EPCO,60mm,H=500,W=67,enkel,links</t>
  </si>
  <si>
    <t>60PS500R</t>
  </si>
  <si>
    <t>Eindkap,EPCO,60mm,H=500,W=67,enkel,rechts</t>
  </si>
  <si>
    <t>60PS500WL</t>
  </si>
  <si>
    <t>Eindkap,EPCO,60mm,H=500,W=67,enkel,links RAL9016</t>
  </si>
  <si>
    <t>60PS500WR</t>
  </si>
  <si>
    <t>Eindkap,EPCO,60mm,H=500,W=67,enkel,rechts RAL9016</t>
  </si>
  <si>
    <t>60PS610L</t>
  </si>
  <si>
    <t>Eindkap,EPCO,60mm,H=610,W=67,enkel,links</t>
  </si>
  <si>
    <t>60PS610R</t>
  </si>
  <si>
    <t>Eindkap,EPCO,60mm,H=610,W=67,enkel,rechts</t>
  </si>
  <si>
    <t>60PS610WL</t>
  </si>
  <si>
    <t>Eindkap,EPCO,60mm,H=610,W=67,enkel,links RAL9016</t>
  </si>
  <si>
    <t>60PS610WR</t>
  </si>
  <si>
    <t>Eindkap,EPCO,60mm,H=610,W=67,enkel,rechts RAL9016</t>
  </si>
  <si>
    <t>61LPN</t>
  </si>
  <si>
    <t>Slotplaat</t>
  </si>
  <si>
    <t>62357</t>
  </si>
  <si>
    <t>microschakelaar tbv VBB 440SW, 0.5m kabel</t>
  </si>
  <si>
    <t>62357-6500</t>
  </si>
  <si>
    <t>microschakelaar tbv VBB 440SW, 6.5m kabel</t>
  </si>
  <si>
    <t>62358</t>
  </si>
  <si>
    <t>microschakelaar tbv 669SW</t>
  </si>
  <si>
    <t>628D</t>
  </si>
  <si>
    <t>Kantschuif en sluitplaat, DoubleDoor</t>
  </si>
  <si>
    <t>628D-01</t>
  </si>
  <si>
    <t>Sluitplaat, DoubleDoor</t>
  </si>
  <si>
    <t>628D-02</t>
  </si>
  <si>
    <t>Kantschuif, DoubleDoor</t>
  </si>
  <si>
    <t>629V</t>
  </si>
  <si>
    <t>Schuifgrendel, brede basis, verzinkt 97mm is de ve</t>
  </si>
  <si>
    <t>629VER-LD</t>
  </si>
  <si>
    <t>Schuifgrendel</t>
  </si>
  <si>
    <t>630D</t>
  </si>
  <si>
    <t>631-8</t>
  </si>
  <si>
    <t>Slot (8 1/4") lang</t>
  </si>
  <si>
    <t>632L</t>
  </si>
  <si>
    <t>Schuifgrendel met zwarte knop</t>
  </si>
  <si>
    <t>634</t>
  </si>
  <si>
    <t>Nylon handgreep</t>
  </si>
  <si>
    <t>635BL</t>
  </si>
  <si>
    <t>Industrial lock, black</t>
  </si>
  <si>
    <t>635BL80</t>
  </si>
  <si>
    <t>Cilinderslot,inbouw,zwart,80mm,excl.cilinder</t>
  </si>
  <si>
    <t>638-40BL</t>
  </si>
  <si>
    <t>Cilinderslot, opbouw, zwart, excl. cilinder</t>
  </si>
  <si>
    <t>639BL</t>
  </si>
  <si>
    <t>Handle Garona, black</t>
  </si>
  <si>
    <t>639BL-IN</t>
  </si>
  <si>
    <t>Binnengreep tbv 639BL</t>
  </si>
  <si>
    <t>63BL</t>
  </si>
  <si>
    <t>Lock front plate assembly</t>
  </si>
  <si>
    <t>63BL80</t>
  </si>
  <si>
    <t>Lock front plate assembly, panel 80mm</t>
  </si>
  <si>
    <t>63LM</t>
  </si>
  <si>
    <t>Lock mechanism assembly</t>
  </si>
  <si>
    <t>63OR</t>
  </si>
  <si>
    <t>Slot</t>
  </si>
  <si>
    <t>640T</t>
  </si>
  <si>
    <t>Stephandle + 4 lockscrews</t>
  </si>
  <si>
    <t>641-B</t>
  </si>
  <si>
    <t>Easy grip handgr/voetpl ZWART</t>
  </si>
  <si>
    <t>641B-IN</t>
  </si>
  <si>
    <t>Binnengreep 641-B ZWART</t>
  </si>
  <si>
    <t>641B-OUT</t>
  </si>
  <si>
    <t>Buitengreep 641-B ZWART</t>
  </si>
  <si>
    <t>641RUB</t>
  </si>
  <si>
    <t>Afdichtingsrubber tbv 641</t>
  </si>
  <si>
    <t>641SCR</t>
  </si>
  <si>
    <t>Schroef voor 641</t>
  </si>
  <si>
    <t>642BL</t>
  </si>
  <si>
    <t>handg/voetg 2dlg. incl.schroeven</t>
  </si>
  <si>
    <t>643BL</t>
  </si>
  <si>
    <t>Kunst.handgreep, zwart 40-42mm</t>
  </si>
  <si>
    <t>Handgr/voettr kunstst, zwart 38-42mm</t>
  </si>
  <si>
    <t>645-2450T</t>
  </si>
  <si>
    <t>buis slot 645-40,deur &gt;2,5</t>
  </si>
  <si>
    <t>645-40BL</t>
  </si>
  <si>
    <t>ESP Slot cpl. ZWART</t>
  </si>
  <si>
    <t>650-401</t>
  </si>
  <si>
    <t>Slot met snapper</t>
  </si>
  <si>
    <t>650-40AL</t>
  </si>
  <si>
    <t>Uni slotset alu. excl. cylinder C80-4228-2</t>
  </si>
  <si>
    <t>650-40AL-X</t>
  </si>
  <si>
    <t>Centraal slotset alu. excl. cyl. C80-4228-2</t>
  </si>
  <si>
    <t>650-40BL</t>
  </si>
  <si>
    <t>Uni slotset zwart, excl. cylinder C80-4228-2</t>
  </si>
  <si>
    <t>650-40BL-X</t>
  </si>
  <si>
    <t>Centraal slotset zwart, excl. cyl. C80-4228-2</t>
  </si>
  <si>
    <t>650-40RAL</t>
  </si>
  <si>
    <t>Inbouw uni slotset, alu. Excl. Cyl.</t>
  </si>
  <si>
    <t>650-40RAL-X</t>
  </si>
  <si>
    <t>Inbouw centraal uni slotset, alu. Excl. Cyl.</t>
  </si>
  <si>
    <t>650-40RBL</t>
  </si>
  <si>
    <t>Inbouw uni slotset, zwart Excl. Cyl.</t>
  </si>
  <si>
    <t>650-40RBL-X</t>
  </si>
  <si>
    <t>Inbouw centraal uni slotset, zwart Excl. Cyl.</t>
  </si>
  <si>
    <t>650-40X</t>
  </si>
  <si>
    <t>Basis slot 650 excl. stang,snapper</t>
  </si>
  <si>
    <t>650AL</t>
  </si>
  <si>
    <t>Plaat+knop 650-40, aluminium</t>
  </si>
  <si>
    <t>650BL</t>
  </si>
  <si>
    <t>Buitenplaat met knop, zwart tbv 650-40</t>
  </si>
  <si>
    <t>650CLM</t>
  </si>
  <si>
    <t>Cylinder lock only central lock comp.</t>
  </si>
  <si>
    <t>650DO</t>
  </si>
  <si>
    <t>ROD connection double</t>
  </si>
  <si>
    <t>650EL</t>
  </si>
  <si>
    <t>Lock RES-L LH</t>
  </si>
  <si>
    <t>650ER</t>
  </si>
  <si>
    <t>Lock RES-L RH</t>
  </si>
  <si>
    <t>650LSL</t>
  </si>
  <si>
    <t>Snapper voor SSD, links</t>
  </si>
  <si>
    <t>650LSR</t>
  </si>
  <si>
    <t>Snapper voor SSD, rechts</t>
  </si>
  <si>
    <t>650RAL</t>
  </si>
  <si>
    <t>Handgreep tbv slot 650,alumin</t>
  </si>
  <si>
    <t>650RBL</t>
  </si>
  <si>
    <t>Handgreep tbv slot 650, zwart</t>
  </si>
  <si>
    <t>650RK40AL</t>
  </si>
  <si>
    <t>Knop/T-greep alu, 650RAL slot</t>
  </si>
  <si>
    <t>650RK40BL</t>
  </si>
  <si>
    <t>Knop/T-greep zwart,650RBL slot</t>
  </si>
  <si>
    <t>650SCB</t>
  </si>
  <si>
    <t>Plate For Snapper</t>
  </si>
  <si>
    <t>650SCB-03</t>
  </si>
  <si>
    <t>Kabelspanner, slot SKG</t>
  </si>
  <si>
    <t>650SI</t>
  </si>
  <si>
    <t>ROD connection</t>
  </si>
  <si>
    <t>650SNCL</t>
  </si>
  <si>
    <t>Snapsluiting, RSC Links</t>
  </si>
  <si>
    <t>650SNCR</t>
  </si>
  <si>
    <t>Snapsluiting, RSC Rechts</t>
  </si>
  <si>
    <t>650SNL</t>
  </si>
  <si>
    <t>Compl.snapsluiting 650 slot,LH</t>
  </si>
  <si>
    <t>650SNR</t>
  </si>
  <si>
    <t>Compl.snapsluiting 650 slot,RH</t>
  </si>
  <si>
    <t>650SPB6</t>
  </si>
  <si>
    <t>Slotbout tbv slotplaat(M6x16)</t>
  </si>
  <si>
    <t>650TGR</t>
  </si>
  <si>
    <t>T-handle lock black 650-40</t>
  </si>
  <si>
    <t>651LH</t>
  </si>
  <si>
    <t>VBB GOHD 2" LH</t>
  </si>
  <si>
    <t>651RH</t>
  </si>
  <si>
    <t>VBB GOHD 2" RH</t>
  </si>
  <si>
    <t>656CTR</t>
  </si>
  <si>
    <t>VBB, Univ.51+67mm buisas RH</t>
  </si>
  <si>
    <t>656SCL</t>
  </si>
  <si>
    <t>Spring brake device left</t>
  </si>
  <si>
    <t>656SCR</t>
  </si>
  <si>
    <t>Spring brake device right</t>
  </si>
  <si>
    <t>656SCTL</t>
  </si>
  <si>
    <t>656SCTR</t>
  </si>
  <si>
    <t>656SL</t>
  </si>
  <si>
    <t>656SR</t>
  </si>
  <si>
    <t>656STL</t>
  </si>
  <si>
    <t>656STR</t>
  </si>
  <si>
    <t>65CAP</t>
  </si>
  <si>
    <t>Strut Cap 65S</t>
  </si>
  <si>
    <t>65S4020</t>
  </si>
  <si>
    <t>65x0,75mm reinforcing strut 4020mm</t>
  </si>
  <si>
    <t>65S4520</t>
  </si>
  <si>
    <t>65x0,75mm reinforcing strut 4520mm</t>
  </si>
  <si>
    <t>65S5020</t>
  </si>
  <si>
    <t>65x0,75mm reinforcing strut 5020mm</t>
  </si>
  <si>
    <t>65S5520</t>
  </si>
  <si>
    <t>65x0,75mm reinforcing strut 5520mm</t>
  </si>
  <si>
    <t>65S6020</t>
  </si>
  <si>
    <t>65x0,75mm reinforcing strut 6020mm</t>
  </si>
  <si>
    <t>65S6520</t>
  </si>
  <si>
    <t>65x0,75mm reinforcing strut 6520mm</t>
  </si>
  <si>
    <t>65S7020</t>
  </si>
  <si>
    <t>65x0,75mm reinforcing strut 7020mm</t>
  </si>
  <si>
    <t>65S7520</t>
  </si>
  <si>
    <t>65x0,75mm reinforcing strut 7520mm</t>
  </si>
  <si>
    <t>661</t>
  </si>
  <si>
    <t>Stelplaat incl 2 st M10x25</t>
  </si>
  <si>
    <t>661E</t>
  </si>
  <si>
    <t>Basisplaat voor VBB 670</t>
  </si>
  <si>
    <t>661HD</t>
  </si>
  <si>
    <t>muurconsole (was 322BAS)</t>
  </si>
  <si>
    <t>662N</t>
  </si>
  <si>
    <t>Verbindingsplaat</t>
  </si>
  <si>
    <t>665-40BL</t>
  </si>
  <si>
    <t>Coverplate + Handle ZWART</t>
  </si>
  <si>
    <t>668-40BL</t>
  </si>
  <si>
    <t>Cylinderslot zwart, uitslag 70mm alternatief voor</t>
  </si>
  <si>
    <t>668BL</t>
  </si>
  <si>
    <t>Cilinderslot, zwart, uitslag 70mm, excl. cilinder</t>
  </si>
  <si>
    <t>669S</t>
  </si>
  <si>
    <t>Industrieslot</t>
  </si>
  <si>
    <t>669SW</t>
  </si>
  <si>
    <t>Schakelaar tbv 669S</t>
  </si>
  <si>
    <t>6705F</t>
  </si>
  <si>
    <t>Microswitch voor SBD 670 &amp; SBD 675, pcs(1)</t>
  </si>
  <si>
    <t>6705F-6500</t>
  </si>
  <si>
    <t>Microswitch voor SBD 670 &amp; SBD 675, kabel L=6500mm, pcs(1)</t>
  </si>
  <si>
    <t>670H32L</t>
  </si>
  <si>
    <t>Veerbreukbeveiliging, voor 32mm HEX as LH</t>
  </si>
  <si>
    <t>670H32R</t>
  </si>
  <si>
    <t>Veerbreukbeveiliging, voor 32mm HEX as RH</t>
  </si>
  <si>
    <t>670LH</t>
  </si>
  <si>
    <t>Veerbreukbev. + palwiel LH</t>
  </si>
  <si>
    <t>670R35L</t>
  </si>
  <si>
    <t>Veerbreukbeveiliging, voor 35mm as, LH</t>
  </si>
  <si>
    <t>670R35R</t>
  </si>
  <si>
    <t>Veerbreukbeveiliging, voor 35mm as, RH</t>
  </si>
  <si>
    <t>670R40L</t>
  </si>
  <si>
    <t>Veerbreukbeveiliging, voor 40mm as, LH</t>
  </si>
  <si>
    <t>670R40R</t>
  </si>
  <si>
    <t>Veerbreukbeveiliging, voor 40mm as, RH</t>
  </si>
  <si>
    <t>670RH</t>
  </si>
  <si>
    <t>Veerbreukbev. + palwiel RH</t>
  </si>
  <si>
    <t>672LL</t>
  </si>
  <si>
    <t>IND veerbreukbeveiliging, 1" gespiede massieve as, 156Nm, R</t>
  </si>
  <si>
    <t>672LR</t>
  </si>
  <si>
    <t>IND veerbreukbeveiliging, 1" gespiede massieve as, 156Nm, L</t>
  </si>
  <si>
    <t>672ML</t>
  </si>
  <si>
    <t>IND veerbreukbeveiliging, 1" gespiede buis as, 156Nm, L</t>
  </si>
  <si>
    <t>672MR</t>
  </si>
  <si>
    <t>IND veerbreukbeveiliging, 1" gespiede buis as, 156Nm, R</t>
  </si>
  <si>
    <t>674HOEK</t>
  </si>
  <si>
    <t>Hoekverstev.tbv 675STR bij 152</t>
  </si>
  <si>
    <t>675LH</t>
  </si>
  <si>
    <t>Versterkte Veerbreukbev 3mm LH</t>
  </si>
  <si>
    <t>675LH-125</t>
  </si>
  <si>
    <t>Veerbreukbev.versterkt 5/4" LH</t>
  </si>
  <si>
    <t>675RH</t>
  </si>
  <si>
    <t>Versterkte Veerbreukbev 3mm RH</t>
  </si>
  <si>
    <t>675RH-125</t>
  </si>
  <si>
    <t>Veerbreukbev.versterkt 5/4" RH</t>
  </si>
  <si>
    <t>677-67</t>
  </si>
  <si>
    <t>Schakelaar IP 67, los tbv VBB</t>
  </si>
  <si>
    <t>680</t>
  </si>
  <si>
    <t>Kabeltrekset kompleet.</t>
  </si>
  <si>
    <t>680EK</t>
  </si>
  <si>
    <t>Geass. veergedeelte trekset</t>
  </si>
  <si>
    <t>685CH</t>
  </si>
  <si>
    <t>Kabeltrekset nylon schijf comp</t>
  </si>
  <si>
    <t>685NEP</t>
  </si>
  <si>
    <t>Geass. veerdeel trekset, nylon</t>
  </si>
  <si>
    <t>686C</t>
  </si>
  <si>
    <t>Cable tension set, 15m, 2,4mm cable</t>
  </si>
  <si>
    <t>686CB</t>
  </si>
  <si>
    <t>Turntable and reinforcement bracket, 3mm</t>
  </si>
  <si>
    <t>686CBN</t>
  </si>
  <si>
    <t>ISC ISC LHR FR verstevigingsbeugel, 3mm, pcs(1)</t>
  </si>
  <si>
    <t>686TL</t>
  </si>
  <si>
    <t>Adjustable toproller bracket, left</t>
  </si>
  <si>
    <t>686TR</t>
  </si>
  <si>
    <t>Adjustable toproller bracket, right</t>
  </si>
  <si>
    <t>687</t>
  </si>
  <si>
    <t>Kabeltrekset met arm</t>
  </si>
  <si>
    <t>687-2C</t>
  </si>
  <si>
    <t>Cable Tension Set, 2" track, all NL drums</t>
  </si>
  <si>
    <t>688BR</t>
  </si>
  <si>
    <t>Kabeltrek steun LHR</t>
  </si>
  <si>
    <t>688CR</t>
  </si>
  <si>
    <t>Kabeltrekset LHR compleet</t>
  </si>
  <si>
    <t>688P</t>
  </si>
  <si>
    <t>Plaat 688</t>
  </si>
  <si>
    <t>688P-ASS</t>
  </si>
  <si>
    <t>Kabeltrek plaat samenst.LHR</t>
  </si>
  <si>
    <t>68SC4020</t>
  </si>
  <si>
    <t>Strut,trapezium,H=68mm,1mm, L=4020</t>
  </si>
  <si>
    <t>68SC4520</t>
  </si>
  <si>
    <t>Verstevigingsprofiel,68mm hoog,1mm,L=4520mm</t>
  </si>
  <si>
    <t>68SC5020</t>
  </si>
  <si>
    <t>Verstevigingsprofiel,H=68mm,1mm,L=5020</t>
  </si>
  <si>
    <t>68SC5520</t>
  </si>
  <si>
    <t>Verstevigingsprofiel,H=68mm,1mm,L=5520</t>
  </si>
  <si>
    <t>68SC6020</t>
  </si>
  <si>
    <t>Verstevigingsprofiel,H=68mm,1mm,L=6020</t>
  </si>
  <si>
    <t>68SC6520</t>
  </si>
  <si>
    <t>Verstevigingsprofiel,H=68mm,1mm,L=6520</t>
  </si>
  <si>
    <t>68SC7020</t>
  </si>
  <si>
    <t>Verstevigingsprofiel,H=68mm,1mm,L=7020</t>
  </si>
  <si>
    <t>68SC7520</t>
  </si>
  <si>
    <t>Verstevigingsprofiel,H=68mm,1mm,L=7520</t>
  </si>
  <si>
    <t>68SCCAP</t>
  </si>
  <si>
    <t>Afschermingskap voor strut 68SC, L/R</t>
  </si>
  <si>
    <t>6901SCHA</t>
  </si>
  <si>
    <t>Slappe.kabel Beveil.schakelaar</t>
  </si>
  <si>
    <t>6901SCHA-65</t>
  </si>
  <si>
    <t>Slappe.kabel Beveil.schakelaar kabel 6,5 m</t>
  </si>
  <si>
    <t>699-4500Z</t>
  </si>
  <si>
    <t>VERZINKTE 1 1/4" as a 4500mm</t>
  </si>
  <si>
    <t>699-6000Z</t>
  </si>
  <si>
    <t>VERZINKTE 1 1/4" as a 6000mm</t>
  </si>
  <si>
    <t>699GB4500</t>
  </si>
  <si>
    <t>As, gespiede buis, 1 1/4", 4mm L=4500</t>
  </si>
  <si>
    <t>699GB6000</t>
  </si>
  <si>
    <t>As, gespiede buis, 1 1/4", 4mm L=6000</t>
  </si>
  <si>
    <t>700A-1000</t>
  </si>
  <si>
    <t>Spie 1/4"x 1/4" 1000mm, recht</t>
  </si>
  <si>
    <t>700A-38</t>
  </si>
  <si>
    <t>Spie 1/4" (1 1/2") KORT 6,4MM</t>
  </si>
  <si>
    <t>700A-75</t>
  </si>
  <si>
    <t>Spie 1/4" 75mm recht</t>
  </si>
  <si>
    <t>700B-110</t>
  </si>
  <si>
    <t>Spie 1/4" 6,4mm GEBOGEN LANG !</t>
  </si>
  <si>
    <t>700B-75</t>
  </si>
  <si>
    <t>Spie 1/4" (3") GEBOGEN, 6,4 MM</t>
  </si>
  <si>
    <t>701-2590Z</t>
  </si>
  <si>
    <t>Verzinkte buisas 25,4x2 2590mm</t>
  </si>
  <si>
    <t>701-2720Z</t>
  </si>
  <si>
    <t>Verzinkte buisas 25,4x2 2720mm</t>
  </si>
  <si>
    <t>701-2750Z</t>
  </si>
  <si>
    <t>Verzinkte buisas 25,4x2 2750mm</t>
  </si>
  <si>
    <t>701-3500Z</t>
  </si>
  <si>
    <t>Verzinkte buisas 25,4x2mm 3,5m</t>
  </si>
  <si>
    <t>701-4700Z</t>
  </si>
  <si>
    <t>Verzinkte buisas 25,4x2 a 4,7m</t>
  </si>
  <si>
    <t>701-5250Z</t>
  </si>
  <si>
    <t>Verzinkte buisas 25,4x2 5250mm</t>
  </si>
  <si>
    <t>701-5600Z</t>
  </si>
  <si>
    <t>Verzinkte buisas 25,4x2 5600mm</t>
  </si>
  <si>
    <t>701-6800Z</t>
  </si>
  <si>
    <t>Verzinkte buisas 25,4x2 a 6,8m</t>
  </si>
  <si>
    <t>701CAP</t>
  </si>
  <si>
    <t>Inslagdop tbv as 701</t>
  </si>
  <si>
    <t>702-1750Z</t>
  </si>
  <si>
    <t>VERZINKTE 1" Mass.as, 1750 mm</t>
  </si>
  <si>
    <t>702-2250Z</t>
  </si>
  <si>
    <t>VERZINKTE 1" Mass.as, 2250 mm</t>
  </si>
  <si>
    <t>702-2500Z</t>
  </si>
  <si>
    <t>VERZINKTE 1" Mass.as, 2500 mm</t>
  </si>
  <si>
    <t>702-3000Z</t>
  </si>
  <si>
    <t>VERZINKTE 1" Mass.as, 3000 mm</t>
  </si>
  <si>
    <t>702-3250Z</t>
  </si>
  <si>
    <t>VERZINKTE 1" Mass.as, 3250 mm</t>
  </si>
  <si>
    <t>702-3500Z</t>
  </si>
  <si>
    <t>VERZINKTE 1" Mass.as, 3500 mm</t>
  </si>
  <si>
    <t>702-4000Z</t>
  </si>
  <si>
    <t>VERZINKTE 1" Mass.as, 4000 mm</t>
  </si>
  <si>
    <t>702-4500Z</t>
  </si>
  <si>
    <t>VERZINKTE 1" Mass.as, 4500 mm</t>
  </si>
  <si>
    <t>702-5000Z</t>
  </si>
  <si>
    <t>VERZINKTE 1" Mass.as, 5000 mm</t>
  </si>
  <si>
    <t>702-5500Z</t>
  </si>
  <si>
    <t>VERZINKTE 1" Mass.as, 5500 mm</t>
  </si>
  <si>
    <t>702-6000Z</t>
  </si>
  <si>
    <t>VERZINKTE 1" Mass.as, 6000 mm</t>
  </si>
  <si>
    <t>702C1750</t>
  </si>
  <si>
    <t>1" Massieve as 1750mm ex galv.</t>
  </si>
  <si>
    <t>702C2000</t>
  </si>
  <si>
    <t>1" Massieve as 2000mm ex galv.</t>
  </si>
  <si>
    <t>702C2250</t>
  </si>
  <si>
    <t>1" Massieve as 2250mm ex galv.</t>
  </si>
  <si>
    <t>702C2500</t>
  </si>
  <si>
    <t>1" Massieve as 2500mm ex galv.</t>
  </si>
  <si>
    <t>702C2750</t>
  </si>
  <si>
    <t>1" Massieve as 2750mm ex galv.</t>
  </si>
  <si>
    <t>702C3000</t>
  </si>
  <si>
    <t>1" Massieve as 3000mm ex galv.</t>
  </si>
  <si>
    <t>702C3500</t>
  </si>
  <si>
    <t>1" Massieve as 3500mm ex galv.</t>
  </si>
  <si>
    <t>702C4000</t>
  </si>
  <si>
    <t>1" Massieve as 4000mm ex galv.</t>
  </si>
  <si>
    <t>702C4500</t>
  </si>
  <si>
    <t>1" Massieve as 4500mm ex galv.</t>
  </si>
  <si>
    <t>702C5000</t>
  </si>
  <si>
    <t>1" Massieve as 5000mm ex galv.</t>
  </si>
  <si>
    <t>702C5500</t>
  </si>
  <si>
    <t>1" Massieve as 5500mm ex galv.</t>
  </si>
  <si>
    <t>702C6000</t>
  </si>
  <si>
    <t>1" Massieve as 6000mm ex galv.</t>
  </si>
  <si>
    <t>702CAP</t>
  </si>
  <si>
    <t>Inslagdop tbv as 702</t>
  </si>
  <si>
    <t>702GBL2750</t>
  </si>
  <si>
    <t>Gesp. verz.buisas 1", 2mm,2750mm</t>
  </si>
  <si>
    <t>702GBL3500</t>
  </si>
  <si>
    <t>Gesp. verz.buisas 1", 2mm,3500mm</t>
  </si>
  <si>
    <t>702GBL6000</t>
  </si>
  <si>
    <t>Gesp. verz.buisas 1", 2mm,6000mm</t>
  </si>
  <si>
    <t>702GBL7000</t>
  </si>
  <si>
    <t>Gesp. verz.buisas 1", 2mm,7000mm</t>
  </si>
  <si>
    <t>702GBL8200</t>
  </si>
  <si>
    <t>Gesp. verz.buisas 1", 2mm,8200mm</t>
  </si>
  <si>
    <t>703ST</t>
  </si>
  <si>
    <t>Stalen verst. koppeling</t>
  </si>
  <si>
    <t>704ST</t>
  </si>
  <si>
    <t>St.verst. koppeling 1-1/4</t>
  </si>
  <si>
    <t>705-125</t>
  </si>
  <si>
    <t>Koppeling, as 1" -&gt; 1 1/4"</t>
  </si>
  <si>
    <t>705CAP</t>
  </si>
  <si>
    <t>Inslagdop tbv as 705</t>
  </si>
  <si>
    <t>705GB-2250</t>
  </si>
  <si>
    <t>Gespiede verz. buisas 1" 2,25m</t>
  </si>
  <si>
    <t>705GB-2500</t>
  </si>
  <si>
    <t>Gespiede verz. buisas 1" 2,5m</t>
  </si>
  <si>
    <t>705GB-2750</t>
  </si>
  <si>
    <t>Gespiede verz. buisas 1" 2,75m</t>
  </si>
  <si>
    <t>705GB-3000</t>
  </si>
  <si>
    <t>Gespiede verz. buisas 1" 3,00m</t>
  </si>
  <si>
    <t>705GB-3250</t>
  </si>
  <si>
    <t>Gespiede verz. buisas 1" 3,25m</t>
  </si>
  <si>
    <t>705GB-3500</t>
  </si>
  <si>
    <t>Gespiede verz. buisas 1" L=3500</t>
  </si>
  <si>
    <t>705GB-4000</t>
  </si>
  <si>
    <t>Gespiede verz. buisas 1" 4,00m</t>
  </si>
  <si>
    <t>705GB-4250</t>
  </si>
  <si>
    <t>Gespiede verz. buisas 1" 4,25m</t>
  </si>
  <si>
    <t>705GB-4500</t>
  </si>
  <si>
    <t>Gespiede verz. buisas 1" 4,50m</t>
  </si>
  <si>
    <t>705GB-5000</t>
  </si>
  <si>
    <t>Gespiede verz. buisas 1" 5,00m</t>
  </si>
  <si>
    <t>705GB-5500</t>
  </si>
  <si>
    <t>Gespiede verz. buisas 1" 5500</t>
  </si>
  <si>
    <t>705GB-6000</t>
  </si>
  <si>
    <t>Gespiede verz. buisas 1" 6000</t>
  </si>
  <si>
    <t>705GB-7000</t>
  </si>
  <si>
    <t>Gespiede verz. buisas 1" 7000</t>
  </si>
  <si>
    <t>705GB-8200</t>
  </si>
  <si>
    <t>Gespiede verz. buisas 1" L=8200 special</t>
  </si>
  <si>
    <t>705H32</t>
  </si>
  <si>
    <t>Koppeling, as 1" -&gt; 32mm-Hexa</t>
  </si>
  <si>
    <t>705R35</t>
  </si>
  <si>
    <t>Koppeling, as 1"=&gt; 35mm</t>
  </si>
  <si>
    <t>705R40</t>
  </si>
  <si>
    <t>Koppeling, as 1" -&gt; 40mm</t>
  </si>
  <si>
    <t>705ST100</t>
  </si>
  <si>
    <t>vaste koppeling 1" L=100mm</t>
  </si>
  <si>
    <t>705ST60</t>
  </si>
  <si>
    <t>vaste koppeling 1" L=60mm</t>
  </si>
  <si>
    <t>706AN</t>
  </si>
  <si>
    <t>Koppeling, alu, 1", met zeskant bouten vervangt</t>
  </si>
  <si>
    <t>706ST100</t>
  </si>
  <si>
    <t>vaste koppeling 1 1/4" L=100mm</t>
  </si>
  <si>
    <t>708S120</t>
  </si>
  <si>
    <t>Vaste alu koppeling 1",L=120mm</t>
  </si>
  <si>
    <t>708S75</t>
  </si>
  <si>
    <t>Vaste alu koppeling 1",L=75mm</t>
  </si>
  <si>
    <t>708S90</t>
  </si>
  <si>
    <t>Vaste alu koppeling 1",L=90mm</t>
  </si>
  <si>
    <t>711A-1000</t>
  </si>
  <si>
    <t>Spie 1/4 x 3/8 1000mm recht</t>
  </si>
  <si>
    <t>711A-38</t>
  </si>
  <si>
    <t>Spie 1/4 x 3/8 38mm,DIKKE SPIE</t>
  </si>
  <si>
    <t>711A-75</t>
  </si>
  <si>
    <t>Spie 1/4x3/8X75mm,RECHT/DIK</t>
  </si>
  <si>
    <t>712B-75</t>
  </si>
  <si>
    <t>Spie 1/4x3/8x3" GEBOGEN, DIK</t>
  </si>
  <si>
    <t>717FN</t>
  </si>
  <si>
    <t>Ventilatierooster,RAL9016,kunststof, afsluitbaar,</t>
  </si>
  <si>
    <t>717FN-BLACK</t>
  </si>
  <si>
    <t>Ventilatierooster,RAL9005,kunststof, afsluitbaar,</t>
  </si>
  <si>
    <t>717SN</t>
  </si>
  <si>
    <t>Ventilatierooster,RAL9016,kunststof, 344x138mm V</t>
  </si>
  <si>
    <t>717SN-BLACK</t>
  </si>
  <si>
    <t>Ventilatierooster,RAL9005,kunststof, 344x138mm V</t>
  </si>
  <si>
    <t>718</t>
  </si>
  <si>
    <t>Veerbumpers (220 mm) komplete set (L+R)</t>
  </si>
  <si>
    <t>718C</t>
  </si>
  <si>
    <t>Veerbumper 1 stuk compl.tbv 5C</t>
  </si>
  <si>
    <t>718EPS</t>
  </si>
  <si>
    <t>Veerbumper 220mm +bout en moer</t>
  </si>
  <si>
    <t>719</t>
  </si>
  <si>
    <t>Veerbumpers (500 mm) komplete set (L+R)</t>
  </si>
  <si>
    <t>719C</t>
  </si>
  <si>
    <t>Veerbumpers (500 mm) set tbv C montage (L+R)</t>
  </si>
  <si>
    <t>719EPS</t>
  </si>
  <si>
    <t>Veerbumper 500mm +bout en moer</t>
  </si>
  <si>
    <t>719EPS-750</t>
  </si>
  <si>
    <t>Veerbumper 750mm +bout en moer</t>
  </si>
  <si>
    <t>720-17</t>
  </si>
  <si>
    <t>Chain Stop</t>
  </si>
  <si>
    <t>720-2</t>
  </si>
  <si>
    <t>Kettingbediening 1:2 staal</t>
  </si>
  <si>
    <t>720-3</t>
  </si>
  <si>
    <t>Kettingbediening 1:3 staal</t>
  </si>
  <si>
    <t>720-4M4</t>
  </si>
  <si>
    <t>kettingbediening 1:4 staal</t>
  </si>
  <si>
    <t>721A</t>
  </si>
  <si>
    <t>Kettingbediening 1:4</t>
  </si>
  <si>
    <t>723A25</t>
  </si>
  <si>
    <t>Handketting op rol25mtr</t>
  </si>
  <si>
    <t>723LINK</t>
  </si>
  <si>
    <t>Verbindings schakel 723 ketti.</t>
  </si>
  <si>
    <t>723TS</t>
  </si>
  <si>
    <t>Kettingspanner voor kettingbediening</t>
  </si>
  <si>
    <t>725V</t>
  </si>
  <si>
    <t>Kettingbediening, 1:4, 1", 8m ketting vervangt de</t>
  </si>
  <si>
    <t>747EVO</t>
  </si>
  <si>
    <t>Draadloos codeslot, 868Mhz</t>
  </si>
  <si>
    <t>75EVO</t>
  </si>
  <si>
    <t>verlichte drukknop met draad</t>
  </si>
  <si>
    <t>770E</t>
  </si>
  <si>
    <t>Infrared safety sensors</t>
  </si>
  <si>
    <t>773E</t>
  </si>
  <si>
    <t>Universele fotocellen, stelbaar</t>
  </si>
  <si>
    <t>780EV</t>
  </si>
  <si>
    <t>draadlos codeklavier LM 780EV</t>
  </si>
  <si>
    <t>78EVO</t>
  </si>
  <si>
    <t>multifunctionel wandbediening</t>
  </si>
  <si>
    <t>801221</t>
  </si>
  <si>
    <t>RF module voor 8002E</t>
  </si>
  <si>
    <t>C-rail,riem, 2300 deurhoogte</t>
  </si>
  <si>
    <t>C-rail,riem, 2500 deurhoogte</t>
  </si>
  <si>
    <t>C-rail,riem, 3000 deurhoogte</t>
  </si>
  <si>
    <t>806H</t>
  </si>
  <si>
    <t>Railplaat, verzinkt, 58x60x2mm, wigmaat 70-85mm</t>
  </si>
  <si>
    <t>808S</t>
  </si>
  <si>
    <t>Railplaatje 80x60x2,met gaten</t>
  </si>
  <si>
    <t>808W</t>
  </si>
  <si>
    <t>Railplaatje 80x60x2, ex gaten</t>
  </si>
  <si>
    <t>808W-RVS</t>
  </si>
  <si>
    <t>Railplaatje 80x60x2, RVS 304</t>
  </si>
  <si>
    <t>80E488</t>
  </si>
  <si>
    <t>Endcap 80mm</t>
  </si>
  <si>
    <t>80E610</t>
  </si>
  <si>
    <t>Eindstijl,verzinkt,gaten,paneel 80/610mm</t>
  </si>
  <si>
    <t>80ED488</t>
  </si>
  <si>
    <t>80ED610</t>
  </si>
  <si>
    <t>Eindstijl,verzinkt,gaten,paneel, dubbel 80/610mm</t>
  </si>
  <si>
    <t>80K-5000</t>
  </si>
  <si>
    <t>80x40x2 verz. kokerprofiel L=5000</t>
  </si>
  <si>
    <t>80K-6000</t>
  </si>
  <si>
    <t>80x40x2 verz. Kokerprofiel L=6000</t>
  </si>
  <si>
    <t>80K-7000</t>
  </si>
  <si>
    <t>80x40x2 verz. Kokerprofiel L=7000</t>
  </si>
  <si>
    <t>80PS3000</t>
  </si>
  <si>
    <t>Verstevigingsprofiel SafeStep 2mm,wit RAL 9016 L=3000mm</t>
  </si>
  <si>
    <t>80PS5000</t>
  </si>
  <si>
    <t>Verstevigingsprofiel SafeStep 2mm,wit RAL 9016 L=5000</t>
  </si>
  <si>
    <t>80PSN3000</t>
  </si>
  <si>
    <t>1134, verstevigingsprofiel, L=3000mm, wit</t>
  </si>
  <si>
    <t>80PSN5000</t>
  </si>
  <si>
    <t>1134, verstevigingsprofiel, L=5000mm, wit</t>
  </si>
  <si>
    <t>810CR5</t>
  </si>
  <si>
    <t>verlengset tot 3000mm</t>
  </si>
  <si>
    <t>810S</t>
  </si>
  <si>
    <t>Railplaatje 100x60x2,met gaten</t>
  </si>
  <si>
    <t>810W</t>
  </si>
  <si>
    <t>Railplaatje 100x60x2, ex gaten</t>
  </si>
  <si>
    <t>810W-RVS</t>
  </si>
  <si>
    <t>Railplaatje 100x60x2, RVS 304</t>
  </si>
  <si>
    <t>811H</t>
  </si>
  <si>
    <t>Railplaat, verzinkt, 110x60x2mm, wigmaat 86-135mm</t>
  </si>
  <si>
    <t>812S</t>
  </si>
  <si>
    <t>Railplaatje 120x60x2,met gaten</t>
  </si>
  <si>
    <t>812S-304</t>
  </si>
  <si>
    <t>Railpl. 120x60x2,+gaten RVS304</t>
  </si>
  <si>
    <t>812W</t>
  </si>
  <si>
    <t>Railplaatje 120x60x2, ex gaten</t>
  </si>
  <si>
    <t>813S</t>
  </si>
  <si>
    <t>Railplaatje 130x60x2,met gaten</t>
  </si>
  <si>
    <t>813W</t>
  </si>
  <si>
    <t>Railplaatje 130x60x2, ex gaten</t>
  </si>
  <si>
    <t>813W-3000</t>
  </si>
  <si>
    <t>Railplaatje 130x60x2, ex gaten RAL 3000 &gt; ROOD</t>
  </si>
  <si>
    <t>813W-RVS</t>
  </si>
  <si>
    <t>Railplaatje 130x60x2, RVS 304</t>
  </si>
  <si>
    <t>814H</t>
  </si>
  <si>
    <t>Railplaat, verzinkt, 140x60x2mm, wigmaat 136-165mm</t>
  </si>
  <si>
    <t>815S</t>
  </si>
  <si>
    <t>Railplaatje 150x60x2,met gaten</t>
  </si>
  <si>
    <t>815W</t>
  </si>
  <si>
    <t>Railplaatje 150x60x2, ex gaten</t>
  </si>
  <si>
    <t>817H</t>
  </si>
  <si>
    <t>Railplaat, verzinkt, 170x60x2mm, wigmaat 166-195mm</t>
  </si>
  <si>
    <t>818S</t>
  </si>
  <si>
    <t>Railplaatje 180x60x2,met gaten</t>
  </si>
  <si>
    <t>818W</t>
  </si>
  <si>
    <t>Railplaatje 180x60x2, ex gaten</t>
  </si>
  <si>
    <t>818W-304</t>
  </si>
  <si>
    <t>Railpl.80x60x2 ex gaten RVS304</t>
  </si>
  <si>
    <t>820H</t>
  </si>
  <si>
    <t>Railplaat, verzinkt, 200x60x2mm, wigmaat 196-210mm</t>
  </si>
  <si>
    <t>828EVO</t>
  </si>
  <si>
    <t>internet, gateway, MyQ</t>
  </si>
  <si>
    <t>829EVO</t>
  </si>
  <si>
    <t>garage deur monitor</t>
  </si>
  <si>
    <t>8323CR5</t>
  </si>
  <si>
    <t>C-rail,riem, 2300 deurhoogte, 3 delig</t>
  </si>
  <si>
    <t>835</t>
  </si>
  <si>
    <t>Railplaat res</t>
  </si>
  <si>
    <t>835H</t>
  </si>
  <si>
    <t>RSC Bolted, horizontale rails, railplaat</t>
  </si>
  <si>
    <t>835TSL</t>
  </si>
  <si>
    <t>railverbindingsplaatje LH</t>
  </si>
  <si>
    <t>835TSR</t>
  </si>
  <si>
    <t>railverbindingsplaatje RH</t>
  </si>
  <si>
    <t>verlengset tot 4000mm</t>
  </si>
  <si>
    <t>850RL</t>
  </si>
  <si>
    <t>Track fixing strip</t>
  </si>
  <si>
    <t>860EVO</t>
  </si>
  <si>
    <t>3-channel universal receiver vervanger voor 8003E</t>
  </si>
  <si>
    <t>870</t>
  </si>
  <si>
    <t>Railverb. plaat (82mm na knik)</t>
  </si>
  <si>
    <t>870-120</t>
  </si>
  <si>
    <t>Railverb. plaat + RIL 120mm</t>
  </si>
  <si>
    <t>870-150</t>
  </si>
  <si>
    <t>Railverb. plaat + RIL; 150mm</t>
  </si>
  <si>
    <t>870-150-3000</t>
  </si>
  <si>
    <t>Vert. 2" rails 6,5 m1 Rood</t>
  </si>
  <si>
    <t>870-150-304</t>
  </si>
  <si>
    <t>Railverb.pl.+RIL;150mm RVS 304</t>
  </si>
  <si>
    <t>870-180</t>
  </si>
  <si>
    <t>Railverb. plaat + RIL 180mm</t>
  </si>
  <si>
    <t>870C</t>
  </si>
  <si>
    <t>Verbindingsmof 2"rails, verzinkt</t>
  </si>
  <si>
    <t>870CH</t>
  </si>
  <si>
    <t>Railplaat voor horizontale rail</t>
  </si>
  <si>
    <t>870F150</t>
  </si>
  <si>
    <t>railplaat</t>
  </si>
  <si>
    <t>870F90</t>
  </si>
  <si>
    <t>870H11</t>
  </si>
  <si>
    <t>Rail connecting plate, galv, 110x60x2, wedge 75-135mm</t>
  </si>
  <si>
    <t>870H14</t>
  </si>
  <si>
    <t>Railplaat, verzinkt, 140x60x2mm, wigmaat 136-160mm</t>
  </si>
  <si>
    <t>870H17</t>
  </si>
  <si>
    <t>Railplaat, verzinkt, 170x60x2mm, wigmaat 161-180mm</t>
  </si>
  <si>
    <t>870HANG</t>
  </si>
  <si>
    <t>Railafhangplaat zonder knik</t>
  </si>
  <si>
    <t>870KORT</t>
  </si>
  <si>
    <t>KORT railverbind. plaat 60x112</t>
  </si>
  <si>
    <t>870KORT304</t>
  </si>
  <si>
    <t>KORT railverb.plaat 60x112 304</t>
  </si>
  <si>
    <t>870L</t>
  </si>
  <si>
    <t>870RS</t>
  </si>
  <si>
    <t>Verbindingsmof,2" res. rails, RS200, RS70</t>
  </si>
  <si>
    <t>870RSH</t>
  </si>
  <si>
    <t>RSC Bolted, verticale rails, verbindingsmof</t>
  </si>
  <si>
    <t>870RSHD</t>
  </si>
  <si>
    <t>RSC Bolted, horizontale rails, verbindingsmof</t>
  </si>
  <si>
    <t>870V</t>
  </si>
  <si>
    <t>railverbinding plaat</t>
  </si>
  <si>
    <t>870VH</t>
  </si>
  <si>
    <t>Railplaat, verzinkt, 130x100x2mm, wigmaat 75-135mm</t>
  </si>
  <si>
    <t>870VRL</t>
  </si>
  <si>
    <t>870VRLH</t>
  </si>
  <si>
    <t>Railplaat, verzinkt, 180x105x2mm, wigmaat 136-180m</t>
  </si>
  <si>
    <t>870VRM</t>
  </si>
  <si>
    <t>Railverb. plaat</t>
  </si>
  <si>
    <t>870VXLH</t>
  </si>
  <si>
    <t>Railplaat, verzinkt, 210x105x2mm, wigmaat 181-210m</t>
  </si>
  <si>
    <t>901</t>
  </si>
  <si>
    <t>Anti-lift beugel RES-L</t>
  </si>
  <si>
    <t>905A</t>
  </si>
  <si>
    <t>Hoekbracket J 5, 83mm x 50mm</t>
  </si>
  <si>
    <t>907A</t>
  </si>
  <si>
    <t>Hoekbeugel nr 7</t>
  </si>
  <si>
    <t>90KA6000</t>
  </si>
  <si>
    <t>Alu constructieprofiel L=6000</t>
  </si>
  <si>
    <t>90KACAP</t>
  </si>
  <si>
    <t>Dop, afdekkap voor 90KA profielen</t>
  </si>
  <si>
    <t>90KB</t>
  </si>
  <si>
    <t>Hoekbeugel tbv 90KA</t>
  </si>
  <si>
    <t>90KBLT</t>
  </si>
  <si>
    <t>Bout M8x20, 8.8,hamerkop, voor 90KA</t>
  </si>
  <si>
    <t>911A</t>
  </si>
  <si>
    <t>Hoekbracket J 11, 121 x 50mm</t>
  </si>
  <si>
    <t>913A</t>
  </si>
  <si>
    <t>Hoekbracket J 13, 133 x 50mm</t>
  </si>
  <si>
    <t>915DS3500</t>
  </si>
  <si>
    <t>DS hoeklijn 90x62 1,5mm 3500mm</t>
  </si>
  <si>
    <t>915VB2047</t>
  </si>
  <si>
    <t>Vert.hoekl.1,5mm 90x62 DMH2000</t>
  </si>
  <si>
    <t>915VB2172</t>
  </si>
  <si>
    <t>Vert.hoek 1,5mm 90x62 DMH2125</t>
  </si>
  <si>
    <t>915VB2297</t>
  </si>
  <si>
    <t>Vert.hoekl.1,5 90x62mm DMH2250</t>
  </si>
  <si>
    <t>915VB2397</t>
  </si>
  <si>
    <t>Vert.hoekl.1,5 90x62mm DMH2350</t>
  </si>
  <si>
    <t>915VB2547</t>
  </si>
  <si>
    <t>Vert.hoekl.1,5 90x62mm DMH2500</t>
  </si>
  <si>
    <t>915VB2797</t>
  </si>
  <si>
    <t>Verticle angle 90x62 of 1,5mm 2797mm</t>
  </si>
  <si>
    <t>915VB5100</t>
  </si>
  <si>
    <t>Vert.hoekl.1,5mm 90x62 5100mm</t>
  </si>
  <si>
    <t>915VB-H2060</t>
  </si>
  <si>
    <t>RSC bolted, VB vertical angle profile, 66x90x1,5, 2060mm, ga</t>
  </si>
  <si>
    <t>915VB-H2185</t>
  </si>
  <si>
    <t>RSC bolted, VB vertical angle profile, 66x90x1,5, 2185mm, ga</t>
  </si>
  <si>
    <t>915VB-H2310</t>
  </si>
  <si>
    <t>RSC bolted, VB vertical angle profile, 66x90x1,5, 2310mm, ga</t>
  </si>
  <si>
    <t>915VB-H2435</t>
  </si>
  <si>
    <t>RSC bolted, VB vertical angle profile, 66x90x1,5, 2435mm, ga</t>
  </si>
  <si>
    <t>915VB-H2560</t>
  </si>
  <si>
    <t>RSC bolted, VB vertical angle profile, 66x90x1,5, 2560mm, ga</t>
  </si>
  <si>
    <t>915VB-H2810</t>
  </si>
  <si>
    <t>RSC bolted, VB vertical angle profile, 66x90x1,5, 2810mm, ga</t>
  </si>
  <si>
    <t>915VB-H3060</t>
  </si>
  <si>
    <t>RSC bolted, VB vertical angle profile, 66x90x1,5, 3060mm, ga</t>
  </si>
  <si>
    <t>915VL-H2060</t>
  </si>
  <si>
    <t>RSC bolted, VL vertical angle profile, 66x90x1,5, 2060mm, ga</t>
  </si>
  <si>
    <t>915VL-H2185</t>
  </si>
  <si>
    <t>RSC bolted, VL vertical angle profile, 66x90x1,5, 2185mm, ga</t>
  </si>
  <si>
    <t>915VL-H2310</t>
  </si>
  <si>
    <t>RSC bolted, VL vertical angle profile, 66x90x1,5, 2310mm, ga</t>
  </si>
  <si>
    <t>915VL-H2435</t>
  </si>
  <si>
    <t>RSC bolted, VL vertical angle profile, 66x90x1,5, 2435mm, ga</t>
  </si>
  <si>
    <t>915VL-H2560</t>
  </si>
  <si>
    <t>RSC bolted, VL vertical angle profile, 66x90x1,5, 2560mm, ga</t>
  </si>
  <si>
    <t>915VL-H2810</t>
  </si>
  <si>
    <t>RSC bolted, VL vertical angle profile, 66x90x1,5, 2810mm, ga</t>
  </si>
  <si>
    <t>915VL-H3060</t>
  </si>
  <si>
    <t>RSC bolted, VL vertical angle profile, 66x90x1,5, 3060mm, ga</t>
  </si>
  <si>
    <t>915VR3000</t>
  </si>
  <si>
    <t>Vert.hoeklijn 18x62x1,5 3000mm</t>
  </si>
  <si>
    <t>915VR5000</t>
  </si>
  <si>
    <t>Vert.hoeklijn 18x62x1,5 5000mm</t>
  </si>
  <si>
    <t>915VRA2240</t>
  </si>
  <si>
    <t>verticale hoeklijn,L=2240</t>
  </si>
  <si>
    <t>915VRA2290</t>
  </si>
  <si>
    <t>verticale hoeklijn,L=2290</t>
  </si>
  <si>
    <t>915VRA2365</t>
  </si>
  <si>
    <t>verticale hoeklijn, L=2365</t>
  </si>
  <si>
    <t>915VRA2390</t>
  </si>
  <si>
    <t>verticale hoeklijn, L=2390</t>
  </si>
  <si>
    <t>915VRA2400</t>
  </si>
  <si>
    <t>Vert.hoeklijn 18x62x1,5, L=2400</t>
  </si>
  <si>
    <t>915VRA2440</t>
  </si>
  <si>
    <t>verticale hoeklijn, L=2440</t>
  </si>
  <si>
    <t>915VRA2490</t>
  </si>
  <si>
    <t>verticale hoeklijn, L=2490</t>
  </si>
  <si>
    <t>915VRA2615</t>
  </si>
  <si>
    <t>verticale hoeklijn, L=2615</t>
  </si>
  <si>
    <t>915VRA2740</t>
  </si>
  <si>
    <t>verticale hoeklijn,L=2740</t>
  </si>
  <si>
    <t>915VRA2990</t>
  </si>
  <si>
    <t>verticale hoeklijn, L=2990</t>
  </si>
  <si>
    <t>915VRA3240</t>
  </si>
  <si>
    <t>verticale hoeklijn,L=3240</t>
  </si>
  <si>
    <t>915VRA3490</t>
  </si>
  <si>
    <t>verticale hoeklijn, L=3490</t>
  </si>
  <si>
    <t>915VRA3740</t>
  </si>
  <si>
    <t>verticale hoeklijn, L=3740</t>
  </si>
  <si>
    <t>915VRA3990</t>
  </si>
  <si>
    <t>verticale hoeklijn,L=3990</t>
  </si>
  <si>
    <t>915VRA4240</t>
  </si>
  <si>
    <t>verticale hoeklijn, L=4240</t>
  </si>
  <si>
    <t>915VRA4490</t>
  </si>
  <si>
    <t>verticale hoeklijn, L=4490</t>
  </si>
  <si>
    <t>915VRA4740</t>
  </si>
  <si>
    <t>verticale hoeklijn,L=4740</t>
  </si>
  <si>
    <t>915VRA4990</t>
  </si>
  <si>
    <t>verticale hoeklijn,L=4990</t>
  </si>
  <si>
    <t>915VRA5490</t>
  </si>
  <si>
    <t>verticale hoeklijn, L=5490</t>
  </si>
  <si>
    <t>915VS-E2509</t>
  </si>
  <si>
    <t>Lintel profile with holes, 1,5mm L=2509</t>
  </si>
  <si>
    <t>915VS-E2520</t>
  </si>
  <si>
    <t>Lintel profile with holes, 1,5mm L=2520</t>
  </si>
  <si>
    <t>915VS-E2609</t>
  </si>
  <si>
    <t>Lintel profile with holes, 1,5mm L=2609</t>
  </si>
  <si>
    <t>915VS-E2620</t>
  </si>
  <si>
    <t>Lintel profile with holes, 1,5mm L=2620</t>
  </si>
  <si>
    <t>915VS-E2990</t>
  </si>
  <si>
    <t>Lintel profile with holes, 1,5mm L=2990</t>
  </si>
  <si>
    <t>915VS-E3009</t>
  </si>
  <si>
    <t>Lintel profile with holes, 1,5mm L=3009</t>
  </si>
  <si>
    <t>915VS-E3020</t>
  </si>
  <si>
    <t>Lintel profile with holes, 1,5mm L=3020</t>
  </si>
  <si>
    <t>915VS-E3990</t>
  </si>
  <si>
    <t>Lintel profile with holes, 1,5mm L=3990</t>
  </si>
  <si>
    <t>915VS-E4990</t>
  </si>
  <si>
    <t>Lintel profile with holes, 1,5mm L=4990</t>
  </si>
  <si>
    <t>915VS-E5009</t>
  </si>
  <si>
    <t>Lintel profile with holes, 1,5mm L=5009</t>
  </si>
  <si>
    <t>915VS-E5020</t>
  </si>
  <si>
    <t>Lintel profile with holes, 1,5mm L=5020</t>
  </si>
  <si>
    <t>915VS-E6490</t>
  </si>
  <si>
    <t>Lintel profile with holes, 1,5mm L=6490</t>
  </si>
  <si>
    <t>915VSX2253</t>
  </si>
  <si>
    <t>Lateiprofiel RSC-T, L=2253</t>
  </si>
  <si>
    <t>915VSX2303</t>
  </si>
  <si>
    <t>Lateiprofiel RSC-T, L=2303</t>
  </si>
  <si>
    <t>915VSX2358</t>
  </si>
  <si>
    <t>Lateiprofiel RSC-T, L=2358</t>
  </si>
  <si>
    <t>915VSX2378</t>
  </si>
  <si>
    <t>Lateiprofiel RSC-T,L=2378</t>
  </si>
  <si>
    <t>915VSX2403</t>
  </si>
  <si>
    <t>Lateiprofiel, RSC-T, L=2403</t>
  </si>
  <si>
    <t>915VSX2503</t>
  </si>
  <si>
    <t>Lateiprofiel RSC-T, L=2503</t>
  </si>
  <si>
    <t>915VSX2628</t>
  </si>
  <si>
    <t>Lateiprofiel RSC-T, L=2628</t>
  </si>
  <si>
    <t>915VSX2753</t>
  </si>
  <si>
    <t>Lateiprofiel RSC-T, L=2753</t>
  </si>
  <si>
    <t>915VSX3003</t>
  </si>
  <si>
    <t>Lateiprofiel RSC-T, L=3003</t>
  </si>
  <si>
    <t>915VSX3503</t>
  </si>
  <si>
    <t>Lateiprofiel RSC-T, L=3503</t>
  </si>
  <si>
    <t>915VSX4003</t>
  </si>
  <si>
    <t>Lateiprofiel RSC-T, L=4003</t>
  </si>
  <si>
    <t>915VSX4503</t>
  </si>
  <si>
    <t>Lateiprofiel RSC-T, L=4503</t>
  </si>
  <si>
    <t>915VSX5003</t>
  </si>
  <si>
    <t>Lateiprofiel, RSC-T, L=5003mm</t>
  </si>
  <si>
    <t>91VR3015</t>
  </si>
  <si>
    <t>Alu-profiel RESL; L=3015</t>
  </si>
  <si>
    <t>91VR5000</t>
  </si>
  <si>
    <t>Alu-profiel RESL; L=5000</t>
  </si>
  <si>
    <t>924WLRX</t>
  </si>
  <si>
    <t>Ontvanger voor draadloze trekschakelaar/ drukknop</t>
  </si>
  <si>
    <t>924WLTX</t>
  </si>
  <si>
    <t>Batterijloze en draadloze trekschakelaar</t>
  </si>
  <si>
    <t>9700CARD</t>
  </si>
  <si>
    <t>Set van 5 magneetkaarten voor 9700V12/24</t>
  </si>
  <si>
    <t>9747E</t>
  </si>
  <si>
    <t>Draadloos codeslot 433MHZ (Rolling Code)</t>
  </si>
  <si>
    <t>9K4500</t>
  </si>
  <si>
    <t>Vert.hoeklijn 90x85x2 a 4500mm</t>
  </si>
  <si>
    <t>9K6500</t>
  </si>
  <si>
    <t>Vert.hoeklijn 90x85x2 a 6500mm</t>
  </si>
  <si>
    <t>9KH5442</t>
  </si>
  <si>
    <t>Vertikale hoeklijn, bolted, 2mm, L=5442, verzinkt, pcs(1)</t>
  </si>
  <si>
    <t>9VB2200</t>
  </si>
  <si>
    <t>Vertical Angle, 2.0mm, L= 2200mm, zinc plated, pcs(1)</t>
  </si>
  <si>
    <t>9VB2200E</t>
  </si>
  <si>
    <t>Vert.hoeklijn 90x62x2 ex gat</t>
  </si>
  <si>
    <t>9VB2325E</t>
  </si>
  <si>
    <t>Vert.hoeklijn 90x62x2 a 2,325 m1 ex gaten</t>
  </si>
  <si>
    <t>9VB2400E</t>
  </si>
  <si>
    <t>Vert.hoeklijn 90x62x2 2.400 m EX GAT</t>
  </si>
  <si>
    <t>9VB2500E</t>
  </si>
  <si>
    <t>9VB2600E</t>
  </si>
  <si>
    <t>9VB3000E</t>
  </si>
  <si>
    <t>Vert.hoeklijn 90x62x2 EX GAT</t>
  </si>
  <si>
    <t>9VB3500</t>
  </si>
  <si>
    <t>Vert.hoeklijn 90x62x2 a 3,5 m1</t>
  </si>
  <si>
    <t>9VB3500E</t>
  </si>
  <si>
    <t>9VB3750</t>
  </si>
  <si>
    <t>Vert.hoeklijn 90x62x2 a 3,75m1</t>
  </si>
  <si>
    <t>9VB4000</t>
  </si>
  <si>
    <t>Vert.hoeklijn 90x62x2 a 4,0 m1</t>
  </si>
  <si>
    <t>9VB4000E</t>
  </si>
  <si>
    <t>9VB4250</t>
  </si>
  <si>
    <t>Vert.hoeklijn 90x62x2 a 4,25m1</t>
  </si>
  <si>
    <t>9VB4500</t>
  </si>
  <si>
    <t>Vert.hoeklijn 90x62x2 a 4,5 m1</t>
  </si>
  <si>
    <t>9VB4500E</t>
  </si>
  <si>
    <t>9VB5000</t>
  </si>
  <si>
    <t>Vert.hoeklijn 90x62x2 a 5,0 m1</t>
  </si>
  <si>
    <t>9VB5000E</t>
  </si>
  <si>
    <t>9VB5500</t>
  </si>
  <si>
    <t>Vert.hoeklijn 90x62x2 a 5,6 m1</t>
  </si>
  <si>
    <t>9VB5500E</t>
  </si>
  <si>
    <t>9VB6000</t>
  </si>
  <si>
    <t>Vert.hoeklijn 90x62x2 a 6,0 m1</t>
  </si>
  <si>
    <t>9VB6000E</t>
  </si>
  <si>
    <t>9VB6500</t>
  </si>
  <si>
    <t>Vert.hoeklijn 90x62x2 a 6,5 m1</t>
  </si>
  <si>
    <t>9VB6500-3000</t>
  </si>
  <si>
    <t>Vertical Corner Line, RAL = 3000 &gt; Red</t>
  </si>
  <si>
    <t>9VB6500E</t>
  </si>
  <si>
    <t>9VBSS6000</t>
  </si>
  <si>
    <t>Vert.hoek.90x62x2 a 6,0 m1 RVS</t>
  </si>
  <si>
    <t>9VD3750</t>
  </si>
  <si>
    <t>Hoeklijn, verticaal, verzinkt, 2mm, 87x69,5, L=3750MM</t>
  </si>
  <si>
    <t>9VD4250</t>
  </si>
  <si>
    <t>Hoeklijn, verticaal, verzinkt, 2mm, 87x69,5, L=4250mm</t>
  </si>
  <si>
    <t>9VL-B3000</t>
  </si>
  <si>
    <t>hoeklijn,vert,verz.2mm,90x66mm L-3000</t>
  </si>
  <si>
    <t>9VL-B4500</t>
  </si>
  <si>
    <t>hoeklijn,vert,verz.2mm,90x66mm L-4500</t>
  </si>
  <si>
    <t>9VL-B6500</t>
  </si>
  <si>
    <t>hoeklijn,vert,verz.2mm,90x66mm L-6500</t>
  </si>
  <si>
    <t>9VL-H3420</t>
  </si>
  <si>
    <t>Hoeklijn verticaal met gaten verzinkt 20mm 90x66mm L=3420</t>
  </si>
  <si>
    <t>9VL-H3985</t>
  </si>
  <si>
    <t>Hoeklijn verticaal met gaten verzinkt 20mm 90x66mm L=3985</t>
  </si>
  <si>
    <t>9VL-H4550</t>
  </si>
  <si>
    <t>Hoeklijn verticaal met gaten verzinkt 20mm 90x66mm L=4550</t>
  </si>
  <si>
    <t>9VL-H5115</t>
  </si>
  <si>
    <t>Hoeklijn verticaal met gaten verzinkt 20mm 90x66mm L=5115</t>
  </si>
  <si>
    <t>9VL-H5680</t>
  </si>
  <si>
    <t>Hoeklijn verticaal met gaten verzinkt 20mm 90x66mm L=5680</t>
  </si>
  <si>
    <t>9VL-H6245</t>
  </si>
  <si>
    <t>Hoeklijn verticaal met gaten verzinkt 20mm 90x66mm L=6245</t>
  </si>
  <si>
    <t>9VL-H6810</t>
  </si>
  <si>
    <t>Hoeklijn verticaal met gaten verzinkt 20mm 90x66mm L=6810</t>
  </si>
  <si>
    <t>9VL-H7375</t>
  </si>
  <si>
    <t>Hoeklijn verticaal met gaten verzinkt 20mm 90x66mm L=7375</t>
  </si>
  <si>
    <t>9VR2400</t>
  </si>
  <si>
    <t>Vert.hoeklijn 18x62x2 a 2.4 m1</t>
  </si>
  <si>
    <t>9VR3000</t>
  </si>
  <si>
    <t>Vert.hoeklijn 18x62x2 a 3 m1</t>
  </si>
  <si>
    <t>9VR4000</t>
  </si>
  <si>
    <t>Vert.hoeklijn 18x62x2 a 4 m1</t>
  </si>
  <si>
    <t>9VR5000</t>
  </si>
  <si>
    <t>Vert.hoeklijn 18x62x2 a 5,0 m1</t>
  </si>
  <si>
    <t>9VR6050</t>
  </si>
  <si>
    <t>Vert.hoeklijn 18x62x2 a 6.05 m1</t>
  </si>
  <si>
    <t>9VRL2525</t>
  </si>
  <si>
    <t>Vert.hoeklijn 18x62x2</t>
  </si>
  <si>
    <t>A1054</t>
  </si>
  <si>
    <t>Schroef t.b.v. alu glas sectie</t>
  </si>
  <si>
    <t>A1D7200</t>
  </si>
  <si>
    <t>Zij/bodemprof(dubbel)7.2m gean</t>
  </si>
  <si>
    <t>A1DF-420</t>
  </si>
  <si>
    <t>Zijprofiel FV, bewerkt voor 500mm secties, L=420mm</t>
  </si>
  <si>
    <t>A1DF-530</t>
  </si>
  <si>
    <t>Zijprofiel FV, bewerkt voor 610mm secties, L=530mm</t>
  </si>
  <si>
    <t>A1E7200</t>
  </si>
  <si>
    <t>Zij/bodemprof (enkel)7.2m gean</t>
  </si>
  <si>
    <t>A1EF-420</t>
  </si>
  <si>
    <t>A1EF-530</t>
  </si>
  <si>
    <t>A2M7200</t>
  </si>
  <si>
    <t>Tussenprofiel 7200mm gean.</t>
  </si>
  <si>
    <t>A2MF-420</t>
  </si>
  <si>
    <t>Middenprofiel FV, bewerkt voor 500mm secties, L=42</t>
  </si>
  <si>
    <t>A2MF-530</t>
  </si>
  <si>
    <t>Middenprofiel FV, bewerkt voor 610mm secties, L=53</t>
  </si>
  <si>
    <t>A3B7200</t>
  </si>
  <si>
    <t>Onderprof glassectie 7.2m gean</t>
  </si>
  <si>
    <t>A3EB7200</t>
  </si>
  <si>
    <t>FV onderprofiel,ving. EPCO L=7200</t>
  </si>
  <si>
    <t>A3HB7200</t>
  </si>
  <si>
    <t>FV onderprofiel ving. TK/H,L=7200</t>
  </si>
  <si>
    <t>A3KB7200</t>
  </si>
  <si>
    <t>FV onderprofiel ving. Kingspan,L=7200</t>
  </si>
  <si>
    <t>A3MB5080</t>
  </si>
  <si>
    <t>FV onderprofiel ving. Metecno,L=5080</t>
  </si>
  <si>
    <t>A3MB7200</t>
  </si>
  <si>
    <t>FV onderprofiel ving. Metecno,L=7200</t>
  </si>
  <si>
    <t>A4CT42-5600</t>
  </si>
  <si>
    <t>Topproflel,FV,42mm,L=5600</t>
  </si>
  <si>
    <t>A4ET7200</t>
  </si>
  <si>
    <t>FV topprofiel,vingersafe, EPCO L=7200</t>
  </si>
  <si>
    <t>A4ETR7200</t>
  </si>
  <si>
    <t>Bovenprofiel, alu glass secties, Epco, met flens</t>
  </si>
  <si>
    <t>A4KT7200</t>
  </si>
  <si>
    <t>FV topprofiel ving. Kingspan,L=7200</t>
  </si>
  <si>
    <t>A4MT7200</t>
  </si>
  <si>
    <t>FV topprofiel vingerklem Metecno,L=7200</t>
  </si>
  <si>
    <t>A4R7200</t>
  </si>
  <si>
    <t>Bodemprof glassectie 7.2m gean</t>
  </si>
  <si>
    <t>A4T7200</t>
  </si>
  <si>
    <t>Bovenprof.glassectie 7.2m gean</t>
  </si>
  <si>
    <t>A5R7200</t>
  </si>
  <si>
    <t>Verstijver voor glassec.</t>
  </si>
  <si>
    <t>A5TR7200</t>
  </si>
  <si>
    <t>Verstevigingsprofiel, Alu, Epco, L=7200mm</t>
  </si>
  <si>
    <t>ACC</t>
  </si>
  <si>
    <t>Vestelbare kabelklem</t>
  </si>
  <si>
    <t>ALD6000</t>
  </si>
  <si>
    <t>Glaslat, full vision, alu, dubbel glas L=6000</t>
  </si>
  <si>
    <t>APD6000</t>
  </si>
  <si>
    <t>Glaslat tbv dubbel glas</t>
  </si>
  <si>
    <t>APE6000</t>
  </si>
  <si>
    <t>Glaslat tbv enkel glas</t>
  </si>
  <si>
    <t>AR3</t>
  </si>
  <si>
    <t>Afdichtingsrubber, full vision, enkel glas 3mm (150m)</t>
  </si>
  <si>
    <t>ARD</t>
  </si>
  <si>
    <t>Afd.rub DUN Dubbelglas (150m)</t>
  </si>
  <si>
    <t>ARD4-1</t>
  </si>
  <si>
    <t>Duplex in the Back =&gt; 4 panels 1 intermediate hinges</t>
  </si>
  <si>
    <t>ARE</t>
  </si>
  <si>
    <t>Afd.rub DIK Enkelglas (150m)</t>
  </si>
  <si>
    <t>ARS</t>
  </si>
  <si>
    <t>Afd.rubber v. tussensecties (150m)</t>
  </si>
  <si>
    <t>ARS4-1</t>
  </si>
  <si>
    <t>NL spring on the back =&gt; 4 panels 1 intermediate hinges</t>
  </si>
  <si>
    <t>ARU</t>
  </si>
  <si>
    <t>Afdichtingsrubber alu. Glassectie (200m)</t>
  </si>
  <si>
    <t>AVD4-1</t>
  </si>
  <si>
    <t>Duplex in the front =&gt; 4 panels 1 intermediate hinges</t>
  </si>
  <si>
    <t>AVS4-1</t>
  </si>
  <si>
    <t>NL spring on the front =&gt; 4 panels 1 intermediate hinges</t>
  </si>
  <si>
    <t>BSLOPHUDVGA</t>
  </si>
  <si>
    <t>BWI40</t>
  </si>
  <si>
    <t>Onder wigmaat indicator, wigmaat 53mm, 40mm paneel</t>
  </si>
  <si>
    <t>C103-8805-1</t>
  </si>
  <si>
    <t>Euro-cilinder tbv slot 635BL80, 80mm</t>
  </si>
  <si>
    <t>C22C</t>
  </si>
  <si>
    <t>Paneeldecoratie, 220x220,vierkant,dicht</t>
  </si>
  <si>
    <t>C22N</t>
  </si>
  <si>
    <t>Paneeldecoratie, 220x220,vierkant,open</t>
  </si>
  <si>
    <t>C28N</t>
  </si>
  <si>
    <t>Paneeldecoratie,280,rond,open</t>
  </si>
  <si>
    <t>C30N</t>
  </si>
  <si>
    <t>Paneeldecoratie,300x220,rechthoek,open</t>
  </si>
  <si>
    <t>C40-2505-1</t>
  </si>
  <si>
    <t>Euro profiel cylinder voor noodstang slot</t>
  </si>
  <si>
    <t>C60-2525-2</t>
  </si>
  <si>
    <t>Eurocyl.a 60mm tbv 1034lock</t>
  </si>
  <si>
    <t>C60-3020-2</t>
  </si>
  <si>
    <t>Euro-cylinder, tbv SafeStep multipiont slot</t>
  </si>
  <si>
    <t>C60-4505-1</t>
  </si>
  <si>
    <t>Cylinder tbv slot 669+638-40BL</t>
  </si>
  <si>
    <t>C63-4805-1</t>
  </si>
  <si>
    <t>Euro cylinder tbv slot, 635AL/BL</t>
  </si>
  <si>
    <t>C80-4228-2</t>
  </si>
  <si>
    <t>Euro profiel cilinder voor slot 650-40.....</t>
  </si>
  <si>
    <t>C88-5028-2</t>
  </si>
  <si>
    <t>euro profiel cylinder</t>
  </si>
  <si>
    <t>CR1</t>
  </si>
  <si>
    <t>Afdekkapje, rails 2", enkel zwart</t>
  </si>
  <si>
    <t>CR2</t>
  </si>
  <si>
    <t>Afdekkapje, rails 2", dubbel, zwart</t>
  </si>
  <si>
    <t>CR2CL</t>
  </si>
  <si>
    <t>Hoekstuk, rails 2", dubbel, links</t>
  </si>
  <si>
    <t>CR2CR</t>
  </si>
  <si>
    <t>Hoekstuk, rails 2", dubbel, rechts</t>
  </si>
  <si>
    <t>CRW</t>
  </si>
  <si>
    <t>Wandmontage console, rails 2"</t>
  </si>
  <si>
    <t>CSPT</t>
  </si>
  <si>
    <t>Adapter tbv Crawford veersysteem</t>
  </si>
  <si>
    <t>CSPT3.0</t>
  </si>
  <si>
    <t>IDDTO Chuck head Ratch 3.0</t>
  </si>
  <si>
    <t>D4521R1198-A</t>
  </si>
  <si>
    <t>Veerophanging klemplaat</t>
  </si>
  <si>
    <t>D4521R2377</t>
  </si>
  <si>
    <t>Flat hook Top (spring) Di=45 d=7</t>
  </si>
  <si>
    <t>D4521R2378</t>
  </si>
  <si>
    <t>Flat hook Top (spring) Di=48.5 d=6.5</t>
  </si>
  <si>
    <t>D4521R2379</t>
  </si>
  <si>
    <t>Flat hook Top (spring) Di=51.5 d=5.5</t>
  </si>
  <si>
    <t>D4521R2380</t>
  </si>
  <si>
    <t>Flat hook Down (spring) Di=45 d=7</t>
  </si>
  <si>
    <t>D4521R2381</t>
  </si>
  <si>
    <t>Flat hook Down (spring) Di=48.5 d=6.5</t>
  </si>
  <si>
    <t>D4521R2382</t>
  </si>
  <si>
    <t>Flat hook Down (spring) Di=51.5 d=5.5</t>
  </si>
  <si>
    <t>D-600LH-125</t>
  </si>
  <si>
    <t>Winding 6" LH black, 1 1/4" bore</t>
  </si>
  <si>
    <t>D-600RH-125</t>
  </si>
  <si>
    <t>Winding 6" fitting RH red 1 1/4"</t>
  </si>
  <si>
    <t>DS554HL-L</t>
  </si>
  <si>
    <t>Kabelschijfconstructie voor dock deur systeem, hoo</t>
  </si>
  <si>
    <t>DS554HL-R</t>
  </si>
  <si>
    <t>Kabelschijfconstructie voor dock deur systeem, HL,</t>
  </si>
  <si>
    <t>DS554VL-L</t>
  </si>
  <si>
    <t>Kabelschijfconstructie voor dock deur systeem, VL,</t>
  </si>
  <si>
    <t>DS554VL-R</t>
  </si>
  <si>
    <t>DW40</t>
  </si>
  <si>
    <t>DW contact los, zonder behuizing</t>
  </si>
  <si>
    <t>DWACC</t>
  </si>
  <si>
    <t>Kit, accessoires voor DW contacten ø25mm, L=25-30m</t>
  </si>
  <si>
    <t>DWACCN</t>
  </si>
  <si>
    <t>Accessoires, 1035DW pneumatische beveiliging</t>
  </si>
  <si>
    <t>DWGK11</t>
  </si>
  <si>
    <t>Luchtdrukschakelaar</t>
  </si>
  <si>
    <t>DWGK11N</t>
  </si>
  <si>
    <t>Druksensor gemonteerd in behuizing</t>
  </si>
  <si>
    <t>DW-PLUG</t>
  </si>
  <si>
    <t>Stop tbv DW onderloop ø 25mm</t>
  </si>
  <si>
    <t>F60AC-TX</t>
  </si>
  <si>
    <t>Afstandsbediening voor FORCE60AC,3 Kanaals</t>
  </si>
  <si>
    <t>F70AC3-TX</t>
  </si>
  <si>
    <t>Handzender, 3-kanaals, 433Mhz, met batterij, force</t>
  </si>
  <si>
    <t>F90-140AC-BOX</t>
  </si>
  <si>
    <t>Complete controlbox Force90/140</t>
  </si>
  <si>
    <t>F90AC-ENCODER</t>
  </si>
  <si>
    <t>Encoder tbv FORCE90/140AC</t>
  </si>
  <si>
    <t>F90AC-LINK</t>
  </si>
  <si>
    <t>Kettingslot tbv FORCE90AC</t>
  </si>
  <si>
    <t>FF05NL12</t>
  </si>
  <si>
    <t>Kabeltrommels NL H 3000mm, 0,5 V.Win. set (L+R)</t>
  </si>
  <si>
    <t>FF05NL32</t>
  </si>
  <si>
    <t>Kabeltrommel, 0,5SW, NL, 1" shaft, H10175, alu, paar(2)</t>
  </si>
  <si>
    <t>FF05NL32-125</t>
  </si>
  <si>
    <t>Kabeltrommel, 0,5SW, NL, 1.25" as, H10175, alu, paar(2)</t>
  </si>
  <si>
    <t>FF05NL8</t>
  </si>
  <si>
    <t>Kabeltrommels NL H 2500mm, 0,5 V.Win. set (L+R)</t>
  </si>
  <si>
    <t>FF05NL8E</t>
  </si>
  <si>
    <t>FF05VL18</t>
  </si>
  <si>
    <t>Kabeltrommels VL 5950mm,0,5 veilghw</t>
  </si>
  <si>
    <t>FF05VL18-125</t>
  </si>
  <si>
    <t>Cable drums VL 5950mm0,5 sw 1 1/4"</t>
  </si>
  <si>
    <t>FF05VL28</t>
  </si>
  <si>
    <t>Kabeltrommel, 0,5SW, VL, 1" shaft, H8500, alu, paar(2)</t>
  </si>
  <si>
    <t>FF05VL28-125</t>
  </si>
  <si>
    <t>Kabeltrommel, 0,5SW, VL, 1.25" as, H8500, alu, paar(2)</t>
  </si>
  <si>
    <t>FF133-6</t>
  </si>
  <si>
    <t>Kabeltrommels, 133mm buisas, H 9414mm, set (L+R)</t>
  </si>
  <si>
    <t>FF175</t>
  </si>
  <si>
    <t>Veerpluggen, 1 3/4"(44mm) universeel, set (4)</t>
  </si>
  <si>
    <t>FF175S</t>
  </si>
  <si>
    <t>STAT. Veerpl. 1 3/4"</t>
  </si>
  <si>
    <t>FF175WBLA</t>
  </si>
  <si>
    <t>WIND. Veerpl. 1 3/4" BLA</t>
  </si>
  <si>
    <t>FF175WRED</t>
  </si>
  <si>
    <t>WIND. Veerpl. 1 3/4" RED</t>
  </si>
  <si>
    <t>FF200</t>
  </si>
  <si>
    <t>Veerpluggen, 2" (51mm) universeel, set (4)</t>
  </si>
  <si>
    <t>FF263</t>
  </si>
  <si>
    <t>Veerpluggen, 2 5/8" (67mm) universeel, set (4)</t>
  </si>
  <si>
    <t>FF263S</t>
  </si>
  <si>
    <t>Spring Fitting 2 5/8"Stationair (set à 2)</t>
  </si>
  <si>
    <t>FF375</t>
  </si>
  <si>
    <t>Veerpluggen, 3 3/4" (95mm) universeel, set (4)</t>
  </si>
  <si>
    <t>FF375N</t>
  </si>
  <si>
    <t>veerpluggen, 3 3/4"(95mm) niet universeel, set (4)</t>
  </si>
  <si>
    <t>FF375N-125</t>
  </si>
  <si>
    <t>veerpluggen, 3 3/4" (95mm) n. univ. 1 1/4" set (4)</t>
  </si>
  <si>
    <t>FF375NSL</t>
  </si>
  <si>
    <t>Veerplug niet uni. 3.75" stat. LH</t>
  </si>
  <si>
    <t>FF375NSR</t>
  </si>
  <si>
    <t>Veerplug niet uni. 3.75" stat. RH</t>
  </si>
  <si>
    <t>FF375NWL</t>
  </si>
  <si>
    <t>Veerplug niet uni. 3.75" winder LH</t>
  </si>
  <si>
    <t>FF375NWR</t>
  </si>
  <si>
    <t>Veerplug niet uni. 3.75" winder RH</t>
  </si>
  <si>
    <t>FF600N</t>
  </si>
  <si>
    <t>Veerpluggen 6" (152mm) niet universeel, set (4)</t>
  </si>
  <si>
    <t>FF600N125</t>
  </si>
  <si>
    <t>Veerpluggen 6" (152mm) 1 1/4" n.univ. set (4)</t>
  </si>
  <si>
    <t>FF6PL</t>
  </si>
  <si>
    <t>Stalen plaat 6" plug</t>
  </si>
  <si>
    <t>FF6STNL</t>
  </si>
  <si>
    <t>Stationaire veerplug, 152mm, LH</t>
  </si>
  <si>
    <t>FF6STNR</t>
  </si>
  <si>
    <t>Stationaire veerplug, 152mm, RH</t>
  </si>
  <si>
    <t>FFC200S</t>
  </si>
  <si>
    <t>Wind. Veerplug</t>
  </si>
  <si>
    <t>FFC200W</t>
  </si>
  <si>
    <t>Stat. Veerplug</t>
  </si>
  <si>
    <t>FFHL120</t>
  </si>
  <si>
    <t>Kabeltrommels HL 3050mm EU, set (L+R)</t>
  </si>
  <si>
    <t>FFHL164</t>
  </si>
  <si>
    <t>Kabeltrommels HL 4100mm EU, set (L+R)</t>
  </si>
  <si>
    <t>FFHL164-125</t>
  </si>
  <si>
    <t>Kabeltrommels HL 4100mm EU, set (L+R), 1 1/4" as</t>
  </si>
  <si>
    <t>FFHL54</t>
  </si>
  <si>
    <t>Kabeltrommels HL 1370mm EU, set (L+R)</t>
  </si>
  <si>
    <t>FFNL10</t>
  </si>
  <si>
    <t>Kabeltrommels RES,0,5 V.Win. H 2845 set (L+R)</t>
  </si>
  <si>
    <t>FFNL13</t>
  </si>
  <si>
    <t>Kabeltrommels NL Hmax 4003, EU, set (L+R)</t>
  </si>
  <si>
    <t>FFNL18</t>
  </si>
  <si>
    <t>Kabeltrommels NL Hmax 5570, EU, set (L+R)</t>
  </si>
  <si>
    <t>FFNL32</t>
  </si>
  <si>
    <t>Kabeltrommels NL Hmax 10175, EU, set (L+R)</t>
  </si>
  <si>
    <t>FFNL32-125</t>
  </si>
  <si>
    <t>Kabeltrommels NL H10175, EU, set (L+R) 1 1/4" as</t>
  </si>
  <si>
    <t>FFVL11</t>
  </si>
  <si>
    <t>Kabeltrommels VL 3300mm EU set (L+R)</t>
  </si>
  <si>
    <t>FFVL18</t>
  </si>
  <si>
    <t>Kabeltrommels VL 6000mm, EU set (L+R)</t>
  </si>
  <si>
    <t>FFVL18-125</t>
  </si>
  <si>
    <t>Kabeltrommels VL 6000mm, EU, set (L+R) 1 1/4" as</t>
  </si>
  <si>
    <t>FFVL28</t>
  </si>
  <si>
    <t>Kabeltrommels VL8500 0,5 V.Win.set (L+R)</t>
  </si>
  <si>
    <t>FFVL28-125</t>
  </si>
  <si>
    <t>Kabeltrommels VL8500 0,5 V.Win. set (L+R)1 1/4" as</t>
  </si>
  <si>
    <t>FLA1-LED</t>
  </si>
  <si>
    <t>Waarschuwingslamp,24V,LED,Liftmaster</t>
  </si>
  <si>
    <t>FORCE140AC</t>
  </si>
  <si>
    <t>Aandrijving, 140Nm, 1" as, complete kit</t>
  </si>
  <si>
    <t>FORCE70AC3</t>
  </si>
  <si>
    <t>70Nm, mono-fase, autom. incl.3knops besturing v</t>
  </si>
  <si>
    <t>FORCE70AC3-XC</t>
  </si>
  <si>
    <t>Aandrijving, 70Nm, 21rpm, ketting, 1x230V</t>
  </si>
  <si>
    <t>FORCE70BS</t>
  </si>
  <si>
    <t>70Nm,Ind. opener, dodemans, basis kit Vervangt FOR</t>
  </si>
  <si>
    <t>FORCECB7</t>
  </si>
  <si>
    <t>kabelset 7 meter</t>
  </si>
  <si>
    <t>FORCECB9</t>
  </si>
  <si>
    <t>kabelset 9 meter</t>
  </si>
  <si>
    <t>FORCEFREQUENZ-28</t>
  </si>
  <si>
    <t>Frequentiegestuurde aandrijving tbv deuren tot 28m</t>
  </si>
  <si>
    <t>FORCEFREQUENZ-48</t>
  </si>
  <si>
    <t>Frequentiegestuurde aandrijving voor deuren tot 48</t>
  </si>
  <si>
    <t>FORCELC2</t>
  </si>
  <si>
    <t>Type2 Lichtgordijn, 2555mm hoogte</t>
  </si>
  <si>
    <t>FORCELC4</t>
  </si>
  <si>
    <t>Lichtgordijn, 2500mm, Tx Rx, M8 4-pin, IP68, 24VDC</t>
  </si>
  <si>
    <t>FORCELC4-CB10</t>
  </si>
  <si>
    <t>Extension cable, 100mm, M8x1, male-female, 4-pin</t>
  </si>
  <si>
    <t>FORCELD</t>
  </si>
  <si>
    <t>detectielus, complete set</t>
  </si>
  <si>
    <t>FORCEOSE</t>
  </si>
  <si>
    <t>Voorgemonteerde opto kit, LP</t>
  </si>
  <si>
    <t>FORCEPSE</t>
  </si>
  <si>
    <t>voorgemonteerde DW kit</t>
  </si>
  <si>
    <t>FORCETLG</t>
  </si>
  <si>
    <t>verkeerslicht groen,24V</t>
  </si>
  <si>
    <t>FORCETLR</t>
  </si>
  <si>
    <t>verkeerslicht rood,24V</t>
  </si>
  <si>
    <t>FORCETLRG</t>
  </si>
  <si>
    <t>verkeerslicht rood/groen,24V</t>
  </si>
  <si>
    <t>FR1001</t>
  </si>
  <si>
    <t>Intermediate hinge</t>
  </si>
  <si>
    <t>FR1001W</t>
  </si>
  <si>
    <t>Intermediate hinge RAL 9016</t>
  </si>
  <si>
    <t>FR1002</t>
  </si>
  <si>
    <t>Side hinge</t>
  </si>
  <si>
    <t>FR1002W</t>
  </si>
  <si>
    <t>Side hinge RAL 9016</t>
  </si>
  <si>
    <t>FREQUENZ-28</t>
  </si>
  <si>
    <t>Frequency controlled drive for doors up to 28m2</t>
  </si>
  <si>
    <t>Frequenz400-100</t>
  </si>
  <si>
    <t>Industrieele Aandrijving 400V-100Nm</t>
  </si>
  <si>
    <t>Frequenz400-140</t>
  </si>
  <si>
    <t>Industrieele Andrijving 400V-140Nm</t>
  </si>
  <si>
    <t>FREQUENZ-48</t>
  </si>
  <si>
    <t>Frequency controlled drive for doors up to 48 m2</t>
  </si>
  <si>
    <t>FREQUENZ-HS</t>
  </si>
  <si>
    <t>Frequency controlled drive for high speed doors</t>
  </si>
  <si>
    <t>FS51</t>
  </si>
  <si>
    <t>Universele stationaire veerplug 51mm</t>
  </si>
  <si>
    <t>FSW51</t>
  </si>
  <si>
    <t>Veerpluggen 51mm, set (4)</t>
  </si>
  <si>
    <t>FW51-BLA</t>
  </si>
  <si>
    <t>Winder plug 51mm LH is ZWART!!</t>
  </si>
  <si>
    <t>FW51-RED</t>
  </si>
  <si>
    <t>Winder plug 51mm RH is ROOD!!</t>
  </si>
  <si>
    <t>HERKULES2E</t>
  </si>
  <si>
    <t>Bewegingsmelder, radar, incl. 10m kabel</t>
  </si>
  <si>
    <t>INBUSM6X10</t>
  </si>
  <si>
    <t>InbusM6x10 8,8zn ISO4762 DIN912</t>
  </si>
  <si>
    <t>INBUSM6X40</t>
  </si>
  <si>
    <t>InbusM6x40 8,8zn ISO4762 DIN912</t>
  </si>
  <si>
    <t>IND554L</t>
  </si>
  <si>
    <t>Kabelschijfconstructie,industriedeuren,links</t>
  </si>
  <si>
    <t>IND554R</t>
  </si>
  <si>
    <t>Kabelschijfconstructie,industriedeuren,rechts</t>
  </si>
  <si>
    <t>IND-TBH</t>
  </si>
  <si>
    <t>Spanijzer, industrie,16-20mm, L=850mm</t>
  </si>
  <si>
    <t>IND-TBL</t>
  </si>
  <si>
    <t>Spanijzer, industrie,13-16mm, L=450mm</t>
  </si>
  <si>
    <t>INS22001</t>
  </si>
  <si>
    <t>Insert tbv 2200 kruis RAL 9010</t>
  </si>
  <si>
    <t>INS22003</t>
  </si>
  <si>
    <t>Insert tbv 2200 set à3 RAL9010</t>
  </si>
  <si>
    <t>INS22004</t>
  </si>
  <si>
    <t>Insert, tbv 2200 set (4) RAL9010</t>
  </si>
  <si>
    <t>INS22300</t>
  </si>
  <si>
    <t>Ins raam 2230,wit 9010,Rhombus</t>
  </si>
  <si>
    <t>INS22301</t>
  </si>
  <si>
    <t>Ins raam 2230,wit 9010, kruis</t>
  </si>
  <si>
    <t>ISC-CAR</t>
  </si>
  <si>
    <t>ISC packaging: Carton 110 x 1000mm</t>
  </si>
  <si>
    <t>ISC-CARTBOX</t>
  </si>
  <si>
    <t>ISC Hardware box, 600x265x325</t>
  </si>
  <si>
    <t>ISC-DB</t>
  </si>
  <si>
    <t>ISC Packaging: Collo distance beam</t>
  </si>
  <si>
    <t>ISC-HSB</t>
  </si>
  <si>
    <t>ISC Packaging: Collo H Support beam</t>
  </si>
  <si>
    <t>ISC-SB</t>
  </si>
  <si>
    <t>ISC Packaging: Support beam collo</t>
  </si>
  <si>
    <t>ISC-WB</t>
  </si>
  <si>
    <t>ISC Packaging: Wooden Block 350 x 45 x 19</t>
  </si>
  <si>
    <t>ISC-ZL-SET</t>
  </si>
  <si>
    <t>Onderdelenset voor ISC-ZL, set(6)</t>
  </si>
  <si>
    <t>ISTT</t>
  </si>
  <si>
    <t>Industriële veerspanner 1" assen</t>
  </si>
  <si>
    <t>ISTT-125</t>
  </si>
  <si>
    <t>Industriële veerspanner 1 1/4" assen</t>
  </si>
  <si>
    <t>ISTT-BOX-01</t>
  </si>
  <si>
    <t>ABS cover tbv ISTT-GO</t>
  </si>
  <si>
    <t>ISTT-GO</t>
  </si>
  <si>
    <t>Industriële veerspanner trolley</t>
  </si>
  <si>
    <t>K003220-3000</t>
  </si>
  <si>
    <t>Shaft with continuous keyway, 3000mm</t>
  </si>
  <si>
    <t>K003220-5000</t>
  </si>
  <si>
    <t>Shaft with continuous keyway, 5000mm</t>
  </si>
  <si>
    <t>K065137</t>
  </si>
  <si>
    <t>Sheave plate</t>
  </si>
  <si>
    <t>K068170</t>
  </si>
  <si>
    <t>SRS + 2 Core Cable 6m</t>
  </si>
  <si>
    <t>k068172</t>
  </si>
  <si>
    <t>SRS + 2 Core Cable 1m</t>
  </si>
  <si>
    <t>K069549</t>
  </si>
  <si>
    <t>Washer 8.4 x 40 x3</t>
  </si>
  <si>
    <t>K2.40-1000KR</t>
  </si>
  <si>
    <t>Staalkabel 6x19 +PPC(2.4mm)1000m</t>
  </si>
  <si>
    <t>K24-4550TS</t>
  </si>
  <si>
    <t>Kabelset (2) geassembleerd 4550 RSC-T</t>
  </si>
  <si>
    <t>K24-4750TS</t>
  </si>
  <si>
    <t>Kabelset (2) geassembleerd 4750 RSC-T</t>
  </si>
  <si>
    <t>K24-4800TS</t>
  </si>
  <si>
    <t>Kabelset (2) geassembleerd 4800 RSC-T</t>
  </si>
  <si>
    <t>K24-5000TS</t>
  </si>
  <si>
    <t>Kabelset (2) geassembleerd 5000 RSC-T</t>
  </si>
  <si>
    <t>K24-5250TS</t>
  </si>
  <si>
    <t>Kabelset (2) geassembleerd 5250 RSC-T</t>
  </si>
  <si>
    <t>K24-5500TS</t>
  </si>
  <si>
    <t>Kabelset (2) geassembleerd 5500 RSC-T</t>
  </si>
  <si>
    <t>K24-5750TS</t>
  </si>
  <si>
    <t>Kabelset (2) geassembleerd 5750 RSC-T</t>
  </si>
  <si>
    <t>K24-6000TS</t>
  </si>
  <si>
    <t>Kabelset (2) geassembleerd 6000 RSC-T</t>
  </si>
  <si>
    <t>K3-02480FR</t>
  </si>
  <si>
    <t>Cable 2480mm Special</t>
  </si>
  <si>
    <t>K3-02555</t>
  </si>
  <si>
    <t>Kabelset RES200 tbv 2000-2250</t>
  </si>
  <si>
    <t>K3-02555FR</t>
  </si>
  <si>
    <t>Cable 2555mm Special</t>
  </si>
  <si>
    <t>K3-02720</t>
  </si>
  <si>
    <t>Assembled cable 3mm x 2,72 m</t>
  </si>
  <si>
    <t>K3-02805</t>
  </si>
  <si>
    <t>Kabelset RES200 tbv 2350-2500</t>
  </si>
  <si>
    <t>K3-02805LD</t>
  </si>
  <si>
    <t>Cable 2805mm Special</t>
  </si>
  <si>
    <t>K3-02845</t>
  </si>
  <si>
    <t>Assembled cable 3mm x 2,845 m</t>
  </si>
  <si>
    <t>K3-02970</t>
  </si>
  <si>
    <t>Assembled cable 3mm x 2,97 m</t>
  </si>
  <si>
    <t>K3-03100</t>
  </si>
  <si>
    <t>Assembled cable 3mm x 3,10 m</t>
  </si>
  <si>
    <t>K3-03220</t>
  </si>
  <si>
    <t>Assembled cable 3mm x 3,22 m</t>
  </si>
  <si>
    <t>K3-03305</t>
  </si>
  <si>
    <t>GOHD Kabelset, voor, 3305mm</t>
  </si>
  <si>
    <t>K3-03500FR</t>
  </si>
  <si>
    <t>Cable 3500mm Special</t>
  </si>
  <si>
    <t>K3-04914</t>
  </si>
  <si>
    <t>GOHD Kabelset, voor, 4914mm</t>
  </si>
  <si>
    <t>K3-05055</t>
  </si>
  <si>
    <t>GOHD Kabelset, voor, 5055mm</t>
  </si>
  <si>
    <t>K3-05414</t>
  </si>
  <si>
    <t>GOHD Kabelset, voor, 5414mm</t>
  </si>
  <si>
    <t>K3-05555</t>
  </si>
  <si>
    <t>GOHD Kabelset, voor, 5555mm</t>
  </si>
  <si>
    <t>K3-05555FR</t>
  </si>
  <si>
    <t>Cable 5555mm Special</t>
  </si>
  <si>
    <t>K3-05600</t>
  </si>
  <si>
    <t>Geassembl.kabel 3 mm a 5,6 m1</t>
  </si>
  <si>
    <t>K3-06000SPP</t>
  </si>
  <si>
    <t>Assembled Cable 3 mm a 6 m1 for Hardware Set</t>
  </si>
  <si>
    <t>K3-06414</t>
  </si>
  <si>
    <t>GOHD Kabelset, voor, 6414mm</t>
  </si>
  <si>
    <t>K3-06580</t>
  </si>
  <si>
    <t>GOHD Kabelset, voor, 6580mm</t>
  </si>
  <si>
    <t>K3-06700</t>
  </si>
  <si>
    <t>Geassembl.kabel 3 mm a 6,7 m1</t>
  </si>
  <si>
    <t>K3-09000SPP</t>
  </si>
  <si>
    <t>Assembled Cable 3 mm a 9 m1 for Hardware Set</t>
  </si>
  <si>
    <t>K3-14000SPP</t>
  </si>
  <si>
    <t>Assembled Cable 3mm a 14 m1 for Hardware Set</t>
  </si>
  <si>
    <t>K3-25000AS</t>
  </si>
  <si>
    <t>Cable 25000mm Special</t>
  </si>
  <si>
    <t>K4-02555</t>
  </si>
  <si>
    <t>GOHD Kabelset, voor, 2555mm</t>
  </si>
  <si>
    <t>K4-02805</t>
  </si>
  <si>
    <t>GOHD Kabelset, voor, 2805mm</t>
  </si>
  <si>
    <t>K4-03305</t>
  </si>
  <si>
    <t>K4-04914</t>
  </si>
  <si>
    <t>K4-05414</t>
  </si>
  <si>
    <t>K4-06000SPP</t>
  </si>
  <si>
    <t>Assembled Cable 4 mm à 6 m1 for Hardware Set</t>
  </si>
  <si>
    <t>K4-06414</t>
  </si>
  <si>
    <t>K4-07000FR</t>
  </si>
  <si>
    <t>Cable 7000mm Special</t>
  </si>
  <si>
    <t>K4-08000LD</t>
  </si>
  <si>
    <t>Cable 8000mm Special</t>
  </si>
  <si>
    <t>K4-09000SPP</t>
  </si>
  <si>
    <t>Assembled Cable 4 mm a 9 m1 for Hardware Set</t>
  </si>
  <si>
    <t>K4-10000AS</t>
  </si>
  <si>
    <t>Cable 10000mm Special</t>
  </si>
  <si>
    <t>K4-12000AS</t>
  </si>
  <si>
    <t>Cable 12000mm Special</t>
  </si>
  <si>
    <t>K4-14000SPP</t>
  </si>
  <si>
    <t>Assembled Cable 4 mm a 14 m for Hardware Set</t>
  </si>
  <si>
    <t>K475-12000</t>
  </si>
  <si>
    <t>Verzinkte 4,75 kabel 6x19+PPC met Oogbout en Punt L=12000mm</t>
  </si>
  <si>
    <t>K5-06000SPP</t>
  </si>
  <si>
    <t>Assembled Cable 5 mm à 6 m1 for Hardware Set</t>
  </si>
  <si>
    <t>K5-09000SPP</t>
  </si>
  <si>
    <t>Assembled Cable 5 mm a 9 m1 for Hardware Set</t>
  </si>
  <si>
    <t>K5-12000AS</t>
  </si>
  <si>
    <t>K5-14000AS</t>
  </si>
  <si>
    <t>Cable 14000mm Special</t>
  </si>
  <si>
    <t>K5-14000SPP</t>
  </si>
  <si>
    <t>Assembled Cable 5 mm a 14m for Hardware Set</t>
  </si>
  <si>
    <t>K6-06000SPP</t>
  </si>
  <si>
    <t>Assembled Cable 6 mm à 6 m1 for Hardware Set</t>
  </si>
  <si>
    <t>K6-09000SPP</t>
  </si>
  <si>
    <t>Assembled Cable 6 mm a 9 m1 for Hardware Set</t>
  </si>
  <si>
    <t>K6-14000SPP</t>
  </si>
  <si>
    <t>Assembled Cable 6 mm a 14m for Hardware Set</t>
  </si>
  <si>
    <t>K6-15000AS</t>
  </si>
  <si>
    <t>Cable 15000mm Special</t>
  </si>
  <si>
    <t>K6-16000SPP</t>
  </si>
  <si>
    <t>Assembled Cable 6 mm a 16m for Hardware Set</t>
  </si>
  <si>
    <t>L1020-2</t>
  </si>
  <si>
    <t>LABEL-B</t>
  </si>
  <si>
    <t>B- Waarschuw. sticker-Belgie</t>
  </si>
  <si>
    <t>LABEL-BFR</t>
  </si>
  <si>
    <t>BFR-Waarschuw.sticker-Frans B.</t>
  </si>
  <si>
    <t>LABEL-D</t>
  </si>
  <si>
    <t>DU- Waarschuw. sticker-DU</t>
  </si>
  <si>
    <t>LABEL-DK</t>
  </si>
  <si>
    <t>DK- Waarschuw. sticker-Denem.</t>
  </si>
  <si>
    <t>LABEL-F</t>
  </si>
  <si>
    <t>F- Waarschuw. sticker-F</t>
  </si>
  <si>
    <t>LABEL-GB</t>
  </si>
  <si>
    <t>GB- Waarschuw. sticker-GB</t>
  </si>
  <si>
    <t>LABEL-I</t>
  </si>
  <si>
    <t>I- Waarschuw. sticker-Italie</t>
  </si>
  <si>
    <t>LABEL-NL</t>
  </si>
  <si>
    <t>NL- Waarschuw. sticker-NL</t>
  </si>
  <si>
    <t>LABEL-NO</t>
  </si>
  <si>
    <t>NO- Waarschuw. sticker-NO</t>
  </si>
  <si>
    <t>LABEL-PL</t>
  </si>
  <si>
    <t>PL- Waarschuw. sticker-PL</t>
  </si>
  <si>
    <t>LCAB1910</t>
  </si>
  <si>
    <t>Slotkabel, Normstahl, L=1910mm</t>
  </si>
  <si>
    <t>LCAB2410</t>
  </si>
  <si>
    <t>Slotkabel, Normstahl, L=2410mm</t>
  </si>
  <si>
    <t>LCAB2910</t>
  </si>
  <si>
    <t>Slotkabel, Normstahl, L=2910mm</t>
  </si>
  <si>
    <t>LCAB3410</t>
  </si>
  <si>
    <t>Slotkabel, Normstahl, L=3410mm</t>
  </si>
  <si>
    <t>LCO1500</t>
  </si>
  <si>
    <t>Buitenkabel, bowden, slot, 1500mm</t>
  </si>
  <si>
    <t>LCO3000</t>
  </si>
  <si>
    <t>Buitenkabel, bowden, slot, 3000mm</t>
  </si>
  <si>
    <t>LED-BAR-R</t>
  </si>
  <si>
    <t>Waarschuwingslicht op deur, rood</t>
  </si>
  <si>
    <t>LED-BULB</t>
  </si>
  <si>
    <t>LED lampje incl. ring, lens, connector</t>
  </si>
  <si>
    <t>LM100EVO</t>
  </si>
  <si>
    <t>GDO,100kg, allen de motorkop</t>
  </si>
  <si>
    <t>LM130EVO</t>
  </si>
  <si>
    <t>GDO, 130 kg alleen motorkop</t>
  </si>
  <si>
    <t>LM3800W</t>
  </si>
  <si>
    <t>Aandrijving, direct op as, 1", complete kit, inclu</t>
  </si>
  <si>
    <t>LM3800W-2</t>
  </si>
  <si>
    <t>Res. Andrijv LM3800W-2</t>
  </si>
  <si>
    <t>LM50EVFF</t>
  </si>
  <si>
    <t>Garagedeur aandrijving 500N 24DC, incl. 2 x afstan</t>
  </si>
  <si>
    <t>LM60EVO</t>
  </si>
  <si>
    <t>GDO,60kg, alleen de motorkop</t>
  </si>
  <si>
    <t>LM60EVO25</t>
  </si>
  <si>
    <t>GDO set, 60kg, max 2500 deurhoogte</t>
  </si>
  <si>
    <t>LM70EVFF</t>
  </si>
  <si>
    <t>Garagedeur aandrijving 700N 24DC, incl. 2 x afstan</t>
  </si>
  <si>
    <t>LM70EVFFC</t>
  </si>
  <si>
    <t>Garagedeur aandrijving 700N 24DC, incl. MyQ produc</t>
  </si>
  <si>
    <t>LM80EVO</t>
  </si>
  <si>
    <t>GDO,80kg, alleen de motorkop</t>
  </si>
  <si>
    <t>LMCM475</t>
  </si>
  <si>
    <t>Batterij back-up</t>
  </si>
  <si>
    <t>LPF</t>
  </si>
  <si>
    <t>Latei bevestigingsbeugel voor LPW profiel. Voor to</t>
  </si>
  <si>
    <t>LPS</t>
  </si>
  <si>
    <t>Latei bevestigingsbeugel voor LPW profiel. Voor be</t>
  </si>
  <si>
    <t>LPW5000</t>
  </si>
  <si>
    <t>Lateiprofiel aluminium, wit RAL9016, 68x2mm, L=500</t>
  </si>
  <si>
    <t>NETZTEIL</t>
  </si>
  <si>
    <t>Voeding voor Force668LM</t>
  </si>
  <si>
    <t>NICE100XC</t>
  </si>
  <si>
    <t>NICE kit, 100Nm, 24rpm, ketting bediening 5m, 3x23</t>
  </si>
  <si>
    <t>NICE140XC</t>
  </si>
  <si>
    <t>NICE kit, 140Nm, 20rpm, ketting bediening 5m, 3x23</t>
  </si>
  <si>
    <t>NICE70XC</t>
  </si>
  <si>
    <t>NICE kit, 70Nm, 20rpm, ketting bediening 5m, 1x230</t>
  </si>
  <si>
    <t>OSE-1113075</t>
  </si>
  <si>
    <t>Spiraalkabel, 0,75mm, 1000mm (spec)</t>
  </si>
  <si>
    <t>OSE-1113704</t>
  </si>
  <si>
    <t>Spiraalkabel 5x0,25, kleurcode max 3m</t>
  </si>
  <si>
    <t>OSE-1113926</t>
  </si>
  <si>
    <t>Spiraalkabel,1000mm,5x0.25,eind 1000+1500mm</t>
  </si>
  <si>
    <t>OSE-A-0002</t>
  </si>
  <si>
    <t>Adaptor sleeve 22-11</t>
  </si>
  <si>
    <t>OSE-CB</t>
  </si>
  <si>
    <t>Beldraad voor RES loopdeur kit (500m)</t>
  </si>
  <si>
    <t>OSE-IR</t>
  </si>
  <si>
    <t>Set universele fotocellen incl. 15m snoer</t>
  </si>
  <si>
    <t>OSE-KIT-BS</t>
  </si>
  <si>
    <t>Kit, onderdelen onderloopbeveiliging</t>
  </si>
  <si>
    <t>OSE-LAD1</t>
  </si>
  <si>
    <t>Verdeeldoos (klein) 57x37x21mm</t>
  </si>
  <si>
    <t>OSE-LAD2</t>
  </si>
  <si>
    <t>Aansluitdoos, voorgeassembleerd</t>
  </si>
  <si>
    <t>OSE-MAS-1</t>
  </si>
  <si>
    <t>Bumper voor OSE sensor 39x21x29mm</t>
  </si>
  <si>
    <t>OSE-MAS4</t>
  </si>
  <si>
    <t>Oploopblokje 39x21x53mm</t>
  </si>
  <si>
    <t>OSE-MAS-E</t>
  </si>
  <si>
    <t>Insteekmodule voor MAS-1 39x21x6mm</t>
  </si>
  <si>
    <t>OSE-MPDS</t>
  </si>
  <si>
    <t>Magneetschakelaar loopdeur</t>
  </si>
  <si>
    <t>OSE-PDSK-IND</t>
  </si>
  <si>
    <t>Kit tbv loopdeurschakelaar IND</t>
  </si>
  <si>
    <t>OSE-PDSK-MNL</t>
  </si>
  <si>
    <t>Manual OSE-PDSK-MNL</t>
  </si>
  <si>
    <t>OSE-PDSK-RES</t>
  </si>
  <si>
    <t>Kit tbv loopdeurschakelaar RES</t>
  </si>
  <si>
    <t>OSE-PDSK-RES-BS</t>
  </si>
  <si>
    <t>Kit voor loopdeurbeveiliging zonder schakelaar</t>
  </si>
  <si>
    <t>OSE-SCB1</t>
  </si>
  <si>
    <t>Geleidebeugel voor spiraalkabel</t>
  </si>
  <si>
    <t>OSE-SIGNAL-LP</t>
  </si>
  <si>
    <t>Optosensor set low power</t>
  </si>
  <si>
    <t>OSE-WL-KIT</t>
  </si>
  <si>
    <t>Draadloos systeem voor onderloop RX en TX</t>
  </si>
  <si>
    <t>OSE-WL-KIT-1</t>
  </si>
  <si>
    <t>1-Kanaals draadloos syst, zender/ontv</t>
  </si>
  <si>
    <t>OSE-WL-KIT-BAT</t>
  </si>
  <si>
    <t>Batterij voor OSE-WL-KIT</t>
  </si>
  <si>
    <t>OSE-WL-TX</t>
  </si>
  <si>
    <t>Zender, extra, tbv OSE-WL-KIT</t>
  </si>
  <si>
    <t>P2625S-100-C-EURO</t>
  </si>
  <si>
    <t>Veerplug 67mm, Stationair, Canimex</t>
  </si>
  <si>
    <t>PAINT5014</t>
  </si>
  <si>
    <t>Spuitbus verf RAL5014 tbv veren</t>
  </si>
  <si>
    <t>PRIMEMOTION-B</t>
  </si>
  <si>
    <t>Radar motion detector black</t>
  </si>
  <si>
    <t>QC-STICKER</t>
  </si>
  <si>
    <t>Quality Control Sticker</t>
  </si>
  <si>
    <t>R70PL60LH</t>
  </si>
  <si>
    <t>Keerschijfbeugel R70</t>
  </si>
  <si>
    <t>R70PL60RH</t>
  </si>
  <si>
    <t>RBOX420H</t>
  </si>
  <si>
    <t>Doos middenschar.420HZ+10RES</t>
  </si>
  <si>
    <t>REGLOBEAM</t>
  </si>
  <si>
    <t>Programmeerunit voor Herkules2</t>
  </si>
  <si>
    <t>RES350H-2500</t>
  </si>
  <si>
    <t>Horizontale railset (L+R) RES350 2500mm</t>
  </si>
  <si>
    <t>RES350H-3000</t>
  </si>
  <si>
    <t>Horizontale railset (L+R) RES350 3000mm</t>
  </si>
  <si>
    <t>RES350V-2125</t>
  </si>
  <si>
    <t>Vertical trackset RES350</t>
  </si>
  <si>
    <t>RES350V-2500</t>
  </si>
  <si>
    <t>RES350V-3000</t>
  </si>
  <si>
    <t>RES-TB</t>
  </si>
  <si>
    <t>Spanijzer garagedeuren</t>
  </si>
  <si>
    <t>RL15U3000</t>
  </si>
  <si>
    <t>U-bodemprofiel RESL 3000mm</t>
  </si>
  <si>
    <t>RL210</t>
  </si>
  <si>
    <t>E-bracket</t>
  </si>
  <si>
    <t>RL230</t>
  </si>
  <si>
    <t>Draw arm</t>
  </si>
  <si>
    <t>RL300</t>
  </si>
  <si>
    <t>Angle-bracket</t>
  </si>
  <si>
    <t>RL310</t>
  </si>
  <si>
    <t>Top-bracket</t>
  </si>
  <si>
    <t>RL320</t>
  </si>
  <si>
    <t>Railplaat RESL, 2V</t>
  </si>
  <si>
    <t>RL330</t>
  </si>
  <si>
    <t>Railconsole RESL, 2V</t>
  </si>
  <si>
    <t>RL330-P</t>
  </si>
  <si>
    <t>Railconsole RESL 2"</t>
  </si>
  <si>
    <t>RL580</t>
  </si>
  <si>
    <t>Onderlooprol, RESL</t>
  </si>
  <si>
    <t>RL592</t>
  </si>
  <si>
    <t>Twin looprol, RESL, 2"</t>
  </si>
  <si>
    <t>RLB-L</t>
  </si>
  <si>
    <t>Bodemhoek RESL systeem LH</t>
  </si>
  <si>
    <t>RLB-R</t>
  </si>
  <si>
    <t>Bodemhoek RESL systeem RH</t>
  </si>
  <si>
    <t>RL-B-ROL423</t>
  </si>
  <si>
    <t>Onderscharnier 423FZ kit RESL</t>
  </si>
  <si>
    <t>RL-B-ROL424</t>
  </si>
  <si>
    <t>Onderscharnier 424FZ kit RESL</t>
  </si>
  <si>
    <t>RL-CURV</t>
  </si>
  <si>
    <t>Kit Top bracket, assembled, RESL</t>
  </si>
  <si>
    <t>RL-END1</t>
  </si>
  <si>
    <t>Kit toproller bracket RESL</t>
  </si>
  <si>
    <t>RL-END2</t>
  </si>
  <si>
    <t>Kit Top bracket, closing pan, RESL</t>
  </si>
  <si>
    <t>RL-END3</t>
  </si>
  <si>
    <t>Kit Lower bracket RESL</t>
  </si>
  <si>
    <t>RL-SUSP</t>
  </si>
  <si>
    <t>Kit rail hanging RESL</t>
  </si>
  <si>
    <t>RLT3000</t>
  </si>
  <si>
    <t>Drempelprofiel RESL 3000mm</t>
  </si>
  <si>
    <t>RL-T-ROL423</t>
  </si>
  <si>
    <t>Bovenscharnier 423FZ kit RESL</t>
  </si>
  <si>
    <t>RL-T-ROL424</t>
  </si>
  <si>
    <t>Bovenscharnier 424FZ kit RESL</t>
  </si>
  <si>
    <t>RPW3000</t>
  </si>
  <si>
    <t>Renovatieprofiel, zij en boven, wit RAL9016, 100x4</t>
  </si>
  <si>
    <t>RPW5000</t>
  </si>
  <si>
    <t>RS200H20-60</t>
  </si>
  <si>
    <t>Horizontal track set,RS200,60mm,H=2125</t>
  </si>
  <si>
    <t>RS70H20</t>
  </si>
  <si>
    <t>Hor. railset (L+R) 70mm/2125mm</t>
  </si>
  <si>
    <t>RS70H30</t>
  </si>
  <si>
    <t>Hor. railset (L+R) 70mm/2250mm</t>
  </si>
  <si>
    <t>RSC560HL</t>
  </si>
  <si>
    <t>RSC bolted, zijplaat, lichtgewicht, links</t>
  </si>
  <si>
    <t>RSC560HR</t>
  </si>
  <si>
    <t>RSC bolted, zijplaat, lichtgewicht, rechts</t>
  </si>
  <si>
    <t>RSC560L</t>
  </si>
  <si>
    <t>Zijplaat, RSC, links</t>
  </si>
  <si>
    <t>RSC560NL</t>
  </si>
  <si>
    <t>Zijplaat, RSC, Links, Nieuw</t>
  </si>
  <si>
    <t>RSC560NR</t>
  </si>
  <si>
    <t>RSC, zijplaat, met uitsparing, gegalvaniseerd, rechts</t>
  </si>
  <si>
    <t>RSC560R</t>
  </si>
  <si>
    <t>Zijplaat, RSC, rechts</t>
  </si>
  <si>
    <t>RSC580HL</t>
  </si>
  <si>
    <t>RSC Bolted, zijplaat, links</t>
  </si>
  <si>
    <t>RSC580HR</t>
  </si>
  <si>
    <t>RSC Bolted, zijplaat, rechts</t>
  </si>
  <si>
    <t>RSCB01</t>
  </si>
  <si>
    <t>Transportbeugel blockdeur,RSC(T)</t>
  </si>
  <si>
    <t>RSCB02</t>
  </si>
  <si>
    <t>Rail bevestigingsbeugel blockdeur,RSC(T)</t>
  </si>
  <si>
    <t>RSCH10-60</t>
  </si>
  <si>
    <t>Horizontale railset (L+R) RSC 60, 2", H=2000</t>
  </si>
  <si>
    <t>RSCH10-60-9005</t>
  </si>
  <si>
    <t>Hor. railset (L+R) RSC 60, 2", H=2000, kleur</t>
  </si>
  <si>
    <t>RSCH10-60-9016</t>
  </si>
  <si>
    <t>RSCH20-60</t>
  </si>
  <si>
    <t>Horizontale railset (L+R), RSC 60, 2", H=2125</t>
  </si>
  <si>
    <t>RSCH20-60-9005</t>
  </si>
  <si>
    <t>Hor. railset (L+R), RSC 60, 2", H=2125, kleur</t>
  </si>
  <si>
    <t>RSCH20-60-9016</t>
  </si>
  <si>
    <t>RSCH30-60</t>
  </si>
  <si>
    <t>Horizontale railset (L+R), RSC 60, 2", H=2250</t>
  </si>
  <si>
    <t>RSCH30-60-9005</t>
  </si>
  <si>
    <t>Hor. railset (L+R), RSC 60, 2", H=2250, kleur</t>
  </si>
  <si>
    <t>RSCH30-60-9016</t>
  </si>
  <si>
    <t>RSCH40-60</t>
  </si>
  <si>
    <t>Horizontale railset (L+R), RSC 60, 2", H=2375</t>
  </si>
  <si>
    <t>RSCH40-60-9005</t>
  </si>
  <si>
    <t>Hor. railset (L+R), RSC 60, 2", H=2375, kleur</t>
  </si>
  <si>
    <t>RSCH40-60-9016</t>
  </si>
  <si>
    <t>RSCH50-60</t>
  </si>
  <si>
    <t>Hor. railset (L+R), RSC 60, 2", H=2500</t>
  </si>
  <si>
    <t>RSCH50-60-9005</t>
  </si>
  <si>
    <t>Hor. railset (L+R), RSC 60, 2", H=2500, kleur</t>
  </si>
  <si>
    <t>RSCH50-60-9016</t>
  </si>
  <si>
    <t>RSCH60-60</t>
  </si>
  <si>
    <t>Horizontale railset (L+R), RSC 60, 2", H=2750</t>
  </si>
  <si>
    <t>RSCH60-60-9005</t>
  </si>
  <si>
    <t>Hor. railset (L+R), RSC 60, 2", H=2750, kleur</t>
  </si>
  <si>
    <t>RSCH60-60-9016</t>
  </si>
  <si>
    <t>RSCH70-60-9005</t>
  </si>
  <si>
    <t>RSCH70-60-9016</t>
  </si>
  <si>
    <t>RSCHA2000</t>
  </si>
  <si>
    <t>RSC bolted, horizontale set (L+R), alu bocht, OPH 2000mm</t>
  </si>
  <si>
    <t>RSCHA2125</t>
  </si>
  <si>
    <t>RSC bolted, horizontale set (L+R), alu bocht, OPH 2125mm</t>
  </si>
  <si>
    <t>RSCHA2250</t>
  </si>
  <si>
    <t>RSC bolted, horizontale set (L+R), alu bocht, OPH 2250mm</t>
  </si>
  <si>
    <t>RSCHA2375</t>
  </si>
  <si>
    <t>RSC bolted, horizontale set (L+R), alu bocht, OPH 2375mm</t>
  </si>
  <si>
    <t>RSCHA2500</t>
  </si>
  <si>
    <t>RSC bolted, horizontale set (L+R), alu bocht, OPH 2500mm</t>
  </si>
  <si>
    <t>RSCHA2750</t>
  </si>
  <si>
    <t>RSC bolted, horizontale set (L+R), alu bocht, OPH 2750mm</t>
  </si>
  <si>
    <t>RSCHA3000</t>
  </si>
  <si>
    <t>RSC bolted, horizontale set (L+R), alu bocht, OPH 3000mm</t>
  </si>
  <si>
    <t>RSCHAS2000</t>
  </si>
  <si>
    <t>RSC bolted, horizontale set (L+R), recht, OPH 2000mm</t>
  </si>
  <si>
    <t>RSCHAS2125</t>
  </si>
  <si>
    <t>RSC bolted, horizontale set (L+R), recht, OPH 2125mm</t>
  </si>
  <si>
    <t>RSCHAS2250</t>
  </si>
  <si>
    <t>RSC bolted, horizontale set (L+R), recht, OPH 2250mm</t>
  </si>
  <si>
    <t>RSCHAS2375</t>
  </si>
  <si>
    <t>RSC bolted, horizontale set (L+R), recht, OPH 2375mm</t>
  </si>
  <si>
    <t>RSCHAS2500</t>
  </si>
  <si>
    <t>RSC bolted, horizontale set (L+R), recht, OPH 2500mm</t>
  </si>
  <si>
    <t>RSCHAS2750</t>
  </si>
  <si>
    <t>RSC bolted, horizontale set (L+R), recht, OPH 2750mm</t>
  </si>
  <si>
    <t>RSCHAS3000</t>
  </si>
  <si>
    <t>RSC bolted, horizontale set (L+R), recht, OPH 3000mm</t>
  </si>
  <si>
    <t>RSCHM05</t>
  </si>
  <si>
    <t>Hor. railset (L+R) RSC 2, H=1900</t>
  </si>
  <si>
    <t>RSCHM10</t>
  </si>
  <si>
    <t>Hor. railset (L+R) RSC2, H=2000</t>
  </si>
  <si>
    <t>RSCHM10-9005</t>
  </si>
  <si>
    <t>Hor. railset (L+R) RSC2, H=2000, kleur</t>
  </si>
  <si>
    <t>RSCHM10-9016</t>
  </si>
  <si>
    <t>RSCHM20</t>
  </si>
  <si>
    <t>Hor. railset (L+R) RSC2, H=2125</t>
  </si>
  <si>
    <t>RSCHM20-9005</t>
  </si>
  <si>
    <t>Hor. railset (L+R) RSC2, H=2125, kleur</t>
  </si>
  <si>
    <t>RSCHM20-9016</t>
  </si>
  <si>
    <t>RSCHM30</t>
  </si>
  <si>
    <t>Hor. railset (L+R) RSC2, H=2250</t>
  </si>
  <si>
    <t>RSCHM30-9005</t>
  </si>
  <si>
    <t>Hor. railset (L+R) RSC2, H=2250, kleur</t>
  </si>
  <si>
    <t>RSCHM30-9016</t>
  </si>
  <si>
    <t>RSCHM40</t>
  </si>
  <si>
    <t>Hor. railset (L+R) RSC2, H=2375</t>
  </si>
  <si>
    <t>RSCHM40-9005</t>
  </si>
  <si>
    <t>Hor. railset (L+R) RSC2, H=2375, kleur</t>
  </si>
  <si>
    <t>RSCHM40-9016</t>
  </si>
  <si>
    <t>RSCHM50</t>
  </si>
  <si>
    <t>Hor. railset (L+R) RSC2, H=2500</t>
  </si>
  <si>
    <t>RSCHM50-9005</t>
  </si>
  <si>
    <t>Hor. railset (L+R) RSC2, H=2500, kleur</t>
  </si>
  <si>
    <t>RSCHM50-9016</t>
  </si>
  <si>
    <t>RSCHM60</t>
  </si>
  <si>
    <t>Hor. railset (L+R) RSC2, H=2750</t>
  </si>
  <si>
    <t>RSCHM60-9005</t>
  </si>
  <si>
    <t>Hor. railset (L+R) RSC2, H=2750, kleur</t>
  </si>
  <si>
    <t>RSCHM60-9016</t>
  </si>
  <si>
    <t>RSCHM70</t>
  </si>
  <si>
    <t>Hor. railset (L+R) RSC2, H=3000</t>
  </si>
  <si>
    <t>RSCHM70-9005</t>
  </si>
  <si>
    <t>Hor. railset (L+R) RSC2, H=3000, kleur</t>
  </si>
  <si>
    <t>RSCHM70-9016</t>
  </si>
  <si>
    <t>RSCHS10</t>
  </si>
  <si>
    <t>Hor. railset (L+R) RSC2, recht, H=2000</t>
  </si>
  <si>
    <t>RSCHS20</t>
  </si>
  <si>
    <t>Hor. railset (L+R) RSC2, recht, H=2125</t>
  </si>
  <si>
    <t>RSCHS30</t>
  </si>
  <si>
    <t>Hor. railset (L+R) RSC2, recht, H=2250</t>
  </si>
  <si>
    <t>RSCHS40</t>
  </si>
  <si>
    <t>Hor. railset (L+R) RSC2, recht, H=2375</t>
  </si>
  <si>
    <t>RSCHS50</t>
  </si>
  <si>
    <t>Hor. railset (L+R) RSC2, recht, H=2500</t>
  </si>
  <si>
    <t>RSCHS60</t>
  </si>
  <si>
    <t>Hor. railset (L+R) RSC2, recht, H=2750</t>
  </si>
  <si>
    <t>RSCHS70</t>
  </si>
  <si>
    <t>Hor. railset (L+R) RSC2, recht, H=3000</t>
  </si>
  <si>
    <t>RSCHT05</t>
  </si>
  <si>
    <t>Hor. railset (L+R) RSC-T, 2" rail +bocht, H=1900</t>
  </si>
  <si>
    <t>RSCHT10</t>
  </si>
  <si>
    <t>Hor. railset (L+R) RSC-T, 2" rail +bocht, H=2000</t>
  </si>
  <si>
    <t>RSCHT20</t>
  </si>
  <si>
    <t>Hor. railset (L+R) RSC-T, 2" rail +bocht, H=2125</t>
  </si>
  <si>
    <t>RSCHT30</t>
  </si>
  <si>
    <t>Hor. railset (L+R) RSC-T, 2" rail +bocht, H=2250</t>
  </si>
  <si>
    <t>RSCHT40</t>
  </si>
  <si>
    <t>Hor. railset (L+R) RSC-T, 2" rail +bocht, H=2375</t>
  </si>
  <si>
    <t>RSCHT50</t>
  </si>
  <si>
    <t>Hor. railset (L+R) RSC-T, 2" rail +bocht, H=2500</t>
  </si>
  <si>
    <t>RSCHT60</t>
  </si>
  <si>
    <t>Hor. railset (L+R) RSC-T, 2" rail +bocht, H=2750</t>
  </si>
  <si>
    <t>RSCHT70</t>
  </si>
  <si>
    <t>Hor. railset (L+R) RSC-T, 2" rail +bocht, H=3000</t>
  </si>
  <si>
    <t>RSC-MNL-F</t>
  </si>
  <si>
    <t>Manual for RSC springs, front</t>
  </si>
  <si>
    <t>RSC-MNL-HARM01</t>
  </si>
  <si>
    <t>Manual RSC for springs Norwegian</t>
  </si>
  <si>
    <t>RSC-MNL-R</t>
  </si>
  <si>
    <t>Manual for RSC springs, rear</t>
  </si>
  <si>
    <t>RSCR60L</t>
  </si>
  <si>
    <t>Keerschijfsamenstelling, RSC, links</t>
  </si>
  <si>
    <t>RSCR60R</t>
  </si>
  <si>
    <t>Keerschijfsamenstelling, RSC, rechts</t>
  </si>
  <si>
    <t>RSC-T-V2-MNL-GB</t>
  </si>
  <si>
    <t>Manual, RSC-T 2.0</t>
  </si>
  <si>
    <t>RSCV10Z-60</t>
  </si>
  <si>
    <t>Vert. railset (L+R) RSC60 215VC, H=2000;</t>
  </si>
  <si>
    <t>RSCV10Z-60-9005</t>
  </si>
  <si>
    <t>Vert. railset (L+R) RSC60 215VC, H=2000, kleur</t>
  </si>
  <si>
    <t>RSCV10Z-60-9016</t>
  </si>
  <si>
    <t>RSCV20Z-60</t>
  </si>
  <si>
    <t>Vert. railset (L+R) RSC60 215VC, H=2125</t>
  </si>
  <si>
    <t>RSCV20Z-60-9005</t>
  </si>
  <si>
    <t>Vert. railset (L+R) RSC60 215VC, H=2125, kleur</t>
  </si>
  <si>
    <t>RSCV20Z-60-9016</t>
  </si>
  <si>
    <t>RSCV21LDZ</t>
  </si>
  <si>
    <t>Verticale railset (L+R) RSC, 2" wigmaat 46mm</t>
  </si>
  <si>
    <t>RSCV30Z-60</t>
  </si>
  <si>
    <t>Vert. railsets (L+R) RSC60 215VC, H=2250</t>
  </si>
  <si>
    <t>RSCV30Z-60-9005</t>
  </si>
  <si>
    <t>Vert. railsets (L+R) RSC60 215VC, H=2250, kleur</t>
  </si>
  <si>
    <t>RSCV30Z-60-9016</t>
  </si>
  <si>
    <t>RSCV40Z-60</t>
  </si>
  <si>
    <t>Vert. railset (L+R) RSC60 215VC, H=2375</t>
  </si>
  <si>
    <t>RSCV40Z-60-9005</t>
  </si>
  <si>
    <t>Vert. railset (L+R) RSC60 215VC, H=2375, kleur</t>
  </si>
  <si>
    <t>RSCV40Z-60-9016</t>
  </si>
  <si>
    <t>RSCV50Z-60</t>
  </si>
  <si>
    <t>Vert. railset (L+R),RSC60 215VC, H=2500</t>
  </si>
  <si>
    <t>RSCV50Z-60-9005</t>
  </si>
  <si>
    <t>Vert. railset (L+R),RSC60 215VC, H=2500, kleur</t>
  </si>
  <si>
    <t>RSCV50Z-60-9016</t>
  </si>
  <si>
    <t>RSCV60Z-60</t>
  </si>
  <si>
    <t>Vert. railset (L+R), RSC60 215VC, H=2750</t>
  </si>
  <si>
    <t>RSCV60Z-60-9005</t>
  </si>
  <si>
    <t>Vert. railset (L+R), RSC60 215VC, H=2750, kleur</t>
  </si>
  <si>
    <t>RSCV60Z-60-9016</t>
  </si>
  <si>
    <t>RSCV70Z-60</t>
  </si>
  <si>
    <t>Vert. railset (L+R),RSC60 215VC, H=3000</t>
  </si>
  <si>
    <t>RSCV70Z-60-9005</t>
  </si>
  <si>
    <t>Vert. railset (L+R),RSC60 215VC, H=3000, kleur</t>
  </si>
  <si>
    <t>RSCV70Z-60-9016</t>
  </si>
  <si>
    <t>RSCVB10Z</t>
  </si>
  <si>
    <t>Vert. railset RSC2 open C+915VB H=2000</t>
  </si>
  <si>
    <t>RSCVB20Z</t>
  </si>
  <si>
    <t>Vert. railset RSC2 open C+915VB H=2125</t>
  </si>
  <si>
    <t>RSCVB30Z</t>
  </si>
  <si>
    <t>Vert. railset RSC2 open C+915VB H=2250 -OUD</t>
  </si>
  <si>
    <t>RSCVB40Z</t>
  </si>
  <si>
    <t>Vert. railset RSC2 open C+915VB H=2375</t>
  </si>
  <si>
    <t>RSCVB50Z</t>
  </si>
  <si>
    <t>Vert. railset RSC2 open C+915VB H=2500</t>
  </si>
  <si>
    <t>RSCVB60Z</t>
  </si>
  <si>
    <t>Vert. railset RSC2 open C+915VB H=2750</t>
  </si>
  <si>
    <t>RSCVB70Z</t>
  </si>
  <si>
    <t>Vert. railset RSC2 open C+915VB H=3000</t>
  </si>
  <si>
    <t>RSCVBA2000Z</t>
  </si>
  <si>
    <t>RSC Bolted, vertical set (L+R), 915VBH, OPH 2000mm</t>
  </si>
  <si>
    <t>RSCVBA2125Z</t>
  </si>
  <si>
    <t>RSC Bolted, vertical set (L+R), 915VBH, OPH 2125mm</t>
  </si>
  <si>
    <t>RSCVBA2250Z</t>
  </si>
  <si>
    <t>RSC Bolted, vertical set (L+R), 915VBH, OPH 2250mm</t>
  </si>
  <si>
    <t>RSCVBA2375Z</t>
  </si>
  <si>
    <t>RSC Bolted, vertical set (L+R), 915VBH, OPH 2375mm</t>
  </si>
  <si>
    <t>RSCVBA2500Z</t>
  </si>
  <si>
    <t>RSC Bolted, vertical set (L+R), 915VBH, OPH 2500mm</t>
  </si>
  <si>
    <t>RSCVBA2750Z</t>
  </si>
  <si>
    <t>RSC Bolted, vertical set (L+R), 915VBH, OPH 2750mm</t>
  </si>
  <si>
    <t>RSCVBA3000Z</t>
  </si>
  <si>
    <t>RSC Bolted, vertical set (L+R), 915VBH, OPH 3000mm</t>
  </si>
  <si>
    <t>RSCVBC10Z</t>
  </si>
  <si>
    <t>Vert. railset RSC2, 215VC+915VB, H=2000</t>
  </si>
  <si>
    <t>RSCVBC10Z-9005</t>
  </si>
  <si>
    <t>RSCVBC10Z-9016</t>
  </si>
  <si>
    <t>RSCVBC20Z</t>
  </si>
  <si>
    <t>Vert. railset (L+R) RSC 215VC+915VB H=2125</t>
  </si>
  <si>
    <t>RSCVBC20Z-9005</t>
  </si>
  <si>
    <t>Vert. railset (L+R) RSC 215VC+915VB H=2125, kleur</t>
  </si>
  <si>
    <t>RSCVBC20Z-9016</t>
  </si>
  <si>
    <t>RSCVBC30Z</t>
  </si>
  <si>
    <t>Vert. railset (L+R) RSC 215VC+915VB H=2250</t>
  </si>
  <si>
    <t>RSCVBC30Z-9005</t>
  </si>
  <si>
    <t>Vert. railset (L+R) RSC 215VC+915VB H=2250, kleur</t>
  </si>
  <si>
    <t>RSCVBC30Z-9016</t>
  </si>
  <si>
    <t>RSCVBC40Z</t>
  </si>
  <si>
    <t>Vert. railset (L+R) RSC 215VC+915VB H=2375</t>
  </si>
  <si>
    <t>RSCVBC40Z-9005</t>
  </si>
  <si>
    <t>Vert. railset (L+R) RSC 215VC+915VB H=2375, kleur</t>
  </si>
  <si>
    <t>RSCVBC40Z-9016</t>
  </si>
  <si>
    <t>RSCVBC50Z</t>
  </si>
  <si>
    <t>Vert. railset (L+R) RSC 215VC+915VB H=2500</t>
  </si>
  <si>
    <t>RSCVBC50Z-9005</t>
  </si>
  <si>
    <t>Vert. railset (L+R) RSC 215VC+915VB H=2500, kleur</t>
  </si>
  <si>
    <t>RSCVBC50Z-9016</t>
  </si>
  <si>
    <t>RSCVBC60Z</t>
  </si>
  <si>
    <t>Vert. railset (L+R) RSC 215VC+915VB H=2750</t>
  </si>
  <si>
    <t>RSCVBC60Z-9005</t>
  </si>
  <si>
    <t>Vert. railset (L+R) RSC 215VC+915VB H=2750, kleur</t>
  </si>
  <si>
    <t>RSCVBC60Z-9016</t>
  </si>
  <si>
    <t>RSCVBC70Z</t>
  </si>
  <si>
    <t>Vert. railset (L+R) RSC 215VC+915VB H=3000</t>
  </si>
  <si>
    <t>RSCVBC70Z-9005</t>
  </si>
  <si>
    <t>Vert. railset (L+R) RSC 215VC+915VB H=3000, kleur</t>
  </si>
  <si>
    <t>RSCVBC70Z-9016</t>
  </si>
  <si>
    <t>RSCVL10Z</t>
  </si>
  <si>
    <t>Vert. railset (L+R) RSC2 215V+915VL, H=2000</t>
  </si>
  <si>
    <t>RSCVL20Z</t>
  </si>
  <si>
    <t>Vert. railset (L+R) RSC2 215V+915VL, H=2125</t>
  </si>
  <si>
    <t>RSCVL30Z</t>
  </si>
  <si>
    <t>Vert. railset (L+R) RSC2 215V+915VL, H=2250</t>
  </si>
  <si>
    <t>RSCVL40Z</t>
  </si>
  <si>
    <t>Vert. railset (L+R) RSC2 215V+915VL, H=2375</t>
  </si>
  <si>
    <t>RSCVL50Z</t>
  </si>
  <si>
    <t>Vert. railset (L+R) RSC2 215V+915VL, H=2500</t>
  </si>
  <si>
    <t>RSCVL60Z</t>
  </si>
  <si>
    <t>Vert. railset (L+R) RSC2 215V+915VL, H=2750</t>
  </si>
  <si>
    <t>RSCVL70Z</t>
  </si>
  <si>
    <t>Vert. railset (L+R) RSC2 215V+915VL, H=3000</t>
  </si>
  <si>
    <t>RSCVLA2000Z</t>
  </si>
  <si>
    <t>RSC bolted, vertikale set (L+R), 915VLH, OPH 2000mm</t>
  </si>
  <si>
    <t>RSCVLA2125Z</t>
  </si>
  <si>
    <t>RSC bolted, vertikale set (L+R), 915VLH, OPH 2125mm</t>
  </si>
  <si>
    <t>RSCVLA2250Z</t>
  </si>
  <si>
    <t>RSC bolted, vertikale set (L+R), 915VLH, OPH 2250mm</t>
  </si>
  <si>
    <t>RSCVLA2375Z</t>
  </si>
  <si>
    <t>RSC bolted, vertikale set (L+R), 915VLH, OPH 2375mm</t>
  </si>
  <si>
    <t>RSCVLA2500Z</t>
  </si>
  <si>
    <t>RSC bolted, vertikale set (L+R), 915VLH, OPH 2500mm</t>
  </si>
  <si>
    <t>RSCVLA2750Z</t>
  </si>
  <si>
    <t>RSC bolted, vertikale set (L+R), 915VLH, OPH 2750mm</t>
  </si>
  <si>
    <t>RSCVLA3000Z</t>
  </si>
  <si>
    <t>RSC bolted, vertikale set (L+R), 915VLH, OPH 3000mm</t>
  </si>
  <si>
    <t>RSCVLC10Z</t>
  </si>
  <si>
    <t>Vert. railset (L+R) RSC2,215VC+915VL, H=2000</t>
  </si>
  <si>
    <t>RSCVLC20Z</t>
  </si>
  <si>
    <t>Vert. railset (L+R) RSC2,215VC+915VL, H=2125</t>
  </si>
  <si>
    <t>RSCVLC28Z</t>
  </si>
  <si>
    <t>Vert. railset (L+R) RSC2,215VC+915VL</t>
  </si>
  <si>
    <t>RSCVLC30Z</t>
  </si>
  <si>
    <t>Vert. railset (L+R) RSC2,215VC+915VL,H=2250</t>
  </si>
  <si>
    <t>RSCVLC32Z</t>
  </si>
  <si>
    <t>RSCVLC40Z</t>
  </si>
  <si>
    <t>Vert. railset (L+R) RSC2,215VC+915VL, H=2375</t>
  </si>
  <si>
    <t>RSCVLC50Z</t>
  </si>
  <si>
    <t>Vert. railset (L+R) RSC2,215VC+915VL, H=2500</t>
  </si>
  <si>
    <t>RSCVLC60Z</t>
  </si>
  <si>
    <t>Vert. railset (L+R) RSC2,215VC+915VL, H=2750</t>
  </si>
  <si>
    <t>RSCVLC70Z</t>
  </si>
  <si>
    <t>Vert. railset (L+R) RSC2,215VC+915VL, H=3000</t>
  </si>
  <si>
    <t>RSCVT05Z</t>
  </si>
  <si>
    <t>Verticale railset (L+R) RSC-T, 2" H=1900</t>
  </si>
  <si>
    <t>RSCVT10Z</t>
  </si>
  <si>
    <t>RSCVT20Z</t>
  </si>
  <si>
    <t>Verticale railset (L+R) RSC-T, 2" H=2125</t>
  </si>
  <si>
    <t>RSCVT30Z</t>
  </si>
  <si>
    <t>Verticale railset (L+R) RSC-T, 2" H=2250</t>
  </si>
  <si>
    <t>RSCVT40Z</t>
  </si>
  <si>
    <t>Verticale railset (L+R) RSC-T, 2" H=2375</t>
  </si>
  <si>
    <t>RSCVT50Z</t>
  </si>
  <si>
    <t>Verticale railset (L+R) RSC-T, 2" H=2500</t>
  </si>
  <si>
    <t>RSCVTC05Z</t>
  </si>
  <si>
    <t>Vert. railset (L+R) RSC2, 215VC+915VL, H=1900</t>
  </si>
  <si>
    <t>RSCVTC10Z</t>
  </si>
  <si>
    <t>Vert. railset (L+R) RSC2, 215VC+915VL, H=2000</t>
  </si>
  <si>
    <t>RSCVTC20Z</t>
  </si>
  <si>
    <t>Vert. railset (L+R) RSC2, 215VC+915VL, H=2125</t>
  </si>
  <si>
    <t>RSCVTC30Z</t>
  </si>
  <si>
    <t>Vert. railset (L+R) RSC2, 215VC+915VL, H=2250</t>
  </si>
  <si>
    <t>RSCVTC40Z</t>
  </si>
  <si>
    <t>Vert. railset (L+R) RSC2, 215VC+915VL, H=2375</t>
  </si>
  <si>
    <t>RSCVTC50Z</t>
  </si>
  <si>
    <t>Vert. railset (L+R) RSC2, 215VC+915VL, H=2500</t>
  </si>
  <si>
    <t>RSCXV10TS</t>
  </si>
  <si>
    <t>Vert. railset RSC-T, H=2000</t>
  </si>
  <si>
    <t>RSCXV30TS</t>
  </si>
  <si>
    <t>Vert. railset RSC-T, H=2250</t>
  </si>
  <si>
    <t>RSV10Z-60</t>
  </si>
  <si>
    <t>Verticale railset (L+R) RS200/90,60mm, H=2000</t>
  </si>
  <si>
    <t>RSV30Z-60</t>
  </si>
  <si>
    <t>Verticale railset (L+R) RS200/90,60mm, H=2250</t>
  </si>
  <si>
    <t>RSV50Z-60</t>
  </si>
  <si>
    <t>Verticale railset (L+R) RS200/90,60mm, H=2500</t>
  </si>
  <si>
    <t>RSV70Z-60</t>
  </si>
  <si>
    <t>Verticale railset (L+R) RS200/90,60mm, H=3000</t>
  </si>
  <si>
    <t>RTSH10</t>
  </si>
  <si>
    <t>Horizontale railset (L+R) RSC-T, H=2000</t>
  </si>
  <si>
    <t>RTSH20</t>
  </si>
  <si>
    <t>Horizontale railset (L+R) RSC-T, H=2125</t>
  </si>
  <si>
    <t>RTSH30</t>
  </si>
  <si>
    <t>Horizontale railset (L+R) RSC-T, H=2250</t>
  </si>
  <si>
    <t>RTV10Z</t>
  </si>
  <si>
    <t>Res-T Verticale railset (L+R) ex 1085N</t>
  </si>
  <si>
    <t>RTV20Z</t>
  </si>
  <si>
    <t>RES-X horiz. track set (L+R) tbv 2500mm</t>
  </si>
  <si>
    <t>RTV30Z</t>
  </si>
  <si>
    <t>RTV50Z</t>
  </si>
  <si>
    <t>RTV70Z</t>
  </si>
  <si>
    <t>RES-X horiz. track set (L+R) tbv 3000mm</t>
  </si>
  <si>
    <t>RX1C</t>
  </si>
  <si>
    <t>Ontvanger 1 Kanaal Frequenz 868 MHz</t>
  </si>
  <si>
    <t>RX60L</t>
  </si>
  <si>
    <t>afdekplaat RX60 LINKS</t>
  </si>
  <si>
    <t>RX60R</t>
  </si>
  <si>
    <t>afdekplaat RX60 RECHTS</t>
  </si>
  <si>
    <t>RX80H</t>
  </si>
  <si>
    <t>RSC Bolted, beugel, keerschijf</t>
  </si>
  <si>
    <t>RX80L</t>
  </si>
  <si>
    <t>afdekplaat RX80 LINKS</t>
  </si>
  <si>
    <t>RX80R</t>
  </si>
  <si>
    <t>afdekplaat RX80 RECHTS</t>
  </si>
  <si>
    <t>RXF-L</t>
  </si>
  <si>
    <t>Bochtsamenstelling RX-LH FRONT</t>
  </si>
  <si>
    <t>RXF-R</t>
  </si>
  <si>
    <t>Bochtsamenstelling RX-RH FRONT</t>
  </si>
  <si>
    <t>RXH10</t>
  </si>
  <si>
    <t>RES-X horiz. railset (L+R) tbv 2000mm</t>
  </si>
  <si>
    <t>RXH20</t>
  </si>
  <si>
    <t>RES-X horiz. railset (L+R) tbv 2125mm</t>
  </si>
  <si>
    <t>RXH30</t>
  </si>
  <si>
    <t>RES-X horiz. railset (L+R) tbv 2250mm</t>
  </si>
  <si>
    <t>RXH50</t>
  </si>
  <si>
    <t>RES-X horiz. railset (L+R) tbv 2500mm</t>
  </si>
  <si>
    <t>RXH70</t>
  </si>
  <si>
    <t>RES-X horiz. railset (L+R) tbv 3000mm</t>
  </si>
  <si>
    <t>RXR-L</t>
  </si>
  <si>
    <t>Bochtsamenstelling RX-LH REAR</t>
  </si>
  <si>
    <t>RXR-R</t>
  </si>
  <si>
    <t>Bochtsamenstelling RX-RH REAR</t>
  </si>
  <si>
    <t>SDL100Q</t>
  </si>
  <si>
    <t>100Nm,24RPM,ontkoppeling,UST1KL</t>
  </si>
  <si>
    <t>SDL-NB-HKE</t>
  </si>
  <si>
    <t>Handketting A4x16 (100m)</t>
  </si>
  <si>
    <t>SDL-NB-HKENG</t>
  </si>
  <si>
    <t>Noodschakel voor CDO ketting</t>
  </si>
  <si>
    <t>SDL-UST1-KL</t>
  </si>
  <si>
    <t>Schakelkast voor CDO incl. 3 knoppen</t>
  </si>
  <si>
    <t>SE140-TS971</t>
  </si>
  <si>
    <t>Aandrijving set, 140Nm aandrijving, 31,75mm as, 21</t>
  </si>
  <si>
    <t>SE90E-TS970</t>
  </si>
  <si>
    <t>Aandrijving set, 90Nm aandrijving, 25,4mm as, 24rp</t>
  </si>
  <si>
    <t>SE90E-TS971</t>
  </si>
  <si>
    <t>SE90-TS970</t>
  </si>
  <si>
    <t>SE90-TS971</t>
  </si>
  <si>
    <t>SI180FU-TS971</t>
  </si>
  <si>
    <t>GFA Operator, SI8.180FI, TS971, 80Nm, 30-180Rpm, 1x230V,</t>
  </si>
  <si>
    <t>SP20200001</t>
  </si>
  <si>
    <t>IDD-SP Umlenkrolle Balla</t>
  </si>
  <si>
    <t>SS-EK-KIT1BL-ALU</t>
  </si>
  <si>
    <t>Epco/Kingspan SafeStep kit, 840mm, LH 500,500,500,</t>
  </si>
  <si>
    <t>SS-EK-KIT1BR-ALU</t>
  </si>
  <si>
    <t>Epco/Kingspan SafeStep kit, 840mm, RH 500,500,500,</t>
  </si>
  <si>
    <t>SS-EK-KIT2BL-ALU</t>
  </si>
  <si>
    <t>Epco/Kingspan SafeStep kit, 840mm, LH 610,500,500,</t>
  </si>
  <si>
    <t>SS-EK-KIT2BR-ALU</t>
  </si>
  <si>
    <t>Epco/Kingspan SafeStep kit, 840mm, RH 610,500,500,</t>
  </si>
  <si>
    <t>SS-EK-KIT4BL-ALU</t>
  </si>
  <si>
    <t>Epco/Kingspan SafeStep kit, 840mm, LH 610,610,610,</t>
  </si>
  <si>
    <t>SS-EK-KIT4BR-ALU</t>
  </si>
  <si>
    <t>Epco/Kingspan SafeStep kit, 840mm, RH 610,610,610,</t>
  </si>
  <si>
    <t>SS-KE-KIT1LA</t>
  </si>
  <si>
    <t>SafeStep kit, KS/Epco geano ex slotgaten,LH</t>
  </si>
  <si>
    <t>SS-M-KIT1BL-ALU</t>
  </si>
  <si>
    <t>Metecno, Tecsedo &amp; Italpannelli SafeStepkit, 840mm</t>
  </si>
  <si>
    <t>SS-M-KIT1BR-ALU</t>
  </si>
  <si>
    <t>SS-M-KIT2BL-ALU</t>
  </si>
  <si>
    <t>SS-M-KIT2BR-ALU</t>
  </si>
  <si>
    <t>SS-M-KIT4BL-ALU</t>
  </si>
  <si>
    <t>SS-M-KIT4BR-ALU</t>
  </si>
  <si>
    <t>T90239</t>
  </si>
  <si>
    <t>Schroefnippel, deel van 650ERM</t>
  </si>
  <si>
    <t>TBFF200</t>
  </si>
  <si>
    <t>Verenpers mal voor FF200 veerpluggen</t>
  </si>
  <si>
    <t>TBFF200-263</t>
  </si>
  <si>
    <t>Buigpen TBFF200-263</t>
  </si>
  <si>
    <t>TBFF263</t>
  </si>
  <si>
    <t>Verenpers mal voor FF263 veerpluggen</t>
  </si>
  <si>
    <t>TBM500-9002-11800</t>
  </si>
  <si>
    <t>TBM500 Ral 9002 36pc 11,8mtr long</t>
  </si>
  <si>
    <t>TBM610-9002-11800</t>
  </si>
  <si>
    <t>TBM610 Ral 9002 72pc 11,8mtr long</t>
  </si>
  <si>
    <t>TOF-BRACKET</t>
  </si>
  <si>
    <t>Bevestigingsbeugel voor TOF-SPOT met positionering</t>
  </si>
  <si>
    <t>TOF-MARKER-R</t>
  </si>
  <si>
    <t>Vloermarkering voor detectiepunt van TOF-SPOT</t>
  </si>
  <si>
    <t>TOF-SPOT</t>
  </si>
  <si>
    <t>Detectie sensor met exacte detectieafstand van 0,2</t>
  </si>
  <si>
    <t>TS417L</t>
  </si>
  <si>
    <t>Toprolhouder RSC-T 40mm L</t>
  </si>
  <si>
    <t>TS417R</t>
  </si>
  <si>
    <t>Toprolhouder RSC-T 40mm R</t>
  </si>
  <si>
    <t>TS417WL</t>
  </si>
  <si>
    <t>Toprolhouder RSC-T 40mm wit L</t>
  </si>
  <si>
    <t>TS417WR</t>
  </si>
  <si>
    <t>Toprolhouder RSC-T 40mm wit R</t>
  </si>
  <si>
    <t>TSC670-2232</t>
  </si>
  <si>
    <t>Tension Spring Set RSC-T</t>
  </si>
  <si>
    <t>TSC670-2235</t>
  </si>
  <si>
    <t>TSC670-2237</t>
  </si>
  <si>
    <t>TSC670-2242</t>
  </si>
  <si>
    <t>TSC670-2244</t>
  </si>
  <si>
    <t>TSC670-2246</t>
  </si>
  <si>
    <t>TSC670-2247</t>
  </si>
  <si>
    <t>Trekveer, samenstelling, max. 113kg, max. 2050mm, pcs(1)</t>
  </si>
  <si>
    <t>TSC670-2532</t>
  </si>
  <si>
    <t>TSC670-2535</t>
  </si>
  <si>
    <t>TSC670-2537</t>
  </si>
  <si>
    <t>TSC670-2542</t>
  </si>
  <si>
    <t>TSC670-2544</t>
  </si>
  <si>
    <t>TSC670-2546</t>
  </si>
  <si>
    <t>TSC670-2547</t>
  </si>
  <si>
    <t>Trekveer, samenstelling, max. 117kg, max. 2050mm, pcs(1)</t>
  </si>
  <si>
    <t>TSC670-2732</t>
  </si>
  <si>
    <t>TSC670-2735</t>
  </si>
  <si>
    <t>TSC670-2737</t>
  </si>
  <si>
    <t>TSC670-2742</t>
  </si>
  <si>
    <t>TSC670-2744</t>
  </si>
  <si>
    <t>TSC670-2746</t>
  </si>
  <si>
    <t>TSC670-2747</t>
  </si>
  <si>
    <t>Trekveer, samenstelling, max. 120kg, max. 2050mm, pcs(1)</t>
  </si>
  <si>
    <t>TSC755-2232</t>
  </si>
  <si>
    <t>TSC755-2235</t>
  </si>
  <si>
    <t>TSC755-2237</t>
  </si>
  <si>
    <t>TSC755-2242</t>
  </si>
  <si>
    <t>TSC755-2244</t>
  </si>
  <si>
    <t>TSC755-2246</t>
  </si>
  <si>
    <t>TSC755-2247</t>
  </si>
  <si>
    <t>Trekveer, samenstelling, max. 113kg, max. 2300mm, pcs(1)</t>
  </si>
  <si>
    <t>TSC755-2248</t>
  </si>
  <si>
    <t>Trekveer, samenstelling, max. 124kg, max. 2300mm, pcs(1)</t>
  </si>
  <si>
    <t>TSC755-2532</t>
  </si>
  <si>
    <t>TSC755-2535</t>
  </si>
  <si>
    <t>TSC755-2537</t>
  </si>
  <si>
    <t>TSC755-2542</t>
  </si>
  <si>
    <t>TSC755-2544</t>
  </si>
  <si>
    <t>TSC755-2546</t>
  </si>
  <si>
    <t>TSC755-2547</t>
  </si>
  <si>
    <t>Trekveer, samenstelling, max. 117kg, max. 2300mm, pcs(1)</t>
  </si>
  <si>
    <t>TSC755-2548</t>
  </si>
  <si>
    <t>Trekveer, samenstelling, max. 126kg, max. 2300mm, pcs(1)</t>
  </si>
  <si>
    <t>TSC755-2732</t>
  </si>
  <si>
    <t>TSC755-2735</t>
  </si>
  <si>
    <t>TSC755-2737</t>
  </si>
  <si>
    <t>TSC755-2742</t>
  </si>
  <si>
    <t>TSC755-2744</t>
  </si>
  <si>
    <t>TSC755-2746</t>
  </si>
  <si>
    <t>TSC755-2747</t>
  </si>
  <si>
    <t>Trekveer, samenstelling, max. 120kg, max. 2300mm, pcs(1)</t>
  </si>
  <si>
    <t>TSC755-2748</t>
  </si>
  <si>
    <t>Trekveer, samenstelling, max. 126kg, max. 2175mm, pcs(1)</t>
  </si>
  <si>
    <t>TSC880-2235</t>
  </si>
  <si>
    <t>TSC880-2237</t>
  </si>
  <si>
    <t>TSC880-2240</t>
  </si>
  <si>
    <t>TSC880-2245</t>
  </si>
  <si>
    <t>TSC880-2247</t>
  </si>
  <si>
    <t>TSC880-2535</t>
  </si>
  <si>
    <t>TSC880-2537</t>
  </si>
  <si>
    <t>TSC880-2540</t>
  </si>
  <si>
    <t>TSC880-2545</t>
  </si>
  <si>
    <t>TSC880-2547</t>
  </si>
  <si>
    <t>TSC880-2735</t>
  </si>
  <si>
    <t>TSC880-2737</t>
  </si>
  <si>
    <t>TSC880-2740</t>
  </si>
  <si>
    <t>TSC880-2745</t>
  </si>
  <si>
    <t>TSC880-2747</t>
  </si>
  <si>
    <t>TSC880-3145</t>
  </si>
  <si>
    <t>TSC880-3147</t>
  </si>
  <si>
    <t>TSCAP</t>
  </si>
  <si>
    <t>Trekveer kap</t>
  </si>
  <si>
    <t>TSCP-01</t>
  </si>
  <si>
    <t>pulley trekveer</t>
  </si>
  <si>
    <t>TSL500-9016-5650</t>
  </si>
  <si>
    <t>TSL500-9016-7700</t>
  </si>
  <si>
    <t>TSL610-9016-5650</t>
  </si>
  <si>
    <t>TSL610-9016-7700</t>
  </si>
  <si>
    <t>TSLW500-9010-5650</t>
  </si>
  <si>
    <t>Tecsedo Safe Line 500, 40mm PUR, RAL 9010 WOODGRAIN</t>
  </si>
  <si>
    <t>TSLW500-9010-7700</t>
  </si>
  <si>
    <t>TSLW610-9010-5650</t>
  </si>
  <si>
    <t>Tecsedo Safe Line 610, 40mm PUR, RAL 9010 WOODGRAIN</t>
  </si>
  <si>
    <t>TSLW610-9010-7700</t>
  </si>
  <si>
    <t>TSMK500-7016-5650</t>
  </si>
  <si>
    <t>Tecsedo Safe Micro 500 / K, 40mm PUR, RAL 7016 STUCCO</t>
  </si>
  <si>
    <t>TSMK500-7016-7700</t>
  </si>
  <si>
    <t>TSMK500-9006-5650</t>
  </si>
  <si>
    <t>Tecsedo Safe Micro 500 / K, 40mm PUR, RAL 9006 STUCCO</t>
  </si>
  <si>
    <t>TSMK500-9006-7700</t>
  </si>
  <si>
    <t>TSMK500-9010-5650</t>
  </si>
  <si>
    <t>Tecsedo Safe Micro 500 / K, 40mm PUR, RAL 9010 STUCCO</t>
  </si>
  <si>
    <t>TSMK500-9010-7700</t>
  </si>
  <si>
    <t>TSMK610-7016-5650</t>
  </si>
  <si>
    <t>Tecsedo Safe Micro 610 / K, 40mm PUR, RAL 7016 STUCCO</t>
  </si>
  <si>
    <t>TSMK610-7016-7700</t>
  </si>
  <si>
    <t>TSMK610-9006-7700</t>
  </si>
  <si>
    <t>Tecsedo Safe Micro 610 / K, 40mm PUR, RAL 9006 STUCCO</t>
  </si>
  <si>
    <t>TSMK610-9010-5650</t>
  </si>
  <si>
    <t>Tecsedo Safe Micro 610 / K, 40mm PUR, RAL 9010 STUCCO</t>
  </si>
  <si>
    <t>TSMK610-9010-7700</t>
  </si>
  <si>
    <t>TSMKW500-7016-5650</t>
  </si>
  <si>
    <t>Tecsedo Safe Micro 500 / K, 40mm PUR, RAL 7016 WOODGRAIN</t>
  </si>
  <si>
    <t>TSMKW500-7016-7700</t>
  </si>
  <si>
    <t>TSMKW500-9010-5650</t>
  </si>
  <si>
    <t>Tecsedo Safe Micro 500 / K, 40mm PUR, RAL 9010</t>
  </si>
  <si>
    <t>TSMKW500-9010-7700</t>
  </si>
  <si>
    <t>TSMKW610-7016-5650</t>
  </si>
  <si>
    <t>Tecsedo Safe Micro 610 / K, 40mm PUR, RAL 7016 WOODGRAIN</t>
  </si>
  <si>
    <t>TSMKW610-7016-7700</t>
  </si>
  <si>
    <t>TSMKW610-9010-5650</t>
  </si>
  <si>
    <t>Tecsedo Safe Micro 610 / K, 40mm PUR, RAL 9010 WOODGRAIN</t>
  </si>
  <si>
    <t>TSMKW610-9010-7700</t>
  </si>
  <si>
    <t>TSO40-28-775</t>
  </si>
  <si>
    <t>Outer Tension Spring</t>
  </si>
  <si>
    <t>TSPBN</t>
  </si>
  <si>
    <t>Bevestigingsplaat trekveren railsset, L=230mm</t>
  </si>
  <si>
    <t>TSPF</t>
  </si>
  <si>
    <t>Trekveer keerschijfmontage</t>
  </si>
  <si>
    <t>TSPFN</t>
  </si>
  <si>
    <t>Pully Bracket Assy</t>
  </si>
  <si>
    <t>TSR500-16-9006-5650</t>
  </si>
  <si>
    <t>Tecsedo Safe Rake V16 500, 40mm PUR, RAL 9006 SMOOTH</t>
  </si>
  <si>
    <t>TSR500-16-9006-7700</t>
  </si>
  <si>
    <t>TSR500-16-9010-5650</t>
  </si>
  <si>
    <t>Tecsedo Safe Rake V16 500, 40mm PUR, RAL 9010 SMOOTH</t>
  </si>
  <si>
    <t>TSR500-16-9010-7700</t>
  </si>
  <si>
    <t>TSR610-16-9006-7700</t>
  </si>
  <si>
    <t>Tecsedo Safe Rake V16 610, 40mm PUR, RAL 9006 SMOOTH</t>
  </si>
  <si>
    <t>TSR610-16-9010-5650</t>
  </si>
  <si>
    <t>Tecsedo Safe Rake V16 610, 40mm PUR, RAL 9010 SMOOTH</t>
  </si>
  <si>
    <t>TSR610-16-9010-7700</t>
  </si>
  <si>
    <t>TSSW500-9010-5650</t>
  </si>
  <si>
    <t>Tecsedo Safe Supra 500, 40mm PUR, RAL 9010 WOODGRAIN</t>
  </si>
  <si>
    <t>TSSW500-9010-7700</t>
  </si>
  <si>
    <t>TSSW610-9010-5650</t>
  </si>
  <si>
    <t>Tecsedo Safe Supra 610, 40mm PUR, RAL 9010 WOODGRAIN</t>
  </si>
  <si>
    <t>TSSW610-9010-7700</t>
  </si>
  <si>
    <t>TST1PL</t>
  </si>
  <si>
    <t>Keerschijfconsole RSC-T</t>
  </si>
  <si>
    <t>TST1PR</t>
  </si>
  <si>
    <t>TST2PL</t>
  </si>
  <si>
    <t>trekveerp pullyset LH</t>
  </si>
  <si>
    <t>TST2PR</t>
  </si>
  <si>
    <t>TST3PL</t>
  </si>
  <si>
    <t>RSC bolted, trekveren, top keerschijfhouder, links</t>
  </si>
  <si>
    <t>TST3PR</t>
  </si>
  <si>
    <t>RSC bolted, trekveren, top keerschijfhouder, rechts</t>
  </si>
  <si>
    <t>TSX500-7016-5650</t>
  </si>
  <si>
    <t>Tecsedo Safe eXtra 500, 40mm PUR, RAL 7016 POLYGRAIN</t>
  </si>
  <si>
    <t>TSX500-7016-7700</t>
  </si>
  <si>
    <t>TSX500-9016-11800</t>
  </si>
  <si>
    <t>TXS500 Ral 9016 Smooth 18pc 11,8mtr long</t>
  </si>
  <si>
    <t>TSX610-7016-5650</t>
  </si>
  <si>
    <t>Tecsedo Safe eXtra 610, 40mm PUR, RAL 7016 POLYGRAIN</t>
  </si>
  <si>
    <t>TSX610-7016-7700</t>
  </si>
  <si>
    <t>TSX610-9016-11800</t>
  </si>
  <si>
    <t>TSX610 Ral 9016 Smooth 36pc 11,8mtr long</t>
  </si>
  <si>
    <t>TX15C</t>
  </si>
  <si>
    <t>Handzender 15 Kanaals Frequenz 868 MHz</t>
  </si>
  <si>
    <t>TX4C</t>
  </si>
  <si>
    <t>Handzender 4 Kanaals Frequenz 868 MHz</t>
  </si>
  <si>
    <t>TX4EVO</t>
  </si>
  <si>
    <t>4-Kanaals zender 868Mhz</t>
  </si>
  <si>
    <t>TX4UNIF</t>
  </si>
  <si>
    <t>Universele handzender, 4-kanaals 433MHz, Evolution</t>
  </si>
  <si>
    <t>TXR433A01</t>
  </si>
  <si>
    <t>1-kanaalszender,433MHz,voor RSM434A03</t>
  </si>
  <si>
    <t>TXR433A04</t>
  </si>
  <si>
    <t>4-kanaalszender,433MHz,voor RSM434A03</t>
  </si>
  <si>
    <t>USA8L</t>
  </si>
  <si>
    <t>Middenlagerplaat, verstelbaar</t>
  </si>
  <si>
    <t>USA8R</t>
  </si>
  <si>
    <t>Middenlagerplaat, verstelbaar RH</t>
  </si>
  <si>
    <t>USA-A</t>
  </si>
  <si>
    <t>Lager 1 1/4, 2" uitw.dia.</t>
  </si>
  <si>
    <t>USA-A-HQ</t>
  </si>
  <si>
    <t>Kogellager, 1,25", Ø50.8, hoge kwaliteit, verzinkt</t>
  </si>
  <si>
    <t>USA-B</t>
  </si>
  <si>
    <t>KOGELLAGER 1"</t>
  </si>
  <si>
    <t>USA-B-HQ</t>
  </si>
  <si>
    <t>Kogellager, 1", Ø50.8, hoge kwaliteit, verzinkt</t>
  </si>
  <si>
    <t>USA-BLG</t>
  </si>
  <si>
    <t>Kogellager, 1", buitendiameter 50,8mm</t>
  </si>
  <si>
    <t>USA-C</t>
  </si>
  <si>
    <t>Kogellager 1 1/4" GROOT DIAMEE</t>
  </si>
  <si>
    <t>USA-HD</t>
  </si>
  <si>
    <t>Lagerblok 1"</t>
  </si>
  <si>
    <t>USA-HD-125</t>
  </si>
  <si>
    <t>Lagerblok 1-1/4"</t>
  </si>
  <si>
    <t>USA-MINI</t>
  </si>
  <si>
    <t>Univers. lagerplaat 2,5mm GOHD</t>
  </si>
  <si>
    <t>USA-RES</t>
  </si>
  <si>
    <t>Nylon LAGER 1"</t>
  </si>
  <si>
    <t>V3ES4500</t>
  </si>
  <si>
    <t>Side and lower profile 1,3mm alu glass sections, 40mm, singl</t>
  </si>
  <si>
    <t>V3ES7200</t>
  </si>
  <si>
    <t>V3I4500</t>
  </si>
  <si>
    <t>Intermediate profile 1,3mm alu glass sections, 40mm, L=4500m</t>
  </si>
  <si>
    <t>V3I7200</t>
  </si>
  <si>
    <t>Intermediate profile 1,3mm alu glass sections, 40mm, L=7200m</t>
  </si>
  <si>
    <t>V3IF-406</t>
  </si>
  <si>
    <t>Middenprofiel Reflection, bewerkt L=406mm</t>
  </si>
  <si>
    <t>V3IF-412</t>
  </si>
  <si>
    <t>Middenprofiel Reflection, bewerkt L=412mm</t>
  </si>
  <si>
    <t>V3IF-419</t>
  </si>
  <si>
    <t>Middenprofiel Reflection, bewerkt L=419mm</t>
  </si>
  <si>
    <t>V3IF-426</t>
  </si>
  <si>
    <t>Middenprofiel Reflection, bewerkt L=426mm</t>
  </si>
  <si>
    <t>V3IF-516</t>
  </si>
  <si>
    <t>Middenprofiel Reflection, bewerkt L=516mm</t>
  </si>
  <si>
    <t>V3IF-522</t>
  </si>
  <si>
    <t>Middenprofiel Reflection, bewerkt L=522mm</t>
  </si>
  <si>
    <t>V3IF-529</t>
  </si>
  <si>
    <t>Middenprofiel Reflection, bewerkt L=529mm</t>
  </si>
  <si>
    <t>V3IF-536</t>
  </si>
  <si>
    <t>Middenprofiel Reflection, bewerkt L=536mm</t>
  </si>
  <si>
    <t>V3KEM4500</t>
  </si>
  <si>
    <t>Upper profile 1,3mm alu glass sections, 40mm, finger-safe, K</t>
  </si>
  <si>
    <t>V3KEM7200</t>
  </si>
  <si>
    <t>V3MM4500</t>
  </si>
  <si>
    <t>Upper prof. 1,3mm alu Metecno</t>
  </si>
  <si>
    <t>V3MM7200</t>
  </si>
  <si>
    <t>V3NM4500</t>
  </si>
  <si>
    <t>Upper profile 1,3mm alu glass sections, 40mm, L=4500mm</t>
  </si>
  <si>
    <t>V3NM7200</t>
  </si>
  <si>
    <t>Upper profile 1,3mm alu glass sections, 40mm, L=7200mm</t>
  </si>
  <si>
    <t>V4850</t>
  </si>
  <si>
    <t>DIN 7981 ST C 4,8x50 verzinkt</t>
  </si>
  <si>
    <t>V6ED4500</t>
  </si>
  <si>
    <t>Side and lower profile 1,6mm alu glass sections, 40mm, doubl</t>
  </si>
  <si>
    <t>V6ED7200</t>
  </si>
  <si>
    <t>V6EDF-406</t>
  </si>
  <si>
    <t>Zijprofiel Reflection, enkel, bewerkt L=406mm</t>
  </si>
  <si>
    <t>V6EDF-412</t>
  </si>
  <si>
    <t>Zijprofiel Reflection, enkel, bewerkt L=412mm</t>
  </si>
  <si>
    <t>V6EDF-419</t>
  </si>
  <si>
    <t>Zijprofiel Reflection, enkel, bewerkt L=419mm</t>
  </si>
  <si>
    <t>V6EDF-426</t>
  </si>
  <si>
    <t>Zijprofiel Reflection, enkel, bewerkt L=426mm</t>
  </si>
  <si>
    <t>V6EDF-516</t>
  </si>
  <si>
    <t>Zijprofiel Reflection, enkel, bewerkt L=516mm</t>
  </si>
  <si>
    <t>V6EDF-522</t>
  </si>
  <si>
    <t>Zijprofiel Reflection, enkel, bewerkt L=522mm</t>
  </si>
  <si>
    <t>V6EDF-529</t>
  </si>
  <si>
    <t>Zijprofiel Reflection, enkel, bewerkt L=529mm</t>
  </si>
  <si>
    <t>V6EDF-536</t>
  </si>
  <si>
    <t>Zijprofiel Reflection, enkel, bewerkt L=536mm</t>
  </si>
  <si>
    <t>V6ES4500</t>
  </si>
  <si>
    <t>Side and lower profile 1,6mm alu glass sections, 40mm, singl</t>
  </si>
  <si>
    <t>V6ES7200</t>
  </si>
  <si>
    <t>V6ESF-406</t>
  </si>
  <si>
    <t>V6ESF-412</t>
  </si>
  <si>
    <t>V6ESF-419</t>
  </si>
  <si>
    <t>V6ESF-426</t>
  </si>
  <si>
    <t>V6ESF-516</t>
  </si>
  <si>
    <t>V6ESF-522</t>
  </si>
  <si>
    <t>V6ESF-529</t>
  </si>
  <si>
    <t>V6ESF-536</t>
  </si>
  <si>
    <t>V6KEF4500</t>
  </si>
  <si>
    <t>Lower profile 1,6mm alu glass sections, 40mm, finger-safe, K</t>
  </si>
  <si>
    <t>V6KEF7200</t>
  </si>
  <si>
    <t>V6KEMA7200</t>
  </si>
  <si>
    <t>Upper profile 1,6mm alu glass sections, 40mm, fing</t>
  </si>
  <si>
    <t>V6MF4500</t>
  </si>
  <si>
    <t>Lower prof. 1,6mm alu Metecno</t>
  </si>
  <si>
    <t>V6MF7200</t>
  </si>
  <si>
    <t>V6MMA4500</t>
  </si>
  <si>
    <t>Upper prof. 1,6mm alu Metecno</t>
  </si>
  <si>
    <t>V6MMA7200</t>
  </si>
  <si>
    <t>V6NF4500</t>
  </si>
  <si>
    <t>Lower profile 1,6mm alu glass sections, 40mm L=4500mm</t>
  </si>
  <si>
    <t>V6NF7200</t>
  </si>
  <si>
    <t>Lower profile 1,6mm alu glass sections, 40mm L=7200mm</t>
  </si>
  <si>
    <t>V6NMA7200</t>
  </si>
  <si>
    <t>Upper profile 1,6mm alu glass sections, 40mm, with</t>
  </si>
  <si>
    <t>VBKFF200</t>
  </si>
  <si>
    <t>Controle mal FF200</t>
  </si>
  <si>
    <t>VBKFF263</t>
  </si>
  <si>
    <t>Controlemal, veerinbuigen, 2 5/8" (67mm)</t>
  </si>
  <si>
    <t>VL100-6-2750NS</t>
  </si>
  <si>
    <t>Veer Links 10x152x2750mm Naturel</t>
  </si>
  <si>
    <t>VL105-6-3250NS</t>
  </si>
  <si>
    <t>Veer Links 10,5x152x3250mm Naturel</t>
  </si>
  <si>
    <t>VL110-6-3250NS</t>
  </si>
  <si>
    <t>Veer Links 11x152x3250mm Naturel</t>
  </si>
  <si>
    <t>VL115-6-3250NS</t>
  </si>
  <si>
    <t>Veer Links 11,5x152x3250mm Naturel</t>
  </si>
  <si>
    <t>VL45-1-3000GS</t>
  </si>
  <si>
    <t>Veer Links 4,5x51x3000mm Gegalvaniseerd</t>
  </si>
  <si>
    <t>VL45-1-3000NS</t>
  </si>
  <si>
    <t>Veer Links 4,5x51x3000mm Naturel</t>
  </si>
  <si>
    <t>VL45-1-380PN-A</t>
  </si>
  <si>
    <t>Veer Links 4,5x51x380mm Poedercoat met Plug</t>
  </si>
  <si>
    <t>VL45-1-402PN-A</t>
  </si>
  <si>
    <t>Veer Links 4,5x51x402mm Poedercoat met Plug</t>
  </si>
  <si>
    <t>VL48-1-435PN-A</t>
  </si>
  <si>
    <t>Veer Links 4,8x51x435mm Poedercoat met Plug</t>
  </si>
  <si>
    <t>VL48-1-487PN-A</t>
  </si>
  <si>
    <t>Veer Links 4,8x51x487mm Poedercoat met Plug</t>
  </si>
  <si>
    <t>VL50-1-3250GS</t>
  </si>
  <si>
    <t>Veer Links 5x51x3250mm Gegalvaniseerd</t>
  </si>
  <si>
    <t>VL50-1-3250NS</t>
  </si>
  <si>
    <t>Veer Links 5x51x3250mm Naturel</t>
  </si>
  <si>
    <t>VL50-1-3250PS</t>
  </si>
  <si>
    <t>Veer Links 5x51x3250mm Poedercoat</t>
  </si>
  <si>
    <t>VL50-1-440PN-A</t>
  </si>
  <si>
    <t>Veer Links 5x51x440mm Poedercoat met Plug</t>
  </si>
  <si>
    <t>VL50-1-465PN-A</t>
  </si>
  <si>
    <t>Veer Links 5x51x465mm Poedercoat met Plug</t>
  </si>
  <si>
    <t>VL50-1-492PN-A</t>
  </si>
  <si>
    <t>Veer Links 5x51x492mm Poedercoat met Plug</t>
  </si>
  <si>
    <t>VL50-1-551PN-A</t>
  </si>
  <si>
    <t>Veer Links 5x51x551mm Poedercoat met Plug</t>
  </si>
  <si>
    <t>VL50-1-617PN-A</t>
  </si>
  <si>
    <t>Spring Left 5x51x617mm Powdercoated with Fitting</t>
  </si>
  <si>
    <t>VL53-1-492PN-A</t>
  </si>
  <si>
    <t>Veer Links 5,3x51x492mm Poedercoat met Plug</t>
  </si>
  <si>
    <t>VL53-1-520PN-A</t>
  </si>
  <si>
    <t>Veer Links 5,3x51x520mm Poedercoat met Plug</t>
  </si>
  <si>
    <t>VL53-1-582PN-A</t>
  </si>
  <si>
    <t>Veer Links 5,3x51x582mm Poedercoat met Plug</t>
  </si>
  <si>
    <t>VL53-1-616PN-A</t>
  </si>
  <si>
    <t>Veer Links 5,3x51x616mm Poedercoat met Plug</t>
  </si>
  <si>
    <t>VL53-1-691PN-A</t>
  </si>
  <si>
    <t>Veer Links 5,3x51x691mm Poedercoat met Plug</t>
  </si>
  <si>
    <t>VL55-1-3250GS</t>
  </si>
  <si>
    <t>Veer Links 5,5x51x3250mm Gegalvaniseerd</t>
  </si>
  <si>
    <t>VL55-1-3250NS</t>
  </si>
  <si>
    <t>Veer Links 5,5x51x3250mm Naturel</t>
  </si>
  <si>
    <t>VL55-1-3250PS</t>
  </si>
  <si>
    <t>Veer Links 5,5x51x3250mm Poedercoat</t>
  </si>
  <si>
    <t>VL55-1-544PN-A</t>
  </si>
  <si>
    <t>Veer Links 5,5x51x544mm Poedercoat met Plug</t>
  </si>
  <si>
    <t>VL55-1-609PN-A</t>
  </si>
  <si>
    <t>Veer Links 5,5x51x609mm Poedercoat met Plug</t>
  </si>
  <si>
    <t>VL55-1-645PN-A</t>
  </si>
  <si>
    <t>Veer Links 5,5x51x645mm Poedercoat met Plug</t>
  </si>
  <si>
    <t>VL55-1-683PN-A</t>
  </si>
  <si>
    <t>Veer Links 5,5x51x683mm Poedercoat met Plug</t>
  </si>
  <si>
    <t>VL55-1-723PN-A</t>
  </si>
  <si>
    <t>Veer Links 5,5x51x723mm Poedercoat met Plug</t>
  </si>
  <si>
    <t>VL55-1-766PN-A</t>
  </si>
  <si>
    <t>Veer Links 5,5x51x766mm Poedercoat met Plug</t>
  </si>
  <si>
    <t>VL60-1-3000GS</t>
  </si>
  <si>
    <t>Veer Links 6x51x3000mm Gegalvaniseerd</t>
  </si>
  <si>
    <t>VL60-1-3000NS</t>
  </si>
  <si>
    <t>Veer Links 6x51x3000mm Naturel</t>
  </si>
  <si>
    <t>VL60-1-648PN-A</t>
  </si>
  <si>
    <t>Veer Links 6x51x648mm Poedercoat met Plug</t>
  </si>
  <si>
    <t>VL60-1-726PN-A</t>
  </si>
  <si>
    <t>Veer Links 6x51x726mm Poedercoat met Plug</t>
  </si>
  <si>
    <t>VL60-1-814PN-A</t>
  </si>
  <si>
    <t>Veer Links 6x51x814mm Poedercoat met Plug</t>
  </si>
  <si>
    <t>VL60-1-914PN-A</t>
  </si>
  <si>
    <t>Veer Links 6x51x914mm Poedercoat met Plug</t>
  </si>
  <si>
    <t>VL60-1-968PN-A</t>
  </si>
  <si>
    <t>Veer Links 6x51x968mm Poedercoat met Plug</t>
  </si>
  <si>
    <t>VL63-1-985PN-A</t>
  </si>
  <si>
    <t>Veer Links 6,3x51x985mm Poedercoat met Plug</t>
  </si>
  <si>
    <t>VL65-1-1055PN-A</t>
  </si>
  <si>
    <t>Veer Links 6,5x51x1055mm Poedercoat met Plug</t>
  </si>
  <si>
    <t>VL65-1-747PN-A</t>
  </si>
  <si>
    <t>Spring Left 6,5x51x747mm Powdercoated with Fitting</t>
  </si>
  <si>
    <t>VL65-1-837PN-A</t>
  </si>
  <si>
    <t>Veer Links 6,5x51x837mm Poedercoat met Plug</t>
  </si>
  <si>
    <t>VL65-1-939PN-A</t>
  </si>
  <si>
    <t>Veer Links 6,5x51x939mm Poedercoat met Plug</t>
  </si>
  <si>
    <t>VL65-2-3000GS</t>
  </si>
  <si>
    <t>Veer Links 6,5x67x3000mm Gegalvaniseerd</t>
  </si>
  <si>
    <t>VL65-2-3000NS</t>
  </si>
  <si>
    <t>Veer Links 6,5x67x3000mm Naturel</t>
  </si>
  <si>
    <t>VL65-3-3250NS</t>
  </si>
  <si>
    <t>Veer Links 6,5x95x3250mm Naturel</t>
  </si>
  <si>
    <t>VL70-1-1054PN-A</t>
  </si>
  <si>
    <t>Veer Links 7x51x1054mm Poedercoat met Plug</t>
  </si>
  <si>
    <t>VL70-1-1184PN-A</t>
  </si>
  <si>
    <t>Veer Links 7x51x1184mm Poedercoat met Plug</t>
  </si>
  <si>
    <t>VL70-1-1330PN-A</t>
  </si>
  <si>
    <t>Spring Left 7x51x1330mm Powdercoated with Fitting</t>
  </si>
  <si>
    <t>VL70-2-3250GS</t>
  </si>
  <si>
    <t>Veer Links 7x67x3250mm Gegalvaniseerd</t>
  </si>
  <si>
    <t>VL70-2-3250NS</t>
  </si>
  <si>
    <t>Veer Links 7x67x3250mm Naturel</t>
  </si>
  <si>
    <t>VL70-2-3250PS</t>
  </si>
  <si>
    <t>Veer Links 7x67x3250mm Poedercoat</t>
  </si>
  <si>
    <t>VL70-3-3000NS</t>
  </si>
  <si>
    <t>Veer Links 7x95x3000mm Naturel</t>
  </si>
  <si>
    <t>VL75-3-3250NS</t>
  </si>
  <si>
    <t>Veer Links 7,5x95x3250mm Naturel</t>
  </si>
  <si>
    <t>VL75-6-3000NS</t>
  </si>
  <si>
    <t>Veer Links 7,5x152x3000mm Naturel</t>
  </si>
  <si>
    <t>VL80-3-3250NS</t>
  </si>
  <si>
    <t>Veer Links 8x95x3250mm Naturel</t>
  </si>
  <si>
    <t>VL80-6-3000NS</t>
  </si>
  <si>
    <t>Veer Links 8x152x3000mm Naturel</t>
  </si>
  <si>
    <t>VL85-3-2500NS</t>
  </si>
  <si>
    <t>Veer Links 8,5x95x2500mm Naturel</t>
  </si>
  <si>
    <t>VL85-3-3000NS</t>
  </si>
  <si>
    <t>Veer Links 8,5x95x3000mm Naturel</t>
  </si>
  <si>
    <t>VL85-6-3000NS</t>
  </si>
  <si>
    <t>Veer Links 8,5x152x3000mm Naturel</t>
  </si>
  <si>
    <t>VL90-3-3000NS</t>
  </si>
  <si>
    <t>Veer Links 9x95x3000mm Naturel</t>
  </si>
  <si>
    <t>VL90-6-3250NS</t>
  </si>
  <si>
    <t>Veer Links 9x152x3250mm Naturel</t>
  </si>
  <si>
    <t>VL95-3-3250NS</t>
  </si>
  <si>
    <t>Veer Links 9,5x95x3250mm Naturel</t>
  </si>
  <si>
    <t>VL95-6-2750NS</t>
  </si>
  <si>
    <t>Veer Links 9,5x152x2750mm Naturel</t>
  </si>
  <si>
    <t>VR100-6-2750NS</t>
  </si>
  <si>
    <t>Veer Rechts 10x152x2750mm Naturel</t>
  </si>
  <si>
    <t>VR105-6-3250NS</t>
  </si>
  <si>
    <t>Veer Rechts 10,5x152x3250mm Naturel</t>
  </si>
  <si>
    <t>VR110-6-3250NS</t>
  </si>
  <si>
    <t>Veer Rechts 11x152x3250mm Naturel</t>
  </si>
  <si>
    <t>VR115-6-3250NS</t>
  </si>
  <si>
    <t>Veer Rechts 11,5x152x3250mm Naturel</t>
  </si>
  <si>
    <t>VR45-1-3000GS</t>
  </si>
  <si>
    <t>Veer Rechts 4,5x51x3000mm Gegalvaniseerd</t>
  </si>
  <si>
    <t>VR45-1-3000NS</t>
  </si>
  <si>
    <t>Veer Rechts 4,5x51x3000mm Naturel</t>
  </si>
  <si>
    <t>VR48-1-412PN-A</t>
  </si>
  <si>
    <t>Veer Rechts 4,5x51x412mm Poedercoat met Plug</t>
  </si>
  <si>
    <t>VR48-1-435PN-A</t>
  </si>
  <si>
    <t>Veer Rechts 4,75x51x435mm Poedercoat met Plug</t>
  </si>
  <si>
    <t>VR48-1-487PN-A</t>
  </si>
  <si>
    <t>Veer Rechts 4,75x51x487mm Poedercoat met Plug</t>
  </si>
  <si>
    <t>VR50-1-3250GS</t>
  </si>
  <si>
    <t>Veer Rechts 5x51x3250mm Gegalvaniseerd</t>
  </si>
  <si>
    <t>VR50-1-3250NS</t>
  </si>
  <si>
    <t>Veer Rechts 5x51x3250mm Naturel</t>
  </si>
  <si>
    <t>VR50-1-3250PS</t>
  </si>
  <si>
    <t>Veer Rechts 5x51x3250mm Poedercoat</t>
  </si>
  <si>
    <t>VR50-1-440PN-A</t>
  </si>
  <si>
    <t>Veer Rechts 5x51x440mm Poedercoat met Plug</t>
  </si>
  <si>
    <t>VR50-1-492PN-A</t>
  </si>
  <si>
    <t>Veer Rechts 5x51x492mm Poedercoat met Plug</t>
  </si>
  <si>
    <t>VR50-1-521PN-A</t>
  </si>
  <si>
    <t>Veer Rechts 5x51x521mm Poedercoat met Plug</t>
  </si>
  <si>
    <t>VR50-1-551PN-A</t>
  </si>
  <si>
    <t>Veer Rechts 5x51x551mm Poedercoat met Plug</t>
  </si>
  <si>
    <t>VR50-1-617PN-A</t>
  </si>
  <si>
    <t>Spring Right 5x51x617mm Powdercoated with Fitting</t>
  </si>
  <si>
    <t>VR53-1-492PN-A</t>
  </si>
  <si>
    <t>Veer Rechts 5,3x51x492mm Poedercoat met Plug</t>
  </si>
  <si>
    <t>VR53-1-550PN-A</t>
  </si>
  <si>
    <t>Veer Rechts 5,3x51x550mm Poedercoat met Plug</t>
  </si>
  <si>
    <t>VR53-1-653PN-A</t>
  </si>
  <si>
    <t>Veer Rechts 5,3x51x653mm Poedercoat met Plug</t>
  </si>
  <si>
    <t>VR53-1-691PN-A</t>
  </si>
  <si>
    <t>Veer Rechts 5,3x51x691mm Poedercoat met Plug</t>
  </si>
  <si>
    <t>VR55-1-3250GS</t>
  </si>
  <si>
    <t>Veer Rechts 5,5x51x3250mm Gegalvaniseerd</t>
  </si>
  <si>
    <t>VR55-1-3250NS</t>
  </si>
  <si>
    <t>Veer Rechts 5,5x51x3250mm Naturel</t>
  </si>
  <si>
    <t>VR55-1-3250PS</t>
  </si>
  <si>
    <t>Veer Rechts 5,5x51x3250mm Poedercoat</t>
  </si>
  <si>
    <t>VR55-1-544PN-A</t>
  </si>
  <si>
    <t>Veer Rechts 5,5x51x544mm Poedercoat met Plug</t>
  </si>
  <si>
    <t>VR55-1-576PN-A</t>
  </si>
  <si>
    <t>Veer Rechts 5,5x51x576mm Poedercoat met Plug</t>
  </si>
  <si>
    <t>VR55-1-609PN-A</t>
  </si>
  <si>
    <t>Veer Rechts 5,5x51x609mm Poedercoat met Plug</t>
  </si>
  <si>
    <t>VR55-1-683PN-A</t>
  </si>
  <si>
    <t>Veer Rechts 5,5x51x683mm Poedercoat met Plug</t>
  </si>
  <si>
    <t>VR55-1-766PN-A</t>
  </si>
  <si>
    <t>Veer Rechts 5,5x51x766mm Poedercoat met Plug</t>
  </si>
  <si>
    <t>VR60-1-3000GS</t>
  </si>
  <si>
    <t>Veer Rechts 6x51x3000mm Gegalvaniseerd</t>
  </si>
  <si>
    <t>VR60-1-3000NS</t>
  </si>
  <si>
    <t>Veer Rechts 6x51x3000mm Naturel</t>
  </si>
  <si>
    <t>VR60-1-648PN-A</t>
  </si>
  <si>
    <t>Veer Rechts 6x51x648mm Poedercoat met Plug</t>
  </si>
  <si>
    <t>VR60-1-686PN-A</t>
  </si>
  <si>
    <t>Veer Rechts 6x51x686mm Poedercoat met Plug</t>
  </si>
  <si>
    <t>VR60-1-726PN-A</t>
  </si>
  <si>
    <t>Veer Rechts 6x51x726mm Poedercoat met Plug</t>
  </si>
  <si>
    <t>VR60-1-814PN-A</t>
  </si>
  <si>
    <t>Veer Rechts 6x51x814mm Poedercoat met Plug</t>
  </si>
  <si>
    <t>VR60-1-862PN-A</t>
  </si>
  <si>
    <t>Veer Rechts 6x51x862mm Poedercoat met Plug</t>
  </si>
  <si>
    <t>VR60-1-914PN-A</t>
  </si>
  <si>
    <t>Veer Rechts 6x51x914mm Poedercoat met Plug</t>
  </si>
  <si>
    <t>VR60-1-968PN-A</t>
  </si>
  <si>
    <t>Veer Rechts 6x51x968mm Poedercoat met Plug</t>
  </si>
  <si>
    <t>VR65-1-1055PN-A</t>
  </si>
  <si>
    <t>Veer Rechts 6,5x51x1055mm Poedercoat met Plug</t>
  </si>
  <si>
    <t>VR65-1-837PN-A</t>
  </si>
  <si>
    <t>Veer Rechts 6,5x51x837mm Poedercoat met Plug</t>
  </si>
  <si>
    <t>VR65-1-887PN-A</t>
  </si>
  <si>
    <t>Veer Rechts 6,5x51x887mm Poedercoat met Plug</t>
  </si>
  <si>
    <t>VR65-1-939PN-A</t>
  </si>
  <si>
    <t>Veer Rechts 6,5x51x939mm Poedercoat met Plug</t>
  </si>
  <si>
    <t>VR65-1-995PN-A</t>
  </si>
  <si>
    <t>Veer Rechts 6,5x51x995mm Poedercoat met Plug</t>
  </si>
  <si>
    <t>VR65-2-3000GS</t>
  </si>
  <si>
    <t>Veer Rechts 6,5x67x3000mm Gegalvaniseerd</t>
  </si>
  <si>
    <t>VR65-2-3000NS</t>
  </si>
  <si>
    <t>Veer Rechts 6,5x67x3000mm Naturel</t>
  </si>
  <si>
    <t>VR65-3-3250NS</t>
  </si>
  <si>
    <t>Veer Rechts 6,5x95x3250mm Naturel</t>
  </si>
  <si>
    <t>VR70-1-1184PN-A</t>
  </si>
  <si>
    <t>Veer Rechts 7x51x1184mm Poedercoat met Plug</t>
  </si>
  <si>
    <t>VR70-1-1255PN-A</t>
  </si>
  <si>
    <t>Spring Right 7x51x1255mm Powdercoated with Fitting</t>
  </si>
  <si>
    <t>VR70-1-995PN-A</t>
  </si>
  <si>
    <t>Veer Rechts 7x51x995mm Poedercoat met Plug</t>
  </si>
  <si>
    <t>VR70-2-3250GS</t>
  </si>
  <si>
    <t>Veer Rechts 7x67x3250mm Gegalvaniseerd</t>
  </si>
  <si>
    <t>VR70-2-3250NS</t>
  </si>
  <si>
    <t>Veer Rechts 7x67x3000mm Naturel</t>
  </si>
  <si>
    <t>VR70-2-3250PS</t>
  </si>
  <si>
    <t>Veer Rechts 7x67x3250mm Poedercoat</t>
  </si>
  <si>
    <t>VR70-3-3000NS</t>
  </si>
  <si>
    <t>Veer Rechts 7x95x3000mm Naturel</t>
  </si>
  <si>
    <t>VR75-3-3250NS</t>
  </si>
  <si>
    <t>Veer Rechts 7,5x95x3250mm Naturel</t>
  </si>
  <si>
    <t>VR75-6-3000NS</t>
  </si>
  <si>
    <t>Veer Rechts 7,5x152x3000mm Naturel</t>
  </si>
  <si>
    <t>VR80-3-3250NS</t>
  </si>
  <si>
    <t>Veer Rechts 8x95x3250mm Naturel</t>
  </si>
  <si>
    <t>VR80-6-3000NS</t>
  </si>
  <si>
    <t>Veer Rechts 8x152x3000mm Naturel</t>
  </si>
  <si>
    <t>VR85-3-2500NS</t>
  </si>
  <si>
    <t>Veer Rechts 8,5x95x2500mm Naturel</t>
  </si>
  <si>
    <t>VR85-3-3000NS</t>
  </si>
  <si>
    <t>Veer Rechts 8,5x95x3000mm Naturel</t>
  </si>
  <si>
    <t>VR85-6-3000NS</t>
  </si>
  <si>
    <t>Veer Rechts 8,5x152x3000mm Naturel</t>
  </si>
  <si>
    <t>VR90-3-3000NS</t>
  </si>
  <si>
    <t>Veer Rechts 9x95x3000mm Naturel</t>
  </si>
  <si>
    <t>VR90-6-3250NS</t>
  </si>
  <si>
    <t>Veer Rechts 9x152x3250mm Naturel</t>
  </si>
  <si>
    <t>VR95-3-3250NS</t>
  </si>
  <si>
    <t>Veer Rechts 9,5x95x3250mm Naturel</t>
  </si>
  <si>
    <t>VR95-6-2750NS</t>
  </si>
  <si>
    <t>Veer Rechts 9,5x152x2750mm Naturel</t>
  </si>
  <si>
    <t>VT3I4500</t>
  </si>
  <si>
    <t>Tussenprofiel, aluminium secties thermisch onderbr</t>
  </si>
  <si>
    <t>VT3I7200</t>
  </si>
  <si>
    <t>VT3IF-426</t>
  </si>
  <si>
    <t>VT3IF-536</t>
  </si>
  <si>
    <t>VT3NF4500</t>
  </si>
  <si>
    <t>Onderprofiel niet vingerklemveilig, aluminium sect</t>
  </si>
  <si>
    <t>VT3NF7200</t>
  </si>
  <si>
    <t>VT3NM4500</t>
  </si>
  <si>
    <t>Bovenprofiel niet vingerklemveilig, aluminium sect</t>
  </si>
  <si>
    <t>VT3NM7200</t>
  </si>
  <si>
    <t>VT6ED4500</t>
  </si>
  <si>
    <t>Zijprofiel dubbel, aluminium secties thermisch ond</t>
  </si>
  <si>
    <t>VT6ED7200</t>
  </si>
  <si>
    <t>VT6EDF-426</t>
  </si>
  <si>
    <t>VT6EDF-536</t>
  </si>
  <si>
    <t>VT6ES4500</t>
  </si>
  <si>
    <t>Zijprofiel enkel, aluminium secties thermisch onde</t>
  </si>
  <si>
    <t>VT6ES7200</t>
  </si>
  <si>
    <t>VT6ESF-426</t>
  </si>
  <si>
    <t>VT6ESF-536</t>
  </si>
  <si>
    <t>VT6NMA4500</t>
  </si>
  <si>
    <t>Bovenprofiel verstevigd, niet vingerklemveilig, al</t>
  </si>
  <si>
    <t>VT6NMA7200</t>
  </si>
  <si>
    <t>VT6TBD4500</t>
  </si>
  <si>
    <t>Top/bodem profiel dubbel</t>
  </si>
  <si>
    <t>VT6TBD7200</t>
  </si>
  <si>
    <t>VT6TBS4500</t>
  </si>
  <si>
    <t>Top/bodem profiel enkel</t>
  </si>
  <si>
    <t>VT6TBS7200</t>
  </si>
  <si>
    <t>VTCR</t>
  </si>
  <si>
    <t>afd. onderprof. Reflection thermal break 20x4mm EP (20m)</t>
  </si>
  <si>
    <t>WF1001</t>
  </si>
  <si>
    <t>Bevestigingsmateriaal, 4x schroef 4,8x32</t>
  </si>
  <si>
    <t>WF1002</t>
  </si>
  <si>
    <t>Plug Polyfix 8x33 grijs</t>
  </si>
  <si>
    <t>WF1003</t>
  </si>
  <si>
    <t>Schroef TX30 AC ZI wit 6x40</t>
  </si>
  <si>
    <t>WF20</t>
  </si>
  <si>
    <t>Ass. bevestigingsmateriaal (20x)</t>
  </si>
  <si>
    <t>WF20N</t>
  </si>
  <si>
    <t>Bevestigingsmateriaal DIN571-7x60, ring &amp; plug, set(20)</t>
  </si>
  <si>
    <t>WF-SET</t>
  </si>
  <si>
    <t>Productieorder zakje bevestigingsmateriaal ATLA01</t>
  </si>
  <si>
    <t>WGD10</t>
  </si>
  <si>
    <t>WT470N</t>
  </si>
  <si>
    <t>Hoekbeugel, voor paneeltransport, b=470mm</t>
  </si>
  <si>
    <t>YP1000</t>
  </si>
  <si>
    <t>Yale powr1000</t>
  </si>
  <si>
    <t>YP600</t>
  </si>
  <si>
    <t>Yale powr600</t>
  </si>
  <si>
    <t>YP800</t>
  </si>
  <si>
    <t>Yale powr800</t>
  </si>
  <si>
    <t>YPKP4C</t>
  </si>
  <si>
    <t>Codeslot 4 kan. YP</t>
  </si>
  <si>
    <t>YPPB2C</t>
  </si>
  <si>
    <t>drukknop 2 kan. YP</t>
  </si>
  <si>
    <t>YPSB</t>
  </si>
  <si>
    <t>YPSB rail fixation</t>
  </si>
  <si>
    <t>YPTS2150</t>
  </si>
  <si>
    <t>Rail YP 2x1,5m</t>
  </si>
  <si>
    <t>YPTS2200</t>
  </si>
  <si>
    <t>Rail YP 2x2,0m</t>
  </si>
  <si>
    <t>YPTX4C</t>
  </si>
  <si>
    <t>handzender 4 kan. YP</t>
  </si>
  <si>
    <t>1038-60-6090</t>
  </si>
  <si>
    <t>1038-60-6090 Top-/bodemprofiel voor Thermo paneel</t>
  </si>
  <si>
    <t>OSE-PDSK-RES kit</t>
  </si>
  <si>
    <t>Magneetschakelaar voor loopdeur RES compleet</t>
  </si>
  <si>
    <t>30B30-3000-S</t>
  </si>
  <si>
    <t>Geperforeerd hoeklijn met sleufgaten L=3000mm 30x30x2,0mm</t>
  </si>
  <si>
    <t>Ovale kabelklem 4mm</t>
  </si>
  <si>
    <t>40PS555WR</t>
  </si>
  <si>
    <t>Eindkap EPCO 40mm</t>
  </si>
  <si>
    <t>VL100-6-1510PS</t>
  </si>
  <si>
    <t>Veer LHW 10,0x152x1510POE</t>
  </si>
  <si>
    <t>VL110-6-1510PS</t>
  </si>
  <si>
    <t>Veer LHW 11,0x152x1510POE</t>
  </si>
  <si>
    <t>VL70-3-1410PS</t>
  </si>
  <si>
    <t>Veer LHW 7,0x95x1410POE</t>
  </si>
  <si>
    <t>VL75-3-1410PS</t>
  </si>
  <si>
    <t>Veer LHW 7,5x95x1410POE</t>
  </si>
  <si>
    <t>VL80-6-1510PS</t>
  </si>
  <si>
    <t>Veer LHW 8,0x152x1510POE</t>
  </si>
  <si>
    <t>VL80-3-1410PS</t>
  </si>
  <si>
    <t>Veer LHW 8,0x95x1410POE</t>
  </si>
  <si>
    <t>VL85-3-1410PS</t>
  </si>
  <si>
    <t>Veer LHW 8,5x95x1410POE</t>
  </si>
  <si>
    <t>VL90-6-1510PS</t>
  </si>
  <si>
    <t>Veer LHW 9,0x152x1510POE</t>
  </si>
  <si>
    <t>VL90-3-1410PS</t>
  </si>
  <si>
    <t>Veer LHW 9,0x95x1410POE</t>
  </si>
  <si>
    <t>RSCH30</t>
  </si>
  <si>
    <t>RSCH30 bocht horizontale railset 2250 mm</t>
  </si>
  <si>
    <t>2350-2360</t>
  </si>
  <si>
    <t>1085-2360 zijafdichting L=2360</t>
  </si>
  <si>
    <t>Flexx Service BV</t>
  </si>
  <si>
    <t>Inbraakwerend rooster</t>
  </si>
  <si>
    <t>Kijkvenster geschikt voor Crawford deuren</t>
  </si>
  <si>
    <t>Zijafdichting passend op Crawford 242/342/542 deuren</t>
  </si>
  <si>
    <t>Gijbels Glasindustrie BV</t>
  </si>
  <si>
    <t>Gelaagd opaal 33,2 (1800 x 300)</t>
  </si>
  <si>
    <t>Gelaagd opaal 33,2 (600 x 300)</t>
  </si>
  <si>
    <t>Gelaagd klaar 33,2 (1800 x 300)</t>
  </si>
  <si>
    <t>Gelaagd klaar 33,2 (600 x 300)</t>
  </si>
  <si>
    <t>Gijmacon</t>
  </si>
  <si>
    <t>Verbindings plaat L= 2480 mm 20x100 mm</t>
  </si>
  <si>
    <t>Galva G 180 x 40 2mm</t>
  </si>
  <si>
    <t>Galva G 150 x 40</t>
  </si>
  <si>
    <t>Galva 200 x 40/50/70 2mm (lengte 5000)</t>
  </si>
  <si>
    <t>Galva G 120 x 40 x 2</t>
  </si>
  <si>
    <t>Verbindings plaat L= 2780 mm 20x100 mm</t>
  </si>
  <si>
    <t>Verbindingsplaat L= 2980 mm 20x100mm</t>
  </si>
  <si>
    <t>Coverprofielen 2500 mm</t>
  </si>
  <si>
    <t>Coverprofielen 3000 mm</t>
  </si>
  <si>
    <t>Galva 1 mm 1000mm (eindkap)</t>
  </si>
  <si>
    <t>Galva 1 mm 1500mm (eindkap)</t>
  </si>
  <si>
    <t>overgangsprofiel toppaneel 3000 mm</t>
  </si>
  <si>
    <t>overgangsprofiel toppaneel 5000 mm</t>
  </si>
  <si>
    <t>overgangsprofiel 3000mm Kingspan</t>
  </si>
  <si>
    <t>overgangsprofiel 5000mm Kingspan</t>
  </si>
  <si>
    <t>overgangsprofiel 3000mm Epco</t>
  </si>
  <si>
    <t>overgangsprofiel 5000mm Epco</t>
  </si>
  <si>
    <t>Voetplaat 10mm</t>
  </si>
  <si>
    <t>Harol</t>
  </si>
  <si>
    <t>kingspan harol stock 500mm</t>
  </si>
  <si>
    <t>kingspan harol stock 610mm</t>
  </si>
  <si>
    <t>Henk Maas Weegschalen B.V.</t>
  </si>
  <si>
    <t>S1515-1,5t, 1500kg/0,5kg, geijkt, plateau afm. 1500x1500mm, electronische weegschaal</t>
  </si>
  <si>
    <t>AOTF1515 (1-5t), aanrijdbescherming ondertafel voor vloerweegschalen, gelakt frame, met 2 lepeltunnels</t>
  </si>
  <si>
    <t>021106</t>
  </si>
  <si>
    <t>WPT-II-40-60kg, 60kg/20g, plateau afm. 400x400mm, geijkt, electronische weegschaal</t>
  </si>
  <si>
    <t>HK-Batteries BVBA</t>
  </si>
  <si>
    <t>HK7311</t>
  </si>
  <si>
    <t>Renata CR2032 3,0V 225mAh B1 VPE 1/10/300</t>
  </si>
  <si>
    <t>HK7310</t>
  </si>
  <si>
    <t>Renata CR2025 3,0V 180mAh B1 VPE 1/10/300</t>
  </si>
  <si>
    <t>HK7309</t>
  </si>
  <si>
    <t>Renata CR2016 3,0v 104mAH B1 VPE 1/10/300</t>
  </si>
  <si>
    <t>HK7313</t>
  </si>
  <si>
    <t>Renata CR2430 3,0v 285mAH B1 VPE 1/10/300</t>
  </si>
  <si>
    <t>HK5454</t>
  </si>
  <si>
    <t>Renata CR2450N 3,0v 540mAH B1 VPE 1/10/300</t>
  </si>
  <si>
    <t>HK5242</t>
  </si>
  <si>
    <t>INDUSTRIAL PRO VARTA V4006 AA ALK VRAC-LOS VPE 10/400 1,5</t>
  </si>
  <si>
    <t>HK5658</t>
  </si>
  <si>
    <t>INDUSTRIAL PRO VARTA V4003 AAA ALK VRAC-BULK VPE 10/700</t>
  </si>
  <si>
    <t>HK4962</t>
  </si>
  <si>
    <t>INDUSTRIAL PRO VARTA C-size LR14 V4014 ALK VRAC-LOS</t>
  </si>
  <si>
    <t>HK5046</t>
  </si>
  <si>
    <t>INDUSTRIAL PRO VARTA 9V V4022 ALK VRAC/ BULK BPX-20</t>
  </si>
  <si>
    <t>HK5654</t>
  </si>
  <si>
    <t>INDUSTRIAL PRO VARTA LR20 D-SIZE 4020 ALK VRAC BOX-20PCS</t>
  </si>
  <si>
    <t>HK7282</t>
  </si>
  <si>
    <t>PANASONIC MN21 V23G1 LR23A 8LR932 12V 38mAh (10x28) VPE1/10/100</t>
  </si>
  <si>
    <t>HK4843</t>
  </si>
  <si>
    <t>FIAMM FG20721 12V 7,2 AH 151x65x94 Faston 4,8mm VDS gekeurd VPE5</t>
  </si>
  <si>
    <t>HK4847</t>
  </si>
  <si>
    <t>FIAMM FG21803 12V 18AH 181x76x167 M5 Flag VDS start + cycle + rechts</t>
  </si>
  <si>
    <t>HK4846</t>
  </si>
  <si>
    <t>FIAMM FG21201 12V 1,2AH 151x98c100 Faston 4,8mm VPE4 - VDS</t>
  </si>
  <si>
    <t>HK4838</t>
  </si>
  <si>
    <t>FIAMM FG20201 12V 1,2AH 178x34x65 Faston 4,8mm VPE20</t>
  </si>
  <si>
    <t>HK4837</t>
  </si>
  <si>
    <t>FIAMM FG20121A 12V 1,2AH 97x42x59 Faston 4,8mm VPE20 + rechts VDS</t>
  </si>
  <si>
    <t>N50224</t>
  </si>
  <si>
    <t>Batterij LR03 AAA size</t>
  </si>
  <si>
    <t>N50215</t>
  </si>
  <si>
    <t>Batterij LR06 AA size</t>
  </si>
  <si>
    <t>N50216SO</t>
  </si>
  <si>
    <t>Batterij LR61 9V size</t>
  </si>
  <si>
    <t>Hubo Aalst</t>
  </si>
  <si>
    <t>Rub. Rol fijnribloper 3mm, 1,2x1m zw</t>
  </si>
  <si>
    <t>IDD Parts</t>
  </si>
  <si>
    <t>Crawford handzender, 3 kanaals 869 MHz</t>
  </si>
  <si>
    <t>DEF6029</t>
  </si>
  <si>
    <t>DW contact Crawford</t>
  </si>
  <si>
    <t>Imepsa</t>
  </si>
  <si>
    <t>Decors croix laque blanc pour bloc vitre carre (kruisverdeling type H)</t>
  </si>
  <si>
    <t>Inhoud camionette</t>
  </si>
  <si>
    <t>Service eigen personeel</t>
  </si>
  <si>
    <t>Service zelfstandige</t>
  </si>
  <si>
    <t>Montage eigen personeel</t>
  </si>
  <si>
    <t>Montage zelfstandigen</t>
  </si>
  <si>
    <t>Isolatiestock</t>
  </si>
  <si>
    <t>Unilin Wall L 140 mm 1200 x 600</t>
  </si>
  <si>
    <t>Unilin Utherm Wall L 140 mm 1200 x 600</t>
  </si>
  <si>
    <t>Unilin Utherm Wall L 40 mm 1200 x 600</t>
  </si>
  <si>
    <t>Unilin Utherm Wall L 80 mm 2400 x 600</t>
  </si>
  <si>
    <t>Unilin Utherm Wall L 80 mm 1200 x 600</t>
  </si>
  <si>
    <t>Unilin Utherm Wall L 160 mm 1200 x 600</t>
  </si>
  <si>
    <t>Unilin Utherm Wall L 100 mm 1200 x 600</t>
  </si>
  <si>
    <t>Unilin Roof LE 30 mm 2400 x 1200</t>
  </si>
  <si>
    <t>Blauwe isolatie 30 mm 1200 x 600</t>
  </si>
  <si>
    <t>Rockwool steenwol 100x80x4 - 12 platen</t>
  </si>
  <si>
    <t>Isoflex BV</t>
  </si>
  <si>
    <t>Zakken voor isomo (75st/rol)</t>
  </si>
  <si>
    <t>Kingspan Door Component SA</t>
  </si>
  <si>
    <t>FS 500/40 RF SM Polygrain (0.60) 9010/9010 L: 2550 mm (M5)</t>
  </si>
  <si>
    <t>FS 610/40 RF SM Polygrain (0.60) 9010/9010      L: 2550 mm (M5)</t>
  </si>
  <si>
    <t>FS 560/40 RF SM Polygrain (0.60) 9010/9010      L: 6285 mm (M5)</t>
  </si>
  <si>
    <t>134.1183</t>
  </si>
  <si>
    <t>FS 500/40 RF SM Polygrain (0.60) 9010/9010      L: 8400 mm (M5)</t>
  </si>
  <si>
    <t>134.1240</t>
  </si>
  <si>
    <t>FS 560/40 RF SM Polygrain (0.60) 9010/9010      L: 8400 mm (M5)</t>
  </si>
  <si>
    <t>excl. 1 losse 6285</t>
  </si>
  <si>
    <t>134.1178</t>
  </si>
  <si>
    <t>FS 610/40 RF SM Polygrain (0.60) 9010/9010      L: 8400 mm (M5)</t>
  </si>
  <si>
    <t>FS 500/40 RF SM Polygrain (0.60) 9010/9010      L: 7700 mm (M5)</t>
  </si>
  <si>
    <t>FS 560/40 RF SM Polygrain (0.60) 9010/9010      L: 7700 mm (M5)</t>
  </si>
  <si>
    <t>FS 610/40 RF SM Polygrain (0.60) 9010/9010      L: 7700 mm (M5)</t>
  </si>
  <si>
    <t>FS 500/40 RL ST Polyester 9010/9010 L: 2550mm (M4)</t>
  </si>
  <si>
    <t>boven op bordes meteen rechts</t>
  </si>
  <si>
    <t>FS 610/40 RL ST Polyester 9010/9010 L: 2550 mm (M4)</t>
  </si>
  <si>
    <t>FS 500/40 RL ST Polyester 9010/9010 L: 3200 mm (M4)</t>
  </si>
  <si>
    <t>onder bordes aan inkom+1*pakket achter zaag</t>
  </si>
  <si>
    <t>FS 610/40 RL ST Polyester 9010/9010 L: 3200 mm (M4)</t>
  </si>
  <si>
    <t>onder bordes aan inkom</t>
  </si>
  <si>
    <t>FS 500/40 IL ST Polyester 9010/9010     L: 2550 mm (M1)</t>
  </si>
  <si>
    <t>boven op bordes</t>
  </si>
  <si>
    <t>FS 610/40 IL ST Polyester 9010/9010     L: 2550 mm (M1)</t>
  </si>
  <si>
    <t>FS 500/40 IL ST Polyester 9010/9010     L: 3200 mm (M1)</t>
  </si>
  <si>
    <t>131.6020</t>
  </si>
  <si>
    <t>FS 500/40 IL ST Polyester 9010/9010     L: 7700 mm (M1)</t>
  </si>
  <si>
    <t>131.6001</t>
  </si>
  <si>
    <t>FS 610/40 IL ST Polyester 9010/9010     L: 7700 mm (M1)</t>
  </si>
  <si>
    <t>FS 500/40 RL WG Polyester 9010/9010   L: 2550 mm (M3)</t>
  </si>
  <si>
    <t>FS 610/40 RL WG Polyester 9010/9011   L: 2550 mm (M3)</t>
  </si>
  <si>
    <t>FS 500/40 RL WG Polyester 9010/9010   L: 3200 mm (M3)</t>
  </si>
  <si>
    <t>onder bordes</t>
  </si>
  <si>
    <t>FS 610/40 RL WG Polyester 9010/9011   L: 3200 mm (M3)</t>
  </si>
  <si>
    <t>FS 500/40 RL WG Polyester 9010/9011   L: 5600 mm (M3)</t>
  </si>
  <si>
    <t>FS 610/40 RL WG Polyester 9010/9011   L: 5600 mm (M3)</t>
  </si>
  <si>
    <t>FS 500/40 RL WG Polyester 9010/9010   L: 7700 mm (M3)</t>
  </si>
  <si>
    <t>2*stock (16) rij 2</t>
  </si>
  <si>
    <t>FS 610/40 RL WG Polyester 9010/9011   L: 7700 mm (M3)</t>
  </si>
  <si>
    <t>134.5931</t>
  </si>
  <si>
    <t>FS 500/40 RF WG Polyester 9010/9010    L: 7700 mm (M6)</t>
  </si>
  <si>
    <t>134.5951</t>
  </si>
  <si>
    <t>FS 610/40 RF WG Polyester 9010/9010    L: 7700 mm (M6)</t>
  </si>
  <si>
    <t>FS 500/40 Cassette 9010/9010 L: 2600 (M7)</t>
  </si>
  <si>
    <t>FS 610/40 Cassette 9010/9010 L: 2600 (M7)</t>
  </si>
  <si>
    <t>FS 610/40 Cassette 9010/9010 L: 3920 (M7)</t>
  </si>
  <si>
    <t>FS 500/40 Cassette 9010/9010 L: 4660 (M7)</t>
  </si>
  <si>
    <t>FS 610/40 Cassette 9010/9010 L: 4660 (M7)</t>
  </si>
  <si>
    <t>FS 610/40 Cassette 9010/9010 L: 5240 (M7)</t>
  </si>
  <si>
    <t>FS 500/40 RL SM Polygrain (0.60) 9010/9010    L:2550mm (M2)</t>
  </si>
  <si>
    <t>achter spindel</t>
  </si>
  <si>
    <t>FS 610/40 RL SM Polygrain (0.60) 9010/9010    L: 2550 mm (M2)</t>
  </si>
  <si>
    <t>bordes</t>
  </si>
  <si>
    <t>133.1182</t>
  </si>
  <si>
    <t>FS 500/40 RL SM Polygrain (0.60) 9010/9010    L:5600mm (M2)</t>
  </si>
  <si>
    <t>133.1177</t>
  </si>
  <si>
    <t>FS 610/40 RL SM Polygrain (0.60) 9010/9010    L: 5600 mm (M2)</t>
  </si>
  <si>
    <t>FS 610/40 RL SM Polygrain (0.60) 9010/9010    L: 7600 mm (M2)</t>
  </si>
  <si>
    <t>FS 500/40 RT SM Polygrain 9010/9010      L: 5600 mm (M8)</t>
  </si>
  <si>
    <t>FS 610/40 RT SM Polygrain 9010/9010      L: 5600 mm (M8)</t>
  </si>
  <si>
    <t>FS 500/40 RV LI Polygrain 9010/9010      L: 5600 mm (M15)</t>
  </si>
  <si>
    <t>FS 500/40 RV lichte eik /9010 L: 5600 mm (M12 )</t>
  </si>
  <si>
    <t>FS 610/40 RF/SM luxe oak prepainted/9010 L: 7600</t>
  </si>
  <si>
    <t>FS 500/40 RV mahonie /9010 L: 5600 mm (M14 )</t>
  </si>
  <si>
    <t>FS 500/40 RV rustiek eik /9010 L: 5600 mm (M11 )</t>
  </si>
  <si>
    <t>139.5921</t>
  </si>
  <si>
    <t>FS 500/40 RV WG Polyester 9010/9010     L: 5600 mm (M16)</t>
  </si>
  <si>
    <t>FS 500/40 MR SM Polygrain 9006/9010     L: 5600 mm (M18)</t>
  </si>
  <si>
    <t>140.1794</t>
  </si>
  <si>
    <t>FS 610/40 MR SM Polygrain 9006/9010    L: 5600 mm (M18)</t>
  </si>
  <si>
    <t>FS 500/40 MR SM Polygrain 9010/9010     L: 5600 mm (M18)</t>
  </si>
  <si>
    <t>FS 610/40 MR SM Polygrain 9010/9010    L: 5600 mm (M18)</t>
  </si>
  <si>
    <t>FS 500/40 MR SM Polygrain 9010/9010     L: 7600 mm (M18)</t>
  </si>
  <si>
    <t>FS 610/40 MR SM Polygrain 9010/9010    L: 7600 mm (M18)</t>
  </si>
  <si>
    <t>139.1179</t>
  </si>
  <si>
    <t>FS 500/40 RV SM Polygrain (0.60) 9010/9010</t>
  </si>
  <si>
    <t>Knapen BVBA</t>
  </si>
  <si>
    <t>SOU169126</t>
  </si>
  <si>
    <t>200MM SWS Façade extra 25m zwart (rol 25m 200mm)</t>
  </si>
  <si>
    <t>SWS Facade Extra 200mm</t>
  </si>
  <si>
    <t>Lecot</t>
  </si>
  <si>
    <t>PGWVZV001004000</t>
  </si>
  <si>
    <t>SPAANDERPLAATSCHROEF VZK-Z * 4.00 X 50 WIT VERZINKT POZI (200)</t>
  </si>
  <si>
    <t>1031010750605</t>
  </si>
  <si>
    <t>SPAX RAH KOZIJNSCHROEF 7,5X60MM T-STAR TX30 VOLL.DRAAD WIROX-VERZ CIL.KOP (100)</t>
  </si>
  <si>
    <t>000933801006000</t>
  </si>
  <si>
    <t>ZESKANTTAPBOUTEN DIN 933 VERZINKT M 6 X 30 VOLLEDIGE DRAAD (200)</t>
  </si>
  <si>
    <t>35013</t>
  </si>
  <si>
    <t>CIJFERHANGSLOT ABUS 160/40 MET 3 CIJFERS</t>
  </si>
  <si>
    <t>ALS 001</t>
  </si>
  <si>
    <t>ALSIBOIS 40 CL NEUTRAAL + VERHARDER</t>
  </si>
  <si>
    <t>080100130</t>
  </si>
  <si>
    <t>KALEERBLOKJES PVC 22X5 GROEN - 539432 (100)</t>
  </si>
  <si>
    <t>080100144</t>
  </si>
  <si>
    <t>KALEERBLOKJES PVC 30X3 ROOD - 539470</t>
  </si>
  <si>
    <t>KN 901000022</t>
  </si>
  <si>
    <t>ASSORTIMENT CALES PLATTES (520PCS) KN901000022</t>
  </si>
  <si>
    <t>ASSORTIMENT (520 STUKS) PVC KALEERBLOKJES KN 901000022</t>
  </si>
  <si>
    <t>106617</t>
  </si>
  <si>
    <t>SILICONEPOMP SOUDAL VOOR KOKER 310ML (106617)</t>
  </si>
  <si>
    <t>RD 0544/3L</t>
  </si>
  <si>
    <t>RED DEVIL "ONETIME" RENOVATIEPASTA 1 LITER REF.RD0544/3L</t>
  </si>
  <si>
    <t>100676</t>
  </si>
  <si>
    <t>PARABOND 600 Elastische lijmkit zwart (koker 290ml)</t>
  </si>
  <si>
    <t>113228</t>
  </si>
  <si>
    <t>KOKER 300 ML NEUTRALE SILICONE SOUDAL SILIRUB COLOR - KWARTSGRIJS / RAL 7039</t>
  </si>
  <si>
    <t>101114</t>
  </si>
  <si>
    <t>PARAFOAM NBS POLYURETHAAN PISTOOLSCHUIM 750ML</t>
  </si>
  <si>
    <t>101193</t>
  </si>
  <si>
    <t>DL Ronde PU Mousseband open cellen Ø20mm (200m)</t>
  </si>
  <si>
    <t>070500961</t>
  </si>
  <si>
    <t>ZELFKLEVENDE MOUSSEBAND PVC 125 - 10X15MM DONKERGRIJS</t>
  </si>
  <si>
    <t>191324</t>
  </si>
  <si>
    <t>ENKELE TRAPLADDER ALU ALTREX FALCO FEO4 (95 CM) 191324</t>
  </si>
  <si>
    <t>0070.1230.01</t>
  </si>
  <si>
    <t>SCHUURSPONS 69 X 98 X 26 MM K100 - 7990 SIASPONGE COMBI BLOCK FINE (00701230)</t>
  </si>
  <si>
    <t>A00190</t>
  </si>
  <si>
    <t>HANDBORSTEL ZUIVERE COCO - ONGELAKT 290MM - 00190</t>
  </si>
  <si>
    <t>A00013</t>
  </si>
  <si>
    <t>VEEGBORSTEL ZUIVERE COCO 33CM GELAKT NR 00013 (ZONDER STEEL)</t>
  </si>
  <si>
    <t>A00507</t>
  </si>
  <si>
    <t>BORSTELSTEEL HOUT Ø 28 MM - 1400 MM</t>
  </si>
  <si>
    <t>A00022</t>
  </si>
  <si>
    <t>VEEGBORSTEL ZUIVERE COCO 50CM ONGELAKT NR 00022 (ZONDER STEEL)</t>
  </si>
  <si>
    <t>A27350</t>
  </si>
  <si>
    <t>SAFE BRUSH BORSTELSTEEL 1.5M POLYPROPYLEEN GLASFIBER VERSTERKT</t>
  </si>
  <si>
    <t>A00498</t>
  </si>
  <si>
    <t>RAMASSETTE METAL + BROSSE A MAIN COCO</t>
  </si>
  <si>
    <t>2608900420</t>
  </si>
  <si>
    <t>GATZAAG Ø 22 MM BOSCH EXPERT TOUGH MATERIAL - POWER CHANGE</t>
  </si>
  <si>
    <t>11915</t>
  </si>
  <si>
    <t>SPIRAALBOOR (HOUT) HELLER 333 - Ø7.0X110MM REF 119153</t>
  </si>
  <si>
    <t>2608900090</t>
  </si>
  <si>
    <t>HAMERBOOR SDS-PLUS Ø 8 X 265 - 200 MM - BOSCH EXPERT PLUS-7X</t>
  </si>
  <si>
    <t>TJ LCB65</t>
  </si>
  <si>
    <t>PAQUET (10PC) DE LAMES 25MM - TAJIMA REF TJ LCB65</t>
  </si>
  <si>
    <t>000168372</t>
  </si>
  <si>
    <t>SAC A GRAVATS 100X60CM POLYPROPYLENE</t>
  </si>
  <si>
    <t>Puinzak bouw 100x60cm polypropyleen</t>
  </si>
  <si>
    <t>BR 39011BL</t>
  </si>
  <si>
    <t>LAKROL 110 MM MOUSSE - COLORLINE (1 BLISTER = 10 ST)</t>
  </si>
  <si>
    <t>blister</t>
  </si>
  <si>
    <t>BR 80501</t>
  </si>
  <si>
    <t>VERFBAK PLASTIEK MET LAKROL110 MM - COLORLINE</t>
  </si>
  <si>
    <t>100-413</t>
  </si>
  <si>
    <t>STROXX ROLMETER EXPERT L=5METER</t>
  </si>
  <si>
    <t>1-43-525</t>
  </si>
  <si>
    <t>WATERPAS MAGNETISCH 600 MM (3 LIBELLEN) - STANLEY FATMAX 2 (1-43-525)</t>
  </si>
  <si>
    <t>PI3030</t>
  </si>
  <si>
    <t>MARKER PICA DRY (3030)</t>
  </si>
  <si>
    <t>PI4030</t>
  </si>
  <si>
    <t>ETUI MET 10 STIFTEN ZWART VOOR PICA DRY (4030)</t>
  </si>
  <si>
    <t>83SH.JP9BPB</t>
  </si>
  <si>
    <t>SET 9 LANGE INBUSSLEUTELS MET RONDE KOP FACOM 83SH.JP9BPB</t>
  </si>
  <si>
    <t>PRE12511</t>
  </si>
  <si>
    <t>PATROON UNIVERSEEL VET PRESSOL 400 GR -12511</t>
  </si>
  <si>
    <t>95 12 165</t>
  </si>
  <si>
    <t>KABELSCHAAR (TOT Ø 15 MM) KNIPEX REF.9512165</t>
  </si>
  <si>
    <t>74 06 180</t>
  </si>
  <si>
    <t>KNIPEX KRACHT ZIJKNIPTANG 180MM VDE 180MM</t>
  </si>
  <si>
    <t>2408039</t>
  </si>
  <si>
    <t>ZESKANTDOP BITS KOKEN 115 MAGN. - ZESK.1/4" 8MM - VOOR MOER M5</t>
  </si>
  <si>
    <t>AT3.5X100VE</t>
  </si>
  <si>
    <t>SLEUFSCHROEVENDRAAIER 3.5 X 100 GEISOLEERD 1000V - FACOM PROTWIST</t>
  </si>
  <si>
    <t>2-17-199</t>
  </si>
  <si>
    <t>KAPZAAG 300 MM STANLEY FATMAX 2-17-199</t>
  </si>
  <si>
    <t>63502230210</t>
  </si>
  <si>
    <t>MULTITOOLZAAGBLAD 65 MM STARLOCK E-CUT PRECISION HSC WOOD</t>
  </si>
  <si>
    <t>601</t>
  </si>
  <si>
    <t>FACOM METAALZAAGBEUGEL - 601</t>
  </si>
  <si>
    <t>T518QCEL7</t>
  </si>
  <si>
    <t>SNELSPANNER 450 MM QUICK GRIP MEDIUM DUTY IRWIN (KLEMKRACHT 135 KG)</t>
  </si>
  <si>
    <t>220383</t>
  </si>
  <si>
    <t>SIEVERT GASPATROON POWERGAS EU (7/16 INCH)</t>
  </si>
  <si>
    <t>100-592</t>
  </si>
  <si>
    <t>STROXX DIAMANTZAAG UNIVERSEEL 230X22.2</t>
  </si>
  <si>
    <t>G23SW2CPZ</t>
  </si>
  <si>
    <t>SET HAAKSE SLIJPERS HIKOKI G23SW2PACK : G23SW2 (230) + G13SR4 (125)</t>
  </si>
  <si>
    <t>DCS356P2-QW</t>
  </si>
  <si>
    <t>ACCU MULTITOOL DEWALT DCS356P2-QW (18 V - 2 X 5 AH LI-ION)</t>
  </si>
  <si>
    <t>576413</t>
  </si>
  <si>
    <t>FREESMACHINE FESTOOL DOMINO DF500Q-PLUS</t>
  </si>
  <si>
    <t>630800000</t>
  </si>
  <si>
    <t>SNELSPANMOER SDS CLIC M 14 - METABO 63080000 (QUICK FLENS)</t>
  </si>
  <si>
    <t>616359000</t>
  </si>
  <si>
    <t>BLIKKEN DOOSJE (10) DOORSLIJPSCHIJVEN Ø 125 X 1 X 22 MM INOX - METABO</t>
  </si>
  <si>
    <t>1-51-172</t>
  </si>
  <si>
    <t>BANKHAMER HOUT 200GR - 1-51-172</t>
  </si>
  <si>
    <t>1-TRA205T</t>
  </si>
  <si>
    <t>NIETEN 8MM TYPE A - 1000 STUKS - 1-TRA205T (100)</t>
  </si>
  <si>
    <t>AL 107Z</t>
  </si>
  <si>
    <t>PERMANENT MARKER EK 107 - ZWART</t>
  </si>
  <si>
    <t>24D00834</t>
  </si>
  <si>
    <t>KOKEN DOP MAGNEET 115G 100MM 10</t>
  </si>
  <si>
    <t>24D01076</t>
  </si>
  <si>
    <t>KOKEN DOP MAGNEET 115G 100MM 13 - VOOR MOER M8</t>
  </si>
  <si>
    <t>05020013001</t>
  </si>
  <si>
    <t>WERA STEEK- EN RINGRATELSLEUTELSET 11 DELIG (8-19MM)</t>
  </si>
  <si>
    <t>467B.10</t>
  </si>
  <si>
    <t>ANTI-SLIP STEEKRINGRATELSLEUTEL 10MM - 467B.10</t>
  </si>
  <si>
    <t>467B.13</t>
  </si>
  <si>
    <t>ANTI-SLIP STEEKRINGRATELSLEUTEL 13MM - 467B.13</t>
  </si>
  <si>
    <t>700-84101</t>
  </si>
  <si>
    <t>HYDRO OPBOUW ENKELVOUDIGE DOOS 1 INGANG - GRIJS</t>
  </si>
  <si>
    <t>649305</t>
  </si>
  <si>
    <t>DLP LIJST 16 X 16 MM - WIT LENGTE 2,1 METER - MET DEKSEL</t>
  </si>
  <si>
    <t>049490</t>
  </si>
  <si>
    <t>BLOC MULTIPRISES STAN 4X(2P+T) - BLANC</t>
  </si>
  <si>
    <t>700-36600</t>
  </si>
  <si>
    <t>HYDRO WANDCONTACDOOS MET SCHROEFKLEMMEN IP55 - GRIJS</t>
  </si>
  <si>
    <t>ZE 100260</t>
  </si>
  <si>
    <t>SOLID VOUWMETER KUNSTSTOF 2MX16MM GEEL FIBER - ZE 100260</t>
  </si>
  <si>
    <t>756200712</t>
  </si>
  <si>
    <t>OPROLHASPEL ELECT. KABEL 3X2.5MM2 L.20+1M (MW) - HAE32520N</t>
  </si>
  <si>
    <t>CPRXVB3G1,5C25</t>
  </si>
  <si>
    <t>KABEL XVB 3G1,5 ROL 25M</t>
  </si>
  <si>
    <t>100-591</t>
  </si>
  <si>
    <t>STROXX DIAMANTZAAG UNIVERSEEL 125X22.2</t>
  </si>
  <si>
    <t>4932471824</t>
  </si>
  <si>
    <t>LOCKING BIT HOLDER 152 MM</t>
  </si>
  <si>
    <t>100-769</t>
  </si>
  <si>
    <t>STROXX SET INBUSSLEUTELS T-HANDVAT IN DISPLAY 7 DELIG 2-8MM</t>
  </si>
  <si>
    <t>100-533</t>
  </si>
  <si>
    <t>STROXX PISTOOL VOOR SCHUIM NBS SCHROEFDRAAD</t>
  </si>
  <si>
    <t>100-870</t>
  </si>
  <si>
    <t>STROXX FICHE CAOUTCHOUC MALE 230V/16A</t>
  </si>
  <si>
    <t>576138</t>
  </si>
  <si>
    <t>HANDCIRKELZAAG HK 85 EB-PLUS-FS</t>
  </si>
  <si>
    <t>467B.JP10PB</t>
  </si>
  <si>
    <t>SET (10ST) RING-STEEKSLEUTELS MET RATELFUNCTIE FACOM REF 467B.JP10PB</t>
  </si>
  <si>
    <t>181A.25CPEPB</t>
  </si>
  <si>
    <t>FACOM WATERPOMPTANG MET DOORGESTOKEN SCHARNIER EN VERGRENDELING 250 MM</t>
  </si>
  <si>
    <t>100-951</t>
  </si>
  <si>
    <t>STROXX KABELBINDER UV BESTENDIG ZWART 4.8X200MM ZAK 100ST</t>
  </si>
  <si>
    <t>zak</t>
  </si>
  <si>
    <t>PA1225</t>
  </si>
  <si>
    <t>HPX - DUBBELZIJDIGE MULTI-TACK TAPE - SEMI-TRANSPARANT 12MM X 25M</t>
  </si>
  <si>
    <t>30049-43/63.074</t>
  </si>
  <si>
    <t>HOGE VEILIGHEIDSSCHOEN PUMA CONQUEST STONE HIGH S3 HRO SRC - BEIGE - MT 43</t>
  </si>
  <si>
    <t>101-190</t>
  </si>
  <si>
    <t>STROXX IMPACT BITS PH2 1/4" X 90MM WIT (3 STUKS)</t>
  </si>
  <si>
    <t>101-226</t>
  </si>
  <si>
    <t>STROXX IMPACT BITS PZ2 1/4" X 90MM ZWART (3 STUKS)</t>
  </si>
  <si>
    <t>101-201</t>
  </si>
  <si>
    <t>STROXX IMPACT BITSET 1/4" X 25MM (22-DELIG)</t>
  </si>
  <si>
    <t>101-232</t>
  </si>
  <si>
    <t>STROXX SCHROEVENDRAAIERSET (7 - VDE) - (PH1-2, SL 0,4 - 0,6 - 0,8 - 1)</t>
  </si>
  <si>
    <t>4933478601</t>
  </si>
  <si>
    <t>ACCU BLINDKLINKNAGELTANG MILWAUKEE M18 ONEFPRT-0X</t>
  </si>
  <si>
    <t>105422</t>
  </si>
  <si>
    <t>PARASILICO AM 85-1 T SILICONE - TRANSPARENT (CARTOUCHE 300ML)</t>
  </si>
  <si>
    <t>101-471</t>
  </si>
  <si>
    <t>STROXX IMPACT BITSHOUDER 1/4" X 65MM MET C-RING</t>
  </si>
  <si>
    <t>A27310</t>
  </si>
  <si>
    <t>SAFE BRUSH SCHUURBORSTEL 30 CM</t>
  </si>
  <si>
    <t>101-610</t>
  </si>
  <si>
    <t>STROXX RATEL 1/4</t>
  </si>
  <si>
    <t>101-638</t>
  </si>
  <si>
    <t>STROXX MARKER POTLOOD</t>
  </si>
  <si>
    <t>STROXX MARQUEUR CRAYON</t>
  </si>
  <si>
    <t>500-513</t>
  </si>
  <si>
    <t>STROXX HAMERBOOR 4CUT SDS-PLUS Ø 5 X 160-100</t>
  </si>
  <si>
    <t>500-518</t>
  </si>
  <si>
    <t>STROXX HAMERBOOR 4CUT SDS-PLUS Ø 6 X 210-150</t>
  </si>
  <si>
    <t>500-519</t>
  </si>
  <si>
    <t>STROXX HAMERBOOR 4CUT SDS-PLUS Ø 6 X 260-200</t>
  </si>
  <si>
    <t>500-993</t>
  </si>
  <si>
    <t>STROXX HAMERBOOR 2CUT SDS-PLUS Ø 6,5 X 210-150</t>
  </si>
  <si>
    <t>500-988</t>
  </si>
  <si>
    <t>STROXX HAMERBOOR 2CUT SDS-PLUS Ø 8 X 160-100</t>
  </si>
  <si>
    <t>500-989</t>
  </si>
  <si>
    <t>STROXX HAMERBOOR 2CUT SDS-PLUS Ø 10 X 160-100</t>
  </si>
  <si>
    <t>800-582</t>
  </si>
  <si>
    <t>STROXX VIS POUR CHASSIS TÊTE FRAISEE 7,5X182MM TX30 (100)</t>
  </si>
  <si>
    <t>800-627</t>
  </si>
  <si>
    <t>STROXX VIS A BOIS ZINGUE TORX TX25 5,0X60 ENTIEREMENT FILETE (200)</t>
  </si>
  <si>
    <t>EC40</t>
  </si>
  <si>
    <t>RALLONGE 40M - ORANGE - 3G1.5 - TERRE FRANÇAISE</t>
  </si>
  <si>
    <t>PI4050</t>
  </si>
  <si>
    <t>PICA 4050 Dry Navulling - Timmerlieden/Meubelmakers (10st)</t>
  </si>
  <si>
    <t>500-590</t>
  </si>
  <si>
    <t>STROXX HAMERBOOR 4CUT SDS-PLUS MULTIPACK (10 STUKS) Ø 8,0 X 210-150 (10)</t>
  </si>
  <si>
    <t>101-000</t>
  </si>
  <si>
    <t>STROXX BURIN A POINT SDS-PLUS - 250 MM</t>
  </si>
  <si>
    <t>562831</t>
  </si>
  <si>
    <t>SET LEVELFIX CCL283G GROENE 3D MULTI LIJNLASER MET UITLIJNVOET INCL STATIEF 1,5M</t>
  </si>
  <si>
    <t>STHT57531-0</t>
  </si>
  <si>
    <t>STANLEY HAMER COMPO-CAST 500GR - STHT57531-0</t>
  </si>
  <si>
    <t>102-206</t>
  </si>
  <si>
    <t>STROXX SILICONESPRAY - 400ML</t>
  </si>
  <si>
    <t>C0911457370002</t>
  </si>
  <si>
    <t>TIVOLY 5 FORÊTS METAL TSP HSS 5% COBALT 6.35MM QUEUE HEXAGONALE Ø3-8MM</t>
  </si>
  <si>
    <t>102-526</t>
  </si>
  <si>
    <t>STROXX PLATTE BEITEL SDS-PLUS 40X250MM</t>
  </si>
  <si>
    <t>STROXX BURIN PLAT SDS-PLUS 40X250MM</t>
  </si>
  <si>
    <t>4933493651</t>
  </si>
  <si>
    <t>MILWAUKEE ACCU EXCENTRISCHE SCHUURMACHINE M12 FROS5-502X (2X5.0AH M/LADER)</t>
  </si>
  <si>
    <t>*461RAL</t>
  </si>
  <si>
    <t>Deurrooster 461 (400x300) natuurkleur</t>
  </si>
  <si>
    <t>LS400.B61.125</t>
  </si>
  <si>
    <t>BS transportwiel elastisch (blauw) met plaat dia 125mm - zwenk (tot 140 kg)</t>
  </si>
  <si>
    <t>Ventilatierooster 600 x 400 Aluminium</t>
  </si>
  <si>
    <t>Blindklinknagel GESIPA alu/staal PK 4x10 wit</t>
  </si>
  <si>
    <t>F0201000047-J</t>
  </si>
  <si>
    <t>Galeo BT CDVI incl. controller</t>
  </si>
  <si>
    <t>F1001000078</t>
  </si>
  <si>
    <t>2 Relay ontvanger CDVI XPL</t>
  </si>
  <si>
    <t>F1001000001</t>
  </si>
  <si>
    <t>2 relay ontvanger standaard CDVI nano</t>
  </si>
  <si>
    <t>Le Hublot Francais</t>
  </si>
  <si>
    <t>B11748931600D01HC5C</t>
  </si>
  <si>
    <t>Hublot alu car. Croix verre tr p40</t>
  </si>
  <si>
    <t>Maegerman W. bvba</t>
  </si>
  <si>
    <t>plint: 2 st x 2,67m= 5,34m (afrormosia)</t>
  </si>
  <si>
    <t>Mallants NV</t>
  </si>
  <si>
    <t>Dualfix isolatieplug 10 x 220 (100st/doos)</t>
  </si>
  <si>
    <t>Marantec Legden GmbH &amp; Co. KG</t>
  </si>
  <si>
    <t>Spare part board (ook voor FU-i/FU-E) CS320 zonder BWM1 230V1 - 230V/3 - 400V/3</t>
  </si>
  <si>
    <t>CS320 met stuurkoffer</t>
  </si>
  <si>
    <t>CS320L - S - 22 - Y400 - CS - STD - AWG - ME (lite)</t>
  </si>
  <si>
    <t>Print FS101 voor FS345</t>
  </si>
  <si>
    <t>RS200 L print</t>
  </si>
  <si>
    <t>RS300</t>
  </si>
  <si>
    <t>Modul MSBus</t>
  </si>
  <si>
    <t>SET_2018</t>
  </si>
  <si>
    <t>STA 1-10-30 E</t>
  </si>
  <si>
    <t>STA 1-10-30 E Hex 32</t>
  </si>
  <si>
    <t>STA 1-10-24 KE</t>
  </si>
  <si>
    <t>STA 1-10-24KE Hex 32</t>
  </si>
  <si>
    <t>STA 1-10-24E Hex 32</t>
  </si>
  <si>
    <t>STA 1-11-24 E</t>
  </si>
  <si>
    <t>STA 1-7-19 KE CD</t>
  </si>
  <si>
    <t>MDF 30-42-12KU-AWG</t>
  </si>
  <si>
    <t>MDF 30-40-24KU-AWG</t>
  </si>
  <si>
    <t>Curly cable 5 x 0.5 mm2, 1600mm flat</t>
  </si>
  <si>
    <t>Grid Scan Pro - 2500 - PNP/NPN/FSS &lt;10m</t>
  </si>
  <si>
    <t>Zubehör-Set für Nockenzange (Accessoireset voor nokkentang)</t>
  </si>
  <si>
    <t>WA 25,4/40 ohne Nut Wellenadapter für STA mit Steckwelle (WA 25,4/40 zonder groef Asadapter voor STA met steekas)</t>
  </si>
  <si>
    <t>Kabelsatz STA/CS 310 FU-i 13 m</t>
  </si>
  <si>
    <t>Digital CS 868 MHz 1K</t>
  </si>
  <si>
    <t>590012 kabelset ST 5m voor CS besturingen</t>
  </si>
  <si>
    <t>Cable set STA CS300 9m</t>
  </si>
  <si>
    <t>Kabelsatz STA/CS 310 FU-i 5 m</t>
  </si>
  <si>
    <t>Kabelsatz STA/CS 310 FU-i 7 m</t>
  </si>
  <si>
    <t>Kabelsatz STA/CS 310 FU-i 11 m</t>
  </si>
  <si>
    <t>Kabelsatz STA/CS 310 FU-i 15 m</t>
  </si>
  <si>
    <t>Anschlagpuffer (25x30x18) set-inhalt: 2 anschlagpuffer</t>
  </si>
  <si>
    <t>Lichtschranken set special 630</t>
  </si>
  <si>
    <t>DW-schalter "bircher" im gehäuse</t>
  </si>
  <si>
    <t>STAI rail 1 maxmal door height of 2,5 meter</t>
  </si>
  <si>
    <t>Kabelsatz STA/CS 310 FU-i 9 m</t>
  </si>
  <si>
    <t>Falcon XL öffnungssensor</t>
  </si>
  <si>
    <t>Door leaf connection box</t>
  </si>
  <si>
    <t>Radar motion detector</t>
  </si>
  <si>
    <t>Radar- bewegungs- und anwesenheitssensor für motagehöhe bis 3,5 m</t>
  </si>
  <si>
    <t>ET push-button set CS push-button</t>
  </si>
  <si>
    <t>Radar- bewegungs- und anwesenheitssensor für montagehöge bis 6 m</t>
  </si>
  <si>
    <t>Door leave connection box with SE/5k2-PCB for OSE/8k2</t>
  </si>
  <si>
    <t>ET LCD display - CS300/310/320/400</t>
  </si>
  <si>
    <t>Command 108 mit 3m kabel</t>
  </si>
  <si>
    <t>Conversion kit KU to KE with 1 m chain</t>
  </si>
  <si>
    <t>command 222 Marantec funkcodet 433MHz</t>
  </si>
  <si>
    <t>Command 222 Marantec funkcodet 868 Meta</t>
  </si>
  <si>
    <t>Command 231 433MHz Codeklavier met klep</t>
  </si>
  <si>
    <t>Door leave connection bos with OSE/8K2-PCB for OSE/8k2</t>
  </si>
  <si>
    <t>Anschlagpuffer 3 (45x25x46)</t>
  </si>
  <si>
    <t>Antriebsschiene STAI-H 3-Stahl, 5760mm</t>
  </si>
  <si>
    <t>123678 EK Platine FS 101, 1 230V 50Hz</t>
  </si>
  <si>
    <t>Taster 1-fach KDT1 -0</t>
  </si>
  <si>
    <t>F-lichschranke v.6</t>
  </si>
  <si>
    <t>Kabelsatz STA 15 m für CS steuerungen</t>
  </si>
  <si>
    <t>Special 411 schlupftürkontakt</t>
  </si>
  <si>
    <t>Cable set STA CS300 11m</t>
  </si>
  <si>
    <t>Set DW-stopfen 22x27x25 für gummiprofil</t>
  </si>
  <si>
    <t>Anbausatz AKT-K4</t>
  </si>
  <si>
    <t>Achskettentrieb für STA1, 483 mm, i=1:1, 25,4 mm</t>
  </si>
  <si>
    <t>Anschlussnabe federwelle 6K SW 32mm</t>
  </si>
  <si>
    <t>Anschlussnabe federwelle 25,4 mm</t>
  </si>
  <si>
    <t>Anschlussnabe federwelle 31,75 mm</t>
  </si>
  <si>
    <t>Digital 382 Tx MB868 5K MARA vp</t>
  </si>
  <si>
    <t>Entriegelungsmechanismus STA für abschaltung</t>
  </si>
  <si>
    <t>Set STAI-befestigungskonsole 2017</t>
  </si>
  <si>
    <t>ET-Platine CS 320 FS</t>
  </si>
  <si>
    <t>Montage-set antriebsschiene-STAI</t>
  </si>
  <si>
    <t>Digital 384 Tx MB868 4K MARA vp</t>
  </si>
  <si>
    <t>Notstrompuffer STA/MD05 230V/1 ~, 2Kva/1,4kW</t>
  </si>
  <si>
    <t>Fotocel inplug special 633</t>
  </si>
  <si>
    <t>Marantec light Max</t>
  </si>
  <si>
    <t>Comfort 260</t>
  </si>
  <si>
    <t>Comfort 270</t>
  </si>
  <si>
    <t>Comfort 280</t>
  </si>
  <si>
    <t>Comfort 360</t>
  </si>
  <si>
    <t>codeklavier 3-relay</t>
  </si>
  <si>
    <t>Special 302noodontkoppeling</t>
  </si>
  <si>
    <t>Special 101 deurbeslag</t>
  </si>
  <si>
    <t>Powerproof USV 2000VA/1200W 230VAC</t>
  </si>
  <si>
    <t>GFA</t>
  </si>
  <si>
    <t>Motor Snelloper SI63 3,5.350-25,40 FU</t>
  </si>
  <si>
    <t>MB Safety</t>
  </si>
  <si>
    <t>RDW kluis riga MT1E</t>
  </si>
  <si>
    <t>MCS Belgium BV / Promanté</t>
  </si>
  <si>
    <t>CUTTING DISC (125, 1.0 MM)</t>
  </si>
  <si>
    <t>PURE WIPES (HF)</t>
  </si>
  <si>
    <t>TOTAL WIPES (BRACKET)</t>
  </si>
  <si>
    <t>FOAM CLEANER (500 ML)</t>
  </si>
  <si>
    <t>M. Ex. T Belgium BV</t>
  </si>
  <si>
    <t>0010.062</t>
  </si>
  <si>
    <t>Elastische zwachtel (0,06x4m)</t>
  </si>
  <si>
    <t>0010.063</t>
  </si>
  <si>
    <t>Elastische zwachtel (0,08x4m)</t>
  </si>
  <si>
    <t>0010.071</t>
  </si>
  <si>
    <t>Driehoeksverband katoen (0,96x0,96x1,36m)</t>
  </si>
  <si>
    <t>0020.060</t>
  </si>
  <si>
    <t>Assortiment wondpleisters - 20 stuks</t>
  </si>
  <si>
    <t>0030.012</t>
  </si>
  <si>
    <t>Steriel kompres (1/16)</t>
  </si>
  <si>
    <t>0030.014</t>
  </si>
  <si>
    <t>Steriel kompres (10x10cm)</t>
  </si>
  <si>
    <t>0050.047</t>
  </si>
  <si>
    <t>Hybin (30ml)</t>
  </si>
  <si>
    <t>0050.900</t>
  </si>
  <si>
    <t>Waup Aloë Vera, reinigingsdoekje - 5 stuks</t>
  </si>
  <si>
    <t>0080.010</t>
  </si>
  <si>
    <t>Inic, zelfkoelend koedkompres</t>
  </si>
  <si>
    <t>0090.068</t>
  </si>
  <si>
    <t>Pincet feilchenfeld 9 cm</t>
  </si>
  <si>
    <t>5010.101</t>
  </si>
  <si>
    <t>Kripwindsel (0,07x4m)</t>
  </si>
  <si>
    <t>0030.031</t>
  </si>
  <si>
    <t>Snelverband steriel (8x10cm)</t>
  </si>
  <si>
    <t>0030.032</t>
  </si>
  <si>
    <t>Snelverband steriel (10x12cm)</t>
  </si>
  <si>
    <t>0010.024</t>
  </si>
  <si>
    <t>Cohesief verband (0,08x4m)</t>
  </si>
  <si>
    <t>0020.035</t>
  </si>
  <si>
    <t>Elwo blauw, elast. Pleiste (18x2,5cm) - 60 stuks</t>
  </si>
  <si>
    <t>0140.011</t>
  </si>
  <si>
    <t>Bloodstop, bloedstelpende spray alginate (60ml)</t>
  </si>
  <si>
    <t>0160.413</t>
  </si>
  <si>
    <t>MExT vingerling blauw - 30 stuks</t>
  </si>
  <si>
    <t>0010.028</t>
  </si>
  <si>
    <t>ECV5 blauw, elastisch coh. Verband (0,05x4m) - 4 stuks</t>
  </si>
  <si>
    <t>0020.112</t>
  </si>
  <si>
    <t>Duoskin+ Pro, bloedst. Wondpleister (6x8cm) - 30 stuks</t>
  </si>
  <si>
    <t>MFZ Ovitor</t>
  </si>
  <si>
    <t>CS ontvanger 868Mhz insteek</t>
  </si>
  <si>
    <t>Mini ontvanger universeel 24V 868Mhz 2 kanaals</t>
  </si>
  <si>
    <t>Ontvanger universeel 24V 868Mhz 2 kanaals in IP65</t>
  </si>
  <si>
    <t>ontvanger VTA 868 MHz insteek</t>
  </si>
  <si>
    <t>CS ontvanger 868 MHz insteek bi linked</t>
  </si>
  <si>
    <t>inplug ontvanger Digital 163</t>
  </si>
  <si>
    <t>Handzender 2 kanaals 868Mhz RT21</t>
  </si>
  <si>
    <t>Handzender 2 kanaals 433,92 Mhz RT21</t>
  </si>
  <si>
    <t>Handzender 4 kanaals 868 Mhz RT20</t>
  </si>
  <si>
    <t>Wand- zonneklephouder</t>
  </si>
  <si>
    <t>Handzender 10-kanaal, 868 MHz RT29 incl. Montagebeugel</t>
  </si>
  <si>
    <t>S-APZ-1-1T/1</t>
  </si>
  <si>
    <t>Sleutelschakelaar opbouw</t>
  </si>
  <si>
    <t>GDT3</t>
  </si>
  <si>
    <t>Drievoudige opbouwdruktoetsen met stopfunctie</t>
  </si>
  <si>
    <t>Inbouwsleutelschakelaar met drievoudige druktoetsen</t>
  </si>
  <si>
    <t>Hoofdschakelaar oppbouw</t>
  </si>
  <si>
    <t>Enkelvoudige nooddrukknop</t>
  </si>
  <si>
    <t>PG8M9W10</t>
  </si>
  <si>
    <t>paddenstoel drukknop</t>
  </si>
  <si>
    <t>Slapkabelschakelaar ashendel</t>
  </si>
  <si>
    <t>Ashendelschakelaar (slappe kabelbeveiliging bij veren achteraan)</t>
  </si>
  <si>
    <t>As adapter rond 35 crawford</t>
  </si>
  <si>
    <t>KDT 3 met kabel</t>
  </si>
  <si>
    <t>Industriële druktoetsen met 3m kabel inplug op sturing CS310</t>
  </si>
  <si>
    <t>STA1-10-24 KE-CS310 met LCD</t>
  </si>
  <si>
    <t>STA1-10-24 KE-CS310 (60%) met LCD 5 meter motorkabel</t>
  </si>
  <si>
    <t>Hoorn 230 Volt</t>
  </si>
  <si>
    <t>Hoorn 24 Volt</t>
  </si>
  <si>
    <t>As adapter rond 40 Hormann</t>
  </si>
  <si>
    <t>CS300ME</t>
  </si>
  <si>
    <t>CS 300ME basisprint mechanische eindeloop</t>
  </si>
  <si>
    <t>Huls 11/22mm</t>
  </si>
  <si>
    <t>Weerstand 8k2</t>
  </si>
  <si>
    <t>Noodketting omkering STA (indien motor 90° gedraaid wordt)</t>
  </si>
  <si>
    <t>Stalen buiten kast 125x90x90 RVS met ½-profiel cilinder en keerrol</t>
  </si>
  <si>
    <t>Enkelvoudige drukknop opbouw</t>
  </si>
  <si>
    <t>drukknop stop - KDT 1-0</t>
  </si>
  <si>
    <t>drukknop impuls</t>
  </si>
  <si>
    <t>As adaptor zeskant 32 Crawford</t>
  </si>
  <si>
    <t>Asadapter 25,4-31,75 MFZ</t>
  </si>
  <si>
    <t>STA1-10-24 KE-CS310 (60%) met LCD 0 meter motorkabel</t>
  </si>
  <si>
    <t>STA 1-10-24 KU-CS310</t>
  </si>
  <si>
    <t>STA 1-10-24 KU-CS310 (60%) MET LCD 5 meter motorka</t>
  </si>
  <si>
    <t>STA 1-10-24 KU-CS310 (60%) MET LCD 7 meter motork</t>
  </si>
  <si>
    <t>STA 1-10-24 KU-CS310 (60%) MET LCD 9 meter motorka</t>
  </si>
  <si>
    <t>STA 1-10-24 E-CS310</t>
  </si>
  <si>
    <t>STA 1-10-24 E-CS310 (60%) MET LCD 5 meter motorkab</t>
  </si>
  <si>
    <t>STA 1-10-24 E-CS310 (60%) MET LCD 7 meter motorkab</t>
  </si>
  <si>
    <t>STA 1-10-24 E-CS310 (60%) MET LCD 9 meter motorkab</t>
  </si>
  <si>
    <t>GS fotocel eenweg</t>
  </si>
  <si>
    <t>Display LCD</t>
  </si>
  <si>
    <t>Display LED</t>
  </si>
  <si>
    <t>STA 1-10-24 KE-CS310</t>
  </si>
  <si>
    <t>STA 1-10-24 KE-CS310 (60%) MET LCD 11 meter motorkabel</t>
  </si>
  <si>
    <t>Command 222 codeklavier 868Mhz</t>
  </si>
  <si>
    <t>Kostal encoder MFZ</t>
  </si>
  <si>
    <t>Lichtgordijn syteem h=2500mm</t>
  </si>
  <si>
    <t>Spiraalkabel 5x0,25mm² - 1,6m met 6-pol.</t>
  </si>
  <si>
    <t>VTA 11-32-KE</t>
  </si>
  <si>
    <t>VTA 14-61 - E snelontkoppeling</t>
  </si>
  <si>
    <t>VTA 14-61 - E snelontkoppeling met ontkoppelingskoord</t>
  </si>
  <si>
    <t>VTA 14-61 - KU</t>
  </si>
  <si>
    <t>VTA 14-61 - KU met noodzwengel</t>
  </si>
  <si>
    <t>VTA 14-61 - KE met noodketting en 5m ketting</t>
  </si>
  <si>
    <t>STA 1-10-30 E CS300FU</t>
  </si>
  <si>
    <t>STA 1-10-30 E CS310FU ontkoppeling, let op veerbre</t>
  </si>
  <si>
    <t>Plafondtrekschakelaar</t>
  </si>
  <si>
    <t>Ketting rood/wit kunstof per meter</t>
  </si>
  <si>
    <t>Set optosensoren zender ontvanger</t>
  </si>
  <si>
    <t>Slapkabelschakelaar micro links (in combinatie met kabelbreukbeveiliging)</t>
  </si>
  <si>
    <t>Slapkabelschakelaar micro rechts (in combinatie met kabelbreukbeveiliging)</t>
  </si>
  <si>
    <t>Kabelb.5</t>
  </si>
  <si>
    <t>Kabelb.7</t>
  </si>
  <si>
    <t>Kabelb.9</t>
  </si>
  <si>
    <t>Kabelb.11</t>
  </si>
  <si>
    <t>set ccu 18</t>
  </si>
  <si>
    <t>universele sturing MFZ incl. koffer en op/stop/neer</t>
  </si>
  <si>
    <t>Led voor lamp rood</t>
  </si>
  <si>
    <t>Led voor lamp groen</t>
  </si>
  <si>
    <t>1191.16</t>
  </si>
  <si>
    <t>Wandhouder noodketting</t>
  </si>
  <si>
    <t>1191.17</t>
  </si>
  <si>
    <t>Kettingslot noodketting STA</t>
  </si>
  <si>
    <t>Noodketting STA</t>
  </si>
  <si>
    <t>1191.19</t>
  </si>
  <si>
    <t>Omkering ontkoppelingstouw STA</t>
  </si>
  <si>
    <t>Slapkabelschakelaar potje (enkel bij geen kabelbreukbeveiliging)</t>
  </si>
  <si>
    <t>Led voor lamp oranje</t>
  </si>
  <si>
    <t>Referentiepunt contact</t>
  </si>
  <si>
    <t>Bea afstandsbediening</t>
  </si>
  <si>
    <t>Bea Falcon</t>
  </si>
  <si>
    <t>Bea Condor</t>
  </si>
  <si>
    <t>Bea condoor XL</t>
  </si>
  <si>
    <t>lusdetectie 230V</t>
  </si>
  <si>
    <t>Weekschakelklok CS320 inplug</t>
  </si>
  <si>
    <t>Accu 24V in koffer voor MFZ brandpoorten</t>
  </si>
  <si>
    <t>Bea Magic Switch</t>
  </si>
  <si>
    <t>Motorsteun STA aandrijving vork model</t>
  </si>
  <si>
    <t>Trekkoord 6 meter</t>
  </si>
  <si>
    <t>Fotocel 24V met refelctor</t>
  </si>
  <si>
    <t>Beugel voor montage fotocel 24 met reflector</t>
  </si>
  <si>
    <t>Condensator 16Mfu</t>
  </si>
  <si>
    <t>ET schakelaar voor CS310</t>
  </si>
  <si>
    <t>Kabelset STA 1 meter</t>
  </si>
  <si>
    <t>Kabelset STA 13 meter</t>
  </si>
  <si>
    <t>Anbouwsatz AKT-K4</t>
  </si>
  <si>
    <t>STA-I kabel FU 7m</t>
  </si>
  <si>
    <t>STA-I kabel FU 11m</t>
  </si>
  <si>
    <t>STA-I kabel FU 15m</t>
  </si>
  <si>
    <t>Kabelset MTZ05-CS300 - STAW60%-CS300 7 mtr</t>
  </si>
  <si>
    <t xml:space="preserve">Kabelset STA FU-E - CS300/CS320 15 meter </t>
  </si>
  <si>
    <t>stop DW rubber groot</t>
  </si>
  <si>
    <t>stop DW rubber klein</t>
  </si>
  <si>
    <t>spiraalkabel oranje 1,6m met beugel</t>
  </si>
  <si>
    <t>spiraalkabel oranje 3m met beugel</t>
  </si>
  <si>
    <t>spiraalkabel oranje 5m met beugel</t>
  </si>
  <si>
    <t>slappekabelschakelaar boitje links + rechts</t>
  </si>
  <si>
    <t>voorloopfotocel duo telescopisch</t>
  </si>
  <si>
    <t>slappekabelschakelaar micro links + rechts</t>
  </si>
  <si>
    <t>verbindingsdoos met wartel</t>
  </si>
  <si>
    <t>lichtgordijn v6 in stalen behuizing</t>
  </si>
  <si>
    <t>externe ontvanger ip65 4 kanaals</t>
  </si>
  <si>
    <t>Ontvanger 2-kanaal, 868 MHz, in behuizing IP65 24V dig 340</t>
  </si>
  <si>
    <t>Kit industriële plafondautomaat (STAI1-10-30 + montageset + bevestigingsset)</t>
  </si>
  <si>
    <t>U-montagesteun ipv vork voor STA in set</t>
  </si>
  <si>
    <r>
      <t xml:space="preserve">Set Verbind. 6 adern </t>
    </r>
    <r>
      <rPr>
        <b/>
        <sz val="9"/>
        <rFont val="Verdana"/>
        <family val="2"/>
      </rPr>
      <t>8,5m</t>
    </r>
    <r>
      <rPr>
        <sz val="9"/>
        <rFont val="Verdana"/>
        <family val="2"/>
        <charset val="238"/>
      </rPr>
      <t xml:space="preserve"> TBA</t>
    </r>
  </si>
  <si>
    <t>Set Verbind. 6 adern 6,5m TBA</t>
  </si>
  <si>
    <t>Set Verbind. 6 adern 4,5m TBA</t>
  </si>
  <si>
    <t>Miba</t>
  </si>
  <si>
    <t>KOS00244</t>
  </si>
  <si>
    <t>Vervangen set DAF 90</t>
  </si>
  <si>
    <t>KOS00245</t>
  </si>
  <si>
    <t>Vervangen set DAF 130</t>
  </si>
  <si>
    <t>MJ-Construct BV</t>
  </si>
  <si>
    <t>Berner handzenders vierkanaals</t>
  </si>
  <si>
    <t>Mobielcenter</t>
  </si>
  <si>
    <t>KEM10013</t>
  </si>
  <si>
    <t>Verstuiver Solventbestendig 1L</t>
  </si>
  <si>
    <t>OSU35/1</t>
  </si>
  <si>
    <t>Roerlatten hout 35 x 3 cm (250st/ds)</t>
  </si>
  <si>
    <t>SAT1126889</t>
  </si>
  <si>
    <t>Satajet x5500 rp 1.8</t>
  </si>
  <si>
    <t>SAT1125120</t>
  </si>
  <si>
    <t>Nozzle Satajet x5500 rp 1.8</t>
  </si>
  <si>
    <t>SAT211540</t>
  </si>
  <si>
    <t>Adam 2 drukmeter &amp; dock brp</t>
  </si>
  <si>
    <t>RMCGB1724/25</t>
  </si>
  <si>
    <t>Cell. Thinner in 25L</t>
  </si>
  <si>
    <t>RMCGB1724/200</t>
  </si>
  <si>
    <t>Cell. Thinner in 200L</t>
  </si>
  <si>
    <t>SEL7-532/17</t>
  </si>
  <si>
    <t>Selemix Binder GL 30% 17kg=13,6L</t>
  </si>
  <si>
    <t>SEL7-533/19</t>
  </si>
  <si>
    <t>Selemix System Binder GL30% Light Colors 19kg=13,77L</t>
  </si>
  <si>
    <t>MI8024101037</t>
  </si>
  <si>
    <t>Mirlon VF 150mm Rood (10 stuks)</t>
  </si>
  <si>
    <t>LGVAT200</t>
  </si>
  <si>
    <t>Leeg vat 200L</t>
  </si>
  <si>
    <t>EM538204</t>
  </si>
  <si>
    <t>Nitril handschoenen XL grijs (50st)</t>
  </si>
  <si>
    <t>OSU30/1</t>
  </si>
  <si>
    <t>Roerlatten hout 30 x 2 cm</t>
  </si>
  <si>
    <t>INP26126</t>
  </si>
  <si>
    <t>Gerson 8311E2 spuitmasker Large</t>
  </si>
  <si>
    <t>EM9425</t>
  </si>
  <si>
    <t>Colad mengbekers 6000ml 40st</t>
  </si>
  <si>
    <t>doos/pak</t>
  </si>
  <si>
    <t>KEM1333025-650</t>
  </si>
  <si>
    <t>Kemtex mengbekers 650ml 200st</t>
  </si>
  <si>
    <t>KEM15203/100/20</t>
  </si>
  <si>
    <t>Paintstop filter groen 1m x 20 m</t>
  </si>
  <si>
    <t>Filter RD40</t>
  </si>
  <si>
    <t>SELNP07/3</t>
  </si>
  <si>
    <t>BRIGHT SILVER 3L</t>
  </si>
  <si>
    <t>SELNP95/3</t>
  </si>
  <si>
    <t>Selemix NP 95 black 3l</t>
  </si>
  <si>
    <t>PPGTBR2940</t>
  </si>
  <si>
    <t>N° 5 meetlat</t>
  </si>
  <si>
    <t>PPGTBR2939</t>
  </si>
  <si>
    <t>N° 4 meetlat</t>
  </si>
  <si>
    <t>INP11006B</t>
  </si>
  <si>
    <t>Gerson elite verzeefjes nylon 125 stuks per verpakking</t>
  </si>
  <si>
    <t>KEM1333025-2240</t>
  </si>
  <si>
    <t>Kemtex mengbekers 2240ml 200 stuks</t>
  </si>
  <si>
    <t>RMCRETOUR/200</t>
  </si>
  <si>
    <t>Vat 200L thinner retour</t>
  </si>
  <si>
    <t>3M3000</t>
  </si>
  <si>
    <t>HANDMATIGE DISPENCER M 3000 (ST)</t>
  </si>
  <si>
    <t>ASGSL12OR</t>
  </si>
  <si>
    <t>PERSLUCHTSLANG 12M MET KOPPELINGEN</t>
  </si>
  <si>
    <t>CS149222/1R</t>
  </si>
  <si>
    <t>CS MASTER TAPE GREEN 25 MM (36R/DS)</t>
  </si>
  <si>
    <t>DFTF365/2</t>
  </si>
  <si>
    <t>DELFL.WASHPRIMER VERDUNNER 2L (VER)</t>
  </si>
  <si>
    <t>DFTF393/4</t>
  </si>
  <si>
    <t>DELFLEET WASH PRIMER BASE 4L (VER)</t>
  </si>
  <si>
    <t>DFTF8384/E2.5</t>
  </si>
  <si>
    <t>D1 REACTIVE THINNER FOR WASH PRIMER F8965 (2,5L)</t>
  </si>
  <si>
    <t>DFTF8386/E5</t>
  </si>
  <si>
    <t>(UIT HANDEL) D1 REACTIVE THINNER FOR WASH PRIMER F8960 5L</t>
  </si>
  <si>
    <t>DFTF8960/E5</t>
  </si>
  <si>
    <t>(UIT HANDEL) D1 PERFORMANCE WASH PRIMER 5L</t>
  </si>
  <si>
    <t>DFTF8965/E5</t>
  </si>
  <si>
    <t>D1 HIGH PERFORMANCE WASH PRIMER 5L</t>
  </si>
  <si>
    <t>ECOX161</t>
  </si>
  <si>
    <t>HANDENPAPIER BLAUW 326MX24CM 2-LAAGS 2 ROLLEN (VER)</t>
  </si>
  <si>
    <t>ECOX175</t>
  </si>
  <si>
    <t>HANDENPAPIER CHAMOIX 270MX24CM 2LAAGS 2 ROLLEN (VER)</t>
  </si>
  <si>
    <t>EM640002</t>
  </si>
  <si>
    <t>maskeerfolie met tape 60ccm x 25 m (20stuks)</t>
  </si>
  <si>
    <t>INP13010</t>
  </si>
  <si>
    <t>PLASTIEK COVER QUICK 55CM X 33M (ST)</t>
  </si>
  <si>
    <t>INP16129</t>
  </si>
  <si>
    <t>POLYESTER SPUITOVERALL MET KAP GRIJS Small</t>
  </si>
  <si>
    <t>INP16132</t>
  </si>
  <si>
    <t>POLYESTER SPUITOVERALL MET KAP GRIJS XL (ST)</t>
  </si>
  <si>
    <t>INP26571</t>
  </si>
  <si>
    <t>LATEX HANDSCHOENEN XL 100 ST (VER)</t>
  </si>
  <si>
    <t>KEM13223000-03</t>
  </si>
  <si>
    <t>KEMTEX superprime white</t>
  </si>
  <si>
    <t>KEM133202-100</t>
  </si>
  <si>
    <t>KEMTEX Tackrag katoen D3009 (1512) 100ST (VER)</t>
  </si>
  <si>
    <t>KEM133202-25</t>
  </si>
  <si>
    <t>KEMTEX Tackrag katoen D3009 (1512) ( 1ds=25stuks)</t>
  </si>
  <si>
    <t>LGBLIKMET1</t>
  </si>
  <si>
    <t>RONDE VERFBLIK 1L + TT SLUITING D109 H132MM MET (ST)</t>
  </si>
  <si>
    <t>LGBLIKREM200</t>
  </si>
  <si>
    <t>Leeg vat 200L (ST)</t>
  </si>
  <si>
    <t>LSTMLG00110E</t>
  </si>
  <si>
    <t>LEGE LAKSTIFT METAAL MET ETIKET PER 110 ST (ST)</t>
  </si>
  <si>
    <t>LSTMLG00220E</t>
  </si>
  <si>
    <t>LEGE LAKSTIFT METAAL MET ETIKET PER 220 ST (ST)</t>
  </si>
  <si>
    <t>LSTMLG00220ZE</t>
  </si>
  <si>
    <t>LEGE LAKSTIFT METAAL ZONDER ETIKET PER 220 ST (ST)</t>
  </si>
  <si>
    <t>MAXM4310/5</t>
  </si>
  <si>
    <t>VERDUNNER 4310 STANDAARD 5L (VER)</t>
  </si>
  <si>
    <t>MAXM6000/2.5</t>
  </si>
  <si>
    <t>VERHARDER 6000 MS SNEL 2.5L (VER)</t>
  </si>
  <si>
    <t>MAXM710/750#01</t>
  </si>
  <si>
    <t>2K POLYURETHANE MATTE VERNIS (KG)</t>
  </si>
  <si>
    <t>MC99581050750</t>
  </si>
  <si>
    <t>Mengbeker neutraal 0.750 L (200 stuks)</t>
  </si>
  <si>
    <t>MCV003/15</t>
  </si>
  <si>
    <t>STRUCTUUR POEDER 70µ 15KG (KG)</t>
  </si>
  <si>
    <t>MCV004/20</t>
  </si>
  <si>
    <t>STRUCTUUR POEDER 54-56µM 15KG (KG)</t>
  </si>
  <si>
    <t>MI2361109922</t>
  </si>
  <si>
    <t>GOLD SCH 150MM P220 15G/100 (VER)</t>
  </si>
  <si>
    <t>MI2361109932</t>
  </si>
  <si>
    <t>GOLD SCH 150MM P320 15G/100 (VER)</t>
  </si>
  <si>
    <t>MI2361109941</t>
  </si>
  <si>
    <t>GOLD SCH 150MM P400 15G/100 (VER)</t>
  </si>
  <si>
    <t>MI4062805080</t>
  </si>
  <si>
    <t>COARSE CUT 150MM KL P80 6G 50 ST (VER)</t>
  </si>
  <si>
    <t>MI8062201037</t>
  </si>
  <si>
    <t>MIRLON SCHIJF 150MM ROOD VELCRO 10 ST (VER)</t>
  </si>
  <si>
    <t>MIRLON schuurvlies op rol 115mm x 10m</t>
  </si>
  <si>
    <t>PPGD807#0.1</t>
  </si>
  <si>
    <t>THINNER 0.1L (VER)</t>
  </si>
  <si>
    <t>PPGD807/5</t>
  </si>
  <si>
    <t>STANDAARD THINNER 5L (VER)</t>
  </si>
  <si>
    <t>PPGD837/5</t>
  </si>
  <si>
    <t>ONTVETTER 5L(VER)</t>
  </si>
  <si>
    <t>PPGD910#0.5</t>
  </si>
  <si>
    <t>KLAARGEM.KL. DELTRON BC 0,5L (VER)</t>
  </si>
  <si>
    <t>PPGD910#1</t>
  </si>
  <si>
    <t>KLAARGEM.KL. DELTRON BC 1L (VER)</t>
  </si>
  <si>
    <t>PPGTBHLID1003</t>
  </si>
  <si>
    <t>ROERDEKSEL 3.5 L (ST)</t>
  </si>
  <si>
    <t>SAT1061564</t>
  </si>
  <si>
    <t>SATAJET 5500X RP I-1.3 RPS + SWIVEL (ST)</t>
  </si>
  <si>
    <t>SAT1063560</t>
  </si>
  <si>
    <t>NOZZLE SATAJET X 5500 RP 1.4 I</t>
  </si>
  <si>
    <t>SAT27243</t>
  </si>
  <si>
    <t>QCC herbruikbare kunststof beker 0,6 l , cpl. [voor SATAjet</t>
  </si>
  <si>
    <t>SEL1-208/5</t>
  </si>
  <si>
    <t>SLOW THINNER 5L (VER)</t>
  </si>
  <si>
    <t>SEL1-480/5</t>
  </si>
  <si>
    <t>DIRECT THINNER 5L (VER)</t>
  </si>
  <si>
    <t>SEL7-530/17</t>
  </si>
  <si>
    <t>SELEMIX SYSTEM BINDER GL 10% 17KG=13.28L (VER)</t>
  </si>
  <si>
    <t>SEL7-531/19</t>
  </si>
  <si>
    <t>SELEMIX SYSTEM BINDER GL 10% LIGHT COLORS 19KG=13.57L (VER)</t>
  </si>
  <si>
    <t>SEL7-532#20ST</t>
  </si>
  <si>
    <t>DTM PU LAK 30%GL INGEKLEURD STRUCTUUR/KG (VER)</t>
  </si>
  <si>
    <t>SEL9-065/5</t>
  </si>
  <si>
    <t>VERHARDER TRAAG 5L (VER)</t>
  </si>
  <si>
    <t>SEL9-070/5</t>
  </si>
  <si>
    <t>DIRECT HARDENER 5L (VER)</t>
  </si>
  <si>
    <t>SELNP30/3</t>
  </si>
  <si>
    <t>SELEMIX NP 30 OCHRE YELLOW3L</t>
  </si>
  <si>
    <t>SELNP26/3</t>
  </si>
  <si>
    <t>CEDRAT YELLOW HIGH COVERAGE 3L</t>
  </si>
  <si>
    <t>SELNP50/3</t>
  </si>
  <si>
    <t>SELEMIX NP 50 RED OXIDE 3L</t>
  </si>
  <si>
    <t>SELNP56/3</t>
  </si>
  <si>
    <t>VIOLET 3L (VER)</t>
  </si>
  <si>
    <t>SI2531</t>
  </si>
  <si>
    <t>BLEUTEX DOOS 300 ST 32X36CM (ST)</t>
  </si>
  <si>
    <t>SPB006#DG</t>
  </si>
  <si>
    <t>KLAARGEM.SPUITBUSSEN DG (ST)</t>
  </si>
  <si>
    <t>SPB006+50%#</t>
  </si>
  <si>
    <t>KLAARGEM.SPUITB.+50% IRISEE (ST)</t>
  </si>
  <si>
    <t>SPB012+50%#</t>
  </si>
  <si>
    <t>TECEUR50/1R</t>
  </si>
  <si>
    <t>TAPE MSK60 50MM EUROCEL 24 ROLL (ST)</t>
  </si>
  <si>
    <t>TECPP25/48/1R</t>
  </si>
  <si>
    <t>TRANSPARANTE TAPE 50MM X 66 M. (ST)</t>
  </si>
  <si>
    <t>MC 20130517 CODE 2</t>
  </si>
  <si>
    <t>MC 20130517 code 2 MATTE VERNIS</t>
  </si>
  <si>
    <t>SELNP10/16</t>
  </si>
  <si>
    <t>Selemix White 16 L</t>
  </si>
  <si>
    <t>MC20130519 CODE 1</t>
  </si>
  <si>
    <t>MC 20130519 code 1 MATTE VERNIS</t>
  </si>
  <si>
    <t>SELNP28/1</t>
  </si>
  <si>
    <t>Selemix Sun yellow loodvrij 1 L</t>
  </si>
  <si>
    <t>SELNP03/3</t>
  </si>
  <si>
    <t>Selemix Aluminium 3 L</t>
  </si>
  <si>
    <t>9007 BC</t>
  </si>
  <si>
    <t>standaard RAL 9007 Deltron oude formule</t>
  </si>
  <si>
    <t>9006 BC</t>
  </si>
  <si>
    <t>Standaard RAL 9006 Deltron oude formule</t>
  </si>
  <si>
    <t>PPGD835/3</t>
  </si>
  <si>
    <t>DP40 verharder 3 L</t>
  </si>
  <si>
    <t>SIL2529/0,5 - MCS002#0.25</t>
  </si>
  <si>
    <t>Metalic poeder 500 Gr</t>
  </si>
  <si>
    <t>SELNP60/3</t>
  </si>
  <si>
    <t>Selemix Phatalo green 3 L</t>
  </si>
  <si>
    <t>SELNP57/3</t>
  </si>
  <si>
    <t>Selemix Bright red 3 L</t>
  </si>
  <si>
    <t>MI2975306</t>
  </si>
  <si>
    <t>Mirka gold sch 150mm KL P220 6G/100</t>
  </si>
  <si>
    <t>SEL9-075/5</t>
  </si>
  <si>
    <t>Selemix Direct hardener HS 5 L</t>
  </si>
  <si>
    <t>MUL610006</t>
  </si>
  <si>
    <t>kleurenwaaier RAL K5 zijdeglans</t>
  </si>
  <si>
    <t>MI2975311</t>
  </si>
  <si>
    <t>Mirka gold sch 150mm KL P400 6G/100</t>
  </si>
  <si>
    <t>KEM133202-B</t>
  </si>
  <si>
    <t>TACKRAGtype 1512 bulk 50stuks</t>
  </si>
  <si>
    <t>MI2975309</t>
  </si>
  <si>
    <t>Mirka gold sch 150mm KL P320 6G/100</t>
  </si>
  <si>
    <t>SEL7-535/19</t>
  </si>
  <si>
    <t>Selemix system binder GL50% light colours 19 kg</t>
  </si>
  <si>
    <t>SEL7-534/17</t>
  </si>
  <si>
    <t>Selemix systeem binder GL50% 17 Kg=13,28 L</t>
  </si>
  <si>
    <t>SELNP59/3</t>
  </si>
  <si>
    <t>Selemix Light red 3 L</t>
  </si>
  <si>
    <t>SELNP71/3</t>
  </si>
  <si>
    <t>Selemix Phatalo blue 3 L</t>
  </si>
  <si>
    <t>SELNP73/1</t>
  </si>
  <si>
    <t>BLUE CYANINE</t>
  </si>
  <si>
    <t>EM510052</t>
  </si>
  <si>
    <t>spuitoverall nylon maat 52</t>
  </si>
  <si>
    <t>MCV005#1</t>
  </si>
  <si>
    <t>structuurpoeder 21UM 1000 Gr</t>
  </si>
  <si>
    <t>PPGD834/3</t>
  </si>
  <si>
    <t>DP40 Epoxy grondlak 3 L</t>
  </si>
  <si>
    <t>INP26125</t>
  </si>
  <si>
    <t>Gerson spuitmasker 8211E Medium</t>
  </si>
  <si>
    <t>LGBLIKREM010</t>
  </si>
  <si>
    <t>Lege blik 110 x 130 1 L</t>
  </si>
  <si>
    <t>CHNVZOO</t>
  </si>
  <si>
    <t>Finixa verfzeefjes nylon 190m n (st)</t>
  </si>
  <si>
    <t>LGBLIKREM035</t>
  </si>
  <si>
    <t>Lege blik 3,5L</t>
  </si>
  <si>
    <t>EM530902</t>
  </si>
  <si>
    <t>Nitril handschoenen XL blauw 100 st</t>
  </si>
  <si>
    <t>pak/doos</t>
  </si>
  <si>
    <t>MAXM4000/2,5</t>
  </si>
  <si>
    <t>Max mayer verharder 4000 MS-slowhard 2,5L</t>
  </si>
  <si>
    <t>SPBBT324040</t>
  </si>
  <si>
    <t>Spuitbus Belton Ral 3000 (rood)</t>
  </si>
  <si>
    <t>EM510046</t>
  </si>
  <si>
    <t>Spuitoverall nylon maat 46</t>
  </si>
  <si>
    <t>MI1975469</t>
  </si>
  <si>
    <t>Soft adapter 150 KL73 gaten</t>
  </si>
  <si>
    <t>PPGD845/5</t>
  </si>
  <si>
    <t>DX310 ontvetter 5 L</t>
  </si>
  <si>
    <t>SELNP54/3</t>
  </si>
  <si>
    <t>Selemix Red Ruby 3 L</t>
  </si>
  <si>
    <t>SELNP92/16</t>
  </si>
  <si>
    <t>Selemix black 16 L</t>
  </si>
  <si>
    <t>SEL1-420/5</t>
  </si>
  <si>
    <t>PU thinner 5 L</t>
  </si>
  <si>
    <t>INP26534</t>
  </si>
  <si>
    <t>Colad handschoen neoprene large</t>
  </si>
  <si>
    <t>3M06845</t>
  </si>
  <si>
    <t>Maskeerfolie excl. Tape MF24 0,6 m x 54 m</t>
  </si>
  <si>
    <t>ECOKTX3832</t>
  </si>
  <si>
    <t>Bleutex op rol 32x38cm</t>
  </si>
  <si>
    <t>PPGD800/5</t>
  </si>
  <si>
    <t>Vernis incolore D800 5L</t>
  </si>
  <si>
    <t>ECOKTX3840</t>
  </si>
  <si>
    <t>Bleutex 38x40cm 225 stuks/doos</t>
  </si>
  <si>
    <t>DFTF385/1</t>
  </si>
  <si>
    <t>Matteringsbasis voor 1K</t>
  </si>
  <si>
    <t>MI1975682</t>
  </si>
  <si>
    <t>Coarse cut 150mm KL P60 6G/50</t>
  </si>
  <si>
    <t>MI1975538</t>
  </si>
  <si>
    <t>Steunschijf abranet universeel 150mm</t>
  </si>
  <si>
    <t>PPGTBR1816</t>
  </si>
  <si>
    <t>Meetlat nr2</t>
  </si>
  <si>
    <t>PPGTBR2937</t>
  </si>
  <si>
    <t>Meetlat nr3</t>
  </si>
  <si>
    <t>3M06802</t>
  </si>
  <si>
    <t>3M handmaskeerapparaat MF3000</t>
  </si>
  <si>
    <t>7-153 DIRECT PRO 2K ACRYLIC TOPCOAT SEMI MATT NEUTRAL - 15kg</t>
  </si>
  <si>
    <t>7-151 DIRECT PRO MATT -15kg</t>
  </si>
  <si>
    <t>7-154 DIRECT PRO 2K ACRYLIC TOPCOAT SEMI MATT WHITE COLORS - 3L</t>
  </si>
  <si>
    <t>9-154 MEDIUM HARDENER FOR ACRYLIC -5L</t>
  </si>
  <si>
    <t>1-155 EXTENDER THINNER - 5L</t>
  </si>
  <si>
    <t>TW898 Rebar Tie Wire Roll 50st</t>
  </si>
  <si>
    <t>Motorline</t>
  </si>
  <si>
    <t>0086 000000 1000N</t>
  </si>
  <si>
    <t>Motorline 1000N + rail</t>
  </si>
  <si>
    <t>0086 0000 00 1200N</t>
  </si>
  <si>
    <t>Motorline 1200N + rail</t>
  </si>
  <si>
    <t>Novatio</t>
  </si>
  <si>
    <t>Seal &amp; Bond MS50 2-K zwart - patroon 280ml</t>
  </si>
  <si>
    <t>Fa Clean - fles 1L</t>
  </si>
  <si>
    <t>Seal &amp; Bond MS50-2K R&amp;D zwart - patroon 280ml</t>
  </si>
  <si>
    <t>MAG Cleaner - bus 5L</t>
  </si>
  <si>
    <t>Novoferm Belgium NV</t>
  </si>
  <si>
    <t>Onderrubber ISO20/45 (per meter) 1 x L = 3750 mm</t>
  </si>
  <si>
    <t>NovoPort SPEED motor + 2 zenders novotron 522</t>
  </si>
  <si>
    <t>Slotkast ISO40 BGT/GST</t>
  </si>
  <si>
    <t>Tandwiel met opzetstuk rail ZS</t>
  </si>
  <si>
    <t>Veersokkel - FPE024 - 541 mm</t>
  </si>
  <si>
    <t>Slotkast nieuw model 04/2007 DL06</t>
  </si>
  <si>
    <t>Cilinder 45mm K-M-IL (Halve cilinder)</t>
  </si>
  <si>
    <t>Krukstel K / M</t>
  </si>
  <si>
    <t>P &amp; G Metaalwerken</t>
  </si>
  <si>
    <t>RpWrCnje02YgMJMpZZRnQ</t>
  </si>
  <si>
    <t>Vloerlatinox 2mm 60x30</t>
  </si>
  <si>
    <t>gfWYCGT7S0qhGXUt1yssg</t>
  </si>
  <si>
    <t>Bevestigingsclip Visual</t>
  </si>
  <si>
    <t>4EClh5XhtEStKhXg8mXJj</t>
  </si>
  <si>
    <t>Vloerlat inox 2mm 60x25</t>
  </si>
  <si>
    <t>Poortservice Marcel BV</t>
  </si>
  <si>
    <t>Ho Fotocel EL101</t>
  </si>
  <si>
    <t>Ho Torsieveer L723</t>
  </si>
  <si>
    <t>Ho Torsieveer R723</t>
  </si>
  <si>
    <t>Ho 3-delige veer 001</t>
  </si>
  <si>
    <t>Ho Zijgummi HG029, zijafdichting</t>
  </si>
  <si>
    <t>DIV</t>
  </si>
  <si>
    <t>Zijkapjes 1 paar Silkgrain lengte 2260mm</t>
  </si>
  <si>
    <t>Ho 3-delige veer 002</t>
  </si>
  <si>
    <t>Ho Bodemconsole R, N/L - beslag</t>
  </si>
  <si>
    <t>Ho Bodemconsole L, N/L - beslag</t>
  </si>
  <si>
    <t>Ho set afstandsring, clip en rondsel</t>
  </si>
  <si>
    <t>Ho loopwiel met as 50mm (wit deksel)</t>
  </si>
  <si>
    <t>Ho zijscharnier Re voor LPU L/N/Z - beslag</t>
  </si>
  <si>
    <t>Ho zijscharnier Li voor LPU L/N/Z - beslag</t>
  </si>
  <si>
    <t>Ho Loopwiel LPU30-40, as 40mm (deksel zwart)</t>
  </si>
  <si>
    <t>Ho loopwielhouder, zonder looprol</t>
  </si>
  <si>
    <t>Ho zender HSM4, 40mhz, 4-kanaals; grijze knop</t>
  </si>
  <si>
    <t>Ho Trekveer 764</t>
  </si>
  <si>
    <t>Ho zender Opto, A445 SKS</t>
  </si>
  <si>
    <t>Ho ontvanger Opto, A445 SKS</t>
  </si>
  <si>
    <t>Ho zender HSE4 BS, 868 mhz, zwart mat</t>
  </si>
  <si>
    <t>Ho ontvanger HET24 BS, 868 mhz, 12-24V DC, 12V AC</t>
  </si>
  <si>
    <t>Trekveren voor een LPU (40-3066626) 2440 x 2080 - HO Trekveer 754</t>
  </si>
  <si>
    <t>Fotocel EL31 3-draadsfotocel</t>
  </si>
  <si>
    <t>Proforto</t>
  </si>
  <si>
    <t>NEW-MEFCCAP2E-1012-7755-44</t>
  </si>
  <si>
    <t>New Balance Cremorne S3L werkschoen (maat 44 + zwart/grijs)</t>
  </si>
  <si>
    <t>NEW-MEFCCAP2E-1012-7755-43</t>
  </si>
  <si>
    <t>New Balance Cremorne S3L werkschoen (maat 43 + zwart/grijs)</t>
  </si>
  <si>
    <t>NEW-MEFCCAP2E-1730-7823-42</t>
  </si>
  <si>
    <t>New Balance Cremorne S3L werkschoen (maat 42 + grijs/groen)</t>
  </si>
  <si>
    <t>NEW-MEFCCAP2E-1730-7823-43</t>
  </si>
  <si>
    <t>New Balance Cremorne S3L werkschoen (maat 43 + grijs/groen)</t>
  </si>
  <si>
    <t>RDA</t>
  </si>
  <si>
    <t>S67.2221.1114</t>
  </si>
  <si>
    <t>Aandrijfset SE 14.80FU-25,40 DES (E20), noodslinger (NHK), DW, TS970, 7m kabel</t>
  </si>
  <si>
    <t>Industriële looprail SDiD2500, max. deurhoogte 2500mm, incl. toebehoren</t>
  </si>
  <si>
    <t>30004757</t>
  </si>
  <si>
    <t>Digitale eindschakelaar DES 4</t>
  </si>
  <si>
    <t>20002420.00900</t>
  </si>
  <si>
    <t>Verbindingskabel DES 9m tbv GfA aandrijvingen met digitale eindschakelaar</t>
  </si>
  <si>
    <t>20002340.00003</t>
  </si>
  <si>
    <t>Spiraalkabel 900-4000+350/400mm compleet met DW schakelaar</t>
  </si>
  <si>
    <t>516956.000010</t>
  </si>
  <si>
    <t>VST2000, UPS-systeem (2000 VA/1600 W - True Sinus)</t>
  </si>
  <si>
    <t>20002862.00011</t>
  </si>
  <si>
    <t>Noodhandslingerschakelaar NHK voor slinger Ø12mm</t>
  </si>
  <si>
    <t>30002749</t>
  </si>
  <si>
    <t>Handslinger Ø12mm tbv aandrijvingen SG63(F)/SG85(F)</t>
  </si>
  <si>
    <t>10003745.10011</t>
  </si>
  <si>
    <t>SI63 5.250-30,00 NHK FU DES, Opsteekaandrijving 1~230V met Noodslinger</t>
  </si>
  <si>
    <t>10003843.10011</t>
  </si>
  <si>
    <t>SI63 8.180-30,00 NHK FU DES, Opsteekaandrijving 1~230V met Noodslinger</t>
  </si>
  <si>
    <t>714406.000004</t>
  </si>
  <si>
    <t>Industriële looprail, type: SDiD3500 + montagemateriaal (deurhoogte tot 3500mm)</t>
  </si>
  <si>
    <t>20098100.00006</t>
  </si>
  <si>
    <t>TS981, Comfort besturing met CEE stekker en bedieningsknoppen 3P-1~230V (DES)</t>
  </si>
  <si>
    <t>521645.000001</t>
  </si>
  <si>
    <t>Handzender VICTORY Eco RDA, 2-kanaals, 868MHz/Keeloq, zwart/oranje/zwart</t>
  </si>
  <si>
    <t>10002698.10011</t>
  </si>
  <si>
    <t>Roldeuraandrijving SI20.90-30,00 DES(E20), noodslinger (NHK)</t>
  </si>
  <si>
    <t>20004007.00001</t>
  </si>
  <si>
    <t>Service koffer GfA</t>
  </si>
  <si>
    <t>10004456.10011</t>
  </si>
  <si>
    <t>Roldeuraandrijving SI15.140FU-30,00 DES(E20), noodslinger (NHK), 230V</t>
  </si>
  <si>
    <t>714481.000001</t>
  </si>
  <si>
    <t>Verloophuls Ø30mm→ Ø25mm, incl. spie</t>
  </si>
  <si>
    <t>10002367.10011</t>
  </si>
  <si>
    <t>Roldeuraandrijving SI40.10-40,00 DES(E20), noodslinger (NHK)</t>
  </si>
  <si>
    <t>20002420.00500</t>
  </si>
  <si>
    <t>Verbindingskabel DES 5m tbv GfA aandrijvingen met digitale eindschakelaar</t>
  </si>
  <si>
    <t>20098100.00002</t>
  </si>
  <si>
    <t>TS981, Comfort besturing met CEE stekker en bedieningsknoppen 5P-3~400V (DES)</t>
  </si>
  <si>
    <t>502156.000001</t>
  </si>
  <si>
    <t>Montagesteun tbv UPS-noodstroomvoorzieningen VST- en NPW-serie</t>
  </si>
  <si>
    <t>20002985.00001</t>
  </si>
  <si>
    <t>Deksel tbv TS-A-besturing, O-S-N knoppen</t>
  </si>
  <si>
    <t>30004638</t>
  </si>
  <si>
    <t>Drukknoppenset O-S-N tbv TS-A-besturing</t>
  </si>
  <si>
    <t>20002420.01100</t>
  </si>
  <si>
    <t>Verbindingskabel DES 11m tbv GfA aandrijvingen met digitale eindschakelaar</t>
  </si>
  <si>
    <t>20002420.01500</t>
  </si>
  <si>
    <t>Verbindingskabel DES 15m tbv GfA aandrijvingen met digitale eindschakelaar</t>
  </si>
  <si>
    <t>Eindschakelaar digitaal DES4</t>
  </si>
  <si>
    <t>S24.2222.1114</t>
  </si>
  <si>
    <t>Aandrijfset SE9.24-25,40 DES(E20), noodketting (SK), DW, TS970, 7m kabel</t>
  </si>
  <si>
    <t>20098100.00001</t>
  </si>
  <si>
    <t>Besturing TS981, directe aansluiting 230V/400V</t>
  </si>
  <si>
    <t>20097100.00002</t>
  </si>
  <si>
    <t>TS971, besturing met CEE stekker en bedieningsknoppen 5P-3~400V (DES/NES)</t>
  </si>
  <si>
    <t>20002340.00009</t>
  </si>
  <si>
    <t>Spiraalkabel 900-4000+350/2000mm compleet met DW schakelaar</t>
  </si>
  <si>
    <t>714406.000028</t>
  </si>
  <si>
    <t>SDiD Montageset met bevestigingsmateriaal</t>
  </si>
  <si>
    <t>S67.2221.1214</t>
  </si>
  <si>
    <t>Aandrijfset SE14.80FU-25,40 DES(E20), noodslinger(NHK), OPTO, TS970, 7m kabel</t>
  </si>
  <si>
    <t>10003999.10011</t>
  </si>
  <si>
    <t>Compactaandrijving SIK25.10-30,00 DES(E10), noodslinger(NHK)</t>
  </si>
  <si>
    <t>30004242</t>
  </si>
  <si>
    <t>Omschakelkoordverlengset 2x10m</t>
  </si>
  <si>
    <t>20002862.00021</t>
  </si>
  <si>
    <t>Noodkettingtakel SK, tbv SE-aandrijving KG50/SG50/SG63F-SIK, 4m</t>
  </si>
  <si>
    <t>20002862.00032</t>
  </si>
  <si>
    <t>Noodkettingtakel KNH25 tbv SI-aandrijving SG50/SG63/SG85</t>
  </si>
  <si>
    <t>10002207.10012</t>
  </si>
  <si>
    <t>Sectionaaldeuraandrijving SE14.21-35,00 DES(E14), noodketting (SK)</t>
  </si>
  <si>
    <t>20002496.00002</t>
  </si>
  <si>
    <t>Nokkenset 6 micro, (4-delig) zwart/rood-groen/groen-rood/zwart</t>
  </si>
  <si>
    <t>715853.000001</t>
  </si>
  <si>
    <t>T-spie voor massieve as Ø35,00mm - 7/6x10 L=120mm (Crawford)</t>
  </si>
  <si>
    <t>715853.000002</t>
  </si>
  <si>
    <t>T-spie voor holle as Ø35,00mm - 9/6x10  L=120mm (Crawford)</t>
  </si>
  <si>
    <t>1000 4010 10012</t>
  </si>
  <si>
    <t>Aandrijfset SE14.80 - 25.40 DW, ketting, TS970, 9m kabel</t>
  </si>
  <si>
    <t>100 2237 10012</t>
  </si>
  <si>
    <t>Aandrijfset SE 9.24 WS-25.40 E20-D SK00 DW, ketting, TS970, 9 m kabel</t>
  </si>
  <si>
    <t>1000 3896 10011</t>
  </si>
  <si>
    <t>Motor SI 8.180-25.00 FU</t>
  </si>
  <si>
    <t>1000 3833 10015</t>
  </si>
  <si>
    <t>Motor SI 35.100-40.00 FU</t>
  </si>
  <si>
    <t>3000 5132 00002</t>
  </si>
  <si>
    <t>Stekker 5-polig 400V/16A 0,70m</t>
  </si>
  <si>
    <t>3000 5192 00001</t>
  </si>
  <si>
    <t>Deksel sturing TS970</t>
  </si>
  <si>
    <t>1000 2207 10012</t>
  </si>
  <si>
    <t>Motor SE14.21-35.00</t>
  </si>
  <si>
    <t>3000 4679</t>
  </si>
  <si>
    <t>Schakelaar voor sturing</t>
  </si>
  <si>
    <t>3000 5741 00400</t>
  </si>
  <si>
    <t>Ontkoppelingsset GFA 4M</t>
  </si>
  <si>
    <t>3000 2636</t>
  </si>
  <si>
    <t>Motorplaat S</t>
  </si>
  <si>
    <t>Rexel</t>
  </si>
  <si>
    <t>BPP094111</t>
  </si>
  <si>
    <t>PVC Buis grijs ral 7035 M16</t>
  </si>
  <si>
    <t>BIZ300470</t>
  </si>
  <si>
    <t>Buizenklemmen D 16 mm</t>
  </si>
  <si>
    <t>NIK70036600</t>
  </si>
  <si>
    <t>WCD 2P+A+KV</t>
  </si>
  <si>
    <t>HEL134612</t>
  </si>
  <si>
    <t>MOF 16 mm ral 7037</t>
  </si>
  <si>
    <t>Hel134512</t>
  </si>
  <si>
    <t>Buisingang 16mm ral 7037</t>
  </si>
  <si>
    <t>NIK70033000</t>
  </si>
  <si>
    <t>Hydro drukknop</t>
  </si>
  <si>
    <t>CBLXGB3X1</t>
  </si>
  <si>
    <t>XGB-CCA S1-A1 3X1,5 0,6/1KV</t>
  </si>
  <si>
    <t>CBLSVV4X0</t>
  </si>
  <si>
    <t>SVV-CCA 4 X 0,8 mm 150V</t>
  </si>
  <si>
    <t>OBO2022866</t>
  </si>
  <si>
    <t>Wartel V-tec VM M20</t>
  </si>
  <si>
    <t>NIK70084101</t>
  </si>
  <si>
    <t>Opbouwdoos 1X 1XM20</t>
  </si>
  <si>
    <t>OBO2149004</t>
  </si>
  <si>
    <t>Quick-klem 2955/M16</t>
  </si>
  <si>
    <t>REY32643</t>
  </si>
  <si>
    <t>Ingang D16 grijs 7037</t>
  </si>
  <si>
    <t>GSVU407R</t>
  </si>
  <si>
    <t>Moffen voor rechte PVC buis</t>
  </si>
  <si>
    <t>LEG034223</t>
  </si>
  <si>
    <t>Klemmenstrook nylbloc 6mm2 41a</t>
  </si>
  <si>
    <t>BPP094121</t>
  </si>
  <si>
    <t>Wachtbuis</t>
  </si>
  <si>
    <t>OBO2149010</t>
  </si>
  <si>
    <t>Klem voor wachtbuis</t>
  </si>
  <si>
    <t>CBLXVB3G1,5R50</t>
  </si>
  <si>
    <t>Kabel 3 x1,5</t>
  </si>
  <si>
    <t>HUPAL15</t>
  </si>
  <si>
    <t>OBO160BOTMIX</t>
  </si>
  <si>
    <t>REY1812</t>
  </si>
  <si>
    <t>NIK70085000</t>
  </si>
  <si>
    <t>MKS 13520</t>
  </si>
  <si>
    <t>Stekker 400V</t>
  </si>
  <si>
    <t>NIK700-84111</t>
  </si>
  <si>
    <t>opbouwdoos 2 ingangen</t>
  </si>
  <si>
    <t>NIK700-84112</t>
  </si>
  <si>
    <t>Opbouwdoos dubbele invoer 1 uitgang</t>
  </si>
  <si>
    <t>NIK700-84102</t>
  </si>
  <si>
    <t>opbouwdoos dubbele invoer</t>
  </si>
  <si>
    <t>Rombouts</t>
  </si>
  <si>
    <t>Oh espresso grande res 16 pods</t>
  </si>
  <si>
    <t>Oh espresso it style 16 pods</t>
  </si>
  <si>
    <t>melkcups Rombouts 240 x10g</t>
  </si>
  <si>
    <t>Rom beker L-coat 2200 ml 80 st</t>
  </si>
  <si>
    <t>Zoetstof Rombouts 500 x 0,5g</t>
  </si>
  <si>
    <t>Ropak BV</t>
  </si>
  <si>
    <t>1-ALL13960-B10</t>
  </si>
  <si>
    <t>Fefco 201, enk. Golf, bruin, onbedrukt (400x240x265</t>
  </si>
  <si>
    <t>RTOC Repro BVBA</t>
  </si>
  <si>
    <t>Leitz nietmachine Flat Clinch 5523 zwart</t>
  </si>
  <si>
    <t>Leitz nietjes 24/6 doos van 1000</t>
  </si>
  <si>
    <t>70-62</t>
  </si>
  <si>
    <t>Stabilo Boss Original pastel markeerstift</t>
  </si>
  <si>
    <t>Maped lat Essentials 146 40cm</t>
  </si>
  <si>
    <t>Esselte Colour'Breeze ringmap, 2 ringen</t>
  </si>
  <si>
    <t>Rapid ontnieter</t>
  </si>
  <si>
    <t>Geperforeerde showtas</t>
  </si>
  <si>
    <t>Tipp-ex corectierollermini pocket mouse fashion</t>
  </si>
  <si>
    <t>70Z</t>
  </si>
  <si>
    <t>Permanent marker Artline 70N zwart</t>
  </si>
  <si>
    <t>PS16696</t>
  </si>
  <si>
    <t>Roerstaafje uit hout, 14cm (pak van 100 stuks)</t>
  </si>
  <si>
    <t>Bic colours paster 4-kleurenbalpen, medium, klassieke inktkluren (doos van 12 stuks)</t>
  </si>
  <si>
    <t>SSCOLCA</t>
  </si>
  <si>
    <t>Post-it super sticky notes, 90 vel, ft 76 x 76 mm (pak van 21 blokken)</t>
  </si>
  <si>
    <t>Post-it super sticky notes cosmic 90 vel, ft 76 x 76 mm (8 blokken)</t>
  </si>
  <si>
    <t>Esselte containerdoos</t>
  </si>
  <si>
    <t>Esselte archiefdoos boxy rug van 10 cm</t>
  </si>
  <si>
    <t>Esselte archiefdoos boxy rug van 15cm</t>
  </si>
  <si>
    <t>PDP50B1</t>
  </si>
  <si>
    <t>Bpost postzegel nationaal (blister van 50 stuks)</t>
  </si>
  <si>
    <t>Esselte geperforeerde showtas glashelder, standaard, 60 micron (doos van 100 stuks)</t>
  </si>
  <si>
    <t>Esselte archiefdoos boxy rug van 8 cm</t>
  </si>
  <si>
    <t>Esselte dossiermap gems (pak van 100 stuks)</t>
  </si>
  <si>
    <t>654TFEN</t>
  </si>
  <si>
    <t>Post-it notes vitalitiet, ft 76 x 76 mm (6 blokken)</t>
  </si>
  <si>
    <t>655TFEN</t>
  </si>
  <si>
    <t>Post-it notes vitaliteit, ft 76 x 127 mm (6 blokken)</t>
  </si>
  <si>
    <t>600911S</t>
  </si>
  <si>
    <t>Drinkbeker enjoy, uit karton, 150ml (pak van 100 stuks)</t>
  </si>
  <si>
    <t>RD-310500-100</t>
  </si>
  <si>
    <t>Paklijstenvelop binnenmaat 225x165mm A5 50 micron blanco (100 stuks)</t>
  </si>
  <si>
    <t>Pergamy geperforeerde showtas, A4, 11-gaatsperforatie, glasheldere PP van 90 micron (doos van 100 stuks)</t>
  </si>
  <si>
    <t>81933VP</t>
  </si>
  <si>
    <t>Scotch plakband Scotch magic tape (12 rollen)</t>
  </si>
  <si>
    <t>D1022P1</t>
  </si>
  <si>
    <t>Double A Premium printpapier ft A4, 80g (200 pakken)</t>
  </si>
  <si>
    <t>pallet</t>
  </si>
  <si>
    <t>Bic balpen M10 clic voordeelpak blauw</t>
  </si>
  <si>
    <t>636B</t>
  </si>
  <si>
    <t>Post-it memo kubus, ft 76 x 76 mm, 450 vel, geel</t>
  </si>
  <si>
    <t>Esselte rugetiketten, niet-zelfklevend, ft 5 x15,8 cm (pak van 100 stuks)</t>
  </si>
  <si>
    <t>Esselte ordner Power N°1 groen, rug van 7,5 cm</t>
  </si>
  <si>
    <t>Seculux</t>
  </si>
  <si>
    <t>Cifero XT kit codeklavier</t>
  </si>
  <si>
    <t>ET-1000 fotocel met reflector</t>
  </si>
  <si>
    <t>Cifero XT-2 Kit codeklavier</t>
  </si>
  <si>
    <t>Telecody+ zwart 868MHz met verlichting</t>
  </si>
  <si>
    <t>Slider+ zender met 4 knoppen</t>
  </si>
  <si>
    <t>SOMtouch+ 2-kanaals wandzender</t>
  </si>
  <si>
    <t>Tiga+ S9110 aandrijfeenheid zonder besturing</t>
  </si>
  <si>
    <t>Base+ S9080 kit S3 met 1 zender Pearl Vibe</t>
  </si>
  <si>
    <t>Base+ S9060 kit S3 met 1 zender Pearl Vibe</t>
  </si>
  <si>
    <t>Antenne 868MHz met 10m kabel</t>
  </si>
  <si>
    <t>RX04-RM02-868-2 ontvanger 686MHz met 2 kanalen</t>
  </si>
  <si>
    <t>SOMcom2.1 RX09-2-1-868 ontvanger/repeater 868MHz</t>
  </si>
  <si>
    <t>Plafondbevestigingset voor Base+/Pro+/Tiga+</t>
  </si>
  <si>
    <t>Accu noodvoeding 24Vdc/1,2Ah</t>
  </si>
  <si>
    <t>Lock voor extra vergrendeling Base+/Pro+/Tiga+</t>
  </si>
  <si>
    <t>Tandlat nylon module 4 met kern in staal</t>
  </si>
  <si>
    <t>Stootstang met gatafstand 700mm</t>
  </si>
  <si>
    <t>SE-UPR1-1T sleutelcontact inbouw</t>
  </si>
  <si>
    <t>Loopwagen Base+/Pro+ S9060 set + plafondbesturing</t>
  </si>
  <si>
    <t>Base+ S9110 kit S3 met 1 zender Pearl Vibe</t>
  </si>
  <si>
    <t>Besturing voor aandrijfeenheid Tiga+</t>
  </si>
  <si>
    <t>Entrahome kit met cifero codeklavier</t>
  </si>
  <si>
    <t>Pro+ S9080 kit S3 met 1 zender Pearl Vibe</t>
  </si>
  <si>
    <t>PT/O 81T-AP drukknop opbouw</t>
  </si>
  <si>
    <t>PT/O 83T 3-weg drukknop opbouw</t>
  </si>
  <si>
    <t>SE-APB1-1T sleutelcontact opbouw</t>
  </si>
  <si>
    <t>Herstelkit loopwagen Aperto/Sprint/Duo/Marathon</t>
  </si>
  <si>
    <t>Stootstang uitschuifbaar 2500-3000 mm</t>
  </si>
  <si>
    <t>Cifero SD60 controller</t>
  </si>
  <si>
    <t>Apollo verkeerslicht LED rood/groen 24V</t>
  </si>
  <si>
    <t>Versus M8S besturing 230V met 3 knoppen</t>
  </si>
  <si>
    <t>Noodontgrendelingsslot 50mm die.13mm loper</t>
  </si>
  <si>
    <t>Pearl zender met 4 knoppen</t>
  </si>
  <si>
    <t>Memo inplugbaar gehuegenuitbreiding</t>
  </si>
  <si>
    <t>MUFU multi functionele relaismodule SOMMER</t>
  </si>
  <si>
    <t>Verlengkit 1096mm rail 1,25 mm Base+/Pro+/Tiga+/Aperto</t>
  </si>
  <si>
    <t>Stootstang beperkte inbouwdiepte Base+/Pro+</t>
  </si>
  <si>
    <t>Pro+ S9060 kit S3 met 1 zender Pearl Vibe</t>
  </si>
  <si>
    <t>Stootstang met gatafstand 325 mm</t>
  </si>
  <si>
    <t>Sleepcontact met 2 koolborstels</t>
  </si>
  <si>
    <t>Pro+ S9110 kit met 1 zender Pearl Vibe</t>
  </si>
  <si>
    <t>Pearl Twin zender met 2 knoppen</t>
  </si>
  <si>
    <t>Loopwagen Base+/Pro+ S9080 set + plafondbesturing</t>
  </si>
  <si>
    <t>Transfo 24V 200VA Base/Pro/Tiga/Run/UG/350/ASB</t>
  </si>
  <si>
    <t>Versus M22 besturing 2 motor 230V+Muv-Pro4 zender</t>
  </si>
  <si>
    <t>Eindstuk voor gescheiden montage</t>
  </si>
  <si>
    <t>Vleugeldeurbeslag 1300mm + veer Pro+/Sprint/Marat/Duo</t>
  </si>
  <si>
    <t>Schakelschuif voor Base+/Pro+/Tiga+</t>
  </si>
  <si>
    <t>Noodontgrendelingsslot 70mm dia 13mm</t>
  </si>
  <si>
    <t>Conex insteekmodule voor domotica</t>
  </si>
  <si>
    <t>Tiga+ S9060 aandrijfeenheid zonder besturing</t>
  </si>
  <si>
    <t>Tiga+ S9080 aandrijfeenheid zonder besturing</t>
  </si>
  <si>
    <t>Aperto A550L kit S3 aandrijving 550N + 2 Pearl Twin</t>
  </si>
  <si>
    <t>SOMweb Smart Home interface</t>
  </si>
  <si>
    <t>Bevestigingset C-profiel Base+/Po+/Tiga+/Aperto</t>
  </si>
  <si>
    <t>Entrahome</t>
  </si>
  <si>
    <t>Set besturingen Base+/Pro+ S9060</t>
  </si>
  <si>
    <t>Set besturingen Base+/Pro+ S9110</t>
  </si>
  <si>
    <t>R-4010 multicode ontvanger met 2 kanalen</t>
  </si>
  <si>
    <t>Twist ML kit S3 zwart 1 motor + Pearl Vibe zender</t>
  </si>
  <si>
    <t>Magneetcontact voor deurpositie overrijdbaar</t>
  </si>
  <si>
    <t>Loopwagen Base+/Pro+ S9060 S3 set + plafondbesturing</t>
  </si>
  <si>
    <t>Loopwagen Base+/Pro+ S9080 S3 set + plafondbesturing</t>
  </si>
  <si>
    <t>Loopwagen Base+/Pro+ S9110 S3 set + plafondbesturing</t>
  </si>
  <si>
    <t>Schakelende voeding S3 100-240V/24V/96VA</t>
  </si>
  <si>
    <t>Ontvanger Sommer 2 kanaals 12/24V</t>
  </si>
  <si>
    <t>SMLNK-104140</t>
  </si>
  <si>
    <t>Somlink wi-fi service-interface op 868Mhz</t>
  </si>
  <si>
    <t>Pearl vibe zender met 4 knoppen</t>
  </si>
  <si>
    <t>Lumi base+ extra led-verlichting</t>
  </si>
  <si>
    <t>Lampenset rood + groen 24V universeel</t>
  </si>
  <si>
    <t>Loopwagen ontgrendeling</t>
  </si>
  <si>
    <t>Loopwagen Base+9110</t>
  </si>
  <si>
    <t>Behuizing deksel cifero sd60/entrahome</t>
  </si>
  <si>
    <t>Twist 350 kit 2 vleugels met Pearl Vibe zender</t>
  </si>
  <si>
    <t>Stootstang uitschuifbaar 1500-2500</t>
  </si>
  <si>
    <t>ASF 25L 1R Apollo verkeerslicht rood 24V</t>
  </si>
  <si>
    <t>Deurbeslag type G</t>
  </si>
  <si>
    <t>ET 15 beschermkapje voor reflector</t>
  </si>
  <si>
    <t>MW 30-12 voeding 12V DC 30W</t>
  </si>
  <si>
    <t>Ketting afstandshouder met magneet</t>
  </si>
  <si>
    <t>Muurbeugel Pearl</t>
  </si>
  <si>
    <t>Vingerscan</t>
  </si>
  <si>
    <t>Cifero KP10F inbouw</t>
  </si>
  <si>
    <t>Deurbeslag standaard</t>
  </si>
  <si>
    <t>Prefab detectielus 13M</t>
  </si>
  <si>
    <t>Wall station</t>
  </si>
  <si>
    <t>Somsocket</t>
  </si>
  <si>
    <t>Somplug</t>
  </si>
  <si>
    <t>ES4 Behuizing en drukknop</t>
  </si>
  <si>
    <t>ES4-KPP kit zwart opbouwkit codeklavier</t>
  </si>
  <si>
    <t xml:space="preserve">ES4-KP   </t>
  </si>
  <si>
    <t>Shenzen Wepoy Technology Co Ltd</t>
  </si>
  <si>
    <t>DT66</t>
  </si>
  <si>
    <t>Android 13 QCM4490, 8GB RAM/128GB (gsm)</t>
  </si>
  <si>
    <t>DT66 accessory</t>
  </si>
  <si>
    <t>Rugged boot without handstrap</t>
  </si>
  <si>
    <t>P8100P 4G</t>
  </si>
  <si>
    <t>Android 13 Qualcomm6115, 4GB RAM/64GB (tablet)</t>
  </si>
  <si>
    <t>P8100P accessory</t>
  </si>
  <si>
    <t>P8100 Handstrap</t>
  </si>
  <si>
    <t>P8100P scanning hand rest</t>
  </si>
  <si>
    <t>Storopack Benelux NV</t>
  </si>
  <si>
    <t>PE-schuimrollen 2mm 0,60x250m</t>
  </si>
  <si>
    <t>PE-zakken 50my 150x250mm transp 30% recy</t>
  </si>
  <si>
    <t>Tackerplein</t>
  </si>
  <si>
    <t>Bostitch BT1855SP-E minibradnailer 15-50mm</t>
  </si>
  <si>
    <t>Teckentrup</t>
  </si>
  <si>
    <t>DL-2375x2250</t>
  </si>
  <si>
    <t>Kantelpoort 2375x2250</t>
  </si>
  <si>
    <t>DL-2500x2250</t>
  </si>
  <si>
    <t>Kantelpoort 2500x2250</t>
  </si>
  <si>
    <t>DL-2375x1920</t>
  </si>
  <si>
    <t>Kantelpoort 2375x1920</t>
  </si>
  <si>
    <t>DL-2375-2000</t>
  </si>
  <si>
    <t>Kantelpoort 2375x2000</t>
  </si>
  <si>
    <t>DL-2625x2125</t>
  </si>
  <si>
    <t>Kantelpoort 2625x2125</t>
  </si>
  <si>
    <t>DL-2500x2075</t>
  </si>
  <si>
    <t>Kantelpoort 2500x2075</t>
  </si>
  <si>
    <t>DL-2500x2000</t>
  </si>
  <si>
    <t>Kantelpoort 2500x2000</t>
  </si>
  <si>
    <t>Stalen deur 1125x2125</t>
  </si>
  <si>
    <t>Stalen deur 1000x2125</t>
  </si>
  <si>
    <t>Thiry Paints Limburg NV</t>
  </si>
  <si>
    <t>SI5922486</t>
  </si>
  <si>
    <t>SI Rubbol BL Ventura N00 930ml</t>
  </si>
  <si>
    <t>pot</t>
  </si>
  <si>
    <t>AN1072163</t>
  </si>
  <si>
    <t>Anza pro super traditional R8</t>
  </si>
  <si>
    <t>Toolmanagers</t>
  </si>
  <si>
    <t>02.1130.0420</t>
  </si>
  <si>
    <t>HSS-CO Ratio boor ø 4.2mm, Z=2, DIN 1897</t>
  </si>
  <si>
    <t>05.3320.1240</t>
  </si>
  <si>
    <t>HSSCo verzinkfrees ø 12,4mm, Z=3, 90°</t>
  </si>
  <si>
    <t>05.3420.0830</t>
  </si>
  <si>
    <t>HSS verzinkfrees ø 8,3mm, Z=3, 90° tin</t>
  </si>
  <si>
    <t>02.1130.0500</t>
  </si>
  <si>
    <t>HSS-CO Ratio boor ø 5mm, DIN1897</t>
  </si>
  <si>
    <t>02.1130.0600</t>
  </si>
  <si>
    <t>HHS-CO Ratio boor ø 6mm, DIN1897</t>
  </si>
  <si>
    <t>11.168.0800</t>
  </si>
  <si>
    <t>HSS-E spiraalboor ø 8mm, DIN1897 TIN</t>
  </si>
  <si>
    <t>108055.210.030</t>
  </si>
  <si>
    <t>HM zaag Z=48 WWF UNI1</t>
  </si>
  <si>
    <t>11576.0002</t>
  </si>
  <si>
    <t>HSS-E trapboor Alcrona-Pro</t>
  </si>
  <si>
    <t>107100.160.010</t>
  </si>
  <si>
    <t>HM zaag Z=30 WWF 2/6/32</t>
  </si>
  <si>
    <t>02.1100.0420</t>
  </si>
  <si>
    <t>HSS-Ratio boor ø4,20mm</t>
  </si>
  <si>
    <t>02.1110.0420</t>
  </si>
  <si>
    <t>02.1130.0520</t>
  </si>
  <si>
    <t>HSS-CO Ratio boor ø5,20mm</t>
  </si>
  <si>
    <t>02.1153.0600</t>
  </si>
  <si>
    <t>HSS-CO Profiline boor ø6mm</t>
  </si>
  <si>
    <t>02.1153.0800</t>
  </si>
  <si>
    <t>HSS-CO-Profiline boor Ø8mm</t>
  </si>
  <si>
    <t>02.1300.0800</t>
  </si>
  <si>
    <t>HSS-Ratio boor Ø8.00</t>
  </si>
  <si>
    <t>02.1400.0600</t>
  </si>
  <si>
    <t>HSS-Co-Ratio boor Ø6mm Z=2</t>
  </si>
  <si>
    <t>02.1400.1000</t>
  </si>
  <si>
    <t>HSS-Co-Ratio boor Ø10mm Z=2</t>
  </si>
  <si>
    <t>05.3420.1240</t>
  </si>
  <si>
    <t>HSS verzinkfrees Ø12,4mm Z=3</t>
  </si>
  <si>
    <t>107100.210.010</t>
  </si>
  <si>
    <t>HM zaag Z=40 WZ</t>
  </si>
  <si>
    <t>108000.190.010</t>
  </si>
  <si>
    <t>HM zaag Z=54 TFN</t>
  </si>
  <si>
    <t>108000.210.010</t>
  </si>
  <si>
    <t>108055.190.030</t>
  </si>
  <si>
    <t>HM zaag Z=48 WWF</t>
  </si>
  <si>
    <t>11.130.0420</t>
  </si>
  <si>
    <t>HSS spiraalboor Ø4,2mm DIN1897</t>
  </si>
  <si>
    <t>11.145.0420</t>
  </si>
  <si>
    <t>11.160.0420</t>
  </si>
  <si>
    <t>HSS-E spiraalboor Ø4.2mm</t>
  </si>
  <si>
    <t>11.451.0800</t>
  </si>
  <si>
    <t>HSS spiraalboor Ø 8,0mm</t>
  </si>
  <si>
    <t>111120.210.020</t>
  </si>
  <si>
    <t>HM zaag Z=72 TFND</t>
  </si>
  <si>
    <t>11576.0001</t>
  </si>
  <si>
    <t>HSS trapboor</t>
  </si>
  <si>
    <t>1372016002</t>
  </si>
  <si>
    <t>HM zaag Z=52 TFneg</t>
  </si>
  <si>
    <t>283502540-60S</t>
  </si>
  <si>
    <t>HSS zaag Z=180 HZ T6</t>
  </si>
  <si>
    <t>5127002709812</t>
  </si>
  <si>
    <t>M42 bandzaag B.3851</t>
  </si>
  <si>
    <t>5236446</t>
  </si>
  <si>
    <t>A1149XPL-6</t>
  </si>
  <si>
    <t>60.1200</t>
  </si>
  <si>
    <t>Mecutwax 350gr koelsmeerstift</t>
  </si>
  <si>
    <t>K204930625</t>
  </si>
  <si>
    <t>HM zaag Himax DryCut Z=80 "Z"</t>
  </si>
  <si>
    <t>K204935625</t>
  </si>
  <si>
    <t>HM zaag Himax DryCut Z=90 "Z"</t>
  </si>
  <si>
    <t>K207035525</t>
  </si>
  <si>
    <t>CE zaag Mold Pro Dry Cut Z=90</t>
  </si>
  <si>
    <t>Tristate BVBA</t>
  </si>
  <si>
    <t>Liyama 24 inch Multi touch</t>
  </si>
  <si>
    <t>Van Zon</t>
  </si>
  <si>
    <t>7918</t>
  </si>
  <si>
    <t>Cecemel chocomel 24x25cl blik</t>
  </si>
  <si>
    <t>23908</t>
  </si>
  <si>
    <t>Coca Cola zero 24x33cl blik</t>
  </si>
  <si>
    <t>70165</t>
  </si>
  <si>
    <t>Coca Cola 24x33cl blik</t>
  </si>
  <si>
    <t>29647</t>
  </si>
  <si>
    <t>Nalu vitaliserende drink 24x25cl sleek blik</t>
  </si>
  <si>
    <t>VC Wood Hasselt</t>
  </si>
  <si>
    <t>Purenit 20 mm 2,44x1,22m (30pl/p)</t>
  </si>
  <si>
    <t>VC Wood Zottegem</t>
  </si>
  <si>
    <t>utherm wall pirL 120x600x1200mm tg</t>
  </si>
  <si>
    <t>mdf standaard fibromax 6mm 3.05x1.22m</t>
  </si>
  <si>
    <t>sls 38x58mm geschaafd premium C24</t>
  </si>
  <si>
    <t>VD TOOLS</t>
  </si>
  <si>
    <t>A375920</t>
  </si>
  <si>
    <t>uitvulplaatjes Handy Box (160st)</t>
  </si>
  <si>
    <t>A070403</t>
  </si>
  <si>
    <t>Sola METRON 30 BT Laser afstandsmeter , 30m (bluetooth)</t>
  </si>
  <si>
    <t>A404406</t>
  </si>
  <si>
    <t>DOM Sigma veiligheidscilinder modular 35/95</t>
  </si>
  <si>
    <t>A276212</t>
  </si>
  <si>
    <t>Den Braven All in one seal 290ml grijs</t>
  </si>
  <si>
    <t>A332116</t>
  </si>
  <si>
    <t>DYNAPLUS SPAANPLAATSCHROEF TX PK/VZ 45X80/42</t>
  </si>
  <si>
    <t>A275048</t>
  </si>
  <si>
    <t>Telescoopladder Extendo V 3.2M (4.3M)</t>
  </si>
  <si>
    <t>Vos Industries</t>
  </si>
  <si>
    <t>25100C</t>
  </si>
  <si>
    <t>Zuurstof technisch 50L</t>
  </si>
  <si>
    <t>G18H</t>
  </si>
  <si>
    <t>LT Propaan 18KG</t>
  </si>
  <si>
    <t>WhyEvo</t>
  </si>
  <si>
    <t>Why Evo 2nd generation vervangende handzender (universele afstandsbediening), licorice black</t>
  </si>
  <si>
    <t>Windoorpro BV</t>
  </si>
  <si>
    <t>Sierstuk, type 257</t>
  </si>
  <si>
    <t>Sierstuk, type 361</t>
  </si>
  <si>
    <t>WSB Finishing equipment</t>
  </si>
  <si>
    <t>WSB-LCC-16BL</t>
  </si>
  <si>
    <t>Luchtslang anti-static blauw - 9x16 mm</t>
  </si>
  <si>
    <t>Ld-materiaalslang nw6 1/4" cond.</t>
  </si>
  <si>
    <t>WSB-178-004/30+</t>
  </si>
  <si>
    <t>Koppeling 1/4" G-draad voor nw10 materiaal/luchtslang</t>
  </si>
  <si>
    <t>Schroefkoppeling 3/8" nw6</t>
  </si>
  <si>
    <t>V7015180000</t>
  </si>
  <si>
    <t>Klem 15/18 mm</t>
  </si>
  <si>
    <t>Beschermhoes pp30 per m</t>
  </si>
  <si>
    <t>SA-132191</t>
  </si>
  <si>
    <t>Sproeierset satajet 1000 k rp 1,7</t>
  </si>
  <si>
    <t>SA-162628</t>
  </si>
  <si>
    <t>Sata schoonmaak-onderhoudsset, incl. pistoolvet</t>
  </si>
  <si>
    <t>SA-132134</t>
  </si>
  <si>
    <t>Satajet 1000 K RP 1,7</t>
  </si>
  <si>
    <t>U760.00</t>
  </si>
  <si>
    <t>Zip 52 pomp finish aluminium</t>
  </si>
  <si>
    <t>WURTH</t>
  </si>
  <si>
    <t>00486 12 005</t>
  </si>
  <si>
    <t>SCHROEF-PLVZK-DIN965-4.8-PH3-A2K-M6X12</t>
  </si>
  <si>
    <t>doos (1000)</t>
  </si>
  <si>
    <t>005710 25 005</t>
  </si>
  <si>
    <t>BOUT-6K-DIN933-8.8-SW17-(A2K)-M10X25</t>
  </si>
  <si>
    <t>005710 35 005</t>
  </si>
  <si>
    <t>BOUT-6K-DIN933-8.8-SW17-(A2K)-M10X35</t>
  </si>
  <si>
    <t>005712 30</t>
  </si>
  <si>
    <t>BOUT-6K-DIN933-8.8-SW19-(A2K)-M12X30</t>
  </si>
  <si>
    <t>00578 30 005</t>
  </si>
  <si>
    <t>BOUT-6K-ISO4017-8.8-SW13-(A2K)-M8X30</t>
  </si>
  <si>
    <t>008906 20 005</t>
  </si>
  <si>
    <t>SCHROEF-ISO10642-010.9-BZK4-A2K-M6X20</t>
  </si>
  <si>
    <t>008906 30 005</t>
  </si>
  <si>
    <t>SCHROEF-ISO10642-010.9-BZK4-A2K-M6X30</t>
  </si>
  <si>
    <t>00946 45</t>
  </si>
  <si>
    <t>SCHROEF-CIL-ISO4762-A2/70-BZK5-M6X45</t>
  </si>
  <si>
    <t>01006 20 005</t>
  </si>
  <si>
    <t>SCHROEF-PLVZK-ISO10642-A2/070-BZK4-M6X20</t>
  </si>
  <si>
    <t>011333925 005</t>
  </si>
  <si>
    <t>PLAATSCHROEF-BCLK+FL-C-AW20-(DSS)-3,9X25</t>
  </si>
  <si>
    <t>011463 70 092</t>
  </si>
  <si>
    <t>BOUT-6K-DIN7976C-SW10-(A2K)-6,3X70</t>
  </si>
  <si>
    <t>011463 90 092</t>
  </si>
  <si>
    <t>BOUT-6K-DIN7976C-SW10-(A2K)-6,3X90</t>
  </si>
  <si>
    <t>0153760040</t>
  </si>
  <si>
    <t>SCHROEF-PANHD-HO-RW40-(A3K)-6X40/37,0</t>
  </si>
  <si>
    <t>0166815550005</t>
  </si>
  <si>
    <t>TERRASSCHROEF-BPNT-A2-RW20-5,5X50/23</t>
  </si>
  <si>
    <t>017730630 005</t>
  </si>
  <si>
    <t>TELLERKOPSCHROEF-RW40-(A3K)-6X30/24</t>
  </si>
  <si>
    <t>017730640 005</t>
  </si>
  <si>
    <t>TELLERKOPSCHROEF-RW40-(A3K)-6X40/36</t>
  </si>
  <si>
    <t>017730850 005</t>
  </si>
  <si>
    <t>TELLERKOPSCHROEF-RW40-(A3K)-8X50/40</t>
  </si>
  <si>
    <t>doos (50)</t>
  </si>
  <si>
    <t>018726060 005</t>
  </si>
  <si>
    <t>SCHROEF-PLVZK-HO-A2-RW30-6X60/50</t>
  </si>
  <si>
    <t>019004560 005</t>
  </si>
  <si>
    <t>SCHROEF-PLVZK-HO-RW20-(A3K)-4,5X60/50</t>
  </si>
  <si>
    <t>019006030 005</t>
  </si>
  <si>
    <t>SCHROEF-PLVZK-FRH-HO-RW40-(A3K)-6X30/24</t>
  </si>
  <si>
    <t>019006050</t>
  </si>
  <si>
    <t>SCHROEF-PLVZK-FRH-HO-RW40-(A3K)-6X50/42</t>
  </si>
  <si>
    <t>019006060</t>
  </si>
  <si>
    <t>SCHROEF-PLVZK-FRH-HO-RW40-(A3K)-6X60/50</t>
  </si>
  <si>
    <t>019013545 005</t>
  </si>
  <si>
    <t>SCHROEF-PLVZK-FRH-HO-RW20-A2K-3,5X45/30</t>
  </si>
  <si>
    <t>doos (500)</t>
  </si>
  <si>
    <t>01928 50 005</t>
  </si>
  <si>
    <t>HOUTDRAADBOUT-DIN571-SW13-(A2K)-8X50</t>
  </si>
  <si>
    <t>01928 70 005</t>
  </si>
  <si>
    <t>HOUTDRAADBOUT-DIN571-SW13-(A2K)-8X70</t>
  </si>
  <si>
    <t>020006525</t>
  </si>
  <si>
    <t>SCHROEF-FABA-A-16-SW3/8-(A2K)-6,5X25</t>
  </si>
  <si>
    <t>020574216 003</t>
  </si>
  <si>
    <t>SCHROEF-PIAS-PLVZK-AW20-(A3K)-4,2X16</t>
  </si>
  <si>
    <t>020574225 003</t>
  </si>
  <si>
    <t>SCHROEF-PIAS-PLVZK-AW20-(A3K)-4,2X25</t>
  </si>
  <si>
    <t>020635 95 003</t>
  </si>
  <si>
    <t>SCHROEF-PIAS-BCLK-AW10-(A3K)-3,5X9,5</t>
  </si>
  <si>
    <t>020635 95 092</t>
  </si>
  <si>
    <t>020639 16 003</t>
  </si>
  <si>
    <t>SCHROEF-PIAS-BCLK-AW20-(A3K)-3,9X16</t>
  </si>
  <si>
    <t>021135 16 003</t>
  </si>
  <si>
    <t>SCHROEF-PIAS-BCLK-PH2-(A3K)-3,5X16</t>
  </si>
  <si>
    <t>021448 19 003</t>
  </si>
  <si>
    <t>SCHROEF-PIAS-6K-SW8-(A3K)-4,8X19</t>
  </si>
  <si>
    <t>021448 19 092</t>
  </si>
  <si>
    <t>doos (2000)</t>
  </si>
  <si>
    <t>021448 22 003</t>
  </si>
  <si>
    <t>SCHROEF-PIAS-6K-SW8-(A3K)-4,8X22</t>
  </si>
  <si>
    <t>021463 25 003</t>
  </si>
  <si>
    <t>SCHROEF-PIAS-6K-SW10-(A3K)-6,3X25</t>
  </si>
  <si>
    <t>021463 25 092</t>
  </si>
  <si>
    <t>021463 38 003</t>
  </si>
  <si>
    <t>SCHROEF-PIAS-6K-SW10-(A3K)-6,3X38</t>
  </si>
  <si>
    <t>0214763359</t>
  </si>
  <si>
    <t>SCHROEF-PIAS-RNG19-SW10-(A3K)-6,3X35</t>
  </si>
  <si>
    <t>0214806310</t>
  </si>
  <si>
    <t>SCHROEF-PIASTA-RNG16-SW3/8-(RUS)-6,3X100</t>
  </si>
  <si>
    <t>doos (150)</t>
  </si>
  <si>
    <t>0233163100005</t>
  </si>
  <si>
    <t>SCHROEF-D-ANKER-AW30-(A2K)-6X100/42</t>
  </si>
  <si>
    <t>0233163160005</t>
  </si>
  <si>
    <t>SCHROEF-D-ANKER-AW30-(A2K)-6X160/42</t>
  </si>
  <si>
    <t>0233163200005</t>
  </si>
  <si>
    <t>SCHROEF-D-ANKER-AW30-(A2K)-6X200/42</t>
  </si>
  <si>
    <t>0233163250005</t>
  </si>
  <si>
    <t>SCHROEF-D-ANKER-AW30-(A2K)-6X250/42</t>
  </si>
  <si>
    <t>023316380 005</t>
  </si>
  <si>
    <t>SCHROEF-D-ANKER-AW30-(A2K)-6X80/36</t>
  </si>
  <si>
    <t>0234730152005</t>
  </si>
  <si>
    <t>KOZIJNSCHROEF-PVK-RW30-A2K-7,5X152</t>
  </si>
  <si>
    <t>0234730182005</t>
  </si>
  <si>
    <t>KOZIJNSCHROEF-PVK-RW30-A2K-7,5X182</t>
  </si>
  <si>
    <t>0234730212005</t>
  </si>
  <si>
    <t>KOZIJNSCHROEF-PVK-RW30-A2K-7,5X212</t>
  </si>
  <si>
    <t>023473092 005</t>
  </si>
  <si>
    <t>KOZIJNSCHROEF-PVK-RW30-A2K-7,5X92</t>
  </si>
  <si>
    <t>023493052 005</t>
  </si>
  <si>
    <t>KOZIJNSCHROEF-BOLKOP-RW30-A2K-7,5X52</t>
  </si>
  <si>
    <t>02814 40 005</t>
  </si>
  <si>
    <t>SCHROEF-PLVZK-DIN965-A2-PH2-M4X40</t>
  </si>
  <si>
    <t>031710 005</t>
  </si>
  <si>
    <t>MOER-6K-DIN934-I8I-SW17-(A2K)-M10</t>
  </si>
  <si>
    <t>03178 005</t>
  </si>
  <si>
    <t>MOER-6K-DIN934-I8I-SW13-(A2K)-M8</t>
  </si>
  <si>
    <t>0394010 005</t>
  </si>
  <si>
    <t>FLENSMOER-/TAND-6K-V.DIN6923-8-(A2K)-M10</t>
  </si>
  <si>
    <t>039406 005</t>
  </si>
  <si>
    <t>FLENSMOER-/TAND-6K-V.DIN6923-8-(A2K)-M6</t>
  </si>
  <si>
    <t>040710 005</t>
  </si>
  <si>
    <t>SLUITRING-DIN125-A-140HV-(A2K)-D10,5</t>
  </si>
  <si>
    <t>04076 005</t>
  </si>
  <si>
    <t>SLUITRING-DIN125-A-140HV-(A2K)-D6,4</t>
  </si>
  <si>
    <t>04116 20 005</t>
  </si>
  <si>
    <t>CARROSERIERING-(DIN522)-A2K-6,4X20X1,25</t>
  </si>
  <si>
    <t>04118 24 005</t>
  </si>
  <si>
    <t>CARROSERIERING-(DIN522)-A2K-8,4X25X1,25</t>
  </si>
  <si>
    <t>04118 25 005</t>
  </si>
  <si>
    <t>CARROSERIERING-(DIN522)-A2K-8,4X25X1,5</t>
  </si>
  <si>
    <t>doos (300)</t>
  </si>
  <si>
    <t>04176 005</t>
  </si>
  <si>
    <t>SLUITRING-DIN9021-140HV-D6,4</t>
  </si>
  <si>
    <t>04728 005</t>
  </si>
  <si>
    <t>VERENDE-BORGPEN-(A2C)-D8X42MM</t>
  </si>
  <si>
    <t>doos (25)</t>
  </si>
  <si>
    <t>0502131 090</t>
  </si>
  <si>
    <t>KABELBINDER-ZWART-3,6X200</t>
  </si>
  <si>
    <t>05021351 090</t>
  </si>
  <si>
    <t>KABELBINDER-ZWART-3,6X280</t>
  </si>
  <si>
    <t>0555306287061</t>
  </si>
  <si>
    <t>STEKKERDOOS-STEKKERAANSL-N-7PLG-24V</t>
  </si>
  <si>
    <t>05561173 005</t>
  </si>
  <si>
    <t>LASKLEM-3X(0,2-4,0MM²)</t>
  </si>
  <si>
    <t>05561175 005</t>
  </si>
  <si>
    <t>LASKLEM-5X(0,2-4,0MM²)</t>
  </si>
  <si>
    <t>0578480528961</t>
  </si>
  <si>
    <t>LAMSCH-LL-ST/RVS-ZKS-VLAK-K80-D125</t>
  </si>
  <si>
    <t>doos (10)</t>
  </si>
  <si>
    <t>0579400326961</t>
  </si>
  <si>
    <t>LAMSCH-NK-CON-BO22,23-K60-D125</t>
  </si>
  <si>
    <t>0579400328961</t>
  </si>
  <si>
    <t>LAMSCH-NK-CON-BO22,23-K80-D125</t>
  </si>
  <si>
    <t>0608116105061</t>
  </si>
  <si>
    <t>DECOUPZGBL-BOUW-5STK-110/2</t>
  </si>
  <si>
    <t>0608116123061</t>
  </si>
  <si>
    <t>DECOUPZGBL-MET-5STK-MULTIBLADE-75MM</t>
  </si>
  <si>
    <t>061311940 961</t>
  </si>
  <si>
    <t>T-GREEP-SCHROEVENDR-TX-40X235MM</t>
  </si>
  <si>
    <t>061311945 961</t>
  </si>
  <si>
    <t>T-GREEP-SCHROEVENDR-TX-45X235MM</t>
  </si>
  <si>
    <t>0613631025061</t>
  </si>
  <si>
    <t>SCHROEVENDRAAIER-VDE-SLEUF-0,4X2,5X80</t>
  </si>
  <si>
    <t>0614176461005</t>
  </si>
  <si>
    <t>BIT-PH2-WIT-1/4IN-L25MM</t>
  </si>
  <si>
    <t>0614176638961</t>
  </si>
  <si>
    <t>BITHOUDER-MAGN-1/4IN-L66MM</t>
  </si>
  <si>
    <t>0614176648961</t>
  </si>
  <si>
    <t>BIT-PH3-ROOD-1/4IN-L25MM</t>
  </si>
  <si>
    <t>0614176711090</t>
  </si>
  <si>
    <t>BITHOUDER-SWF-1/4INX1/4IN-L51MM</t>
  </si>
  <si>
    <t>0614176715090</t>
  </si>
  <si>
    <t>TEKSDOP-SCHROEFDOP-MAGN-1/4IN-SW8</t>
  </si>
  <si>
    <t>0614176717090</t>
  </si>
  <si>
    <t>TEKSDOP-SCHROEFDOP-MAGN-1/4IN-SW10</t>
  </si>
  <si>
    <t>0614176718090</t>
  </si>
  <si>
    <t>TEKSDOP-SCHROEFDOP-MAGN-1/4IN-SW13</t>
  </si>
  <si>
    <t>0614176737090</t>
  </si>
  <si>
    <t>BIT-PH3-ROOD-1/4IN-L50MM</t>
  </si>
  <si>
    <t>stuk</t>
  </si>
  <si>
    <t>06143140 090</t>
  </si>
  <si>
    <t>BIT-TX40-GROEN-1/4IN-L25MM</t>
  </si>
  <si>
    <t>doos (5)</t>
  </si>
  <si>
    <t>061431450 961</t>
  </si>
  <si>
    <t>BIT-TX45-1/4IN-L25MM</t>
  </si>
  <si>
    <t>06143315 090</t>
  </si>
  <si>
    <t>BIT-TX15-GEEL-1/4IN-L70MM</t>
  </si>
  <si>
    <t>06145110 005</t>
  </si>
  <si>
    <t>BIT, 25MM, 1/4'', AW10</t>
  </si>
  <si>
    <t>06145125 005</t>
  </si>
  <si>
    <t>BIT-AW25-LICHTGROEN-1/4IN-L25MM</t>
  </si>
  <si>
    <t>06145130 005</t>
  </si>
  <si>
    <t>BIT, 25MM, 1/4'', AW30</t>
  </si>
  <si>
    <t>06145220 061</t>
  </si>
  <si>
    <t>BIT-AW20-LICHTORANJE-1/4IN-L50MM</t>
  </si>
  <si>
    <t>06145230 090</t>
  </si>
  <si>
    <t>BIT-AW30-LICHTGEEL-1/4IN-L50MM</t>
  </si>
  <si>
    <t>061470 10 961</t>
  </si>
  <si>
    <t>BIT-RW10-PAARS-1/4IN-L25MM</t>
  </si>
  <si>
    <t>061470 20 961</t>
  </si>
  <si>
    <t>BIT-RW20-LICHTORANJE-1/4IN-L25MM</t>
  </si>
  <si>
    <t>061470 30 961</t>
  </si>
  <si>
    <t>BIT-RW30-LICHTGEEL-1/4IN-L25MM</t>
  </si>
  <si>
    <t>061471 20 961</t>
  </si>
  <si>
    <t>BIT-RW20-LICHTORANJE-1/4IN-L50MM</t>
  </si>
  <si>
    <t>061471 30 961</t>
  </si>
  <si>
    <t>BIT-RW30-LICHTGEEL-1/4IN-L50MM</t>
  </si>
  <si>
    <t>0615720332061</t>
  </si>
  <si>
    <t>SZB-BOUW-5STK-(HEAVY DUTY)-200X3,2</t>
  </si>
  <si>
    <t>0615915026061</t>
  </si>
  <si>
    <t>SZB-MET-5STK-150X(1,8-2,6)</t>
  </si>
  <si>
    <t>0615920326061</t>
  </si>
  <si>
    <t>SZB-MET-5STK-(HEAVY DUTY)-200X(1,8-2,6)</t>
  </si>
  <si>
    <t>0624001000060</t>
  </si>
  <si>
    <t>SPIRAALBOOR-MET-DIN338-HSS-D10,0MM</t>
  </si>
  <si>
    <t>0624201000961</t>
  </si>
  <si>
    <t>SPIRAALBOOR-MET-DIN340-HSS-D10,0</t>
  </si>
  <si>
    <t>062520 090</t>
  </si>
  <si>
    <t>SPIRAALBOOR-MET-DIN338-HSS-D2,0MM</t>
  </si>
  <si>
    <t>062542 090</t>
  </si>
  <si>
    <t>SPIRAALBOOR-MET-DIN338-HSS-D4,2MM</t>
  </si>
  <si>
    <t>062560 090</t>
  </si>
  <si>
    <t>SPIRAALBOOR-MET-DIN338-HSS-D6,0MM</t>
  </si>
  <si>
    <t>062580 090</t>
  </si>
  <si>
    <t>SPIRAALBOOR-MET-DIN338-HSS-D8,0MM</t>
  </si>
  <si>
    <t>0632014 090</t>
  </si>
  <si>
    <t>BOOR-CENT-GATZA-(A2/A4)-GATZAAG-BIMET</t>
  </si>
  <si>
    <t>063202 090</t>
  </si>
  <si>
    <t>OPN-GATZAAG-(A2)-(32-200MM)</t>
  </si>
  <si>
    <t>0632900035961</t>
  </si>
  <si>
    <t>GATZAAG-HSCO8-LS-MET-D35MM</t>
  </si>
  <si>
    <t>0632900057961</t>
  </si>
  <si>
    <t>GATZAAG-HSCO8-LS-MET-D57MM</t>
  </si>
  <si>
    <t>0637206015961</t>
  </si>
  <si>
    <t>STEENBOOR-DUOS-CIL-D6-L150-WL90MM</t>
  </si>
  <si>
    <t>0648071045961</t>
  </si>
  <si>
    <t>HAMERBOOR-PLUS-QL-D10,0-L455-WL400MM</t>
  </si>
  <si>
    <t>0648071416961</t>
  </si>
  <si>
    <t>HAMERBOOR-PLUS-QL-D14,0-L165-WL110MM</t>
  </si>
  <si>
    <t>0648076016961</t>
  </si>
  <si>
    <t>HAMERBOOR-PLUS-QL-D6,0-L165-WL100MM</t>
  </si>
  <si>
    <t>0648076026961</t>
  </si>
  <si>
    <t>HAMERBOOR-PLUS-QL-D6,0-L265-WL200MM</t>
  </si>
  <si>
    <t>0648078016961</t>
  </si>
  <si>
    <t>HAMERBOOR-PLUS-QL-D8,0-L165-WL100MM</t>
  </si>
  <si>
    <t>0648078026961</t>
  </si>
  <si>
    <t>HAMERBOOR-PLUS-QL-D8,0-L265-WL200MM</t>
  </si>
  <si>
    <t>0648078031961</t>
  </si>
  <si>
    <t>HAMERBOOR-PLUS-QL-D8,0-L315-WL250MM</t>
  </si>
  <si>
    <t>0648078045961</t>
  </si>
  <si>
    <t>HAMERBOOR-PLUS-QL-D8,0-L455-WL390MM</t>
  </si>
  <si>
    <t>0664102302060</t>
  </si>
  <si>
    <t>DOORSL-SP-BLAUW-STAAL-RECHT-2,0-D230</t>
  </si>
  <si>
    <t>0664131250060</t>
  </si>
  <si>
    <t>DOORSL-SP-GROEN-A2-RECHT-1,0-D125MM</t>
  </si>
  <si>
    <t>0681963300</t>
  </si>
  <si>
    <t>RAFTRNL-5A2K)-6,0X300MM</t>
  </si>
  <si>
    <t>069401908 060</t>
  </si>
  <si>
    <t>VERZINKFREES-GROEN-HSCO-D8,3MM</t>
  </si>
  <si>
    <t>069402012 060</t>
  </si>
  <si>
    <t>VERZINKFREES-HSS-TIN-D12,4MM</t>
  </si>
  <si>
    <t>0694450630961</t>
  </si>
  <si>
    <t>TRAPBOOR-SPRL-SMARTSTEP-(D6-30MM)</t>
  </si>
  <si>
    <t>0694451420961</t>
  </si>
  <si>
    <t>TRAPBOOR-SMARTSTEP-ALTIN-(D4-20MM)</t>
  </si>
  <si>
    <t>0695555323</t>
  </si>
  <si>
    <t>WERKPLAATS-OLIE-SPUITFLES-WIT-PE-250ML</t>
  </si>
  <si>
    <t>0695940906090</t>
  </si>
  <si>
    <t>SCHILDERSPATEL-4090-B60MM</t>
  </si>
  <si>
    <t>0695943965090</t>
  </si>
  <si>
    <t>ZAALBEZEM-KOKOS-L400MM</t>
  </si>
  <si>
    <t>0695943970090</t>
  </si>
  <si>
    <t>HANDVEGER-(KNSTSTF BORSTELS)-L280MM</t>
  </si>
  <si>
    <t>0695943971090</t>
  </si>
  <si>
    <t>VEEGBLIK-L280MM</t>
  </si>
  <si>
    <t>0695943972090</t>
  </si>
  <si>
    <t>ZAALBEZEM-KOKOS-L600MM</t>
  </si>
  <si>
    <t>0695944418961</t>
  </si>
  <si>
    <t>\BRM-HALL-PLASTIC-L800MM</t>
  </si>
  <si>
    <t>0695944419961</t>
  </si>
  <si>
    <t>ZAALBEZEM-KOKOS-L1000MM</t>
  </si>
  <si>
    <t>069999610 961</t>
  </si>
  <si>
    <t>SLANG-PL-LAK-ROOD-9/16-GEMONT-L10M</t>
  </si>
  <si>
    <t>07012220 961</t>
  </si>
  <si>
    <t>COMPRESSOR-EL-SUBCOMPACT8L-OLIEVRIJ-STIL</t>
  </si>
  <si>
    <t>071391 122961</t>
  </si>
  <si>
    <t>RATELSJORBAND-LANGE RATEL-5T-B50MM-L10M</t>
  </si>
  <si>
    <t>071426311 961</t>
  </si>
  <si>
    <t>RATELRINGSTEEKSLEUTEL-FLEXIBEL-SW11</t>
  </si>
  <si>
    <t>071464 567961</t>
  </si>
  <si>
    <t>ROLBANDMAAT-B25MM-L5M</t>
  </si>
  <si>
    <t>071464 568961</t>
  </si>
  <si>
    <t>ROLBANDMAAT-B25MM-L8M</t>
  </si>
  <si>
    <t>071464 569961</t>
  </si>
  <si>
    <t>ROLBANDMAAT-MAGNET-B25MM-L5M</t>
  </si>
  <si>
    <t>0714644125961</t>
  </si>
  <si>
    <t>WATERPAS SPUITGIET PROFIEL 25CM</t>
  </si>
  <si>
    <t>0714644308961</t>
  </si>
  <si>
    <t>WATERPAS 80CM MET MAGNEET</t>
  </si>
  <si>
    <t>071502 23 061</t>
  </si>
  <si>
    <t>WATERPOMPTANG-COBRA-250MM</t>
  </si>
  <si>
    <t>071502 33 061</t>
  </si>
  <si>
    <t>WATERPOMPTANG-COBRA-180MM</t>
  </si>
  <si>
    <t>071502 331090</t>
  </si>
  <si>
    <t>WATERPOMPTANG-COBRA-300MM</t>
  </si>
  <si>
    <t>071502 332961</t>
  </si>
  <si>
    <t>WATERPOMPTANG-COBRA-125MM</t>
  </si>
  <si>
    <t>071509 06 961</t>
  </si>
  <si>
    <t>\LOKPLRS-(JAW-HRD)-L140MM</t>
  </si>
  <si>
    <t>071509 07 961</t>
  </si>
  <si>
    <t>GRIPTANG-BEK-HALFROND-L190MM</t>
  </si>
  <si>
    <t>071509 08 961</t>
  </si>
  <si>
    <t>\LOKPLRS-(JAW-HRD)-L235MM</t>
  </si>
  <si>
    <t>071511340 060</t>
  </si>
  <si>
    <t>DOPSLEUTEL-1/4IN-BIN.TX-TX40</t>
  </si>
  <si>
    <t>071531 70 064</t>
  </si>
  <si>
    <t>BIN6KTSLEUTEL-SET-BIN6KT-7DLG</t>
  </si>
  <si>
    <t>071553 370961</t>
  </si>
  <si>
    <t>DIGITALE MULTIMETER</t>
  </si>
  <si>
    <t>071564 57 090</t>
  </si>
  <si>
    <t>PLOOIMETER 2M</t>
  </si>
  <si>
    <t>071566 053061</t>
  </si>
  <si>
    <t>AFBREEKMES-ZWART-18MM</t>
  </si>
  <si>
    <t>071566 073</t>
  </si>
  <si>
    <t>AFBREEKMES-ZWART-9MM</t>
  </si>
  <si>
    <t>071566 210961</t>
  </si>
  <si>
    <t>AFBREEKMES-ROOD-H18MM-L160MM</t>
  </si>
  <si>
    <t>071566 276961</t>
  </si>
  <si>
    <t>AFBREEKMES-2K-H25MM-L195MM</t>
  </si>
  <si>
    <t>071566 567961</t>
  </si>
  <si>
    <t>\POKTKNFE-COMBI-110MM</t>
  </si>
  <si>
    <t>071572 10 090</t>
  </si>
  <si>
    <t>HAMER-SIMPLEX-KST/RUBBER-D40MM</t>
  </si>
  <si>
    <t>0715735017061</t>
  </si>
  <si>
    <t>STEEL-CONISCH-D28-L1400MM</t>
  </si>
  <si>
    <t>0715735023961</t>
  </si>
  <si>
    <t>\HNDL-DEV-CYL-28MMX1400MM</t>
  </si>
  <si>
    <t>071593 04 061</t>
  </si>
  <si>
    <t>MONTAGESTOEL, BERIJDBAAR</t>
  </si>
  <si>
    <t>071593 95 061</t>
  </si>
  <si>
    <t>UNIVERSEEL ROLPLATEAU</t>
  </si>
  <si>
    <t>0715930242961</t>
  </si>
  <si>
    <t>\LNCHBG-300X220X190MM</t>
  </si>
  <si>
    <t>081220 100061</t>
  </si>
  <si>
    <t>WAARSCH.MARK.-LANGELADING-423X423MM</t>
  </si>
  <si>
    <t>0824010068961</t>
  </si>
  <si>
    <t>BAK-KST-ZWART-56X42X8CM</t>
  </si>
  <si>
    <t>0827112 961</t>
  </si>
  <si>
    <t>BATTERIJ-ALKALINE AA-MIGNON-LR6-1,5V</t>
  </si>
  <si>
    <t>0827809997961</t>
  </si>
  <si>
    <t>LED-HOOFDLAMP-OPLAADBAAR-SPACELINE-350LM</t>
  </si>
  <si>
    <t>0837900110961</t>
  </si>
  <si>
    <t>\MOBPHNHOLD-F.VEH-MAGN-56X40MM</t>
  </si>
  <si>
    <t>0862100040</t>
  </si>
  <si>
    <t>VARIFIX hamerkopbevestiging staal verz. std.bev.</t>
  </si>
  <si>
    <t>0862200001005</t>
  </si>
  <si>
    <t>PROFIELKLEM UITVOERING 1 M8</t>
  </si>
  <si>
    <t>0869819054961</t>
  </si>
  <si>
    <t>\INSU-CLDNATRBR-19X54MM</t>
  </si>
  <si>
    <t>0874100200961</t>
  </si>
  <si>
    <t>DUCT TAPE ALLROUND GRIJS 50MMX50M</t>
  </si>
  <si>
    <t>0874100202961</t>
  </si>
  <si>
    <t>DUCT TAPE ALLROUND ZWART 50MMX50M</t>
  </si>
  <si>
    <t>0875120018061</t>
  </si>
  <si>
    <t>AFDICHTB-VKP-BASIC-(20/12-20)-ZWART-6,5M</t>
  </si>
  <si>
    <t>doos (15)</t>
  </si>
  <si>
    <t>0875604502961</t>
  </si>
  <si>
    <t>\ASMBYCLIP-AMO-PP-BLUE-60X45X2MM</t>
  </si>
  <si>
    <t>0875604503961</t>
  </si>
  <si>
    <t>\ASMBYCLIP-AMO-PP-RED-60X45X3MM</t>
  </si>
  <si>
    <t>0875604505961</t>
  </si>
  <si>
    <t>\ASMBYCLIP-AMO-PP-GREEN-60X45X5MM</t>
  </si>
  <si>
    <t>0875604510961</t>
  </si>
  <si>
    <t>AMO-CLIP-PP-BRUIN-60X45X10MM</t>
  </si>
  <si>
    <t>0879115990961</t>
  </si>
  <si>
    <t>\TYRREP-CAR-SET-64PCS</t>
  </si>
  <si>
    <t>0890100373781</t>
  </si>
  <si>
    <t>CONSTRUCTIELIJM-FIXIT-ZWART-290ML</t>
  </si>
  <si>
    <t>doos (24)</t>
  </si>
  <si>
    <t>08901087 078</t>
  </si>
  <si>
    <t>REMMENREINIGER 500 ML</t>
  </si>
  <si>
    <t>08901087 793</t>
  </si>
  <si>
    <t>08901221 078</t>
  </si>
  <si>
    <t>BANDENMONTAGEPASTA WIT 5 KG</t>
  </si>
  <si>
    <t>089022001 781</t>
  </si>
  <si>
    <t>ECO GLASREINIGER 500 ML</t>
  </si>
  <si>
    <t>doos (12)</t>
  </si>
  <si>
    <t>08902505 078</t>
  </si>
  <si>
    <t>ACTIEF RUITENREINIGER 5L</t>
  </si>
  <si>
    <t>0890600611078</t>
  </si>
  <si>
    <t>SKIN-LINE-HANDREINIGER-(N-SUPER)-1500ML</t>
  </si>
  <si>
    <t>doos (6)</t>
  </si>
  <si>
    <t>0890600616078</t>
  </si>
  <si>
    <t>\HNDCLNR-(N-SUPER)-BOTTLE-250ML</t>
  </si>
  <si>
    <t>089090090 819</t>
  </si>
  <si>
    <t>UNIV. REINIGINGSDOEKJES 90 STUKS</t>
  </si>
  <si>
    <t>08911524 961</t>
  </si>
  <si>
    <t>SCHUIMPISTOOL-1C-PURLOGIC-XPRESS-PLASTIC</t>
  </si>
  <si>
    <t>08913101 961</t>
  </si>
  <si>
    <t>HANDKITPISTOOL-KOKER-14:1-(BIS-310ML)</t>
  </si>
  <si>
    <t>0891400008961</t>
  </si>
  <si>
    <t>\OILCTCHPAN-(PE)-11LTR</t>
  </si>
  <si>
    <t>08914002 061</t>
  </si>
  <si>
    <t>SCHENKKAN M. VASTE TUIT - MAATVERD. 2,0L</t>
  </si>
  <si>
    <t>08914104 090</t>
  </si>
  <si>
    <t>TRECHTER-KUNSTSTOF-DIAM.150MM M.TUIT</t>
  </si>
  <si>
    <t>08921521 078</t>
  </si>
  <si>
    <t>1K PISTOOLSCH SCHROEF PISTFM-1C-B3-750ML</t>
  </si>
  <si>
    <t>0892152125078</t>
  </si>
  <si>
    <t>ADH-INSUSHT-1C-FOAM-PU-ORANGE-800ML</t>
  </si>
  <si>
    <t>0892160 078</t>
  </si>
  <si>
    <t>PISTOOLSCHUIM-PURLOGIC-CLEAN-500ML</t>
  </si>
  <si>
    <t>0892162310027</t>
  </si>
  <si>
    <t>PLAMUUR-SCHEUR-VOEG-VULLER-WIT-310ML</t>
  </si>
  <si>
    <t>089231011 078</t>
  </si>
  <si>
    <t>SILICONENKIT-NEUTRAAL-TRANSPARANT-310ML</t>
  </si>
  <si>
    <t>089231012 078</t>
  </si>
  <si>
    <t>SILICONENKIT NEUTRAAL-WIT-310ML</t>
  </si>
  <si>
    <t>089231015 078</t>
  </si>
  <si>
    <t>SILICONENKIT NEUTRAAL-ZWART-310ML</t>
  </si>
  <si>
    <t>0892331201078</t>
  </si>
  <si>
    <t>SUPERONTDOOIER FLACON 500 ML</t>
  </si>
  <si>
    <t>0892332840078</t>
  </si>
  <si>
    <t>RUITENREINIGER PLUS 1 L</t>
  </si>
  <si>
    <t>0892332850078</t>
  </si>
  <si>
    <t>RUITENREINIGER PLUS 5 L</t>
  </si>
  <si>
    <t>0892333 078</t>
  </si>
  <si>
    <t>RUITENREINIGER-SNELREINIGER-32ML</t>
  </si>
  <si>
    <t>089240010 078</t>
  </si>
  <si>
    <t>LIJMSCHUIM ISOLATIE GEVELS 800ML</t>
  </si>
  <si>
    <t>0893000179990</t>
  </si>
  <si>
    <t>STROOIZOUT ZAK 25KG</t>
  </si>
  <si>
    <t>doos (40)</t>
  </si>
  <si>
    <t>0893003 078</t>
  </si>
  <si>
    <t>EGALISEERMIDDEL 400 ML</t>
  </si>
  <si>
    <t>0893055400078</t>
  </si>
  <si>
    <t>MULTI SPRAY COBRA HEAD 400ML</t>
  </si>
  <si>
    <t>08931065 078</t>
  </si>
  <si>
    <t>HHS 500 SPROEIVET MET OMC2 500 ML</t>
  </si>
  <si>
    <t>0893114114078</t>
  </si>
  <si>
    <t>ZINKSPRAY LICHT PERFECT 400 ML</t>
  </si>
  <si>
    <t>089313920 078</t>
  </si>
  <si>
    <t>GEURVERWIJDERAAR 500 ML</t>
  </si>
  <si>
    <t>0893140 078</t>
  </si>
  <si>
    <t>INDUSTRIE-CLEAN SPUITBUS 500 ML</t>
  </si>
  <si>
    <t>08932012 781</t>
  </si>
  <si>
    <t>FIXIT POWER - WIT - 290ML</t>
  </si>
  <si>
    <t>08932013 781</t>
  </si>
  <si>
    <t>FIXIT POWER ZWART 290ML</t>
  </si>
  <si>
    <t>0893351000027</t>
  </si>
  <si>
    <t>NAT-STEEN-AFDICHT-4IN1-TRANSPARANT-310ML</t>
  </si>
  <si>
    <t>0893603050078</t>
  </si>
  <si>
    <t>LAGERBORGING-SUPERSTERK-50G</t>
  </si>
  <si>
    <t>0899078 061</t>
  </si>
  <si>
    <t>SIGNAAL VEILIGHEIDSVEST ORANJE XL</t>
  </si>
  <si>
    <t>0899102110</t>
  </si>
  <si>
    <t>VEILIGHEIDSBRIL ANDROMEDA</t>
  </si>
  <si>
    <t>0899102242961</t>
  </si>
  <si>
    <t>VEILIGHEIDSBRIL FORNAX PLUS</t>
  </si>
  <si>
    <t>0899102381961</t>
  </si>
  <si>
    <t>VEILIGHEIDSBRIL-CETUS-X-TREME-GRIJS</t>
  </si>
  <si>
    <t>0899103171961</t>
  </si>
  <si>
    <t>\SAFEGOGL-EN166-ASKELLA-SMOKE</t>
  </si>
  <si>
    <t>0899110503961</t>
  </si>
  <si>
    <t>STOFMASKER-CM3000-VENTIEL-FFP2-NR-D</t>
  </si>
  <si>
    <t>089920070 061</t>
  </si>
  <si>
    <t>VEILIGHEIDSHELM (SH-6) KLEUR GEEL</t>
  </si>
  <si>
    <t>0899300331061</t>
  </si>
  <si>
    <t>GEHOORDOPJES X-100 VE ( 200 PAAR )</t>
  </si>
  <si>
    <t>0899300342961</t>
  </si>
  <si>
    <t>GEHOORDOPJES X-100 (50 PAAR )</t>
  </si>
  <si>
    <t>0899400530061</t>
  </si>
  <si>
    <t>MONTAGEHANDSCHOEN MAAT 9</t>
  </si>
  <si>
    <t>0899400741961</t>
  </si>
  <si>
    <t>HANDSCHOEN (W-110)-(LEVEL B) MT 9</t>
  </si>
  <si>
    <t>0899403329961</t>
  </si>
  <si>
    <t>SNIJBEST HANDSCHOEN-W170-LEVEL B-MT 9</t>
  </si>
  <si>
    <t>0899407320961</t>
  </si>
  <si>
    <t>HITTEBEST-HANDSCH-TIGERFLEX-(H130)-XL</t>
  </si>
  <si>
    <t>0899411019961</t>
  </si>
  <si>
    <t>TIGERFLEX PLUS MONTAGEHANDSCHOEN, MT9</t>
  </si>
  <si>
    <t>0899411020961</t>
  </si>
  <si>
    <t>TIGERFLEX PLUS MONTAGEHANDSCHOEN, MT10</t>
  </si>
  <si>
    <t>0899450209961</t>
  </si>
  <si>
    <t>WINTERHANDSCHOEN-ULTIMATE-MT 9</t>
  </si>
  <si>
    <t>0899450210961</t>
  </si>
  <si>
    <t>WINTERHANDSCHOEN-ULTIMATE-MT 10</t>
  </si>
  <si>
    <t>0899713001061</t>
  </si>
  <si>
    <t>SPANNFIX BANDKLEMMEN BR.16 MM</t>
  </si>
  <si>
    <t>0899713860961</t>
  </si>
  <si>
    <t>SPANFIX-POLYESTERBAND-BR.19MM-L.500M</t>
  </si>
  <si>
    <t>090310 50 068</t>
  </si>
  <si>
    <t>NYLONPLUG-10X50</t>
  </si>
  <si>
    <t>doos (1600)</t>
  </si>
  <si>
    <t>090320 064</t>
  </si>
  <si>
    <t>ANKER-MONTAGETANG-W-MH</t>
  </si>
  <si>
    <t>09032511 005</t>
  </si>
  <si>
    <t>GIPSKARTONPLUG-W-GS/K-KST-14,5X33</t>
  </si>
  <si>
    <t>0903300114005</t>
  </si>
  <si>
    <t>ANKER-W-SSD/MB-14X55</t>
  </si>
  <si>
    <t>090352553 005</t>
  </si>
  <si>
    <t>ANKER-W-MH/L-SCHR-5-16-A1K-M5X66/53</t>
  </si>
  <si>
    <t>09036 30 068</t>
  </si>
  <si>
    <t>NYLONPLUG-6X30</t>
  </si>
  <si>
    <t>doos (4800)</t>
  </si>
  <si>
    <t>09038 40 068</t>
  </si>
  <si>
    <t>NYLONPLUG-8X40</t>
  </si>
  <si>
    <t>doos (2400)</t>
  </si>
  <si>
    <t>09038 40 092</t>
  </si>
  <si>
    <t>0912808002005</t>
  </si>
  <si>
    <t>CONST.PLUG-(W-RD)-ZONDER KRAAG-10-8X60</t>
  </si>
  <si>
    <t>0912808003005</t>
  </si>
  <si>
    <t>CONST.PLUG-(W-RD)-ZONDER KRAAG-10-8X80</t>
  </si>
  <si>
    <t>0912808103005</t>
  </si>
  <si>
    <t>CONSTRUCTIEPLUG M. KRAAG 8X80</t>
  </si>
  <si>
    <t>0915584010003</t>
  </si>
  <si>
    <t>BLKNGL-PL-AL/ST-WIT/A2K-1,2-6,3/4,0X10</t>
  </si>
  <si>
    <t>0915594010003</t>
  </si>
  <si>
    <t>BLKNGL-PL-AL/ST-ZW/A2K-1,2-6,3/4,0X10</t>
  </si>
  <si>
    <t>09364 16 005</t>
  </si>
  <si>
    <t>BLKNGL-PL-AL/ST-(-/A2K)-(8,5-12,5)-4X16</t>
  </si>
  <si>
    <t>093700410 005</t>
  </si>
  <si>
    <t>BLKNGL-PL-AL/ST-(-/A2K)-(1,5-5,0)-4,0X10</t>
  </si>
  <si>
    <t>093974010 005</t>
  </si>
  <si>
    <t>BLKNGL-VZ-AL/A2-(5,0-6,5)-4,0X10</t>
  </si>
  <si>
    <t>094414 10 005</t>
  </si>
  <si>
    <t>BLKNGL-PL+-AL/ST-/A2K-(4,5-6,0)-5,0X10</t>
  </si>
  <si>
    <t>0962219200990</t>
  </si>
  <si>
    <t>GEREEDSKOFFR-DRAAGBOX-KST-41,5X26X20,5</t>
  </si>
  <si>
    <t>096511 32 060</t>
  </si>
  <si>
    <t>DOPSLEUTEL-ASS-1/4IN-33DLG</t>
  </si>
  <si>
    <t>0967911203961</t>
  </si>
  <si>
    <t>MARK-GRAFIET-D2,8MM-L120MM</t>
  </si>
  <si>
    <t>097361015 061</t>
  </si>
  <si>
    <t>KABELGOOT-MINI-ZELFKL-R9010-WIT-10X15MM</t>
  </si>
  <si>
    <t>097361015 092</t>
  </si>
  <si>
    <t>0973625401061</t>
  </si>
  <si>
    <t>KABELGOOT-R7035-GRIJS-25X40MM</t>
  </si>
  <si>
    <t>doos (60)</t>
  </si>
  <si>
    <t>09748 30 005</t>
  </si>
  <si>
    <t>AFSTANDSMOF-6 KANT-WS11-(A2K)-M8X30</t>
  </si>
  <si>
    <t>09811001 090</t>
  </si>
  <si>
    <t>STANDAARD TBV WERKPLAATSL.0981.100</t>
  </si>
  <si>
    <t>0985052005961</t>
  </si>
  <si>
    <t>PLAKBAND AFROLAPP.-2K-W50MM</t>
  </si>
  <si>
    <t>0985101 061</t>
  </si>
  <si>
    <t>ISOLATIETAPE-VDE-ZWART-15MMX10M</t>
  </si>
  <si>
    <t>0988019001990</t>
  </si>
  <si>
    <t>BREEKMES+EXTRA VERVANGMESSEN 31-DLG,18MM</t>
  </si>
  <si>
    <t>0988019067990</t>
  </si>
  <si>
    <t>ONTDEKKINGSPAKKET METAALBEWERKING,46-DLG</t>
  </si>
  <si>
    <t>099012 090</t>
  </si>
  <si>
    <t>\BONUSKARTE NIEDERLASSUNG</t>
  </si>
  <si>
    <t>09920019</t>
  </si>
  <si>
    <t>AFPLAKTAPE-CREPE-19MMX50M</t>
  </si>
  <si>
    <t>doos (16)</t>
  </si>
  <si>
    <t>09920050</t>
  </si>
  <si>
    <t>AFPLAKTAPE-CREPE-50MMX50M</t>
  </si>
  <si>
    <t>0992387000810</t>
  </si>
  <si>
    <t>\ADHTPE-UNI-SILVER-50MMX50M</t>
  </si>
  <si>
    <t>0992387000961</t>
  </si>
  <si>
    <t>0997048982090</t>
  </si>
  <si>
    <t>BIER VAATJE 5 LITER</t>
  </si>
  <si>
    <t>0997120216090</t>
  </si>
  <si>
    <t>DRAADLOZE LED SPEAKER</t>
  </si>
  <si>
    <t>514154010 005</t>
  </si>
  <si>
    <t>BLKNGL-ISO15977-L-AL/ST-(5,0-6,5)-4X10</t>
  </si>
  <si>
    <t>5506353008</t>
  </si>
  <si>
    <t>SCHUURSCHIJF-KLIT-MULTIGAT-P80-D150MM</t>
  </si>
  <si>
    <t>5713922116961</t>
  </si>
  <si>
    <t>SPANBAND-MET-SPANGESP-250DAN.-25MM-5M</t>
  </si>
  <si>
    <t>doos (4)</t>
  </si>
  <si>
    <t>5713922537961</t>
  </si>
  <si>
    <t>SPANBAND S-HAAK 500DAN-B25MM-L6M</t>
  </si>
  <si>
    <t>5713922552961</t>
  </si>
  <si>
    <t>SPANBAND-GESL.DR.HAAK-1T-B50MM-L6M</t>
  </si>
  <si>
    <t>590620635 961</t>
  </si>
  <si>
    <t>PLUG-SHARKPRO-KST-6X35</t>
  </si>
  <si>
    <t>590620846 961</t>
  </si>
  <si>
    <t>PLUG-SHARKPRO-KST-8X46</t>
  </si>
  <si>
    <t>590621056 961</t>
  </si>
  <si>
    <t>PLUG-SHARKPRO-KST-10X56</t>
  </si>
  <si>
    <t>doos (800)</t>
  </si>
  <si>
    <t>590680846 005</t>
  </si>
  <si>
    <t>PLUG-SHARK-TWIST-8X46</t>
  </si>
  <si>
    <t>5911010302005</t>
  </si>
  <si>
    <t>CONST.PLUG-(W-URF-SYM)-A4-SW13-10-10X80</t>
  </si>
  <si>
    <t>5912808603005</t>
  </si>
  <si>
    <t>CONST.PLUG-SHARK-URF8-SW10-30/10-8X80</t>
  </si>
  <si>
    <t>5912808605</t>
  </si>
  <si>
    <t>CONST.PLUG-SHARK-URF8-SW10-70/50-8X120</t>
  </si>
  <si>
    <t>5912810401</t>
  </si>
  <si>
    <t>CONSTRUCTIEPLUG-SHARK-UR-A2K-10-10X80</t>
  </si>
  <si>
    <t>5912810407005</t>
  </si>
  <si>
    <t>CONSTRUCTIEPLUG-SHARK-UR-A2K-130-10X200</t>
  </si>
  <si>
    <t>5964055500961</t>
  </si>
  <si>
    <t>ASS-KABELVERB-GEISOLEERD-270ST-SYSKO</t>
  </si>
  <si>
    <t>5964055502961</t>
  </si>
  <si>
    <t>ASS-KABELVERB-WATERD-180ST-SYSKO</t>
  </si>
  <si>
    <t>5964073101961</t>
  </si>
  <si>
    <t>STEEKZEKERING-ASS-SYSKO-MINI-MAXI-170DLG</t>
  </si>
  <si>
    <t>5964077100961</t>
  </si>
  <si>
    <t>KRIMPKOUS-DUNWANDIG-ASSORTI-130DELIG</t>
  </si>
  <si>
    <t>9501014212990</t>
  </si>
  <si>
    <t>BRANDBLUSSER EN3 - 1KG</t>
  </si>
  <si>
    <t>M036029999090</t>
  </si>
  <si>
    <t>STKA-SCHWARZ-EN812</t>
  </si>
  <si>
    <t>M442042003090</t>
  </si>
  <si>
    <t>MOD BODYWARMER CLASSIC GR MT XL</t>
  </si>
  <si>
    <t>M485206999918</t>
  </si>
  <si>
    <t>SPORTTAS MODYF-ZWART</t>
  </si>
  <si>
    <t>M485231999918</t>
  </si>
  <si>
    <t>RUGZAK-FUSION-ANTRACIET</t>
  </si>
  <si>
    <t>08931065 810</t>
  </si>
  <si>
    <t>Smeermiddel HSS Lube 500ml</t>
  </si>
  <si>
    <t>02006550 005</t>
  </si>
  <si>
    <t>Montageschroef Torx 7,5 x 52</t>
  </si>
  <si>
    <t>Zelfborende schroef met platte kop torx 35 x 9,5</t>
  </si>
  <si>
    <t>0890100371781</t>
  </si>
  <si>
    <t>Constructielijm-Fixit-wit-290ml</t>
  </si>
  <si>
    <t>089231015 810</t>
  </si>
  <si>
    <t>Siliconenkit bouw neutraal-zwart-310ml</t>
  </si>
  <si>
    <t>Pias W-214 staal verzinkt zeskantkop SCHROEF-PIAS-6K-SW8-(A3K)-4,8x19 ZEBRA PIAS</t>
  </si>
  <si>
    <t>pias W-214 staal verzinkt zeskantkop SCHROEF-PIAS-6K-SW10-(A3K)-6,3X38 ZEBRA PIAS</t>
  </si>
  <si>
    <t>pias staal verzinkt lenskop H SCHROEF-PIAS-BCLK-PH2-(A3K)-3,5X16 ZEBRA PIAS</t>
  </si>
  <si>
    <t>019015060 005</t>
  </si>
  <si>
    <t>ASSY 4 CSMP staal verz. DD verz.kop freesholtes RW SCHROEF-PLVZK-FRH-HO-RW20-(A3K)-5X60/37 ASSY 4 CSMP</t>
  </si>
  <si>
    <t>019004535 005</t>
  </si>
  <si>
    <t>ASSY 4 CS staal verzinkt VD verzonken kop RW SCHROEF-PLVZK-HO-RW20-(A3K)-4,5X35/28 ASSY 4 CS</t>
  </si>
  <si>
    <t>019006070</t>
  </si>
  <si>
    <t>SCHROEF-PLVZK-FRH-HO-RW40-(A3K)-6X70/60</t>
  </si>
  <si>
    <t>0893900001812</t>
  </si>
  <si>
    <t>Handreiniger, N-plus tube</t>
  </si>
  <si>
    <t>0890600609078</t>
  </si>
  <si>
    <t>Handreiniger, doseersysteem nature skin</t>
  </si>
  <si>
    <t>D-anker staal verzinkt AW SCHROEF D-ANKER-AW30-(A2K)-6x120/42</t>
  </si>
  <si>
    <t>08931067 078</t>
  </si>
  <si>
    <t>Hechtend smeermiddel HHS 200 HHS 200 ONDERHOUDSVET PTFE 400ML HHS</t>
  </si>
  <si>
    <t>0892333250078</t>
  </si>
  <si>
    <t>Ruitensproeiervloeistof, snelreiniger TopDos SNELREINIGER IN DOSEERFLACON 250 ML</t>
  </si>
  <si>
    <t>0893764640078</t>
  </si>
  <si>
    <t>Deodorant Quick Fresh Turbo</t>
  </si>
  <si>
    <t>0893114113078</t>
  </si>
  <si>
    <t>Zinkspray Perfect voor metalen oppervlakken ZINKSPRAY PERFECT 400 ML</t>
  </si>
  <si>
    <t>DIN 965 staal 4.8 verzinkt SCHROEF-PLVZK-DIN965-4.8-PH3-A2K-M6X12</t>
  </si>
  <si>
    <t>040712</t>
  </si>
  <si>
    <t>DIN 125 staal 140 HV verzinkt SLUITRING-DIN125-A-140HV-(A2K)-D13,0</t>
  </si>
  <si>
    <t>040712 005</t>
  </si>
  <si>
    <t>0892336500078</t>
  </si>
  <si>
    <t>Reinigingsmiddel voor ruiten -20°C</t>
  </si>
  <si>
    <t>005710 25</t>
  </si>
  <si>
    <t>071464 567</t>
  </si>
  <si>
    <t>020635 95</t>
  </si>
  <si>
    <t>06147 30</t>
  </si>
  <si>
    <t>Automaat</t>
  </si>
  <si>
    <t>019004530 005</t>
  </si>
  <si>
    <t>SCHROEF-PLVZK-HO-RW20-(A3K)-4,5X30/26</t>
  </si>
  <si>
    <t>019005050 005</t>
  </si>
  <si>
    <t>SCHROEF-PLVZK-FRH-HO-RW20-(A3K)-5X50/42</t>
  </si>
  <si>
    <t>01926 50 005</t>
  </si>
  <si>
    <t>HOUTDRAADBOUT-DIN571-SW10-(A2K)-6X50</t>
  </si>
  <si>
    <t>01926 70 005</t>
  </si>
  <si>
    <t>HOUTDRAADBOUT-DIN571-SW10-(A2K)-6X70</t>
  </si>
  <si>
    <t>01926 90 005</t>
  </si>
  <si>
    <t>HOUTDRAADBOUT-DIN571-SW10-(A2K)-6X90</t>
  </si>
  <si>
    <t>020635 16 003</t>
  </si>
  <si>
    <t>SCHROEF-PIAS-BCLK-AW10-(A3K)-3,5X16</t>
  </si>
  <si>
    <t>0614176461961</t>
  </si>
  <si>
    <t>0614176708090</t>
  </si>
  <si>
    <t>BITHOUDER-SWF-MAGN-1/4X1/4IN-L75MM</t>
  </si>
  <si>
    <t>0614176711</t>
  </si>
  <si>
    <t>0614400060961</t>
  </si>
  <si>
    <t>BITMAGAZIJN-TX10/15/20/2530/40-8DLG</t>
  </si>
  <si>
    <t>0615830040</t>
  </si>
  <si>
    <t>SZB-HOUT-5STK-305X(3,6-5,1)</t>
  </si>
  <si>
    <t>0625100 090</t>
  </si>
  <si>
    <t>062541 090</t>
  </si>
  <si>
    <t>SPIRAALBOOR-MET-DIN338-HSS-D4,1MM</t>
  </si>
  <si>
    <t>071465 038961</t>
  </si>
  <si>
    <t>ROLBANDMAAT-MAGNEET-2C-L8M-B25MM</t>
  </si>
  <si>
    <t>071564 01 061</t>
  </si>
  <si>
    <t>TIMMERMANSPOTLOOD-ROOD-L240-B12-H8MM</t>
  </si>
  <si>
    <t>089216 078</t>
  </si>
  <si>
    <t>PURLOGIC CLEAN 150ML</t>
  </si>
  <si>
    <t>0893329005078</t>
  </si>
  <si>
    <t>LAKSPRAY-R9005-ZWART-MAT-400ML</t>
  </si>
  <si>
    <t>0894910 090</t>
  </si>
  <si>
    <t>SIERSTRIP-TAPE-12MMX10M</t>
  </si>
  <si>
    <t>0967915301961</t>
  </si>
  <si>
    <t>PERMANENT MARKER-ZWART-(1,5-3MM)</t>
  </si>
  <si>
    <t>5912808604005</t>
  </si>
  <si>
    <t>CONST.PLUG-SHARK-URF8-SW10-50/30-8X100</t>
  </si>
  <si>
    <t>08925104 078</t>
  </si>
  <si>
    <t>Neutral Silicone Perfect</t>
  </si>
  <si>
    <t>08934801 078</t>
  </si>
  <si>
    <t>Snelwerkende epoxyharslijm ESK-50</t>
  </si>
  <si>
    <t>Gekartelde borgmoer met borgvertanding staalsterkteklasse 8, verzinkt, blauw gepassiveerd (A2K)</t>
  </si>
  <si>
    <t>0614176648005</t>
  </si>
  <si>
    <t>C 6.3 PH-bit (1/4 inch) Met kleurcodering</t>
  </si>
  <si>
    <t>06145120 005</t>
  </si>
  <si>
    <t>AW&amp;#174;-bit C 6.3 (1/4 inch) met gepatenteerde AW-punt en kleurcodering</t>
  </si>
  <si>
    <t>0626000420961</t>
  </si>
  <si>
    <t>Spiraalboor HSCo DIN 338 type RN oxide</t>
  </si>
  <si>
    <t>0648056016961</t>
  </si>
  <si>
    <t>Plus Quadro-L Vario hamerboor</t>
  </si>
  <si>
    <t>0648058016961</t>
  </si>
  <si>
    <t>0694453630961</t>
  </si>
  <si>
    <t>Blanke spiraaltrapboor HSS Performance</t>
  </si>
  <si>
    <t>063204 1 961</t>
  </si>
  <si>
    <t>Adapter A4 Met centreerboor</t>
  </si>
  <si>
    <t>0648056021961</t>
  </si>
  <si>
    <t>0632900024961</t>
  </si>
  <si>
    <t>Gatzaag, HSS bimetaal Longlife &amp;amp; Speed HSCo8</t>
  </si>
  <si>
    <t>0891486 061</t>
  </si>
  <si>
    <t>Statische mengbuis</t>
  </si>
  <si>
    <t>05562 090</t>
  </si>
  <si>
    <t>Kroonsteen zonder draadbescherming</t>
  </si>
  <si>
    <t>05561 090</t>
  </si>
  <si>
    <t>590620635 005</t>
  </si>
  <si>
    <t>Kunststof universele plug SHARK&amp;#174; Pro</t>
  </si>
  <si>
    <t>0556100003005</t>
  </si>
  <si>
    <t>Wago schroefloze verbindingsklem Voor alle soorten koperdraad</t>
  </si>
  <si>
    <t>017013545 008</t>
  </si>
  <si>
    <t xml:space="preserve">ASSY® 3.0, blauw galvanisch verzinkt Spaanplaatschroef </t>
  </si>
  <si>
    <t>0556100005005</t>
  </si>
  <si>
    <t>590620846 005</t>
  </si>
  <si>
    <t>0126223926005</t>
  </si>
  <si>
    <t>Plaatschroef voor vensterbank</t>
  </si>
  <si>
    <t>044020</t>
  </si>
  <si>
    <t>DIN 127 blank staal, vorm B - VEERRING-DIN127-B-D20,2</t>
  </si>
  <si>
    <t>020563 38</t>
  </si>
  <si>
    <t>Schroef-PIAS- BLVZK-AW30-(A3K)-6,3x38</t>
  </si>
  <si>
    <t>020563 50</t>
  </si>
  <si>
    <t>SCHROEF-PIAS-BLVZK-AW30-(A3K)-6,3X50</t>
  </si>
  <si>
    <t>090350 10</t>
  </si>
  <si>
    <t>Gasbetonplug W-GB - GASBETONPLUG-W-GB-10X55</t>
  </si>
  <si>
    <t>Würth Modyf</t>
  </si>
  <si>
    <t>M446210000</t>
  </si>
  <si>
    <t>T-Shirt Ronde hals korte mouw</t>
  </si>
  <si>
    <t>M450661010</t>
  </si>
  <si>
    <t>T-Shirt Ronde hals lange mouw</t>
  </si>
  <si>
    <t>M450244000</t>
  </si>
  <si>
    <t>Sweater Ronde hals</t>
  </si>
  <si>
    <t>M550258000</t>
  </si>
  <si>
    <t>HOODIE</t>
  </si>
  <si>
    <t>M456086010</t>
  </si>
  <si>
    <t>FLEECE JACK STRECH DAMES</t>
  </si>
  <si>
    <t>M442093000</t>
  </si>
  <si>
    <t>NATURE VEST</t>
  </si>
  <si>
    <t>M411541001</t>
  </si>
  <si>
    <t>MID SEASON JACKET FUSION</t>
  </si>
  <si>
    <t>M4222650</t>
  </si>
  <si>
    <t>BOOTS CRONOS MID BOA S3S</t>
  </si>
  <si>
    <t>M4222440</t>
  </si>
  <si>
    <t>CARACAS MICRO STIEFEL S3</t>
  </si>
  <si>
    <t>Nestor Company NV</t>
  </si>
  <si>
    <t>940332-000</t>
  </si>
  <si>
    <t>Akerstroms SESAM 800 - KEYRING K3</t>
  </si>
  <si>
    <t>944574-000</t>
  </si>
  <si>
    <t>Akerstroms SESAM 800 - SMALL S6</t>
  </si>
  <si>
    <t>940338-000</t>
  </si>
  <si>
    <t>Akerstroms SESAM 800 - MEDIUM M6</t>
  </si>
  <si>
    <t>940334-000</t>
  </si>
  <si>
    <t>Akerstroms SESAM 800 - SMALL S3</t>
  </si>
  <si>
    <t>940341-000</t>
  </si>
  <si>
    <t>Akerstroms SESAM 800 - LARGE L15</t>
  </si>
  <si>
    <t>Akerstroms SESAM 800 - LARGE L99</t>
  </si>
  <si>
    <t>941243-000</t>
  </si>
  <si>
    <t>Akerstroms Muurontvanger met 3 relais met display 12-24Volt</t>
  </si>
  <si>
    <t>942216-000</t>
  </si>
  <si>
    <t>Akerstroms Ontvanger voor DIN rail montage 12-24Volt</t>
  </si>
  <si>
    <t>Akerstroms Muurontvanger met 3 relais 12-24Volt</t>
  </si>
  <si>
    <t>942244-000</t>
  </si>
  <si>
    <t>Akerstroms Muurontvanger met 3 relais 230Volt</t>
  </si>
  <si>
    <t>947568-001</t>
  </si>
  <si>
    <t>Akerstroms wandhouder SESAM 800 Keyring</t>
  </si>
  <si>
    <t>947220-001</t>
  </si>
  <si>
    <t>Akerstroms wandhouder SESAM 800 SMALL</t>
  </si>
  <si>
    <t>947247-000</t>
  </si>
  <si>
    <t>Akerstroms wandhouder SESAM 800 LARGE</t>
  </si>
  <si>
    <t>943015-000</t>
  </si>
  <si>
    <t>Akerstroms houder SESAM 800 TX Large met voet en electronica</t>
  </si>
  <si>
    <t>947219-001</t>
  </si>
  <si>
    <t>Akerstroms wandhouder SESAM 800 MEDIUM</t>
  </si>
  <si>
    <t>Inventaris Magazijn Liedekerke</t>
  </si>
  <si>
    <t>Eindwaarde</t>
  </si>
  <si>
    <t>Investering 2024</t>
  </si>
  <si>
    <t>Hilti</t>
  </si>
  <si>
    <t>Aankoop werkgerief</t>
  </si>
  <si>
    <t>Wurth</t>
  </si>
  <si>
    <t>Inrichting bestelwagens</t>
  </si>
  <si>
    <t>De Bisschop</t>
  </si>
  <si>
    <t>MIBA</t>
  </si>
  <si>
    <t>Herinrichting Liedekerke</t>
  </si>
  <si>
    <t>Powerland</t>
  </si>
  <si>
    <t>Plaatsen 3x laadpaal Liedekerke</t>
  </si>
  <si>
    <t>plaatsen laadpaal personeel</t>
  </si>
  <si>
    <t>Verstraeten</t>
  </si>
  <si>
    <t>Herinrichting buitenomgeving Lier</t>
  </si>
  <si>
    <t>WERKEN IN UITVOERING NIEUWE PROJECTEN 2024</t>
  </si>
  <si>
    <t>Dossier</t>
  </si>
  <si>
    <t>Lier</t>
  </si>
  <si>
    <t>Liedekerke</t>
  </si>
  <si>
    <t>Bastogne</t>
  </si>
  <si>
    <t>M2320672</t>
  </si>
  <si>
    <t>Totaal</t>
  </si>
  <si>
    <t>VOORSCHOTFACTUREN NIEUWE PROJECTEN 2024</t>
  </si>
  <si>
    <t>Bedrag</t>
  </si>
  <si>
    <t>M2320902</t>
  </si>
  <si>
    <t>M2318087</t>
  </si>
  <si>
    <t>M2319206</t>
  </si>
  <si>
    <t>M2320617</t>
  </si>
  <si>
    <t>M2320681</t>
  </si>
  <si>
    <t>M2305281</t>
  </si>
  <si>
    <t>M2312643</t>
  </si>
  <si>
    <t>M2307165</t>
  </si>
  <si>
    <t>M2317242</t>
  </si>
  <si>
    <t>M2319265</t>
  </si>
  <si>
    <t>M2319504</t>
  </si>
  <si>
    <t>M2320220</t>
  </si>
  <si>
    <t>M2320403</t>
  </si>
  <si>
    <t>M2321257</t>
  </si>
  <si>
    <t>M2321469</t>
  </si>
  <si>
    <t>M2321505</t>
  </si>
  <si>
    <t>M2321574</t>
  </si>
  <si>
    <t>M2321602</t>
  </si>
  <si>
    <t>M2321723</t>
  </si>
  <si>
    <t>M2321698</t>
  </si>
  <si>
    <t>M2321793</t>
  </si>
  <si>
    <t>M2319665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</si>
</sst>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€&quot;\ #,##0.00;[Red]&quot;€&quot;\ \-#,##0.00"/>
    <numFmt numFmtId="44" formatCode="_ &quot;€&quot;\ * #,##0.00_ ;_ &quot;€&quot;\ * \-#,##0.00_ ;_ &quot;€&quot;\ * &quot;-&quot;??_ ;_ @_ "/>
    <numFmt numFmtId="164" formatCode="&quot;€&quot;\ #,##0.00"/>
    <numFmt numFmtId="165" formatCode="_-* #,##0.00\ [$€-407]_-;\-* #,##0.00\ [$€-407]_-;_-* &quot;-&quot;??\ [$€-407]_-;_-@_-"/>
    <numFmt numFmtId="166" formatCode="&quot;$&quot;\ #,##0.00"/>
  </numFmts>
  <fonts count="29">
    <font>
      <sz val="11"/>
      <color theme="1"/>
      <name val="Calibri"/>
      <family val="2"/>
      <scheme val="minor"/>
    </font>
    <font>
      <sz val="9"/>
      <name val="Comic Sans MS"/>
      <family val="4"/>
    </font>
    <font>
      <sz val="10"/>
      <name val="Comic Sans MS"/>
      <family val="4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3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name val="Calibri"/>
      <scheme val="minor"/>
    </font>
    <font>
      <sz val="11"/>
      <name val="Calibri"/>
    </font>
    <font>
      <sz val="11"/>
      <color rgb="FF000000"/>
      <name val="Aptos Narrow"/>
    </font>
    <font>
      <sz val="11"/>
      <color theme="1"/>
      <name val="Calibri"/>
    </font>
    <font>
      <b/>
      <sz val="9"/>
      <name val="Verdana"/>
      <family val="2"/>
    </font>
    <font>
      <sz val="9"/>
      <name val="Verdana"/>
      <family val="2"/>
      <charset val="238"/>
    </font>
  </fonts>
  <fills count="8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3D2FB"/>
        <bgColor indexed="64"/>
      </patternFill>
    </fill>
    <fill>
      <patternFill patternType="solid">
        <fgColor rgb="FF8B16BA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BDDB2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8AB4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CF725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54A05"/>
        <bgColor indexed="64"/>
      </patternFill>
    </fill>
    <fill>
      <patternFill patternType="solid">
        <fgColor rgb="FF30A08B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FFA00"/>
        <bgColor indexed="64"/>
      </patternFill>
    </fill>
    <fill>
      <patternFill patternType="solid">
        <fgColor rgb="FFF62212"/>
        <bgColor indexed="64"/>
      </patternFill>
    </fill>
    <fill>
      <patternFill patternType="solid">
        <fgColor rgb="FFB8B8D0"/>
        <bgColor indexed="64"/>
      </patternFill>
    </fill>
    <fill>
      <patternFill patternType="solid">
        <fgColor rgb="FF05F544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692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C4526"/>
        <bgColor indexed="64"/>
      </patternFill>
    </fill>
    <fill>
      <patternFill patternType="solid">
        <fgColor rgb="FFE9EF03"/>
        <bgColor indexed="64"/>
      </patternFill>
    </fill>
    <fill>
      <patternFill patternType="solid">
        <fgColor rgb="FFFDB423"/>
        <bgColor indexed="64"/>
      </patternFill>
    </fill>
    <fill>
      <patternFill patternType="solid">
        <fgColor rgb="FFC38649"/>
        <bgColor indexed="64"/>
      </patternFill>
    </fill>
    <fill>
      <patternFill patternType="solid">
        <fgColor rgb="FF86EA9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A2400"/>
        <bgColor indexed="64"/>
      </patternFill>
    </fill>
    <fill>
      <patternFill patternType="solid">
        <fgColor rgb="FFFD9D8D"/>
        <bgColor indexed="64"/>
      </patternFill>
    </fill>
    <fill>
      <patternFill patternType="solid">
        <fgColor rgb="FFD4F8F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D4E816"/>
        <bgColor indexed="64"/>
      </patternFill>
    </fill>
    <fill>
      <patternFill patternType="solid">
        <fgColor rgb="FFA0D8FE"/>
        <bgColor indexed="64"/>
      </patternFill>
    </fill>
    <fill>
      <patternFill patternType="solid">
        <fgColor rgb="FFFABD12"/>
        <bgColor indexed="64"/>
      </patternFill>
    </fill>
    <fill>
      <patternFill patternType="solid">
        <fgColor rgb="FFEB0B20"/>
        <bgColor indexed="64"/>
      </patternFill>
    </fill>
    <fill>
      <patternFill patternType="solid">
        <fgColor rgb="FFC4329A"/>
        <bgColor indexed="64"/>
      </patternFill>
    </fill>
    <fill>
      <patternFill patternType="solid">
        <fgColor rgb="FFAF8A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4BDD6E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</borders>
  <cellStyleXfs count="2">
    <xf numFmtId="0" fontId="0" fillId="0" borderId="0"/>
    <xf numFmtId="44" fontId="17" fillId="0" borderId="0" applyFont="0" applyFill="0" applyBorder="0" applyAlignment="0" applyProtection="0"/>
  </cellStyleXfs>
  <cellXfs count="205">
    <xf numFmtId="0" fontId="0" fillId="0" borderId="0" xfId="0"/>
    <xf numFmtId="0" fontId="0" fillId="49" borderId="6" xfId="0" applyFill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2" fontId="1" fillId="0" borderId="1" xfId="0" applyNumberFormat="1" applyFont="1" applyBorder="1"/>
    <xf numFmtId="0" fontId="0" fillId="5" borderId="1" xfId="0" applyFill="1" applyBorder="1"/>
    <xf numFmtId="164" fontId="0" fillId="0" borderId="1" xfId="0" applyNumberFormat="1" applyBorder="1"/>
    <xf numFmtId="2" fontId="0" fillId="0" borderId="1" xfId="0" applyNumberFormat="1" applyBorder="1"/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4" borderId="1" xfId="0" applyFill="1" applyBorder="1"/>
    <xf numFmtId="0" fontId="0" fillId="11" borderId="1" xfId="0" applyFill="1" applyBorder="1"/>
    <xf numFmtId="0" fontId="0" fillId="12" borderId="1" xfId="0" applyFill="1" applyBorder="1"/>
    <xf numFmtId="164" fontId="0" fillId="12" borderId="1" xfId="0" applyNumberFormat="1" applyFill="1" applyBorder="1"/>
    <xf numFmtId="2" fontId="0" fillId="12" borderId="1" xfId="0" applyNumberFormat="1" applyFill="1" applyBorder="1"/>
    <xf numFmtId="164" fontId="0" fillId="12" borderId="2" xfId="0" applyNumberFormat="1" applyFill="1" applyBorder="1"/>
    <xf numFmtId="164" fontId="0" fillId="7" borderId="1" xfId="0" applyNumberFormat="1" applyFill="1" applyBorder="1"/>
    <xf numFmtId="0" fontId="0" fillId="13" borderId="1" xfId="0" applyFill="1" applyBorder="1"/>
    <xf numFmtId="0" fontId="4" fillId="0" borderId="1" xfId="0" applyFont="1" applyBorder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0" xfId="0" applyFill="1"/>
    <xf numFmtId="0" fontId="4" fillId="0" borderId="1" xfId="0" applyFont="1" applyBorder="1" applyAlignment="1">
      <alignment horizontal="center" vertical="center"/>
    </xf>
    <xf numFmtId="0" fontId="6" fillId="2" borderId="0" xfId="0" applyFont="1" applyFill="1" applyProtection="1">
      <protection locked="0"/>
    </xf>
    <xf numFmtId="0" fontId="7" fillId="0" borderId="0" xfId="0" applyFont="1"/>
    <xf numFmtId="3" fontId="0" fillId="0" borderId="1" xfId="0" applyNumberFormat="1" applyBorder="1" applyAlignment="1">
      <alignment horizontal="left"/>
    </xf>
    <xf numFmtId="0" fontId="6" fillId="2" borderId="0" xfId="0" applyFont="1" applyFill="1" applyAlignment="1" applyProtection="1">
      <alignment horizontal="left"/>
      <protection locked="0"/>
    </xf>
    <xf numFmtId="0" fontId="0" fillId="1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8" fillId="0" borderId="1" xfId="0" applyFont="1" applyBorder="1"/>
    <xf numFmtId="0" fontId="8" fillId="12" borderId="1" xfId="0" applyFont="1" applyFill="1" applyBorder="1"/>
    <xf numFmtId="0" fontId="8" fillId="0" borderId="1" xfId="0" applyFont="1" applyBorder="1" applyAlignment="1">
      <alignment wrapText="1"/>
    </xf>
    <xf numFmtId="0" fontId="9" fillId="0" borderId="1" xfId="0" applyFont="1" applyBorder="1"/>
    <xf numFmtId="0" fontId="8" fillId="0" borderId="0" xfId="0" applyFont="1"/>
    <xf numFmtId="0" fontId="8" fillId="2" borderId="0" xfId="0" applyFont="1" applyFill="1" applyProtection="1">
      <protection locked="0"/>
    </xf>
    <xf numFmtId="0" fontId="9" fillId="0" borderId="1" xfId="0" applyFont="1" applyBorder="1" applyAlignment="1">
      <alignment horizontal="left"/>
    </xf>
    <xf numFmtId="0" fontId="0" fillId="14" borderId="1" xfId="0" applyFill="1" applyBorder="1"/>
    <xf numFmtId="0" fontId="0" fillId="15" borderId="1" xfId="0" applyFill="1" applyBorder="1"/>
    <xf numFmtId="0" fontId="0" fillId="17" borderId="1" xfId="0" applyFill="1" applyBorder="1"/>
    <xf numFmtId="0" fontId="9" fillId="0" borderId="1" xfId="0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0" fontId="0" fillId="18" borderId="1" xfId="0" applyFill="1" applyBorder="1"/>
    <xf numFmtId="164" fontId="9" fillId="0" borderId="1" xfId="0" applyNumberFormat="1" applyFont="1" applyBorder="1"/>
    <xf numFmtId="0" fontId="0" fillId="0" borderId="1" xfId="0" quotePrefix="1" applyBorder="1" applyAlignment="1">
      <alignment horizontal="left"/>
    </xf>
    <xf numFmtId="0" fontId="0" fillId="20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12" fillId="10" borderId="1" xfId="0" applyFont="1" applyFill="1" applyBorder="1"/>
    <xf numFmtId="0" fontId="12" fillId="21" borderId="1" xfId="0" applyFont="1" applyFill="1" applyBorder="1"/>
    <xf numFmtId="0" fontId="12" fillId="27" borderId="1" xfId="0" applyFont="1" applyFill="1" applyBorder="1"/>
    <xf numFmtId="0" fontId="12" fillId="16" borderId="1" xfId="0" applyFont="1" applyFill="1" applyBorder="1"/>
    <xf numFmtId="0" fontId="12" fillId="19" borderId="1" xfId="0" applyFont="1" applyFill="1" applyBorder="1"/>
    <xf numFmtId="0" fontId="12" fillId="11" borderId="1" xfId="0" applyFont="1" applyFill="1" applyBorder="1"/>
    <xf numFmtId="0" fontId="0" fillId="30" borderId="1" xfId="0" applyFill="1" applyBorder="1"/>
    <xf numFmtId="0" fontId="0" fillId="31" borderId="1" xfId="0" applyFill="1" applyBorder="1"/>
    <xf numFmtId="0" fontId="14" fillId="0" borderId="0" xfId="0" applyFont="1"/>
    <xf numFmtId="0" fontId="13" fillId="0" borderId="0" xfId="0" applyFont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42" borderId="1" xfId="0" applyFill="1" applyBorder="1"/>
    <xf numFmtId="8" fontId="0" fillId="0" borderId="0" xfId="0" applyNumberFormat="1"/>
    <xf numFmtId="0" fontId="16" fillId="0" borderId="0" xfId="0" applyFont="1"/>
    <xf numFmtId="0" fontId="11" fillId="43" borderId="1" xfId="0" applyFont="1" applyFill="1" applyBorder="1"/>
    <xf numFmtId="0" fontId="0" fillId="44" borderId="1" xfId="0" applyFill="1" applyBorder="1"/>
    <xf numFmtId="0" fontId="0" fillId="37" borderId="1" xfId="0" applyFill="1" applyBorder="1"/>
    <xf numFmtId="0" fontId="3" fillId="0" borderId="0" xfId="0" applyFont="1"/>
    <xf numFmtId="164" fontId="0" fillId="0" borderId="4" xfId="0" applyNumberFormat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8" borderId="1" xfId="0" applyFill="1" applyBorder="1"/>
    <xf numFmtId="164" fontId="0" fillId="0" borderId="2" xfId="0" applyNumberFormat="1" applyBorder="1"/>
    <xf numFmtId="0" fontId="0" fillId="49" borderId="1" xfId="0" applyFill="1" applyBorder="1"/>
    <xf numFmtId="0" fontId="0" fillId="50" borderId="1" xfId="0" applyFill="1" applyBorder="1"/>
    <xf numFmtId="0" fontId="0" fillId="51" borderId="1" xfId="0" applyFill="1" applyBorder="1"/>
    <xf numFmtId="0" fontId="0" fillId="52" borderId="1" xfId="0" applyFill="1" applyBorder="1"/>
    <xf numFmtId="0" fontId="0" fillId="53" borderId="1" xfId="0" applyFill="1" applyBorder="1"/>
    <xf numFmtId="0" fontId="0" fillId="54" borderId="1" xfId="0" applyFill="1" applyBorder="1"/>
    <xf numFmtId="0" fontId="0" fillId="55" borderId="1" xfId="0" applyFill="1" applyBorder="1"/>
    <xf numFmtId="0" fontId="0" fillId="56" borderId="1" xfId="0" applyFill="1" applyBorder="1"/>
    <xf numFmtId="0" fontId="0" fillId="57" borderId="1" xfId="0" applyFill="1" applyBorder="1"/>
    <xf numFmtId="165" fontId="0" fillId="0" borderId="1" xfId="0" applyNumberFormat="1" applyBorder="1"/>
    <xf numFmtId="49" fontId="17" fillId="0" borderId="5" xfId="0" applyNumberFormat="1" applyFont="1" applyBorder="1" applyAlignment="1">
      <alignment horizontal="left"/>
    </xf>
    <xf numFmtId="49" fontId="17" fillId="0" borderId="0" xfId="0" applyNumberFormat="1" applyFont="1"/>
    <xf numFmtId="49" fontId="17" fillId="0" borderId="1" xfId="0" applyNumberFormat="1" applyFont="1" applyBorder="1"/>
    <xf numFmtId="0" fontId="0" fillId="9" borderId="6" xfId="0" applyFill="1" applyBorder="1"/>
    <xf numFmtId="49" fontId="17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2" fillId="0" borderId="1" xfId="0" applyFont="1" applyBorder="1" applyAlignment="1">
      <alignment horizontal="right"/>
    </xf>
    <xf numFmtId="3" fontId="0" fillId="0" borderId="1" xfId="0" quotePrefix="1" applyNumberFormat="1" applyBorder="1" applyAlignment="1">
      <alignment horizontal="left"/>
    </xf>
    <xf numFmtId="0" fontId="0" fillId="58" borderId="1" xfId="0" applyFill="1" applyBorder="1"/>
    <xf numFmtId="0" fontId="0" fillId="59" borderId="1" xfId="0" applyFill="1" applyBorder="1"/>
    <xf numFmtId="0" fontId="0" fillId="60" borderId="1" xfId="0" applyFill="1" applyBorder="1"/>
    <xf numFmtId="0" fontId="0" fillId="61" borderId="1" xfId="0" applyFill="1" applyBorder="1"/>
    <xf numFmtId="0" fontId="0" fillId="62" borderId="1" xfId="0" applyFill="1" applyBorder="1"/>
    <xf numFmtId="0" fontId="0" fillId="63" borderId="1" xfId="0" applyFill="1" applyBorder="1"/>
    <xf numFmtId="0" fontId="0" fillId="64" borderId="1" xfId="0" applyFill="1" applyBorder="1"/>
    <xf numFmtId="0" fontId="17" fillId="0" borderId="3" xfId="0" applyFont="1" applyBorder="1"/>
    <xf numFmtId="49" fontId="17" fillId="0" borderId="0" xfId="0" applyNumberFormat="1" applyFont="1" applyAlignment="1">
      <alignment horizontal="left"/>
    </xf>
    <xf numFmtId="0" fontId="17" fillId="0" borderId="1" xfId="0" applyFont="1" applyBorder="1"/>
    <xf numFmtId="0" fontId="17" fillId="0" borderId="7" xfId="0" applyFont="1" applyBorder="1"/>
    <xf numFmtId="0" fontId="0" fillId="65" borderId="1" xfId="0" applyFill="1" applyBorder="1"/>
    <xf numFmtId="49" fontId="18" fillId="0" borderId="1" xfId="0" applyNumberFormat="1" applyFont="1" applyBorder="1"/>
    <xf numFmtId="0" fontId="0" fillId="49" borderId="6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9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6" xfId="0" applyBorder="1"/>
    <xf numFmtId="0" fontId="19" fillId="0" borderId="6" xfId="0" applyFont="1" applyBorder="1" applyAlignment="1">
      <alignment horizontal="left"/>
    </xf>
    <xf numFmtId="0" fontId="0" fillId="0" borderId="9" xfId="0" applyBorder="1" applyAlignment="1">
      <alignment horizontal="righ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6" fillId="2" borderId="0" xfId="0" applyNumberFormat="1" applyFont="1" applyFill="1" applyProtection="1">
      <protection locked="0"/>
    </xf>
    <xf numFmtId="164" fontId="1" fillId="0" borderId="1" xfId="0" applyNumberFormat="1" applyFont="1" applyBorder="1"/>
    <xf numFmtId="164" fontId="0" fillId="0" borderId="0" xfId="0" applyNumberFormat="1"/>
    <xf numFmtId="0" fontId="0" fillId="66" borderId="1" xfId="0" applyFill="1" applyBorder="1"/>
    <xf numFmtId="3" fontId="20" fillId="0" borderId="1" xfId="0" applyNumberFormat="1" applyFont="1" applyBorder="1" applyAlignment="1">
      <alignment horizontal="left"/>
    </xf>
    <xf numFmtId="0" fontId="20" fillId="0" borderId="1" xfId="0" applyFont="1" applyBorder="1"/>
    <xf numFmtId="0" fontId="0" fillId="67" borderId="1" xfId="0" applyFill="1" applyBorder="1"/>
    <xf numFmtId="0" fontId="0" fillId="68" borderId="1" xfId="0" applyFill="1" applyBorder="1"/>
    <xf numFmtId="0" fontId="3" fillId="3" borderId="13" xfId="0" applyFont="1" applyFill="1" applyBorder="1"/>
    <xf numFmtId="0" fontId="3" fillId="3" borderId="14" xfId="0" applyFont="1" applyFill="1" applyBorder="1" applyAlignment="1">
      <alignment horizontal="left"/>
    </xf>
    <xf numFmtId="0" fontId="10" fillId="3" borderId="14" xfId="0" applyFont="1" applyFill="1" applyBorder="1" applyAlignment="1">
      <alignment horizontal="left"/>
    </xf>
    <xf numFmtId="0" fontId="3" fillId="3" borderId="14" xfId="0" applyFont="1" applyFill="1" applyBorder="1"/>
    <xf numFmtId="164" fontId="3" fillId="3" borderId="14" xfId="0" applyNumberFormat="1" applyFont="1" applyFill="1" applyBorder="1"/>
    <xf numFmtId="0" fontId="0" fillId="69" borderId="1" xfId="0" applyFill="1" applyBorder="1"/>
    <xf numFmtId="0" fontId="20" fillId="0" borderId="0" xfId="0" applyFont="1"/>
    <xf numFmtId="0" fontId="0" fillId="70" borderId="1" xfId="0" applyFill="1" applyBorder="1"/>
    <xf numFmtId="0" fontId="0" fillId="71" borderId="1" xfId="0" applyFill="1" applyBorder="1"/>
    <xf numFmtId="0" fontId="0" fillId="72" borderId="1" xfId="0" applyFill="1" applyBorder="1"/>
    <xf numFmtId="0" fontId="0" fillId="73" borderId="1" xfId="0" applyFill="1" applyBorder="1"/>
    <xf numFmtId="0" fontId="0" fillId="74" borderId="1" xfId="0" applyFill="1" applyBorder="1"/>
    <xf numFmtId="0" fontId="0" fillId="75" borderId="1" xfId="0" applyFill="1" applyBorder="1"/>
    <xf numFmtId="0" fontId="0" fillId="76" borderId="1" xfId="0" applyFill="1" applyBorder="1"/>
    <xf numFmtId="0" fontId="0" fillId="77" borderId="1" xfId="0" applyFill="1" applyBorder="1"/>
    <xf numFmtId="0" fontId="21" fillId="0" borderId="1" xfId="0" applyFont="1" applyBorder="1"/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horizontal="left"/>
    </xf>
    <xf numFmtId="0" fontId="9" fillId="0" borderId="2" xfId="0" applyFont="1" applyBorder="1"/>
    <xf numFmtId="0" fontId="1" fillId="0" borderId="2" xfId="0" applyFont="1" applyBorder="1"/>
    <xf numFmtId="2" fontId="1" fillId="0" borderId="2" xfId="0" applyNumberFormat="1" applyFont="1" applyBorder="1"/>
    <xf numFmtId="164" fontId="1" fillId="0" borderId="2" xfId="0" applyNumberFormat="1" applyFont="1" applyBorder="1"/>
    <xf numFmtId="164" fontId="9" fillId="0" borderId="2" xfId="0" applyNumberFormat="1" applyFont="1" applyBorder="1"/>
    <xf numFmtId="0" fontId="0" fillId="78" borderId="1" xfId="0" applyFill="1" applyBorder="1"/>
    <xf numFmtId="164" fontId="0" fillId="0" borderId="9" xfId="0" applyNumberFormat="1" applyBorder="1"/>
    <xf numFmtId="0" fontId="12" fillId="79" borderId="1" xfId="0" applyFont="1" applyFill="1" applyBorder="1"/>
    <xf numFmtId="0" fontId="0" fillId="80" borderId="1" xfId="0" applyFill="1" applyBorder="1"/>
    <xf numFmtId="0" fontId="17" fillId="0" borderId="9" xfId="0" applyFont="1" applyBorder="1"/>
    <xf numFmtId="164" fontId="17" fillId="12" borderId="1" xfId="0" applyNumberFormat="1" applyFont="1" applyFill="1" applyBorder="1"/>
    <xf numFmtId="164" fontId="17" fillId="12" borderId="10" xfId="0" applyNumberFormat="1" applyFont="1" applyFill="1" applyBorder="1"/>
    <xf numFmtId="164" fontId="17" fillId="12" borderId="11" xfId="0" applyNumberFormat="1" applyFont="1" applyFill="1" applyBorder="1"/>
    <xf numFmtId="164" fontId="17" fillId="12" borderId="12" xfId="0" applyNumberFormat="1" applyFont="1" applyFill="1" applyBorder="1"/>
    <xf numFmtId="0" fontId="22" fillId="0" borderId="0" xfId="0" applyFont="1"/>
    <xf numFmtId="166" fontId="0" fillId="12" borderId="1" xfId="0" applyNumberFormat="1" applyFill="1" applyBorder="1"/>
    <xf numFmtId="49" fontId="0" fillId="0" borderId="15" xfId="0" applyNumberFormat="1" applyBorder="1"/>
    <xf numFmtId="0" fontId="0" fillId="49" borderId="6" xfId="0" applyFill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0" fillId="5" borderId="1" xfId="0" applyFill="1" applyBorder="1" applyAlignment="1">
      <alignment horizontal="left"/>
    </xf>
    <xf numFmtId="2" fontId="0" fillId="0" borderId="0" xfId="0" applyNumberFormat="1"/>
    <xf numFmtId="0" fontId="0" fillId="0" borderId="6" xfId="0" applyBorder="1" applyAlignment="1">
      <alignment horizontal="center"/>
    </xf>
    <xf numFmtId="0" fontId="24" fillId="0" borderId="1" xfId="0" applyFont="1" applyBorder="1"/>
    <xf numFmtId="2" fontId="1" fillId="0" borderId="3" xfId="0" applyNumberFormat="1" applyFont="1" applyBorder="1"/>
    <xf numFmtId="0" fontId="20" fillId="0" borderId="3" xfId="0" applyFont="1" applyBorder="1"/>
    <xf numFmtId="0" fontId="25" fillId="0" borderId="0" xfId="0" applyFont="1"/>
    <xf numFmtId="164" fontId="24" fillId="0" borderId="1" xfId="0" applyNumberFormat="1" applyFont="1" applyBorder="1"/>
    <xf numFmtId="0" fontId="9" fillId="0" borderId="9" xfId="0" applyFont="1" applyBorder="1"/>
    <xf numFmtId="0" fontId="0" fillId="0" borderId="10" xfId="0" applyBorder="1"/>
    <xf numFmtId="0" fontId="8" fillId="0" borderId="2" xfId="0" applyFont="1" applyBorder="1"/>
    <xf numFmtId="0" fontId="0" fillId="0" borderId="2" xfId="0" applyBorder="1" applyAlignment="1">
      <alignment horizontal="left"/>
    </xf>
    <xf numFmtId="0" fontId="25" fillId="0" borderId="11" xfId="0" applyFont="1" applyBorder="1"/>
    <xf numFmtId="164" fontId="24" fillId="0" borderId="1" xfId="0" applyNumberFormat="1" applyFont="1" applyBorder="1" applyAlignment="1">
      <alignment horizontal="right"/>
    </xf>
    <xf numFmtId="44" fontId="0" fillId="0" borderId="1" xfId="1" applyFont="1" applyBorder="1"/>
    <xf numFmtId="0" fontId="26" fillId="0" borderId="0" xfId="0" applyFont="1"/>
    <xf numFmtId="164" fontId="0" fillId="81" borderId="1" xfId="0" applyNumberFormat="1" applyFill="1" applyBorder="1"/>
    <xf numFmtId="2" fontId="0" fillId="75" borderId="1" xfId="0" applyNumberFormat="1" applyFill="1" applyBorder="1"/>
    <xf numFmtId="164" fontId="0" fillId="81" borderId="9" xfId="0" applyNumberFormat="1" applyFill="1" applyBorder="1"/>
    <xf numFmtId="0" fontId="0" fillId="0" borderId="16" xfId="0" applyBorder="1"/>
    <xf numFmtId="0" fontId="0" fillId="0" borderId="17" xfId="0" applyBorder="1"/>
    <xf numFmtId="0" fontId="26" fillId="0" borderId="1" xfId="0" applyFont="1" applyBorder="1"/>
    <xf numFmtId="0" fontId="9" fillId="0" borderId="0" xfId="0" applyFont="1"/>
    <xf numFmtId="0" fontId="0" fillId="33" borderId="0" xfId="0" applyFill="1"/>
    <xf numFmtId="164" fontId="0" fillId="7" borderId="0" xfId="0" applyNumberFormat="1" applyFill="1"/>
    <xf numFmtId="0" fontId="0" fillId="0" borderId="3" xfId="0" applyBorder="1"/>
    <xf numFmtId="0" fontId="0" fillId="49" borderId="8" xfId="0" applyFill="1" applyBorder="1" applyAlignment="1">
      <alignment horizontal="center"/>
    </xf>
    <xf numFmtId="0" fontId="0" fillId="5" borderId="6" xfId="0" quotePrefix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CC66"/>
      <color rgb="FFCCCCFF"/>
      <color rgb="FFFFFFCC"/>
      <color rgb="FFCC9900"/>
      <color rgb="FFAF8A79"/>
      <color rgb="FF4BDD6E"/>
      <color rgb="FFC4329A"/>
      <color rgb="FFEB0B20"/>
      <color rgb="FFFABD12"/>
      <color rgb="FFA0D8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103</xdr:row>
      <xdr:rowOff>0</xdr:rowOff>
    </xdr:from>
    <xdr:to>
      <xdr:col>0</xdr:col>
      <xdr:colOff>73027</xdr:colOff>
      <xdr:row>106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9C0AF2C-C4D4-4FA4-AA7B-6BBD76A0E9AF}"/>
            </a:ext>
          </a:extLst>
        </xdr:cNvPr>
        <xdr:cNvSpPr txBox="1">
          <a:spLocks noChangeArrowheads="1"/>
        </xdr:cNvSpPr>
      </xdr:nvSpPr>
      <xdr:spPr bwMode="auto">
        <a:xfrm>
          <a:off x="0" y="7058025"/>
          <a:ext cx="666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73027</xdr:colOff>
      <xdr:row>108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A776E2A-4F7A-4DEA-B772-99A189A2261F}"/>
            </a:ext>
          </a:extLst>
        </xdr:cNvPr>
        <xdr:cNvSpPr txBox="1">
          <a:spLocks noChangeArrowheads="1"/>
        </xdr:cNvSpPr>
      </xdr:nvSpPr>
      <xdr:spPr bwMode="auto">
        <a:xfrm>
          <a:off x="0" y="7705725"/>
          <a:ext cx="666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73027</xdr:colOff>
      <xdr:row>106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9C19B62E-45A5-44C9-A3FF-BE9D1328E101}"/>
            </a:ext>
          </a:extLst>
        </xdr:cNvPr>
        <xdr:cNvSpPr txBox="1">
          <a:spLocks noChangeArrowheads="1"/>
        </xdr:cNvSpPr>
      </xdr:nvSpPr>
      <xdr:spPr bwMode="auto">
        <a:xfrm>
          <a:off x="0" y="7058025"/>
          <a:ext cx="666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73027</xdr:colOff>
      <xdr:row>108</xdr:row>
      <xdr:rowOff>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7D263E61-5876-44DE-874A-23B4E6B7EBB8}"/>
            </a:ext>
          </a:extLst>
        </xdr:cNvPr>
        <xdr:cNvSpPr txBox="1">
          <a:spLocks noChangeArrowheads="1"/>
        </xdr:cNvSpPr>
      </xdr:nvSpPr>
      <xdr:spPr bwMode="auto">
        <a:xfrm>
          <a:off x="0" y="7705725"/>
          <a:ext cx="666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73027</xdr:colOff>
      <xdr:row>106</xdr:row>
      <xdr:rowOff>1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DEDE2C2C-A010-45C9-8340-2189DA0AA9E9}"/>
            </a:ext>
            <a:ext uri="{147F2762-F138-4A5C-976F-8EAC2B608ADB}">
              <a16:predDERef xmlns:a16="http://schemas.microsoft.com/office/drawing/2014/main" pred="{7D263E61-5876-44DE-874A-23B4E6B7EBB8}"/>
            </a:ext>
          </a:extLst>
        </xdr:cNvPr>
        <xdr:cNvSpPr txBox="1">
          <a:spLocks noChangeArrowheads="1"/>
        </xdr:cNvSpPr>
      </xdr:nvSpPr>
      <xdr:spPr bwMode="auto">
        <a:xfrm>
          <a:off x="0" y="180975"/>
          <a:ext cx="666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73027</xdr:colOff>
      <xdr:row>109</xdr:row>
      <xdr:rowOff>1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A1423BEE-30A9-4960-AF1E-0D8211E829C3}"/>
            </a:ext>
            <a:ext uri="{147F2762-F138-4A5C-976F-8EAC2B608ADB}">
              <a16:predDERef xmlns:a16="http://schemas.microsoft.com/office/drawing/2014/main" pred="{DEDE2C2C-A010-45C9-8340-2189DA0AA9E9}"/>
            </a:ext>
          </a:extLst>
        </xdr:cNvPr>
        <xdr:cNvSpPr txBox="1">
          <a:spLocks noChangeArrowheads="1"/>
        </xdr:cNvSpPr>
      </xdr:nvSpPr>
      <xdr:spPr bwMode="auto">
        <a:xfrm>
          <a:off x="0" y="180975"/>
          <a:ext cx="666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73027</xdr:colOff>
      <xdr:row>109</xdr:row>
      <xdr:rowOff>1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378D343A-77FF-4A81-A573-CDF965CACB55}"/>
            </a:ext>
            <a:ext uri="{147F2762-F138-4A5C-976F-8EAC2B608ADB}">
              <a16:predDERef xmlns:a16="http://schemas.microsoft.com/office/drawing/2014/main" pred="{A1423BEE-30A9-4960-AF1E-0D8211E829C3}"/>
            </a:ext>
          </a:extLst>
        </xdr:cNvPr>
        <xdr:cNvSpPr txBox="1">
          <a:spLocks noChangeArrowheads="1"/>
        </xdr:cNvSpPr>
      </xdr:nvSpPr>
      <xdr:spPr bwMode="auto">
        <a:xfrm>
          <a:off x="0" y="180975"/>
          <a:ext cx="666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73027</xdr:colOff>
      <xdr:row>106</xdr:row>
      <xdr:rowOff>1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32C4228F-02BE-4E31-B39F-7C2AEC34DF61}"/>
            </a:ext>
            <a:ext uri="{147F2762-F138-4A5C-976F-8EAC2B608ADB}">
              <a16:predDERef xmlns:a16="http://schemas.microsoft.com/office/drawing/2014/main" pred="{378D343A-77FF-4A81-A573-CDF965CACB55}"/>
            </a:ext>
          </a:extLst>
        </xdr:cNvPr>
        <xdr:cNvSpPr txBox="1">
          <a:spLocks noChangeArrowheads="1"/>
        </xdr:cNvSpPr>
      </xdr:nvSpPr>
      <xdr:spPr bwMode="auto">
        <a:xfrm>
          <a:off x="0" y="180975"/>
          <a:ext cx="666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73027</xdr:colOff>
      <xdr:row>109</xdr:row>
      <xdr:rowOff>1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E52C2FA6-3A7B-4CE5-86A3-3AE2EE846B54}"/>
            </a:ext>
            <a:ext uri="{147F2762-F138-4A5C-976F-8EAC2B608ADB}">
              <a16:predDERef xmlns:a16="http://schemas.microsoft.com/office/drawing/2014/main" pred="{32C4228F-02BE-4E31-B39F-7C2AEC34DF61}"/>
            </a:ext>
          </a:extLst>
        </xdr:cNvPr>
        <xdr:cNvSpPr txBox="1">
          <a:spLocks noChangeArrowheads="1"/>
        </xdr:cNvSpPr>
      </xdr:nvSpPr>
      <xdr:spPr bwMode="auto">
        <a:xfrm>
          <a:off x="0" y="180975"/>
          <a:ext cx="666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73027</xdr:colOff>
      <xdr:row>109</xdr:row>
      <xdr:rowOff>1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9A09BADA-2A62-40AA-967C-8E4590FB47CC}"/>
            </a:ext>
            <a:ext uri="{147F2762-F138-4A5C-976F-8EAC2B608ADB}">
              <a16:predDERef xmlns:a16="http://schemas.microsoft.com/office/drawing/2014/main" pred="{E52C2FA6-3A7B-4CE5-86A3-3AE2EE846B54}"/>
            </a:ext>
          </a:extLst>
        </xdr:cNvPr>
        <xdr:cNvSpPr txBox="1">
          <a:spLocks noChangeArrowheads="1"/>
        </xdr:cNvSpPr>
      </xdr:nvSpPr>
      <xdr:spPr bwMode="auto">
        <a:xfrm>
          <a:off x="0" y="180975"/>
          <a:ext cx="666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73027</xdr:colOff>
      <xdr:row>106</xdr:row>
      <xdr:rowOff>2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187A6EF5-3B6D-4090-B86C-D39287D3A24E}"/>
            </a:ext>
            <a:ext uri="{147F2762-F138-4A5C-976F-8EAC2B608ADB}">
              <a16:predDERef xmlns:a16="http://schemas.microsoft.com/office/drawing/2014/main" pred="{9A09BADA-2A62-40AA-967C-8E4590FB47CC}"/>
            </a:ext>
          </a:extLst>
        </xdr:cNvPr>
        <xdr:cNvSpPr txBox="1">
          <a:spLocks noChangeArrowheads="1"/>
        </xdr:cNvSpPr>
      </xdr:nvSpPr>
      <xdr:spPr bwMode="auto">
        <a:xfrm>
          <a:off x="0" y="180975"/>
          <a:ext cx="666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73027</xdr:colOff>
      <xdr:row>110</xdr:row>
      <xdr:rowOff>2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9C730CA6-F1BB-4647-9EAC-78F128540B17}"/>
            </a:ext>
            <a:ext uri="{147F2762-F138-4A5C-976F-8EAC2B608ADB}">
              <a16:predDERef xmlns:a16="http://schemas.microsoft.com/office/drawing/2014/main" pred="{187A6EF5-3B6D-4090-B86C-D39287D3A24E}"/>
            </a:ext>
          </a:extLst>
        </xdr:cNvPr>
        <xdr:cNvSpPr txBox="1">
          <a:spLocks noChangeArrowheads="1"/>
        </xdr:cNvSpPr>
      </xdr:nvSpPr>
      <xdr:spPr bwMode="auto">
        <a:xfrm>
          <a:off x="0" y="180975"/>
          <a:ext cx="666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73027</xdr:colOff>
      <xdr:row>110</xdr:row>
      <xdr:rowOff>2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D4DFD932-71DB-47B4-A6AA-4F8EE5AC21F9}"/>
            </a:ext>
            <a:ext uri="{147F2762-F138-4A5C-976F-8EAC2B608ADB}">
              <a16:predDERef xmlns:a16="http://schemas.microsoft.com/office/drawing/2014/main" pred="{9C730CA6-F1BB-4647-9EAC-78F128540B17}"/>
            </a:ext>
          </a:extLst>
        </xdr:cNvPr>
        <xdr:cNvSpPr txBox="1">
          <a:spLocks noChangeArrowheads="1"/>
        </xdr:cNvSpPr>
      </xdr:nvSpPr>
      <xdr:spPr bwMode="auto">
        <a:xfrm>
          <a:off x="0" y="180975"/>
          <a:ext cx="666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O11191"/>
  <sheetViews>
    <sheetView tabSelected="1" topLeftCell="B1" workbookViewId="0">
      <pane ySplit="1" topLeftCell="A6984" activePane="bottomLeft" state="frozen"/>
      <selection pane="bottomLeft" activeCell="H11178" sqref="H11178"/>
    </sheetView>
  </sheetViews>
  <sheetFormatPr defaultRowHeight="14.45"/>
  <cols>
    <col min="1" max="1" width="34.7109375" customWidth="1"/>
    <col min="2" max="2" width="29.85546875" style="31" customWidth="1"/>
    <col min="3" max="3" width="109.42578125" style="36" bestFit="1" customWidth="1"/>
    <col min="4" max="4" width="10.85546875" style="36" customWidth="1"/>
    <col min="5" max="5" width="7" customWidth="1"/>
    <col min="6" max="6" width="12.28515625" customWidth="1"/>
    <col min="7" max="7" width="14.7109375" style="131" customWidth="1"/>
    <col min="8" max="8" width="12.5703125" customWidth="1"/>
    <col min="9" max="9" width="16.5703125" customWidth="1"/>
    <col min="10" max="10" width="9.5703125" bestFit="1" customWidth="1"/>
    <col min="12" max="12" width="11.5703125" customWidth="1"/>
    <col min="13" max="13" width="9.140625" bestFit="1" customWidth="1"/>
    <col min="14" max="14" width="9.140625" customWidth="1"/>
    <col min="15" max="15" width="9.140625" bestFit="1" customWidth="1"/>
  </cols>
  <sheetData>
    <row r="1" spans="1:10" s="27" customFormat="1">
      <c r="A1" s="26" t="s">
        <v>0</v>
      </c>
      <c r="B1" s="29" t="s">
        <v>1</v>
      </c>
      <c r="C1" s="37" t="s">
        <v>2</v>
      </c>
      <c r="D1" s="37" t="s">
        <v>3</v>
      </c>
      <c r="E1" s="26" t="s">
        <v>4</v>
      </c>
      <c r="F1" s="26" t="s">
        <v>5</v>
      </c>
      <c r="G1" s="129" t="s">
        <v>6</v>
      </c>
      <c r="H1" s="26" t="s">
        <v>7</v>
      </c>
      <c r="I1" s="26" t="s">
        <v>8</v>
      </c>
    </row>
    <row r="2" spans="1:10">
      <c r="A2" s="39" t="s">
        <v>9</v>
      </c>
      <c r="B2" s="5" t="s">
        <v>10</v>
      </c>
      <c r="C2" s="35" t="s">
        <v>11</v>
      </c>
      <c r="D2" s="35"/>
      <c r="E2" s="3">
        <v>1</v>
      </c>
      <c r="F2" s="6">
        <v>13</v>
      </c>
      <c r="G2" s="130"/>
      <c r="H2" s="45">
        <v>178.66</v>
      </c>
      <c r="I2" s="19">
        <f t="shared" ref="I2:I29" si="0">H2*F2</f>
        <v>2322.58</v>
      </c>
      <c r="J2" s="63"/>
    </row>
    <row r="3" spans="1:10">
      <c r="A3" s="39" t="s">
        <v>9</v>
      </c>
      <c r="B3" s="5" t="s">
        <v>12</v>
      </c>
      <c r="C3" s="35" t="s">
        <v>13</v>
      </c>
      <c r="D3" s="35"/>
      <c r="E3" s="3">
        <v>1</v>
      </c>
      <c r="F3" s="6">
        <v>12</v>
      </c>
      <c r="G3" s="130"/>
      <c r="H3" s="45">
        <v>135.13999999999999</v>
      </c>
      <c r="I3" s="19">
        <f t="shared" si="0"/>
        <v>1621.6799999999998</v>
      </c>
    </row>
    <row r="4" spans="1:10">
      <c r="A4" s="39" t="s">
        <v>9</v>
      </c>
      <c r="B4" s="5" t="s">
        <v>14</v>
      </c>
      <c r="C4" s="35" t="s">
        <v>15</v>
      </c>
      <c r="D4" s="35"/>
      <c r="E4" s="3">
        <v>1</v>
      </c>
      <c r="F4" s="6">
        <v>10</v>
      </c>
      <c r="G4" s="130"/>
      <c r="H4" s="45">
        <v>159.04</v>
      </c>
      <c r="I4" s="19">
        <f t="shared" si="0"/>
        <v>1590.3999999999999</v>
      </c>
    </row>
    <row r="5" spans="1:10">
      <c r="A5" s="39" t="s">
        <v>9</v>
      </c>
      <c r="B5" s="5" t="s">
        <v>16</v>
      </c>
      <c r="C5" s="35" t="s">
        <v>17</v>
      </c>
      <c r="D5" s="35"/>
      <c r="E5" s="3">
        <v>1</v>
      </c>
      <c r="F5" s="6">
        <v>6</v>
      </c>
      <c r="G5" s="130"/>
      <c r="H5" s="45">
        <v>125</v>
      </c>
      <c r="I5" s="19">
        <f t="shared" si="0"/>
        <v>750</v>
      </c>
    </row>
    <row r="6" spans="1:10">
      <c r="A6" s="39" t="s">
        <v>9</v>
      </c>
      <c r="B6" s="5" t="s">
        <v>18</v>
      </c>
      <c r="C6" s="35" t="s">
        <v>19</v>
      </c>
      <c r="D6" s="35"/>
      <c r="E6" s="3">
        <v>1</v>
      </c>
      <c r="F6" s="6">
        <v>20</v>
      </c>
      <c r="G6" s="130"/>
      <c r="H6" s="45">
        <v>173.91</v>
      </c>
      <c r="I6" s="19">
        <f t="shared" si="0"/>
        <v>3478.2</v>
      </c>
    </row>
    <row r="7" spans="1:10">
      <c r="A7" s="39" t="s">
        <v>9</v>
      </c>
      <c r="B7" s="5" t="s">
        <v>20</v>
      </c>
      <c r="C7" s="35" t="s">
        <v>21</v>
      </c>
      <c r="D7" s="35"/>
      <c r="E7" s="3">
        <v>1</v>
      </c>
      <c r="F7" s="6">
        <v>17</v>
      </c>
      <c r="G7" s="130"/>
      <c r="H7" s="45">
        <v>42.75</v>
      </c>
      <c r="I7" s="19">
        <f t="shared" si="0"/>
        <v>726.75</v>
      </c>
    </row>
    <row r="8" spans="1:10">
      <c r="A8" s="39" t="s">
        <v>9</v>
      </c>
      <c r="B8" s="5" t="s">
        <v>22</v>
      </c>
      <c r="C8" s="35" t="s">
        <v>23</v>
      </c>
      <c r="D8" s="35"/>
      <c r="E8" s="3">
        <v>1</v>
      </c>
      <c r="F8" s="6">
        <v>10</v>
      </c>
      <c r="G8" s="130"/>
      <c r="H8" s="45">
        <v>9.9</v>
      </c>
      <c r="I8" s="19">
        <f t="shared" si="0"/>
        <v>99</v>
      </c>
    </row>
    <row r="9" spans="1:10">
      <c r="A9" s="39" t="s">
        <v>9</v>
      </c>
      <c r="B9" s="5" t="s">
        <v>24</v>
      </c>
      <c r="C9" s="35" t="s">
        <v>25</v>
      </c>
      <c r="D9" s="35"/>
      <c r="E9" s="3">
        <v>1</v>
      </c>
      <c r="F9" s="6">
        <v>8</v>
      </c>
      <c r="G9" s="130"/>
      <c r="H9" s="45">
        <v>29.03</v>
      </c>
      <c r="I9" s="19">
        <f t="shared" si="0"/>
        <v>232.24</v>
      </c>
    </row>
    <row r="10" spans="1:10">
      <c r="A10" s="39" t="s">
        <v>9</v>
      </c>
      <c r="B10" s="5" t="s">
        <v>26</v>
      </c>
      <c r="C10" s="35" t="s">
        <v>27</v>
      </c>
      <c r="D10" s="35"/>
      <c r="E10" s="3">
        <v>1</v>
      </c>
      <c r="F10" s="6">
        <v>13</v>
      </c>
      <c r="G10" s="130"/>
      <c r="H10" s="45">
        <v>33.299999999999997</v>
      </c>
      <c r="I10" s="19">
        <f t="shared" si="0"/>
        <v>432.9</v>
      </c>
    </row>
    <row r="11" spans="1:10">
      <c r="A11" s="39" t="s">
        <v>9</v>
      </c>
      <c r="B11" s="5" t="s">
        <v>28</v>
      </c>
      <c r="C11" s="35" t="s">
        <v>29</v>
      </c>
      <c r="D11" s="35"/>
      <c r="E11" s="3">
        <v>1</v>
      </c>
      <c r="F11" s="6">
        <v>11</v>
      </c>
      <c r="G11" s="130"/>
      <c r="H11" s="45">
        <v>90</v>
      </c>
      <c r="I11" s="19">
        <f t="shared" si="0"/>
        <v>990</v>
      </c>
    </row>
    <row r="12" spans="1:10">
      <c r="A12" s="39" t="s">
        <v>9</v>
      </c>
      <c r="B12" s="5" t="s">
        <v>30</v>
      </c>
      <c r="C12" s="35" t="s">
        <v>31</v>
      </c>
      <c r="D12" s="35"/>
      <c r="E12" s="3">
        <v>1</v>
      </c>
      <c r="F12" s="6">
        <v>14</v>
      </c>
      <c r="G12" s="130"/>
      <c r="H12" s="45">
        <v>64.62</v>
      </c>
      <c r="I12" s="19">
        <f t="shared" si="0"/>
        <v>904.68000000000006</v>
      </c>
    </row>
    <row r="13" spans="1:10">
      <c r="A13" s="39" t="s">
        <v>9</v>
      </c>
      <c r="B13" s="5" t="s">
        <v>32</v>
      </c>
      <c r="C13" s="35" t="s">
        <v>33</v>
      </c>
      <c r="D13" s="35"/>
      <c r="E13" s="3">
        <v>1</v>
      </c>
      <c r="F13" s="6">
        <v>5</v>
      </c>
      <c r="G13" s="130"/>
      <c r="H13" s="45">
        <v>80.099999999999994</v>
      </c>
      <c r="I13" s="19">
        <f t="shared" si="0"/>
        <v>400.5</v>
      </c>
    </row>
    <row r="14" spans="1:10">
      <c r="A14" s="39" t="s">
        <v>9</v>
      </c>
      <c r="B14" s="5" t="s">
        <v>34</v>
      </c>
      <c r="C14" s="35" t="s">
        <v>35</v>
      </c>
      <c r="D14" s="35"/>
      <c r="E14" s="3">
        <v>1</v>
      </c>
      <c r="F14" s="6">
        <v>113</v>
      </c>
      <c r="G14" s="130"/>
      <c r="H14" s="45">
        <v>21.38</v>
      </c>
      <c r="I14" s="19">
        <f t="shared" si="0"/>
        <v>2415.94</v>
      </c>
    </row>
    <row r="15" spans="1:10" hidden="1">
      <c r="A15" s="39" t="s">
        <v>9</v>
      </c>
      <c r="B15" s="5" t="s">
        <v>36</v>
      </c>
      <c r="C15" s="35" t="s">
        <v>37</v>
      </c>
      <c r="D15" s="35"/>
      <c r="E15" s="3">
        <v>1</v>
      </c>
      <c r="F15" s="6"/>
      <c r="G15" s="130"/>
      <c r="H15" s="45">
        <v>18.399999999999999</v>
      </c>
      <c r="I15" s="19">
        <f t="shared" si="0"/>
        <v>0</v>
      </c>
    </row>
    <row r="16" spans="1:10" hidden="1">
      <c r="A16" s="39" t="s">
        <v>9</v>
      </c>
      <c r="B16" s="5" t="s">
        <v>38</v>
      </c>
      <c r="C16" s="35" t="s">
        <v>39</v>
      </c>
      <c r="D16" s="35"/>
      <c r="E16" s="3">
        <v>1</v>
      </c>
      <c r="F16" s="6"/>
      <c r="G16" s="130"/>
      <c r="H16" s="45">
        <v>728.33</v>
      </c>
      <c r="I16" s="19">
        <f t="shared" si="0"/>
        <v>0</v>
      </c>
    </row>
    <row r="17" spans="1:9">
      <c r="A17" s="39" t="s">
        <v>9</v>
      </c>
      <c r="B17" s="5" t="s">
        <v>40</v>
      </c>
      <c r="C17" s="35" t="s">
        <v>41</v>
      </c>
      <c r="D17" s="35"/>
      <c r="E17" s="3">
        <v>1</v>
      </c>
      <c r="F17" s="6">
        <v>6</v>
      </c>
      <c r="G17" s="130"/>
      <c r="H17" s="45">
        <v>6.3</v>
      </c>
      <c r="I17" s="19">
        <f t="shared" si="0"/>
        <v>37.799999999999997</v>
      </c>
    </row>
    <row r="18" spans="1:9">
      <c r="A18" s="39" t="s">
        <v>9</v>
      </c>
      <c r="B18" s="5" t="s">
        <v>42</v>
      </c>
      <c r="C18" s="35" t="s">
        <v>43</v>
      </c>
      <c r="D18" s="35"/>
      <c r="E18" s="3">
        <v>1</v>
      </c>
      <c r="F18" s="6">
        <v>3</v>
      </c>
      <c r="G18" s="130"/>
      <c r="H18" s="45">
        <v>8.1</v>
      </c>
      <c r="I18" s="19">
        <f t="shared" si="0"/>
        <v>24.299999999999997</v>
      </c>
    </row>
    <row r="19" spans="1:9" hidden="1">
      <c r="A19" s="39" t="s">
        <v>9</v>
      </c>
      <c r="B19" s="5" t="s">
        <v>44</v>
      </c>
      <c r="C19" s="35" t="s">
        <v>45</v>
      </c>
      <c r="D19" s="35"/>
      <c r="E19" s="3">
        <v>1</v>
      </c>
      <c r="F19" s="6"/>
      <c r="G19" s="130"/>
      <c r="H19" s="45">
        <v>143.55000000000001</v>
      </c>
      <c r="I19" s="19">
        <f t="shared" si="0"/>
        <v>0</v>
      </c>
    </row>
    <row r="20" spans="1:9" hidden="1">
      <c r="A20" s="39" t="s">
        <v>9</v>
      </c>
      <c r="B20" s="5" t="s">
        <v>46</v>
      </c>
      <c r="C20" s="35" t="s">
        <v>47</v>
      </c>
      <c r="D20" s="35"/>
      <c r="E20" s="3">
        <v>1</v>
      </c>
      <c r="F20" s="6"/>
      <c r="G20" s="130"/>
      <c r="H20" s="45">
        <v>33.75</v>
      </c>
      <c r="I20" s="19">
        <f t="shared" si="0"/>
        <v>0</v>
      </c>
    </row>
    <row r="21" spans="1:9" hidden="1">
      <c r="A21" s="39" t="s">
        <v>9</v>
      </c>
      <c r="B21" s="5" t="s">
        <v>48</v>
      </c>
      <c r="C21" s="35" t="s">
        <v>49</v>
      </c>
      <c r="D21" s="35"/>
      <c r="E21" s="3">
        <v>1</v>
      </c>
      <c r="F21" s="6"/>
      <c r="G21" s="130"/>
      <c r="H21" s="45">
        <v>32.85</v>
      </c>
      <c r="I21" s="19">
        <f t="shared" si="0"/>
        <v>0</v>
      </c>
    </row>
    <row r="22" spans="1:9" hidden="1">
      <c r="A22" s="39" t="s">
        <v>9</v>
      </c>
      <c r="B22" s="5" t="s">
        <v>50</v>
      </c>
      <c r="C22" s="35" t="s">
        <v>51</v>
      </c>
      <c r="D22" s="35"/>
      <c r="E22" s="3">
        <v>1</v>
      </c>
      <c r="F22" s="6"/>
      <c r="G22" s="130"/>
      <c r="H22" s="45">
        <v>44.1</v>
      </c>
      <c r="I22" s="19">
        <f t="shared" si="0"/>
        <v>0</v>
      </c>
    </row>
    <row r="23" spans="1:9">
      <c r="A23" s="39" t="s">
        <v>9</v>
      </c>
      <c r="B23" s="5" t="s">
        <v>52</v>
      </c>
      <c r="C23" s="35" t="s">
        <v>53</v>
      </c>
      <c r="D23" s="35"/>
      <c r="E23" s="3">
        <v>1</v>
      </c>
      <c r="F23" s="6">
        <v>2</v>
      </c>
      <c r="G23" s="130"/>
      <c r="H23" s="45">
        <v>333.45</v>
      </c>
      <c r="I23" s="19">
        <f t="shared" si="0"/>
        <v>666.9</v>
      </c>
    </row>
    <row r="24" spans="1:9">
      <c r="A24" s="39" t="s">
        <v>9</v>
      </c>
      <c r="B24" s="5" t="s">
        <v>54</v>
      </c>
      <c r="C24" s="35" t="s">
        <v>55</v>
      </c>
      <c r="D24" s="35"/>
      <c r="E24" s="3">
        <v>1</v>
      </c>
      <c r="F24" s="6">
        <v>1</v>
      </c>
      <c r="G24" s="130"/>
      <c r="H24" s="45">
        <v>209.7</v>
      </c>
      <c r="I24" s="19">
        <f t="shared" si="0"/>
        <v>209.7</v>
      </c>
    </row>
    <row r="25" spans="1:9">
      <c r="A25" s="39" t="s">
        <v>9</v>
      </c>
      <c r="B25" s="5" t="s">
        <v>56</v>
      </c>
      <c r="C25" s="35" t="s">
        <v>57</v>
      </c>
      <c r="D25" s="35"/>
      <c r="E25" s="3">
        <v>1</v>
      </c>
      <c r="F25" s="6">
        <v>75</v>
      </c>
      <c r="G25" s="130"/>
      <c r="H25" s="45">
        <v>23.94</v>
      </c>
      <c r="I25" s="19">
        <f t="shared" si="0"/>
        <v>1795.5</v>
      </c>
    </row>
    <row r="26" spans="1:9">
      <c r="A26" s="39" t="s">
        <v>9</v>
      </c>
      <c r="B26" s="5" t="s">
        <v>58</v>
      </c>
      <c r="C26" s="35" t="s">
        <v>59</v>
      </c>
      <c r="D26" s="35"/>
      <c r="E26" s="3">
        <v>1</v>
      </c>
      <c r="F26" s="6">
        <v>9</v>
      </c>
      <c r="G26" s="130"/>
      <c r="H26" s="45">
        <v>24.3</v>
      </c>
      <c r="I26" s="19">
        <f t="shared" si="0"/>
        <v>218.70000000000002</v>
      </c>
    </row>
    <row r="27" spans="1:9">
      <c r="A27" s="39" t="s">
        <v>9</v>
      </c>
      <c r="B27" s="5" t="s">
        <v>60</v>
      </c>
      <c r="C27" s="35" t="s">
        <v>61</v>
      </c>
      <c r="D27" s="35"/>
      <c r="E27" s="3">
        <v>1</v>
      </c>
      <c r="F27" s="6">
        <v>4</v>
      </c>
      <c r="G27" s="130"/>
      <c r="H27" s="45">
        <v>38.700000000000003</v>
      </c>
      <c r="I27" s="19">
        <f t="shared" si="0"/>
        <v>154.80000000000001</v>
      </c>
    </row>
    <row r="28" spans="1:9" hidden="1">
      <c r="A28" s="39" t="s">
        <v>9</v>
      </c>
      <c r="B28" s="5" t="s">
        <v>62</v>
      </c>
      <c r="C28" s="35" t="s">
        <v>63</v>
      </c>
      <c r="D28" s="35"/>
      <c r="E28" s="3">
        <v>1</v>
      </c>
      <c r="F28" s="6"/>
      <c r="G28" s="130"/>
      <c r="H28" s="45">
        <v>73.349999999999994</v>
      </c>
      <c r="I28" s="19">
        <f t="shared" si="0"/>
        <v>0</v>
      </c>
    </row>
    <row r="29" spans="1:9" hidden="1">
      <c r="A29" s="39" t="s">
        <v>9</v>
      </c>
      <c r="B29" s="5" t="s">
        <v>64</v>
      </c>
      <c r="C29" s="35" t="s">
        <v>65</v>
      </c>
      <c r="D29" s="35"/>
      <c r="E29" s="3">
        <v>1</v>
      </c>
      <c r="F29" s="6"/>
      <c r="G29" s="130"/>
      <c r="H29" s="45">
        <v>13.95</v>
      </c>
      <c r="I29" s="19">
        <f t="shared" si="0"/>
        <v>0</v>
      </c>
    </row>
    <row r="30" spans="1:9">
      <c r="A30" s="39" t="s">
        <v>9</v>
      </c>
      <c r="B30" s="5" t="s">
        <v>66</v>
      </c>
      <c r="C30" s="35" t="s">
        <v>67</v>
      </c>
      <c r="D30" s="35"/>
      <c r="E30" s="3">
        <v>1</v>
      </c>
      <c r="F30" s="6">
        <v>4</v>
      </c>
      <c r="G30" s="130"/>
      <c r="H30" s="45">
        <v>24.75</v>
      </c>
      <c r="I30" s="19">
        <f t="shared" ref="I30:I485" si="1">H30*F30</f>
        <v>99</v>
      </c>
    </row>
    <row r="31" spans="1:9" hidden="1">
      <c r="A31" s="39" t="s">
        <v>9</v>
      </c>
      <c r="B31" s="5" t="s">
        <v>68</v>
      </c>
      <c r="C31" s="35" t="s">
        <v>69</v>
      </c>
      <c r="D31" s="35"/>
      <c r="E31" s="3">
        <v>1</v>
      </c>
      <c r="F31" s="6"/>
      <c r="G31" s="130"/>
      <c r="H31" s="45">
        <v>29.7</v>
      </c>
      <c r="I31" s="19">
        <f t="shared" si="1"/>
        <v>0</v>
      </c>
    </row>
    <row r="32" spans="1:9" hidden="1">
      <c r="A32" s="39" t="s">
        <v>9</v>
      </c>
      <c r="B32" s="5" t="s">
        <v>70</v>
      </c>
      <c r="C32" s="35" t="s">
        <v>71</v>
      </c>
      <c r="D32" s="35"/>
      <c r="E32" s="3">
        <v>1</v>
      </c>
      <c r="F32" s="6"/>
      <c r="G32" s="130"/>
      <c r="H32" s="45">
        <v>69.3</v>
      </c>
      <c r="I32" s="19">
        <f t="shared" si="1"/>
        <v>0</v>
      </c>
    </row>
    <row r="33" spans="1:9" hidden="1">
      <c r="A33" s="39" t="s">
        <v>9</v>
      </c>
      <c r="B33" s="5" t="s">
        <v>72</v>
      </c>
      <c r="C33" s="35" t="s">
        <v>73</v>
      </c>
      <c r="D33" s="35"/>
      <c r="E33" s="3">
        <v>1</v>
      </c>
      <c r="F33" s="6"/>
      <c r="G33" s="130"/>
      <c r="H33" s="45">
        <v>20.34</v>
      </c>
      <c r="I33" s="19">
        <f t="shared" si="1"/>
        <v>0</v>
      </c>
    </row>
    <row r="34" spans="1:9" hidden="1">
      <c r="A34" s="39" t="s">
        <v>9</v>
      </c>
      <c r="B34" s="5" t="s">
        <v>74</v>
      </c>
      <c r="C34" s="35" t="s">
        <v>75</v>
      </c>
      <c r="D34" s="35"/>
      <c r="E34" s="3">
        <v>1</v>
      </c>
      <c r="F34" s="6"/>
      <c r="G34" s="130"/>
      <c r="H34" s="45">
        <v>573.58000000000004</v>
      </c>
      <c r="I34" s="19">
        <f t="shared" si="1"/>
        <v>0</v>
      </c>
    </row>
    <row r="35" spans="1:9" hidden="1">
      <c r="A35" s="39" t="s">
        <v>9</v>
      </c>
      <c r="B35" s="152" t="s">
        <v>76</v>
      </c>
      <c r="C35" s="35" t="s">
        <v>77</v>
      </c>
      <c r="D35" s="35"/>
      <c r="E35" s="3">
        <v>1</v>
      </c>
      <c r="F35" s="6"/>
      <c r="G35" s="130"/>
      <c r="H35" s="45">
        <v>55.9</v>
      </c>
      <c r="I35" s="19">
        <f t="shared" si="1"/>
        <v>0</v>
      </c>
    </row>
    <row r="36" spans="1:9">
      <c r="A36" s="39" t="s">
        <v>9</v>
      </c>
      <c r="B36" s="152" t="s">
        <v>78</v>
      </c>
      <c r="C36" s="153" t="s">
        <v>79</v>
      </c>
      <c r="D36" s="35"/>
      <c r="E36" s="3">
        <v>1</v>
      </c>
      <c r="F36" s="6">
        <v>32</v>
      </c>
      <c r="G36" s="130"/>
      <c r="H36" s="45">
        <v>13.32</v>
      </c>
      <c r="I36" s="19">
        <f t="shared" si="1"/>
        <v>426.24</v>
      </c>
    </row>
    <row r="37" spans="1:9" hidden="1">
      <c r="A37" s="39" t="s">
        <v>9</v>
      </c>
      <c r="B37" s="154" t="s">
        <v>80</v>
      </c>
      <c r="C37" s="152" t="s">
        <v>81</v>
      </c>
      <c r="D37" s="35"/>
      <c r="E37" s="3">
        <v>1</v>
      </c>
      <c r="F37" s="6"/>
      <c r="G37" s="130"/>
      <c r="H37" s="45">
        <v>173.91</v>
      </c>
      <c r="I37" s="19">
        <f t="shared" si="1"/>
        <v>0</v>
      </c>
    </row>
    <row r="38" spans="1:9" hidden="1">
      <c r="A38" s="39" t="s">
        <v>9</v>
      </c>
      <c r="B38" s="5" t="s">
        <v>82</v>
      </c>
      <c r="C38" s="152" t="s">
        <v>83</v>
      </c>
      <c r="D38" s="35"/>
      <c r="E38" s="3">
        <v>1</v>
      </c>
      <c r="F38" s="6"/>
      <c r="G38" s="130"/>
      <c r="H38" s="45">
        <v>24.3</v>
      </c>
      <c r="I38" s="19">
        <f t="shared" si="1"/>
        <v>0</v>
      </c>
    </row>
    <row r="39" spans="1:9" hidden="1">
      <c r="A39" s="39" t="s">
        <v>9</v>
      </c>
      <c r="B39" s="152" t="s">
        <v>84</v>
      </c>
      <c r="C39" s="152" t="s">
        <v>85</v>
      </c>
      <c r="D39" s="35"/>
      <c r="E39" s="3">
        <v>1</v>
      </c>
      <c r="F39" s="6"/>
      <c r="G39" s="130"/>
      <c r="H39" s="45">
        <v>95.4</v>
      </c>
      <c r="I39" s="19">
        <f t="shared" si="1"/>
        <v>0</v>
      </c>
    </row>
    <row r="40" spans="1:9" hidden="1">
      <c r="A40" s="39" t="s">
        <v>9</v>
      </c>
      <c r="B40" s="152" t="s">
        <v>86</v>
      </c>
      <c r="C40" s="152" t="s">
        <v>87</v>
      </c>
      <c r="D40" s="35"/>
      <c r="E40" s="3">
        <v>1</v>
      </c>
      <c r="F40" s="6"/>
      <c r="G40" s="130"/>
      <c r="H40" s="45">
        <v>20.7</v>
      </c>
      <c r="I40" s="19">
        <f t="shared" si="1"/>
        <v>0</v>
      </c>
    </row>
    <row r="41" spans="1:9" hidden="1">
      <c r="A41" s="39" t="s">
        <v>9</v>
      </c>
      <c r="B41" s="152" t="s">
        <v>88</v>
      </c>
      <c r="C41" s="152" t="s">
        <v>89</v>
      </c>
      <c r="D41" s="35"/>
      <c r="E41" s="3">
        <v>1</v>
      </c>
      <c r="F41" s="6"/>
      <c r="G41" s="130"/>
      <c r="H41" s="45">
        <v>806.36</v>
      </c>
      <c r="I41" s="19">
        <f t="shared" si="1"/>
        <v>0</v>
      </c>
    </row>
    <row r="42" spans="1:9">
      <c r="A42" s="39" t="s">
        <v>9</v>
      </c>
      <c r="B42" s="152" t="s">
        <v>90</v>
      </c>
      <c r="C42" s="152" t="s">
        <v>91</v>
      </c>
      <c r="D42" s="35"/>
      <c r="E42" s="3">
        <v>1</v>
      </c>
      <c r="F42" s="6">
        <v>16</v>
      </c>
      <c r="G42" s="130"/>
      <c r="H42" s="45">
        <v>6.62</v>
      </c>
      <c r="I42" s="19">
        <f t="shared" si="1"/>
        <v>105.92</v>
      </c>
    </row>
    <row r="43" spans="1:9">
      <c r="A43" s="39" t="s">
        <v>9</v>
      </c>
      <c r="B43" s="152" t="s">
        <v>92</v>
      </c>
      <c r="C43" s="152" t="s">
        <v>93</v>
      </c>
      <c r="D43" s="35"/>
      <c r="E43" s="3">
        <v>1</v>
      </c>
      <c r="F43" s="6">
        <v>17</v>
      </c>
      <c r="G43" s="130"/>
      <c r="H43" s="45">
        <v>25.2</v>
      </c>
      <c r="I43" s="19">
        <f t="shared" si="1"/>
        <v>428.4</v>
      </c>
    </row>
    <row r="44" spans="1:9" hidden="1">
      <c r="A44" s="39" t="s">
        <v>9</v>
      </c>
      <c r="B44" s="152" t="s">
        <v>94</v>
      </c>
      <c r="C44" s="152" t="s">
        <v>95</v>
      </c>
      <c r="D44" s="155"/>
      <c r="E44" s="156">
        <v>1</v>
      </c>
      <c r="F44" s="157"/>
      <c r="G44" s="158"/>
      <c r="H44" s="159">
        <v>37.799999999999997</v>
      </c>
      <c r="I44" s="19">
        <f t="shared" si="1"/>
        <v>0</v>
      </c>
    </row>
    <row r="45" spans="1:9" hidden="1">
      <c r="A45" s="39" t="s">
        <v>9</v>
      </c>
      <c r="B45" s="152" t="s">
        <v>96</v>
      </c>
      <c r="C45" s="152" t="s">
        <v>97</v>
      </c>
      <c r="D45" s="35"/>
      <c r="E45" s="3">
        <v>1</v>
      </c>
      <c r="F45" s="6"/>
      <c r="G45" s="130"/>
      <c r="H45" s="45">
        <v>12.6</v>
      </c>
      <c r="I45" s="19">
        <f t="shared" si="1"/>
        <v>0</v>
      </c>
    </row>
    <row r="46" spans="1:9" hidden="1">
      <c r="A46" s="39" t="s">
        <v>9</v>
      </c>
      <c r="B46" s="152" t="s">
        <v>98</v>
      </c>
      <c r="C46" s="152" t="s">
        <v>99</v>
      </c>
      <c r="D46" s="35"/>
      <c r="E46" s="3"/>
      <c r="F46" s="6"/>
      <c r="G46" s="130"/>
      <c r="H46" s="45">
        <v>72.45</v>
      </c>
      <c r="I46" s="19">
        <f t="shared" si="1"/>
        <v>0</v>
      </c>
    </row>
    <row r="47" spans="1:9">
      <c r="A47" s="39" t="s">
        <v>9</v>
      </c>
      <c r="B47" s="152" t="s">
        <v>100</v>
      </c>
      <c r="C47" s="152" t="s">
        <v>101</v>
      </c>
      <c r="D47" s="35"/>
      <c r="E47" s="3">
        <v>1</v>
      </c>
      <c r="F47" s="6">
        <v>8</v>
      </c>
      <c r="G47" s="130"/>
      <c r="H47" s="45">
        <v>55</v>
      </c>
      <c r="I47" s="19">
        <f t="shared" ref="I47:I53" si="2">H47*F47</f>
        <v>440</v>
      </c>
    </row>
    <row r="48" spans="1:9">
      <c r="A48" s="39" t="s">
        <v>9</v>
      </c>
      <c r="B48" s="152" t="s">
        <v>102</v>
      </c>
      <c r="C48" s="152" t="s">
        <v>103</v>
      </c>
      <c r="D48" s="35"/>
      <c r="E48" s="3">
        <v>1</v>
      </c>
      <c r="F48" s="6">
        <v>3</v>
      </c>
      <c r="G48" s="130"/>
      <c r="H48" s="45">
        <v>101.52</v>
      </c>
      <c r="I48" s="19">
        <f t="shared" si="2"/>
        <v>304.56</v>
      </c>
    </row>
    <row r="49" spans="1:10">
      <c r="A49" s="39" t="s">
        <v>9</v>
      </c>
      <c r="B49" s="152">
        <v>100001</v>
      </c>
      <c r="C49" s="152" t="s">
        <v>104</v>
      </c>
      <c r="D49" s="35"/>
      <c r="E49" s="3">
        <v>1</v>
      </c>
      <c r="F49" s="6">
        <v>2</v>
      </c>
      <c r="G49" s="130"/>
      <c r="H49" s="45">
        <v>300</v>
      </c>
      <c r="I49" s="19">
        <f t="shared" si="2"/>
        <v>600</v>
      </c>
    </row>
    <row r="50" spans="1:10">
      <c r="A50" s="39" t="s">
        <v>9</v>
      </c>
      <c r="B50" s="152">
        <v>1722059</v>
      </c>
      <c r="C50" s="152" t="s">
        <v>105</v>
      </c>
      <c r="D50" s="35"/>
      <c r="E50" s="3">
        <v>1</v>
      </c>
      <c r="F50" s="6">
        <v>5</v>
      </c>
      <c r="G50" s="130"/>
      <c r="H50" s="45">
        <v>90</v>
      </c>
      <c r="I50" s="19">
        <f t="shared" si="2"/>
        <v>450</v>
      </c>
    </row>
    <row r="51" spans="1:10">
      <c r="A51" s="39" t="s">
        <v>9</v>
      </c>
      <c r="B51" s="152"/>
      <c r="C51" s="152" t="s">
        <v>106</v>
      </c>
      <c r="D51" s="35"/>
      <c r="E51" s="3">
        <v>1</v>
      </c>
      <c r="F51" s="6">
        <v>1</v>
      </c>
      <c r="G51" s="130"/>
      <c r="H51" s="45">
        <v>149</v>
      </c>
      <c r="I51" s="19">
        <f t="shared" si="2"/>
        <v>149</v>
      </c>
    </row>
    <row r="52" spans="1:10">
      <c r="A52" s="39" t="s">
        <v>9</v>
      </c>
      <c r="B52" s="152"/>
      <c r="C52" s="152" t="s">
        <v>107</v>
      </c>
      <c r="D52" s="35"/>
      <c r="E52" s="3">
        <v>1</v>
      </c>
      <c r="F52" s="6">
        <v>7</v>
      </c>
      <c r="G52" s="130"/>
      <c r="H52" s="45">
        <v>149</v>
      </c>
      <c r="I52" s="19">
        <f t="shared" si="2"/>
        <v>1043</v>
      </c>
    </row>
    <row r="53" spans="1:10" hidden="1">
      <c r="A53" s="62" t="s">
        <v>108</v>
      </c>
      <c r="B53" s="5"/>
      <c r="C53" s="35" t="s">
        <v>109</v>
      </c>
      <c r="D53" s="35"/>
      <c r="E53" s="3">
        <v>1</v>
      </c>
      <c r="F53" s="6"/>
      <c r="G53" s="130"/>
      <c r="H53" s="45">
        <v>31.5</v>
      </c>
      <c r="I53" s="19">
        <f t="shared" si="2"/>
        <v>0</v>
      </c>
    </row>
    <row r="54" spans="1:10" hidden="1">
      <c r="A54" s="119" t="s">
        <v>110</v>
      </c>
      <c r="B54" s="200" t="s">
        <v>111</v>
      </c>
      <c r="C54" s="200"/>
      <c r="D54" s="200"/>
      <c r="E54" s="200"/>
      <c r="F54" s="200"/>
      <c r="G54" s="200"/>
      <c r="H54" s="200"/>
      <c r="I54" s="19">
        <f t="shared" si="1"/>
        <v>0</v>
      </c>
    </row>
    <row r="55" spans="1:10" hidden="1">
      <c r="A55" s="87" t="s">
        <v>110</v>
      </c>
      <c r="B55" s="5" t="s">
        <v>112</v>
      </c>
      <c r="C55" s="5" t="s">
        <v>112</v>
      </c>
      <c r="D55" s="35"/>
      <c r="E55" s="3">
        <v>1</v>
      </c>
      <c r="G55" s="8">
        <f>H55+(H55*5%)</f>
        <v>35.747317908222087</v>
      </c>
      <c r="H55" s="45">
        <v>34.045064674497226</v>
      </c>
      <c r="I55" s="19">
        <f t="shared" ref="I55:I86" si="3">G55*F55</f>
        <v>0</v>
      </c>
      <c r="J55" s="64"/>
    </row>
    <row r="56" spans="1:10" hidden="1">
      <c r="A56" s="87" t="s">
        <v>110</v>
      </c>
      <c r="B56" s="5" t="s">
        <v>113</v>
      </c>
      <c r="C56" s="5" t="s">
        <v>113</v>
      </c>
      <c r="D56" s="35"/>
      <c r="E56" s="3">
        <v>1</v>
      </c>
      <c r="F56" s="2"/>
      <c r="G56" s="8">
        <f t="shared" ref="G56:G86" si="4">H56+(H56*5%)</f>
        <v>35.747317908222087</v>
      </c>
      <c r="H56" s="45">
        <v>34.045064674497226</v>
      </c>
      <c r="I56" s="19">
        <f t="shared" si="3"/>
        <v>0</v>
      </c>
      <c r="J56" s="64"/>
    </row>
    <row r="57" spans="1:10" hidden="1">
      <c r="A57" s="87" t="s">
        <v>110</v>
      </c>
      <c r="B57" s="5" t="s">
        <v>114</v>
      </c>
      <c r="C57" s="5" t="s">
        <v>114</v>
      </c>
      <c r="D57" s="35"/>
      <c r="E57" s="3">
        <v>1</v>
      </c>
      <c r="F57" s="2"/>
      <c r="G57" s="8">
        <f t="shared" si="4"/>
        <v>39.674397814627127</v>
      </c>
      <c r="H57" s="45">
        <v>37.785140775835359</v>
      </c>
      <c r="I57" s="19">
        <f t="shared" si="3"/>
        <v>0</v>
      </c>
      <c r="J57" s="64"/>
    </row>
    <row r="58" spans="1:10" hidden="1">
      <c r="A58" s="87" t="s">
        <v>110</v>
      </c>
      <c r="B58" s="5" t="s">
        <v>115</v>
      </c>
      <c r="C58" s="5" t="s">
        <v>115</v>
      </c>
      <c r="D58" s="35"/>
      <c r="E58" s="3">
        <v>1</v>
      </c>
      <c r="F58" s="2"/>
      <c r="G58" s="8">
        <f t="shared" si="4"/>
        <v>39.674397814627127</v>
      </c>
      <c r="H58" s="45">
        <v>37.785140775835359</v>
      </c>
      <c r="I58" s="19">
        <f t="shared" si="3"/>
        <v>0</v>
      </c>
      <c r="J58" s="64"/>
    </row>
    <row r="59" spans="1:10" hidden="1">
      <c r="A59" s="87" t="s">
        <v>110</v>
      </c>
      <c r="B59" s="5" t="s">
        <v>116</v>
      </c>
      <c r="C59" s="5" t="s">
        <v>116</v>
      </c>
      <c r="D59" s="35"/>
      <c r="E59" s="3">
        <v>1</v>
      </c>
      <c r="F59" s="2"/>
      <c r="G59" s="8">
        <f t="shared" si="4"/>
        <v>51.840017296296246</v>
      </c>
      <c r="H59" s="45">
        <v>49.371445044091665</v>
      </c>
      <c r="I59" s="19">
        <f t="shared" si="3"/>
        <v>0</v>
      </c>
      <c r="J59" s="64"/>
    </row>
    <row r="60" spans="1:10" hidden="1">
      <c r="A60" s="87" t="s">
        <v>110</v>
      </c>
      <c r="B60" s="5" t="s">
        <v>117</v>
      </c>
      <c r="C60" s="5" t="s">
        <v>117</v>
      </c>
      <c r="D60" s="35"/>
      <c r="E60" s="3">
        <v>1</v>
      </c>
      <c r="F60" s="2"/>
      <c r="G60" s="8">
        <f t="shared" si="4"/>
        <v>51.840017296296246</v>
      </c>
      <c r="H60" s="45">
        <v>49.371445044091665</v>
      </c>
      <c r="I60" s="19">
        <f t="shared" si="3"/>
        <v>0</v>
      </c>
      <c r="J60" s="64"/>
    </row>
    <row r="61" spans="1:10" hidden="1">
      <c r="A61" s="87" t="s">
        <v>110</v>
      </c>
      <c r="B61" s="5" t="s">
        <v>118</v>
      </c>
      <c r="C61" s="5" t="s">
        <v>118</v>
      </c>
      <c r="D61" s="35"/>
      <c r="E61" s="3">
        <v>1</v>
      </c>
      <c r="F61" s="2"/>
      <c r="G61" s="8">
        <f t="shared" si="4"/>
        <v>60.94180975473828</v>
      </c>
      <c r="H61" s="45">
        <v>58.039818814036458</v>
      </c>
      <c r="I61" s="19">
        <f t="shared" si="3"/>
        <v>0</v>
      </c>
      <c r="J61" s="64"/>
    </row>
    <row r="62" spans="1:10" hidden="1">
      <c r="A62" s="87" t="s">
        <v>110</v>
      </c>
      <c r="B62" s="118" t="s">
        <v>119</v>
      </c>
      <c r="C62" s="5" t="s">
        <v>119</v>
      </c>
      <c r="D62" s="35"/>
      <c r="E62" s="3">
        <v>1</v>
      </c>
      <c r="F62" s="2"/>
      <c r="G62" s="8">
        <f t="shared" si="4"/>
        <v>60.94180975473828</v>
      </c>
      <c r="H62" s="45">
        <v>58.039818814036458</v>
      </c>
      <c r="I62" s="19">
        <f t="shared" si="3"/>
        <v>0</v>
      </c>
      <c r="J62" s="64"/>
    </row>
    <row r="63" spans="1:10" hidden="1">
      <c r="A63" s="87" t="s">
        <v>110</v>
      </c>
      <c r="B63" s="5" t="s">
        <v>120</v>
      </c>
      <c r="C63" s="5" t="s">
        <v>120</v>
      </c>
      <c r="D63" s="35"/>
      <c r="E63" s="3">
        <v>1</v>
      </c>
      <c r="F63" s="2"/>
      <c r="G63" s="8">
        <f t="shared" si="4"/>
        <v>66.078084330529862</v>
      </c>
      <c r="H63" s="45">
        <v>62.931508886218914</v>
      </c>
      <c r="I63" s="19">
        <f t="shared" si="3"/>
        <v>0</v>
      </c>
      <c r="J63" s="64"/>
    </row>
    <row r="64" spans="1:10" hidden="1">
      <c r="A64" s="87" t="s">
        <v>110</v>
      </c>
      <c r="B64" s="5" t="s">
        <v>121</v>
      </c>
      <c r="C64" s="5" t="s">
        <v>121</v>
      </c>
      <c r="D64" s="35"/>
      <c r="E64" s="3">
        <v>1</v>
      </c>
      <c r="F64" s="2"/>
      <c r="G64" s="8">
        <f t="shared" si="4"/>
        <v>66.078084330529862</v>
      </c>
      <c r="H64" s="45">
        <v>62.931508886218914</v>
      </c>
      <c r="I64" s="19">
        <f t="shared" si="3"/>
        <v>0</v>
      </c>
      <c r="J64" s="64"/>
    </row>
    <row r="65" spans="1:10" hidden="1">
      <c r="A65" s="87" t="s">
        <v>110</v>
      </c>
      <c r="B65" s="5" t="s">
        <v>122</v>
      </c>
      <c r="C65" s="5" t="s">
        <v>122</v>
      </c>
      <c r="D65" s="35"/>
      <c r="E65" s="3">
        <v>1</v>
      </c>
      <c r="F65" s="2"/>
      <c r="G65" s="8">
        <f t="shared" si="4"/>
        <v>84.739721797671635</v>
      </c>
      <c r="H65" s="45">
        <v>80.70449695016346</v>
      </c>
      <c r="I65" s="19">
        <f t="shared" si="3"/>
        <v>0</v>
      </c>
      <c r="J65" s="64"/>
    </row>
    <row r="66" spans="1:10" hidden="1">
      <c r="A66" s="87" t="s">
        <v>110</v>
      </c>
      <c r="B66" s="5" t="s">
        <v>123</v>
      </c>
      <c r="C66" s="5" t="s">
        <v>123</v>
      </c>
      <c r="D66" s="35"/>
      <c r="E66" s="3">
        <v>1</v>
      </c>
      <c r="F66" s="6"/>
      <c r="G66" s="8">
        <f t="shared" si="4"/>
        <v>84.739721797671635</v>
      </c>
      <c r="H66" s="45">
        <v>80.70449695016346</v>
      </c>
      <c r="I66" s="19">
        <f t="shared" si="3"/>
        <v>0</v>
      </c>
      <c r="J66" s="64"/>
    </row>
    <row r="67" spans="1:10" hidden="1">
      <c r="A67" s="87" t="s">
        <v>110</v>
      </c>
      <c r="B67" s="5" t="s">
        <v>124</v>
      </c>
      <c r="C67" s="5" t="s">
        <v>124</v>
      </c>
      <c r="D67" s="35"/>
      <c r="E67" s="3">
        <v>1</v>
      </c>
      <c r="F67" s="6"/>
      <c r="G67" s="8">
        <f t="shared" si="4"/>
        <v>91.706604992150375</v>
      </c>
      <c r="H67" s="45">
        <v>87.339623802047981</v>
      </c>
      <c r="I67" s="19">
        <f t="shared" si="3"/>
        <v>0</v>
      </c>
      <c r="J67" s="64"/>
    </row>
    <row r="68" spans="1:10" hidden="1">
      <c r="A68" s="87" t="s">
        <v>110</v>
      </c>
      <c r="B68" s="5" t="s">
        <v>125</v>
      </c>
      <c r="C68" s="5" t="s">
        <v>125</v>
      </c>
      <c r="D68" s="35"/>
      <c r="E68" s="3">
        <v>1</v>
      </c>
      <c r="F68" s="6"/>
      <c r="G68" s="8">
        <f t="shared" si="4"/>
        <v>91.706604992150375</v>
      </c>
      <c r="H68" s="45">
        <v>87.339623802047981</v>
      </c>
      <c r="I68" s="19">
        <f t="shared" si="3"/>
        <v>0</v>
      </c>
      <c r="J68" s="64"/>
    </row>
    <row r="69" spans="1:10" hidden="1">
      <c r="A69" s="87" t="s">
        <v>110</v>
      </c>
      <c r="B69" s="5" t="s">
        <v>126</v>
      </c>
      <c r="C69" s="5" t="s">
        <v>126</v>
      </c>
      <c r="D69" s="35"/>
      <c r="E69" s="3">
        <v>1</v>
      </c>
      <c r="F69" s="6"/>
      <c r="G69" s="8">
        <f t="shared" si="4"/>
        <v>98.737551480371479</v>
      </c>
      <c r="H69" s="45">
        <v>94.03576331463951</v>
      </c>
      <c r="I69" s="19">
        <f t="shared" si="3"/>
        <v>0</v>
      </c>
      <c r="J69" s="64"/>
    </row>
    <row r="70" spans="1:10" hidden="1">
      <c r="A70" s="87" t="s">
        <v>110</v>
      </c>
      <c r="B70" s="5" t="s">
        <v>127</v>
      </c>
      <c r="C70" s="5" t="s">
        <v>127</v>
      </c>
      <c r="D70" s="35"/>
      <c r="E70" s="3">
        <v>1</v>
      </c>
      <c r="F70" s="6"/>
      <c r="G70" s="8">
        <f t="shared" si="4"/>
        <v>98.737551480371479</v>
      </c>
      <c r="H70" s="45">
        <v>94.03576331463951</v>
      </c>
      <c r="I70" s="19">
        <f t="shared" si="3"/>
        <v>0</v>
      </c>
      <c r="J70" s="64"/>
    </row>
    <row r="71" spans="1:10" hidden="1">
      <c r="A71" s="87" t="s">
        <v>110</v>
      </c>
      <c r="B71" s="5" t="s">
        <v>128</v>
      </c>
      <c r="C71" s="5" t="s">
        <v>128</v>
      </c>
      <c r="D71" s="35"/>
      <c r="E71" s="3">
        <v>1</v>
      </c>
      <c r="F71" s="6"/>
      <c r="G71" s="8">
        <f t="shared" si="4"/>
        <v>105.83256126233492</v>
      </c>
      <c r="H71" s="45">
        <v>100.79291548793802</v>
      </c>
      <c r="I71" s="19">
        <f t="shared" si="3"/>
        <v>0</v>
      </c>
      <c r="J71" s="64"/>
    </row>
    <row r="72" spans="1:10" hidden="1">
      <c r="A72" s="87" t="s">
        <v>110</v>
      </c>
      <c r="B72" s="5" t="s">
        <v>129</v>
      </c>
      <c r="C72" s="5" t="s">
        <v>129</v>
      </c>
      <c r="D72" s="35"/>
      <c r="E72" s="3">
        <v>1</v>
      </c>
      <c r="F72" s="6"/>
      <c r="G72" s="8">
        <f t="shared" si="4"/>
        <v>105.83256126233492</v>
      </c>
      <c r="H72" s="45">
        <v>100.79291548793802</v>
      </c>
      <c r="I72" s="19">
        <f t="shared" si="3"/>
        <v>0</v>
      </c>
      <c r="J72" s="64"/>
    </row>
    <row r="73" spans="1:10" hidden="1">
      <c r="A73" s="87" t="s">
        <v>110</v>
      </c>
      <c r="B73" s="5" t="s">
        <v>130</v>
      </c>
      <c r="C73" s="5" t="s">
        <v>130</v>
      </c>
      <c r="D73" s="35"/>
      <c r="E73" s="3">
        <v>1</v>
      </c>
      <c r="F73" s="6"/>
      <c r="G73" s="8">
        <f t="shared" si="4"/>
        <v>112.99163433804068</v>
      </c>
      <c r="H73" s="45">
        <v>107.6110803219435</v>
      </c>
      <c r="I73" s="19">
        <f t="shared" si="3"/>
        <v>0</v>
      </c>
      <c r="J73" s="64"/>
    </row>
    <row r="74" spans="1:10" hidden="1">
      <c r="A74" s="87" t="s">
        <v>110</v>
      </c>
      <c r="B74" s="5" t="s">
        <v>131</v>
      </c>
      <c r="C74" s="5" t="s">
        <v>131</v>
      </c>
      <c r="D74" s="35"/>
      <c r="E74" s="3">
        <v>1</v>
      </c>
      <c r="F74" s="6"/>
      <c r="G74" s="8">
        <f t="shared" si="4"/>
        <v>112.99163433804068</v>
      </c>
      <c r="H74" s="45">
        <v>107.6110803219435</v>
      </c>
      <c r="I74" s="19">
        <f t="shared" si="3"/>
        <v>0</v>
      </c>
      <c r="J74" s="64"/>
    </row>
    <row r="75" spans="1:10" hidden="1">
      <c r="A75" s="87" t="s">
        <v>110</v>
      </c>
      <c r="B75" s="5" t="s">
        <v>132</v>
      </c>
      <c r="C75" s="5" t="s">
        <v>132</v>
      </c>
      <c r="D75" s="35"/>
      <c r="E75" s="3">
        <v>1</v>
      </c>
      <c r="F75" s="6"/>
      <c r="G75" s="8">
        <f t="shared" si="4"/>
        <v>120.2147707074888</v>
      </c>
      <c r="H75" s="45">
        <v>114.490257816656</v>
      </c>
      <c r="I75" s="19">
        <f t="shared" si="3"/>
        <v>0</v>
      </c>
      <c r="J75" s="64"/>
    </row>
    <row r="76" spans="1:10" hidden="1">
      <c r="A76" s="87" t="s">
        <v>110</v>
      </c>
      <c r="B76" s="5" t="s">
        <v>133</v>
      </c>
      <c r="C76" s="5" t="s">
        <v>133</v>
      </c>
      <c r="D76" s="35"/>
      <c r="E76" s="3">
        <v>1</v>
      </c>
      <c r="F76" s="6"/>
      <c r="G76" s="8">
        <f t="shared" si="4"/>
        <v>120.2147707074888</v>
      </c>
      <c r="H76" s="45">
        <v>114.490257816656</v>
      </c>
      <c r="I76" s="19">
        <f t="shared" si="3"/>
        <v>0</v>
      </c>
      <c r="J76" s="64"/>
    </row>
    <row r="77" spans="1:10" hidden="1">
      <c r="A77" s="87" t="s">
        <v>110</v>
      </c>
      <c r="B77" s="5" t="s">
        <v>134</v>
      </c>
      <c r="C77" s="5" t="s">
        <v>134</v>
      </c>
      <c r="D77" s="35"/>
      <c r="E77" s="3">
        <v>1</v>
      </c>
      <c r="F77" s="6"/>
      <c r="G77" s="8">
        <f t="shared" si="4"/>
        <v>175.23232737340476</v>
      </c>
      <c r="H77" s="45">
        <v>166.88793083181406</v>
      </c>
      <c r="I77" s="19">
        <f t="shared" si="3"/>
        <v>0</v>
      </c>
      <c r="J77" s="64"/>
    </row>
    <row r="78" spans="1:10" hidden="1">
      <c r="A78" s="87" t="s">
        <v>110</v>
      </c>
      <c r="B78" s="5" t="s">
        <v>135</v>
      </c>
      <c r="C78" s="5" t="s">
        <v>135</v>
      </c>
      <c r="D78" s="35"/>
      <c r="E78" s="3">
        <v>1</v>
      </c>
      <c r="F78" s="6"/>
      <c r="G78" s="8">
        <f t="shared" si="4"/>
        <v>175.23232737340476</v>
      </c>
      <c r="H78" s="45">
        <v>166.88793083181406</v>
      </c>
      <c r="I78" s="19">
        <f t="shared" si="3"/>
        <v>0</v>
      </c>
      <c r="J78" s="64"/>
    </row>
    <row r="79" spans="1:10" hidden="1">
      <c r="A79" s="87" t="s">
        <v>110</v>
      </c>
      <c r="B79" s="5" t="s">
        <v>136</v>
      </c>
      <c r="C79" s="5" t="s">
        <v>136</v>
      </c>
      <c r="D79" s="35"/>
      <c r="E79" s="3">
        <v>1</v>
      </c>
      <c r="F79" s="6"/>
      <c r="G79" s="8">
        <f t="shared" si="4"/>
        <v>197.06509788079202</v>
      </c>
      <c r="H79" s="45">
        <v>187.68104560075432</v>
      </c>
      <c r="I79" s="19">
        <f t="shared" si="3"/>
        <v>0</v>
      </c>
      <c r="J79" s="64"/>
    </row>
    <row r="80" spans="1:10" hidden="1">
      <c r="A80" s="87" t="s">
        <v>110</v>
      </c>
      <c r="B80" s="5" t="s">
        <v>137</v>
      </c>
      <c r="C80" s="5" t="s">
        <v>137</v>
      </c>
      <c r="D80" s="35"/>
      <c r="E80" s="3">
        <v>1</v>
      </c>
      <c r="F80" s="6"/>
      <c r="G80" s="8">
        <f t="shared" si="4"/>
        <v>197.06509788079202</v>
      </c>
      <c r="H80" s="45">
        <v>187.68104560075432</v>
      </c>
      <c r="I80" s="19">
        <f t="shared" si="3"/>
        <v>0</v>
      </c>
      <c r="J80" s="64"/>
    </row>
    <row r="81" spans="1:10" hidden="1">
      <c r="A81" s="87" t="s">
        <v>110</v>
      </c>
      <c r="B81" s="5" t="s">
        <v>138</v>
      </c>
      <c r="C81" s="5" t="s">
        <v>138</v>
      </c>
      <c r="D81" s="35"/>
      <c r="E81" s="3">
        <v>1</v>
      </c>
      <c r="F81" s="6"/>
      <c r="G81" s="8">
        <f t="shared" si="4"/>
        <v>208.07757807509913</v>
      </c>
      <c r="H81" s="45">
        <v>198.16912197628488</v>
      </c>
      <c r="I81" s="19">
        <f t="shared" si="3"/>
        <v>0</v>
      </c>
      <c r="J81" s="64"/>
    </row>
    <row r="82" spans="1:10" hidden="1">
      <c r="A82" s="87" t="s">
        <v>110</v>
      </c>
      <c r="B82" s="5" t="s">
        <v>139</v>
      </c>
      <c r="C82" s="5" t="s">
        <v>139</v>
      </c>
      <c r="D82" s="35"/>
      <c r="E82" s="3">
        <v>1</v>
      </c>
      <c r="F82" s="6"/>
      <c r="G82" s="8">
        <f t="shared" si="4"/>
        <v>208.07757807509913</v>
      </c>
      <c r="H82" s="45">
        <v>198.16912197628488</v>
      </c>
      <c r="I82" s="19">
        <f t="shared" si="3"/>
        <v>0</v>
      </c>
      <c r="J82" s="64"/>
    </row>
    <row r="83" spans="1:10" hidden="1">
      <c r="A83" s="87" t="s">
        <v>110</v>
      </c>
      <c r="B83" s="5" t="s">
        <v>140</v>
      </c>
      <c r="C83" s="5" t="s">
        <v>140</v>
      </c>
      <c r="D83" s="35"/>
      <c r="E83" s="3">
        <v>1</v>
      </c>
      <c r="F83" s="6"/>
      <c r="G83" s="8">
        <f t="shared" si="4"/>
        <v>219.15412156314866</v>
      </c>
      <c r="H83" s="45">
        <v>208.71821101252254</v>
      </c>
      <c r="I83" s="19">
        <f t="shared" si="3"/>
        <v>0</v>
      </c>
      <c r="J83" s="64"/>
    </row>
    <row r="84" spans="1:10" hidden="1">
      <c r="A84" s="87" t="s">
        <v>110</v>
      </c>
      <c r="B84" s="5" t="s">
        <v>141</v>
      </c>
      <c r="C84" s="5" t="s">
        <v>141</v>
      </c>
      <c r="D84" s="35"/>
      <c r="E84" s="3">
        <v>1</v>
      </c>
      <c r="F84" s="6"/>
      <c r="G84" s="8">
        <f t="shared" si="4"/>
        <v>219.15412156314866</v>
      </c>
      <c r="H84" s="45">
        <v>208.71821101252254</v>
      </c>
      <c r="I84" s="19">
        <f t="shared" si="3"/>
        <v>0</v>
      </c>
      <c r="J84" s="64"/>
    </row>
    <row r="85" spans="1:10" hidden="1">
      <c r="A85" s="87" t="s">
        <v>110</v>
      </c>
      <c r="B85" s="5" t="s">
        <v>142</v>
      </c>
      <c r="C85" s="5" t="s">
        <v>142</v>
      </c>
      <c r="D85" s="35"/>
      <c r="E85" s="3">
        <v>1</v>
      </c>
      <c r="F85" s="6"/>
      <c r="G85" s="8">
        <f t="shared" si="4"/>
        <v>230.29472834494047</v>
      </c>
      <c r="H85" s="45">
        <v>219.3283127094671</v>
      </c>
      <c r="I85" s="19">
        <f t="shared" si="3"/>
        <v>0</v>
      </c>
      <c r="J85" s="64"/>
    </row>
    <row r="86" spans="1:10" hidden="1">
      <c r="A86" s="87" t="s">
        <v>110</v>
      </c>
      <c r="B86" s="5" t="s">
        <v>143</v>
      </c>
      <c r="C86" s="5" t="s">
        <v>143</v>
      </c>
      <c r="D86" s="35"/>
      <c r="E86" s="3">
        <v>1</v>
      </c>
      <c r="F86" s="6"/>
      <c r="G86" s="8">
        <f t="shared" si="4"/>
        <v>230.29472834494047</v>
      </c>
      <c r="H86" s="45">
        <v>219.3283127094671</v>
      </c>
      <c r="I86" s="19">
        <f t="shared" si="3"/>
        <v>0</v>
      </c>
      <c r="J86" s="64"/>
    </row>
    <row r="87" spans="1:10" hidden="1">
      <c r="A87" s="87" t="s">
        <v>110</v>
      </c>
      <c r="B87" s="1" t="s">
        <v>144</v>
      </c>
      <c r="C87" s="1"/>
      <c r="D87" s="1"/>
      <c r="E87" s="1"/>
      <c r="F87" s="1"/>
      <c r="G87" s="1"/>
      <c r="H87" s="1"/>
      <c r="I87" s="19">
        <f t="shared" ref="I87:I118" si="5">G87*F87</f>
        <v>0</v>
      </c>
      <c r="J87" s="64"/>
    </row>
    <row r="88" spans="1:10" hidden="1">
      <c r="A88" s="87" t="s">
        <v>110</v>
      </c>
      <c r="B88" s="172"/>
      <c r="C88" s="172"/>
      <c r="D88" s="172"/>
      <c r="E88" s="172"/>
      <c r="F88" s="172"/>
      <c r="G88" s="172"/>
      <c r="H88" s="172"/>
      <c r="I88" s="19">
        <f t="shared" si="5"/>
        <v>0</v>
      </c>
      <c r="J88" s="64"/>
    </row>
    <row r="89" spans="1:10" hidden="1">
      <c r="A89" s="87" t="s">
        <v>110</v>
      </c>
      <c r="B89" s="172"/>
      <c r="C89" s="172"/>
      <c r="D89" s="172"/>
      <c r="E89" s="172"/>
      <c r="F89" s="172"/>
      <c r="G89" s="172"/>
      <c r="H89" s="172"/>
      <c r="I89" s="19">
        <f t="shared" si="5"/>
        <v>0</v>
      </c>
      <c r="J89" s="64"/>
    </row>
    <row r="90" spans="1:10">
      <c r="A90" s="87" t="s">
        <v>110</v>
      </c>
      <c r="B90" s="5" t="s">
        <v>145</v>
      </c>
      <c r="C90" s="5" t="s">
        <v>145</v>
      </c>
      <c r="D90" s="176"/>
      <c r="E90" s="3">
        <v>1</v>
      </c>
      <c r="F90" s="6">
        <v>5</v>
      </c>
      <c r="G90" s="8">
        <f t="shared" ref="G90:G91" si="6">H90+(H90*5%)</f>
        <v>33.747</v>
      </c>
      <c r="H90" s="45">
        <v>32.14</v>
      </c>
      <c r="I90" s="19">
        <f t="shared" si="5"/>
        <v>168.73500000000001</v>
      </c>
      <c r="J90" s="64"/>
    </row>
    <row r="91" spans="1:10">
      <c r="A91" s="87" t="s">
        <v>110</v>
      </c>
      <c r="B91" s="5" t="s">
        <v>146</v>
      </c>
      <c r="C91" s="5" t="s">
        <v>146</v>
      </c>
      <c r="D91" s="176"/>
      <c r="E91" s="3">
        <v>1</v>
      </c>
      <c r="F91" s="6">
        <v>6</v>
      </c>
      <c r="G91" s="8">
        <f t="shared" si="6"/>
        <v>33.747</v>
      </c>
      <c r="H91" s="45">
        <v>32.14</v>
      </c>
      <c r="I91" s="19">
        <f t="shared" si="5"/>
        <v>202.482</v>
      </c>
      <c r="J91" s="64"/>
    </row>
    <row r="92" spans="1:10">
      <c r="A92" s="87" t="s">
        <v>110</v>
      </c>
      <c r="B92" s="5" t="s">
        <v>147</v>
      </c>
      <c r="C92" s="5" t="s">
        <v>147</v>
      </c>
      <c r="D92" s="35"/>
      <c r="E92" s="3">
        <v>1</v>
      </c>
      <c r="F92" s="6">
        <f>11+(1/3.25)</f>
        <v>11.307692307692308</v>
      </c>
      <c r="G92" s="8">
        <f t="shared" ref="G92:G106" si="7">H92+(H92*5%)</f>
        <v>38.472000000000001</v>
      </c>
      <c r="H92" s="45">
        <v>36.64</v>
      </c>
      <c r="I92" s="19">
        <f t="shared" si="5"/>
        <v>435.02953846153849</v>
      </c>
      <c r="J92" s="64"/>
    </row>
    <row r="93" spans="1:10">
      <c r="A93" s="87" t="s">
        <v>110</v>
      </c>
      <c r="B93" s="5" t="s">
        <v>148</v>
      </c>
      <c r="C93" s="5" t="s">
        <v>148</v>
      </c>
      <c r="D93" s="35"/>
      <c r="E93" s="3">
        <v>1</v>
      </c>
      <c r="F93" s="6">
        <f>14+(1.75/3.25)</f>
        <v>14.538461538461538</v>
      </c>
      <c r="G93" s="8">
        <f t="shared" si="7"/>
        <v>38.472000000000001</v>
      </c>
      <c r="H93" s="45">
        <v>36.64</v>
      </c>
      <c r="I93" s="19">
        <f t="shared" si="5"/>
        <v>559.32369230769234</v>
      </c>
      <c r="J93" s="64"/>
    </row>
    <row r="94" spans="1:10">
      <c r="A94" s="87" t="s">
        <v>110</v>
      </c>
      <c r="B94" s="5" t="s">
        <v>149</v>
      </c>
      <c r="C94" s="5" t="s">
        <v>149</v>
      </c>
      <c r="D94" s="35"/>
      <c r="E94" s="3">
        <v>1</v>
      </c>
      <c r="F94" s="6">
        <f>25+(3.25/3.25)</f>
        <v>26</v>
      </c>
      <c r="G94" s="8">
        <f t="shared" si="7"/>
        <v>42.775928119976953</v>
      </c>
      <c r="H94" s="45">
        <v>40.73897916188281</v>
      </c>
      <c r="I94" s="19">
        <f t="shared" si="5"/>
        <v>1112.1741311194007</v>
      </c>
      <c r="J94" s="64"/>
    </row>
    <row r="95" spans="1:10">
      <c r="A95" s="87" t="s">
        <v>110</v>
      </c>
      <c r="B95" s="5" t="s">
        <v>150</v>
      </c>
      <c r="C95" s="5" t="s">
        <v>150</v>
      </c>
      <c r="D95" s="35"/>
      <c r="E95" s="3">
        <v>1</v>
      </c>
      <c r="F95" s="6">
        <f>19+(1.2/3.25)</f>
        <v>19.369230769230768</v>
      </c>
      <c r="G95" s="8">
        <f t="shared" si="7"/>
        <v>42.775928119976953</v>
      </c>
      <c r="H95" s="45">
        <v>40.73897916188281</v>
      </c>
      <c r="I95" s="19">
        <f t="shared" si="5"/>
        <v>828.53682312386127</v>
      </c>
      <c r="J95" s="64"/>
    </row>
    <row r="96" spans="1:10">
      <c r="A96" s="87" t="s">
        <v>110</v>
      </c>
      <c r="B96" s="5" t="s">
        <v>151</v>
      </c>
      <c r="C96" s="5" t="s">
        <v>151</v>
      </c>
      <c r="D96" s="35"/>
      <c r="E96" s="3">
        <v>1</v>
      </c>
      <c r="F96" s="6">
        <f>8+(1.9/3.25)</f>
        <v>8.5846153846153843</v>
      </c>
      <c r="G96" s="8">
        <f t="shared" si="7"/>
        <v>47.079077356008845</v>
      </c>
      <c r="H96" s="45">
        <v>44.837216529532235</v>
      </c>
      <c r="I96" s="19">
        <f t="shared" si="5"/>
        <v>404.15577176389132</v>
      </c>
      <c r="J96" s="64"/>
    </row>
    <row r="97" spans="1:10">
      <c r="A97" s="87" t="s">
        <v>110</v>
      </c>
      <c r="B97" s="5" t="s">
        <v>152</v>
      </c>
      <c r="C97" s="5" t="s">
        <v>152</v>
      </c>
      <c r="D97" s="35"/>
      <c r="E97" s="3">
        <v>1</v>
      </c>
      <c r="F97" s="6">
        <f>10+(2.65/3.25)</f>
        <v>10.815384615384616</v>
      </c>
      <c r="G97" s="8">
        <f t="shared" si="7"/>
        <v>47.079077356008845</v>
      </c>
      <c r="H97" s="45">
        <v>44.837216529532235</v>
      </c>
      <c r="I97" s="19">
        <f t="shared" si="5"/>
        <v>509.17832894268031</v>
      </c>
      <c r="J97" s="64"/>
    </row>
    <row r="98" spans="1:10">
      <c r="A98" s="87" t="s">
        <v>110</v>
      </c>
      <c r="B98" s="5" t="s">
        <v>153</v>
      </c>
      <c r="C98" s="5" t="s">
        <v>153</v>
      </c>
      <c r="D98" s="35"/>
      <c r="E98" s="3">
        <v>1</v>
      </c>
      <c r="F98" s="6">
        <f>7+(1.58/3.25)</f>
        <v>7.4861538461538464</v>
      </c>
      <c r="G98" s="8">
        <f t="shared" si="7"/>
        <v>51.387</v>
      </c>
      <c r="H98" s="45">
        <v>48.94</v>
      </c>
      <c r="I98" s="19">
        <f t="shared" si="5"/>
        <v>384.69098769230771</v>
      </c>
      <c r="J98" s="64"/>
    </row>
    <row r="99" spans="1:10">
      <c r="A99" s="87" t="s">
        <v>110</v>
      </c>
      <c r="B99" s="5" t="s">
        <v>154</v>
      </c>
      <c r="C99" s="5" t="s">
        <v>154</v>
      </c>
      <c r="D99" s="35"/>
      <c r="E99" s="3">
        <v>1</v>
      </c>
      <c r="F99" s="6">
        <f>8+(1.56/3.25)</f>
        <v>8.48</v>
      </c>
      <c r="G99" s="8">
        <f t="shared" si="7"/>
        <v>51.387</v>
      </c>
      <c r="H99" s="45">
        <v>48.94</v>
      </c>
      <c r="I99" s="19">
        <f t="shared" si="5"/>
        <v>435.76176000000004</v>
      </c>
      <c r="J99" s="64"/>
    </row>
    <row r="100" spans="1:10">
      <c r="A100" s="87" t="s">
        <v>110</v>
      </c>
      <c r="B100" s="5" t="s">
        <v>153</v>
      </c>
      <c r="C100" s="5" t="s">
        <v>153</v>
      </c>
      <c r="D100" s="35"/>
      <c r="E100" s="3">
        <v>1</v>
      </c>
      <c r="F100" s="6">
        <f>13+(4.4/3.25)</f>
        <v>14.353846153846154</v>
      </c>
      <c r="G100" s="8">
        <f t="shared" si="7"/>
        <v>55.692</v>
      </c>
      <c r="H100" s="45">
        <v>53.04</v>
      </c>
      <c r="I100" s="19">
        <f t="shared" si="5"/>
        <v>799.39440000000002</v>
      </c>
      <c r="J100" s="64"/>
    </row>
    <row r="101" spans="1:10">
      <c r="A101" s="87" t="s">
        <v>110</v>
      </c>
      <c r="B101" s="5" t="s">
        <v>154</v>
      </c>
      <c r="C101" s="5" t="s">
        <v>154</v>
      </c>
      <c r="D101" s="35"/>
      <c r="E101" s="3">
        <v>1</v>
      </c>
      <c r="F101" s="175">
        <f>13+(4.2/3.25)</f>
        <v>14.292307692307693</v>
      </c>
      <c r="G101" s="8">
        <f t="shared" si="7"/>
        <v>55.692</v>
      </c>
      <c r="H101" s="45">
        <v>53.04</v>
      </c>
      <c r="I101" s="19">
        <f t="shared" si="5"/>
        <v>795.96720000000005</v>
      </c>
      <c r="J101" s="64"/>
    </row>
    <row r="102" spans="1:10">
      <c r="A102" s="87" t="s">
        <v>110</v>
      </c>
      <c r="B102" s="5" t="s">
        <v>155</v>
      </c>
      <c r="C102" s="5" t="s">
        <v>155</v>
      </c>
      <c r="D102" s="35"/>
      <c r="E102" s="3">
        <v>1</v>
      </c>
      <c r="F102" s="6">
        <f>20+(5.08/3.25)</f>
        <v>21.563076923076924</v>
      </c>
      <c r="G102" s="8">
        <f t="shared" si="7"/>
        <v>60.1755</v>
      </c>
      <c r="H102" s="45">
        <v>57.31</v>
      </c>
      <c r="I102" s="19">
        <f t="shared" si="5"/>
        <v>1297.5689353846153</v>
      </c>
      <c r="J102" s="64"/>
    </row>
    <row r="103" spans="1:10">
      <c r="A103" s="87" t="s">
        <v>110</v>
      </c>
      <c r="B103" s="5" t="s">
        <v>156</v>
      </c>
      <c r="C103" s="5" t="s">
        <v>156</v>
      </c>
      <c r="D103" s="35"/>
      <c r="E103" s="3">
        <v>1</v>
      </c>
      <c r="F103" s="6">
        <f>20+(1.6/3.25)</f>
        <v>20.492307692307691</v>
      </c>
      <c r="G103" s="8">
        <f t="shared" si="7"/>
        <v>60.1755</v>
      </c>
      <c r="H103" s="45">
        <v>57.31</v>
      </c>
      <c r="I103" s="19">
        <f t="shared" si="5"/>
        <v>1233.1348615384613</v>
      </c>
      <c r="J103" s="64"/>
    </row>
    <row r="104" spans="1:10" hidden="1">
      <c r="A104" s="87" t="s">
        <v>110</v>
      </c>
      <c r="B104" s="174" t="s">
        <v>157</v>
      </c>
      <c r="C104" s="174" t="s">
        <v>157</v>
      </c>
      <c r="D104" s="35"/>
      <c r="E104" s="3">
        <v>1</v>
      </c>
      <c r="F104" s="6"/>
      <c r="G104" s="8">
        <f t="shared" si="7"/>
        <v>13.949870451953663</v>
      </c>
      <c r="H104" s="45">
        <v>13.285590906622536</v>
      </c>
      <c r="I104" s="19">
        <f t="shared" si="5"/>
        <v>0</v>
      </c>
      <c r="J104" s="64"/>
    </row>
    <row r="105" spans="1:10" hidden="1">
      <c r="A105" s="87" t="s">
        <v>110</v>
      </c>
      <c r="B105" s="174" t="s">
        <v>158</v>
      </c>
      <c r="C105" s="174" t="s">
        <v>158</v>
      </c>
      <c r="D105" s="35"/>
      <c r="E105" s="3">
        <v>1</v>
      </c>
      <c r="G105" s="8">
        <f t="shared" si="7"/>
        <v>13.949870451953663</v>
      </c>
      <c r="H105" s="45">
        <v>13.285590906622536</v>
      </c>
      <c r="I105" s="19">
        <f t="shared" si="5"/>
        <v>0</v>
      </c>
      <c r="J105" s="64"/>
    </row>
    <row r="106" spans="1:10">
      <c r="A106" s="87" t="s">
        <v>110</v>
      </c>
      <c r="B106" s="5" t="s">
        <v>159</v>
      </c>
      <c r="C106" s="5" t="s">
        <v>159</v>
      </c>
      <c r="D106" s="35"/>
      <c r="E106" s="3">
        <v>1</v>
      </c>
      <c r="F106" s="6">
        <v>21</v>
      </c>
      <c r="G106" s="8">
        <f t="shared" si="7"/>
        <v>65.705911549057106</v>
      </c>
      <c r="H106" s="45">
        <v>62.577058618149628</v>
      </c>
      <c r="I106" s="19">
        <f t="shared" si="5"/>
        <v>1379.8241425301992</v>
      </c>
      <c r="J106" s="64"/>
    </row>
    <row r="107" spans="1:10">
      <c r="A107" s="87" t="s">
        <v>110</v>
      </c>
      <c r="B107" s="5" t="s">
        <v>160</v>
      </c>
      <c r="C107" s="5" t="s">
        <v>160</v>
      </c>
      <c r="D107" s="35"/>
      <c r="E107" s="3">
        <v>1</v>
      </c>
      <c r="F107" s="6">
        <v>21</v>
      </c>
      <c r="G107" s="8">
        <f t="shared" ref="G107:G141" si="8">H107+(H107*5%)</f>
        <v>65.705911549057106</v>
      </c>
      <c r="H107" s="45">
        <v>62.577058618149628</v>
      </c>
      <c r="I107" s="19">
        <f t="shared" si="5"/>
        <v>1379.8241425301992</v>
      </c>
      <c r="J107" s="64"/>
    </row>
    <row r="108" spans="1:10">
      <c r="A108" s="87" t="s">
        <v>110</v>
      </c>
      <c r="B108" s="5" t="s">
        <v>161</v>
      </c>
      <c r="C108" s="5" t="s">
        <v>161</v>
      </c>
      <c r="D108" s="35"/>
      <c r="E108" s="3">
        <v>1</v>
      </c>
      <c r="F108" s="6">
        <f>21+(2.76/3.25)</f>
        <v>21.849230769230768</v>
      </c>
      <c r="G108" s="8">
        <f t="shared" si="8"/>
        <v>71.243712351606987</v>
      </c>
      <c r="H108" s="45">
        <v>67.851154620578086</v>
      </c>
      <c r="I108" s="19">
        <f t="shared" si="5"/>
        <v>1556.6203120269574</v>
      </c>
      <c r="J108" s="64"/>
    </row>
    <row r="109" spans="1:10">
      <c r="A109" s="87" t="s">
        <v>110</v>
      </c>
      <c r="B109" s="5" t="s">
        <v>162</v>
      </c>
      <c r="C109" s="5" t="s">
        <v>162</v>
      </c>
      <c r="D109" s="35"/>
      <c r="E109" s="3">
        <v>1</v>
      </c>
      <c r="F109" s="6">
        <f>21+(2.75/3.25)</f>
        <v>21.846153846153847</v>
      </c>
      <c r="G109" s="8">
        <f t="shared" si="8"/>
        <v>71.243712351606987</v>
      </c>
      <c r="H109" s="45">
        <v>67.851154620578086</v>
      </c>
      <c r="I109" s="19">
        <f t="shared" si="5"/>
        <v>1556.4011006043372</v>
      </c>
      <c r="J109" s="64"/>
    </row>
    <row r="110" spans="1:10">
      <c r="A110" s="87" t="s">
        <v>110</v>
      </c>
      <c r="B110" s="5" t="s">
        <v>163</v>
      </c>
      <c r="C110" s="5" t="s">
        <v>163</v>
      </c>
      <c r="D110" s="35"/>
      <c r="E110" s="3">
        <v>1</v>
      </c>
      <c r="F110" s="6">
        <v>5</v>
      </c>
      <c r="G110" s="8">
        <f t="shared" si="8"/>
        <v>76.77600000000001</v>
      </c>
      <c r="H110" s="45">
        <v>73.12</v>
      </c>
      <c r="I110" s="19">
        <f t="shared" si="5"/>
        <v>383.88000000000005</v>
      </c>
      <c r="J110" s="64"/>
    </row>
    <row r="111" spans="1:10">
      <c r="A111" s="87" t="s">
        <v>110</v>
      </c>
      <c r="B111" s="5" t="s">
        <v>164</v>
      </c>
      <c r="C111" s="5" t="s">
        <v>164</v>
      </c>
      <c r="D111" s="35"/>
      <c r="E111" s="3">
        <v>1</v>
      </c>
      <c r="F111" s="6">
        <v>5</v>
      </c>
      <c r="G111" s="8">
        <f t="shared" si="8"/>
        <v>76.77600000000001</v>
      </c>
      <c r="H111" s="45">
        <v>73.12</v>
      </c>
      <c r="I111" s="19">
        <f t="shared" si="5"/>
        <v>383.88000000000005</v>
      </c>
      <c r="J111" s="64"/>
    </row>
    <row r="112" spans="1:10">
      <c r="A112" s="87" t="s">
        <v>110</v>
      </c>
      <c r="B112" s="5" t="s">
        <v>165</v>
      </c>
      <c r="C112" s="5" t="s">
        <v>165</v>
      </c>
      <c r="D112" s="35"/>
      <c r="E112" s="3">
        <v>1</v>
      </c>
      <c r="F112" s="6">
        <f>5</f>
        <v>5</v>
      </c>
      <c r="G112" s="8">
        <f t="shared" si="8"/>
        <v>39.638013677072777</v>
      </c>
      <c r="H112" s="45">
        <v>37.750489216259787</v>
      </c>
      <c r="I112" s="19">
        <f t="shared" si="5"/>
        <v>198.19006838536387</v>
      </c>
      <c r="J112" s="64"/>
    </row>
    <row r="113" spans="1:10">
      <c r="A113" s="87" t="s">
        <v>110</v>
      </c>
      <c r="B113" s="5" t="s">
        <v>166</v>
      </c>
      <c r="C113" s="5" t="s">
        <v>166</v>
      </c>
      <c r="D113" s="35"/>
      <c r="E113" s="3">
        <v>1</v>
      </c>
      <c r="F113" s="6">
        <f>5</f>
        <v>5</v>
      </c>
      <c r="G113" s="8">
        <f t="shared" si="8"/>
        <v>39.638013677072777</v>
      </c>
      <c r="H113" s="45">
        <v>37.750489216259787</v>
      </c>
      <c r="I113" s="19">
        <f t="shared" si="5"/>
        <v>198.19006838536387</v>
      </c>
      <c r="J113" s="64"/>
    </row>
    <row r="114" spans="1:10">
      <c r="A114" s="87" t="s">
        <v>110</v>
      </c>
      <c r="B114" s="5" t="s">
        <v>167</v>
      </c>
      <c r="C114" s="5" t="s">
        <v>167</v>
      </c>
      <c r="D114" s="35"/>
      <c r="E114" s="3">
        <v>1</v>
      </c>
      <c r="F114" s="6">
        <f>6</f>
        <v>6</v>
      </c>
      <c r="G114" s="8">
        <f t="shared" si="8"/>
        <v>42.871499999999997</v>
      </c>
      <c r="H114" s="45">
        <v>40.83</v>
      </c>
      <c r="I114" s="19">
        <f t="shared" si="5"/>
        <v>257.22899999999998</v>
      </c>
      <c r="J114" s="64"/>
    </row>
    <row r="115" spans="1:10">
      <c r="A115" s="87" t="s">
        <v>110</v>
      </c>
      <c r="B115" s="5" t="s">
        <v>168</v>
      </c>
      <c r="C115" s="5" t="s">
        <v>168</v>
      </c>
      <c r="D115" s="35"/>
      <c r="E115" s="3">
        <v>1</v>
      </c>
      <c r="F115" s="6">
        <f>7</f>
        <v>7</v>
      </c>
      <c r="G115" s="8">
        <f t="shared" si="8"/>
        <v>42.871499999999997</v>
      </c>
      <c r="H115" s="45">
        <v>40.83</v>
      </c>
      <c r="I115" s="19">
        <f t="shared" si="5"/>
        <v>300.10050000000001</v>
      </c>
      <c r="J115" s="64"/>
    </row>
    <row r="116" spans="1:10">
      <c r="A116" s="87" t="s">
        <v>110</v>
      </c>
      <c r="B116" s="5" t="s">
        <v>169</v>
      </c>
      <c r="C116" s="5" t="s">
        <v>169</v>
      </c>
      <c r="D116" s="35"/>
      <c r="E116" s="3">
        <v>1</v>
      </c>
      <c r="F116" s="6">
        <f>4</f>
        <v>4</v>
      </c>
      <c r="G116" s="8">
        <f t="shared" si="8"/>
        <v>46.185665151985191</v>
      </c>
      <c r="H116" s="45">
        <v>43.986347763795422</v>
      </c>
      <c r="I116" s="19">
        <f t="shared" si="5"/>
        <v>184.74266060794076</v>
      </c>
      <c r="J116" s="64"/>
    </row>
    <row r="117" spans="1:10">
      <c r="A117" s="87" t="s">
        <v>110</v>
      </c>
      <c r="B117" s="5" t="s">
        <v>170</v>
      </c>
      <c r="C117" s="5" t="s">
        <v>170</v>
      </c>
      <c r="D117" s="35"/>
      <c r="E117" s="3">
        <v>1</v>
      </c>
      <c r="F117" s="6">
        <f>5</f>
        <v>5</v>
      </c>
      <c r="G117" s="8">
        <f t="shared" si="8"/>
        <v>46.185665151985191</v>
      </c>
      <c r="H117" s="45">
        <v>43.986347763795422</v>
      </c>
      <c r="I117" s="19">
        <f t="shared" si="5"/>
        <v>230.92832575992594</v>
      </c>
      <c r="J117" s="64"/>
    </row>
    <row r="118" spans="1:10">
      <c r="A118" s="87" t="s">
        <v>110</v>
      </c>
      <c r="B118" s="5" t="s">
        <v>171</v>
      </c>
      <c r="C118" s="5" t="s">
        <v>171</v>
      </c>
      <c r="D118" s="35"/>
      <c r="E118" s="3">
        <v>1</v>
      </c>
      <c r="F118" s="6">
        <f>4</f>
        <v>4</v>
      </c>
      <c r="G118" s="8">
        <f t="shared" si="8"/>
        <v>49.504440441900762</v>
      </c>
      <c r="H118" s="45">
        <v>47.147086135143581</v>
      </c>
      <c r="I118" s="19">
        <f t="shared" si="5"/>
        <v>198.01776176760305</v>
      </c>
      <c r="J118" s="64"/>
    </row>
    <row r="119" spans="1:10">
      <c r="A119" s="87" t="s">
        <v>110</v>
      </c>
      <c r="B119" s="5" t="s">
        <v>172</v>
      </c>
      <c r="C119" s="5" t="s">
        <v>172</v>
      </c>
      <c r="D119" s="35"/>
      <c r="E119" s="3">
        <v>1</v>
      </c>
      <c r="F119" s="6">
        <f>3</f>
        <v>3</v>
      </c>
      <c r="G119" s="8">
        <f t="shared" si="8"/>
        <v>49.504440441900762</v>
      </c>
      <c r="H119" s="45">
        <v>47.147086135143581</v>
      </c>
      <c r="I119" s="19">
        <f t="shared" ref="I119:I150" si="9">G119*F119</f>
        <v>148.51332132570229</v>
      </c>
      <c r="J119" s="64"/>
    </row>
    <row r="120" spans="1:10">
      <c r="A120" s="87" t="s">
        <v>110</v>
      </c>
      <c r="B120" s="5" t="s">
        <v>173</v>
      </c>
      <c r="C120" s="5" t="s">
        <v>173</v>
      </c>
      <c r="D120" s="35"/>
      <c r="E120" s="3">
        <v>1</v>
      </c>
      <c r="F120" s="6">
        <f>6</f>
        <v>6</v>
      </c>
      <c r="G120" s="8">
        <f t="shared" si="8"/>
        <v>52.853182100122567</v>
      </c>
      <c r="H120" s="45">
        <v>50.336363904878631</v>
      </c>
      <c r="I120" s="19">
        <f t="shared" si="9"/>
        <v>317.11909260073537</v>
      </c>
      <c r="J120" s="64"/>
    </row>
    <row r="121" spans="1:10">
      <c r="A121" s="87" t="s">
        <v>110</v>
      </c>
      <c r="B121" s="5" t="s">
        <v>174</v>
      </c>
      <c r="C121" s="5" t="s">
        <v>174</v>
      </c>
      <c r="D121" s="35"/>
      <c r="E121" s="3">
        <v>1</v>
      </c>
      <c r="F121" s="6">
        <f>4+2</f>
        <v>6</v>
      </c>
      <c r="G121" s="8">
        <f t="shared" si="8"/>
        <v>52.853182100122567</v>
      </c>
      <c r="H121" s="45">
        <v>50.336363904878631</v>
      </c>
      <c r="I121" s="19">
        <f t="shared" si="9"/>
        <v>317.11909260073537</v>
      </c>
      <c r="J121" s="64"/>
    </row>
    <row r="122" spans="1:10">
      <c r="A122" s="87" t="s">
        <v>110</v>
      </c>
      <c r="B122" s="5" t="s">
        <v>175</v>
      </c>
      <c r="C122" s="5" t="s">
        <v>175</v>
      </c>
      <c r="D122" s="35"/>
      <c r="E122" s="3">
        <v>1</v>
      </c>
      <c r="F122" s="6">
        <f>8</f>
        <v>8</v>
      </c>
      <c r="G122" s="8">
        <f t="shared" si="8"/>
        <v>56.231890126650576</v>
      </c>
      <c r="H122" s="45">
        <v>53.554181073000549</v>
      </c>
      <c r="I122" s="19">
        <f t="shared" si="9"/>
        <v>449.85512101320461</v>
      </c>
      <c r="J122" s="64"/>
    </row>
    <row r="123" spans="1:10">
      <c r="A123" s="87" t="s">
        <v>110</v>
      </c>
      <c r="B123" s="5" t="s">
        <v>176</v>
      </c>
      <c r="C123" s="5" t="s">
        <v>176</v>
      </c>
      <c r="D123" s="35"/>
      <c r="E123" s="3">
        <v>1</v>
      </c>
      <c r="F123" s="6">
        <f>8+1</f>
        <v>9</v>
      </c>
      <c r="G123" s="8">
        <f t="shared" si="8"/>
        <v>56.231890126650576</v>
      </c>
      <c r="H123" s="45">
        <v>53.554181073000549</v>
      </c>
      <c r="I123" s="19">
        <f t="shared" si="9"/>
        <v>506.08701113985518</v>
      </c>
      <c r="J123" s="64"/>
    </row>
    <row r="124" spans="1:10">
      <c r="A124" s="87" t="s">
        <v>110</v>
      </c>
      <c r="B124" s="5" t="s">
        <v>177</v>
      </c>
      <c r="C124" s="5" t="s">
        <v>177</v>
      </c>
      <c r="D124" s="35"/>
      <c r="E124" s="3">
        <v>1</v>
      </c>
      <c r="F124" s="6">
        <v>2</v>
      </c>
      <c r="G124" s="8">
        <f t="shared" si="8"/>
        <v>76.881</v>
      </c>
      <c r="H124" s="45">
        <v>73.22</v>
      </c>
      <c r="I124" s="19">
        <f t="shared" si="9"/>
        <v>153.762</v>
      </c>
      <c r="J124" s="64"/>
    </row>
    <row r="125" spans="1:10">
      <c r="A125" s="87" t="s">
        <v>110</v>
      </c>
      <c r="B125" s="5" t="s">
        <v>178</v>
      </c>
      <c r="C125" s="5" t="s">
        <v>178</v>
      </c>
      <c r="D125" s="35"/>
      <c r="E125" s="3">
        <v>1</v>
      </c>
      <c r="F125" s="6">
        <v>2</v>
      </c>
      <c r="G125" s="8">
        <f t="shared" si="8"/>
        <v>76.881</v>
      </c>
      <c r="H125" s="45">
        <v>73.22</v>
      </c>
      <c r="I125" s="19">
        <f t="shared" si="9"/>
        <v>153.762</v>
      </c>
      <c r="J125" s="64"/>
    </row>
    <row r="126" spans="1:10">
      <c r="A126" s="87" t="s">
        <v>110</v>
      </c>
      <c r="B126" s="5" t="s">
        <v>179</v>
      </c>
      <c r="C126" s="5" t="s">
        <v>179</v>
      </c>
      <c r="D126" s="35"/>
      <c r="E126" s="3">
        <v>1</v>
      </c>
      <c r="F126" s="6">
        <v>2</v>
      </c>
      <c r="G126" s="8">
        <f t="shared" si="8"/>
        <v>82.330500000000001</v>
      </c>
      <c r="H126" s="45">
        <v>78.41</v>
      </c>
      <c r="I126" s="19">
        <f t="shared" si="9"/>
        <v>164.661</v>
      </c>
      <c r="J126" s="64"/>
    </row>
    <row r="127" spans="1:10">
      <c r="A127" s="87" t="s">
        <v>110</v>
      </c>
      <c r="B127" s="5" t="s">
        <v>180</v>
      </c>
      <c r="C127" s="5" t="s">
        <v>180</v>
      </c>
      <c r="D127" s="35"/>
      <c r="E127" s="3">
        <v>1</v>
      </c>
      <c r="F127" s="6">
        <v>2</v>
      </c>
      <c r="G127" s="8">
        <f t="shared" si="8"/>
        <v>82.330500000000001</v>
      </c>
      <c r="H127" s="45">
        <v>78.41</v>
      </c>
      <c r="I127" s="19">
        <f t="shared" si="9"/>
        <v>164.661</v>
      </c>
      <c r="J127" s="64"/>
    </row>
    <row r="128" spans="1:10">
      <c r="A128" s="87" t="s">
        <v>110</v>
      </c>
      <c r="B128" s="5" t="s">
        <v>181</v>
      </c>
      <c r="C128" s="5" t="s">
        <v>181</v>
      </c>
      <c r="D128" s="35"/>
      <c r="E128" s="3">
        <v>1</v>
      </c>
      <c r="F128" s="6">
        <f>2+1</f>
        <v>3</v>
      </c>
      <c r="G128" s="8">
        <f t="shared" si="8"/>
        <v>87.78027015202035</v>
      </c>
      <c r="H128" s="45">
        <v>83.600257287638428</v>
      </c>
      <c r="I128" s="19">
        <f t="shared" si="9"/>
        <v>263.34081045606104</v>
      </c>
      <c r="J128" s="64"/>
    </row>
    <row r="129" spans="1:10">
      <c r="A129" s="87" t="s">
        <v>110</v>
      </c>
      <c r="B129" s="5" t="s">
        <v>182</v>
      </c>
      <c r="C129" s="5" t="s">
        <v>182</v>
      </c>
      <c r="D129" s="35"/>
      <c r="E129" s="3">
        <v>1</v>
      </c>
      <c r="F129" s="6">
        <f>2+1</f>
        <v>3</v>
      </c>
      <c r="G129" s="8">
        <f t="shared" si="8"/>
        <v>87.78027015202035</v>
      </c>
      <c r="H129" s="45">
        <v>83.600257287638428</v>
      </c>
      <c r="I129" s="19">
        <f t="shared" si="9"/>
        <v>263.34081045606104</v>
      </c>
      <c r="J129" s="64"/>
    </row>
    <row r="130" spans="1:10">
      <c r="A130" s="87" t="s">
        <v>110</v>
      </c>
      <c r="B130" s="5" t="s">
        <v>183</v>
      </c>
      <c r="C130" s="5" t="s">
        <v>183</v>
      </c>
      <c r="D130" s="35"/>
      <c r="E130" s="3">
        <v>1</v>
      </c>
      <c r="F130" s="6">
        <v>2</v>
      </c>
      <c r="G130" s="8">
        <f t="shared" si="8"/>
        <v>93.232640238968102</v>
      </c>
      <c r="H130" s="45">
        <v>88.792990703779139</v>
      </c>
      <c r="I130" s="19">
        <f t="shared" si="9"/>
        <v>186.4652804779362</v>
      </c>
      <c r="J130" s="64"/>
    </row>
    <row r="131" spans="1:10">
      <c r="A131" s="87" t="s">
        <v>110</v>
      </c>
      <c r="B131" s="5" t="s">
        <v>184</v>
      </c>
      <c r="C131" s="5" t="s">
        <v>184</v>
      </c>
      <c r="D131" s="35"/>
      <c r="E131" s="3">
        <v>1</v>
      </c>
      <c r="F131" s="6">
        <v>2</v>
      </c>
      <c r="G131" s="8">
        <f t="shared" si="8"/>
        <v>93.232640238968102</v>
      </c>
      <c r="H131" s="45">
        <v>88.792990703779139</v>
      </c>
      <c r="I131" s="19">
        <f t="shared" si="9"/>
        <v>186.4652804779362</v>
      </c>
      <c r="J131" s="64"/>
    </row>
    <row r="132" spans="1:10">
      <c r="A132" s="87" t="s">
        <v>110</v>
      </c>
      <c r="B132" s="5" t="s">
        <v>185</v>
      </c>
      <c r="C132" s="5" t="s">
        <v>185</v>
      </c>
      <c r="D132" s="35"/>
      <c r="E132" s="3">
        <v>1</v>
      </c>
      <c r="F132" s="6">
        <v>2</v>
      </c>
      <c r="G132" s="8">
        <f t="shared" si="8"/>
        <v>107.8245</v>
      </c>
      <c r="H132" s="45">
        <v>102.69</v>
      </c>
      <c r="I132" s="19">
        <f t="shared" si="9"/>
        <v>215.649</v>
      </c>
      <c r="J132" s="64"/>
    </row>
    <row r="133" spans="1:10">
      <c r="A133" s="87" t="s">
        <v>110</v>
      </c>
      <c r="B133" s="5" t="s">
        <v>186</v>
      </c>
      <c r="C133" s="5" t="s">
        <v>186</v>
      </c>
      <c r="D133" s="35"/>
      <c r="E133" s="3">
        <v>1</v>
      </c>
      <c r="F133" s="6">
        <f>2+2+1</f>
        <v>5</v>
      </c>
      <c r="G133" s="8">
        <f t="shared" si="8"/>
        <v>107.8245</v>
      </c>
      <c r="H133" s="45">
        <v>102.69</v>
      </c>
      <c r="I133" s="19">
        <f t="shared" si="9"/>
        <v>539.12249999999995</v>
      </c>
      <c r="J133" s="64"/>
    </row>
    <row r="134" spans="1:10">
      <c r="A134" s="87" t="s">
        <v>110</v>
      </c>
      <c r="B134" s="5" t="s">
        <v>187</v>
      </c>
      <c r="C134" s="5" t="s">
        <v>187</v>
      </c>
      <c r="D134" s="35"/>
      <c r="E134" s="3">
        <v>1</v>
      </c>
      <c r="F134" s="6">
        <f>2+2+1</f>
        <v>5</v>
      </c>
      <c r="G134" s="8">
        <f t="shared" si="8"/>
        <v>113.89770285586972</v>
      </c>
      <c r="H134" s="45">
        <v>108.47400271987593</v>
      </c>
      <c r="I134" s="19">
        <f t="shared" si="9"/>
        <v>569.48851427934858</v>
      </c>
      <c r="J134" s="64"/>
    </row>
    <row r="135" spans="1:10">
      <c r="A135" s="87" t="s">
        <v>110</v>
      </c>
      <c r="B135" s="5" t="s">
        <v>188</v>
      </c>
      <c r="C135" s="5" t="s">
        <v>188</v>
      </c>
      <c r="D135" s="35"/>
      <c r="E135" s="3">
        <v>1</v>
      </c>
      <c r="F135" s="6">
        <v>2</v>
      </c>
      <c r="G135" s="8">
        <f t="shared" si="8"/>
        <v>113.89770285586972</v>
      </c>
      <c r="H135" s="45">
        <v>108.47400271987593</v>
      </c>
      <c r="I135" s="19">
        <f t="shared" si="9"/>
        <v>227.79540571173945</v>
      </c>
      <c r="J135" s="64"/>
    </row>
    <row r="136" spans="1:10">
      <c r="A136" s="87" t="s">
        <v>110</v>
      </c>
      <c r="B136" s="5" t="s">
        <v>189</v>
      </c>
      <c r="C136" s="5" t="s">
        <v>189</v>
      </c>
      <c r="D136" s="35"/>
      <c r="E136" s="3">
        <v>1</v>
      </c>
      <c r="F136" s="6">
        <f>1+2</f>
        <v>3</v>
      </c>
      <c r="G136" s="8">
        <f t="shared" si="8"/>
        <v>119.96079177944729</v>
      </c>
      <c r="H136" s="45">
        <v>114.24837312328313</v>
      </c>
      <c r="I136" s="19">
        <f t="shared" si="9"/>
        <v>359.88237533834189</v>
      </c>
      <c r="J136" s="64"/>
    </row>
    <row r="137" spans="1:10">
      <c r="A137" s="87" t="s">
        <v>110</v>
      </c>
      <c r="B137" s="5" t="s">
        <v>190</v>
      </c>
      <c r="C137" s="5" t="s">
        <v>190</v>
      </c>
      <c r="D137" s="35"/>
      <c r="E137" s="3">
        <v>1</v>
      </c>
      <c r="F137" s="6">
        <f>1+1</f>
        <v>2</v>
      </c>
      <c r="G137" s="8">
        <f t="shared" si="8"/>
        <v>119.96079177944729</v>
      </c>
      <c r="H137" s="45">
        <v>114.24837312328313</v>
      </c>
      <c r="I137" s="19">
        <f t="shared" si="9"/>
        <v>239.92158355889458</v>
      </c>
      <c r="J137" s="64"/>
    </row>
    <row r="138" spans="1:10">
      <c r="A138" s="87" t="s">
        <v>110</v>
      </c>
      <c r="B138" s="5" t="s">
        <v>191</v>
      </c>
      <c r="C138" s="5" t="s">
        <v>191</v>
      </c>
      <c r="D138" s="35"/>
      <c r="E138" s="3">
        <v>1</v>
      </c>
      <c r="F138" s="6">
        <f>2+1+2</f>
        <v>5</v>
      </c>
      <c r="G138" s="8">
        <f t="shared" si="8"/>
        <v>126.03149999999999</v>
      </c>
      <c r="H138" s="45">
        <v>120.03</v>
      </c>
      <c r="I138" s="19">
        <f t="shared" si="9"/>
        <v>630.15750000000003</v>
      </c>
      <c r="J138" s="64"/>
    </row>
    <row r="139" spans="1:10">
      <c r="A139" s="87" t="s">
        <v>110</v>
      </c>
      <c r="B139" s="5" t="s">
        <v>192</v>
      </c>
      <c r="C139" s="5" t="s">
        <v>192</v>
      </c>
      <c r="D139" s="35"/>
      <c r="E139" s="3">
        <v>1</v>
      </c>
      <c r="F139" s="6">
        <f>2+1+2</f>
        <v>5</v>
      </c>
      <c r="G139" s="8">
        <f t="shared" si="8"/>
        <v>126.03149999999999</v>
      </c>
      <c r="H139" s="45">
        <v>120.03</v>
      </c>
      <c r="I139" s="19">
        <f t="shared" si="9"/>
        <v>630.15750000000003</v>
      </c>
      <c r="J139" s="64"/>
    </row>
    <row r="140" spans="1:10">
      <c r="A140" s="87" t="s">
        <v>110</v>
      </c>
      <c r="B140" s="5" t="s">
        <v>193</v>
      </c>
      <c r="C140" s="5" t="s">
        <v>193</v>
      </c>
      <c r="D140" s="35"/>
      <c r="E140" s="3">
        <v>1</v>
      </c>
      <c r="F140" s="6">
        <v>2</v>
      </c>
      <c r="G140" s="8">
        <f t="shared" si="8"/>
        <v>132.1921707068264</v>
      </c>
      <c r="H140" s="45">
        <v>125.89730543507277</v>
      </c>
      <c r="I140" s="19">
        <f t="shared" si="9"/>
        <v>264.38434141365281</v>
      </c>
      <c r="J140" s="64"/>
    </row>
    <row r="141" spans="1:10">
      <c r="A141" s="87" t="s">
        <v>110</v>
      </c>
      <c r="B141" s="5" t="s">
        <v>194</v>
      </c>
      <c r="C141" s="5" t="s">
        <v>194</v>
      </c>
      <c r="D141" s="35"/>
      <c r="E141" s="3">
        <v>1</v>
      </c>
      <c r="F141" s="6">
        <v>2</v>
      </c>
      <c r="G141" s="8">
        <f t="shared" si="8"/>
        <v>132.1921707068264</v>
      </c>
      <c r="H141" s="45">
        <v>125.89730543507277</v>
      </c>
      <c r="I141" s="19">
        <f t="shared" si="9"/>
        <v>264.38434141365281</v>
      </c>
      <c r="J141" s="64"/>
    </row>
    <row r="142" spans="1:10" hidden="1">
      <c r="A142" s="87" t="s">
        <v>110</v>
      </c>
      <c r="B142" s="1" t="s">
        <v>195</v>
      </c>
      <c r="C142" s="1"/>
      <c r="D142" s="1"/>
      <c r="E142" s="1"/>
      <c r="F142" s="1"/>
      <c r="G142" s="1"/>
      <c r="H142" s="1"/>
      <c r="I142" s="19">
        <f t="shared" si="9"/>
        <v>0</v>
      </c>
      <c r="J142" s="64"/>
    </row>
    <row r="143" spans="1:10">
      <c r="A143" s="87" t="s">
        <v>110</v>
      </c>
      <c r="B143" s="5" t="s">
        <v>196</v>
      </c>
      <c r="C143" s="5" t="s">
        <v>196</v>
      </c>
      <c r="D143" s="35"/>
      <c r="E143" s="3">
        <v>1</v>
      </c>
      <c r="F143" s="6">
        <v>0</v>
      </c>
      <c r="G143" s="8">
        <f>H143+(H143*5%)</f>
        <v>9.7570638877274405</v>
      </c>
      <c r="H143" s="45">
        <v>9.2924417978356573</v>
      </c>
      <c r="I143" s="19">
        <f t="shared" si="9"/>
        <v>0</v>
      </c>
      <c r="J143" s="64"/>
    </row>
    <row r="144" spans="1:10">
      <c r="A144" s="87" t="s">
        <v>110</v>
      </c>
      <c r="B144" s="5" t="s">
        <v>197</v>
      </c>
      <c r="C144" s="5" t="s">
        <v>197</v>
      </c>
      <c r="D144" s="35"/>
      <c r="E144" s="3">
        <v>1</v>
      </c>
      <c r="F144" s="6">
        <v>78</v>
      </c>
      <c r="G144" s="8">
        <f t="shared" ref="G144:G159" si="10">H144+(H144*5%)</f>
        <v>9.7570638877274405</v>
      </c>
      <c r="H144" s="45">
        <v>9.2924417978356573</v>
      </c>
      <c r="I144" s="19">
        <f t="shared" si="9"/>
        <v>761.05098324274036</v>
      </c>
      <c r="J144" s="64"/>
    </row>
    <row r="145" spans="1:10">
      <c r="A145" s="87" t="s">
        <v>110</v>
      </c>
      <c r="B145" s="5" t="s">
        <v>198</v>
      </c>
      <c r="C145" s="5" t="s">
        <v>198</v>
      </c>
      <c r="D145" s="35"/>
      <c r="E145" s="3">
        <v>1</v>
      </c>
      <c r="F145" s="178">
        <v>0</v>
      </c>
      <c r="G145" s="8">
        <f t="shared" si="10"/>
        <v>10.255143183915335</v>
      </c>
      <c r="H145" s="45">
        <v>9.7668030323003183</v>
      </c>
      <c r="I145" s="19">
        <f t="shared" si="9"/>
        <v>0</v>
      </c>
      <c r="J145" s="64"/>
    </row>
    <row r="146" spans="1:10">
      <c r="A146" s="87" t="s">
        <v>110</v>
      </c>
      <c r="B146" s="5" t="s">
        <v>199</v>
      </c>
      <c r="C146" s="5" t="s">
        <v>199</v>
      </c>
      <c r="D146" s="35"/>
      <c r="E146" s="3">
        <v>1</v>
      </c>
      <c r="F146" s="6">
        <v>0</v>
      </c>
      <c r="G146" s="8">
        <f t="shared" si="10"/>
        <v>10.255143183915335</v>
      </c>
      <c r="H146" s="45">
        <v>9.7668030323003183</v>
      </c>
      <c r="I146" s="19">
        <f t="shared" si="9"/>
        <v>0</v>
      </c>
      <c r="J146" s="64"/>
    </row>
    <row r="147" spans="1:10">
      <c r="A147" s="87" t="s">
        <v>110</v>
      </c>
      <c r="B147" s="5" t="s">
        <v>200</v>
      </c>
      <c r="C147" s="5" t="s">
        <v>200</v>
      </c>
      <c r="D147" s="35"/>
      <c r="E147" s="3">
        <v>1</v>
      </c>
      <c r="F147" s="6">
        <v>154</v>
      </c>
      <c r="G147" s="8">
        <f t="shared" si="10"/>
        <v>10.350015430808265</v>
      </c>
      <c r="H147" s="45">
        <v>9.8571575531507278</v>
      </c>
      <c r="I147" s="19">
        <f t="shared" si="9"/>
        <v>1593.9023763444727</v>
      </c>
      <c r="J147" s="64"/>
    </row>
    <row r="148" spans="1:10">
      <c r="A148" s="87" t="s">
        <v>110</v>
      </c>
      <c r="B148" s="5" t="s">
        <v>201</v>
      </c>
      <c r="C148" s="5" t="s">
        <v>201</v>
      </c>
      <c r="D148" s="35"/>
      <c r="E148" s="3">
        <v>1</v>
      </c>
      <c r="F148" s="6">
        <f>155+76</f>
        <v>231</v>
      </c>
      <c r="G148" s="8">
        <f t="shared" si="10"/>
        <v>10.350015430808265</v>
      </c>
      <c r="H148" s="45">
        <v>9.8571575531507278</v>
      </c>
      <c r="I148" s="19">
        <f t="shared" si="9"/>
        <v>2390.853564516709</v>
      </c>
      <c r="J148" s="64"/>
    </row>
    <row r="149" spans="1:10">
      <c r="A149" s="87" t="s">
        <v>110</v>
      </c>
      <c r="B149" s="5" t="s">
        <v>202</v>
      </c>
      <c r="C149" s="5" t="s">
        <v>202</v>
      </c>
      <c r="D149" s="35"/>
      <c r="E149" s="3">
        <v>1</v>
      </c>
      <c r="F149" s="6">
        <v>190</v>
      </c>
      <c r="G149" s="8">
        <f t="shared" si="10"/>
        <v>10.942966973889092</v>
      </c>
      <c r="H149" s="45">
        <v>10.421873308465802</v>
      </c>
      <c r="I149" s="19">
        <f t="shared" si="9"/>
        <v>2079.1637250389276</v>
      </c>
      <c r="J149" s="64"/>
    </row>
    <row r="150" spans="1:10">
      <c r="A150" s="87" t="s">
        <v>110</v>
      </c>
      <c r="B150" s="5" t="s">
        <v>203</v>
      </c>
      <c r="C150" s="5" t="s">
        <v>203</v>
      </c>
      <c r="D150" s="35"/>
      <c r="E150" s="3">
        <v>1</v>
      </c>
      <c r="F150" s="6">
        <v>185</v>
      </c>
      <c r="G150" s="8">
        <f t="shared" si="10"/>
        <v>10.942966973889092</v>
      </c>
      <c r="H150" s="45">
        <v>10.421873308465802</v>
      </c>
      <c r="I150" s="19">
        <f t="shared" si="9"/>
        <v>2024.448890169482</v>
      </c>
      <c r="J150" s="64"/>
    </row>
    <row r="151" spans="1:10">
      <c r="A151" s="87" t="s">
        <v>110</v>
      </c>
      <c r="B151" s="5" t="s">
        <v>204</v>
      </c>
      <c r="C151" s="5" t="s">
        <v>204</v>
      </c>
      <c r="D151" s="35"/>
      <c r="E151" s="3">
        <v>1</v>
      </c>
      <c r="F151" s="6">
        <v>280</v>
      </c>
      <c r="G151" s="8">
        <f t="shared" si="10"/>
        <v>11.53591851696992</v>
      </c>
      <c r="H151" s="45">
        <v>10.986589063780876</v>
      </c>
      <c r="I151" s="19">
        <f t="shared" ref="I151:I164" si="11">G151*F151</f>
        <v>3230.0571847515776</v>
      </c>
      <c r="J151" s="64"/>
    </row>
    <row r="152" spans="1:10">
      <c r="A152" s="87" t="s">
        <v>110</v>
      </c>
      <c r="B152" s="5" t="s">
        <v>205</v>
      </c>
      <c r="C152" s="5" t="s">
        <v>205</v>
      </c>
      <c r="D152" s="35"/>
      <c r="E152" s="3">
        <v>1</v>
      </c>
      <c r="F152" s="6">
        <v>279</v>
      </c>
      <c r="G152" s="8">
        <f t="shared" si="10"/>
        <v>11.53591851696992</v>
      </c>
      <c r="H152" s="45">
        <v>10.986589063780876</v>
      </c>
      <c r="I152" s="19">
        <f t="shared" si="11"/>
        <v>3218.5212662346075</v>
      </c>
      <c r="J152" s="64"/>
    </row>
    <row r="153" spans="1:10">
      <c r="A153" s="87" t="s">
        <v>110</v>
      </c>
      <c r="B153" s="5" t="s">
        <v>206</v>
      </c>
      <c r="C153" s="5" t="s">
        <v>206</v>
      </c>
      <c r="D153" s="35"/>
      <c r="E153" s="3">
        <v>1</v>
      </c>
      <c r="F153" s="6">
        <v>195</v>
      </c>
      <c r="G153" s="8">
        <f t="shared" si="10"/>
        <v>11.129999999999999</v>
      </c>
      <c r="H153" s="45">
        <v>10.6</v>
      </c>
      <c r="I153" s="19">
        <f t="shared" si="11"/>
        <v>2170.35</v>
      </c>
      <c r="J153" s="64"/>
    </row>
    <row r="154" spans="1:10">
      <c r="A154" s="87" t="s">
        <v>110</v>
      </c>
      <c r="B154" s="5" t="s">
        <v>207</v>
      </c>
      <c r="C154" s="5" t="s">
        <v>207</v>
      </c>
      <c r="D154" s="35"/>
      <c r="E154" s="3">
        <v>1</v>
      </c>
      <c r="F154" s="6">
        <v>186</v>
      </c>
      <c r="G154" s="8">
        <f t="shared" si="10"/>
        <v>11.129999999999999</v>
      </c>
      <c r="H154" s="45">
        <v>10.6</v>
      </c>
      <c r="I154" s="19">
        <f t="shared" si="11"/>
        <v>2070.1799999999998</v>
      </c>
      <c r="J154" s="64"/>
    </row>
    <row r="155" spans="1:10">
      <c r="A155" s="87" t="s">
        <v>110</v>
      </c>
      <c r="B155" s="5" t="s">
        <v>208</v>
      </c>
      <c r="C155" s="5" t="s">
        <v>208</v>
      </c>
      <c r="D155" s="35"/>
      <c r="E155" s="3">
        <v>1</v>
      </c>
      <c r="F155" s="6">
        <v>150</v>
      </c>
      <c r="G155" s="8">
        <f t="shared" si="10"/>
        <v>12.316500000000001</v>
      </c>
      <c r="H155" s="45">
        <v>11.73</v>
      </c>
      <c r="I155" s="19">
        <f t="shared" si="11"/>
        <v>1847.4750000000001</v>
      </c>
      <c r="J155" s="64"/>
    </row>
    <row r="156" spans="1:10">
      <c r="A156" s="87" t="s">
        <v>110</v>
      </c>
      <c r="B156" s="5" t="s">
        <v>209</v>
      </c>
      <c r="C156" s="5" t="s">
        <v>209</v>
      </c>
      <c r="D156" s="35"/>
      <c r="E156" s="3">
        <v>1</v>
      </c>
      <c r="F156" s="6">
        <v>150</v>
      </c>
      <c r="G156" s="8">
        <f t="shared" si="10"/>
        <v>12.316500000000001</v>
      </c>
      <c r="H156" s="45">
        <v>11.73</v>
      </c>
      <c r="I156" s="19">
        <f t="shared" si="11"/>
        <v>1847.4750000000001</v>
      </c>
      <c r="J156" s="64"/>
    </row>
    <row r="157" spans="1:10">
      <c r="A157" s="87" t="s">
        <v>110</v>
      </c>
      <c r="B157" s="5" t="s">
        <v>210</v>
      </c>
      <c r="C157" s="5" t="s">
        <v>210</v>
      </c>
      <c r="D157" s="35"/>
      <c r="E157" s="3">
        <v>1</v>
      </c>
      <c r="F157" s="6">
        <v>64</v>
      </c>
      <c r="G157" s="8">
        <f t="shared" si="10"/>
        <v>13.502158585472028</v>
      </c>
      <c r="H157" s="45">
        <v>12.859198652830504</v>
      </c>
      <c r="I157" s="19">
        <f t="shared" si="11"/>
        <v>864.13814947020978</v>
      </c>
      <c r="J157" s="64"/>
    </row>
    <row r="158" spans="1:10">
      <c r="A158" s="87" t="s">
        <v>110</v>
      </c>
      <c r="B158" s="5" t="s">
        <v>211</v>
      </c>
      <c r="C158" s="5" t="s">
        <v>211</v>
      </c>
      <c r="D158" s="35"/>
      <c r="E158" s="3">
        <v>1</v>
      </c>
      <c r="F158" s="6">
        <v>64</v>
      </c>
      <c r="G158" s="8">
        <f t="shared" si="10"/>
        <v>13.502158585472028</v>
      </c>
      <c r="H158" s="45">
        <v>12.859198652830504</v>
      </c>
      <c r="I158" s="19">
        <f t="shared" si="11"/>
        <v>864.13814947020978</v>
      </c>
      <c r="J158" s="64"/>
    </row>
    <row r="159" spans="1:10">
      <c r="A159" s="87" t="s">
        <v>110</v>
      </c>
      <c r="B159" s="5" t="s">
        <v>212</v>
      </c>
      <c r="C159" s="5" t="s">
        <v>212</v>
      </c>
      <c r="D159" s="35"/>
      <c r="E159" s="3">
        <v>1</v>
      </c>
      <c r="F159" s="6">
        <v>40</v>
      </c>
      <c r="G159" s="8">
        <f t="shared" si="10"/>
        <v>14.686722748794468</v>
      </c>
      <c r="H159" s="45">
        <v>13.987354998851874</v>
      </c>
      <c r="I159" s="19">
        <f t="shared" si="11"/>
        <v>587.46890995177876</v>
      </c>
      <c r="J159" s="64"/>
    </row>
    <row r="160" spans="1:10">
      <c r="A160" s="87" t="s">
        <v>110</v>
      </c>
      <c r="B160" s="5" t="s">
        <v>213</v>
      </c>
      <c r="C160" s="5" t="s">
        <v>213</v>
      </c>
      <c r="D160" s="35"/>
      <c r="E160" s="3">
        <v>1</v>
      </c>
      <c r="F160" s="6">
        <v>37</v>
      </c>
      <c r="G160" s="8">
        <f t="shared" ref="G160" si="12">H160+(H160*5%)</f>
        <v>14.686722748794468</v>
      </c>
      <c r="H160" s="45">
        <v>13.987354998851874</v>
      </c>
      <c r="I160" s="19">
        <f t="shared" si="11"/>
        <v>543.4087417053953</v>
      </c>
      <c r="J160" s="64"/>
    </row>
    <row r="161" spans="1:10">
      <c r="A161" s="87" t="s">
        <v>110</v>
      </c>
      <c r="B161" s="5" t="s">
        <v>214</v>
      </c>
      <c r="C161" s="5" t="s">
        <v>214</v>
      </c>
      <c r="D161" s="35"/>
      <c r="E161" s="3">
        <v>1</v>
      </c>
      <c r="F161" s="6">
        <v>78</v>
      </c>
      <c r="G161" s="8">
        <f t="shared" ref="G161" si="13">H161+(H161*5%)</f>
        <v>16.611000000000001</v>
      </c>
      <c r="H161" s="45">
        <v>15.82</v>
      </c>
      <c r="I161" s="19">
        <f t="shared" si="11"/>
        <v>1295.6580000000001</v>
      </c>
      <c r="J161" s="64"/>
    </row>
    <row r="162" spans="1:10">
      <c r="A162" s="87" t="s">
        <v>110</v>
      </c>
      <c r="B162" s="5" t="s">
        <v>215</v>
      </c>
      <c r="C162" s="5" t="s">
        <v>215</v>
      </c>
      <c r="D162" s="35"/>
      <c r="E162" s="3">
        <v>1</v>
      </c>
      <c r="F162" s="6">
        <v>78</v>
      </c>
      <c r="G162" s="8">
        <f t="shared" ref="G162:G164" si="14">H162+(H162*5%)</f>
        <v>16.611000000000001</v>
      </c>
      <c r="H162" s="45">
        <v>15.82</v>
      </c>
      <c r="I162" s="19">
        <f t="shared" si="11"/>
        <v>1295.6580000000001</v>
      </c>
      <c r="J162" s="64"/>
    </row>
    <row r="163" spans="1:10">
      <c r="A163" s="87" t="s">
        <v>110</v>
      </c>
      <c r="B163" s="5" t="s">
        <v>216</v>
      </c>
      <c r="C163" s="5" t="s">
        <v>216</v>
      </c>
      <c r="D163" s="35"/>
      <c r="E163" s="3">
        <v>1</v>
      </c>
      <c r="F163" s="6">
        <v>89</v>
      </c>
      <c r="G163" s="8">
        <f t="shared" si="14"/>
        <v>36.54</v>
      </c>
      <c r="H163" s="45">
        <v>34.799999999999997</v>
      </c>
      <c r="I163" s="19">
        <f t="shared" si="11"/>
        <v>3252.06</v>
      </c>
      <c r="J163" s="64"/>
    </row>
    <row r="164" spans="1:10">
      <c r="A164" s="87" t="s">
        <v>110</v>
      </c>
      <c r="B164" s="5" t="s">
        <v>217</v>
      </c>
      <c r="C164" s="5" t="s">
        <v>217</v>
      </c>
      <c r="D164" s="35"/>
      <c r="E164" s="3">
        <v>1</v>
      </c>
      <c r="F164" s="6">
        <v>85</v>
      </c>
      <c r="G164" s="8">
        <f t="shared" si="14"/>
        <v>36.54</v>
      </c>
      <c r="H164" s="45">
        <v>34.799999999999997</v>
      </c>
      <c r="I164" s="19">
        <f t="shared" si="11"/>
        <v>3105.9</v>
      </c>
      <c r="J164" s="64"/>
    </row>
    <row r="165" spans="1:10" hidden="1">
      <c r="A165" s="132" t="s">
        <v>218</v>
      </c>
      <c r="B165" s="133">
        <v>1254470003</v>
      </c>
      <c r="C165" s="134" t="s">
        <v>219</v>
      </c>
      <c r="D165" s="35"/>
      <c r="E165" s="3">
        <v>1</v>
      </c>
      <c r="F165" s="6"/>
      <c r="G165" s="8"/>
      <c r="H165" s="45">
        <v>2.59</v>
      </c>
      <c r="I165" s="19">
        <f>F165*H165</f>
        <v>0</v>
      </c>
      <c r="J165" s="64"/>
    </row>
    <row r="166" spans="1:10" hidden="1">
      <c r="A166" s="162" t="s">
        <v>220</v>
      </c>
      <c r="B166" s="133"/>
      <c r="C166" s="134" t="s">
        <v>221</v>
      </c>
      <c r="D166" s="35"/>
      <c r="E166" s="3">
        <v>1</v>
      </c>
      <c r="F166" s="6"/>
      <c r="G166" s="8"/>
      <c r="H166" s="45">
        <v>580.66999999999996</v>
      </c>
      <c r="I166" s="19">
        <f t="shared" ref="I166:I229" si="15">F166*H166</f>
        <v>0</v>
      </c>
      <c r="J166" s="64"/>
    </row>
    <row r="167" spans="1:10" hidden="1">
      <c r="A167" s="162" t="s">
        <v>220</v>
      </c>
      <c r="B167" s="133"/>
      <c r="C167" s="134" t="s">
        <v>222</v>
      </c>
      <c r="D167" s="35"/>
      <c r="E167" s="3">
        <v>1</v>
      </c>
      <c r="F167" s="6"/>
      <c r="G167" s="8"/>
      <c r="H167" s="45">
        <v>173.09</v>
      </c>
      <c r="I167" s="19">
        <f t="shared" si="15"/>
        <v>0</v>
      </c>
      <c r="J167" s="64"/>
    </row>
    <row r="168" spans="1:10" hidden="1">
      <c r="A168" s="162" t="s">
        <v>220</v>
      </c>
      <c r="B168" s="133"/>
      <c r="C168" s="134" t="s">
        <v>223</v>
      </c>
      <c r="D168" s="35"/>
      <c r="E168" s="3">
        <v>1</v>
      </c>
      <c r="F168" s="6"/>
      <c r="G168" s="8"/>
      <c r="H168" s="45">
        <v>114.64</v>
      </c>
      <c r="I168" s="19">
        <f t="shared" si="15"/>
        <v>0</v>
      </c>
      <c r="J168" s="64"/>
    </row>
    <row r="169" spans="1:10" hidden="1">
      <c r="A169" s="162" t="s">
        <v>220</v>
      </c>
      <c r="B169" s="133"/>
      <c r="C169" s="134" t="s">
        <v>224</v>
      </c>
      <c r="D169" s="35"/>
      <c r="E169" s="3">
        <v>1</v>
      </c>
      <c r="F169" s="6"/>
      <c r="G169" s="8"/>
      <c r="H169" s="45">
        <v>567</v>
      </c>
      <c r="I169" s="19">
        <f t="shared" si="15"/>
        <v>0</v>
      </c>
      <c r="J169" s="64"/>
    </row>
    <row r="170" spans="1:10" hidden="1">
      <c r="A170" s="162" t="s">
        <v>220</v>
      </c>
      <c r="B170" s="133"/>
      <c r="C170" s="134" t="s">
        <v>225</v>
      </c>
      <c r="D170" s="35"/>
      <c r="E170" s="3">
        <v>1</v>
      </c>
      <c r="F170" s="6"/>
      <c r="G170" s="8"/>
      <c r="H170" s="45">
        <v>140</v>
      </c>
      <c r="I170" s="19">
        <f t="shared" si="15"/>
        <v>0</v>
      </c>
      <c r="J170" s="64"/>
    </row>
    <row r="171" spans="1:10" hidden="1">
      <c r="A171" s="162" t="s">
        <v>220</v>
      </c>
      <c r="B171" s="133"/>
      <c r="C171" s="134" t="s">
        <v>226</v>
      </c>
      <c r="D171" s="35"/>
      <c r="E171" s="3">
        <v>1</v>
      </c>
      <c r="F171" s="6"/>
      <c r="G171" s="8"/>
      <c r="H171" s="45">
        <v>567</v>
      </c>
      <c r="I171" s="19">
        <f t="shared" si="15"/>
        <v>0</v>
      </c>
      <c r="J171" s="64"/>
    </row>
    <row r="172" spans="1:10" hidden="1">
      <c r="A172" s="162" t="s">
        <v>220</v>
      </c>
      <c r="B172" s="133"/>
      <c r="C172" s="134" t="s">
        <v>227</v>
      </c>
      <c r="D172" s="35"/>
      <c r="E172" s="3">
        <v>1</v>
      </c>
      <c r="F172" s="6"/>
      <c r="G172" s="8"/>
      <c r="H172" s="45">
        <v>567</v>
      </c>
      <c r="I172" s="19">
        <f t="shared" si="15"/>
        <v>0</v>
      </c>
      <c r="J172" s="64"/>
    </row>
    <row r="173" spans="1:10" hidden="1">
      <c r="A173" s="162" t="s">
        <v>220</v>
      </c>
      <c r="B173" s="133"/>
      <c r="C173" s="134" t="s">
        <v>228</v>
      </c>
      <c r="D173" s="35"/>
      <c r="E173" s="3">
        <v>1</v>
      </c>
      <c r="F173" s="6"/>
      <c r="G173" s="8"/>
      <c r="H173" s="45">
        <v>771.35</v>
      </c>
      <c r="I173" s="19">
        <f t="shared" si="15"/>
        <v>0</v>
      </c>
      <c r="J173" s="64"/>
    </row>
    <row r="174" spans="1:10" hidden="1">
      <c r="A174" s="162" t="s">
        <v>220</v>
      </c>
      <c r="B174" s="133"/>
      <c r="C174" s="134" t="s">
        <v>229</v>
      </c>
      <c r="D174" s="35"/>
      <c r="E174" s="3">
        <v>1</v>
      </c>
      <c r="F174" s="6"/>
      <c r="G174" s="8"/>
      <c r="H174" s="45">
        <v>621</v>
      </c>
      <c r="I174" s="19">
        <f t="shared" si="15"/>
        <v>0</v>
      </c>
      <c r="J174" s="64"/>
    </row>
    <row r="175" spans="1:10" hidden="1">
      <c r="A175" s="162" t="s">
        <v>220</v>
      </c>
      <c r="B175" s="133"/>
      <c r="C175" s="134" t="s">
        <v>230</v>
      </c>
      <c r="D175" s="35"/>
      <c r="E175" s="3">
        <v>1</v>
      </c>
      <c r="F175" s="6"/>
      <c r="G175" s="8"/>
      <c r="H175" s="45">
        <v>567</v>
      </c>
      <c r="I175" s="19">
        <f t="shared" si="15"/>
        <v>0</v>
      </c>
      <c r="J175" s="64"/>
    </row>
    <row r="176" spans="1:10" hidden="1">
      <c r="A176" s="162" t="s">
        <v>220</v>
      </c>
      <c r="B176" s="133"/>
      <c r="C176" s="134" t="s">
        <v>231</v>
      </c>
      <c r="D176" s="35"/>
      <c r="E176" s="3">
        <v>1</v>
      </c>
      <c r="F176" s="6"/>
      <c r="G176" s="8"/>
      <c r="H176" s="45"/>
      <c r="I176" s="19">
        <f t="shared" si="15"/>
        <v>0</v>
      </c>
      <c r="J176" s="64"/>
    </row>
    <row r="177" spans="1:10" hidden="1">
      <c r="A177" s="162" t="s">
        <v>220</v>
      </c>
      <c r="B177" s="133" t="s">
        <v>232</v>
      </c>
      <c r="C177" s="134" t="s">
        <v>233</v>
      </c>
      <c r="D177" s="35"/>
      <c r="E177" s="3">
        <v>1</v>
      </c>
      <c r="F177" s="6"/>
      <c r="G177" s="8"/>
      <c r="H177" s="45">
        <v>0</v>
      </c>
      <c r="I177" s="19">
        <f t="shared" si="15"/>
        <v>0</v>
      </c>
      <c r="J177" s="64"/>
    </row>
    <row r="178" spans="1:10" hidden="1">
      <c r="A178" s="162" t="s">
        <v>220</v>
      </c>
      <c r="B178" s="133" t="s">
        <v>234</v>
      </c>
      <c r="C178" s="134" t="s">
        <v>235</v>
      </c>
      <c r="D178" s="35"/>
      <c r="E178" s="3">
        <v>1</v>
      </c>
      <c r="F178" s="6"/>
      <c r="G178" s="8"/>
      <c r="H178" s="45">
        <v>300</v>
      </c>
      <c r="I178" s="19">
        <f t="shared" si="15"/>
        <v>0</v>
      </c>
      <c r="J178" s="64"/>
    </row>
    <row r="179" spans="1:10" hidden="1">
      <c r="A179" s="162" t="s">
        <v>220</v>
      </c>
      <c r="B179" s="133" t="s">
        <v>236</v>
      </c>
      <c r="C179" s="134" t="s">
        <v>237</v>
      </c>
      <c r="D179" s="35"/>
      <c r="E179" s="3">
        <v>1</v>
      </c>
      <c r="F179" s="6"/>
      <c r="G179" s="8"/>
      <c r="H179" s="45">
        <v>70</v>
      </c>
      <c r="I179" s="19">
        <f t="shared" si="15"/>
        <v>0</v>
      </c>
      <c r="J179" s="64"/>
    </row>
    <row r="180" spans="1:10" hidden="1">
      <c r="A180" s="162" t="s">
        <v>220</v>
      </c>
      <c r="B180" s="133" t="s">
        <v>238</v>
      </c>
      <c r="C180" s="134" t="s">
        <v>239</v>
      </c>
      <c r="D180" s="35"/>
      <c r="E180" s="3">
        <v>1</v>
      </c>
      <c r="F180" s="6"/>
      <c r="G180" s="8"/>
      <c r="H180" s="45">
        <v>120</v>
      </c>
      <c r="I180" s="19">
        <f t="shared" si="15"/>
        <v>0</v>
      </c>
      <c r="J180" s="64"/>
    </row>
    <row r="181" spans="1:10" hidden="1">
      <c r="A181" s="162" t="s">
        <v>220</v>
      </c>
      <c r="B181" s="133" t="s">
        <v>240</v>
      </c>
      <c r="C181" s="134" t="s">
        <v>241</v>
      </c>
      <c r="D181" s="35"/>
      <c r="E181" s="3">
        <v>1</v>
      </c>
      <c r="F181" s="6"/>
      <c r="G181" s="8"/>
      <c r="H181" s="45">
        <v>99</v>
      </c>
      <c r="I181" s="19">
        <f t="shared" si="15"/>
        <v>0</v>
      </c>
      <c r="J181" s="64"/>
    </row>
    <row r="182" spans="1:10" hidden="1">
      <c r="A182" s="162" t="s">
        <v>220</v>
      </c>
      <c r="B182" s="133" t="s">
        <v>242</v>
      </c>
      <c r="C182" s="134" t="s">
        <v>243</v>
      </c>
      <c r="D182" s="35"/>
      <c r="E182" s="3">
        <v>1</v>
      </c>
      <c r="F182" s="6"/>
      <c r="G182" s="8"/>
      <c r="H182" s="45">
        <v>132</v>
      </c>
      <c r="I182" s="19">
        <f t="shared" si="15"/>
        <v>0</v>
      </c>
      <c r="J182" s="64"/>
    </row>
    <row r="183" spans="1:10" hidden="1">
      <c r="A183" s="162" t="s">
        <v>220</v>
      </c>
      <c r="B183" s="133" t="s">
        <v>244</v>
      </c>
      <c r="C183" s="134" t="s">
        <v>245</v>
      </c>
      <c r="D183" s="35"/>
      <c r="E183" s="3">
        <v>1</v>
      </c>
      <c r="F183" s="6"/>
      <c r="G183" s="8"/>
      <c r="H183" s="45">
        <v>40</v>
      </c>
      <c r="I183" s="19">
        <f t="shared" si="15"/>
        <v>0</v>
      </c>
      <c r="J183" s="64"/>
    </row>
    <row r="184" spans="1:10" hidden="1">
      <c r="A184" s="162" t="s">
        <v>220</v>
      </c>
      <c r="B184" s="133" t="s">
        <v>246</v>
      </c>
      <c r="C184" s="134" t="s">
        <v>247</v>
      </c>
      <c r="D184" s="35"/>
      <c r="E184" s="3">
        <v>1</v>
      </c>
      <c r="F184" s="6"/>
      <c r="G184" s="8"/>
      <c r="H184" s="45">
        <v>18</v>
      </c>
      <c r="I184" s="19">
        <f t="shared" si="15"/>
        <v>0</v>
      </c>
      <c r="J184" s="64"/>
    </row>
    <row r="185" spans="1:10" hidden="1">
      <c r="A185" s="162" t="s">
        <v>220</v>
      </c>
      <c r="B185" s="133" t="s">
        <v>248</v>
      </c>
      <c r="C185" s="134" t="s">
        <v>249</v>
      </c>
      <c r="D185" s="35"/>
      <c r="E185" s="3">
        <v>1</v>
      </c>
      <c r="F185" s="6"/>
      <c r="G185" s="8"/>
      <c r="H185" s="45">
        <v>82.5</v>
      </c>
      <c r="I185" s="19">
        <f t="shared" si="15"/>
        <v>0</v>
      </c>
      <c r="J185" s="64"/>
    </row>
    <row r="186" spans="1:10" hidden="1">
      <c r="A186" s="162" t="s">
        <v>220</v>
      </c>
      <c r="B186" s="133" t="s">
        <v>250</v>
      </c>
      <c r="C186" s="134" t="s">
        <v>243</v>
      </c>
      <c r="D186" s="35"/>
      <c r="E186" s="3">
        <v>1</v>
      </c>
      <c r="F186" s="6"/>
      <c r="G186" s="8"/>
      <c r="H186" s="45">
        <v>110</v>
      </c>
      <c r="I186" s="19">
        <f t="shared" si="15"/>
        <v>0</v>
      </c>
      <c r="J186" s="64"/>
    </row>
    <row r="187" spans="1:10" hidden="1">
      <c r="A187" s="162" t="s">
        <v>220</v>
      </c>
      <c r="B187" s="133" t="s">
        <v>251</v>
      </c>
      <c r="C187" s="134" t="s">
        <v>252</v>
      </c>
      <c r="D187" s="35"/>
      <c r="E187" s="3">
        <v>1</v>
      </c>
      <c r="F187" s="6"/>
      <c r="G187" s="8"/>
      <c r="H187" s="45">
        <v>65</v>
      </c>
      <c r="I187" s="19">
        <f t="shared" si="15"/>
        <v>0</v>
      </c>
      <c r="J187" s="64"/>
    </row>
    <row r="188" spans="1:10" hidden="1">
      <c r="A188" s="162" t="s">
        <v>220</v>
      </c>
      <c r="B188" s="133" t="s">
        <v>253</v>
      </c>
      <c r="C188" s="134" t="s">
        <v>254</v>
      </c>
      <c r="D188" s="35"/>
      <c r="E188" s="3">
        <v>1</v>
      </c>
      <c r="F188" s="6"/>
      <c r="G188" s="8"/>
      <c r="H188" s="45">
        <v>412.57</v>
      </c>
      <c r="I188" s="19">
        <f t="shared" si="15"/>
        <v>0</v>
      </c>
      <c r="J188" s="64"/>
    </row>
    <row r="189" spans="1:10" hidden="1">
      <c r="A189" s="162" t="s">
        <v>220</v>
      </c>
      <c r="B189" s="133" t="s">
        <v>255</v>
      </c>
      <c r="C189" s="134" t="s">
        <v>256</v>
      </c>
      <c r="D189" s="35"/>
      <c r="E189" s="3">
        <v>1</v>
      </c>
      <c r="F189" s="6"/>
      <c r="G189" s="8"/>
      <c r="H189" s="45">
        <v>207.95</v>
      </c>
      <c r="I189" s="19">
        <f t="shared" si="15"/>
        <v>0</v>
      </c>
      <c r="J189" s="64"/>
    </row>
    <row r="190" spans="1:10" hidden="1">
      <c r="A190" s="162" t="s">
        <v>220</v>
      </c>
      <c r="B190" s="133" t="s">
        <v>257</v>
      </c>
      <c r="C190" s="134" t="s">
        <v>258</v>
      </c>
      <c r="D190" s="35"/>
      <c r="E190" s="3">
        <v>1</v>
      </c>
      <c r="F190" s="6"/>
      <c r="G190" s="8"/>
      <c r="H190" s="45">
        <v>2.2000000000000002</v>
      </c>
      <c r="I190" s="19">
        <f t="shared" si="15"/>
        <v>0</v>
      </c>
      <c r="J190" s="64"/>
    </row>
    <row r="191" spans="1:10" hidden="1">
      <c r="A191" s="162" t="s">
        <v>220</v>
      </c>
      <c r="B191" s="133"/>
      <c r="C191" s="134" t="s">
        <v>259</v>
      </c>
      <c r="D191" s="35"/>
      <c r="E191" s="3">
        <v>1</v>
      </c>
      <c r="F191" s="6"/>
      <c r="G191" s="8"/>
      <c r="H191" s="45">
        <v>162</v>
      </c>
      <c r="I191" s="19">
        <f t="shared" si="15"/>
        <v>0</v>
      </c>
      <c r="J191" s="64"/>
    </row>
    <row r="192" spans="1:10" hidden="1">
      <c r="A192" s="162" t="s">
        <v>220</v>
      </c>
      <c r="B192" s="133" t="s">
        <v>260</v>
      </c>
      <c r="C192" s="134" t="s">
        <v>261</v>
      </c>
      <c r="D192" s="35"/>
      <c r="E192" s="3">
        <v>1</v>
      </c>
      <c r="F192" s="6"/>
      <c r="G192" s="8"/>
      <c r="H192" s="45">
        <v>12.93</v>
      </c>
      <c r="I192" s="19">
        <f t="shared" si="15"/>
        <v>0</v>
      </c>
      <c r="J192" s="64"/>
    </row>
    <row r="193" spans="1:10" hidden="1">
      <c r="A193" s="162" t="s">
        <v>220</v>
      </c>
      <c r="B193" s="133"/>
      <c r="C193" s="134" t="s">
        <v>262</v>
      </c>
      <c r="D193" s="35"/>
      <c r="E193" s="3">
        <v>1</v>
      </c>
      <c r="F193" s="6"/>
      <c r="G193" s="8"/>
      <c r="H193" s="45">
        <v>53.9</v>
      </c>
      <c r="I193" s="19">
        <f t="shared" si="15"/>
        <v>0</v>
      </c>
      <c r="J193" s="64"/>
    </row>
    <row r="194" spans="1:10" hidden="1">
      <c r="A194" s="162" t="s">
        <v>220</v>
      </c>
      <c r="B194" s="133"/>
      <c r="C194" s="134" t="s">
        <v>263</v>
      </c>
      <c r="D194" s="35"/>
      <c r="E194" s="3">
        <v>1</v>
      </c>
      <c r="F194" s="6"/>
      <c r="G194" s="8"/>
      <c r="H194" s="45">
        <v>53.9</v>
      </c>
      <c r="I194" s="19">
        <f t="shared" si="15"/>
        <v>0</v>
      </c>
      <c r="J194" s="64"/>
    </row>
    <row r="195" spans="1:10" hidden="1">
      <c r="A195" s="162" t="s">
        <v>220</v>
      </c>
      <c r="B195" s="133"/>
      <c r="C195" s="134" t="s">
        <v>264</v>
      </c>
      <c r="D195" s="35"/>
      <c r="E195" s="3">
        <v>1</v>
      </c>
      <c r="F195" s="6"/>
      <c r="G195" s="8"/>
      <c r="H195" s="45">
        <v>21.63</v>
      </c>
      <c r="I195" s="19">
        <f t="shared" si="15"/>
        <v>0</v>
      </c>
      <c r="J195" s="64"/>
    </row>
    <row r="196" spans="1:10" hidden="1">
      <c r="A196" s="162" t="s">
        <v>220</v>
      </c>
      <c r="B196" s="133"/>
      <c r="C196" s="134" t="s">
        <v>265</v>
      </c>
      <c r="D196" s="35"/>
      <c r="E196" s="3">
        <v>1</v>
      </c>
      <c r="F196" s="6"/>
      <c r="G196" s="8"/>
      <c r="H196" s="45">
        <v>15.4</v>
      </c>
      <c r="I196" s="19">
        <f t="shared" si="15"/>
        <v>0</v>
      </c>
      <c r="J196" s="64"/>
    </row>
    <row r="197" spans="1:10" hidden="1">
      <c r="A197" s="162" t="s">
        <v>220</v>
      </c>
      <c r="B197" s="133"/>
      <c r="C197" s="134" t="s">
        <v>266</v>
      </c>
      <c r="D197" s="35"/>
      <c r="E197" s="3">
        <v>1</v>
      </c>
      <c r="F197" s="6"/>
      <c r="G197" s="8"/>
      <c r="H197" s="45">
        <v>29.04</v>
      </c>
      <c r="I197" s="19">
        <f t="shared" si="15"/>
        <v>0</v>
      </c>
      <c r="J197" s="64"/>
    </row>
    <row r="198" spans="1:10" hidden="1">
      <c r="A198" s="162" t="s">
        <v>220</v>
      </c>
      <c r="B198" s="133"/>
      <c r="C198" s="134" t="s">
        <v>267</v>
      </c>
      <c r="D198" s="35"/>
      <c r="E198" s="3">
        <v>1</v>
      </c>
      <c r="F198" s="6"/>
      <c r="G198" s="8"/>
      <c r="H198" s="45">
        <v>7.26</v>
      </c>
      <c r="I198" s="19">
        <f t="shared" si="15"/>
        <v>0</v>
      </c>
      <c r="J198" s="64"/>
    </row>
    <row r="199" spans="1:10" hidden="1">
      <c r="A199" s="162" t="s">
        <v>220</v>
      </c>
      <c r="B199" s="133"/>
      <c r="C199" s="134" t="s">
        <v>268</v>
      </c>
      <c r="D199" s="35"/>
      <c r="E199" s="3">
        <v>1</v>
      </c>
      <c r="F199" s="6"/>
      <c r="G199" s="8"/>
      <c r="H199" s="45">
        <v>7.26</v>
      </c>
      <c r="I199" s="19">
        <f t="shared" si="15"/>
        <v>0</v>
      </c>
      <c r="J199" s="64"/>
    </row>
    <row r="200" spans="1:10" hidden="1">
      <c r="A200" s="162" t="s">
        <v>220</v>
      </c>
      <c r="B200" s="133"/>
      <c r="C200" s="134" t="s">
        <v>269</v>
      </c>
      <c r="D200" s="35"/>
      <c r="E200" s="3">
        <v>1</v>
      </c>
      <c r="F200" s="6"/>
      <c r="G200" s="8"/>
      <c r="H200" s="45">
        <v>21.78</v>
      </c>
      <c r="I200" s="19">
        <f t="shared" si="15"/>
        <v>0</v>
      </c>
      <c r="J200" s="64"/>
    </row>
    <row r="201" spans="1:10" hidden="1">
      <c r="A201" s="162" t="s">
        <v>220</v>
      </c>
      <c r="B201" s="133"/>
      <c r="C201" s="134" t="s">
        <v>270</v>
      </c>
      <c r="D201" s="35"/>
      <c r="E201" s="3">
        <v>1</v>
      </c>
      <c r="F201" s="6"/>
      <c r="G201" s="8"/>
      <c r="H201" s="45">
        <v>21.78</v>
      </c>
      <c r="I201" s="19">
        <f t="shared" si="15"/>
        <v>0</v>
      </c>
      <c r="J201" s="64"/>
    </row>
    <row r="202" spans="1:10" hidden="1">
      <c r="A202" s="162" t="s">
        <v>220</v>
      </c>
      <c r="B202" s="133"/>
      <c r="C202" s="134" t="s">
        <v>271</v>
      </c>
      <c r="D202" s="35"/>
      <c r="E202" s="3">
        <v>1</v>
      </c>
      <c r="F202" s="6"/>
      <c r="G202" s="8"/>
      <c r="H202" s="45">
        <v>26.3</v>
      </c>
      <c r="I202" s="19">
        <f t="shared" si="15"/>
        <v>0</v>
      </c>
      <c r="J202" s="64"/>
    </row>
    <row r="203" spans="1:10" hidden="1">
      <c r="A203" s="162" t="s">
        <v>220</v>
      </c>
      <c r="B203" s="133"/>
      <c r="C203" s="134" t="s">
        <v>272</v>
      </c>
      <c r="D203" s="35"/>
      <c r="E203" s="3">
        <v>1</v>
      </c>
      <c r="F203" s="6"/>
      <c r="G203" s="8"/>
      <c r="H203" s="45">
        <v>165</v>
      </c>
      <c r="I203" s="19">
        <f t="shared" si="15"/>
        <v>0</v>
      </c>
      <c r="J203" s="64"/>
    </row>
    <row r="204" spans="1:10" hidden="1">
      <c r="A204" s="162" t="s">
        <v>220</v>
      </c>
      <c r="B204" s="133"/>
      <c r="C204" s="134" t="s">
        <v>273</v>
      </c>
      <c r="D204" s="35"/>
      <c r="E204" s="3">
        <v>1</v>
      </c>
      <c r="F204" s="6"/>
      <c r="G204" s="8"/>
      <c r="H204" s="45">
        <v>212.96</v>
      </c>
      <c r="I204" s="19">
        <f t="shared" si="15"/>
        <v>0</v>
      </c>
      <c r="J204" s="64"/>
    </row>
    <row r="205" spans="1:10" hidden="1">
      <c r="A205" s="162" t="s">
        <v>220</v>
      </c>
      <c r="B205" s="133"/>
      <c r="C205" s="134" t="s">
        <v>274</v>
      </c>
      <c r="D205" s="35"/>
      <c r="E205" s="3">
        <v>1</v>
      </c>
      <c r="F205" s="6"/>
      <c r="G205" s="8"/>
      <c r="H205" s="45">
        <v>255</v>
      </c>
      <c r="I205" s="19">
        <f t="shared" si="15"/>
        <v>0</v>
      </c>
      <c r="J205" s="64"/>
    </row>
    <row r="206" spans="1:10" hidden="1">
      <c r="A206" s="162" t="s">
        <v>220</v>
      </c>
      <c r="B206" s="133"/>
      <c r="C206" s="134" t="s">
        <v>275</v>
      </c>
      <c r="D206" s="35"/>
      <c r="E206" s="3">
        <v>1</v>
      </c>
      <c r="F206" s="6"/>
      <c r="G206" s="8"/>
      <c r="H206" s="45">
        <v>65.45</v>
      </c>
      <c r="I206" s="19">
        <f t="shared" si="15"/>
        <v>0</v>
      </c>
      <c r="J206" s="64"/>
    </row>
    <row r="207" spans="1:10" hidden="1">
      <c r="A207" s="162" t="s">
        <v>220</v>
      </c>
      <c r="B207" s="133"/>
      <c r="C207" s="134" t="s">
        <v>276</v>
      </c>
      <c r="D207" s="35"/>
      <c r="E207" s="3">
        <v>1</v>
      </c>
      <c r="F207" s="6"/>
      <c r="G207" s="8"/>
      <c r="H207" s="45">
        <v>40.04</v>
      </c>
      <c r="I207" s="19">
        <f t="shared" si="15"/>
        <v>0</v>
      </c>
      <c r="J207" s="64"/>
    </row>
    <row r="208" spans="1:10" hidden="1">
      <c r="A208" s="162" t="s">
        <v>220</v>
      </c>
      <c r="B208" s="133"/>
      <c r="C208" s="134" t="s">
        <v>277</v>
      </c>
      <c r="D208" s="35"/>
      <c r="E208" s="3">
        <v>1</v>
      </c>
      <c r="F208" s="6"/>
      <c r="G208" s="8"/>
      <c r="H208" s="45">
        <v>33</v>
      </c>
      <c r="I208" s="19">
        <f t="shared" si="15"/>
        <v>0</v>
      </c>
      <c r="J208" s="64"/>
    </row>
    <row r="209" spans="1:10" hidden="1">
      <c r="A209" s="162" t="s">
        <v>220</v>
      </c>
      <c r="B209" s="133"/>
      <c r="C209" s="134" t="s">
        <v>278</v>
      </c>
      <c r="D209" s="35"/>
      <c r="E209" s="3">
        <v>1</v>
      </c>
      <c r="F209" s="6"/>
      <c r="G209" s="8"/>
      <c r="H209" s="45">
        <v>211.2</v>
      </c>
      <c r="I209" s="19">
        <f t="shared" si="15"/>
        <v>0</v>
      </c>
      <c r="J209" s="64"/>
    </row>
    <row r="210" spans="1:10" hidden="1">
      <c r="A210" s="162" t="s">
        <v>220</v>
      </c>
      <c r="B210" s="133" t="s">
        <v>279</v>
      </c>
      <c r="C210" s="134" t="s">
        <v>280</v>
      </c>
      <c r="D210" s="35"/>
      <c r="E210" s="3">
        <v>1</v>
      </c>
      <c r="F210" s="6"/>
      <c r="G210" s="8"/>
      <c r="H210" s="45">
        <v>30.03</v>
      </c>
      <c r="I210" s="19">
        <f t="shared" si="15"/>
        <v>0</v>
      </c>
      <c r="J210" s="64"/>
    </row>
    <row r="211" spans="1:10" hidden="1">
      <c r="A211" s="162" t="s">
        <v>220</v>
      </c>
      <c r="B211" s="133" t="s">
        <v>281</v>
      </c>
      <c r="C211" s="134" t="s">
        <v>282</v>
      </c>
      <c r="D211" s="35"/>
      <c r="E211" s="3">
        <v>1</v>
      </c>
      <c r="F211" s="6"/>
      <c r="G211" s="8"/>
      <c r="H211" s="45">
        <v>24.64</v>
      </c>
      <c r="I211" s="19">
        <f t="shared" si="15"/>
        <v>0</v>
      </c>
      <c r="J211" s="64"/>
    </row>
    <row r="212" spans="1:10" hidden="1">
      <c r="A212" s="162" t="s">
        <v>220</v>
      </c>
      <c r="B212" s="133" t="s">
        <v>283</v>
      </c>
      <c r="C212" s="134" t="s">
        <v>284</v>
      </c>
      <c r="D212" s="35"/>
      <c r="E212" s="3">
        <v>1</v>
      </c>
      <c r="F212" s="6"/>
      <c r="G212" s="8"/>
      <c r="H212" s="45">
        <v>24.64</v>
      </c>
      <c r="I212" s="19">
        <f t="shared" si="15"/>
        <v>0</v>
      </c>
      <c r="J212" s="64"/>
    </row>
    <row r="213" spans="1:10" hidden="1">
      <c r="A213" s="162" t="s">
        <v>220</v>
      </c>
      <c r="B213" s="133" t="s">
        <v>285</v>
      </c>
      <c r="C213" s="134" t="s">
        <v>286</v>
      </c>
      <c r="D213" s="35"/>
      <c r="E213" s="3">
        <v>1</v>
      </c>
      <c r="F213" s="6"/>
      <c r="G213" s="8"/>
      <c r="H213" s="45">
        <v>18.48</v>
      </c>
      <c r="I213" s="19">
        <f t="shared" si="15"/>
        <v>0</v>
      </c>
      <c r="J213" s="64"/>
    </row>
    <row r="214" spans="1:10" hidden="1">
      <c r="A214" s="162" t="s">
        <v>220</v>
      </c>
      <c r="B214" s="133" t="s">
        <v>285</v>
      </c>
      <c r="C214" s="134" t="s">
        <v>287</v>
      </c>
      <c r="D214" s="35"/>
      <c r="E214" s="3">
        <v>1</v>
      </c>
      <c r="F214" s="6"/>
      <c r="G214" s="8"/>
      <c r="H214" s="45">
        <v>18.48</v>
      </c>
      <c r="I214" s="19">
        <f t="shared" si="15"/>
        <v>0</v>
      </c>
      <c r="J214" s="64"/>
    </row>
    <row r="215" spans="1:10" hidden="1">
      <c r="A215" s="162" t="s">
        <v>220</v>
      </c>
      <c r="B215" s="133" t="s">
        <v>288</v>
      </c>
      <c r="C215" s="134" t="s">
        <v>289</v>
      </c>
      <c r="D215" s="35"/>
      <c r="E215" s="3">
        <v>1</v>
      </c>
      <c r="F215" s="6"/>
      <c r="G215" s="8"/>
      <c r="H215" s="45">
        <v>20.79</v>
      </c>
      <c r="I215" s="19">
        <f t="shared" si="15"/>
        <v>0</v>
      </c>
      <c r="J215" s="64"/>
    </row>
    <row r="216" spans="1:10">
      <c r="A216" s="162" t="s">
        <v>220</v>
      </c>
      <c r="B216" s="133" t="s">
        <v>290</v>
      </c>
      <c r="C216" s="134" t="s">
        <v>291</v>
      </c>
      <c r="D216" s="35"/>
      <c r="E216" s="3">
        <v>1</v>
      </c>
      <c r="F216" s="6">
        <v>20</v>
      </c>
      <c r="G216" s="8"/>
      <c r="H216" s="45">
        <v>20.79</v>
      </c>
      <c r="I216" s="19">
        <f t="shared" si="15"/>
        <v>415.79999999999995</v>
      </c>
      <c r="J216" s="64"/>
    </row>
    <row r="217" spans="1:10">
      <c r="A217" s="162" t="s">
        <v>220</v>
      </c>
      <c r="B217" s="133" t="s">
        <v>292</v>
      </c>
      <c r="C217" s="134" t="s">
        <v>293</v>
      </c>
      <c r="D217" s="35"/>
      <c r="E217" s="3">
        <v>1</v>
      </c>
      <c r="F217" s="6">
        <f>6+1+44</f>
        <v>51</v>
      </c>
      <c r="G217" s="8"/>
      <c r="H217" s="45">
        <v>24.64</v>
      </c>
      <c r="I217" s="19">
        <f t="shared" si="15"/>
        <v>1256.6400000000001</v>
      </c>
      <c r="J217" s="64"/>
    </row>
    <row r="218" spans="1:10">
      <c r="A218" s="162" t="s">
        <v>220</v>
      </c>
      <c r="B218" s="133" t="s">
        <v>294</v>
      </c>
      <c r="C218" s="134" t="s">
        <v>295</v>
      </c>
      <c r="D218" s="35"/>
      <c r="E218" s="3">
        <v>1</v>
      </c>
      <c r="F218" s="6">
        <f>2+1</f>
        <v>3</v>
      </c>
      <c r="G218" s="8"/>
      <c r="H218" s="45">
        <v>24.64</v>
      </c>
      <c r="I218" s="19">
        <f t="shared" si="15"/>
        <v>73.92</v>
      </c>
      <c r="J218" s="64"/>
    </row>
    <row r="219" spans="1:10">
      <c r="A219" s="162" t="s">
        <v>220</v>
      </c>
      <c r="B219" s="133" t="s">
        <v>296</v>
      </c>
      <c r="C219" s="134" t="s">
        <v>297</v>
      </c>
      <c r="D219" s="35"/>
      <c r="E219" s="3">
        <v>1</v>
      </c>
      <c r="F219" s="6">
        <f>(8*6)/5</f>
        <v>9.6</v>
      </c>
      <c r="G219" s="8"/>
      <c r="H219" s="45">
        <v>100</v>
      </c>
      <c r="I219" s="19">
        <f t="shared" si="15"/>
        <v>960</v>
      </c>
      <c r="J219" s="64"/>
    </row>
    <row r="220" spans="1:10" hidden="1">
      <c r="A220" s="162" t="s">
        <v>220</v>
      </c>
      <c r="B220" s="133"/>
      <c r="C220" s="134" t="s">
        <v>298</v>
      </c>
      <c r="D220" s="35"/>
      <c r="E220" s="3">
        <v>1</v>
      </c>
      <c r="F220" s="6"/>
      <c r="G220" s="8"/>
      <c r="H220" s="45">
        <v>10.89</v>
      </c>
      <c r="I220" s="19">
        <f t="shared" si="15"/>
        <v>0</v>
      </c>
      <c r="J220" s="64"/>
    </row>
    <row r="221" spans="1:10" hidden="1">
      <c r="A221" s="162" t="s">
        <v>220</v>
      </c>
      <c r="B221" s="133"/>
      <c r="C221" s="134" t="s">
        <v>299</v>
      </c>
      <c r="D221" s="35"/>
      <c r="E221" s="3">
        <v>1</v>
      </c>
      <c r="F221" s="6"/>
      <c r="G221" s="8"/>
      <c r="H221" s="45">
        <v>319.44</v>
      </c>
      <c r="I221" s="19">
        <f t="shared" si="15"/>
        <v>0</v>
      </c>
      <c r="J221" s="64"/>
    </row>
    <row r="222" spans="1:10" hidden="1">
      <c r="A222" s="162" t="s">
        <v>220</v>
      </c>
      <c r="B222" s="133"/>
      <c r="C222" s="134" t="s">
        <v>300</v>
      </c>
      <c r="D222" s="35"/>
      <c r="E222" s="3">
        <v>1</v>
      </c>
      <c r="F222" s="6"/>
      <c r="G222" s="8"/>
      <c r="H222" s="45">
        <v>297</v>
      </c>
      <c r="I222" s="19">
        <f t="shared" si="15"/>
        <v>0</v>
      </c>
      <c r="J222" s="64"/>
    </row>
    <row r="223" spans="1:10" hidden="1">
      <c r="A223" s="162" t="s">
        <v>220</v>
      </c>
      <c r="B223" s="133"/>
      <c r="C223" s="134" t="s">
        <v>301</v>
      </c>
      <c r="D223" s="35"/>
      <c r="E223" s="3">
        <v>1</v>
      </c>
      <c r="F223" s="6"/>
      <c r="G223" s="8"/>
      <c r="H223" s="45">
        <v>132</v>
      </c>
      <c r="I223" s="19">
        <f t="shared" si="15"/>
        <v>0</v>
      </c>
      <c r="J223" s="64"/>
    </row>
    <row r="224" spans="1:10" hidden="1">
      <c r="A224" s="162" t="s">
        <v>220</v>
      </c>
      <c r="B224" s="133"/>
      <c r="C224" s="134" t="s">
        <v>302</v>
      </c>
      <c r="D224" s="35"/>
      <c r="E224" s="3">
        <v>1</v>
      </c>
      <c r="F224" s="6"/>
      <c r="G224" s="8"/>
      <c r="H224" s="45">
        <v>2694.38</v>
      </c>
      <c r="I224" s="19">
        <f t="shared" si="15"/>
        <v>0</v>
      </c>
      <c r="J224" s="64"/>
    </row>
    <row r="225" spans="1:10" hidden="1">
      <c r="A225" s="162" t="s">
        <v>220</v>
      </c>
      <c r="B225" s="133" t="s">
        <v>303</v>
      </c>
      <c r="C225" s="134" t="s">
        <v>304</v>
      </c>
      <c r="D225" s="35"/>
      <c r="E225" s="3">
        <v>1</v>
      </c>
      <c r="F225" s="6"/>
      <c r="G225" s="8"/>
      <c r="H225" s="45">
        <v>13.1</v>
      </c>
      <c r="I225" s="19">
        <f t="shared" si="15"/>
        <v>0</v>
      </c>
      <c r="J225" s="64"/>
    </row>
    <row r="226" spans="1:10" hidden="1">
      <c r="A226" s="162" t="s">
        <v>220</v>
      </c>
      <c r="B226" s="133" t="s">
        <v>305</v>
      </c>
      <c r="C226" s="134" t="s">
        <v>306</v>
      </c>
      <c r="D226" s="35"/>
      <c r="E226" s="3">
        <v>1</v>
      </c>
      <c r="F226" s="6"/>
      <c r="G226" s="8"/>
      <c r="H226" s="45">
        <v>67.27</v>
      </c>
      <c r="I226" s="19">
        <f t="shared" si="15"/>
        <v>0</v>
      </c>
      <c r="J226" s="64"/>
    </row>
    <row r="227" spans="1:10" hidden="1">
      <c r="A227" s="162" t="s">
        <v>220</v>
      </c>
      <c r="B227" s="133" t="s">
        <v>307</v>
      </c>
      <c r="C227" s="134" t="s">
        <v>308</v>
      </c>
      <c r="D227" s="35"/>
      <c r="E227" s="3">
        <v>1</v>
      </c>
      <c r="F227" s="6"/>
      <c r="G227" s="8"/>
      <c r="H227" s="45">
        <v>14.3</v>
      </c>
      <c r="I227" s="19">
        <f t="shared" si="15"/>
        <v>0</v>
      </c>
      <c r="J227" s="64"/>
    </row>
    <row r="228" spans="1:10" hidden="1">
      <c r="A228" s="162" t="s">
        <v>220</v>
      </c>
      <c r="B228" s="133" t="s">
        <v>290</v>
      </c>
      <c r="C228" s="134" t="s">
        <v>309</v>
      </c>
      <c r="D228" s="35"/>
      <c r="E228" s="3">
        <v>1</v>
      </c>
      <c r="F228" s="6"/>
      <c r="G228" s="8"/>
      <c r="H228" s="45">
        <v>2</v>
      </c>
      <c r="I228" s="19">
        <f t="shared" si="15"/>
        <v>0</v>
      </c>
      <c r="J228" s="64"/>
    </row>
    <row r="229" spans="1:10" hidden="1">
      <c r="A229" s="162" t="s">
        <v>220</v>
      </c>
      <c r="B229" s="133">
        <v>0</v>
      </c>
      <c r="C229" s="134" t="s">
        <v>310</v>
      </c>
      <c r="D229" s="35"/>
      <c r="E229" s="3">
        <v>1</v>
      </c>
      <c r="F229" s="6"/>
      <c r="G229" s="8"/>
      <c r="H229" s="45">
        <v>5.65</v>
      </c>
      <c r="I229" s="19">
        <f t="shared" si="15"/>
        <v>0</v>
      </c>
      <c r="J229" s="64"/>
    </row>
    <row r="230" spans="1:10" hidden="1">
      <c r="A230" s="162" t="s">
        <v>220</v>
      </c>
      <c r="B230" s="133"/>
      <c r="C230" s="134" t="s">
        <v>311</v>
      </c>
      <c r="D230" s="35"/>
      <c r="E230" s="3">
        <v>1</v>
      </c>
      <c r="F230" s="6"/>
      <c r="G230" s="8"/>
      <c r="H230" s="45">
        <v>22.92</v>
      </c>
      <c r="I230" s="19">
        <f t="shared" ref="I230:I293" si="16">F230*H230</f>
        <v>0</v>
      </c>
      <c r="J230" s="64"/>
    </row>
    <row r="231" spans="1:10" hidden="1">
      <c r="A231" s="162" t="s">
        <v>220</v>
      </c>
      <c r="B231" s="133"/>
      <c r="C231" s="134" t="s">
        <v>312</v>
      </c>
      <c r="D231" s="35"/>
      <c r="E231" s="3">
        <v>1</v>
      </c>
      <c r="F231" s="6"/>
      <c r="G231" s="8"/>
      <c r="H231" s="45">
        <v>20.86</v>
      </c>
      <c r="I231" s="19">
        <f t="shared" si="16"/>
        <v>0</v>
      </c>
      <c r="J231" s="64"/>
    </row>
    <row r="232" spans="1:10" hidden="1">
      <c r="A232" s="162" t="s">
        <v>220</v>
      </c>
      <c r="B232" s="133"/>
      <c r="C232" s="134" t="s">
        <v>313</v>
      </c>
      <c r="D232" s="35"/>
      <c r="E232" s="3">
        <v>1</v>
      </c>
      <c r="F232" s="6"/>
      <c r="G232" s="8"/>
      <c r="H232" s="45">
        <v>361.9</v>
      </c>
      <c r="I232" s="19">
        <f t="shared" si="16"/>
        <v>0</v>
      </c>
      <c r="J232" s="64"/>
    </row>
    <row r="233" spans="1:10" hidden="1">
      <c r="A233" s="162" t="s">
        <v>220</v>
      </c>
      <c r="B233" s="133"/>
      <c r="C233" s="134" t="s">
        <v>262</v>
      </c>
      <c r="D233" s="35"/>
      <c r="E233" s="3">
        <v>1</v>
      </c>
      <c r="F233" s="6"/>
      <c r="G233" s="8"/>
      <c r="H233" s="45">
        <v>361.9</v>
      </c>
      <c r="I233" s="19">
        <f t="shared" si="16"/>
        <v>0</v>
      </c>
      <c r="J233" s="64"/>
    </row>
    <row r="234" spans="1:10" hidden="1">
      <c r="A234" s="162" t="s">
        <v>220</v>
      </c>
      <c r="B234" s="133"/>
      <c r="C234" s="134" t="s">
        <v>263</v>
      </c>
      <c r="D234" s="35"/>
      <c r="E234" s="3">
        <v>1</v>
      </c>
      <c r="F234" s="6"/>
      <c r="G234" s="8"/>
      <c r="H234" s="45">
        <v>53.9</v>
      </c>
      <c r="I234" s="19">
        <f t="shared" si="16"/>
        <v>0</v>
      </c>
      <c r="J234" s="64"/>
    </row>
    <row r="235" spans="1:10" hidden="1">
      <c r="A235" s="162" t="s">
        <v>220</v>
      </c>
      <c r="B235" s="133"/>
      <c r="C235" s="134" t="s">
        <v>264</v>
      </c>
      <c r="D235" s="35"/>
      <c r="E235" s="3">
        <v>1</v>
      </c>
      <c r="F235" s="6"/>
      <c r="G235" s="8"/>
      <c r="H235" s="45">
        <v>149.38</v>
      </c>
      <c r="I235" s="19">
        <f t="shared" si="16"/>
        <v>0</v>
      </c>
      <c r="J235" s="64"/>
    </row>
    <row r="236" spans="1:10" hidden="1">
      <c r="A236" s="162" t="s">
        <v>220</v>
      </c>
      <c r="B236" s="133"/>
      <c r="C236" s="134" t="s">
        <v>314</v>
      </c>
      <c r="D236" s="35"/>
      <c r="E236" s="3">
        <v>1</v>
      </c>
      <c r="F236" s="6"/>
      <c r="G236" s="8"/>
      <c r="H236" s="45">
        <v>43.26</v>
      </c>
      <c r="I236" s="19">
        <f t="shared" si="16"/>
        <v>0</v>
      </c>
      <c r="J236" s="64"/>
    </row>
    <row r="237" spans="1:10" hidden="1">
      <c r="A237" s="162" t="s">
        <v>220</v>
      </c>
      <c r="B237" s="133"/>
      <c r="C237" s="134" t="s">
        <v>315</v>
      </c>
      <c r="D237" s="35"/>
      <c r="E237" s="3">
        <v>1</v>
      </c>
      <c r="F237" s="6"/>
      <c r="G237" s="8"/>
      <c r="H237" s="45">
        <v>10.82</v>
      </c>
      <c r="I237" s="19">
        <f t="shared" si="16"/>
        <v>0</v>
      </c>
      <c r="J237" s="64"/>
    </row>
    <row r="238" spans="1:10" hidden="1">
      <c r="A238" s="162" t="s">
        <v>220</v>
      </c>
      <c r="B238" s="133"/>
      <c r="C238" s="134" t="s">
        <v>316</v>
      </c>
      <c r="D238" s="35"/>
      <c r="E238" s="3">
        <v>1</v>
      </c>
      <c r="F238" s="6"/>
      <c r="G238" s="8"/>
      <c r="H238" s="45">
        <v>32.450000000000003</v>
      </c>
      <c r="I238" s="19">
        <f t="shared" si="16"/>
        <v>0</v>
      </c>
      <c r="J238" s="64"/>
    </row>
    <row r="239" spans="1:10" hidden="1">
      <c r="A239" s="162" t="s">
        <v>220</v>
      </c>
      <c r="B239" s="133"/>
      <c r="C239" s="134" t="s">
        <v>317</v>
      </c>
      <c r="D239" s="35"/>
      <c r="E239" s="3">
        <v>1</v>
      </c>
      <c r="F239" s="6"/>
      <c r="G239" s="8"/>
      <c r="H239" s="45">
        <v>64.89</v>
      </c>
      <c r="I239" s="19">
        <f t="shared" si="16"/>
        <v>0</v>
      </c>
      <c r="J239" s="64"/>
    </row>
    <row r="240" spans="1:10" hidden="1">
      <c r="A240" s="162" t="s">
        <v>220</v>
      </c>
      <c r="B240" s="133"/>
      <c r="C240" s="134" t="s">
        <v>318</v>
      </c>
      <c r="D240" s="35"/>
      <c r="E240" s="3">
        <v>1</v>
      </c>
      <c r="F240" s="6"/>
      <c r="G240" s="8"/>
      <c r="H240" s="45">
        <v>1005.28</v>
      </c>
      <c r="I240" s="19">
        <f t="shared" si="16"/>
        <v>0</v>
      </c>
      <c r="J240" s="64"/>
    </row>
    <row r="241" spans="1:10" hidden="1">
      <c r="A241" s="162" t="s">
        <v>220</v>
      </c>
      <c r="B241" s="133"/>
      <c r="C241" s="134" t="s">
        <v>319</v>
      </c>
      <c r="D241" s="35"/>
      <c r="E241" s="3">
        <v>1</v>
      </c>
      <c r="F241" s="6"/>
      <c r="G241" s="8"/>
      <c r="H241" s="45">
        <v>15.4</v>
      </c>
      <c r="I241" s="19">
        <f t="shared" si="16"/>
        <v>0</v>
      </c>
      <c r="J241" s="64"/>
    </row>
    <row r="242" spans="1:10" hidden="1">
      <c r="A242" s="162" t="s">
        <v>220</v>
      </c>
      <c r="B242" s="133"/>
      <c r="C242" s="134" t="s">
        <v>265</v>
      </c>
      <c r="D242" s="35"/>
      <c r="E242" s="3">
        <v>1</v>
      </c>
      <c r="F242" s="6"/>
      <c r="G242" s="8"/>
      <c r="H242" s="45">
        <v>14.52</v>
      </c>
      <c r="I242" s="19">
        <f t="shared" si="16"/>
        <v>0</v>
      </c>
      <c r="J242" s="64"/>
    </row>
    <row r="243" spans="1:10" hidden="1">
      <c r="A243" s="162" t="s">
        <v>220</v>
      </c>
      <c r="B243" s="133"/>
      <c r="C243" s="134" t="s">
        <v>268</v>
      </c>
      <c r="D243" s="35"/>
      <c r="E243" s="3">
        <v>1</v>
      </c>
      <c r="F243" s="6"/>
      <c r="G243" s="8"/>
      <c r="H243" s="45">
        <v>7.26</v>
      </c>
      <c r="I243" s="19">
        <f t="shared" si="16"/>
        <v>0</v>
      </c>
      <c r="J243" s="64"/>
    </row>
    <row r="244" spans="1:10" hidden="1">
      <c r="A244" s="162" t="s">
        <v>220</v>
      </c>
      <c r="B244" s="133"/>
      <c r="C244" s="134" t="s">
        <v>269</v>
      </c>
      <c r="D244" s="35"/>
      <c r="E244" s="3">
        <v>1</v>
      </c>
      <c r="F244" s="6"/>
      <c r="G244" s="8"/>
      <c r="H244" s="45">
        <v>7.26</v>
      </c>
      <c r="I244" s="19">
        <f t="shared" si="16"/>
        <v>0</v>
      </c>
      <c r="J244" s="64"/>
    </row>
    <row r="245" spans="1:10" hidden="1">
      <c r="A245" s="162" t="s">
        <v>220</v>
      </c>
      <c r="B245" s="133"/>
      <c r="C245" s="134" t="s">
        <v>270</v>
      </c>
      <c r="D245" s="35"/>
      <c r="E245" s="3">
        <v>1</v>
      </c>
      <c r="F245" s="6"/>
      <c r="G245" s="8"/>
      <c r="H245" s="45">
        <v>45.43</v>
      </c>
      <c r="I245" s="19">
        <f t="shared" si="16"/>
        <v>0</v>
      </c>
      <c r="J245" s="64"/>
    </row>
    <row r="246" spans="1:10" hidden="1">
      <c r="A246" s="162" t="s">
        <v>220</v>
      </c>
      <c r="B246" s="133"/>
      <c r="C246" s="134" t="s">
        <v>271</v>
      </c>
      <c r="D246" s="35"/>
      <c r="E246" s="3">
        <v>1</v>
      </c>
      <c r="F246" s="6"/>
      <c r="G246" s="8"/>
      <c r="H246" s="45">
        <v>45.43</v>
      </c>
      <c r="I246" s="19">
        <f t="shared" si="16"/>
        <v>0</v>
      </c>
      <c r="J246" s="64"/>
    </row>
    <row r="247" spans="1:10" hidden="1">
      <c r="A247" s="162" t="s">
        <v>220</v>
      </c>
      <c r="B247" s="133"/>
      <c r="C247" s="134" t="s">
        <v>320</v>
      </c>
      <c r="D247" s="35"/>
      <c r="E247" s="3">
        <v>1</v>
      </c>
      <c r="F247" s="6"/>
      <c r="G247" s="8"/>
      <c r="H247" s="45">
        <v>24.2</v>
      </c>
      <c r="I247" s="19">
        <f t="shared" si="16"/>
        <v>0</v>
      </c>
      <c r="J247" s="64"/>
    </row>
    <row r="248" spans="1:10" hidden="1">
      <c r="A248" s="162" t="s">
        <v>220</v>
      </c>
      <c r="B248" s="133"/>
      <c r="C248" s="134" t="s">
        <v>321</v>
      </c>
      <c r="D248" s="35"/>
      <c r="E248" s="3">
        <v>1</v>
      </c>
      <c r="F248" s="6"/>
      <c r="G248" s="8"/>
      <c r="H248" s="45">
        <v>34.76</v>
      </c>
      <c r="I248" s="19">
        <f t="shared" si="16"/>
        <v>0</v>
      </c>
      <c r="J248" s="64"/>
    </row>
    <row r="249" spans="1:10" hidden="1">
      <c r="A249" s="162" t="s">
        <v>220</v>
      </c>
      <c r="B249" s="133"/>
      <c r="C249" s="134" t="s">
        <v>322</v>
      </c>
      <c r="D249" s="35"/>
      <c r="E249" s="3">
        <v>1</v>
      </c>
      <c r="F249" s="6"/>
      <c r="G249" s="8"/>
      <c r="H249" s="45">
        <v>108.15</v>
      </c>
      <c r="I249" s="19">
        <f t="shared" si="16"/>
        <v>0</v>
      </c>
      <c r="J249" s="64"/>
    </row>
    <row r="250" spans="1:10" hidden="1">
      <c r="A250" s="162" t="s">
        <v>220</v>
      </c>
      <c r="B250" s="133"/>
      <c r="C250" s="134" t="s">
        <v>323</v>
      </c>
      <c r="D250" s="35"/>
      <c r="E250" s="3">
        <v>1</v>
      </c>
      <c r="F250" s="6"/>
      <c r="G250" s="8"/>
      <c r="H250" s="45">
        <v>46.35</v>
      </c>
      <c r="I250" s="19">
        <f t="shared" si="16"/>
        <v>0</v>
      </c>
      <c r="J250" s="64"/>
    </row>
    <row r="251" spans="1:10" hidden="1">
      <c r="A251" s="162" t="s">
        <v>220</v>
      </c>
      <c r="B251" s="133"/>
      <c r="C251" s="134" t="s">
        <v>324</v>
      </c>
      <c r="D251" s="35"/>
      <c r="E251" s="3">
        <v>1</v>
      </c>
      <c r="F251" s="6"/>
      <c r="G251" s="8"/>
      <c r="H251" s="45">
        <v>6.18</v>
      </c>
      <c r="I251" s="19">
        <f t="shared" si="16"/>
        <v>0</v>
      </c>
      <c r="J251" s="64"/>
    </row>
    <row r="252" spans="1:10" hidden="1">
      <c r="A252" s="162" t="s">
        <v>220</v>
      </c>
      <c r="B252" s="133"/>
      <c r="C252" s="134" t="s">
        <v>325</v>
      </c>
      <c r="D252" s="35"/>
      <c r="E252" s="3">
        <v>1</v>
      </c>
      <c r="F252" s="6"/>
      <c r="G252" s="8"/>
      <c r="H252" s="45">
        <v>6.18</v>
      </c>
      <c r="I252" s="19">
        <f t="shared" si="16"/>
        <v>0</v>
      </c>
      <c r="J252" s="64"/>
    </row>
    <row r="253" spans="1:10" hidden="1">
      <c r="A253" s="162" t="s">
        <v>220</v>
      </c>
      <c r="B253" s="133"/>
      <c r="C253" s="134" t="s">
        <v>326</v>
      </c>
      <c r="D253" s="35"/>
      <c r="E253" s="3">
        <v>1</v>
      </c>
      <c r="F253" s="6"/>
      <c r="G253" s="8"/>
      <c r="H253" s="45">
        <v>13.28</v>
      </c>
      <c r="I253" s="19">
        <f t="shared" si="16"/>
        <v>0</v>
      </c>
      <c r="J253" s="64"/>
    </row>
    <row r="254" spans="1:10" hidden="1">
      <c r="A254" s="162" t="s">
        <v>220</v>
      </c>
      <c r="B254" s="133"/>
      <c r="C254" s="134" t="s">
        <v>327</v>
      </c>
      <c r="D254" s="35"/>
      <c r="E254" s="3">
        <v>1</v>
      </c>
      <c r="F254" s="6"/>
      <c r="G254" s="8"/>
      <c r="H254" s="45">
        <v>13.28</v>
      </c>
      <c r="I254" s="19">
        <f t="shared" si="16"/>
        <v>0</v>
      </c>
      <c r="J254" s="64"/>
    </row>
    <row r="255" spans="1:10" hidden="1">
      <c r="A255" s="162" t="s">
        <v>220</v>
      </c>
      <c r="B255" s="133"/>
      <c r="C255" s="134" t="s">
        <v>221</v>
      </c>
      <c r="D255" s="35"/>
      <c r="E255" s="3">
        <v>1</v>
      </c>
      <c r="F255" s="6"/>
      <c r="G255" s="8"/>
      <c r="H255" s="45">
        <v>412.76</v>
      </c>
      <c r="I255" s="19">
        <f t="shared" si="16"/>
        <v>0</v>
      </c>
      <c r="J255" s="64"/>
    </row>
    <row r="256" spans="1:10" hidden="1">
      <c r="A256" s="162" t="s">
        <v>220</v>
      </c>
      <c r="B256" s="133"/>
      <c r="C256" s="134" t="s">
        <v>328</v>
      </c>
      <c r="D256" s="35"/>
      <c r="E256" s="3">
        <v>1</v>
      </c>
      <c r="F256" s="6"/>
      <c r="G256" s="8"/>
      <c r="H256" s="45">
        <v>165</v>
      </c>
      <c r="I256" s="19">
        <f t="shared" si="16"/>
        <v>0</v>
      </c>
      <c r="J256" s="64"/>
    </row>
    <row r="257" spans="1:10" hidden="1">
      <c r="A257" s="162" t="s">
        <v>220</v>
      </c>
      <c r="B257" s="133"/>
      <c r="C257" s="134" t="s">
        <v>272</v>
      </c>
      <c r="D257" s="35"/>
      <c r="E257" s="3">
        <v>1</v>
      </c>
      <c r="F257" s="6"/>
      <c r="G257" s="8"/>
      <c r="H257" s="45">
        <v>165</v>
      </c>
      <c r="I257" s="19">
        <f t="shared" si="16"/>
        <v>0</v>
      </c>
      <c r="J257" s="64"/>
    </row>
    <row r="258" spans="1:10" hidden="1">
      <c r="A258" s="162" t="s">
        <v>220</v>
      </c>
      <c r="B258" s="133"/>
      <c r="C258" s="134" t="s">
        <v>273</v>
      </c>
      <c r="D258" s="35"/>
      <c r="E258" s="3">
        <v>1</v>
      </c>
      <c r="F258" s="6"/>
      <c r="G258" s="8"/>
      <c r="H258" s="45">
        <v>171.6</v>
      </c>
      <c r="I258" s="19">
        <f t="shared" si="16"/>
        <v>0</v>
      </c>
      <c r="J258" s="64"/>
    </row>
    <row r="259" spans="1:10" hidden="1">
      <c r="A259" s="162" t="s">
        <v>220</v>
      </c>
      <c r="B259" s="133"/>
      <c r="C259" s="134" t="s">
        <v>274</v>
      </c>
      <c r="D259" s="35"/>
      <c r="E259" s="3">
        <v>1</v>
      </c>
      <c r="F259" s="6"/>
      <c r="G259" s="8"/>
      <c r="H259" s="45">
        <v>174.64</v>
      </c>
      <c r="I259" s="19">
        <f t="shared" si="16"/>
        <v>0</v>
      </c>
      <c r="J259" s="64"/>
    </row>
    <row r="260" spans="1:10" hidden="1">
      <c r="A260" s="162" t="s">
        <v>220</v>
      </c>
      <c r="B260" s="133"/>
      <c r="C260" s="134" t="s">
        <v>275</v>
      </c>
      <c r="D260" s="35"/>
      <c r="E260" s="3">
        <v>1</v>
      </c>
      <c r="F260" s="6"/>
      <c r="G260" s="8"/>
      <c r="H260" s="45">
        <v>7.6</v>
      </c>
      <c r="I260" s="19">
        <f t="shared" si="16"/>
        <v>0</v>
      </c>
      <c r="J260" s="64"/>
    </row>
    <row r="261" spans="1:10" hidden="1">
      <c r="A261" s="162" t="s">
        <v>220</v>
      </c>
      <c r="B261" s="133"/>
      <c r="C261" s="134" t="s">
        <v>329</v>
      </c>
      <c r="D261" s="35"/>
      <c r="E261" s="3">
        <v>1</v>
      </c>
      <c r="F261" s="6"/>
      <c r="G261" s="8"/>
      <c r="H261" s="45">
        <v>12.68</v>
      </c>
      <c r="I261" s="19">
        <f t="shared" si="16"/>
        <v>0</v>
      </c>
      <c r="J261" s="64"/>
    </row>
    <row r="262" spans="1:10" hidden="1">
      <c r="A262" s="162" t="s">
        <v>220</v>
      </c>
      <c r="B262" s="133"/>
      <c r="C262" s="134" t="s">
        <v>276</v>
      </c>
      <c r="D262" s="35"/>
      <c r="E262" s="3">
        <v>1</v>
      </c>
      <c r="F262" s="6"/>
      <c r="G262" s="8"/>
      <c r="H262" s="45">
        <v>30.03</v>
      </c>
      <c r="I262" s="19">
        <f t="shared" si="16"/>
        <v>0</v>
      </c>
      <c r="J262" s="64"/>
    </row>
    <row r="263" spans="1:10" hidden="1">
      <c r="A263" s="162" t="s">
        <v>220</v>
      </c>
      <c r="B263" s="133"/>
      <c r="C263" s="134" t="s">
        <v>277</v>
      </c>
      <c r="D263" s="35"/>
      <c r="E263" s="3">
        <v>1</v>
      </c>
      <c r="F263" s="6"/>
      <c r="G263" s="8"/>
      <c r="H263" s="45">
        <v>30.03</v>
      </c>
      <c r="I263" s="19">
        <f t="shared" si="16"/>
        <v>0</v>
      </c>
      <c r="J263" s="64"/>
    </row>
    <row r="264" spans="1:10" hidden="1">
      <c r="A264" s="162" t="s">
        <v>220</v>
      </c>
      <c r="B264" s="133"/>
      <c r="C264" s="134" t="s">
        <v>278</v>
      </c>
      <c r="D264" s="35"/>
      <c r="E264" s="3">
        <v>1</v>
      </c>
      <c r="F264" s="6"/>
      <c r="G264" s="8"/>
      <c r="H264" s="45">
        <v>18.25</v>
      </c>
      <c r="I264" s="19">
        <f t="shared" si="16"/>
        <v>0</v>
      </c>
      <c r="J264" s="64"/>
    </row>
    <row r="265" spans="1:10" hidden="1">
      <c r="A265" s="162" t="s">
        <v>220</v>
      </c>
      <c r="B265" s="133" t="s">
        <v>279</v>
      </c>
      <c r="C265" s="134" t="s">
        <v>280</v>
      </c>
      <c r="D265" s="35"/>
      <c r="E265" s="3">
        <v>1</v>
      </c>
      <c r="F265" s="6"/>
      <c r="G265" s="8"/>
      <c r="H265" s="45">
        <v>26.95</v>
      </c>
      <c r="I265" s="19">
        <f t="shared" si="16"/>
        <v>0</v>
      </c>
      <c r="J265" s="64"/>
    </row>
    <row r="266" spans="1:10" hidden="1">
      <c r="A266" s="162" t="s">
        <v>220</v>
      </c>
      <c r="B266" s="133" t="s">
        <v>281</v>
      </c>
      <c r="C266" s="134" t="s">
        <v>282</v>
      </c>
      <c r="D266" s="35"/>
      <c r="E266" s="3">
        <v>1</v>
      </c>
      <c r="F266" s="6"/>
      <c r="G266" s="8"/>
      <c r="H266" s="45">
        <v>26.95</v>
      </c>
      <c r="I266" s="19">
        <f t="shared" si="16"/>
        <v>0</v>
      </c>
      <c r="J266" s="64"/>
    </row>
    <row r="267" spans="1:10" hidden="1">
      <c r="A267" s="162" t="s">
        <v>220</v>
      </c>
      <c r="B267" s="133" t="s">
        <v>283</v>
      </c>
      <c r="C267" s="134" t="s">
        <v>284</v>
      </c>
      <c r="D267" s="35"/>
      <c r="E267" s="3">
        <v>1</v>
      </c>
      <c r="F267" s="6"/>
      <c r="G267" s="8"/>
      <c r="H267" s="45">
        <v>20.02</v>
      </c>
      <c r="I267" s="19">
        <f t="shared" si="16"/>
        <v>0</v>
      </c>
      <c r="J267" s="64"/>
    </row>
    <row r="268" spans="1:10" hidden="1">
      <c r="A268" s="162" t="s">
        <v>220</v>
      </c>
      <c r="B268" s="133" t="s">
        <v>285</v>
      </c>
      <c r="C268" s="134" t="s">
        <v>286</v>
      </c>
      <c r="D268" s="35"/>
      <c r="E268" s="3">
        <v>1</v>
      </c>
      <c r="F268" s="6"/>
      <c r="G268" s="8"/>
      <c r="H268" s="45">
        <v>20.02</v>
      </c>
      <c r="I268" s="19">
        <f t="shared" si="16"/>
        <v>0</v>
      </c>
      <c r="J268" s="64"/>
    </row>
    <row r="269" spans="1:10" hidden="1">
      <c r="A269" s="162" t="s">
        <v>220</v>
      </c>
      <c r="B269" s="133" t="s">
        <v>285</v>
      </c>
      <c r="C269" s="134" t="s">
        <v>287</v>
      </c>
      <c r="D269" s="35"/>
      <c r="E269" s="3">
        <v>1</v>
      </c>
      <c r="F269" s="6"/>
      <c r="G269" s="8"/>
      <c r="H269" s="45">
        <v>16.170000000000002</v>
      </c>
      <c r="I269" s="19">
        <f t="shared" si="16"/>
        <v>0</v>
      </c>
      <c r="J269" s="64"/>
    </row>
    <row r="270" spans="1:10" hidden="1">
      <c r="A270" s="162" t="s">
        <v>220</v>
      </c>
      <c r="B270" s="133" t="s">
        <v>288</v>
      </c>
      <c r="C270" s="134" t="s">
        <v>289</v>
      </c>
      <c r="D270" s="35"/>
      <c r="E270" s="3">
        <v>1</v>
      </c>
      <c r="F270" s="6"/>
      <c r="G270" s="8"/>
      <c r="H270" s="45">
        <v>16.170000000000002</v>
      </c>
      <c r="I270" s="19">
        <f t="shared" si="16"/>
        <v>0</v>
      </c>
      <c r="J270" s="64"/>
    </row>
    <row r="271" spans="1:10" hidden="1">
      <c r="A271" s="162" t="s">
        <v>220</v>
      </c>
      <c r="B271" s="133" t="s">
        <v>290</v>
      </c>
      <c r="C271" s="134" t="s">
        <v>291</v>
      </c>
      <c r="D271" s="35"/>
      <c r="E271" s="3">
        <v>1</v>
      </c>
      <c r="F271" s="6"/>
      <c r="G271" s="8"/>
      <c r="H271" s="45">
        <v>21.56</v>
      </c>
      <c r="I271" s="19">
        <f t="shared" si="16"/>
        <v>0</v>
      </c>
      <c r="J271" s="64"/>
    </row>
    <row r="272" spans="1:10" hidden="1">
      <c r="A272" s="162" t="s">
        <v>220</v>
      </c>
      <c r="B272" s="133" t="s">
        <v>292</v>
      </c>
      <c r="C272" s="134" t="s">
        <v>293</v>
      </c>
      <c r="D272" s="35"/>
      <c r="E272" s="3">
        <v>1</v>
      </c>
      <c r="F272" s="6"/>
      <c r="G272" s="8"/>
      <c r="H272" s="45">
        <v>21.56</v>
      </c>
      <c r="I272" s="19">
        <f t="shared" si="16"/>
        <v>0</v>
      </c>
      <c r="J272" s="64"/>
    </row>
    <row r="273" spans="1:10" hidden="1">
      <c r="A273" s="162" t="s">
        <v>220</v>
      </c>
      <c r="B273" s="133" t="s">
        <v>294</v>
      </c>
      <c r="C273" s="134" t="s">
        <v>295</v>
      </c>
      <c r="D273" s="35"/>
      <c r="E273" s="3">
        <v>1</v>
      </c>
      <c r="F273" s="6"/>
      <c r="G273" s="8"/>
      <c r="H273" s="45">
        <v>25.41</v>
      </c>
      <c r="I273" s="19">
        <f t="shared" si="16"/>
        <v>0</v>
      </c>
      <c r="J273" s="64"/>
    </row>
    <row r="274" spans="1:10" hidden="1">
      <c r="A274" s="162" t="s">
        <v>220</v>
      </c>
      <c r="B274" s="133" t="s">
        <v>296</v>
      </c>
      <c r="C274" s="134" t="s">
        <v>297</v>
      </c>
      <c r="D274" s="35"/>
      <c r="E274" s="3">
        <v>1</v>
      </c>
      <c r="F274" s="6"/>
      <c r="G274" s="8"/>
      <c r="H274" s="45">
        <v>25.41</v>
      </c>
      <c r="I274" s="19">
        <f t="shared" si="16"/>
        <v>0</v>
      </c>
      <c r="J274" s="64"/>
    </row>
    <row r="275" spans="1:10" hidden="1">
      <c r="A275" s="162" t="s">
        <v>220</v>
      </c>
      <c r="B275" s="133"/>
      <c r="C275" s="134" t="s">
        <v>330</v>
      </c>
      <c r="D275" s="35"/>
      <c r="E275" s="3">
        <v>1</v>
      </c>
      <c r="F275" s="6"/>
      <c r="G275" s="8"/>
      <c r="H275" s="45">
        <v>1333.5</v>
      </c>
      <c r="I275" s="19">
        <f t="shared" si="16"/>
        <v>0</v>
      </c>
      <c r="J275" s="64"/>
    </row>
    <row r="276" spans="1:10" hidden="1">
      <c r="A276" s="162" t="s">
        <v>220</v>
      </c>
      <c r="B276" s="133"/>
      <c r="C276" s="134" t="s">
        <v>298</v>
      </c>
      <c r="D276" s="35"/>
      <c r="E276" s="3">
        <v>1</v>
      </c>
      <c r="F276" s="6"/>
      <c r="G276" s="8"/>
      <c r="H276" s="45">
        <v>156.97999999999999</v>
      </c>
      <c r="I276" s="19">
        <f t="shared" si="16"/>
        <v>0</v>
      </c>
      <c r="J276" s="64"/>
    </row>
    <row r="277" spans="1:10" hidden="1">
      <c r="A277" s="162" t="s">
        <v>220</v>
      </c>
      <c r="B277" s="133"/>
      <c r="C277" s="134" t="s">
        <v>331</v>
      </c>
      <c r="D277" s="35"/>
      <c r="E277" s="3">
        <v>1</v>
      </c>
      <c r="F277" s="6"/>
      <c r="G277" s="8"/>
      <c r="H277" s="45">
        <v>242.88</v>
      </c>
      <c r="I277" s="19">
        <f t="shared" si="16"/>
        <v>0</v>
      </c>
      <c r="J277" s="64"/>
    </row>
    <row r="278" spans="1:10" hidden="1">
      <c r="A278" s="162" t="s">
        <v>220</v>
      </c>
      <c r="B278" s="133"/>
      <c r="C278" s="134" t="s">
        <v>299</v>
      </c>
      <c r="D278" s="35"/>
      <c r="E278" s="3">
        <v>1</v>
      </c>
      <c r="F278" s="6"/>
      <c r="G278" s="8"/>
      <c r="H278" s="45">
        <v>242.88</v>
      </c>
      <c r="I278" s="19">
        <f t="shared" si="16"/>
        <v>0</v>
      </c>
      <c r="J278" s="64"/>
    </row>
    <row r="279" spans="1:10" hidden="1">
      <c r="A279" s="162" t="s">
        <v>220</v>
      </c>
      <c r="B279" s="133"/>
      <c r="C279" s="134" t="s">
        <v>300</v>
      </c>
      <c r="D279" s="35"/>
      <c r="E279" s="3">
        <v>1</v>
      </c>
      <c r="F279" s="6"/>
      <c r="G279" s="8"/>
      <c r="H279" s="45">
        <v>319.44</v>
      </c>
      <c r="I279" s="19">
        <f t="shared" si="16"/>
        <v>0</v>
      </c>
      <c r="J279" s="64"/>
    </row>
    <row r="280" spans="1:10" hidden="1">
      <c r="A280" s="162" t="s">
        <v>220</v>
      </c>
      <c r="B280" s="133"/>
      <c r="C280" s="134" t="s">
        <v>301</v>
      </c>
      <c r="D280" s="35"/>
      <c r="E280" s="3">
        <v>1</v>
      </c>
      <c r="F280" s="6"/>
      <c r="G280" s="8"/>
      <c r="H280" s="45">
        <v>297</v>
      </c>
      <c r="I280" s="19">
        <f t="shared" si="16"/>
        <v>0</v>
      </c>
      <c r="J280" s="64"/>
    </row>
    <row r="281" spans="1:10" hidden="1">
      <c r="A281" s="162" t="s">
        <v>220</v>
      </c>
      <c r="B281" s="133"/>
      <c r="C281" s="134" t="s">
        <v>302</v>
      </c>
      <c r="D281" s="35"/>
      <c r="E281" s="3">
        <v>1</v>
      </c>
      <c r="F281" s="6"/>
      <c r="G281" s="8"/>
      <c r="H281" s="45">
        <v>132</v>
      </c>
      <c r="I281" s="19">
        <f t="shared" si="16"/>
        <v>0</v>
      </c>
      <c r="J281" s="64"/>
    </row>
    <row r="282" spans="1:10" hidden="1">
      <c r="A282" s="162" t="s">
        <v>220</v>
      </c>
      <c r="B282" s="133"/>
      <c r="C282" s="134" t="s">
        <v>332</v>
      </c>
      <c r="D282" s="35"/>
      <c r="E282" s="3">
        <v>1</v>
      </c>
      <c r="F282" s="6"/>
      <c r="G282" s="8"/>
      <c r="H282" s="45">
        <v>13.53</v>
      </c>
      <c r="I282" s="19">
        <f t="shared" si="16"/>
        <v>0</v>
      </c>
      <c r="J282" s="64"/>
    </row>
    <row r="283" spans="1:10" hidden="1">
      <c r="A283" s="162" t="s">
        <v>220</v>
      </c>
      <c r="B283" s="133"/>
      <c r="C283" s="134" t="s">
        <v>333</v>
      </c>
      <c r="D283" s="35"/>
      <c r="E283" s="3">
        <v>1</v>
      </c>
      <c r="F283" s="6"/>
      <c r="G283" s="8"/>
      <c r="H283" s="45"/>
      <c r="I283" s="19">
        <f t="shared" si="16"/>
        <v>0</v>
      </c>
      <c r="J283" s="64"/>
    </row>
    <row r="284" spans="1:10" hidden="1">
      <c r="A284" s="162" t="s">
        <v>220</v>
      </c>
      <c r="B284" s="133"/>
      <c r="C284" s="134" t="s">
        <v>334</v>
      </c>
      <c r="D284" s="35"/>
      <c r="E284" s="3">
        <v>1</v>
      </c>
      <c r="F284" s="6"/>
      <c r="G284" s="8"/>
      <c r="H284" s="45">
        <v>21.5</v>
      </c>
      <c r="I284" s="19">
        <f t="shared" si="16"/>
        <v>0</v>
      </c>
      <c r="J284" s="64"/>
    </row>
    <row r="285" spans="1:10" hidden="1">
      <c r="A285" s="162" t="s">
        <v>220</v>
      </c>
      <c r="B285" s="133"/>
      <c r="C285" s="134" t="s">
        <v>335</v>
      </c>
      <c r="D285" s="35"/>
      <c r="E285" s="3">
        <v>1</v>
      </c>
      <c r="F285" s="6"/>
      <c r="G285" s="8"/>
      <c r="H285" s="45">
        <v>21</v>
      </c>
      <c r="I285" s="19">
        <f t="shared" si="16"/>
        <v>0</v>
      </c>
      <c r="J285" s="64"/>
    </row>
    <row r="286" spans="1:10" hidden="1">
      <c r="A286" s="162" t="s">
        <v>220</v>
      </c>
      <c r="B286" s="133"/>
      <c r="C286" s="134" t="s">
        <v>336</v>
      </c>
      <c r="D286" s="35"/>
      <c r="E286" s="3">
        <v>1</v>
      </c>
      <c r="F286" s="6"/>
      <c r="G286" s="8"/>
      <c r="H286" s="45">
        <v>42</v>
      </c>
      <c r="I286" s="19">
        <f t="shared" si="16"/>
        <v>0</v>
      </c>
      <c r="J286" s="64"/>
    </row>
    <row r="287" spans="1:10" hidden="1">
      <c r="A287" s="162" t="s">
        <v>220</v>
      </c>
      <c r="B287" s="133"/>
      <c r="C287" s="134" t="s">
        <v>337</v>
      </c>
      <c r="D287" s="35"/>
      <c r="E287" s="3">
        <v>1</v>
      </c>
      <c r="F287" s="6"/>
      <c r="G287" s="8"/>
      <c r="H287" s="45">
        <v>10.5</v>
      </c>
      <c r="I287" s="19">
        <f t="shared" si="16"/>
        <v>0</v>
      </c>
      <c r="J287" s="64"/>
    </row>
    <row r="288" spans="1:10" hidden="1">
      <c r="A288" s="162" t="s">
        <v>220</v>
      </c>
      <c r="B288" s="133"/>
      <c r="C288" s="134" t="s">
        <v>338</v>
      </c>
      <c r="D288" s="35"/>
      <c r="E288" s="3">
        <v>1</v>
      </c>
      <c r="F288" s="6"/>
      <c r="G288" s="8"/>
      <c r="H288" s="45">
        <v>10.5</v>
      </c>
      <c r="I288" s="19">
        <f t="shared" si="16"/>
        <v>0</v>
      </c>
      <c r="J288" s="64"/>
    </row>
    <row r="289" spans="1:10" hidden="1">
      <c r="A289" s="162" t="s">
        <v>220</v>
      </c>
      <c r="B289" s="133"/>
      <c r="C289" s="134" t="s">
        <v>339</v>
      </c>
      <c r="D289" s="35"/>
      <c r="E289" s="3">
        <v>1</v>
      </c>
      <c r="F289" s="6"/>
      <c r="G289" s="8"/>
      <c r="H289" s="45">
        <v>15.75</v>
      </c>
      <c r="I289" s="19">
        <f t="shared" si="16"/>
        <v>0</v>
      </c>
      <c r="J289" s="64"/>
    </row>
    <row r="290" spans="1:10" hidden="1">
      <c r="A290" s="162" t="s">
        <v>220</v>
      </c>
      <c r="B290" s="133"/>
      <c r="C290" s="134" t="s">
        <v>340</v>
      </c>
      <c r="D290" s="35"/>
      <c r="E290" s="3">
        <v>1</v>
      </c>
      <c r="F290" s="6"/>
      <c r="G290" s="8"/>
      <c r="H290" s="45">
        <v>47.34</v>
      </c>
      <c r="I290" s="19">
        <f t="shared" si="16"/>
        <v>0</v>
      </c>
      <c r="J290" s="64"/>
    </row>
    <row r="291" spans="1:10" hidden="1">
      <c r="A291" s="162" t="s">
        <v>220</v>
      </c>
      <c r="B291" s="133" t="s">
        <v>303</v>
      </c>
      <c r="C291" s="134" t="s">
        <v>304</v>
      </c>
      <c r="D291" s="35"/>
      <c r="E291" s="3">
        <v>1</v>
      </c>
      <c r="F291" s="6"/>
      <c r="G291" s="8"/>
      <c r="H291" s="45">
        <v>66</v>
      </c>
      <c r="I291" s="19">
        <f t="shared" si="16"/>
        <v>0</v>
      </c>
      <c r="J291" s="64"/>
    </row>
    <row r="292" spans="1:10" hidden="1">
      <c r="A292" s="162" t="s">
        <v>220</v>
      </c>
      <c r="B292" s="133" t="s">
        <v>305</v>
      </c>
      <c r="C292" s="134" t="s">
        <v>306</v>
      </c>
      <c r="D292" s="35"/>
      <c r="E292" s="3">
        <v>1</v>
      </c>
      <c r="F292" s="6"/>
      <c r="G292" s="8"/>
      <c r="H292" s="45">
        <v>11</v>
      </c>
      <c r="I292" s="19">
        <f t="shared" si="16"/>
        <v>0</v>
      </c>
      <c r="J292" s="64"/>
    </row>
    <row r="293" spans="1:10" hidden="1">
      <c r="A293" s="162" t="s">
        <v>220</v>
      </c>
      <c r="B293" s="133" t="s">
        <v>307</v>
      </c>
      <c r="C293" s="134" t="s">
        <v>308</v>
      </c>
      <c r="D293" s="35"/>
      <c r="E293" s="3">
        <v>1</v>
      </c>
      <c r="F293" s="6"/>
      <c r="G293" s="8"/>
      <c r="H293" s="45">
        <v>36.75</v>
      </c>
      <c r="I293" s="19">
        <f t="shared" si="16"/>
        <v>0</v>
      </c>
      <c r="J293" s="64"/>
    </row>
    <row r="294" spans="1:10" hidden="1">
      <c r="A294" s="162" t="s">
        <v>220</v>
      </c>
      <c r="B294" s="133" t="s">
        <v>290</v>
      </c>
      <c r="C294" s="134" t="s">
        <v>309</v>
      </c>
      <c r="D294" s="35"/>
      <c r="E294" s="3">
        <v>1</v>
      </c>
      <c r="F294" s="6"/>
      <c r="G294" s="8"/>
      <c r="H294" s="45">
        <v>14.17</v>
      </c>
      <c r="I294" s="19">
        <f t="shared" ref="I294:I357" si="17">F294*H294</f>
        <v>0</v>
      </c>
      <c r="J294" s="64"/>
    </row>
    <row r="295" spans="1:10" hidden="1">
      <c r="A295" s="162" t="s">
        <v>220</v>
      </c>
      <c r="B295" s="133" t="s">
        <v>341</v>
      </c>
      <c r="C295" s="134" t="s">
        <v>342</v>
      </c>
      <c r="D295" s="35"/>
      <c r="E295" s="3">
        <v>1</v>
      </c>
      <c r="F295" s="6"/>
      <c r="G295" s="8"/>
      <c r="H295" s="45">
        <v>32.450000000000003</v>
      </c>
      <c r="I295" s="19">
        <f t="shared" si="17"/>
        <v>0</v>
      </c>
      <c r="J295" s="64"/>
    </row>
    <row r="296" spans="1:10" hidden="1">
      <c r="A296" s="162" t="s">
        <v>220</v>
      </c>
      <c r="B296" s="133"/>
      <c r="C296" s="134" t="s">
        <v>343</v>
      </c>
      <c r="D296" s="35"/>
      <c r="E296" s="3">
        <v>1</v>
      </c>
      <c r="F296" s="6"/>
      <c r="G296" s="8"/>
      <c r="H296" s="45">
        <v>211.2</v>
      </c>
      <c r="I296" s="19">
        <f t="shared" si="17"/>
        <v>0</v>
      </c>
      <c r="J296" s="64"/>
    </row>
    <row r="297" spans="1:10" hidden="1">
      <c r="A297" s="162" t="s">
        <v>220</v>
      </c>
      <c r="B297" s="133"/>
      <c r="C297" s="134" t="s">
        <v>344</v>
      </c>
      <c r="D297" s="35"/>
      <c r="E297" s="3">
        <v>1</v>
      </c>
      <c r="F297" s="6"/>
      <c r="G297" s="8"/>
      <c r="H297" s="45">
        <v>22</v>
      </c>
      <c r="I297" s="19">
        <f t="shared" si="17"/>
        <v>0</v>
      </c>
      <c r="J297" s="64"/>
    </row>
    <row r="298" spans="1:10" hidden="1">
      <c r="A298" s="162" t="s">
        <v>220</v>
      </c>
      <c r="B298" s="133" t="s">
        <v>345</v>
      </c>
      <c r="C298" s="134" t="s">
        <v>346</v>
      </c>
      <c r="D298" s="35"/>
      <c r="E298" s="3">
        <v>1</v>
      </c>
      <c r="F298" s="6"/>
      <c r="G298" s="8"/>
      <c r="H298" s="45">
        <v>27</v>
      </c>
      <c r="I298" s="19">
        <f t="shared" si="17"/>
        <v>0</v>
      </c>
      <c r="J298" s="64"/>
    </row>
    <row r="299" spans="1:10" hidden="1">
      <c r="A299" s="162" t="s">
        <v>220</v>
      </c>
      <c r="B299" s="133"/>
      <c r="C299" s="134" t="s">
        <v>347</v>
      </c>
      <c r="D299" s="35"/>
      <c r="E299" s="3">
        <v>1</v>
      </c>
      <c r="F299" s="6"/>
      <c r="G299" s="8"/>
      <c r="H299" s="45">
        <v>19.25</v>
      </c>
      <c r="I299" s="19">
        <f t="shared" si="17"/>
        <v>0</v>
      </c>
      <c r="J299" s="64"/>
    </row>
    <row r="300" spans="1:10" hidden="1">
      <c r="A300" s="162" t="s">
        <v>220</v>
      </c>
      <c r="B300" s="133" t="s">
        <v>348</v>
      </c>
      <c r="C300" s="134" t="s">
        <v>349</v>
      </c>
      <c r="D300" s="35"/>
      <c r="E300" s="3">
        <v>1</v>
      </c>
      <c r="F300" s="6"/>
      <c r="G300" s="8"/>
      <c r="H300" s="45">
        <v>1.2</v>
      </c>
      <c r="I300" s="19">
        <f t="shared" si="17"/>
        <v>0</v>
      </c>
      <c r="J300" s="64"/>
    </row>
    <row r="301" spans="1:10" hidden="1">
      <c r="A301" s="162" t="s">
        <v>220</v>
      </c>
      <c r="B301" s="133"/>
      <c r="C301" s="134" t="s">
        <v>350</v>
      </c>
      <c r="D301" s="35"/>
      <c r="E301" s="3">
        <v>1</v>
      </c>
      <c r="F301" s="6"/>
      <c r="G301" s="8"/>
      <c r="H301" s="45">
        <v>0</v>
      </c>
      <c r="I301" s="19">
        <f t="shared" si="17"/>
        <v>0</v>
      </c>
      <c r="J301" s="64"/>
    </row>
    <row r="302" spans="1:10" hidden="1">
      <c r="A302" s="162" t="s">
        <v>220</v>
      </c>
      <c r="B302" s="133"/>
      <c r="C302" s="134" t="s">
        <v>351</v>
      </c>
      <c r="D302" s="35"/>
      <c r="E302" s="3">
        <v>1</v>
      </c>
      <c r="F302" s="6"/>
      <c r="G302" s="8"/>
      <c r="H302" s="45">
        <v>65</v>
      </c>
      <c r="I302" s="19">
        <f t="shared" si="17"/>
        <v>0</v>
      </c>
      <c r="J302" s="64"/>
    </row>
    <row r="303" spans="1:10" hidden="1">
      <c r="A303" s="162" t="s">
        <v>220</v>
      </c>
      <c r="B303" s="133"/>
      <c r="C303" s="134" t="s">
        <v>352</v>
      </c>
      <c r="D303" s="35"/>
      <c r="E303" s="3">
        <v>1</v>
      </c>
      <c r="F303" s="6"/>
      <c r="G303" s="8"/>
      <c r="H303" s="45">
        <v>110</v>
      </c>
      <c r="I303" s="19">
        <f t="shared" si="17"/>
        <v>0</v>
      </c>
      <c r="J303" s="64"/>
    </row>
    <row r="304" spans="1:10" hidden="1">
      <c r="A304" s="162" t="s">
        <v>220</v>
      </c>
      <c r="B304" s="133"/>
      <c r="C304" s="134" t="s">
        <v>353</v>
      </c>
      <c r="D304" s="35"/>
      <c r="E304" s="3">
        <v>1</v>
      </c>
      <c r="F304" s="6"/>
      <c r="G304" s="8"/>
      <c r="H304" s="45">
        <v>70</v>
      </c>
      <c r="I304" s="19">
        <f t="shared" si="17"/>
        <v>0</v>
      </c>
      <c r="J304" s="64"/>
    </row>
    <row r="305" spans="1:10" hidden="1">
      <c r="A305" s="162" t="s">
        <v>220</v>
      </c>
      <c r="B305" s="133"/>
      <c r="C305" s="134" t="s">
        <v>354</v>
      </c>
      <c r="D305" s="35"/>
      <c r="E305" s="3">
        <v>1</v>
      </c>
      <c r="F305" s="6"/>
      <c r="G305" s="8"/>
      <c r="H305" s="45">
        <v>40</v>
      </c>
      <c r="I305" s="19">
        <f t="shared" si="17"/>
        <v>0</v>
      </c>
      <c r="J305" s="64"/>
    </row>
    <row r="306" spans="1:10" hidden="1">
      <c r="A306" s="162" t="s">
        <v>220</v>
      </c>
      <c r="B306" s="133"/>
      <c r="C306" s="134" t="s">
        <v>355</v>
      </c>
      <c r="D306" s="35"/>
      <c r="E306" s="3">
        <v>1</v>
      </c>
      <c r="F306" s="6"/>
      <c r="G306" s="8"/>
      <c r="H306" s="45">
        <v>20</v>
      </c>
      <c r="I306" s="19">
        <f t="shared" si="17"/>
        <v>0</v>
      </c>
      <c r="J306" s="64"/>
    </row>
    <row r="307" spans="1:10" hidden="1">
      <c r="A307" s="162" t="s">
        <v>220</v>
      </c>
      <c r="B307" s="133"/>
      <c r="C307" s="134" t="s">
        <v>356</v>
      </c>
      <c r="D307" s="35"/>
      <c r="E307" s="3">
        <v>1</v>
      </c>
      <c r="F307" s="6"/>
      <c r="G307" s="8"/>
      <c r="H307" s="45">
        <v>60</v>
      </c>
      <c r="I307" s="19">
        <f t="shared" si="17"/>
        <v>0</v>
      </c>
      <c r="J307" s="64"/>
    </row>
    <row r="308" spans="1:10" hidden="1">
      <c r="A308" s="162" t="s">
        <v>220</v>
      </c>
      <c r="B308" s="133"/>
      <c r="C308" s="134" t="s">
        <v>357</v>
      </c>
      <c r="D308" s="35"/>
      <c r="E308" s="3">
        <v>1</v>
      </c>
      <c r="F308" s="6"/>
      <c r="G308" s="8"/>
      <c r="H308" s="45">
        <v>70</v>
      </c>
      <c r="I308" s="19">
        <f t="shared" si="17"/>
        <v>0</v>
      </c>
      <c r="J308" s="64"/>
    </row>
    <row r="309" spans="1:10" hidden="1">
      <c r="A309" s="162" t="s">
        <v>220</v>
      </c>
      <c r="B309" s="133"/>
      <c r="C309" s="134" t="s">
        <v>358</v>
      </c>
      <c r="D309" s="35"/>
      <c r="E309" s="3">
        <v>1</v>
      </c>
      <c r="F309" s="6"/>
      <c r="G309" s="8"/>
      <c r="H309" s="45">
        <v>120</v>
      </c>
      <c r="I309" s="19">
        <f t="shared" si="17"/>
        <v>0</v>
      </c>
      <c r="J309" s="64"/>
    </row>
    <row r="310" spans="1:10" hidden="1">
      <c r="A310" s="162" t="s">
        <v>220</v>
      </c>
      <c r="B310" s="133"/>
      <c r="C310" s="134" t="s">
        <v>359</v>
      </c>
      <c r="D310" s="35"/>
      <c r="E310" s="3">
        <v>1</v>
      </c>
      <c r="F310" s="6"/>
      <c r="G310" s="8"/>
      <c r="H310" s="45">
        <v>100</v>
      </c>
      <c r="I310" s="19">
        <f t="shared" si="17"/>
        <v>0</v>
      </c>
      <c r="J310" s="64"/>
    </row>
    <row r="311" spans="1:10" hidden="1">
      <c r="A311" s="162" t="s">
        <v>220</v>
      </c>
      <c r="B311" s="133"/>
      <c r="C311" s="134" t="s">
        <v>360</v>
      </c>
      <c r="D311" s="35"/>
      <c r="E311" s="3">
        <v>1</v>
      </c>
      <c r="F311" s="6"/>
      <c r="G311" s="8"/>
      <c r="H311" s="45">
        <v>250</v>
      </c>
      <c r="I311" s="19">
        <f t="shared" si="17"/>
        <v>0</v>
      </c>
      <c r="J311" s="64"/>
    </row>
    <row r="312" spans="1:10" hidden="1">
      <c r="A312" s="162" t="s">
        <v>220</v>
      </c>
      <c r="B312" s="133"/>
      <c r="C312" s="134" t="s">
        <v>361</v>
      </c>
      <c r="D312" s="35"/>
      <c r="E312" s="3">
        <v>1</v>
      </c>
      <c r="F312" s="6"/>
      <c r="G312" s="8"/>
      <c r="H312" s="45">
        <v>8</v>
      </c>
      <c r="I312" s="19">
        <f t="shared" si="17"/>
        <v>0</v>
      </c>
      <c r="J312" s="64"/>
    </row>
    <row r="313" spans="1:10" hidden="1">
      <c r="A313" s="162" t="s">
        <v>220</v>
      </c>
      <c r="B313" s="133"/>
      <c r="C313" s="134" t="s">
        <v>362</v>
      </c>
      <c r="D313" s="35"/>
      <c r="E313" s="3">
        <v>1</v>
      </c>
      <c r="F313" s="6"/>
      <c r="G313" s="8"/>
      <c r="H313" s="45">
        <v>5</v>
      </c>
      <c r="I313" s="19">
        <f t="shared" si="17"/>
        <v>0</v>
      </c>
      <c r="J313" s="64"/>
    </row>
    <row r="314" spans="1:10" hidden="1">
      <c r="A314" s="162" t="s">
        <v>220</v>
      </c>
      <c r="B314" s="133"/>
      <c r="C314" s="134" t="s">
        <v>363</v>
      </c>
      <c r="D314" s="35"/>
      <c r="E314" s="3">
        <v>1</v>
      </c>
      <c r="F314" s="6"/>
      <c r="G314" s="8"/>
      <c r="H314" s="45">
        <v>95</v>
      </c>
      <c r="I314" s="19">
        <f t="shared" si="17"/>
        <v>0</v>
      </c>
      <c r="J314" s="64"/>
    </row>
    <row r="315" spans="1:10" hidden="1">
      <c r="A315" s="162" t="s">
        <v>220</v>
      </c>
      <c r="B315" s="133"/>
      <c r="C315" s="134" t="s">
        <v>364</v>
      </c>
      <c r="D315" s="35"/>
      <c r="E315" s="3">
        <v>1</v>
      </c>
      <c r="F315" s="6"/>
      <c r="G315" s="8"/>
      <c r="H315" s="45">
        <v>120</v>
      </c>
      <c r="I315" s="19">
        <f t="shared" si="17"/>
        <v>0</v>
      </c>
      <c r="J315" s="64"/>
    </row>
    <row r="316" spans="1:10" hidden="1">
      <c r="A316" s="162" t="s">
        <v>220</v>
      </c>
      <c r="B316" s="133"/>
      <c r="C316" s="134" t="s">
        <v>365</v>
      </c>
      <c r="D316" s="35"/>
      <c r="E316" s="3">
        <v>1</v>
      </c>
      <c r="F316" s="6"/>
      <c r="G316" s="8"/>
      <c r="H316" s="45">
        <v>80</v>
      </c>
      <c r="I316" s="19">
        <f t="shared" si="17"/>
        <v>0</v>
      </c>
      <c r="J316" s="64"/>
    </row>
    <row r="317" spans="1:10" hidden="1">
      <c r="A317" s="162" t="s">
        <v>220</v>
      </c>
      <c r="B317" s="133"/>
      <c r="C317" s="134" t="s">
        <v>366</v>
      </c>
      <c r="D317" s="35"/>
      <c r="E317" s="3">
        <v>1</v>
      </c>
      <c r="F317" s="6"/>
      <c r="G317" s="8"/>
      <c r="H317" s="45">
        <v>1</v>
      </c>
      <c r="I317" s="19">
        <f t="shared" si="17"/>
        <v>0</v>
      </c>
      <c r="J317" s="64"/>
    </row>
    <row r="318" spans="1:10" hidden="1">
      <c r="A318" s="162" t="s">
        <v>220</v>
      </c>
      <c r="B318" s="133"/>
      <c r="C318" s="134" t="s">
        <v>367</v>
      </c>
      <c r="D318" s="35"/>
      <c r="E318" s="3">
        <v>1</v>
      </c>
      <c r="F318" s="6"/>
      <c r="G318" s="8"/>
      <c r="H318" s="45">
        <v>0</v>
      </c>
      <c r="I318" s="19">
        <f t="shared" si="17"/>
        <v>0</v>
      </c>
      <c r="J318" s="64"/>
    </row>
    <row r="319" spans="1:10" hidden="1">
      <c r="A319" s="162" t="s">
        <v>220</v>
      </c>
      <c r="B319" s="133"/>
      <c r="C319" s="134" t="s">
        <v>368</v>
      </c>
      <c r="D319" s="35"/>
      <c r="E319" s="3">
        <v>1</v>
      </c>
      <c r="F319" s="6"/>
      <c r="G319" s="8"/>
      <c r="H319" s="45">
        <v>55</v>
      </c>
      <c r="I319" s="19">
        <f t="shared" si="17"/>
        <v>0</v>
      </c>
      <c r="J319" s="64"/>
    </row>
    <row r="320" spans="1:10" hidden="1">
      <c r="A320" s="162" t="s">
        <v>220</v>
      </c>
      <c r="B320" s="133"/>
      <c r="C320" s="134" t="s">
        <v>369</v>
      </c>
      <c r="D320" s="35"/>
      <c r="E320" s="3">
        <v>1</v>
      </c>
      <c r="F320" s="6"/>
      <c r="G320" s="8"/>
      <c r="H320" s="45">
        <v>80</v>
      </c>
      <c r="I320" s="19">
        <f t="shared" si="17"/>
        <v>0</v>
      </c>
      <c r="J320" s="64"/>
    </row>
    <row r="321" spans="1:10" hidden="1">
      <c r="A321" s="162" t="s">
        <v>220</v>
      </c>
      <c r="B321" s="133"/>
      <c r="C321" s="134" t="s">
        <v>370</v>
      </c>
      <c r="D321" s="35"/>
      <c r="E321" s="3">
        <v>1</v>
      </c>
      <c r="F321" s="6"/>
      <c r="G321" s="8"/>
      <c r="H321" s="45">
        <v>40.39</v>
      </c>
      <c r="I321" s="19">
        <f t="shared" si="17"/>
        <v>0</v>
      </c>
      <c r="J321" s="64"/>
    </row>
    <row r="322" spans="1:10" hidden="1">
      <c r="A322" s="162" t="s">
        <v>220</v>
      </c>
      <c r="B322" s="133"/>
      <c r="C322" s="134" t="s">
        <v>371</v>
      </c>
      <c r="D322" s="35"/>
      <c r="E322" s="3">
        <v>1</v>
      </c>
      <c r="F322" s="6"/>
      <c r="G322" s="8"/>
      <c r="H322" s="45">
        <v>7</v>
      </c>
      <c r="I322" s="19">
        <f t="shared" si="17"/>
        <v>0</v>
      </c>
      <c r="J322" s="64"/>
    </row>
    <row r="323" spans="1:10" hidden="1">
      <c r="A323" s="162" t="s">
        <v>220</v>
      </c>
      <c r="B323" s="133"/>
      <c r="C323" s="134" t="s">
        <v>372</v>
      </c>
      <c r="D323" s="35"/>
      <c r="E323" s="3">
        <v>1</v>
      </c>
      <c r="F323" s="6"/>
      <c r="G323" s="8"/>
      <c r="H323" s="45">
        <v>125</v>
      </c>
      <c r="I323" s="19">
        <f t="shared" si="17"/>
        <v>0</v>
      </c>
      <c r="J323" s="64"/>
    </row>
    <row r="324" spans="1:10" hidden="1">
      <c r="A324" s="162" t="s">
        <v>220</v>
      </c>
      <c r="B324" s="133"/>
      <c r="C324" s="134" t="s">
        <v>373</v>
      </c>
      <c r="D324" s="35"/>
      <c r="E324" s="3">
        <v>1</v>
      </c>
      <c r="F324" s="6"/>
      <c r="G324" s="8"/>
      <c r="H324" s="45">
        <v>92.4</v>
      </c>
      <c r="I324" s="19">
        <f t="shared" si="17"/>
        <v>0</v>
      </c>
      <c r="J324" s="64"/>
    </row>
    <row r="325" spans="1:10" hidden="1">
      <c r="A325" s="162" t="s">
        <v>220</v>
      </c>
      <c r="B325" s="133"/>
      <c r="C325" s="134" t="s">
        <v>374</v>
      </c>
      <c r="D325" s="35"/>
      <c r="E325" s="3">
        <v>1</v>
      </c>
      <c r="F325" s="6"/>
      <c r="G325" s="8"/>
      <c r="H325" s="45">
        <v>1250</v>
      </c>
      <c r="I325" s="19">
        <f t="shared" si="17"/>
        <v>0</v>
      </c>
      <c r="J325" s="64"/>
    </row>
    <row r="326" spans="1:10" hidden="1">
      <c r="A326" s="162" t="s">
        <v>220</v>
      </c>
      <c r="B326" s="133" t="s">
        <v>375</v>
      </c>
      <c r="C326" s="134" t="s">
        <v>376</v>
      </c>
      <c r="D326" s="35"/>
      <c r="E326" s="3">
        <v>1</v>
      </c>
      <c r="F326" s="6"/>
      <c r="G326" s="8"/>
      <c r="H326" s="45">
        <v>8.59</v>
      </c>
      <c r="I326" s="19">
        <f t="shared" si="17"/>
        <v>0</v>
      </c>
      <c r="J326" s="64"/>
    </row>
    <row r="327" spans="1:10" hidden="1">
      <c r="A327" s="162" t="s">
        <v>220</v>
      </c>
      <c r="B327" s="133"/>
      <c r="C327" s="134" t="s">
        <v>377</v>
      </c>
      <c r="D327" s="35"/>
      <c r="E327" s="3">
        <v>1</v>
      </c>
      <c r="F327" s="6"/>
      <c r="G327" s="8"/>
      <c r="H327" s="45">
        <v>231</v>
      </c>
      <c r="I327" s="19">
        <f t="shared" si="17"/>
        <v>0</v>
      </c>
      <c r="J327" s="64"/>
    </row>
    <row r="328" spans="1:10" hidden="1">
      <c r="A328" s="162" t="s">
        <v>220</v>
      </c>
      <c r="B328" s="133"/>
      <c r="C328" s="134" t="s">
        <v>378</v>
      </c>
      <c r="D328" s="35"/>
      <c r="E328" s="3">
        <v>1</v>
      </c>
      <c r="F328" s="6"/>
      <c r="G328" s="8"/>
      <c r="H328" s="45">
        <v>262.5</v>
      </c>
      <c r="I328" s="19">
        <f t="shared" si="17"/>
        <v>0</v>
      </c>
      <c r="J328" s="64"/>
    </row>
    <row r="329" spans="1:10" hidden="1">
      <c r="A329" s="162" t="s">
        <v>220</v>
      </c>
      <c r="B329" s="133"/>
      <c r="C329" s="134" t="s">
        <v>379</v>
      </c>
      <c r="D329" s="35"/>
      <c r="E329" s="3">
        <v>1</v>
      </c>
      <c r="F329" s="6"/>
      <c r="G329" s="8"/>
      <c r="H329" s="45">
        <v>259.88</v>
      </c>
      <c r="I329" s="19">
        <f t="shared" si="17"/>
        <v>0</v>
      </c>
      <c r="J329" s="64"/>
    </row>
    <row r="330" spans="1:10" hidden="1">
      <c r="A330" s="162" t="s">
        <v>220</v>
      </c>
      <c r="B330" s="133"/>
      <c r="C330" s="134" t="s">
        <v>380</v>
      </c>
      <c r="D330" s="35"/>
      <c r="E330" s="3">
        <v>1</v>
      </c>
      <c r="F330" s="6"/>
      <c r="G330" s="8"/>
      <c r="H330" s="45">
        <v>56.93</v>
      </c>
      <c r="I330" s="19">
        <f t="shared" si="17"/>
        <v>0</v>
      </c>
      <c r="J330" s="64"/>
    </row>
    <row r="331" spans="1:10" hidden="1">
      <c r="A331" s="162" t="s">
        <v>220</v>
      </c>
      <c r="B331" s="133"/>
      <c r="C331" s="134" t="s">
        <v>381</v>
      </c>
      <c r="D331" s="35"/>
      <c r="E331" s="3">
        <v>1</v>
      </c>
      <c r="F331" s="6"/>
      <c r="G331" s="8"/>
      <c r="H331" s="45">
        <v>110</v>
      </c>
      <c r="I331" s="19">
        <f t="shared" si="17"/>
        <v>0</v>
      </c>
      <c r="J331" s="64"/>
    </row>
    <row r="332" spans="1:10" hidden="1">
      <c r="A332" s="162" t="s">
        <v>220</v>
      </c>
      <c r="B332" s="133"/>
      <c r="C332" s="134" t="s">
        <v>382</v>
      </c>
      <c r="D332" s="35"/>
      <c r="E332" s="3">
        <v>1</v>
      </c>
      <c r="F332" s="6"/>
      <c r="G332" s="8"/>
      <c r="H332" s="45">
        <v>33.53</v>
      </c>
      <c r="I332" s="19">
        <f t="shared" si="17"/>
        <v>0</v>
      </c>
      <c r="J332" s="64"/>
    </row>
    <row r="333" spans="1:10" hidden="1">
      <c r="A333" s="162" t="s">
        <v>220</v>
      </c>
      <c r="B333" s="133"/>
      <c r="C333" s="134" t="s">
        <v>383</v>
      </c>
      <c r="D333" s="35"/>
      <c r="E333" s="3">
        <v>1</v>
      </c>
      <c r="F333" s="6"/>
      <c r="G333" s="8"/>
      <c r="H333" s="45">
        <v>3550</v>
      </c>
      <c r="I333" s="19">
        <f t="shared" si="17"/>
        <v>0</v>
      </c>
      <c r="J333" s="64"/>
    </row>
    <row r="334" spans="1:10" hidden="1">
      <c r="A334" s="162" t="s">
        <v>220</v>
      </c>
      <c r="B334" s="133"/>
      <c r="C334" s="134" t="s">
        <v>384</v>
      </c>
      <c r="D334" s="35"/>
      <c r="E334" s="3">
        <v>1</v>
      </c>
      <c r="F334" s="6"/>
      <c r="G334" s="8"/>
      <c r="H334" s="45">
        <v>478.47</v>
      </c>
      <c r="I334" s="19">
        <f t="shared" si="17"/>
        <v>0</v>
      </c>
      <c r="J334" s="64"/>
    </row>
    <row r="335" spans="1:10" hidden="1">
      <c r="A335" s="162" t="s">
        <v>220</v>
      </c>
      <c r="B335" s="133"/>
      <c r="C335" s="134" t="s">
        <v>385</v>
      </c>
      <c r="D335" s="35"/>
      <c r="E335" s="3">
        <v>1</v>
      </c>
      <c r="F335" s="6"/>
      <c r="G335" s="8"/>
      <c r="H335" s="45">
        <v>270</v>
      </c>
      <c r="I335" s="19">
        <f t="shared" si="17"/>
        <v>0</v>
      </c>
      <c r="J335" s="64"/>
    </row>
    <row r="336" spans="1:10" hidden="1">
      <c r="A336" s="162" t="s">
        <v>220</v>
      </c>
      <c r="B336" s="133"/>
      <c r="C336" s="134" t="s">
        <v>386</v>
      </c>
      <c r="D336" s="35"/>
      <c r="E336" s="3">
        <v>1</v>
      </c>
      <c r="F336" s="6"/>
      <c r="G336" s="8"/>
      <c r="H336" s="45">
        <v>324</v>
      </c>
      <c r="I336" s="19">
        <f t="shared" si="17"/>
        <v>0</v>
      </c>
      <c r="J336" s="64"/>
    </row>
    <row r="337" spans="1:10" hidden="1">
      <c r="A337" s="162" t="s">
        <v>220</v>
      </c>
      <c r="B337" s="133" t="s">
        <v>257</v>
      </c>
      <c r="C337" s="134" t="s">
        <v>387</v>
      </c>
      <c r="D337" s="35"/>
      <c r="E337" s="3">
        <v>1</v>
      </c>
      <c r="F337" s="6"/>
      <c r="G337" s="8"/>
      <c r="H337" s="45">
        <v>213.84</v>
      </c>
      <c r="I337" s="19">
        <f t="shared" si="17"/>
        <v>0</v>
      </c>
      <c r="J337" s="64"/>
    </row>
    <row r="338" spans="1:10" hidden="1">
      <c r="A338" s="162" t="s">
        <v>220</v>
      </c>
      <c r="B338" s="133"/>
      <c r="C338" s="134" t="s">
        <v>388</v>
      </c>
      <c r="D338" s="35"/>
      <c r="E338" s="3">
        <v>1</v>
      </c>
      <c r="F338" s="6"/>
      <c r="G338" s="8"/>
      <c r="H338" s="45">
        <v>17.82</v>
      </c>
      <c r="I338" s="19">
        <f t="shared" si="17"/>
        <v>0</v>
      </c>
      <c r="J338" s="64"/>
    </row>
    <row r="339" spans="1:10" hidden="1">
      <c r="A339" s="162" t="s">
        <v>220</v>
      </c>
      <c r="B339" s="133"/>
      <c r="C339" s="134" t="s">
        <v>389</v>
      </c>
      <c r="D339" s="35"/>
      <c r="E339" s="3">
        <v>1</v>
      </c>
      <c r="F339" s="6"/>
      <c r="G339" s="8"/>
      <c r="H339" s="45">
        <v>63.18</v>
      </c>
      <c r="I339" s="19">
        <f t="shared" si="17"/>
        <v>0</v>
      </c>
      <c r="J339" s="64"/>
    </row>
    <row r="340" spans="1:10" hidden="1">
      <c r="A340" s="162" t="s">
        <v>220</v>
      </c>
      <c r="B340" s="133"/>
      <c r="C340" s="134" t="s">
        <v>390</v>
      </c>
      <c r="D340" s="35"/>
      <c r="E340" s="3">
        <v>1</v>
      </c>
      <c r="F340" s="6"/>
      <c r="G340" s="8"/>
      <c r="H340" s="45">
        <v>99.79</v>
      </c>
      <c r="I340" s="19">
        <f t="shared" si="17"/>
        <v>0</v>
      </c>
      <c r="J340" s="64"/>
    </row>
    <row r="341" spans="1:10" hidden="1">
      <c r="A341" s="162" t="s">
        <v>220</v>
      </c>
      <c r="B341" s="133"/>
      <c r="C341" s="134" t="s">
        <v>391</v>
      </c>
      <c r="D341" s="35"/>
      <c r="E341" s="3">
        <v>1</v>
      </c>
      <c r="F341" s="6"/>
      <c r="G341" s="8"/>
      <c r="H341" s="45">
        <v>515.89</v>
      </c>
      <c r="I341" s="19">
        <f t="shared" si="17"/>
        <v>0</v>
      </c>
      <c r="J341" s="64"/>
    </row>
    <row r="342" spans="1:10" hidden="1">
      <c r="A342" s="162" t="s">
        <v>220</v>
      </c>
      <c r="B342" s="133"/>
      <c r="C342" s="134" t="s">
        <v>392</v>
      </c>
      <c r="D342" s="35"/>
      <c r="E342" s="3">
        <v>1</v>
      </c>
      <c r="F342" s="6"/>
      <c r="G342" s="8"/>
      <c r="H342" s="45">
        <v>251.26</v>
      </c>
      <c r="I342" s="19">
        <f t="shared" si="17"/>
        <v>0</v>
      </c>
      <c r="J342" s="64"/>
    </row>
    <row r="343" spans="1:10" hidden="1">
      <c r="A343" s="162" t="s">
        <v>220</v>
      </c>
      <c r="B343" s="133"/>
      <c r="C343" s="134" t="s">
        <v>393</v>
      </c>
      <c r="D343" s="35"/>
      <c r="E343" s="3">
        <v>1</v>
      </c>
      <c r="F343" s="6"/>
      <c r="G343" s="8"/>
      <c r="H343" s="45">
        <v>251.26</v>
      </c>
      <c r="I343" s="19">
        <f t="shared" si="17"/>
        <v>0</v>
      </c>
      <c r="J343" s="64"/>
    </row>
    <row r="344" spans="1:10" hidden="1">
      <c r="A344" s="162" t="s">
        <v>220</v>
      </c>
      <c r="B344" s="133"/>
      <c r="C344" s="134" t="s">
        <v>394</v>
      </c>
      <c r="D344" s="35"/>
      <c r="E344" s="3">
        <v>1</v>
      </c>
      <c r="F344" s="6"/>
      <c r="G344" s="8"/>
      <c r="H344" s="45">
        <v>2.38</v>
      </c>
      <c r="I344" s="19">
        <f t="shared" si="17"/>
        <v>0</v>
      </c>
      <c r="J344" s="64"/>
    </row>
    <row r="345" spans="1:10" hidden="1">
      <c r="A345" s="162" t="s">
        <v>220</v>
      </c>
      <c r="B345" s="133"/>
      <c r="C345" s="134" t="s">
        <v>395</v>
      </c>
      <c r="D345" s="35"/>
      <c r="E345" s="3">
        <v>1</v>
      </c>
      <c r="F345" s="6"/>
      <c r="G345" s="8"/>
      <c r="H345" s="45">
        <v>9.5</v>
      </c>
      <c r="I345" s="19">
        <f t="shared" si="17"/>
        <v>0</v>
      </c>
      <c r="J345" s="64"/>
    </row>
    <row r="346" spans="1:10" hidden="1">
      <c r="A346" s="162" t="s">
        <v>220</v>
      </c>
      <c r="B346" s="133"/>
      <c r="C346" s="134" t="s">
        <v>396</v>
      </c>
      <c r="D346" s="35"/>
      <c r="E346" s="3">
        <v>1</v>
      </c>
      <c r="F346" s="6"/>
      <c r="G346" s="8"/>
      <c r="H346" s="45">
        <v>50.17</v>
      </c>
      <c r="I346" s="19">
        <f t="shared" si="17"/>
        <v>0</v>
      </c>
      <c r="J346" s="64"/>
    </row>
    <row r="347" spans="1:10" hidden="1">
      <c r="A347" s="162" t="s">
        <v>220</v>
      </c>
      <c r="B347" s="133"/>
      <c r="C347" s="134" t="s">
        <v>397</v>
      </c>
      <c r="D347" s="35"/>
      <c r="E347" s="3">
        <v>1</v>
      </c>
      <c r="F347" s="6"/>
      <c r="G347" s="8"/>
      <c r="H347" s="45">
        <v>194</v>
      </c>
      <c r="I347" s="19">
        <f t="shared" si="17"/>
        <v>0</v>
      </c>
      <c r="J347" s="64"/>
    </row>
    <row r="348" spans="1:10" hidden="1">
      <c r="A348" s="162" t="s">
        <v>220</v>
      </c>
      <c r="B348" s="133"/>
      <c r="C348" s="134" t="s">
        <v>398</v>
      </c>
      <c r="D348" s="35"/>
      <c r="E348" s="3">
        <v>1</v>
      </c>
      <c r="F348" s="6"/>
      <c r="G348" s="8"/>
      <c r="H348" s="45">
        <v>198</v>
      </c>
      <c r="I348" s="19">
        <f t="shared" si="17"/>
        <v>0</v>
      </c>
      <c r="J348" s="64"/>
    </row>
    <row r="349" spans="1:10" hidden="1">
      <c r="A349" s="162" t="s">
        <v>220</v>
      </c>
      <c r="B349" s="133"/>
      <c r="C349" s="134" t="s">
        <v>399</v>
      </c>
      <c r="D349" s="35"/>
      <c r="E349" s="3">
        <v>1</v>
      </c>
      <c r="F349" s="6"/>
      <c r="G349" s="8"/>
      <c r="H349" s="45">
        <v>882.74</v>
      </c>
      <c r="I349" s="19">
        <f t="shared" si="17"/>
        <v>0</v>
      </c>
      <c r="J349" s="64"/>
    </row>
    <row r="350" spans="1:10" hidden="1">
      <c r="A350" s="162" t="s">
        <v>220</v>
      </c>
      <c r="B350" s="133"/>
      <c r="C350" s="134" t="s">
        <v>400</v>
      </c>
      <c r="D350" s="35"/>
      <c r="E350" s="3">
        <v>1</v>
      </c>
      <c r="F350" s="6"/>
      <c r="G350" s="8"/>
      <c r="H350" s="45">
        <v>380.38</v>
      </c>
      <c r="I350" s="19">
        <f t="shared" si="17"/>
        <v>0</v>
      </c>
      <c r="J350" s="64"/>
    </row>
    <row r="351" spans="1:10" hidden="1">
      <c r="A351" s="162" t="s">
        <v>220</v>
      </c>
      <c r="B351" s="133"/>
      <c r="C351" s="134" t="s">
        <v>401</v>
      </c>
      <c r="D351" s="35"/>
      <c r="E351" s="3">
        <v>1</v>
      </c>
      <c r="F351" s="6"/>
      <c r="G351" s="8"/>
      <c r="H351" s="45"/>
      <c r="I351" s="19">
        <f t="shared" si="17"/>
        <v>0</v>
      </c>
      <c r="J351" s="64"/>
    </row>
    <row r="352" spans="1:10" hidden="1">
      <c r="A352" s="162" t="s">
        <v>220</v>
      </c>
      <c r="B352" s="133" t="s">
        <v>402</v>
      </c>
      <c r="C352" s="134" t="s">
        <v>403</v>
      </c>
      <c r="D352" s="35"/>
      <c r="E352" s="3">
        <v>1</v>
      </c>
      <c r="F352" s="6"/>
      <c r="G352" s="8"/>
      <c r="H352" s="45">
        <v>194</v>
      </c>
      <c r="I352" s="19">
        <f t="shared" si="17"/>
        <v>0</v>
      </c>
      <c r="J352" s="64"/>
    </row>
    <row r="353" spans="1:10" hidden="1">
      <c r="A353" s="162" t="s">
        <v>220</v>
      </c>
      <c r="B353" s="133"/>
      <c r="C353" s="134" t="s">
        <v>325</v>
      </c>
      <c r="D353" s="35"/>
      <c r="E353" s="3">
        <v>1</v>
      </c>
      <c r="F353" s="6"/>
      <c r="G353" s="8"/>
      <c r="H353" s="45">
        <v>42.77</v>
      </c>
      <c r="I353" s="19">
        <f t="shared" si="17"/>
        <v>0</v>
      </c>
      <c r="J353" s="64"/>
    </row>
    <row r="354" spans="1:10" hidden="1">
      <c r="A354" s="162" t="s">
        <v>220</v>
      </c>
      <c r="B354" s="133"/>
      <c r="C354" s="134" t="s">
        <v>404</v>
      </c>
      <c r="D354" s="35"/>
      <c r="E354" s="3">
        <v>1</v>
      </c>
      <c r="F354" s="6"/>
      <c r="G354" s="8"/>
      <c r="H354" s="45">
        <v>23.94</v>
      </c>
      <c r="I354" s="19">
        <f t="shared" si="17"/>
        <v>0</v>
      </c>
      <c r="J354" s="64"/>
    </row>
    <row r="355" spans="1:10" hidden="1">
      <c r="A355" s="162" t="s">
        <v>220</v>
      </c>
      <c r="B355" s="133"/>
      <c r="C355" s="134" t="s">
        <v>405</v>
      </c>
      <c r="D355" s="35"/>
      <c r="E355" s="3">
        <v>1</v>
      </c>
      <c r="F355" s="6"/>
      <c r="G355" s="8"/>
      <c r="H355" s="45">
        <v>21.42</v>
      </c>
      <c r="I355" s="19">
        <f t="shared" si="17"/>
        <v>0</v>
      </c>
      <c r="J355" s="64"/>
    </row>
    <row r="356" spans="1:10" hidden="1">
      <c r="A356" s="162" t="s">
        <v>220</v>
      </c>
      <c r="B356" s="133"/>
      <c r="C356" s="134" t="s">
        <v>406</v>
      </c>
      <c r="D356" s="35"/>
      <c r="E356" s="3">
        <v>1</v>
      </c>
      <c r="F356" s="6"/>
      <c r="G356" s="8"/>
      <c r="H356" s="45">
        <v>27.72</v>
      </c>
      <c r="I356" s="19">
        <f t="shared" si="17"/>
        <v>0</v>
      </c>
      <c r="J356" s="64"/>
    </row>
    <row r="357" spans="1:10" hidden="1">
      <c r="A357" s="162" t="s">
        <v>220</v>
      </c>
      <c r="B357" s="133"/>
      <c r="C357" s="134" t="s">
        <v>407</v>
      </c>
      <c r="D357" s="35"/>
      <c r="E357" s="3">
        <v>1</v>
      </c>
      <c r="F357" s="6"/>
      <c r="G357" s="8"/>
      <c r="H357" s="45">
        <v>53.54</v>
      </c>
      <c r="I357" s="19">
        <f t="shared" si="17"/>
        <v>0</v>
      </c>
      <c r="J357" s="64"/>
    </row>
    <row r="358" spans="1:10" hidden="1">
      <c r="A358" s="162" t="s">
        <v>220</v>
      </c>
      <c r="B358" s="133"/>
      <c r="C358" s="134" t="s">
        <v>224</v>
      </c>
      <c r="D358" s="35"/>
      <c r="E358" s="3">
        <v>1</v>
      </c>
      <c r="F358" s="6"/>
      <c r="G358" s="8"/>
      <c r="H358" s="45">
        <v>567</v>
      </c>
      <c r="I358" s="19">
        <f t="shared" ref="I358:I421" si="18">F358*H358</f>
        <v>0</v>
      </c>
      <c r="J358" s="64"/>
    </row>
    <row r="359" spans="1:10" hidden="1">
      <c r="A359" s="162" t="s">
        <v>220</v>
      </c>
      <c r="B359" s="133"/>
      <c r="C359" s="134" t="s">
        <v>227</v>
      </c>
      <c r="D359" s="35"/>
      <c r="E359" s="3">
        <v>1</v>
      </c>
      <c r="F359" s="6"/>
      <c r="G359" s="8"/>
      <c r="H359" s="45">
        <v>567</v>
      </c>
      <c r="I359" s="19">
        <f t="shared" si="18"/>
        <v>0</v>
      </c>
      <c r="J359" s="64"/>
    </row>
    <row r="360" spans="1:10" hidden="1">
      <c r="A360" s="162" t="s">
        <v>220</v>
      </c>
      <c r="B360" s="133"/>
      <c r="C360" s="134" t="s">
        <v>228</v>
      </c>
      <c r="D360" s="35"/>
      <c r="E360" s="3">
        <v>1</v>
      </c>
      <c r="F360" s="6"/>
      <c r="G360" s="8"/>
      <c r="H360" s="45">
        <v>621</v>
      </c>
      <c r="I360" s="19">
        <f t="shared" si="18"/>
        <v>0</v>
      </c>
      <c r="J360" s="64"/>
    </row>
    <row r="361" spans="1:10" hidden="1">
      <c r="A361" s="162" t="s">
        <v>220</v>
      </c>
      <c r="B361" s="133" t="s">
        <v>408</v>
      </c>
      <c r="C361" s="134" t="s">
        <v>409</v>
      </c>
      <c r="D361" s="35"/>
      <c r="E361" s="3">
        <v>1</v>
      </c>
      <c r="F361" s="6"/>
      <c r="G361" s="8"/>
      <c r="H361" s="45">
        <v>88</v>
      </c>
      <c r="I361" s="19">
        <f t="shared" si="18"/>
        <v>0</v>
      </c>
      <c r="J361" s="64"/>
    </row>
    <row r="362" spans="1:10" hidden="1">
      <c r="A362" s="162" t="s">
        <v>220</v>
      </c>
      <c r="B362" s="133" t="s">
        <v>410</v>
      </c>
      <c r="C362" s="134" t="s">
        <v>411</v>
      </c>
      <c r="D362" s="35"/>
      <c r="E362" s="3">
        <v>1</v>
      </c>
      <c r="F362" s="6"/>
      <c r="G362" s="8"/>
      <c r="H362" s="45">
        <v>1</v>
      </c>
      <c r="I362" s="19">
        <f t="shared" si="18"/>
        <v>0</v>
      </c>
      <c r="J362" s="64"/>
    </row>
    <row r="363" spans="1:10" hidden="1">
      <c r="A363" s="162" t="s">
        <v>220</v>
      </c>
      <c r="B363" s="133" t="s">
        <v>412</v>
      </c>
      <c r="C363" s="134" t="s">
        <v>413</v>
      </c>
      <c r="D363" s="35"/>
      <c r="E363" s="3">
        <v>1</v>
      </c>
      <c r="F363" s="6"/>
      <c r="G363" s="8"/>
      <c r="H363" s="45">
        <v>1</v>
      </c>
      <c r="I363" s="19">
        <f t="shared" si="18"/>
        <v>0</v>
      </c>
      <c r="J363" s="64"/>
    </row>
    <row r="364" spans="1:10" hidden="1">
      <c r="A364" s="162" t="s">
        <v>220</v>
      </c>
      <c r="B364" s="133" t="s">
        <v>414</v>
      </c>
      <c r="C364" s="134" t="s">
        <v>415</v>
      </c>
      <c r="D364" s="35"/>
      <c r="E364" s="3">
        <v>1</v>
      </c>
      <c r="F364" s="6"/>
      <c r="G364" s="8"/>
      <c r="H364" s="45">
        <v>1</v>
      </c>
      <c r="I364" s="19">
        <f t="shared" si="18"/>
        <v>0</v>
      </c>
      <c r="J364" s="64"/>
    </row>
    <row r="365" spans="1:10" hidden="1">
      <c r="A365" s="162" t="s">
        <v>220</v>
      </c>
      <c r="B365" s="133" t="s">
        <v>416</v>
      </c>
      <c r="C365" s="134" t="s">
        <v>417</v>
      </c>
      <c r="D365" s="35"/>
      <c r="E365" s="3">
        <v>1</v>
      </c>
      <c r="F365" s="6"/>
      <c r="G365" s="8"/>
      <c r="H365" s="45">
        <v>1</v>
      </c>
      <c r="I365" s="19">
        <f t="shared" si="18"/>
        <v>0</v>
      </c>
      <c r="J365" s="64"/>
    </row>
    <row r="366" spans="1:10" hidden="1">
      <c r="A366" s="162" t="s">
        <v>220</v>
      </c>
      <c r="B366" s="133" t="s">
        <v>418</v>
      </c>
      <c r="C366" s="134" t="s">
        <v>419</v>
      </c>
      <c r="D366" s="35"/>
      <c r="E366" s="3">
        <v>1</v>
      </c>
      <c r="F366" s="6"/>
      <c r="G366" s="8"/>
      <c r="H366" s="45">
        <v>1</v>
      </c>
      <c r="I366" s="19">
        <f t="shared" si="18"/>
        <v>0</v>
      </c>
      <c r="J366" s="64"/>
    </row>
    <row r="367" spans="1:10" hidden="1">
      <c r="A367" s="162" t="s">
        <v>220</v>
      </c>
      <c r="B367" s="133" t="s">
        <v>420</v>
      </c>
      <c r="C367" s="134" t="s">
        <v>421</v>
      </c>
      <c r="D367" s="35"/>
      <c r="E367" s="3">
        <v>1</v>
      </c>
      <c r="F367" s="6"/>
      <c r="G367" s="8"/>
      <c r="H367" s="45">
        <v>1</v>
      </c>
      <c r="I367" s="19">
        <f t="shared" si="18"/>
        <v>0</v>
      </c>
      <c r="J367" s="64"/>
    </row>
    <row r="368" spans="1:10" hidden="1">
      <c r="A368" s="162" t="s">
        <v>220</v>
      </c>
      <c r="B368" s="133" t="s">
        <v>422</v>
      </c>
      <c r="C368" s="134" t="s">
        <v>423</v>
      </c>
      <c r="D368" s="35"/>
      <c r="E368" s="3">
        <v>1</v>
      </c>
      <c r="F368" s="6"/>
      <c r="G368" s="8"/>
      <c r="H368" s="45">
        <v>1</v>
      </c>
      <c r="I368" s="19">
        <f t="shared" si="18"/>
        <v>0</v>
      </c>
      <c r="J368" s="64"/>
    </row>
    <row r="369" spans="1:10" hidden="1">
      <c r="A369" s="162" t="s">
        <v>220</v>
      </c>
      <c r="B369" s="133" t="s">
        <v>424</v>
      </c>
      <c r="C369" s="134" t="s">
        <v>425</v>
      </c>
      <c r="D369" s="35"/>
      <c r="E369" s="3">
        <v>1</v>
      </c>
      <c r="F369" s="6"/>
      <c r="G369" s="8"/>
      <c r="H369" s="45">
        <v>1</v>
      </c>
      <c r="I369" s="19">
        <f t="shared" si="18"/>
        <v>0</v>
      </c>
      <c r="J369" s="64"/>
    </row>
    <row r="370" spans="1:10" hidden="1">
      <c r="A370" s="162" t="s">
        <v>220</v>
      </c>
      <c r="B370" s="133" t="s">
        <v>426</v>
      </c>
      <c r="C370" s="134" t="s">
        <v>427</v>
      </c>
      <c r="D370" s="35"/>
      <c r="E370" s="3">
        <v>1</v>
      </c>
      <c r="F370" s="6"/>
      <c r="G370" s="8"/>
      <c r="H370" s="45">
        <v>1</v>
      </c>
      <c r="I370" s="19">
        <f t="shared" si="18"/>
        <v>0</v>
      </c>
      <c r="J370" s="64"/>
    </row>
    <row r="371" spans="1:10" hidden="1">
      <c r="A371" s="162" t="s">
        <v>220</v>
      </c>
      <c r="B371" s="133" t="s">
        <v>428</v>
      </c>
      <c r="C371" s="134" t="s">
        <v>429</v>
      </c>
      <c r="D371" s="35"/>
      <c r="E371" s="3">
        <v>1</v>
      </c>
      <c r="F371" s="6"/>
      <c r="G371" s="8"/>
      <c r="H371" s="45">
        <v>1</v>
      </c>
      <c r="I371" s="19">
        <f t="shared" si="18"/>
        <v>0</v>
      </c>
      <c r="J371" s="64"/>
    </row>
    <row r="372" spans="1:10" hidden="1">
      <c r="A372" s="162" t="s">
        <v>220</v>
      </c>
      <c r="B372" s="133" t="s">
        <v>430</v>
      </c>
      <c r="C372" s="134" t="s">
        <v>431</v>
      </c>
      <c r="D372" s="35"/>
      <c r="E372" s="3">
        <v>1</v>
      </c>
      <c r="F372" s="6"/>
      <c r="G372" s="8"/>
      <c r="H372" s="45">
        <v>1</v>
      </c>
      <c r="I372" s="19">
        <f t="shared" si="18"/>
        <v>0</v>
      </c>
      <c r="J372" s="64"/>
    </row>
    <row r="373" spans="1:10" hidden="1">
      <c r="A373" s="162" t="s">
        <v>220</v>
      </c>
      <c r="B373" s="133" t="s">
        <v>432</v>
      </c>
      <c r="C373" s="134" t="s">
        <v>433</v>
      </c>
      <c r="D373" s="35"/>
      <c r="E373" s="3">
        <v>1</v>
      </c>
      <c r="F373" s="6"/>
      <c r="G373" s="8"/>
      <c r="H373" s="45">
        <v>1</v>
      </c>
      <c r="I373" s="19">
        <f t="shared" si="18"/>
        <v>0</v>
      </c>
      <c r="J373" s="64"/>
    </row>
    <row r="374" spans="1:10" hidden="1">
      <c r="A374" s="162" t="s">
        <v>220</v>
      </c>
      <c r="B374" s="133" t="s">
        <v>434</v>
      </c>
      <c r="C374" s="134" t="s">
        <v>435</v>
      </c>
      <c r="D374" s="35"/>
      <c r="E374" s="3">
        <v>1</v>
      </c>
      <c r="F374" s="6"/>
      <c r="G374" s="8"/>
      <c r="H374" s="45">
        <v>1</v>
      </c>
      <c r="I374" s="19">
        <f t="shared" si="18"/>
        <v>0</v>
      </c>
      <c r="J374" s="64"/>
    </row>
    <row r="375" spans="1:10" hidden="1">
      <c r="A375" s="162" t="s">
        <v>220</v>
      </c>
      <c r="B375" s="133" t="s">
        <v>436</v>
      </c>
      <c r="C375" s="134" t="s">
        <v>437</v>
      </c>
      <c r="D375" s="35"/>
      <c r="E375" s="3">
        <v>1</v>
      </c>
      <c r="F375" s="6"/>
      <c r="G375" s="8"/>
      <c r="H375" s="45">
        <v>0</v>
      </c>
      <c r="I375" s="19">
        <f t="shared" si="18"/>
        <v>0</v>
      </c>
      <c r="J375" s="64"/>
    </row>
    <row r="376" spans="1:10" hidden="1">
      <c r="A376" s="162" t="s">
        <v>220</v>
      </c>
      <c r="B376" s="133"/>
      <c r="C376" s="134" t="s">
        <v>229</v>
      </c>
      <c r="D376" s="35"/>
      <c r="E376" s="3">
        <v>1</v>
      </c>
      <c r="F376" s="6"/>
      <c r="G376" s="8"/>
      <c r="H376" s="45">
        <v>621</v>
      </c>
      <c r="I376" s="19">
        <f t="shared" si="18"/>
        <v>0</v>
      </c>
      <c r="J376" s="64"/>
    </row>
    <row r="377" spans="1:10" hidden="1">
      <c r="A377" s="162" t="s">
        <v>220</v>
      </c>
      <c r="B377" s="133"/>
      <c r="C377" s="134" t="s">
        <v>230</v>
      </c>
      <c r="D377" s="35"/>
      <c r="E377" s="3">
        <v>1</v>
      </c>
      <c r="F377" s="6"/>
      <c r="G377" s="8"/>
      <c r="H377" s="45">
        <v>567</v>
      </c>
      <c r="I377" s="19">
        <f t="shared" si="18"/>
        <v>0</v>
      </c>
      <c r="J377" s="64"/>
    </row>
    <row r="378" spans="1:10" hidden="1">
      <c r="A378" s="162" t="s">
        <v>220</v>
      </c>
      <c r="B378" s="133"/>
      <c r="C378" s="134" t="s">
        <v>311</v>
      </c>
      <c r="D378" s="35"/>
      <c r="E378" s="3">
        <v>1</v>
      </c>
      <c r="F378" s="6"/>
      <c r="G378" s="8"/>
      <c r="H378" s="45">
        <v>15.1</v>
      </c>
      <c r="I378" s="19">
        <f t="shared" si="18"/>
        <v>0</v>
      </c>
      <c r="J378" s="64"/>
    </row>
    <row r="379" spans="1:10" hidden="1">
      <c r="A379" s="162" t="s">
        <v>220</v>
      </c>
      <c r="B379" s="133"/>
      <c r="C379" s="134" t="s">
        <v>312</v>
      </c>
      <c r="D379" s="35"/>
      <c r="E379" s="3">
        <v>1</v>
      </c>
      <c r="F379" s="6"/>
      <c r="G379" s="8"/>
      <c r="H379" s="45">
        <v>18.8</v>
      </c>
      <c r="I379" s="19">
        <f t="shared" si="18"/>
        <v>0</v>
      </c>
      <c r="J379" s="64"/>
    </row>
    <row r="380" spans="1:10" hidden="1">
      <c r="A380" s="162" t="s">
        <v>220</v>
      </c>
      <c r="B380" s="133"/>
      <c r="C380" s="134" t="s">
        <v>313</v>
      </c>
      <c r="D380" s="35"/>
      <c r="E380" s="3">
        <v>1</v>
      </c>
      <c r="F380" s="6"/>
      <c r="G380" s="8"/>
      <c r="H380" s="45">
        <v>18.8</v>
      </c>
      <c r="I380" s="19">
        <f t="shared" si="18"/>
        <v>0</v>
      </c>
      <c r="J380" s="64"/>
    </row>
    <row r="381" spans="1:10" hidden="1">
      <c r="A381" s="162" t="s">
        <v>220</v>
      </c>
      <c r="B381" s="133"/>
      <c r="C381" s="134" t="s">
        <v>262</v>
      </c>
      <c r="D381" s="35"/>
      <c r="E381" s="3">
        <v>1</v>
      </c>
      <c r="F381" s="6"/>
      <c r="G381" s="8"/>
      <c r="H381" s="45">
        <v>361.9</v>
      </c>
      <c r="I381" s="19">
        <f t="shared" si="18"/>
        <v>0</v>
      </c>
      <c r="J381" s="64"/>
    </row>
    <row r="382" spans="1:10" hidden="1">
      <c r="A382" s="162" t="s">
        <v>220</v>
      </c>
      <c r="B382" s="133"/>
      <c r="C382" s="134" t="s">
        <v>263</v>
      </c>
      <c r="D382" s="35"/>
      <c r="E382" s="3">
        <v>1</v>
      </c>
      <c r="F382" s="6"/>
      <c r="G382" s="8"/>
      <c r="H382" s="45">
        <v>149.38</v>
      </c>
      <c r="I382" s="19">
        <f t="shared" si="18"/>
        <v>0</v>
      </c>
      <c r="J382" s="64"/>
    </row>
    <row r="383" spans="1:10" hidden="1">
      <c r="A383" s="162" t="s">
        <v>220</v>
      </c>
      <c r="B383" s="133"/>
      <c r="C383" s="134" t="s">
        <v>264</v>
      </c>
      <c r="D383" s="35"/>
      <c r="E383" s="3">
        <v>1</v>
      </c>
      <c r="F383" s="6"/>
      <c r="G383" s="8"/>
      <c r="H383" s="45">
        <v>149.38</v>
      </c>
      <c r="I383" s="19">
        <f t="shared" si="18"/>
        <v>0</v>
      </c>
      <c r="J383" s="64"/>
    </row>
    <row r="384" spans="1:10" hidden="1">
      <c r="A384" s="162" t="s">
        <v>220</v>
      </c>
      <c r="B384" s="133"/>
      <c r="C384" s="134" t="s">
        <v>327</v>
      </c>
      <c r="D384" s="35"/>
      <c r="E384" s="3">
        <v>1</v>
      </c>
      <c r="F384" s="6"/>
      <c r="G384" s="8"/>
      <c r="H384" s="45">
        <v>15.09</v>
      </c>
      <c r="I384" s="19">
        <f t="shared" si="18"/>
        <v>0</v>
      </c>
      <c r="J384" s="64"/>
    </row>
    <row r="385" spans="1:10" hidden="1">
      <c r="A385" s="162" t="s">
        <v>220</v>
      </c>
      <c r="B385" s="133"/>
      <c r="C385" s="134" t="s">
        <v>438</v>
      </c>
      <c r="D385" s="35"/>
      <c r="E385" s="3">
        <v>1</v>
      </c>
      <c r="F385" s="6"/>
      <c r="G385" s="8"/>
      <c r="H385" s="45">
        <v>3543</v>
      </c>
      <c r="I385" s="19">
        <f t="shared" si="18"/>
        <v>0</v>
      </c>
      <c r="J385" s="64"/>
    </row>
    <row r="386" spans="1:10" hidden="1">
      <c r="A386" s="162" t="s">
        <v>220</v>
      </c>
      <c r="B386" s="133"/>
      <c r="C386" s="134" t="s">
        <v>328</v>
      </c>
      <c r="D386" s="35"/>
      <c r="E386" s="3">
        <v>1</v>
      </c>
      <c r="F386" s="6"/>
      <c r="G386" s="8"/>
      <c r="H386" s="45">
        <v>142.56</v>
      </c>
      <c r="I386" s="19">
        <f t="shared" si="18"/>
        <v>0</v>
      </c>
      <c r="J386" s="64"/>
    </row>
    <row r="387" spans="1:10" hidden="1">
      <c r="A387" s="162" t="s">
        <v>220</v>
      </c>
      <c r="B387" s="133"/>
      <c r="C387" s="134" t="s">
        <v>272</v>
      </c>
      <c r="D387" s="35"/>
      <c r="E387" s="3">
        <v>1</v>
      </c>
      <c r="F387" s="6"/>
      <c r="G387" s="8"/>
      <c r="H387" s="45">
        <v>171.6</v>
      </c>
      <c r="I387" s="19">
        <f t="shared" si="18"/>
        <v>0</v>
      </c>
      <c r="J387" s="64"/>
    </row>
    <row r="388" spans="1:10" hidden="1">
      <c r="A388" s="162" t="s">
        <v>220</v>
      </c>
      <c r="B388" s="133"/>
      <c r="C388" s="134" t="s">
        <v>273</v>
      </c>
      <c r="D388" s="35"/>
      <c r="E388" s="3">
        <v>1</v>
      </c>
      <c r="F388" s="6"/>
      <c r="G388" s="8"/>
      <c r="H388" s="45">
        <v>171.6</v>
      </c>
      <c r="I388" s="19">
        <f t="shared" si="18"/>
        <v>0</v>
      </c>
      <c r="J388" s="64"/>
    </row>
    <row r="389" spans="1:10" hidden="1">
      <c r="A389" s="162" t="s">
        <v>220</v>
      </c>
      <c r="B389" s="133"/>
      <c r="C389" s="134" t="s">
        <v>439</v>
      </c>
      <c r="D389" s="35"/>
      <c r="E389" s="3">
        <v>1</v>
      </c>
      <c r="F389" s="6"/>
      <c r="G389" s="8"/>
      <c r="H389" s="45">
        <v>121</v>
      </c>
      <c r="I389" s="19">
        <f t="shared" si="18"/>
        <v>0</v>
      </c>
      <c r="J389" s="64"/>
    </row>
    <row r="390" spans="1:10" hidden="1">
      <c r="A390" s="162" t="s">
        <v>220</v>
      </c>
      <c r="B390" s="133"/>
      <c r="C390" s="134" t="s">
        <v>440</v>
      </c>
      <c r="D390" s="35"/>
      <c r="E390" s="3">
        <v>1</v>
      </c>
      <c r="F390" s="6"/>
      <c r="G390" s="8"/>
      <c r="H390" s="45">
        <v>105.23</v>
      </c>
      <c r="I390" s="19">
        <f t="shared" si="18"/>
        <v>0</v>
      </c>
      <c r="J390" s="64"/>
    </row>
    <row r="391" spans="1:10" hidden="1">
      <c r="A391" s="162" t="s">
        <v>220</v>
      </c>
      <c r="B391" s="133"/>
      <c r="C391" s="134" t="s">
        <v>441</v>
      </c>
      <c r="D391" s="35"/>
      <c r="E391" s="3">
        <v>1</v>
      </c>
      <c r="F391" s="6"/>
      <c r="G391" s="8"/>
      <c r="H391" s="45">
        <v>155.76</v>
      </c>
      <c r="I391" s="19">
        <f t="shared" si="18"/>
        <v>0</v>
      </c>
      <c r="J391" s="64"/>
    </row>
    <row r="392" spans="1:10" hidden="1">
      <c r="A392" s="162" t="s">
        <v>220</v>
      </c>
      <c r="B392" s="133"/>
      <c r="C392" s="134" t="s">
        <v>442</v>
      </c>
      <c r="D392" s="35"/>
      <c r="E392" s="3">
        <v>1</v>
      </c>
      <c r="F392" s="6"/>
      <c r="G392" s="8"/>
      <c r="H392" s="45">
        <v>85.8</v>
      </c>
      <c r="I392" s="19">
        <f t="shared" si="18"/>
        <v>0</v>
      </c>
      <c r="J392" s="64"/>
    </row>
    <row r="393" spans="1:10" hidden="1">
      <c r="A393" s="162" t="s">
        <v>220</v>
      </c>
      <c r="B393" s="133"/>
      <c r="C393" s="134" t="s">
        <v>443</v>
      </c>
      <c r="D393" s="35"/>
      <c r="E393" s="3">
        <v>1</v>
      </c>
      <c r="F393" s="6"/>
      <c r="G393" s="8"/>
      <c r="H393" s="45">
        <v>26.4</v>
      </c>
      <c r="I393" s="19">
        <f t="shared" si="18"/>
        <v>0</v>
      </c>
      <c r="J393" s="64"/>
    </row>
    <row r="394" spans="1:10" hidden="1">
      <c r="A394" s="162" t="s">
        <v>220</v>
      </c>
      <c r="B394" s="133"/>
      <c r="C394" s="134" t="s">
        <v>444</v>
      </c>
      <c r="D394" s="35"/>
      <c r="E394" s="3">
        <v>1</v>
      </c>
      <c r="F394" s="6"/>
      <c r="G394" s="8"/>
      <c r="H394" s="45">
        <v>9.83</v>
      </c>
      <c r="I394" s="19">
        <f t="shared" si="18"/>
        <v>0</v>
      </c>
      <c r="J394" s="64"/>
    </row>
    <row r="395" spans="1:10" hidden="1">
      <c r="A395" s="162" t="s">
        <v>220</v>
      </c>
      <c r="B395" s="133"/>
      <c r="C395" s="134" t="s">
        <v>274</v>
      </c>
      <c r="D395" s="35"/>
      <c r="E395" s="3">
        <v>1</v>
      </c>
      <c r="F395" s="6"/>
      <c r="G395" s="8"/>
      <c r="H395" s="45">
        <v>174.64</v>
      </c>
      <c r="I395" s="19">
        <f t="shared" si="18"/>
        <v>0</v>
      </c>
      <c r="J395" s="64"/>
    </row>
    <row r="396" spans="1:10" hidden="1">
      <c r="A396" s="162" t="s">
        <v>220</v>
      </c>
      <c r="B396" s="133"/>
      <c r="C396" s="134" t="s">
        <v>445</v>
      </c>
      <c r="D396" s="35"/>
      <c r="E396" s="3">
        <v>1</v>
      </c>
      <c r="F396" s="6"/>
      <c r="G396" s="8"/>
      <c r="H396" s="45">
        <v>65.45</v>
      </c>
      <c r="I396" s="19">
        <f t="shared" si="18"/>
        <v>0</v>
      </c>
      <c r="J396" s="64"/>
    </row>
    <row r="397" spans="1:10" hidden="1">
      <c r="A397" s="162" t="s">
        <v>220</v>
      </c>
      <c r="B397" s="133"/>
      <c r="C397" s="134" t="s">
        <v>446</v>
      </c>
      <c r="D397" s="35"/>
      <c r="E397" s="3">
        <v>1</v>
      </c>
      <c r="F397" s="6"/>
      <c r="G397" s="8"/>
      <c r="H397" s="45">
        <v>40.04</v>
      </c>
      <c r="I397" s="19">
        <f t="shared" si="18"/>
        <v>0</v>
      </c>
      <c r="J397" s="64"/>
    </row>
    <row r="398" spans="1:10" hidden="1">
      <c r="A398" s="162" t="s">
        <v>220</v>
      </c>
      <c r="B398" s="133"/>
      <c r="C398" s="134" t="s">
        <v>278</v>
      </c>
      <c r="D398" s="35"/>
      <c r="E398" s="3">
        <v>1</v>
      </c>
      <c r="F398" s="6"/>
      <c r="G398" s="8"/>
      <c r="H398" s="45">
        <v>211.2</v>
      </c>
      <c r="I398" s="19">
        <f t="shared" si="18"/>
        <v>0</v>
      </c>
      <c r="J398" s="64"/>
    </row>
    <row r="399" spans="1:10" hidden="1">
      <c r="A399" s="162" t="s">
        <v>220</v>
      </c>
      <c r="B399" s="133" t="s">
        <v>408</v>
      </c>
      <c r="C399" s="134" t="s">
        <v>409</v>
      </c>
      <c r="D399" s="35"/>
      <c r="E399" s="3">
        <v>1</v>
      </c>
      <c r="F399" s="6"/>
      <c r="G399" s="8"/>
      <c r="H399" s="45">
        <v>12</v>
      </c>
      <c r="I399" s="19">
        <f t="shared" si="18"/>
        <v>0</v>
      </c>
      <c r="J399" s="64"/>
    </row>
    <row r="400" spans="1:10" hidden="1">
      <c r="A400" s="162" t="s">
        <v>220</v>
      </c>
      <c r="B400" s="133" t="s">
        <v>447</v>
      </c>
      <c r="C400" s="134" t="s">
        <v>448</v>
      </c>
      <c r="D400" s="35"/>
      <c r="E400" s="3">
        <v>1</v>
      </c>
      <c r="F400" s="6"/>
      <c r="G400" s="8"/>
      <c r="H400" s="45">
        <v>550</v>
      </c>
      <c r="I400" s="19">
        <f t="shared" si="18"/>
        <v>0</v>
      </c>
      <c r="J400" s="64"/>
    </row>
    <row r="401" spans="1:10" hidden="1">
      <c r="A401" s="162" t="s">
        <v>220</v>
      </c>
      <c r="B401" s="133"/>
      <c r="C401" s="134" t="s">
        <v>449</v>
      </c>
      <c r="D401" s="35"/>
      <c r="E401" s="3">
        <v>1</v>
      </c>
      <c r="F401" s="6"/>
      <c r="G401" s="8"/>
      <c r="H401" s="45">
        <v>14.7</v>
      </c>
      <c r="I401" s="19">
        <f t="shared" si="18"/>
        <v>0</v>
      </c>
      <c r="J401" s="64"/>
    </row>
    <row r="402" spans="1:10" hidden="1">
      <c r="A402" s="162" t="s">
        <v>220</v>
      </c>
      <c r="B402" s="133"/>
      <c r="C402" s="134" t="s">
        <v>331</v>
      </c>
      <c r="D402" s="35"/>
      <c r="E402" s="3">
        <v>1</v>
      </c>
      <c r="F402" s="6"/>
      <c r="G402" s="8"/>
      <c r="H402" s="45">
        <v>221.76</v>
      </c>
      <c r="I402" s="19">
        <f t="shared" si="18"/>
        <v>0</v>
      </c>
      <c r="J402" s="64"/>
    </row>
    <row r="403" spans="1:10" hidden="1">
      <c r="A403" s="162" t="s">
        <v>220</v>
      </c>
      <c r="B403" s="133"/>
      <c r="C403" s="134" t="s">
        <v>299</v>
      </c>
      <c r="D403" s="35"/>
      <c r="E403" s="3">
        <v>1</v>
      </c>
      <c r="F403" s="6"/>
      <c r="G403" s="8"/>
      <c r="H403" s="45">
        <v>242.88</v>
      </c>
      <c r="I403" s="19">
        <f t="shared" si="18"/>
        <v>0</v>
      </c>
      <c r="J403" s="64"/>
    </row>
    <row r="404" spans="1:10" hidden="1">
      <c r="A404" s="162" t="s">
        <v>220</v>
      </c>
      <c r="B404" s="133"/>
      <c r="C404" s="134" t="s">
        <v>300</v>
      </c>
      <c r="D404" s="35"/>
      <c r="E404" s="3">
        <v>1</v>
      </c>
      <c r="F404" s="6"/>
      <c r="G404" s="8"/>
      <c r="H404" s="45">
        <v>319.44</v>
      </c>
      <c r="I404" s="19">
        <f t="shared" si="18"/>
        <v>0</v>
      </c>
      <c r="J404" s="64"/>
    </row>
    <row r="405" spans="1:10" hidden="1">
      <c r="A405" s="162" t="s">
        <v>220</v>
      </c>
      <c r="B405" s="133"/>
      <c r="C405" s="134" t="s">
        <v>301</v>
      </c>
      <c r="D405" s="35"/>
      <c r="E405" s="3">
        <v>1</v>
      </c>
      <c r="F405" s="6"/>
      <c r="G405" s="8"/>
      <c r="H405" s="45">
        <v>297</v>
      </c>
      <c r="I405" s="19">
        <f t="shared" si="18"/>
        <v>0</v>
      </c>
      <c r="J405" s="64"/>
    </row>
    <row r="406" spans="1:10" hidden="1">
      <c r="A406" s="162" t="s">
        <v>220</v>
      </c>
      <c r="B406" s="133"/>
      <c r="C406" s="134" t="s">
        <v>302</v>
      </c>
      <c r="D406" s="35"/>
      <c r="E406" s="3">
        <v>1</v>
      </c>
      <c r="F406" s="6"/>
      <c r="G406" s="8"/>
      <c r="H406" s="45">
        <v>132</v>
      </c>
      <c r="I406" s="19">
        <f t="shared" si="18"/>
        <v>0</v>
      </c>
      <c r="J406" s="64"/>
    </row>
    <row r="407" spans="1:10" hidden="1">
      <c r="A407" s="162" t="s">
        <v>220</v>
      </c>
      <c r="B407" s="133"/>
      <c r="C407" s="134" t="s">
        <v>450</v>
      </c>
      <c r="D407" s="35"/>
      <c r="E407" s="3">
        <v>1</v>
      </c>
      <c r="F407" s="6"/>
      <c r="G407" s="8"/>
      <c r="H407" s="45">
        <v>198</v>
      </c>
      <c r="I407" s="19">
        <f t="shared" si="18"/>
        <v>0</v>
      </c>
      <c r="J407" s="64"/>
    </row>
    <row r="408" spans="1:10" hidden="1">
      <c r="A408" s="162" t="s">
        <v>220</v>
      </c>
      <c r="B408" s="133"/>
      <c r="C408" s="134" t="s">
        <v>377</v>
      </c>
      <c r="D408" s="35"/>
      <c r="E408" s="3">
        <v>1</v>
      </c>
      <c r="F408" s="6"/>
      <c r="G408" s="8"/>
      <c r="H408" s="45">
        <v>198</v>
      </c>
      <c r="I408" s="19">
        <f t="shared" si="18"/>
        <v>0</v>
      </c>
      <c r="J408" s="64"/>
    </row>
    <row r="409" spans="1:10" hidden="1">
      <c r="A409" s="162" t="s">
        <v>220</v>
      </c>
      <c r="B409" s="133"/>
      <c r="C409" s="134" t="s">
        <v>332</v>
      </c>
      <c r="D409" s="35"/>
      <c r="E409" s="3">
        <v>1</v>
      </c>
      <c r="F409" s="6"/>
      <c r="G409" s="8"/>
      <c r="H409" s="45">
        <v>200</v>
      </c>
      <c r="I409" s="19">
        <f t="shared" si="18"/>
        <v>0</v>
      </c>
      <c r="J409" s="64"/>
    </row>
    <row r="410" spans="1:10" hidden="1">
      <c r="A410" s="162" t="s">
        <v>220</v>
      </c>
      <c r="B410" s="133"/>
      <c r="C410" s="134" t="s">
        <v>451</v>
      </c>
      <c r="D410" s="35"/>
      <c r="E410" s="3">
        <v>1</v>
      </c>
      <c r="F410" s="6"/>
      <c r="G410" s="8"/>
      <c r="H410" s="45">
        <v>237.6</v>
      </c>
      <c r="I410" s="19">
        <f t="shared" si="18"/>
        <v>0</v>
      </c>
      <c r="J410" s="64"/>
    </row>
    <row r="411" spans="1:10" hidden="1">
      <c r="A411" s="162" t="s">
        <v>220</v>
      </c>
      <c r="B411" s="133"/>
      <c r="C411" s="134" t="s">
        <v>388</v>
      </c>
      <c r="D411" s="35"/>
      <c r="E411" s="3">
        <v>1</v>
      </c>
      <c r="F411" s="6"/>
      <c r="G411" s="8"/>
      <c r="H411" s="45">
        <v>213.84</v>
      </c>
      <c r="I411" s="19">
        <f t="shared" si="18"/>
        <v>0</v>
      </c>
      <c r="J411" s="64"/>
    </row>
    <row r="412" spans="1:10" hidden="1">
      <c r="A412" s="162" t="s">
        <v>220</v>
      </c>
      <c r="B412" s="133"/>
      <c r="C412" s="134" t="s">
        <v>390</v>
      </c>
      <c r="D412" s="35"/>
      <c r="E412" s="3">
        <v>1</v>
      </c>
      <c r="F412" s="6"/>
      <c r="G412" s="8"/>
      <c r="H412" s="45">
        <v>63.18</v>
      </c>
      <c r="I412" s="19">
        <f t="shared" si="18"/>
        <v>0</v>
      </c>
      <c r="J412" s="64"/>
    </row>
    <row r="413" spans="1:10" hidden="1">
      <c r="A413" s="162" t="s">
        <v>220</v>
      </c>
      <c r="B413" s="133"/>
      <c r="C413" s="134" t="s">
        <v>452</v>
      </c>
      <c r="D413" s="35"/>
      <c r="E413" s="3">
        <v>1</v>
      </c>
      <c r="F413" s="6"/>
      <c r="G413" s="8"/>
      <c r="H413" s="45">
        <v>515.89</v>
      </c>
      <c r="I413" s="19">
        <f t="shared" si="18"/>
        <v>0</v>
      </c>
      <c r="J413" s="64"/>
    </row>
    <row r="414" spans="1:10" hidden="1">
      <c r="A414" s="162" t="s">
        <v>220</v>
      </c>
      <c r="B414" s="133"/>
      <c r="C414" s="134" t="s">
        <v>453</v>
      </c>
      <c r="D414" s="35"/>
      <c r="E414" s="3">
        <v>1</v>
      </c>
      <c r="F414" s="6"/>
      <c r="G414" s="8"/>
      <c r="H414" s="45">
        <v>557.16</v>
      </c>
      <c r="I414" s="19">
        <f t="shared" si="18"/>
        <v>0</v>
      </c>
      <c r="J414" s="64"/>
    </row>
    <row r="415" spans="1:10" hidden="1">
      <c r="A415" s="162" t="s">
        <v>220</v>
      </c>
      <c r="B415" s="133"/>
      <c r="C415" s="134" t="s">
        <v>454</v>
      </c>
      <c r="D415" s="35"/>
      <c r="E415" s="3">
        <v>1</v>
      </c>
      <c r="F415" s="6"/>
      <c r="G415" s="8"/>
      <c r="H415" s="45">
        <v>251.26</v>
      </c>
      <c r="I415" s="19">
        <f t="shared" si="18"/>
        <v>0</v>
      </c>
      <c r="J415" s="64"/>
    </row>
    <row r="416" spans="1:10" hidden="1">
      <c r="A416" s="162" t="s">
        <v>220</v>
      </c>
      <c r="B416" s="133"/>
      <c r="C416" s="134" t="s">
        <v>392</v>
      </c>
      <c r="D416" s="35"/>
      <c r="E416" s="3">
        <v>1</v>
      </c>
      <c r="F416" s="6"/>
      <c r="G416" s="8"/>
      <c r="H416" s="45">
        <v>251.26</v>
      </c>
      <c r="I416" s="19">
        <f t="shared" si="18"/>
        <v>0</v>
      </c>
      <c r="J416" s="64"/>
    </row>
    <row r="417" spans="1:10" hidden="1">
      <c r="A417" s="162" t="s">
        <v>220</v>
      </c>
      <c r="B417" s="133"/>
      <c r="C417" s="134" t="s">
        <v>393</v>
      </c>
      <c r="D417" s="35"/>
      <c r="E417" s="3">
        <v>1</v>
      </c>
      <c r="F417" s="6"/>
      <c r="G417" s="8"/>
      <c r="H417" s="45">
        <v>251.26</v>
      </c>
      <c r="I417" s="19">
        <f t="shared" si="18"/>
        <v>0</v>
      </c>
      <c r="J417" s="64"/>
    </row>
    <row r="418" spans="1:10" hidden="1">
      <c r="A418" s="162" t="s">
        <v>220</v>
      </c>
      <c r="B418" s="133"/>
      <c r="C418" s="134" t="s">
        <v>394</v>
      </c>
      <c r="D418" s="35"/>
      <c r="E418" s="3">
        <v>1</v>
      </c>
      <c r="F418" s="6"/>
      <c r="G418" s="8"/>
      <c r="H418" s="45">
        <v>251.26</v>
      </c>
      <c r="I418" s="19">
        <f t="shared" si="18"/>
        <v>0</v>
      </c>
      <c r="J418" s="64"/>
    </row>
    <row r="419" spans="1:10" hidden="1">
      <c r="A419" s="162" t="s">
        <v>220</v>
      </c>
      <c r="B419" s="133"/>
      <c r="C419" s="134" t="s">
        <v>333</v>
      </c>
      <c r="D419" s="35"/>
      <c r="E419" s="3">
        <v>1</v>
      </c>
      <c r="F419" s="6"/>
      <c r="G419" s="8"/>
      <c r="H419" s="45">
        <v>5.72</v>
      </c>
      <c r="I419" s="19">
        <f t="shared" si="18"/>
        <v>0</v>
      </c>
      <c r="J419" s="64"/>
    </row>
    <row r="420" spans="1:10" hidden="1">
      <c r="A420" s="162" t="s">
        <v>220</v>
      </c>
      <c r="B420" s="133"/>
      <c r="C420" s="134" t="s">
        <v>455</v>
      </c>
      <c r="D420" s="35"/>
      <c r="E420" s="3">
        <v>1</v>
      </c>
      <c r="F420" s="6"/>
      <c r="G420" s="8"/>
      <c r="H420" s="45">
        <v>21.5</v>
      </c>
      <c r="I420" s="19">
        <f t="shared" si="18"/>
        <v>0</v>
      </c>
      <c r="J420" s="64"/>
    </row>
    <row r="421" spans="1:10" hidden="1">
      <c r="A421" s="162" t="s">
        <v>220</v>
      </c>
      <c r="B421" s="133"/>
      <c r="C421" s="134" t="s">
        <v>334</v>
      </c>
      <c r="D421" s="35"/>
      <c r="E421" s="3">
        <v>1</v>
      </c>
      <c r="F421" s="6"/>
      <c r="G421" s="8"/>
      <c r="H421" s="45">
        <v>31.5</v>
      </c>
      <c r="I421" s="19">
        <f t="shared" si="18"/>
        <v>0</v>
      </c>
      <c r="J421" s="64"/>
    </row>
    <row r="422" spans="1:10" hidden="1">
      <c r="A422" s="162" t="s">
        <v>220</v>
      </c>
      <c r="B422" s="133"/>
      <c r="C422" s="134" t="s">
        <v>398</v>
      </c>
      <c r="D422" s="35"/>
      <c r="E422" s="3">
        <v>1</v>
      </c>
      <c r="F422" s="6"/>
      <c r="G422" s="8"/>
      <c r="H422" s="45">
        <v>292.60000000000002</v>
      </c>
      <c r="I422" s="19">
        <f t="shared" ref="I422:I458" si="19">F422*H422</f>
        <v>0</v>
      </c>
      <c r="J422" s="64"/>
    </row>
    <row r="423" spans="1:10" hidden="1">
      <c r="A423" s="162" t="s">
        <v>220</v>
      </c>
      <c r="B423" s="133"/>
      <c r="C423" s="134" t="s">
        <v>456</v>
      </c>
      <c r="D423" s="35"/>
      <c r="E423" s="3">
        <v>1</v>
      </c>
      <c r="F423" s="6"/>
      <c r="G423" s="8"/>
      <c r="H423" s="45">
        <v>460.8</v>
      </c>
      <c r="I423" s="19">
        <f t="shared" si="19"/>
        <v>0</v>
      </c>
      <c r="J423" s="64"/>
    </row>
    <row r="424" spans="1:10" hidden="1">
      <c r="A424" s="162" t="s">
        <v>220</v>
      </c>
      <c r="B424" s="133"/>
      <c r="C424" s="134" t="s">
        <v>457</v>
      </c>
      <c r="D424" s="35"/>
      <c r="E424" s="3">
        <v>1</v>
      </c>
      <c r="F424" s="6"/>
      <c r="G424" s="8"/>
      <c r="H424" s="45">
        <v>292.60000000000002</v>
      </c>
      <c r="I424" s="19">
        <f t="shared" si="19"/>
        <v>0</v>
      </c>
      <c r="J424" s="64"/>
    </row>
    <row r="425" spans="1:10" hidden="1">
      <c r="A425" s="162" t="s">
        <v>220</v>
      </c>
      <c r="B425" s="133"/>
      <c r="C425" s="134" t="s">
        <v>458</v>
      </c>
      <c r="D425" s="35"/>
      <c r="E425" s="3">
        <v>1</v>
      </c>
      <c r="F425" s="6"/>
      <c r="G425" s="8"/>
      <c r="H425" s="45">
        <v>477.68</v>
      </c>
      <c r="I425" s="19">
        <f t="shared" si="19"/>
        <v>0</v>
      </c>
      <c r="J425" s="64"/>
    </row>
    <row r="426" spans="1:10" hidden="1">
      <c r="A426" s="162" t="s">
        <v>220</v>
      </c>
      <c r="B426" s="133"/>
      <c r="C426" s="134" t="s">
        <v>459</v>
      </c>
      <c r="D426" s="35"/>
      <c r="E426" s="3">
        <v>1</v>
      </c>
      <c r="F426" s="6"/>
      <c r="G426" s="8"/>
      <c r="H426" s="45">
        <v>344.19</v>
      </c>
      <c r="I426" s="19">
        <f t="shared" si="19"/>
        <v>0</v>
      </c>
      <c r="J426" s="64"/>
    </row>
    <row r="427" spans="1:10" hidden="1">
      <c r="A427" s="162" t="s">
        <v>220</v>
      </c>
      <c r="B427" s="133"/>
      <c r="C427" s="134" t="s">
        <v>399</v>
      </c>
      <c r="D427" s="35"/>
      <c r="E427" s="3">
        <v>1</v>
      </c>
      <c r="F427" s="6"/>
      <c r="G427" s="8"/>
      <c r="H427" s="45">
        <v>344.19</v>
      </c>
      <c r="I427" s="19">
        <f t="shared" si="19"/>
        <v>0</v>
      </c>
      <c r="J427" s="64"/>
    </row>
    <row r="428" spans="1:10" hidden="1">
      <c r="A428" s="162" t="s">
        <v>220</v>
      </c>
      <c r="B428" s="133"/>
      <c r="C428" s="134" t="s">
        <v>460</v>
      </c>
      <c r="D428" s="35"/>
      <c r="E428" s="3">
        <v>1</v>
      </c>
      <c r="F428" s="6"/>
      <c r="G428" s="8"/>
      <c r="H428" s="45">
        <v>346.5</v>
      </c>
      <c r="I428" s="19">
        <f t="shared" si="19"/>
        <v>0</v>
      </c>
      <c r="J428" s="64"/>
    </row>
    <row r="429" spans="1:10">
      <c r="A429" s="162" t="s">
        <v>220</v>
      </c>
      <c r="B429" s="133"/>
      <c r="C429" s="134" t="s">
        <v>461</v>
      </c>
      <c r="D429" s="35"/>
      <c r="E429" s="3">
        <v>1</v>
      </c>
      <c r="F429" s="6">
        <f>5/2</f>
        <v>2.5</v>
      </c>
      <c r="G429" s="8"/>
      <c r="H429" s="45">
        <f>218.4/2</f>
        <v>109.2</v>
      </c>
      <c r="I429" s="19">
        <f t="shared" si="19"/>
        <v>273</v>
      </c>
      <c r="J429" s="64"/>
    </row>
    <row r="430" spans="1:10">
      <c r="A430" s="162" t="s">
        <v>220</v>
      </c>
      <c r="B430" s="133"/>
      <c r="C430" s="134" t="s">
        <v>462</v>
      </c>
      <c r="D430" s="35"/>
      <c r="E430" s="3">
        <v>1</v>
      </c>
      <c r="F430" s="6">
        <f>6/2</f>
        <v>3</v>
      </c>
      <c r="G430" s="8"/>
      <c r="H430" s="45">
        <f>423.15/2</f>
        <v>211.57499999999999</v>
      </c>
      <c r="I430" s="19">
        <f t="shared" si="19"/>
        <v>634.72499999999991</v>
      </c>
      <c r="J430" s="64"/>
    </row>
    <row r="431" spans="1:10">
      <c r="A431" s="162" t="s">
        <v>220</v>
      </c>
      <c r="B431" s="133"/>
      <c r="C431" s="134" t="s">
        <v>463</v>
      </c>
      <c r="D431" s="35"/>
      <c r="E431" s="3">
        <v>1</v>
      </c>
      <c r="F431" s="6">
        <f>13/2</f>
        <v>6.5</v>
      </c>
      <c r="G431" s="8"/>
      <c r="H431" s="45">
        <f>546/2</f>
        <v>273</v>
      </c>
      <c r="I431" s="19">
        <f t="shared" si="19"/>
        <v>1774.5</v>
      </c>
      <c r="J431" s="64"/>
    </row>
    <row r="432" spans="1:10" hidden="1">
      <c r="A432" s="162" t="s">
        <v>220</v>
      </c>
      <c r="B432" s="133"/>
      <c r="C432" s="134" t="s">
        <v>464</v>
      </c>
      <c r="D432" s="35"/>
      <c r="E432" s="3">
        <v>1</v>
      </c>
      <c r="G432" s="8"/>
      <c r="H432" s="45">
        <v>5.01</v>
      </c>
      <c r="I432" s="19">
        <f t="shared" si="19"/>
        <v>0</v>
      </c>
      <c r="J432" s="64"/>
    </row>
    <row r="433" spans="1:10">
      <c r="A433" s="162" t="s">
        <v>220</v>
      </c>
      <c r="B433" s="133"/>
      <c r="C433" s="134" t="s">
        <v>465</v>
      </c>
      <c r="D433" s="35"/>
      <c r="E433" s="3">
        <v>1</v>
      </c>
      <c r="F433" s="6">
        <f>27/2</f>
        <v>13.5</v>
      </c>
      <c r="G433" s="8"/>
      <c r="H433" s="45">
        <v>421</v>
      </c>
      <c r="I433" s="19">
        <f t="shared" si="19"/>
        <v>5683.5</v>
      </c>
      <c r="J433" s="64"/>
    </row>
    <row r="434" spans="1:10" hidden="1">
      <c r="A434" s="162" t="s">
        <v>220</v>
      </c>
      <c r="B434" s="133"/>
      <c r="C434" s="134" t="s">
        <v>224</v>
      </c>
      <c r="D434" s="35"/>
      <c r="E434" s="3">
        <v>1</v>
      </c>
      <c r="F434" s="6"/>
      <c r="G434" s="8"/>
      <c r="H434" s="45">
        <v>320</v>
      </c>
      <c r="I434" s="19">
        <f t="shared" si="19"/>
        <v>0</v>
      </c>
      <c r="J434" s="64"/>
    </row>
    <row r="435" spans="1:10" hidden="1">
      <c r="A435" s="162" t="s">
        <v>220</v>
      </c>
      <c r="B435" s="133"/>
      <c r="C435" s="134" t="s">
        <v>227</v>
      </c>
      <c r="D435" s="35"/>
      <c r="E435" s="3">
        <v>1</v>
      </c>
      <c r="F435" s="6"/>
      <c r="G435" s="8"/>
      <c r="H435" s="45">
        <v>621</v>
      </c>
      <c r="I435" s="19">
        <f t="shared" si="19"/>
        <v>0</v>
      </c>
      <c r="J435" s="64"/>
    </row>
    <row r="436" spans="1:10" hidden="1">
      <c r="A436" s="162" t="s">
        <v>220</v>
      </c>
      <c r="B436" s="133"/>
      <c r="C436" s="134" t="s">
        <v>228</v>
      </c>
      <c r="D436" s="35"/>
      <c r="E436" s="3">
        <v>1</v>
      </c>
      <c r="F436" s="6"/>
      <c r="G436" s="8"/>
      <c r="H436" s="45">
        <v>621</v>
      </c>
      <c r="I436" s="19">
        <f t="shared" si="19"/>
        <v>0</v>
      </c>
      <c r="J436" s="64"/>
    </row>
    <row r="437" spans="1:10" hidden="1">
      <c r="A437" s="162" t="s">
        <v>220</v>
      </c>
      <c r="B437" s="133"/>
      <c r="C437" s="134" t="s">
        <v>466</v>
      </c>
      <c r="D437" s="35"/>
      <c r="E437" s="3">
        <v>1</v>
      </c>
      <c r="F437" s="6"/>
      <c r="G437" s="8"/>
      <c r="H437" s="45">
        <v>218.4</v>
      </c>
      <c r="I437" s="19">
        <f t="shared" si="19"/>
        <v>0</v>
      </c>
      <c r="J437" s="64"/>
    </row>
    <row r="438" spans="1:10" hidden="1">
      <c r="A438" s="162" t="s">
        <v>220</v>
      </c>
      <c r="B438" s="133"/>
      <c r="C438" s="134" t="s">
        <v>467</v>
      </c>
      <c r="D438" s="35"/>
      <c r="E438" s="3">
        <v>1</v>
      </c>
      <c r="F438" s="6"/>
      <c r="G438" s="8"/>
      <c r="H438" s="45">
        <v>423.15</v>
      </c>
      <c r="I438" s="19">
        <f t="shared" si="19"/>
        <v>0</v>
      </c>
      <c r="J438" s="64"/>
    </row>
    <row r="439" spans="1:10" hidden="1">
      <c r="A439" s="162" t="s">
        <v>220</v>
      </c>
      <c r="B439" s="133"/>
      <c r="C439" s="134" t="s">
        <v>468</v>
      </c>
      <c r="D439" s="35"/>
      <c r="E439" s="3">
        <v>1</v>
      </c>
      <c r="F439" s="6"/>
      <c r="G439" s="8"/>
      <c r="H439" s="45">
        <v>11.12</v>
      </c>
      <c r="I439" s="19">
        <f t="shared" si="19"/>
        <v>0</v>
      </c>
      <c r="J439" s="64"/>
    </row>
    <row r="440" spans="1:10" hidden="1">
      <c r="A440" s="162" t="s">
        <v>220</v>
      </c>
      <c r="B440" s="133"/>
      <c r="C440" s="134" t="s">
        <v>229</v>
      </c>
      <c r="D440" s="35"/>
      <c r="E440" s="3">
        <v>1</v>
      </c>
      <c r="F440" s="6"/>
      <c r="G440" s="8"/>
      <c r="H440" s="45">
        <v>567</v>
      </c>
      <c r="I440" s="19">
        <f t="shared" si="19"/>
        <v>0</v>
      </c>
      <c r="J440" s="64"/>
    </row>
    <row r="441" spans="1:10" hidden="1">
      <c r="A441" s="162" t="s">
        <v>220</v>
      </c>
      <c r="B441" s="133"/>
      <c r="C441" s="134" t="s">
        <v>230</v>
      </c>
      <c r="D441" s="35"/>
      <c r="E441" s="3">
        <v>1</v>
      </c>
      <c r="F441" s="6"/>
      <c r="G441" s="8"/>
      <c r="H441" s="45">
        <v>13.53</v>
      </c>
      <c r="I441" s="19">
        <f t="shared" si="19"/>
        <v>0</v>
      </c>
      <c r="J441" s="64"/>
    </row>
    <row r="442" spans="1:10" hidden="1">
      <c r="A442" s="162" t="s">
        <v>220</v>
      </c>
      <c r="B442" s="133"/>
      <c r="C442" s="134" t="s">
        <v>469</v>
      </c>
      <c r="D442" s="35"/>
      <c r="E442" s="3">
        <v>1</v>
      </c>
      <c r="F442" s="6"/>
      <c r="G442" s="8"/>
      <c r="H442" s="45">
        <v>18.899999999999999</v>
      </c>
      <c r="I442" s="19">
        <f t="shared" si="19"/>
        <v>0</v>
      </c>
      <c r="J442" s="64"/>
    </row>
    <row r="443" spans="1:10" hidden="1">
      <c r="A443" s="162" t="s">
        <v>220</v>
      </c>
      <c r="B443" s="133"/>
      <c r="C443" s="134" t="s">
        <v>278</v>
      </c>
      <c r="D443" s="35"/>
      <c r="E443" s="3">
        <v>1</v>
      </c>
      <c r="F443" s="6"/>
      <c r="G443" s="8"/>
      <c r="H443" s="45">
        <v>211.2</v>
      </c>
      <c r="I443" s="19">
        <f t="shared" si="19"/>
        <v>0</v>
      </c>
      <c r="J443" s="64"/>
    </row>
    <row r="444" spans="1:10" hidden="1">
      <c r="A444" s="162" t="s">
        <v>220</v>
      </c>
      <c r="B444" s="133"/>
      <c r="C444" s="134" t="s">
        <v>470</v>
      </c>
      <c r="D444" s="35"/>
      <c r="E444" s="3">
        <v>1</v>
      </c>
      <c r="F444" s="6"/>
      <c r="G444" s="8"/>
      <c r="H444" s="45">
        <v>16.5</v>
      </c>
      <c r="I444" s="19">
        <f t="shared" si="19"/>
        <v>0</v>
      </c>
      <c r="J444" s="64"/>
    </row>
    <row r="445" spans="1:10" hidden="1">
      <c r="A445" s="162" t="s">
        <v>220</v>
      </c>
      <c r="B445" s="133" t="s">
        <v>471</v>
      </c>
      <c r="C445" s="134" t="s">
        <v>472</v>
      </c>
      <c r="D445" s="35"/>
      <c r="E445" s="3">
        <v>1</v>
      </c>
      <c r="F445" s="6"/>
      <c r="G445" s="8"/>
      <c r="H445" s="45">
        <v>80</v>
      </c>
      <c r="I445" s="19">
        <f t="shared" si="19"/>
        <v>0</v>
      </c>
      <c r="J445" s="64"/>
    </row>
    <row r="446" spans="1:10" hidden="1">
      <c r="A446" s="162" t="s">
        <v>220</v>
      </c>
      <c r="B446" s="133" t="s">
        <v>473</v>
      </c>
      <c r="C446" s="134" t="s">
        <v>474</v>
      </c>
      <c r="D446" s="35"/>
      <c r="E446" s="3">
        <v>1</v>
      </c>
      <c r="F446" s="6"/>
      <c r="G446" s="8"/>
      <c r="H446" s="45">
        <v>140</v>
      </c>
      <c r="I446" s="19">
        <f t="shared" si="19"/>
        <v>0</v>
      </c>
      <c r="J446" s="64"/>
    </row>
    <row r="447" spans="1:10" hidden="1">
      <c r="A447" s="162" t="s">
        <v>220</v>
      </c>
      <c r="B447" s="133" t="s">
        <v>475</v>
      </c>
      <c r="C447" s="134" t="s">
        <v>476</v>
      </c>
      <c r="D447" s="35"/>
      <c r="E447" s="3">
        <v>1</v>
      </c>
      <c r="F447" s="6"/>
      <c r="G447" s="8"/>
      <c r="H447" s="45">
        <v>200</v>
      </c>
      <c r="I447" s="19">
        <f t="shared" si="19"/>
        <v>0</v>
      </c>
      <c r="J447" s="64"/>
    </row>
    <row r="448" spans="1:10" hidden="1">
      <c r="A448" s="162" t="s">
        <v>220</v>
      </c>
      <c r="B448" s="133" t="s">
        <v>477</v>
      </c>
      <c r="C448" s="134" t="s">
        <v>478</v>
      </c>
      <c r="D448" s="35"/>
      <c r="E448" s="3">
        <v>1</v>
      </c>
      <c r="F448" s="6"/>
      <c r="G448" s="8"/>
      <c r="H448" s="45">
        <v>345</v>
      </c>
      <c r="I448" s="19">
        <f t="shared" si="19"/>
        <v>0</v>
      </c>
      <c r="J448" s="64"/>
    </row>
    <row r="449" spans="1:10" hidden="1">
      <c r="A449" s="162" t="s">
        <v>220</v>
      </c>
      <c r="B449" s="133" t="s">
        <v>479</v>
      </c>
      <c r="C449" s="134" t="s">
        <v>480</v>
      </c>
      <c r="D449" s="35"/>
      <c r="E449" s="3">
        <v>1</v>
      </c>
      <c r="F449" s="6"/>
      <c r="G449" s="8"/>
      <c r="H449" s="45">
        <v>12</v>
      </c>
      <c r="I449" s="19">
        <f t="shared" si="19"/>
        <v>0</v>
      </c>
      <c r="J449" s="64"/>
    </row>
    <row r="450" spans="1:10" hidden="1">
      <c r="A450" s="162" t="s">
        <v>220</v>
      </c>
      <c r="B450" s="133" t="s">
        <v>481</v>
      </c>
      <c r="C450" s="134" t="s">
        <v>482</v>
      </c>
      <c r="D450" s="35"/>
      <c r="E450" s="3">
        <v>1</v>
      </c>
      <c r="F450" s="6"/>
      <c r="G450" s="8"/>
      <c r="H450" s="45">
        <v>200</v>
      </c>
      <c r="I450" s="19">
        <f t="shared" si="19"/>
        <v>0</v>
      </c>
      <c r="J450" s="64"/>
    </row>
    <row r="451" spans="1:10" hidden="1">
      <c r="A451" s="162" t="s">
        <v>220</v>
      </c>
      <c r="B451" s="133" t="s">
        <v>483</v>
      </c>
      <c r="C451" s="134" t="s">
        <v>484</v>
      </c>
      <c r="D451" s="35"/>
      <c r="E451" s="3">
        <v>1</v>
      </c>
      <c r="F451" s="6"/>
      <c r="G451" s="8"/>
      <c r="H451" s="45">
        <v>150</v>
      </c>
      <c r="I451" s="19">
        <f t="shared" si="19"/>
        <v>0</v>
      </c>
      <c r="J451" s="64"/>
    </row>
    <row r="452" spans="1:10" hidden="1">
      <c r="A452" s="162" t="s">
        <v>220</v>
      </c>
      <c r="B452" s="133" t="s">
        <v>485</v>
      </c>
      <c r="C452" s="134" t="s">
        <v>486</v>
      </c>
      <c r="D452" s="35"/>
      <c r="E452" s="3">
        <v>1</v>
      </c>
      <c r="F452" s="6"/>
      <c r="G452" s="8"/>
      <c r="H452" s="45">
        <v>75</v>
      </c>
      <c r="I452" s="19">
        <f t="shared" si="19"/>
        <v>0</v>
      </c>
      <c r="J452" s="64"/>
    </row>
    <row r="453" spans="1:10" hidden="1">
      <c r="A453" s="162" t="s">
        <v>220</v>
      </c>
      <c r="B453" s="133" t="s">
        <v>487</v>
      </c>
      <c r="C453" s="134" t="s">
        <v>488</v>
      </c>
      <c r="D453" s="35"/>
      <c r="E453" s="3">
        <v>1</v>
      </c>
      <c r="F453" s="6"/>
      <c r="G453" s="8"/>
      <c r="H453" s="45">
        <v>45</v>
      </c>
      <c r="I453" s="19">
        <f t="shared" si="19"/>
        <v>0</v>
      </c>
      <c r="J453" s="64"/>
    </row>
    <row r="454" spans="1:10" hidden="1">
      <c r="A454" s="162" t="s">
        <v>220</v>
      </c>
      <c r="B454" s="133" t="s">
        <v>489</v>
      </c>
      <c r="C454" s="134" t="s">
        <v>490</v>
      </c>
      <c r="D454" s="35"/>
      <c r="E454" s="3">
        <v>1</v>
      </c>
      <c r="F454" s="6"/>
      <c r="G454" s="8"/>
      <c r="H454" s="45">
        <v>20</v>
      </c>
      <c r="I454" s="19">
        <f t="shared" si="19"/>
        <v>0</v>
      </c>
      <c r="J454" s="64"/>
    </row>
    <row r="455" spans="1:10" hidden="1">
      <c r="A455" s="162" t="s">
        <v>220</v>
      </c>
      <c r="B455" s="133" t="s">
        <v>491</v>
      </c>
      <c r="C455" s="134" t="s">
        <v>492</v>
      </c>
      <c r="D455" s="35"/>
      <c r="E455" s="3">
        <v>1</v>
      </c>
      <c r="F455" s="6"/>
      <c r="G455" s="8"/>
      <c r="H455" s="45">
        <v>15</v>
      </c>
      <c r="I455" s="19">
        <f t="shared" si="19"/>
        <v>0</v>
      </c>
      <c r="J455" s="64"/>
    </row>
    <row r="456" spans="1:10" hidden="1">
      <c r="A456" s="162" t="s">
        <v>220</v>
      </c>
      <c r="B456" s="133" t="s">
        <v>493</v>
      </c>
      <c r="C456" s="134" t="s">
        <v>494</v>
      </c>
      <c r="D456" s="35"/>
      <c r="E456" s="3">
        <v>1</v>
      </c>
      <c r="F456" s="6"/>
      <c r="G456" s="8"/>
      <c r="H456" s="45">
        <v>7.5</v>
      </c>
      <c r="I456" s="19">
        <f t="shared" si="19"/>
        <v>0</v>
      </c>
      <c r="J456" s="64"/>
    </row>
    <row r="457" spans="1:10" hidden="1">
      <c r="A457" s="162" t="s">
        <v>220</v>
      </c>
      <c r="B457" s="133" t="s">
        <v>495</v>
      </c>
      <c r="C457" s="134" t="s">
        <v>496</v>
      </c>
      <c r="D457" s="35"/>
      <c r="E457" s="3">
        <v>1</v>
      </c>
      <c r="F457" s="6"/>
      <c r="G457" s="8"/>
      <c r="H457" s="45">
        <v>30</v>
      </c>
      <c r="I457" s="19">
        <f t="shared" si="19"/>
        <v>0</v>
      </c>
      <c r="J457" s="64"/>
    </row>
    <row r="458" spans="1:10" hidden="1">
      <c r="A458" s="162" t="s">
        <v>220</v>
      </c>
      <c r="B458" s="133" t="s">
        <v>497</v>
      </c>
      <c r="C458" s="134" t="s">
        <v>498</v>
      </c>
      <c r="D458" s="35"/>
      <c r="E458" s="3">
        <v>1</v>
      </c>
      <c r="F458" s="6"/>
      <c r="G458" s="8"/>
      <c r="H458" s="45">
        <v>0.97</v>
      </c>
      <c r="I458" s="19">
        <f t="shared" si="19"/>
        <v>0</v>
      </c>
      <c r="J458" s="64"/>
    </row>
    <row r="459" spans="1:10" hidden="1">
      <c r="A459" s="68" t="s">
        <v>499</v>
      </c>
      <c r="B459" s="5"/>
      <c r="C459" s="35" t="s">
        <v>500</v>
      </c>
      <c r="D459" s="35"/>
      <c r="E459" s="3">
        <v>1</v>
      </c>
      <c r="F459" s="6"/>
      <c r="G459" s="130"/>
      <c r="H459" s="45">
        <v>1.53</v>
      </c>
      <c r="I459" s="19">
        <f t="shared" si="1"/>
        <v>0</v>
      </c>
    </row>
    <row r="460" spans="1:10" hidden="1">
      <c r="A460" s="68" t="s">
        <v>499</v>
      </c>
      <c r="B460" s="5"/>
      <c r="C460" s="35" t="s">
        <v>501</v>
      </c>
      <c r="D460" s="35"/>
      <c r="E460" s="3">
        <v>1</v>
      </c>
      <c r="F460" s="6"/>
      <c r="G460" s="130"/>
      <c r="H460" s="45">
        <v>10.7</v>
      </c>
      <c r="I460" s="19">
        <f t="shared" si="1"/>
        <v>0</v>
      </c>
    </row>
    <row r="461" spans="1:10" hidden="1">
      <c r="A461" s="68" t="s">
        <v>499</v>
      </c>
      <c r="B461" s="5"/>
      <c r="C461" s="35" t="s">
        <v>502</v>
      </c>
      <c r="D461" s="35"/>
      <c r="E461" s="3">
        <v>1</v>
      </c>
      <c r="F461" s="6"/>
      <c r="G461" s="130"/>
      <c r="H461" s="45">
        <v>3.84</v>
      </c>
      <c r="I461" s="19">
        <f t="shared" si="1"/>
        <v>0</v>
      </c>
    </row>
    <row r="462" spans="1:10">
      <c r="A462" s="68" t="s">
        <v>499</v>
      </c>
      <c r="B462" s="5"/>
      <c r="C462" s="35" t="s">
        <v>503</v>
      </c>
      <c r="D462" s="35"/>
      <c r="E462" s="3">
        <v>1</v>
      </c>
      <c r="F462" s="6">
        <v>7</v>
      </c>
      <c r="G462" s="130"/>
      <c r="H462" s="45">
        <v>4.92</v>
      </c>
      <c r="I462" s="19">
        <f t="shared" si="1"/>
        <v>34.44</v>
      </c>
    </row>
    <row r="463" spans="1:10" hidden="1">
      <c r="A463" s="68" t="s">
        <v>499</v>
      </c>
      <c r="B463" s="5"/>
      <c r="C463" s="35" t="s">
        <v>504</v>
      </c>
      <c r="D463" s="35"/>
      <c r="E463" s="3">
        <v>1</v>
      </c>
      <c r="F463" s="6"/>
      <c r="G463" s="130"/>
      <c r="H463" s="45">
        <v>19.46</v>
      </c>
      <c r="I463" s="19">
        <f t="shared" si="1"/>
        <v>0</v>
      </c>
    </row>
    <row r="464" spans="1:10" hidden="1">
      <c r="A464" s="68" t="s">
        <v>499</v>
      </c>
      <c r="B464" s="5"/>
      <c r="C464" s="35" t="s">
        <v>505</v>
      </c>
      <c r="D464" s="35"/>
      <c r="E464" s="3">
        <v>1</v>
      </c>
      <c r="F464" s="6"/>
      <c r="G464" s="130"/>
      <c r="H464" s="45">
        <v>4.42</v>
      </c>
      <c r="I464" s="19">
        <f t="shared" si="1"/>
        <v>0</v>
      </c>
    </row>
    <row r="465" spans="1:9" hidden="1">
      <c r="A465" s="68" t="s">
        <v>499</v>
      </c>
      <c r="B465" s="5"/>
      <c r="C465" s="35" t="s">
        <v>506</v>
      </c>
      <c r="D465" s="35"/>
      <c r="E465" s="3">
        <v>1</v>
      </c>
      <c r="F465" s="6"/>
      <c r="G465" s="130"/>
      <c r="H465" s="45">
        <v>6.32</v>
      </c>
      <c r="I465" s="19">
        <f t="shared" si="1"/>
        <v>0</v>
      </c>
    </row>
    <row r="466" spans="1:9" hidden="1">
      <c r="A466" s="109" t="s">
        <v>507</v>
      </c>
      <c r="B466" s="5"/>
      <c r="C466" s="35" t="s">
        <v>508</v>
      </c>
      <c r="D466" s="35"/>
      <c r="E466" s="3">
        <v>1</v>
      </c>
      <c r="F466" s="6"/>
      <c r="G466" s="130"/>
      <c r="H466" s="45">
        <v>140</v>
      </c>
      <c r="I466" s="19">
        <f t="shared" si="1"/>
        <v>0</v>
      </c>
    </row>
    <row r="467" spans="1:9">
      <c r="A467" s="145" t="s">
        <v>509</v>
      </c>
      <c r="B467" s="5">
        <v>825</v>
      </c>
      <c r="C467" s="35" t="s">
        <v>510</v>
      </c>
      <c r="D467" s="35"/>
      <c r="E467" s="3">
        <v>1</v>
      </c>
      <c r="F467" s="6">
        <v>1</v>
      </c>
      <c r="G467" s="130"/>
      <c r="H467" s="45">
        <v>120</v>
      </c>
      <c r="I467" s="19">
        <f t="shared" si="1"/>
        <v>120</v>
      </c>
    </row>
    <row r="468" spans="1:9">
      <c r="A468" s="145" t="s">
        <v>509</v>
      </c>
      <c r="B468" s="5" t="s">
        <v>511</v>
      </c>
      <c r="C468" s="35" t="s">
        <v>512</v>
      </c>
      <c r="D468" s="35"/>
      <c r="E468" s="3">
        <v>1</v>
      </c>
      <c r="F468" s="6">
        <v>2</v>
      </c>
      <c r="G468" s="130"/>
      <c r="H468" s="45">
        <v>45</v>
      </c>
      <c r="I468" s="19">
        <f t="shared" si="1"/>
        <v>90</v>
      </c>
    </row>
    <row r="469" spans="1:9">
      <c r="A469" s="145" t="s">
        <v>509</v>
      </c>
      <c r="B469" s="5">
        <v>891</v>
      </c>
      <c r="C469" s="35" t="s">
        <v>513</v>
      </c>
      <c r="D469" s="35"/>
      <c r="E469" s="3">
        <v>1</v>
      </c>
      <c r="F469" s="6">
        <v>2</v>
      </c>
      <c r="G469" s="130"/>
      <c r="H469" s="45">
        <v>45</v>
      </c>
      <c r="I469" s="19">
        <f t="shared" si="1"/>
        <v>90</v>
      </c>
    </row>
    <row r="470" spans="1:9" hidden="1">
      <c r="A470" s="145" t="s">
        <v>509</v>
      </c>
      <c r="B470" s="5">
        <v>583</v>
      </c>
      <c r="C470" s="35" t="s">
        <v>514</v>
      </c>
      <c r="D470" s="35"/>
      <c r="E470" s="3">
        <v>1</v>
      </c>
      <c r="F470" s="6"/>
      <c r="G470" s="130"/>
      <c r="H470" s="45">
        <v>228</v>
      </c>
      <c r="I470" s="19">
        <f t="shared" si="1"/>
        <v>0</v>
      </c>
    </row>
    <row r="471" spans="1:9" hidden="1">
      <c r="A471" s="145" t="s">
        <v>509</v>
      </c>
      <c r="B471" s="5">
        <v>547</v>
      </c>
      <c r="C471" s="35" t="s">
        <v>515</v>
      </c>
      <c r="D471" s="35"/>
      <c r="E471" s="3">
        <v>1</v>
      </c>
      <c r="F471" s="6"/>
      <c r="G471" s="130"/>
      <c r="H471" s="45">
        <v>45</v>
      </c>
      <c r="I471" s="19">
        <f t="shared" si="1"/>
        <v>0</v>
      </c>
    </row>
    <row r="472" spans="1:9" hidden="1">
      <c r="A472" s="145" t="s">
        <v>509</v>
      </c>
      <c r="B472" s="5">
        <v>1027</v>
      </c>
      <c r="C472" s="35" t="s">
        <v>516</v>
      </c>
      <c r="D472" s="35"/>
      <c r="E472" s="3">
        <v>1</v>
      </c>
      <c r="F472" s="6"/>
      <c r="G472" s="130"/>
      <c r="H472" s="45">
        <v>25</v>
      </c>
      <c r="I472" s="19">
        <f t="shared" si="1"/>
        <v>0</v>
      </c>
    </row>
    <row r="473" spans="1:9" hidden="1">
      <c r="A473" s="145" t="s">
        <v>509</v>
      </c>
      <c r="B473" s="5">
        <v>1112</v>
      </c>
      <c r="C473" s="35" t="s">
        <v>517</v>
      </c>
      <c r="D473" s="35"/>
      <c r="E473" s="3">
        <v>1</v>
      </c>
      <c r="F473" s="6"/>
      <c r="G473" s="130"/>
      <c r="H473" s="45">
        <v>3</v>
      </c>
      <c r="I473" s="19">
        <f t="shared" si="1"/>
        <v>0</v>
      </c>
    </row>
    <row r="474" spans="1:9" hidden="1">
      <c r="A474" s="145" t="s">
        <v>509</v>
      </c>
      <c r="B474" s="5">
        <v>995</v>
      </c>
      <c r="C474" s="35" t="s">
        <v>518</v>
      </c>
      <c r="D474" s="35"/>
      <c r="E474" s="3">
        <v>1</v>
      </c>
      <c r="F474" s="6"/>
      <c r="G474" s="130"/>
      <c r="H474" s="45">
        <v>285</v>
      </c>
      <c r="I474" s="19">
        <f t="shared" si="1"/>
        <v>0</v>
      </c>
    </row>
    <row r="475" spans="1:9" hidden="1">
      <c r="A475" s="89" t="s">
        <v>519</v>
      </c>
      <c r="B475" s="2" t="s">
        <v>520</v>
      </c>
      <c r="C475" s="2" t="s">
        <v>521</v>
      </c>
      <c r="D475" s="35"/>
      <c r="E475" s="3">
        <v>1</v>
      </c>
      <c r="F475" s="6"/>
      <c r="G475" s="130"/>
      <c r="H475" s="45">
        <v>2.69</v>
      </c>
      <c r="I475" s="19">
        <f t="shared" si="1"/>
        <v>0</v>
      </c>
    </row>
    <row r="476" spans="1:9" hidden="1">
      <c r="A476" s="89" t="s">
        <v>519</v>
      </c>
      <c r="B476" s="2" t="s">
        <v>522</v>
      </c>
      <c r="C476" s="2" t="s">
        <v>521</v>
      </c>
      <c r="D476" s="35"/>
      <c r="E476" s="3">
        <v>1</v>
      </c>
      <c r="F476" s="6"/>
      <c r="G476" s="130"/>
      <c r="H476" s="45">
        <v>4.22</v>
      </c>
      <c r="I476" s="19">
        <f t="shared" si="1"/>
        <v>0</v>
      </c>
    </row>
    <row r="477" spans="1:9" hidden="1">
      <c r="A477" s="89" t="s">
        <v>519</v>
      </c>
      <c r="B477" s="2" t="s">
        <v>523</v>
      </c>
      <c r="C477" s="2" t="s">
        <v>521</v>
      </c>
      <c r="D477" s="35"/>
      <c r="E477" s="3">
        <v>1</v>
      </c>
      <c r="F477" s="6"/>
      <c r="G477" s="130"/>
      <c r="H477" s="45">
        <v>6.79</v>
      </c>
      <c r="I477" s="19">
        <f t="shared" si="1"/>
        <v>0</v>
      </c>
    </row>
    <row r="478" spans="1:9" hidden="1">
      <c r="A478" s="89" t="s">
        <v>519</v>
      </c>
      <c r="B478" s="2" t="s">
        <v>524</v>
      </c>
      <c r="C478" s="2" t="s">
        <v>525</v>
      </c>
      <c r="D478" s="35"/>
      <c r="E478" s="3">
        <v>1</v>
      </c>
      <c r="F478" s="6"/>
      <c r="G478" s="130"/>
      <c r="H478" s="45">
        <v>14.33</v>
      </c>
      <c r="I478" s="19">
        <f t="shared" si="1"/>
        <v>0</v>
      </c>
    </row>
    <row r="479" spans="1:9" hidden="1">
      <c r="A479" s="89" t="s">
        <v>519</v>
      </c>
      <c r="B479" s="2" t="s">
        <v>526</v>
      </c>
      <c r="C479" s="2" t="s">
        <v>525</v>
      </c>
      <c r="D479" s="35"/>
      <c r="E479" s="3">
        <v>1</v>
      </c>
      <c r="F479" s="6"/>
      <c r="G479" s="130"/>
      <c r="H479" s="45">
        <v>2.25</v>
      </c>
      <c r="I479" s="19">
        <f t="shared" si="1"/>
        <v>0</v>
      </c>
    </row>
    <row r="480" spans="1:9" hidden="1">
      <c r="A480" s="89" t="s">
        <v>519</v>
      </c>
      <c r="B480" s="2" t="s">
        <v>527</v>
      </c>
      <c r="C480" s="2" t="s">
        <v>525</v>
      </c>
      <c r="D480" s="35"/>
      <c r="E480" s="3">
        <v>1</v>
      </c>
      <c r="F480" s="6"/>
      <c r="G480" s="130"/>
      <c r="H480" s="45">
        <v>3.06</v>
      </c>
      <c r="I480" s="19">
        <f t="shared" si="1"/>
        <v>0</v>
      </c>
    </row>
    <row r="481" spans="1:9" hidden="1">
      <c r="A481" s="89" t="s">
        <v>519</v>
      </c>
      <c r="B481" s="2" t="s">
        <v>528</v>
      </c>
      <c r="C481" s="2" t="s">
        <v>525</v>
      </c>
      <c r="D481" s="35"/>
      <c r="E481" s="3">
        <v>1</v>
      </c>
      <c r="F481" s="6"/>
      <c r="G481" s="130"/>
      <c r="H481" s="45">
        <v>1.26</v>
      </c>
      <c r="I481" s="19">
        <f t="shared" si="1"/>
        <v>0</v>
      </c>
    </row>
    <row r="482" spans="1:9" hidden="1">
      <c r="A482" s="89" t="s">
        <v>519</v>
      </c>
      <c r="B482" s="2" t="s">
        <v>529</v>
      </c>
      <c r="C482" s="2" t="s">
        <v>530</v>
      </c>
      <c r="D482" s="35"/>
      <c r="E482" s="3">
        <v>1</v>
      </c>
      <c r="F482" s="6"/>
      <c r="G482" s="130"/>
      <c r="H482" s="45">
        <v>22.56</v>
      </c>
      <c r="I482" s="19">
        <f t="shared" si="1"/>
        <v>0</v>
      </c>
    </row>
    <row r="483" spans="1:9" hidden="1">
      <c r="A483" s="89" t="s">
        <v>519</v>
      </c>
      <c r="B483" s="2" t="s">
        <v>531</v>
      </c>
      <c r="C483" s="2" t="s">
        <v>530</v>
      </c>
      <c r="D483" s="35"/>
      <c r="E483" s="3">
        <v>1</v>
      </c>
      <c r="F483" s="6"/>
      <c r="G483" s="130"/>
      <c r="H483" s="45">
        <v>16.690000000000001</v>
      </c>
      <c r="I483" s="19">
        <f t="shared" si="1"/>
        <v>0</v>
      </c>
    </row>
    <row r="484" spans="1:9" hidden="1">
      <c r="A484" s="89" t="s">
        <v>519</v>
      </c>
      <c r="B484" s="2" t="s">
        <v>532</v>
      </c>
      <c r="C484" s="2" t="s">
        <v>525</v>
      </c>
      <c r="D484" s="35"/>
      <c r="E484" s="3">
        <v>1</v>
      </c>
      <c r="F484" s="6"/>
      <c r="G484" s="130"/>
      <c r="H484" s="45">
        <v>0.99</v>
      </c>
      <c r="I484" s="19">
        <f t="shared" si="1"/>
        <v>0</v>
      </c>
    </row>
    <row r="485" spans="1:9">
      <c r="A485" s="85" t="s">
        <v>533</v>
      </c>
      <c r="B485" s="2" t="s">
        <v>534</v>
      </c>
      <c r="C485" s="2" t="s">
        <v>535</v>
      </c>
      <c r="D485" s="35"/>
      <c r="E485" s="3">
        <v>1</v>
      </c>
      <c r="F485" s="6">
        <v>46</v>
      </c>
      <c r="G485" s="130"/>
      <c r="H485" s="45">
        <v>84.79</v>
      </c>
      <c r="I485" s="19">
        <f t="shared" si="1"/>
        <v>3900.34</v>
      </c>
    </row>
    <row r="486" spans="1:9" hidden="1">
      <c r="A486" s="85" t="s">
        <v>533</v>
      </c>
      <c r="B486" s="2" t="s">
        <v>536</v>
      </c>
      <c r="C486" s="2" t="s">
        <v>537</v>
      </c>
      <c r="D486" s="35"/>
      <c r="E486" s="3">
        <v>1</v>
      </c>
      <c r="F486" s="6"/>
      <c r="G486" s="130"/>
      <c r="H486" s="45">
        <v>106.39</v>
      </c>
      <c r="I486" s="19">
        <f t="shared" ref="I486:I495" si="20">H486*F486</f>
        <v>0</v>
      </c>
    </row>
    <row r="487" spans="1:9" hidden="1">
      <c r="A487" s="85" t="s">
        <v>533</v>
      </c>
      <c r="B487" s="2" t="s">
        <v>538</v>
      </c>
      <c r="C487" s="2" t="s">
        <v>539</v>
      </c>
      <c r="D487" s="35"/>
      <c r="E487" s="3">
        <v>1</v>
      </c>
      <c r="F487" s="6"/>
      <c r="G487" s="130"/>
      <c r="H487" s="45">
        <v>94.32</v>
      </c>
      <c r="I487" s="19">
        <f t="shared" si="20"/>
        <v>0</v>
      </c>
    </row>
    <row r="488" spans="1:9" hidden="1">
      <c r="A488" s="85" t="s">
        <v>533</v>
      </c>
      <c r="B488" s="2" t="s">
        <v>540</v>
      </c>
      <c r="C488" s="2" t="s">
        <v>541</v>
      </c>
      <c r="D488" s="35"/>
      <c r="E488" s="3">
        <v>1</v>
      </c>
      <c r="F488" s="6"/>
      <c r="G488" s="130"/>
      <c r="H488" s="45">
        <v>114.39</v>
      </c>
      <c r="I488" s="19">
        <f t="shared" si="20"/>
        <v>0</v>
      </c>
    </row>
    <row r="489" spans="1:9" hidden="1">
      <c r="A489" s="85" t="s">
        <v>533</v>
      </c>
      <c r="B489" s="2" t="s">
        <v>542</v>
      </c>
      <c r="C489" s="2" t="s">
        <v>543</v>
      </c>
      <c r="D489" s="35"/>
      <c r="E489" s="3">
        <v>1</v>
      </c>
      <c r="F489" s="6"/>
      <c r="G489" s="130"/>
      <c r="H489" s="45">
        <v>128.79</v>
      </c>
      <c r="I489" s="19">
        <f t="shared" si="20"/>
        <v>0</v>
      </c>
    </row>
    <row r="490" spans="1:9" hidden="1">
      <c r="A490" s="85" t="s">
        <v>533</v>
      </c>
      <c r="B490" s="2" t="s">
        <v>544</v>
      </c>
      <c r="C490" s="2" t="s">
        <v>545</v>
      </c>
      <c r="D490" s="35"/>
      <c r="E490" s="3">
        <v>1</v>
      </c>
      <c r="F490" s="6"/>
      <c r="G490" s="130"/>
      <c r="H490" s="45">
        <v>96.79</v>
      </c>
      <c r="I490" s="19">
        <f t="shared" si="20"/>
        <v>0</v>
      </c>
    </row>
    <row r="491" spans="1:9" hidden="1">
      <c r="A491" s="85" t="s">
        <v>533</v>
      </c>
      <c r="B491" s="2" t="s">
        <v>546</v>
      </c>
      <c r="C491" s="2" t="s">
        <v>547</v>
      </c>
      <c r="D491" s="35"/>
      <c r="E491" s="3">
        <v>1</v>
      </c>
      <c r="F491" s="6"/>
      <c r="G491" s="130"/>
      <c r="H491" s="45">
        <v>87.12</v>
      </c>
      <c r="I491" s="19">
        <f t="shared" si="20"/>
        <v>0</v>
      </c>
    </row>
    <row r="492" spans="1:9">
      <c r="A492" s="85" t="s">
        <v>533</v>
      </c>
      <c r="B492" s="2" t="s">
        <v>548</v>
      </c>
      <c r="C492" s="2" t="s">
        <v>549</v>
      </c>
      <c r="D492" s="35"/>
      <c r="E492" s="3">
        <v>1</v>
      </c>
      <c r="F492" s="6">
        <v>20</v>
      </c>
      <c r="G492" s="130"/>
      <c r="H492" s="45">
        <v>85.99</v>
      </c>
      <c r="I492" s="19">
        <f>H492*F492</f>
        <v>1719.8</v>
      </c>
    </row>
    <row r="493" spans="1:9">
      <c r="A493" s="85" t="s">
        <v>533</v>
      </c>
      <c r="B493" s="2" t="s">
        <v>550</v>
      </c>
      <c r="C493" s="2" t="s">
        <v>551</v>
      </c>
      <c r="D493" s="35"/>
      <c r="E493" s="3">
        <v>1</v>
      </c>
      <c r="F493" s="6">
        <v>23</v>
      </c>
      <c r="G493" s="130"/>
      <c r="H493" s="45">
        <v>20.309999999999999</v>
      </c>
      <c r="I493" s="19">
        <f t="shared" si="20"/>
        <v>467.13</v>
      </c>
    </row>
    <row r="494" spans="1:9">
      <c r="A494" s="85" t="s">
        <v>533</v>
      </c>
      <c r="B494" s="2" t="s">
        <v>552</v>
      </c>
      <c r="C494" s="2" t="s">
        <v>553</v>
      </c>
      <c r="D494" s="35"/>
      <c r="E494" s="3">
        <v>1</v>
      </c>
      <c r="F494" s="6">
        <v>20</v>
      </c>
      <c r="G494" s="130"/>
      <c r="H494" s="45">
        <v>4.54</v>
      </c>
      <c r="I494" s="19">
        <f t="shared" si="20"/>
        <v>90.8</v>
      </c>
    </row>
    <row r="495" spans="1:9" hidden="1">
      <c r="A495" s="85" t="s">
        <v>533</v>
      </c>
      <c r="B495" s="2" t="s">
        <v>554</v>
      </c>
      <c r="C495" s="2" t="s">
        <v>555</v>
      </c>
      <c r="D495" s="35"/>
      <c r="E495" s="3">
        <v>1</v>
      </c>
      <c r="F495" s="6"/>
      <c r="G495" s="130"/>
      <c r="H495" s="45">
        <v>31</v>
      </c>
      <c r="I495" s="19">
        <f t="shared" si="20"/>
        <v>0</v>
      </c>
    </row>
    <row r="496" spans="1:9">
      <c r="A496" s="85" t="s">
        <v>533</v>
      </c>
      <c r="B496" s="180" t="s">
        <v>556</v>
      </c>
      <c r="C496" s="183" t="s">
        <v>557</v>
      </c>
      <c r="D496" s="35"/>
      <c r="E496" s="3">
        <v>1</v>
      </c>
      <c r="F496" s="6">
        <v>49</v>
      </c>
      <c r="G496" s="130"/>
      <c r="H496" s="45">
        <v>15.99</v>
      </c>
      <c r="I496" s="19">
        <f t="shared" ref="I496:I502" si="21">H496*F496</f>
        <v>783.51</v>
      </c>
    </row>
    <row r="497" spans="1:9">
      <c r="A497" s="85" t="s">
        <v>533</v>
      </c>
      <c r="B497" s="186" t="s">
        <v>558</v>
      </c>
      <c r="C497" s="186" t="s">
        <v>559</v>
      </c>
      <c r="D497" s="182"/>
      <c r="E497" s="3">
        <v>1</v>
      </c>
      <c r="F497" s="6">
        <v>1</v>
      </c>
      <c r="G497" s="130"/>
      <c r="H497" s="181">
        <v>55.29</v>
      </c>
      <c r="I497" s="19">
        <f t="shared" si="21"/>
        <v>55.29</v>
      </c>
    </row>
    <row r="498" spans="1:9" hidden="1">
      <c r="A498" s="85" t="s">
        <v>533</v>
      </c>
      <c r="B498" s="186" t="s">
        <v>560</v>
      </c>
      <c r="C498" s="186" t="s">
        <v>561</v>
      </c>
      <c r="D498" s="182"/>
      <c r="E498" s="3">
        <v>1</v>
      </c>
      <c r="F498" s="6"/>
      <c r="G498" s="130"/>
      <c r="H498" s="181">
        <v>55.29</v>
      </c>
      <c r="I498" s="19">
        <f t="shared" si="21"/>
        <v>0</v>
      </c>
    </row>
    <row r="499" spans="1:9">
      <c r="A499" s="85" t="s">
        <v>533</v>
      </c>
      <c r="B499" s="186" t="s">
        <v>562</v>
      </c>
      <c r="C499" s="186" t="s">
        <v>563</v>
      </c>
      <c r="D499" s="182"/>
      <c r="E499" s="3">
        <v>1</v>
      </c>
      <c r="F499" s="6">
        <v>3</v>
      </c>
      <c r="G499" s="130"/>
      <c r="H499" s="181">
        <v>44.85</v>
      </c>
      <c r="I499" s="19">
        <f t="shared" si="21"/>
        <v>134.55000000000001</v>
      </c>
    </row>
    <row r="500" spans="1:9" hidden="1">
      <c r="A500" s="85" t="s">
        <v>533</v>
      </c>
      <c r="B500" s="186" t="s">
        <v>564</v>
      </c>
      <c r="C500" s="186" t="s">
        <v>565</v>
      </c>
      <c r="D500" s="182"/>
      <c r="E500" s="3">
        <v>1</v>
      </c>
      <c r="F500" s="6"/>
      <c r="G500" s="130"/>
      <c r="H500" s="181">
        <v>44.85</v>
      </c>
      <c r="I500" s="19">
        <f t="shared" si="21"/>
        <v>0</v>
      </c>
    </row>
    <row r="501" spans="1:9">
      <c r="A501" s="85" t="s">
        <v>533</v>
      </c>
      <c r="B501" s="186" t="s">
        <v>566</v>
      </c>
      <c r="C501" s="186" t="s">
        <v>567</v>
      </c>
      <c r="D501" s="182"/>
      <c r="E501" s="3">
        <v>1</v>
      </c>
      <c r="F501" s="6">
        <v>1</v>
      </c>
      <c r="G501" s="130"/>
      <c r="H501" s="181">
        <v>15.51</v>
      </c>
      <c r="I501" s="19">
        <f t="shared" si="21"/>
        <v>15.51</v>
      </c>
    </row>
    <row r="502" spans="1:9" hidden="1">
      <c r="A502" s="85" t="s">
        <v>533</v>
      </c>
      <c r="B502" s="186" t="s">
        <v>568</v>
      </c>
      <c r="C502" s="186" t="s">
        <v>569</v>
      </c>
      <c r="D502" s="182"/>
      <c r="E502" s="3">
        <v>1</v>
      </c>
      <c r="F502" s="6"/>
      <c r="G502" s="130"/>
      <c r="H502" s="181">
        <v>15.51</v>
      </c>
      <c r="I502" s="19">
        <f t="shared" si="21"/>
        <v>0</v>
      </c>
    </row>
    <row r="503" spans="1:9" hidden="1">
      <c r="A503" s="83" t="s">
        <v>570</v>
      </c>
      <c r="B503" s="185"/>
      <c r="C503" s="184" t="s">
        <v>571</v>
      </c>
      <c r="D503" s="32" t="s">
        <v>572</v>
      </c>
      <c r="E503" s="3">
        <v>1</v>
      </c>
      <c r="F503" s="9"/>
      <c r="G503" s="8"/>
      <c r="H503" s="16">
        <v>5.99</v>
      </c>
      <c r="I503" s="19">
        <f t="shared" ref="I503:I512" si="22">H503*F503</f>
        <v>0</v>
      </c>
    </row>
    <row r="504" spans="1:9" hidden="1">
      <c r="A504" s="83" t="s">
        <v>570</v>
      </c>
      <c r="B504" s="5"/>
      <c r="C504" s="32" t="s">
        <v>573</v>
      </c>
      <c r="D504" s="32" t="s">
        <v>572</v>
      </c>
      <c r="E504" s="3">
        <v>1</v>
      </c>
      <c r="F504" s="9"/>
      <c r="G504" s="8"/>
      <c r="H504" s="16">
        <v>0.76</v>
      </c>
      <c r="I504" s="19">
        <f t="shared" si="22"/>
        <v>0</v>
      </c>
    </row>
    <row r="505" spans="1:9" hidden="1">
      <c r="A505" s="82" t="s">
        <v>574</v>
      </c>
      <c r="B505" s="5"/>
      <c r="C505" s="32" t="s">
        <v>575</v>
      </c>
      <c r="D505" s="32" t="s">
        <v>576</v>
      </c>
      <c r="E505" s="3">
        <v>1</v>
      </c>
      <c r="F505" s="9"/>
      <c r="G505" s="8"/>
      <c r="H505" s="16">
        <v>14.65</v>
      </c>
      <c r="I505" s="19">
        <f t="shared" si="22"/>
        <v>0</v>
      </c>
    </row>
    <row r="506" spans="1:9" hidden="1">
      <c r="A506" s="82" t="s">
        <v>574</v>
      </c>
      <c r="B506" s="5"/>
      <c r="C506" s="32" t="s">
        <v>577</v>
      </c>
      <c r="D506" s="32" t="s">
        <v>576</v>
      </c>
      <c r="E506" s="3">
        <v>1</v>
      </c>
      <c r="F506" s="9"/>
      <c r="G506" s="8"/>
      <c r="H506" s="16">
        <v>14.65</v>
      </c>
      <c r="I506" s="19">
        <f t="shared" si="22"/>
        <v>0</v>
      </c>
    </row>
    <row r="507" spans="1:9" hidden="1">
      <c r="A507" s="82" t="s">
        <v>574</v>
      </c>
      <c r="B507" s="5"/>
      <c r="C507" s="32" t="s">
        <v>578</v>
      </c>
      <c r="D507" s="32" t="s">
        <v>576</v>
      </c>
      <c r="E507" s="3">
        <v>1</v>
      </c>
      <c r="F507" s="9"/>
      <c r="G507" s="8"/>
      <c r="H507" s="16">
        <v>7.4</v>
      </c>
      <c r="I507" s="19">
        <f t="shared" si="22"/>
        <v>0</v>
      </c>
    </row>
    <row r="508" spans="1:9" hidden="1">
      <c r="A508" s="82" t="s">
        <v>574</v>
      </c>
      <c r="B508" s="5"/>
      <c r="C508" s="32" t="s">
        <v>579</v>
      </c>
      <c r="D508" s="32" t="s">
        <v>576</v>
      </c>
      <c r="E508" s="3">
        <v>1</v>
      </c>
      <c r="F508" s="9"/>
      <c r="G508" s="8"/>
      <c r="H508" s="16">
        <v>6.25</v>
      </c>
      <c r="I508" s="19">
        <f t="shared" si="22"/>
        <v>0</v>
      </c>
    </row>
    <row r="509" spans="1:9" hidden="1">
      <c r="A509" s="82" t="s">
        <v>574</v>
      </c>
      <c r="B509" s="5"/>
      <c r="C509" s="32" t="s">
        <v>580</v>
      </c>
      <c r="D509" s="32" t="s">
        <v>576</v>
      </c>
      <c r="E509" s="3">
        <v>1</v>
      </c>
      <c r="F509" s="9"/>
      <c r="G509" s="8"/>
      <c r="H509" s="16">
        <v>5.2</v>
      </c>
      <c r="I509" s="19">
        <f t="shared" si="22"/>
        <v>0</v>
      </c>
    </row>
    <row r="510" spans="1:9" hidden="1">
      <c r="A510" s="146" t="s">
        <v>581</v>
      </c>
      <c r="B510" s="5">
        <v>21008</v>
      </c>
      <c r="C510" s="32" t="s">
        <v>582</v>
      </c>
      <c r="D510" s="32" t="s">
        <v>572</v>
      </c>
      <c r="E510" s="3">
        <v>1</v>
      </c>
      <c r="F510" s="9"/>
      <c r="G510" s="8"/>
      <c r="H510" s="16">
        <v>7.87</v>
      </c>
      <c r="I510" s="19">
        <f t="shared" si="22"/>
        <v>0</v>
      </c>
    </row>
    <row r="511" spans="1:9" hidden="1">
      <c r="A511" s="146" t="s">
        <v>581</v>
      </c>
      <c r="B511" s="5">
        <v>29010</v>
      </c>
      <c r="C511" s="32" t="s">
        <v>583</v>
      </c>
      <c r="D511" s="32" t="s">
        <v>572</v>
      </c>
      <c r="E511" s="3">
        <v>1</v>
      </c>
      <c r="F511" s="9"/>
      <c r="G511" s="8"/>
      <c r="H511" s="16">
        <v>13.57</v>
      </c>
      <c r="I511" s="19">
        <f t="shared" si="22"/>
        <v>0</v>
      </c>
    </row>
    <row r="512" spans="1:9" hidden="1">
      <c r="A512" s="146" t="s">
        <v>581</v>
      </c>
      <c r="B512" s="5" t="s">
        <v>584</v>
      </c>
      <c r="C512" s="32" t="s">
        <v>585</v>
      </c>
      <c r="D512" s="32"/>
      <c r="E512" s="3">
        <v>1</v>
      </c>
      <c r="F512" s="9"/>
      <c r="G512" s="8"/>
      <c r="H512" s="16">
        <v>27.6</v>
      </c>
      <c r="I512" s="19">
        <f t="shared" si="22"/>
        <v>0</v>
      </c>
    </row>
    <row r="513" spans="1:10" hidden="1">
      <c r="A513" s="117" t="s">
        <v>586</v>
      </c>
      <c r="B513" s="38" t="s">
        <v>587</v>
      </c>
      <c r="C513" s="38" t="s">
        <v>588</v>
      </c>
      <c r="D513" s="32" t="s">
        <v>589</v>
      </c>
      <c r="E513" s="42">
        <v>1</v>
      </c>
      <c r="F513" s="9"/>
      <c r="G513" s="8"/>
      <c r="H513" s="43">
        <v>32.299999999999997</v>
      </c>
      <c r="I513" s="19">
        <f t="shared" ref="I513:I580" si="23">H513*F513</f>
        <v>0</v>
      </c>
    </row>
    <row r="514" spans="1:10" ht="14.65" hidden="1" customHeight="1">
      <c r="A514" s="55" t="s">
        <v>590</v>
      </c>
      <c r="B514" s="38" t="s">
        <v>591</v>
      </c>
      <c r="C514" s="38" t="s">
        <v>592</v>
      </c>
      <c r="D514" s="38"/>
      <c r="E514" s="42">
        <v>1</v>
      </c>
      <c r="F514" s="9"/>
      <c r="G514" s="8"/>
      <c r="H514" s="43">
        <v>0.08</v>
      </c>
      <c r="I514" s="19">
        <f t="shared" si="23"/>
        <v>0</v>
      </c>
    </row>
    <row r="515" spans="1:10" ht="14.65" hidden="1" customHeight="1">
      <c r="A515" s="55" t="s">
        <v>590</v>
      </c>
      <c r="B515" s="38" t="s">
        <v>593</v>
      </c>
      <c r="C515" s="38" t="s">
        <v>594</v>
      </c>
      <c r="D515" s="38"/>
      <c r="E515" s="42">
        <v>1</v>
      </c>
      <c r="F515" s="9"/>
      <c r="G515" s="8"/>
      <c r="H515" s="43">
        <v>0.39</v>
      </c>
      <c r="I515" s="19">
        <f t="shared" si="23"/>
        <v>0</v>
      </c>
    </row>
    <row r="516" spans="1:10" ht="14.65" hidden="1" customHeight="1">
      <c r="A516" s="55" t="s">
        <v>590</v>
      </c>
      <c r="B516" s="38" t="s">
        <v>595</v>
      </c>
      <c r="C516" s="38" t="s">
        <v>596</v>
      </c>
      <c r="D516" s="38"/>
      <c r="E516" s="42">
        <v>1</v>
      </c>
      <c r="F516" s="9"/>
      <c r="G516" s="8"/>
      <c r="H516" s="43">
        <v>0.18</v>
      </c>
      <c r="I516" s="19">
        <f t="shared" si="23"/>
        <v>0</v>
      </c>
    </row>
    <row r="517" spans="1:10" ht="14.65" hidden="1" customHeight="1">
      <c r="A517" s="55" t="s">
        <v>590</v>
      </c>
      <c r="B517" s="38" t="s">
        <v>597</v>
      </c>
      <c r="C517" s="38" t="s">
        <v>598</v>
      </c>
      <c r="D517" s="38"/>
      <c r="E517" s="42">
        <v>1</v>
      </c>
      <c r="F517" s="9"/>
      <c r="G517" s="8"/>
      <c r="H517" s="43">
        <v>2.44</v>
      </c>
      <c r="I517" s="19">
        <f t="shared" si="23"/>
        <v>0</v>
      </c>
    </row>
    <row r="518" spans="1:10" ht="14.65" hidden="1" customHeight="1">
      <c r="A518" s="55" t="s">
        <v>590</v>
      </c>
      <c r="B518" s="38" t="s">
        <v>599</v>
      </c>
      <c r="C518" s="38" t="s">
        <v>600</v>
      </c>
      <c r="D518" s="38"/>
      <c r="E518" s="42">
        <v>1</v>
      </c>
      <c r="F518" s="9"/>
      <c r="G518" s="8"/>
      <c r="H518" s="43">
        <v>14.28</v>
      </c>
      <c r="I518" s="19">
        <f t="shared" si="23"/>
        <v>0</v>
      </c>
      <c r="J518" s="63"/>
    </row>
    <row r="519" spans="1:10" ht="14.65" hidden="1" customHeight="1">
      <c r="A519" s="55" t="s">
        <v>590</v>
      </c>
      <c r="B519" s="38" t="s">
        <v>601</v>
      </c>
      <c r="C519" s="38" t="s">
        <v>602</v>
      </c>
      <c r="D519" s="38"/>
      <c r="E519" s="42">
        <v>1</v>
      </c>
      <c r="F519" s="9"/>
      <c r="G519" s="8"/>
      <c r="H519" s="43">
        <v>18.84</v>
      </c>
      <c r="I519" s="19">
        <f t="shared" si="23"/>
        <v>0</v>
      </c>
      <c r="J519" s="63"/>
    </row>
    <row r="520" spans="1:10" ht="14.65" hidden="1" customHeight="1">
      <c r="A520" s="55" t="s">
        <v>590</v>
      </c>
      <c r="B520" s="38" t="s">
        <v>603</v>
      </c>
      <c r="C520" s="38" t="s">
        <v>604</v>
      </c>
      <c r="D520" s="38"/>
      <c r="E520" s="42">
        <v>1</v>
      </c>
      <c r="F520" s="9"/>
      <c r="G520" s="8"/>
      <c r="H520" s="43">
        <v>41.22</v>
      </c>
      <c r="I520" s="19">
        <f t="shared" si="23"/>
        <v>0</v>
      </c>
      <c r="J520" s="63"/>
    </row>
    <row r="521" spans="1:10" ht="14.65" hidden="1" customHeight="1">
      <c r="A521" s="55" t="s">
        <v>590</v>
      </c>
      <c r="B521" s="38" t="s">
        <v>605</v>
      </c>
      <c r="C521" s="38" t="s">
        <v>606</v>
      </c>
      <c r="D521" s="38"/>
      <c r="E521" s="42">
        <v>1</v>
      </c>
      <c r="F521" s="9"/>
      <c r="G521" s="8"/>
      <c r="H521" s="43">
        <v>6.28</v>
      </c>
      <c r="I521" s="19">
        <f t="shared" si="23"/>
        <v>0</v>
      </c>
      <c r="J521" s="63"/>
    </row>
    <row r="522" spans="1:10" ht="14.65" hidden="1" customHeight="1">
      <c r="A522" s="55" t="s">
        <v>590</v>
      </c>
      <c r="B522" s="38" t="s">
        <v>607</v>
      </c>
      <c r="C522" s="38" t="s">
        <v>608</v>
      </c>
      <c r="D522" s="38"/>
      <c r="E522" s="42">
        <v>1</v>
      </c>
      <c r="F522" s="9"/>
      <c r="G522" s="8"/>
      <c r="H522" s="43">
        <v>10.19</v>
      </c>
      <c r="I522" s="19">
        <f t="shared" si="23"/>
        <v>0</v>
      </c>
      <c r="J522" s="63"/>
    </row>
    <row r="523" spans="1:10" ht="14.65" hidden="1" customHeight="1">
      <c r="A523" s="55" t="s">
        <v>590</v>
      </c>
      <c r="B523" s="38" t="s">
        <v>609</v>
      </c>
      <c r="C523" s="38" t="s">
        <v>610</v>
      </c>
      <c r="D523" s="38"/>
      <c r="E523" s="42">
        <v>1</v>
      </c>
      <c r="F523" s="9"/>
      <c r="G523" s="8"/>
      <c r="H523" s="43">
        <v>2.1800000000000002</v>
      </c>
      <c r="I523" s="19">
        <f t="shared" si="23"/>
        <v>0</v>
      </c>
      <c r="J523" s="63"/>
    </row>
    <row r="524" spans="1:10" ht="14.65" hidden="1" customHeight="1">
      <c r="A524" s="55" t="s">
        <v>590</v>
      </c>
      <c r="B524" s="38" t="s">
        <v>611</v>
      </c>
      <c r="C524" s="38" t="s">
        <v>612</v>
      </c>
      <c r="D524" s="38"/>
      <c r="E524" s="42">
        <v>1</v>
      </c>
      <c r="F524" s="9"/>
      <c r="G524" s="8"/>
      <c r="H524" s="43">
        <v>170.8</v>
      </c>
      <c r="I524" s="19">
        <f t="shared" si="23"/>
        <v>0</v>
      </c>
      <c r="J524" s="63"/>
    </row>
    <row r="525" spans="1:10" ht="14.65" hidden="1" customHeight="1">
      <c r="A525" s="55" t="s">
        <v>590</v>
      </c>
      <c r="B525" s="38" t="s">
        <v>613</v>
      </c>
      <c r="C525" s="38" t="s">
        <v>614</v>
      </c>
      <c r="D525" s="38"/>
      <c r="E525" s="42">
        <v>1</v>
      </c>
      <c r="F525" s="9"/>
      <c r="G525" s="8"/>
      <c r="H525" s="43">
        <v>38.869999999999997</v>
      </c>
      <c r="I525" s="19">
        <f t="shared" si="23"/>
        <v>0</v>
      </c>
      <c r="J525" s="63"/>
    </row>
    <row r="526" spans="1:10" ht="14.65" hidden="1" customHeight="1">
      <c r="A526" s="55" t="s">
        <v>590</v>
      </c>
      <c r="B526" s="38" t="s">
        <v>615</v>
      </c>
      <c r="C526" s="38" t="s">
        <v>616</v>
      </c>
      <c r="D526" s="38"/>
      <c r="E526" s="42">
        <v>1</v>
      </c>
      <c r="F526" s="9"/>
      <c r="G526" s="8"/>
      <c r="H526" s="43">
        <v>10.26</v>
      </c>
      <c r="I526" s="19">
        <f t="shared" si="23"/>
        <v>0</v>
      </c>
      <c r="J526" s="63"/>
    </row>
    <row r="527" spans="1:10" ht="14.65" hidden="1" customHeight="1">
      <c r="A527" s="55" t="s">
        <v>590</v>
      </c>
      <c r="B527" s="38" t="s">
        <v>617</v>
      </c>
      <c r="C527" s="38" t="s">
        <v>618</v>
      </c>
      <c r="D527" s="38"/>
      <c r="E527" s="42">
        <v>1</v>
      </c>
      <c r="F527" s="9"/>
      <c r="G527" s="8"/>
      <c r="H527" s="43">
        <v>7.97</v>
      </c>
      <c r="I527" s="19">
        <f t="shared" si="23"/>
        <v>0</v>
      </c>
      <c r="J527" s="63"/>
    </row>
    <row r="528" spans="1:10" ht="14.65" hidden="1" customHeight="1">
      <c r="A528" s="55" t="s">
        <v>590</v>
      </c>
      <c r="B528" s="38" t="s">
        <v>619</v>
      </c>
      <c r="C528" s="38" t="s">
        <v>620</v>
      </c>
      <c r="D528" s="38"/>
      <c r="E528" s="42">
        <v>1</v>
      </c>
      <c r="F528" s="9"/>
      <c r="G528" s="8"/>
      <c r="H528" s="43">
        <v>3.62</v>
      </c>
      <c r="I528" s="19">
        <f t="shared" si="23"/>
        <v>0</v>
      </c>
      <c r="J528" s="63"/>
    </row>
    <row r="529" spans="1:10" ht="14.65" hidden="1" customHeight="1">
      <c r="A529" s="55" t="s">
        <v>590</v>
      </c>
      <c r="B529" s="38" t="s">
        <v>621</v>
      </c>
      <c r="C529" s="38" t="s">
        <v>622</v>
      </c>
      <c r="D529" s="38"/>
      <c r="E529" s="42">
        <v>1</v>
      </c>
      <c r="F529" s="9"/>
      <c r="G529" s="8"/>
      <c r="H529" s="43">
        <v>3.7</v>
      </c>
      <c r="I529" s="19">
        <f t="shared" si="23"/>
        <v>0</v>
      </c>
      <c r="J529" s="63"/>
    </row>
    <row r="530" spans="1:10" ht="14.65" hidden="1" customHeight="1">
      <c r="A530" s="55" t="s">
        <v>590</v>
      </c>
      <c r="B530" s="38" t="s">
        <v>623</v>
      </c>
      <c r="C530" s="38" t="s">
        <v>624</v>
      </c>
      <c r="D530" s="38"/>
      <c r="E530" s="42">
        <v>1</v>
      </c>
      <c r="F530" s="9"/>
      <c r="G530" s="8"/>
      <c r="H530" s="43">
        <v>3.03</v>
      </c>
      <c r="I530" s="19">
        <f t="shared" si="23"/>
        <v>0</v>
      </c>
      <c r="J530" s="63"/>
    </row>
    <row r="531" spans="1:10" ht="14.65" hidden="1" customHeight="1">
      <c r="A531" s="55" t="s">
        <v>590</v>
      </c>
      <c r="B531" s="38" t="s">
        <v>625</v>
      </c>
      <c r="C531" s="38" t="s">
        <v>626</v>
      </c>
      <c r="D531" s="38"/>
      <c r="E531" s="42">
        <v>1</v>
      </c>
      <c r="F531" s="9"/>
      <c r="G531" s="8"/>
      <c r="H531" s="43">
        <v>127.57</v>
      </c>
      <c r="I531" s="19">
        <f t="shared" si="23"/>
        <v>0</v>
      </c>
      <c r="J531" s="63"/>
    </row>
    <row r="532" spans="1:10" ht="14.65" hidden="1" customHeight="1">
      <c r="A532" s="55" t="s">
        <v>590</v>
      </c>
      <c r="B532" s="38" t="s">
        <v>627</v>
      </c>
      <c r="C532" s="38" t="s">
        <v>628</v>
      </c>
      <c r="D532" s="38"/>
      <c r="E532" s="42">
        <v>1</v>
      </c>
      <c r="F532" s="9"/>
      <c r="G532" s="8"/>
      <c r="H532" s="43">
        <v>136.68</v>
      </c>
      <c r="I532" s="19">
        <f t="shared" si="23"/>
        <v>0</v>
      </c>
      <c r="J532" s="63"/>
    </row>
    <row r="533" spans="1:10" ht="14.65" hidden="1" customHeight="1">
      <c r="A533" s="55" t="s">
        <v>590</v>
      </c>
      <c r="B533" s="38" t="s">
        <v>629</v>
      </c>
      <c r="C533" s="38" t="s">
        <v>630</v>
      </c>
      <c r="D533" s="38"/>
      <c r="E533" s="42">
        <v>1</v>
      </c>
      <c r="F533" s="9"/>
      <c r="G533" s="8"/>
      <c r="H533" s="43">
        <v>245.45</v>
      </c>
      <c r="I533" s="19">
        <f t="shared" si="23"/>
        <v>0</v>
      </c>
      <c r="J533" s="63"/>
    </row>
    <row r="534" spans="1:10" ht="14.65" hidden="1" customHeight="1">
      <c r="A534" s="55" t="s">
        <v>590</v>
      </c>
      <c r="B534" s="38" t="s">
        <v>631</v>
      </c>
      <c r="C534" s="38" t="s">
        <v>632</v>
      </c>
      <c r="D534" s="38"/>
      <c r="E534" s="42">
        <v>1</v>
      </c>
      <c r="F534" s="9"/>
      <c r="G534" s="8"/>
      <c r="H534" s="43">
        <v>49.72</v>
      </c>
      <c r="I534" s="19">
        <f t="shared" si="23"/>
        <v>0</v>
      </c>
      <c r="J534" s="63"/>
    </row>
    <row r="535" spans="1:10" ht="14.65" hidden="1" customHeight="1">
      <c r="A535" s="55" t="s">
        <v>590</v>
      </c>
      <c r="B535" s="38" t="s">
        <v>633</v>
      </c>
      <c r="C535" s="38" t="s">
        <v>634</v>
      </c>
      <c r="D535" s="38"/>
      <c r="E535" s="42">
        <v>1</v>
      </c>
      <c r="F535" s="9"/>
      <c r="G535" s="8"/>
      <c r="H535" s="43">
        <v>3.31</v>
      </c>
      <c r="I535" s="19">
        <f t="shared" si="23"/>
        <v>0</v>
      </c>
      <c r="J535" s="63"/>
    </row>
    <row r="536" spans="1:10" ht="14.65" hidden="1" customHeight="1">
      <c r="A536" s="55" t="s">
        <v>590</v>
      </c>
      <c r="B536" s="38" t="s">
        <v>635</v>
      </c>
      <c r="C536" s="38" t="s">
        <v>636</v>
      </c>
      <c r="D536" s="38"/>
      <c r="E536" s="42">
        <v>1</v>
      </c>
      <c r="F536" s="9"/>
      <c r="G536" s="8"/>
      <c r="H536" s="43">
        <v>222.95</v>
      </c>
      <c r="I536" s="19">
        <f t="shared" si="23"/>
        <v>0</v>
      </c>
      <c r="J536" s="63"/>
    </row>
    <row r="537" spans="1:10" ht="14.65" hidden="1" customHeight="1">
      <c r="A537" s="55" t="s">
        <v>590</v>
      </c>
      <c r="B537" s="38" t="s">
        <v>637</v>
      </c>
      <c r="C537" s="38" t="s">
        <v>638</v>
      </c>
      <c r="D537" s="38"/>
      <c r="E537" s="42">
        <v>1</v>
      </c>
      <c r="F537" s="9"/>
      <c r="G537" s="8"/>
      <c r="H537" s="43">
        <v>6.9</v>
      </c>
      <c r="I537" s="19">
        <f t="shared" si="23"/>
        <v>0</v>
      </c>
      <c r="J537" s="63"/>
    </row>
    <row r="538" spans="1:10" ht="14.65" hidden="1" customHeight="1">
      <c r="A538" s="55" t="s">
        <v>590</v>
      </c>
      <c r="B538" s="38" t="s">
        <v>639</v>
      </c>
      <c r="C538" s="38" t="s">
        <v>640</v>
      </c>
      <c r="D538" s="38"/>
      <c r="E538" s="42">
        <v>1</v>
      </c>
      <c r="F538" s="9"/>
      <c r="G538" s="8"/>
      <c r="H538" s="43">
        <v>7.62</v>
      </c>
      <c r="I538" s="19">
        <f t="shared" si="23"/>
        <v>0</v>
      </c>
      <c r="J538" s="63"/>
    </row>
    <row r="539" spans="1:10" ht="14.65" hidden="1" customHeight="1">
      <c r="A539" s="55" t="s">
        <v>590</v>
      </c>
      <c r="B539" s="38" t="s">
        <v>641</v>
      </c>
      <c r="C539" s="38" t="s">
        <v>642</v>
      </c>
      <c r="D539" s="38"/>
      <c r="E539" s="42">
        <v>1</v>
      </c>
      <c r="F539" s="9"/>
      <c r="G539" s="8"/>
      <c r="H539" s="43">
        <v>48.71</v>
      </c>
      <c r="I539" s="19">
        <f t="shared" si="23"/>
        <v>0</v>
      </c>
      <c r="J539" s="63"/>
    </row>
    <row r="540" spans="1:10" ht="14.65" hidden="1" customHeight="1">
      <c r="A540" s="55" t="s">
        <v>590</v>
      </c>
      <c r="B540" s="38" t="s">
        <v>643</v>
      </c>
      <c r="C540" s="38" t="s">
        <v>644</v>
      </c>
      <c r="D540" s="38"/>
      <c r="E540" s="42">
        <v>1</v>
      </c>
      <c r="F540" s="9"/>
      <c r="G540" s="8"/>
      <c r="H540" s="43">
        <v>5.23</v>
      </c>
      <c r="I540" s="19">
        <f t="shared" si="23"/>
        <v>0</v>
      </c>
      <c r="J540" s="63"/>
    </row>
    <row r="541" spans="1:10" ht="14.65" hidden="1" customHeight="1">
      <c r="A541" s="55" t="s">
        <v>590</v>
      </c>
      <c r="B541" s="38" t="s">
        <v>645</v>
      </c>
      <c r="C541" s="38" t="s">
        <v>646</v>
      </c>
      <c r="D541" s="38"/>
      <c r="E541" s="42">
        <v>1</v>
      </c>
      <c r="F541" s="9"/>
      <c r="G541" s="8"/>
      <c r="H541" s="43">
        <v>0.39</v>
      </c>
      <c r="I541" s="19">
        <f t="shared" si="23"/>
        <v>0</v>
      </c>
      <c r="J541" s="63"/>
    </row>
    <row r="542" spans="1:10" ht="14.65" hidden="1" customHeight="1">
      <c r="A542" s="55" t="s">
        <v>590</v>
      </c>
      <c r="B542" s="38" t="s">
        <v>647</v>
      </c>
      <c r="C542" s="38" t="s">
        <v>648</v>
      </c>
      <c r="D542" s="38"/>
      <c r="E542" s="42">
        <v>1</v>
      </c>
      <c r="F542" s="9"/>
      <c r="G542" s="8"/>
      <c r="H542" s="43">
        <v>16</v>
      </c>
      <c r="I542" s="19">
        <f t="shared" si="23"/>
        <v>0</v>
      </c>
      <c r="J542" s="63"/>
    </row>
    <row r="543" spans="1:10" ht="14.65" hidden="1" customHeight="1">
      <c r="A543" s="55" t="s">
        <v>590</v>
      </c>
      <c r="B543" s="38" t="s">
        <v>649</v>
      </c>
      <c r="C543" s="38" t="s">
        <v>650</v>
      </c>
      <c r="D543" s="38"/>
      <c r="E543" s="42">
        <v>1</v>
      </c>
      <c r="F543" s="9"/>
      <c r="G543" s="8"/>
      <c r="H543" s="43">
        <v>16.309999999999999</v>
      </c>
      <c r="I543" s="19">
        <f t="shared" si="23"/>
        <v>0</v>
      </c>
      <c r="J543" s="63"/>
    </row>
    <row r="544" spans="1:10" ht="14.65" hidden="1" customHeight="1">
      <c r="A544" s="55" t="s">
        <v>590</v>
      </c>
      <c r="B544" s="38" t="s">
        <v>651</v>
      </c>
      <c r="C544" s="38" t="s">
        <v>652</v>
      </c>
      <c r="D544" s="38"/>
      <c r="E544" s="42">
        <v>1</v>
      </c>
      <c r="F544" s="9"/>
      <c r="G544" s="8"/>
      <c r="H544" s="43">
        <v>0.8</v>
      </c>
      <c r="I544" s="19">
        <f t="shared" si="23"/>
        <v>0</v>
      </c>
      <c r="J544" s="63"/>
    </row>
    <row r="545" spans="1:10" ht="14.65" hidden="1" customHeight="1">
      <c r="A545" s="55" t="s">
        <v>590</v>
      </c>
      <c r="B545" s="38" t="s">
        <v>653</v>
      </c>
      <c r="C545" s="38" t="s">
        <v>654</v>
      </c>
      <c r="D545" s="38"/>
      <c r="E545" s="42">
        <v>1</v>
      </c>
      <c r="F545" s="9"/>
      <c r="G545" s="8"/>
      <c r="H545" s="43">
        <v>63.62</v>
      </c>
      <c r="I545" s="19">
        <f t="shared" si="23"/>
        <v>0</v>
      </c>
      <c r="J545" s="63"/>
    </row>
    <row r="546" spans="1:10" ht="14.65" customHeight="1">
      <c r="A546" s="79" t="s">
        <v>655</v>
      </c>
      <c r="B546" s="38" t="s">
        <v>656</v>
      </c>
      <c r="C546" s="38" t="s">
        <v>657</v>
      </c>
      <c r="D546" s="38"/>
      <c r="E546" s="42">
        <v>1</v>
      </c>
      <c r="F546" s="9">
        <v>423</v>
      </c>
      <c r="G546" s="8">
        <f>H546+(H546*5%)</f>
        <v>41.033999999999999</v>
      </c>
      <c r="H546" s="43">
        <v>39.08</v>
      </c>
      <c r="I546" s="19">
        <f>G546*F546</f>
        <v>17357.381999999998</v>
      </c>
      <c r="J546" s="63"/>
    </row>
    <row r="547" spans="1:10" ht="14.65" customHeight="1">
      <c r="A547" s="79" t="s">
        <v>655</v>
      </c>
      <c r="B547" s="2" t="s">
        <v>658</v>
      </c>
      <c r="C547" s="2" t="s">
        <v>659</v>
      </c>
      <c r="D547" s="38"/>
      <c r="E547" s="42">
        <v>1</v>
      </c>
      <c r="F547" s="9">
        <v>186</v>
      </c>
      <c r="G547" s="8">
        <f t="shared" ref="G547:G568" si="24">H547+(H547*5%)</f>
        <v>28.297499999999999</v>
      </c>
      <c r="H547" s="43">
        <v>26.95</v>
      </c>
      <c r="I547" s="19">
        <f t="shared" ref="I547:I568" si="25">G547*F547</f>
        <v>5263.335</v>
      </c>
      <c r="J547" s="63"/>
    </row>
    <row r="548" spans="1:10" ht="14.65" customHeight="1">
      <c r="A548" s="79" t="s">
        <v>655</v>
      </c>
      <c r="B548" s="2" t="s">
        <v>660</v>
      </c>
      <c r="C548" s="2" t="s">
        <v>661</v>
      </c>
      <c r="D548" s="38"/>
      <c r="E548" s="42">
        <v>1</v>
      </c>
      <c r="F548" s="9">
        <f>1196</f>
        <v>1196</v>
      </c>
      <c r="G548" s="8">
        <f t="shared" si="24"/>
        <v>11.55</v>
      </c>
      <c r="H548" s="43">
        <v>11</v>
      </c>
      <c r="I548" s="19">
        <f t="shared" si="25"/>
        <v>13813.800000000001</v>
      </c>
      <c r="J548" s="63"/>
    </row>
    <row r="549" spans="1:10" ht="14.65" customHeight="1">
      <c r="A549" s="79" t="s">
        <v>655</v>
      </c>
      <c r="B549" s="2" t="s">
        <v>662</v>
      </c>
      <c r="C549" s="2" t="s">
        <v>663</v>
      </c>
      <c r="D549" s="38"/>
      <c r="E549" s="42">
        <v>1</v>
      </c>
      <c r="F549" s="9">
        <v>31</v>
      </c>
      <c r="G549" s="8">
        <f t="shared" si="24"/>
        <v>60.06</v>
      </c>
      <c r="H549" s="43">
        <v>57.2</v>
      </c>
      <c r="I549" s="19">
        <f t="shared" si="25"/>
        <v>1861.8600000000001</v>
      </c>
      <c r="J549" s="63"/>
    </row>
    <row r="550" spans="1:10" ht="14.65" customHeight="1">
      <c r="A550" s="79" t="s">
        <v>655</v>
      </c>
      <c r="B550" s="2" t="s">
        <v>664</v>
      </c>
      <c r="C550" s="2" t="s">
        <v>665</v>
      </c>
      <c r="D550" s="38"/>
      <c r="E550" s="42">
        <v>1</v>
      </c>
      <c r="F550" s="9">
        <v>3</v>
      </c>
      <c r="G550" s="8">
        <f t="shared" si="24"/>
        <v>43.280999999999999</v>
      </c>
      <c r="H550" s="43">
        <v>41.22</v>
      </c>
      <c r="I550" s="19">
        <f t="shared" si="25"/>
        <v>129.84299999999999</v>
      </c>
      <c r="J550" s="63"/>
    </row>
    <row r="551" spans="1:10" ht="14.65" customHeight="1">
      <c r="A551" s="79" t="s">
        <v>655</v>
      </c>
      <c r="B551" s="2" t="s">
        <v>666</v>
      </c>
      <c r="C551" s="2" t="s">
        <v>667</v>
      </c>
      <c r="D551" s="38"/>
      <c r="E551" s="42">
        <v>1</v>
      </c>
      <c r="F551" s="9">
        <v>4</v>
      </c>
      <c r="G551" s="8">
        <f t="shared" si="24"/>
        <v>26.187000000000001</v>
      </c>
      <c r="H551" s="43">
        <v>24.94</v>
      </c>
      <c r="I551" s="19">
        <f t="shared" si="25"/>
        <v>104.748</v>
      </c>
      <c r="J551" s="63"/>
    </row>
    <row r="552" spans="1:10" ht="14.65" customHeight="1">
      <c r="A552" s="79" t="s">
        <v>655</v>
      </c>
      <c r="B552" s="2" t="s">
        <v>668</v>
      </c>
      <c r="C552" s="2" t="s">
        <v>669</v>
      </c>
      <c r="D552" s="38"/>
      <c r="E552" s="42">
        <v>1</v>
      </c>
      <c r="F552" s="9">
        <v>151</v>
      </c>
      <c r="G552" s="8">
        <f t="shared" si="24"/>
        <v>40.424999999999997</v>
      </c>
      <c r="H552" s="43">
        <v>38.5</v>
      </c>
      <c r="I552" s="19">
        <f t="shared" si="25"/>
        <v>6104.1749999999993</v>
      </c>
      <c r="J552" s="63"/>
    </row>
    <row r="553" spans="1:10" ht="14.65" customHeight="1">
      <c r="A553" s="79" t="s">
        <v>655</v>
      </c>
      <c r="B553" s="2" t="s">
        <v>670</v>
      </c>
      <c r="C553" s="2" t="s">
        <v>671</v>
      </c>
      <c r="D553" s="38"/>
      <c r="E553" s="42">
        <v>1</v>
      </c>
      <c r="F553" s="9">
        <v>10</v>
      </c>
      <c r="G553" s="8">
        <f t="shared" si="24"/>
        <v>108.57000000000001</v>
      </c>
      <c r="H553" s="43">
        <v>103.4</v>
      </c>
      <c r="I553" s="19">
        <f t="shared" si="25"/>
        <v>1085.7</v>
      </c>
      <c r="J553" s="63"/>
    </row>
    <row r="554" spans="1:10" ht="14.65" customHeight="1">
      <c r="A554" s="79" t="s">
        <v>655</v>
      </c>
      <c r="B554" s="2" t="s">
        <v>672</v>
      </c>
      <c r="C554" s="2" t="s">
        <v>673</v>
      </c>
      <c r="D554" s="38"/>
      <c r="E554" s="42">
        <v>1</v>
      </c>
      <c r="F554" s="9">
        <v>26</v>
      </c>
      <c r="G554" s="8">
        <f>H554+(H554*5%)</f>
        <v>46.725000000000001</v>
      </c>
      <c r="H554" s="43">
        <v>44.5</v>
      </c>
      <c r="I554" s="19">
        <f>G554*F554</f>
        <v>1214.8500000000001</v>
      </c>
      <c r="J554" s="63"/>
    </row>
    <row r="555" spans="1:10" ht="14.65" customHeight="1">
      <c r="A555" s="79" t="s">
        <v>655</v>
      </c>
      <c r="B555" s="2" t="s">
        <v>674</v>
      </c>
      <c r="C555" s="2" t="s">
        <v>675</v>
      </c>
      <c r="D555" s="38"/>
      <c r="E555" s="42">
        <v>1</v>
      </c>
      <c r="F555" s="9">
        <v>62</v>
      </c>
      <c r="G555" s="8">
        <f t="shared" si="24"/>
        <v>3.4649999999999999</v>
      </c>
      <c r="H555" s="43">
        <v>3.3</v>
      </c>
      <c r="I555" s="19">
        <f t="shared" si="25"/>
        <v>214.82999999999998</v>
      </c>
      <c r="J555" s="63"/>
    </row>
    <row r="556" spans="1:10" ht="14.65" customHeight="1">
      <c r="A556" s="79" t="s">
        <v>655</v>
      </c>
      <c r="B556" s="2" t="s">
        <v>676</v>
      </c>
      <c r="C556" s="2" t="s">
        <v>677</v>
      </c>
      <c r="D556" s="38"/>
      <c r="E556" s="42">
        <v>1</v>
      </c>
      <c r="F556" s="9">
        <v>70</v>
      </c>
      <c r="G556" s="8">
        <f t="shared" si="24"/>
        <v>5.7750000000000004</v>
      </c>
      <c r="H556" s="43">
        <v>5.5</v>
      </c>
      <c r="I556" s="19">
        <f t="shared" si="25"/>
        <v>404.25</v>
      </c>
      <c r="J556" s="63"/>
    </row>
    <row r="557" spans="1:10" ht="14.65" customHeight="1">
      <c r="A557" s="79" t="s">
        <v>655</v>
      </c>
      <c r="B557" s="2" t="s">
        <v>678</v>
      </c>
      <c r="C557" s="2" t="s">
        <v>679</v>
      </c>
      <c r="D557" s="38"/>
      <c r="E557" s="42">
        <v>1</v>
      </c>
      <c r="F557" s="9">
        <v>15</v>
      </c>
      <c r="G557" s="8">
        <f t="shared" si="24"/>
        <v>5.7750000000000004</v>
      </c>
      <c r="H557" s="43">
        <v>5.5</v>
      </c>
      <c r="I557" s="19">
        <f t="shared" si="25"/>
        <v>86.625</v>
      </c>
      <c r="J557" s="63"/>
    </row>
    <row r="558" spans="1:10" ht="14.65" customHeight="1">
      <c r="A558" s="79" t="s">
        <v>655</v>
      </c>
      <c r="B558" s="2" t="s">
        <v>680</v>
      </c>
      <c r="C558" s="2" t="s">
        <v>681</v>
      </c>
      <c r="D558" s="38"/>
      <c r="E558" s="42">
        <v>1</v>
      </c>
      <c r="F558" s="9">
        <v>3</v>
      </c>
      <c r="G558" s="8">
        <f t="shared" si="24"/>
        <v>5.7750000000000004</v>
      </c>
      <c r="H558" s="43">
        <v>5.5</v>
      </c>
      <c r="I558" s="19">
        <f t="shared" si="25"/>
        <v>17.325000000000003</v>
      </c>
      <c r="J558" s="63"/>
    </row>
    <row r="559" spans="1:10" ht="14.65" customHeight="1">
      <c r="A559" s="79" t="s">
        <v>655</v>
      </c>
      <c r="B559" s="2" t="s">
        <v>682</v>
      </c>
      <c r="C559" s="2" t="s">
        <v>683</v>
      </c>
      <c r="D559" s="38"/>
      <c r="E559" s="42">
        <v>1</v>
      </c>
      <c r="F559" s="9">
        <v>20</v>
      </c>
      <c r="G559" s="8">
        <f t="shared" si="24"/>
        <v>5.7750000000000004</v>
      </c>
      <c r="H559" s="43">
        <v>5.5</v>
      </c>
      <c r="I559" s="19">
        <f t="shared" si="25"/>
        <v>115.5</v>
      </c>
      <c r="J559" s="63"/>
    </row>
    <row r="560" spans="1:10" ht="14.65" customHeight="1">
      <c r="A560" s="79" t="s">
        <v>655</v>
      </c>
      <c r="B560" s="2" t="s">
        <v>684</v>
      </c>
      <c r="C560" s="2" t="s">
        <v>685</v>
      </c>
      <c r="D560" s="38"/>
      <c r="E560" s="42">
        <v>1</v>
      </c>
      <c r="F560" s="9">
        <v>21</v>
      </c>
      <c r="G560" s="8">
        <f t="shared" si="24"/>
        <v>5.7750000000000004</v>
      </c>
      <c r="H560" s="43">
        <v>5.5</v>
      </c>
      <c r="I560" s="19">
        <f t="shared" si="25"/>
        <v>121.27500000000001</v>
      </c>
      <c r="J560" s="63"/>
    </row>
    <row r="561" spans="1:10" ht="14.65" hidden="1" customHeight="1">
      <c r="A561" s="79" t="s">
        <v>655</v>
      </c>
      <c r="B561" s="2" t="s">
        <v>686</v>
      </c>
      <c r="C561" s="2" t="s">
        <v>687</v>
      </c>
      <c r="D561" s="38"/>
      <c r="E561" s="42">
        <v>1</v>
      </c>
      <c r="F561" s="9"/>
      <c r="G561" s="8">
        <f t="shared" si="24"/>
        <v>192.3075</v>
      </c>
      <c r="H561" s="43">
        <v>183.15</v>
      </c>
      <c r="I561" s="19">
        <f t="shared" si="25"/>
        <v>0</v>
      </c>
      <c r="J561" s="63"/>
    </row>
    <row r="562" spans="1:10" ht="14.65" customHeight="1">
      <c r="A562" s="79" t="s">
        <v>655</v>
      </c>
      <c r="B562" s="2" t="s">
        <v>688</v>
      </c>
      <c r="C562" s="2" t="s">
        <v>689</v>
      </c>
      <c r="D562" s="38"/>
      <c r="E562" s="42">
        <v>1</v>
      </c>
      <c r="F562" s="9">
        <f>143-1</f>
        <v>142</v>
      </c>
      <c r="G562" s="8">
        <f t="shared" si="24"/>
        <v>82.939499999999995</v>
      </c>
      <c r="H562" s="43">
        <v>78.989999999999995</v>
      </c>
      <c r="I562" s="19">
        <f t="shared" si="25"/>
        <v>11777.409</v>
      </c>
      <c r="J562" s="63"/>
    </row>
    <row r="563" spans="1:10" ht="14.65" customHeight="1">
      <c r="A563" s="79" t="s">
        <v>655</v>
      </c>
      <c r="B563" s="2" t="s">
        <v>690</v>
      </c>
      <c r="C563" s="2" t="s">
        <v>691</v>
      </c>
      <c r="D563" s="38"/>
      <c r="E563" s="42">
        <v>1</v>
      </c>
      <c r="F563" s="9">
        <v>75</v>
      </c>
      <c r="G563" s="8">
        <f t="shared" si="24"/>
        <v>105.32550000000001</v>
      </c>
      <c r="H563" s="43">
        <v>100.31</v>
      </c>
      <c r="I563" s="19">
        <f t="shared" si="25"/>
        <v>7899.4125000000004</v>
      </c>
      <c r="J563" s="63"/>
    </row>
    <row r="564" spans="1:10" ht="14.65" customHeight="1">
      <c r="A564" s="79" t="s">
        <v>655</v>
      </c>
      <c r="B564" s="2" t="s">
        <v>692</v>
      </c>
      <c r="C564" s="2" t="s">
        <v>693</v>
      </c>
      <c r="D564" s="38"/>
      <c r="E564" s="42">
        <v>1</v>
      </c>
      <c r="F564" s="9">
        <v>251</v>
      </c>
      <c r="G564" s="8">
        <f t="shared" si="24"/>
        <v>127.134</v>
      </c>
      <c r="H564" s="43">
        <v>121.08</v>
      </c>
      <c r="I564" s="19">
        <f t="shared" si="25"/>
        <v>31910.634000000002</v>
      </c>
      <c r="J564" s="63"/>
    </row>
    <row r="565" spans="1:10" ht="14.65" customHeight="1">
      <c r="A565" s="79" t="s">
        <v>655</v>
      </c>
      <c r="B565" s="2" t="s">
        <v>694</v>
      </c>
      <c r="C565" s="2" t="s">
        <v>695</v>
      </c>
      <c r="D565" s="38"/>
      <c r="E565" s="42">
        <v>1</v>
      </c>
      <c r="F565" s="9">
        <v>378</v>
      </c>
      <c r="G565" s="8">
        <f t="shared" si="24"/>
        <v>16.4955</v>
      </c>
      <c r="H565" s="43">
        <v>15.71</v>
      </c>
      <c r="I565" s="19">
        <f t="shared" si="25"/>
        <v>6235.299</v>
      </c>
      <c r="J565" s="63"/>
    </row>
    <row r="566" spans="1:10" ht="14.65" hidden="1" customHeight="1">
      <c r="A566" s="79" t="s">
        <v>655</v>
      </c>
      <c r="B566" s="2" t="s">
        <v>696</v>
      </c>
      <c r="C566" s="2" t="s">
        <v>697</v>
      </c>
      <c r="D566" s="38"/>
      <c r="E566" s="42">
        <v>1</v>
      </c>
      <c r="F566" s="9"/>
      <c r="G566" s="8">
        <f t="shared" si="24"/>
        <v>32.329499999999996</v>
      </c>
      <c r="H566" s="43">
        <v>30.79</v>
      </c>
      <c r="I566" s="19">
        <f t="shared" si="25"/>
        <v>0</v>
      </c>
      <c r="J566" s="63"/>
    </row>
    <row r="567" spans="1:10" ht="14.65" customHeight="1">
      <c r="A567" s="79" t="s">
        <v>655</v>
      </c>
      <c r="B567" s="2" t="s">
        <v>698</v>
      </c>
      <c r="C567" s="2" t="s">
        <v>699</v>
      </c>
      <c r="D567" s="38"/>
      <c r="E567" s="42">
        <v>1</v>
      </c>
      <c r="F567" s="9">
        <v>283</v>
      </c>
      <c r="G567" s="8">
        <f t="shared" si="24"/>
        <v>32.329499999999996</v>
      </c>
      <c r="H567" s="96">
        <v>30.79</v>
      </c>
      <c r="I567" s="19">
        <f t="shared" si="25"/>
        <v>9149.2484999999997</v>
      </c>
      <c r="J567" s="63"/>
    </row>
    <row r="568" spans="1:10" ht="14.65" customHeight="1">
      <c r="A568" s="79" t="s">
        <v>655</v>
      </c>
      <c r="B568" s="2" t="s">
        <v>700</v>
      </c>
      <c r="C568" s="2" t="s">
        <v>701</v>
      </c>
      <c r="D568" s="38"/>
      <c r="E568" s="42">
        <v>1</v>
      </c>
      <c r="F568" s="9">
        <v>197</v>
      </c>
      <c r="G568" s="8">
        <f t="shared" si="24"/>
        <v>32.980499999999999</v>
      </c>
      <c r="H568" s="43">
        <v>31.41</v>
      </c>
      <c r="I568" s="19">
        <f t="shared" si="25"/>
        <v>6497.1584999999995</v>
      </c>
      <c r="J568" s="63"/>
    </row>
    <row r="569" spans="1:10" ht="14.65" customHeight="1">
      <c r="A569" s="79" t="s">
        <v>655</v>
      </c>
      <c r="B569" s="2" t="s">
        <v>702</v>
      </c>
      <c r="C569" s="2" t="s">
        <v>703</v>
      </c>
      <c r="D569" s="38"/>
      <c r="E569" s="42">
        <v>1</v>
      </c>
      <c r="F569" s="9">
        <v>13</v>
      </c>
      <c r="G569" s="8">
        <f t="shared" ref="G569:G577" si="26">H569+(H569*5%)</f>
        <v>30.03</v>
      </c>
      <c r="H569" s="43">
        <v>28.6</v>
      </c>
      <c r="I569" s="19">
        <f t="shared" ref="I569:I577" si="27">G569*F569</f>
        <v>390.39</v>
      </c>
      <c r="J569" s="63"/>
    </row>
    <row r="570" spans="1:10" ht="14.65" customHeight="1">
      <c r="A570" s="79" t="s">
        <v>655</v>
      </c>
      <c r="B570" s="2" t="s">
        <v>704</v>
      </c>
      <c r="C570" s="2" t="s">
        <v>705</v>
      </c>
      <c r="D570" s="38"/>
      <c r="E570" s="42">
        <v>1</v>
      </c>
      <c r="F570" s="9">
        <v>1</v>
      </c>
      <c r="G570" s="8">
        <f t="shared" si="26"/>
        <v>471.45</v>
      </c>
      <c r="H570" s="43">
        <v>449</v>
      </c>
      <c r="I570" s="19">
        <f t="shared" si="27"/>
        <v>471.45</v>
      </c>
      <c r="J570" s="63"/>
    </row>
    <row r="571" spans="1:10" ht="14.65" customHeight="1">
      <c r="A571" s="79" t="s">
        <v>655</v>
      </c>
      <c r="B571" s="2" t="s">
        <v>692</v>
      </c>
      <c r="C571" s="2" t="s">
        <v>706</v>
      </c>
      <c r="D571" s="38"/>
      <c r="E571" s="42">
        <v>1</v>
      </c>
      <c r="F571" s="9">
        <v>1</v>
      </c>
      <c r="G571" s="8">
        <f t="shared" si="26"/>
        <v>235.00049999999999</v>
      </c>
      <c r="H571" s="43">
        <v>223.81</v>
      </c>
      <c r="I571" s="19">
        <f t="shared" si="27"/>
        <v>235.00049999999999</v>
      </c>
      <c r="J571" s="63"/>
    </row>
    <row r="572" spans="1:10" ht="14.65" customHeight="1">
      <c r="A572" s="79" t="s">
        <v>655</v>
      </c>
      <c r="B572" s="2" t="s">
        <v>707</v>
      </c>
      <c r="C572" s="2" t="s">
        <v>708</v>
      </c>
      <c r="D572" s="38"/>
      <c r="E572" s="42">
        <v>1</v>
      </c>
      <c r="F572" s="9">
        <v>1</v>
      </c>
      <c r="G572" s="8">
        <f t="shared" si="26"/>
        <v>594.29999999999995</v>
      </c>
      <c r="H572" s="43">
        <v>566</v>
      </c>
      <c r="I572" s="19">
        <f t="shared" si="27"/>
        <v>594.29999999999995</v>
      </c>
      <c r="J572" s="63"/>
    </row>
    <row r="573" spans="1:10" ht="14.65" customHeight="1">
      <c r="A573" s="79" t="s">
        <v>655</v>
      </c>
      <c r="B573" s="2" t="s">
        <v>709</v>
      </c>
      <c r="C573" s="2" t="s">
        <v>710</v>
      </c>
      <c r="D573" s="38"/>
      <c r="E573" s="42">
        <v>1</v>
      </c>
      <c r="F573" s="9">
        <v>3</v>
      </c>
      <c r="G573" s="8">
        <f t="shared" si="26"/>
        <v>322.11899999999997</v>
      </c>
      <c r="H573" s="43">
        <v>306.77999999999997</v>
      </c>
      <c r="I573" s="19">
        <f t="shared" si="27"/>
        <v>966.35699999999997</v>
      </c>
      <c r="J573" s="63"/>
    </row>
    <row r="574" spans="1:10" ht="14.65" customHeight="1">
      <c r="A574" s="79" t="s">
        <v>655</v>
      </c>
      <c r="B574" s="2" t="s">
        <v>711</v>
      </c>
      <c r="C574" s="2" t="s">
        <v>712</v>
      </c>
      <c r="D574" s="38"/>
      <c r="E574" s="42">
        <v>1</v>
      </c>
      <c r="F574" s="9">
        <v>2</v>
      </c>
      <c r="G574" s="8">
        <f t="shared" si="26"/>
        <v>391.17750000000001</v>
      </c>
      <c r="H574" s="43">
        <v>372.55</v>
      </c>
      <c r="I574" s="19">
        <f t="shared" si="27"/>
        <v>782.35500000000002</v>
      </c>
      <c r="J574" s="63"/>
    </row>
    <row r="575" spans="1:10" ht="14.65" customHeight="1">
      <c r="A575" s="79" t="s">
        <v>655</v>
      </c>
      <c r="B575" s="2" t="s">
        <v>713</v>
      </c>
      <c r="C575" s="2" t="s">
        <v>714</v>
      </c>
      <c r="D575" s="38"/>
      <c r="E575" s="42">
        <v>1</v>
      </c>
      <c r="F575" s="9">
        <v>1</v>
      </c>
      <c r="G575" s="8">
        <f t="shared" si="26"/>
        <v>228.732</v>
      </c>
      <c r="H575" s="43">
        <v>217.84</v>
      </c>
      <c r="I575" s="19">
        <f t="shared" si="27"/>
        <v>228.732</v>
      </c>
      <c r="J575" s="63"/>
    </row>
    <row r="576" spans="1:10" ht="14.65" customHeight="1">
      <c r="A576" s="79" t="s">
        <v>655</v>
      </c>
      <c r="B576" s="2" t="s">
        <v>715</v>
      </c>
      <c r="C576" s="2" t="s">
        <v>716</v>
      </c>
      <c r="D576" s="38"/>
      <c r="E576" s="42">
        <v>1</v>
      </c>
      <c r="F576" s="9">
        <v>5</v>
      </c>
      <c r="G576" s="8">
        <f t="shared" si="26"/>
        <v>173.649</v>
      </c>
      <c r="H576" s="43">
        <v>165.38</v>
      </c>
      <c r="I576" s="19">
        <f t="shared" si="27"/>
        <v>868.245</v>
      </c>
      <c r="J576" s="63"/>
    </row>
    <row r="577" spans="1:10" ht="14.65" customHeight="1">
      <c r="A577" s="79" t="s">
        <v>655</v>
      </c>
      <c r="B577" s="2" t="s">
        <v>717</v>
      </c>
      <c r="C577" s="2" t="s">
        <v>718</v>
      </c>
      <c r="D577" s="38"/>
      <c r="E577" s="42">
        <v>1</v>
      </c>
      <c r="F577" s="9">
        <v>17</v>
      </c>
      <c r="G577" s="8">
        <f t="shared" si="26"/>
        <v>156.28200000000001</v>
      </c>
      <c r="H577" s="43">
        <v>148.84</v>
      </c>
      <c r="I577" s="19">
        <f t="shared" si="27"/>
        <v>2656.7940000000003</v>
      </c>
      <c r="J577" s="63"/>
    </row>
    <row r="578" spans="1:10" ht="14.65" customHeight="1">
      <c r="A578" s="95" t="s">
        <v>719</v>
      </c>
      <c r="B578" s="38">
        <v>104142</v>
      </c>
      <c r="C578" s="38" t="s">
        <v>720</v>
      </c>
      <c r="D578" s="38"/>
      <c r="E578" s="42">
        <v>1</v>
      </c>
      <c r="F578" s="9">
        <v>4</v>
      </c>
      <c r="G578" s="8"/>
      <c r="H578" s="43">
        <v>48.26</v>
      </c>
      <c r="I578" s="19">
        <f t="shared" si="23"/>
        <v>193.04</v>
      </c>
      <c r="J578" s="63"/>
    </row>
    <row r="579" spans="1:10" ht="14.65" customHeight="1">
      <c r="A579" s="95" t="s">
        <v>719</v>
      </c>
      <c r="B579" s="38">
        <v>115382</v>
      </c>
      <c r="C579" s="2" t="s">
        <v>721</v>
      </c>
      <c r="D579" s="38"/>
      <c r="E579" s="42">
        <v>1</v>
      </c>
      <c r="F579" s="9">
        <v>12</v>
      </c>
      <c r="G579" s="8"/>
      <c r="H579" s="43">
        <v>9.06</v>
      </c>
      <c r="I579" s="19">
        <f t="shared" si="23"/>
        <v>108.72</v>
      </c>
      <c r="J579" s="63"/>
    </row>
    <row r="580" spans="1:10" ht="14.65" customHeight="1">
      <c r="A580" s="95" t="s">
        <v>719</v>
      </c>
      <c r="B580" s="38">
        <v>115383</v>
      </c>
      <c r="C580" s="2" t="s">
        <v>722</v>
      </c>
      <c r="D580" s="38"/>
      <c r="E580" s="42">
        <v>1</v>
      </c>
      <c r="F580" s="9">
        <v>22</v>
      </c>
      <c r="G580" s="8"/>
      <c r="H580" s="43">
        <v>75.790000000000006</v>
      </c>
      <c r="I580" s="19">
        <f t="shared" si="23"/>
        <v>1667.38</v>
      </c>
      <c r="J580" s="63"/>
    </row>
    <row r="581" spans="1:10" hidden="1">
      <c r="A581" s="40" t="s">
        <v>723</v>
      </c>
      <c r="B581" s="38" t="s">
        <v>724</v>
      </c>
      <c r="C581" s="38" t="s">
        <v>725</v>
      </c>
      <c r="D581" s="38"/>
      <c r="E581" s="42">
        <v>1</v>
      </c>
      <c r="F581" s="9"/>
      <c r="G581" s="8"/>
      <c r="H581" s="43">
        <v>17.5</v>
      </c>
      <c r="I581" s="19">
        <f t="shared" ref="I581:I644" si="28">F581*H581</f>
        <v>0</v>
      </c>
    </row>
    <row r="582" spans="1:10" hidden="1">
      <c r="A582" s="40" t="s">
        <v>723</v>
      </c>
      <c r="B582" s="38" t="s">
        <v>724</v>
      </c>
      <c r="C582" s="38" t="s">
        <v>726</v>
      </c>
      <c r="D582" s="38"/>
      <c r="E582" s="42">
        <v>1</v>
      </c>
      <c r="F582" s="9"/>
      <c r="G582" s="8"/>
      <c r="H582" s="43">
        <v>26.49</v>
      </c>
      <c r="I582" s="19">
        <f t="shared" si="28"/>
        <v>0</v>
      </c>
    </row>
    <row r="583" spans="1:10" hidden="1">
      <c r="A583" s="40" t="s">
        <v>723</v>
      </c>
      <c r="B583" s="38" t="s">
        <v>724</v>
      </c>
      <c r="C583" s="38" t="s">
        <v>727</v>
      </c>
      <c r="D583" s="38"/>
      <c r="E583" s="42">
        <v>1</v>
      </c>
      <c r="F583" s="9"/>
      <c r="G583" s="8"/>
      <c r="H583" s="43">
        <v>23.45</v>
      </c>
      <c r="I583" s="19">
        <f t="shared" si="28"/>
        <v>0</v>
      </c>
    </row>
    <row r="584" spans="1:10" hidden="1">
      <c r="A584" s="40" t="s">
        <v>723</v>
      </c>
      <c r="B584" s="38" t="s">
        <v>728</v>
      </c>
      <c r="C584" s="38" t="s">
        <v>729</v>
      </c>
      <c r="D584" s="38"/>
      <c r="E584" s="42">
        <v>1</v>
      </c>
      <c r="F584" s="9"/>
      <c r="G584" s="8"/>
      <c r="H584" s="43">
        <v>5.71</v>
      </c>
      <c r="I584" s="19">
        <f t="shared" si="28"/>
        <v>0</v>
      </c>
    </row>
    <row r="585" spans="1:10" hidden="1">
      <c r="A585" s="40" t="s">
        <v>723</v>
      </c>
      <c r="B585" s="38" t="s">
        <v>728</v>
      </c>
      <c r="C585" s="38" t="s">
        <v>730</v>
      </c>
      <c r="D585" s="38"/>
      <c r="E585" s="42">
        <v>1</v>
      </c>
      <c r="F585" s="9"/>
      <c r="G585" s="8"/>
      <c r="H585" s="43">
        <v>7.93</v>
      </c>
      <c r="I585" s="19">
        <f t="shared" si="28"/>
        <v>0</v>
      </c>
    </row>
    <row r="586" spans="1:10" hidden="1">
      <c r="A586" s="40" t="s">
        <v>723</v>
      </c>
      <c r="B586" s="38" t="s">
        <v>728</v>
      </c>
      <c r="C586" s="38" t="s">
        <v>731</v>
      </c>
      <c r="D586" s="38"/>
      <c r="E586" s="42">
        <v>1</v>
      </c>
      <c r="F586" s="9"/>
      <c r="G586" s="8"/>
      <c r="H586" s="43">
        <v>6.89</v>
      </c>
      <c r="I586" s="19">
        <f t="shared" si="28"/>
        <v>0</v>
      </c>
    </row>
    <row r="587" spans="1:10" hidden="1">
      <c r="A587" s="40" t="s">
        <v>723</v>
      </c>
      <c r="B587" s="38" t="s">
        <v>732</v>
      </c>
      <c r="C587" s="38" t="s">
        <v>733</v>
      </c>
      <c r="D587" s="38"/>
      <c r="E587" s="42">
        <v>1</v>
      </c>
      <c r="F587" s="9"/>
      <c r="G587" s="8"/>
      <c r="H587" s="43">
        <v>17.14</v>
      </c>
      <c r="I587" s="19">
        <f t="shared" si="28"/>
        <v>0</v>
      </c>
    </row>
    <row r="588" spans="1:10" hidden="1">
      <c r="A588" s="40" t="s">
        <v>723</v>
      </c>
      <c r="B588" s="38" t="s">
        <v>732</v>
      </c>
      <c r="C588" s="38" t="s">
        <v>734</v>
      </c>
      <c r="D588" s="38"/>
      <c r="E588" s="42">
        <v>1</v>
      </c>
      <c r="F588" s="9"/>
      <c r="G588" s="8"/>
      <c r="H588" s="43">
        <v>23.47</v>
      </c>
      <c r="I588" s="19">
        <f t="shared" si="28"/>
        <v>0</v>
      </c>
    </row>
    <row r="589" spans="1:10" hidden="1">
      <c r="A589" s="40" t="s">
        <v>723</v>
      </c>
      <c r="B589" s="38" t="s">
        <v>732</v>
      </c>
      <c r="C589" s="38" t="s">
        <v>735</v>
      </c>
      <c r="D589" s="38"/>
      <c r="E589" s="42">
        <v>1</v>
      </c>
      <c r="F589" s="9"/>
      <c r="G589" s="8"/>
      <c r="H589" s="43">
        <v>20.58</v>
      </c>
      <c r="I589" s="19">
        <f t="shared" si="28"/>
        <v>0</v>
      </c>
    </row>
    <row r="590" spans="1:10">
      <c r="A590" s="40" t="s">
        <v>723</v>
      </c>
      <c r="B590" s="38" t="s">
        <v>736</v>
      </c>
      <c r="C590" s="38" t="s">
        <v>737</v>
      </c>
      <c r="D590" s="38"/>
      <c r="E590" s="42">
        <v>1</v>
      </c>
      <c r="F590" s="9">
        <v>26</v>
      </c>
      <c r="G590" s="8"/>
      <c r="H590" s="43">
        <v>15.89</v>
      </c>
      <c r="I590" s="19">
        <f t="shared" si="28"/>
        <v>413.14</v>
      </c>
    </row>
    <row r="591" spans="1:10" hidden="1">
      <c r="A591" s="40" t="s">
        <v>723</v>
      </c>
      <c r="B591" s="38" t="s">
        <v>736</v>
      </c>
      <c r="C591" s="38" t="s">
        <v>738</v>
      </c>
      <c r="D591" s="38"/>
      <c r="E591" s="42">
        <v>1</v>
      </c>
      <c r="F591" s="9"/>
      <c r="G591" s="8"/>
      <c r="H591" s="43">
        <v>20.95</v>
      </c>
      <c r="I591" s="19">
        <f t="shared" si="28"/>
        <v>0</v>
      </c>
    </row>
    <row r="592" spans="1:10" hidden="1">
      <c r="A592" s="40" t="s">
        <v>723</v>
      </c>
      <c r="B592" s="38" t="s">
        <v>736</v>
      </c>
      <c r="C592" s="38" t="s">
        <v>739</v>
      </c>
      <c r="D592" s="38"/>
      <c r="E592" s="42">
        <v>1</v>
      </c>
      <c r="F592" s="9"/>
      <c r="G592" s="8"/>
      <c r="H592" s="43">
        <v>18.05</v>
      </c>
      <c r="I592" s="19">
        <f t="shared" si="28"/>
        <v>0</v>
      </c>
    </row>
    <row r="593" spans="1:9" hidden="1">
      <c r="A593" s="40" t="s">
        <v>723</v>
      </c>
      <c r="B593" s="38" t="s">
        <v>740</v>
      </c>
      <c r="C593" s="38" t="s">
        <v>741</v>
      </c>
      <c r="D593" s="38"/>
      <c r="E593" s="42">
        <v>1</v>
      </c>
      <c r="F593" s="9"/>
      <c r="G593" s="8"/>
      <c r="H593" s="43">
        <v>18.36</v>
      </c>
      <c r="I593" s="19">
        <f t="shared" si="28"/>
        <v>0</v>
      </c>
    </row>
    <row r="594" spans="1:9" hidden="1">
      <c r="A594" s="40" t="s">
        <v>723</v>
      </c>
      <c r="B594" s="38" t="s">
        <v>740</v>
      </c>
      <c r="C594" s="38" t="s">
        <v>742</v>
      </c>
      <c r="D594" s="38"/>
      <c r="E594" s="42">
        <v>1</v>
      </c>
      <c r="F594" s="9"/>
      <c r="G594" s="8"/>
      <c r="H594" s="43">
        <v>25.51</v>
      </c>
      <c r="I594" s="19">
        <f t="shared" si="28"/>
        <v>0</v>
      </c>
    </row>
    <row r="595" spans="1:9" hidden="1">
      <c r="A595" s="40" t="s">
        <v>723</v>
      </c>
      <c r="B595" s="38" t="s">
        <v>740</v>
      </c>
      <c r="C595" s="38" t="s">
        <v>743</v>
      </c>
      <c r="D595" s="38"/>
      <c r="E595" s="42">
        <v>1</v>
      </c>
      <c r="F595" s="9"/>
      <c r="G595" s="8"/>
      <c r="H595" s="43">
        <v>22.62</v>
      </c>
      <c r="I595" s="19">
        <f t="shared" si="28"/>
        <v>0</v>
      </c>
    </row>
    <row r="596" spans="1:9">
      <c r="A596" s="40" t="s">
        <v>723</v>
      </c>
      <c r="B596" s="38" t="s">
        <v>744</v>
      </c>
      <c r="C596" s="38" t="s">
        <v>745</v>
      </c>
      <c r="D596" s="38"/>
      <c r="E596" s="42">
        <v>1</v>
      </c>
      <c r="F596" s="9">
        <v>6</v>
      </c>
      <c r="G596" s="8"/>
      <c r="H596" s="43">
        <v>19.73</v>
      </c>
      <c r="I596" s="19">
        <f t="shared" si="28"/>
        <v>118.38</v>
      </c>
    </row>
    <row r="597" spans="1:9" hidden="1">
      <c r="A597" s="40" t="s">
        <v>723</v>
      </c>
      <c r="B597" s="38" t="s">
        <v>744</v>
      </c>
      <c r="C597" s="38" t="s">
        <v>746</v>
      </c>
      <c r="D597" s="38"/>
      <c r="E597" s="42">
        <v>1</v>
      </c>
      <c r="F597" s="9"/>
      <c r="G597" s="8"/>
      <c r="H597" s="43">
        <v>32.549999999999997</v>
      </c>
      <c r="I597" s="19">
        <f t="shared" si="28"/>
        <v>0</v>
      </c>
    </row>
    <row r="598" spans="1:9" hidden="1">
      <c r="A598" s="40" t="s">
        <v>723</v>
      </c>
      <c r="B598" s="38" t="s">
        <v>744</v>
      </c>
      <c r="C598" s="38" t="s">
        <v>747</v>
      </c>
      <c r="D598" s="38"/>
      <c r="E598" s="42">
        <v>1</v>
      </c>
      <c r="F598" s="9"/>
      <c r="G598" s="8"/>
      <c r="H598" s="43">
        <v>29.65</v>
      </c>
      <c r="I598" s="19">
        <f t="shared" si="28"/>
        <v>0</v>
      </c>
    </row>
    <row r="599" spans="1:9">
      <c r="A599" s="40" t="s">
        <v>723</v>
      </c>
      <c r="B599" s="38" t="s">
        <v>748</v>
      </c>
      <c r="C599" s="38" t="s">
        <v>749</v>
      </c>
      <c r="D599" s="38"/>
      <c r="E599" s="42">
        <v>1</v>
      </c>
      <c r="F599" s="9">
        <v>15</v>
      </c>
      <c r="G599" s="8"/>
      <c r="H599" s="43">
        <v>18.36</v>
      </c>
      <c r="I599" s="19">
        <f t="shared" si="28"/>
        <v>275.39999999999998</v>
      </c>
    </row>
    <row r="600" spans="1:9" hidden="1">
      <c r="A600" s="40" t="s">
        <v>723</v>
      </c>
      <c r="B600" s="38" t="s">
        <v>748</v>
      </c>
      <c r="C600" s="38" t="s">
        <v>750</v>
      </c>
      <c r="D600" s="38"/>
      <c r="E600" s="42">
        <v>1</v>
      </c>
      <c r="F600" s="9"/>
      <c r="G600" s="8"/>
      <c r="H600" s="43">
        <v>25.51</v>
      </c>
      <c r="I600" s="19">
        <f t="shared" si="28"/>
        <v>0</v>
      </c>
    </row>
    <row r="601" spans="1:9" hidden="1">
      <c r="A601" s="40" t="s">
        <v>723</v>
      </c>
      <c r="B601" s="38" t="s">
        <v>748</v>
      </c>
      <c r="C601" s="38" t="s">
        <v>751</v>
      </c>
      <c r="D601" s="38"/>
      <c r="E601" s="42">
        <v>1</v>
      </c>
      <c r="F601" s="9"/>
      <c r="G601" s="8"/>
      <c r="H601" s="43">
        <v>22.61</v>
      </c>
      <c r="I601" s="19">
        <f t="shared" si="28"/>
        <v>0</v>
      </c>
    </row>
    <row r="602" spans="1:9" hidden="1">
      <c r="A602" s="40" t="s">
        <v>723</v>
      </c>
      <c r="B602" s="38" t="s">
        <v>752</v>
      </c>
      <c r="C602" s="38" t="s">
        <v>753</v>
      </c>
      <c r="D602" s="38"/>
      <c r="E602" s="42">
        <v>1</v>
      </c>
      <c r="F602" s="9"/>
      <c r="G602" s="8"/>
      <c r="H602" s="43">
        <v>15.89</v>
      </c>
      <c r="I602" s="19">
        <f t="shared" si="28"/>
        <v>0</v>
      </c>
    </row>
    <row r="603" spans="1:9" hidden="1">
      <c r="A603" s="40" t="s">
        <v>723</v>
      </c>
      <c r="B603" s="38" t="s">
        <v>752</v>
      </c>
      <c r="C603" s="38" t="s">
        <v>754</v>
      </c>
      <c r="D603" s="38"/>
      <c r="E603" s="42">
        <v>1</v>
      </c>
      <c r="F603" s="9"/>
      <c r="G603" s="8"/>
      <c r="H603" s="43">
        <v>22.57</v>
      </c>
      <c r="I603" s="19">
        <f t="shared" si="28"/>
        <v>0</v>
      </c>
    </row>
    <row r="604" spans="1:9" hidden="1">
      <c r="A604" s="40" t="s">
        <v>723</v>
      </c>
      <c r="B604" s="38" t="s">
        <v>752</v>
      </c>
      <c r="C604" s="38" t="s">
        <v>755</v>
      </c>
      <c r="D604" s="38"/>
      <c r="E604" s="42">
        <v>1</v>
      </c>
      <c r="F604" s="9"/>
      <c r="G604" s="8"/>
      <c r="H604" s="43">
        <v>19.670000000000002</v>
      </c>
      <c r="I604" s="19">
        <f t="shared" si="28"/>
        <v>0</v>
      </c>
    </row>
    <row r="605" spans="1:9" hidden="1">
      <c r="A605" s="40" t="s">
        <v>723</v>
      </c>
      <c r="B605" s="38" t="s">
        <v>756</v>
      </c>
      <c r="C605" s="38" t="s">
        <v>757</v>
      </c>
      <c r="D605" s="38"/>
      <c r="E605" s="42">
        <v>1</v>
      </c>
      <c r="F605" s="9"/>
      <c r="G605" s="8"/>
      <c r="H605" s="43">
        <v>17.14</v>
      </c>
      <c r="I605" s="19">
        <f t="shared" si="28"/>
        <v>0</v>
      </c>
    </row>
    <row r="606" spans="1:9" hidden="1">
      <c r="A606" s="40" t="s">
        <v>723</v>
      </c>
      <c r="B606" s="38" t="s">
        <v>756</v>
      </c>
      <c r="C606" s="38" t="s">
        <v>758</v>
      </c>
      <c r="D606" s="38"/>
      <c r="E606" s="42">
        <v>1</v>
      </c>
      <c r="F606" s="9"/>
      <c r="G606" s="8"/>
      <c r="H606" s="43">
        <v>23.19</v>
      </c>
      <c r="I606" s="19">
        <f t="shared" si="28"/>
        <v>0</v>
      </c>
    </row>
    <row r="607" spans="1:9" hidden="1">
      <c r="A607" s="40" t="s">
        <v>723</v>
      </c>
      <c r="B607" s="38" t="s">
        <v>756</v>
      </c>
      <c r="C607" s="38" t="s">
        <v>759</v>
      </c>
      <c r="D607" s="38"/>
      <c r="E607" s="42">
        <v>1</v>
      </c>
      <c r="F607" s="9"/>
      <c r="G607" s="8"/>
      <c r="H607" s="43">
        <v>20.28</v>
      </c>
      <c r="I607" s="19">
        <f t="shared" si="28"/>
        <v>0</v>
      </c>
    </row>
    <row r="608" spans="1:9" hidden="1">
      <c r="A608" s="40" t="s">
        <v>723</v>
      </c>
      <c r="B608" s="38" t="s">
        <v>760</v>
      </c>
      <c r="C608" s="38" t="s">
        <v>761</v>
      </c>
      <c r="D608" s="38"/>
      <c r="E608" s="42">
        <v>1</v>
      </c>
      <c r="F608" s="9"/>
      <c r="G608" s="8"/>
      <c r="H608" s="43">
        <v>5.54</v>
      </c>
      <c r="I608" s="19">
        <f t="shared" si="28"/>
        <v>0</v>
      </c>
    </row>
    <row r="609" spans="1:9" hidden="1">
      <c r="A609" s="40" t="s">
        <v>723</v>
      </c>
      <c r="B609" s="38" t="s">
        <v>760</v>
      </c>
      <c r="C609" s="38" t="s">
        <v>762</v>
      </c>
      <c r="D609" s="38"/>
      <c r="E609" s="42">
        <v>1</v>
      </c>
      <c r="F609" s="9"/>
      <c r="G609" s="8"/>
      <c r="H609" s="43">
        <v>7.73</v>
      </c>
      <c r="I609" s="19">
        <f t="shared" si="28"/>
        <v>0</v>
      </c>
    </row>
    <row r="610" spans="1:9" hidden="1">
      <c r="A610" s="40" t="s">
        <v>723</v>
      </c>
      <c r="B610" s="38" t="s">
        <v>760</v>
      </c>
      <c r="C610" s="38" t="s">
        <v>763</v>
      </c>
      <c r="D610" s="38"/>
      <c r="E610" s="42">
        <v>1</v>
      </c>
      <c r="F610" s="9"/>
      <c r="G610" s="8"/>
      <c r="H610" s="43">
        <v>6.68</v>
      </c>
      <c r="I610" s="19">
        <f t="shared" si="28"/>
        <v>0</v>
      </c>
    </row>
    <row r="611" spans="1:9" hidden="1">
      <c r="A611" s="40" t="s">
        <v>723</v>
      </c>
      <c r="B611" s="38" t="s">
        <v>764</v>
      </c>
      <c r="C611" s="38" t="s">
        <v>765</v>
      </c>
      <c r="D611" s="38"/>
      <c r="E611" s="42">
        <v>1</v>
      </c>
      <c r="F611" s="9"/>
      <c r="G611" s="8"/>
      <c r="H611" s="43">
        <v>17.68</v>
      </c>
      <c r="I611" s="19">
        <f t="shared" si="28"/>
        <v>0</v>
      </c>
    </row>
    <row r="612" spans="1:9" hidden="1">
      <c r="A612" s="40" t="s">
        <v>723</v>
      </c>
      <c r="B612" s="38" t="s">
        <v>764</v>
      </c>
      <c r="C612" s="38" t="s">
        <v>766</v>
      </c>
      <c r="D612" s="38"/>
      <c r="E612" s="42">
        <v>1</v>
      </c>
      <c r="F612" s="9"/>
      <c r="G612" s="8"/>
      <c r="H612" s="43">
        <v>22.89</v>
      </c>
      <c r="I612" s="19">
        <f t="shared" si="28"/>
        <v>0</v>
      </c>
    </row>
    <row r="613" spans="1:9" hidden="1">
      <c r="A613" s="40" t="s">
        <v>723</v>
      </c>
      <c r="B613" s="38" t="s">
        <v>764</v>
      </c>
      <c r="C613" s="38" t="s">
        <v>767</v>
      </c>
      <c r="D613" s="38"/>
      <c r="E613" s="42">
        <v>1</v>
      </c>
      <c r="F613" s="9"/>
      <c r="G613" s="8"/>
      <c r="H613" s="43">
        <v>19.989999999999998</v>
      </c>
      <c r="I613" s="19">
        <f t="shared" si="28"/>
        <v>0</v>
      </c>
    </row>
    <row r="614" spans="1:9" hidden="1">
      <c r="A614" s="40" t="s">
        <v>723</v>
      </c>
      <c r="B614" s="38" t="s">
        <v>768</v>
      </c>
      <c r="C614" s="38" t="s">
        <v>769</v>
      </c>
      <c r="D614" s="38"/>
      <c r="E614" s="42">
        <v>1</v>
      </c>
      <c r="F614" s="9"/>
      <c r="G614" s="8"/>
      <c r="H614" s="43">
        <v>19.75</v>
      </c>
      <c r="I614" s="19">
        <f t="shared" si="28"/>
        <v>0</v>
      </c>
    </row>
    <row r="615" spans="1:9" hidden="1">
      <c r="A615" s="40" t="s">
        <v>723</v>
      </c>
      <c r="B615" s="38" t="s">
        <v>768</v>
      </c>
      <c r="C615" s="38" t="s">
        <v>770</v>
      </c>
      <c r="D615" s="38"/>
      <c r="E615" s="42">
        <v>1</v>
      </c>
      <c r="F615" s="9"/>
      <c r="G615" s="8"/>
      <c r="H615" s="43">
        <v>27.2</v>
      </c>
      <c r="I615" s="19">
        <f t="shared" si="28"/>
        <v>0</v>
      </c>
    </row>
    <row r="616" spans="1:9" hidden="1">
      <c r="A616" s="40" t="s">
        <v>723</v>
      </c>
      <c r="B616" s="38" t="s">
        <v>768</v>
      </c>
      <c r="C616" s="38" t="s">
        <v>771</v>
      </c>
      <c r="D616" s="38"/>
      <c r="E616" s="42">
        <v>1</v>
      </c>
      <c r="F616" s="9"/>
      <c r="G616" s="8"/>
      <c r="H616" s="43">
        <v>24.3</v>
      </c>
      <c r="I616" s="19">
        <f t="shared" si="28"/>
        <v>0</v>
      </c>
    </row>
    <row r="617" spans="1:9" hidden="1">
      <c r="A617" s="40" t="s">
        <v>723</v>
      </c>
      <c r="B617" s="38" t="s">
        <v>772</v>
      </c>
      <c r="C617" s="38" t="s">
        <v>773</v>
      </c>
      <c r="D617" s="38"/>
      <c r="E617" s="42">
        <v>1</v>
      </c>
      <c r="F617" s="9"/>
      <c r="G617" s="8"/>
      <c r="H617" s="43">
        <v>34.380000000000003</v>
      </c>
      <c r="I617" s="19">
        <f t="shared" si="28"/>
        <v>0</v>
      </c>
    </row>
    <row r="618" spans="1:9" hidden="1">
      <c r="A618" s="40" t="s">
        <v>723</v>
      </c>
      <c r="B618" s="38" t="s">
        <v>772</v>
      </c>
      <c r="C618" s="38" t="s">
        <v>774</v>
      </c>
      <c r="D618" s="38"/>
      <c r="E618" s="42">
        <v>1</v>
      </c>
      <c r="F618" s="9"/>
      <c r="G618" s="8"/>
      <c r="H618" s="43">
        <v>40.71</v>
      </c>
      <c r="I618" s="19">
        <f t="shared" si="28"/>
        <v>0</v>
      </c>
    </row>
    <row r="619" spans="1:9" hidden="1">
      <c r="A619" s="40" t="s">
        <v>723</v>
      </c>
      <c r="B619" s="38" t="s">
        <v>772</v>
      </c>
      <c r="C619" s="38" t="s">
        <v>775</v>
      </c>
      <c r="D619" s="38"/>
      <c r="E619" s="42">
        <v>1</v>
      </c>
      <c r="F619" s="9"/>
      <c r="G619" s="8"/>
      <c r="H619" s="43">
        <v>37.43</v>
      </c>
      <c r="I619" s="19">
        <f t="shared" si="28"/>
        <v>0</v>
      </c>
    </row>
    <row r="620" spans="1:9" hidden="1">
      <c r="A620" s="40" t="s">
        <v>723</v>
      </c>
      <c r="B620" s="38" t="s">
        <v>776</v>
      </c>
      <c r="C620" s="38" t="s">
        <v>777</v>
      </c>
      <c r="D620" s="38"/>
      <c r="E620" s="42">
        <v>1</v>
      </c>
      <c r="F620" s="9"/>
      <c r="G620" s="8"/>
      <c r="H620" s="43">
        <v>5.54</v>
      </c>
      <c r="I620" s="19">
        <f t="shared" si="28"/>
        <v>0</v>
      </c>
    </row>
    <row r="621" spans="1:9" hidden="1">
      <c r="A621" s="40" t="s">
        <v>723</v>
      </c>
      <c r="B621" s="38" t="s">
        <v>776</v>
      </c>
      <c r="C621" s="38" t="s">
        <v>778</v>
      </c>
      <c r="D621" s="38"/>
      <c r="E621" s="42">
        <v>1</v>
      </c>
      <c r="F621" s="9"/>
      <c r="G621" s="8"/>
      <c r="H621" s="43">
        <v>7.73</v>
      </c>
      <c r="I621" s="19">
        <f t="shared" si="28"/>
        <v>0</v>
      </c>
    </row>
    <row r="622" spans="1:9" hidden="1">
      <c r="A622" s="40" t="s">
        <v>723</v>
      </c>
      <c r="B622" s="38" t="s">
        <v>776</v>
      </c>
      <c r="C622" s="38" t="s">
        <v>779</v>
      </c>
      <c r="D622" s="38"/>
      <c r="E622" s="42">
        <v>1</v>
      </c>
      <c r="F622" s="9"/>
      <c r="G622" s="8"/>
      <c r="H622" s="43">
        <v>6.68</v>
      </c>
      <c r="I622" s="19">
        <f t="shared" si="28"/>
        <v>0</v>
      </c>
    </row>
    <row r="623" spans="1:9" hidden="1">
      <c r="A623" s="40" t="s">
        <v>723</v>
      </c>
      <c r="B623" s="38" t="s">
        <v>780</v>
      </c>
      <c r="C623" s="38" t="s">
        <v>781</v>
      </c>
      <c r="D623" s="38"/>
      <c r="E623" s="42">
        <v>1</v>
      </c>
      <c r="F623" s="9"/>
      <c r="G623" s="8"/>
      <c r="H623" s="43">
        <v>24.36</v>
      </c>
      <c r="I623" s="19">
        <f t="shared" si="28"/>
        <v>0</v>
      </c>
    </row>
    <row r="624" spans="1:9" hidden="1">
      <c r="A624" s="40" t="s">
        <v>723</v>
      </c>
      <c r="B624" s="38" t="s">
        <v>780</v>
      </c>
      <c r="C624" s="38" t="s">
        <v>782</v>
      </c>
      <c r="D624" s="38"/>
      <c r="E624" s="42">
        <v>1</v>
      </c>
      <c r="F624" s="9"/>
      <c r="G624" s="8"/>
      <c r="H624" s="43">
        <v>30.62</v>
      </c>
      <c r="I624" s="19">
        <f t="shared" si="28"/>
        <v>0</v>
      </c>
    </row>
    <row r="625" spans="1:9" hidden="1">
      <c r="A625" s="40" t="s">
        <v>723</v>
      </c>
      <c r="B625" s="38" t="s">
        <v>780</v>
      </c>
      <c r="C625" s="38" t="s">
        <v>783</v>
      </c>
      <c r="D625" s="38"/>
      <c r="E625" s="42">
        <v>1</v>
      </c>
      <c r="F625" s="9"/>
      <c r="G625" s="8"/>
      <c r="H625" s="43">
        <v>27.8</v>
      </c>
      <c r="I625" s="19">
        <f t="shared" si="28"/>
        <v>0</v>
      </c>
    </row>
    <row r="626" spans="1:9" hidden="1">
      <c r="A626" s="40" t="s">
        <v>723</v>
      </c>
      <c r="B626" s="38" t="s">
        <v>784</v>
      </c>
      <c r="C626" s="38" t="s">
        <v>785</v>
      </c>
      <c r="D626" s="38"/>
      <c r="E626" s="42">
        <v>1</v>
      </c>
      <c r="F626" s="9"/>
      <c r="G626" s="8"/>
      <c r="H626" s="43">
        <v>3.65</v>
      </c>
      <c r="I626" s="19">
        <f t="shared" si="28"/>
        <v>0</v>
      </c>
    </row>
    <row r="627" spans="1:9" hidden="1">
      <c r="A627" s="40" t="s">
        <v>723</v>
      </c>
      <c r="B627" s="38" t="s">
        <v>786</v>
      </c>
      <c r="C627" s="38" t="s">
        <v>787</v>
      </c>
      <c r="D627" s="38"/>
      <c r="E627" s="42">
        <v>1</v>
      </c>
      <c r="F627" s="9"/>
      <c r="G627" s="8"/>
      <c r="H627" s="43">
        <v>3.65</v>
      </c>
      <c r="I627" s="19">
        <f t="shared" si="28"/>
        <v>0</v>
      </c>
    </row>
    <row r="628" spans="1:9" hidden="1">
      <c r="A628" s="40" t="s">
        <v>723</v>
      </c>
      <c r="B628" s="38" t="s">
        <v>788</v>
      </c>
      <c r="C628" s="38" t="s">
        <v>789</v>
      </c>
      <c r="D628" s="38"/>
      <c r="E628" s="42">
        <v>1</v>
      </c>
      <c r="F628" s="9"/>
      <c r="G628" s="8"/>
      <c r="H628" s="43">
        <v>5.25</v>
      </c>
      <c r="I628" s="19">
        <f t="shared" si="28"/>
        <v>0</v>
      </c>
    </row>
    <row r="629" spans="1:9" hidden="1">
      <c r="A629" s="40" t="s">
        <v>723</v>
      </c>
      <c r="B629" s="38"/>
      <c r="C629" s="38" t="s">
        <v>790</v>
      </c>
      <c r="D629" s="38"/>
      <c r="E629" s="42">
        <v>1</v>
      </c>
      <c r="F629" s="9"/>
      <c r="G629" s="8"/>
      <c r="H629" s="43">
        <v>3.72</v>
      </c>
      <c r="I629" s="19">
        <f t="shared" si="28"/>
        <v>0</v>
      </c>
    </row>
    <row r="630" spans="1:9" hidden="1">
      <c r="A630" s="40" t="s">
        <v>723</v>
      </c>
      <c r="B630" s="38" t="s">
        <v>791</v>
      </c>
      <c r="C630" s="38" t="s">
        <v>792</v>
      </c>
      <c r="D630" s="38"/>
      <c r="E630" s="42">
        <v>1</v>
      </c>
      <c r="F630" s="9"/>
      <c r="G630" s="8"/>
      <c r="H630" s="43">
        <v>1.74</v>
      </c>
      <c r="I630" s="19">
        <f t="shared" si="28"/>
        <v>0</v>
      </c>
    </row>
    <row r="631" spans="1:9" hidden="1">
      <c r="A631" s="40" t="s">
        <v>723</v>
      </c>
      <c r="B631" s="38" t="s">
        <v>791</v>
      </c>
      <c r="C631" s="38" t="s">
        <v>793</v>
      </c>
      <c r="D631" s="38"/>
      <c r="E631" s="42">
        <v>1</v>
      </c>
      <c r="F631" s="9"/>
      <c r="G631" s="8"/>
      <c r="H631" s="43">
        <v>4.83</v>
      </c>
      <c r="I631" s="19">
        <f t="shared" si="28"/>
        <v>0</v>
      </c>
    </row>
    <row r="632" spans="1:9" hidden="1">
      <c r="A632" s="40" t="s">
        <v>723</v>
      </c>
      <c r="B632" s="38" t="s">
        <v>794</v>
      </c>
      <c r="C632" s="38" t="s">
        <v>795</v>
      </c>
      <c r="D632" s="38"/>
      <c r="E632" s="42">
        <v>1</v>
      </c>
      <c r="F632" s="9"/>
      <c r="G632" s="8"/>
      <c r="H632" s="43">
        <v>2.69</v>
      </c>
      <c r="I632" s="19">
        <f t="shared" si="28"/>
        <v>0</v>
      </c>
    </row>
    <row r="633" spans="1:9" hidden="1">
      <c r="A633" s="40" t="s">
        <v>723</v>
      </c>
      <c r="B633" s="38" t="s">
        <v>794</v>
      </c>
      <c r="C633" s="38" t="s">
        <v>796</v>
      </c>
      <c r="D633" s="38"/>
      <c r="E633" s="42">
        <v>1</v>
      </c>
      <c r="F633" s="9"/>
      <c r="G633" s="8"/>
      <c r="H633" s="43">
        <v>6.02</v>
      </c>
      <c r="I633" s="19">
        <f t="shared" si="28"/>
        <v>0</v>
      </c>
    </row>
    <row r="634" spans="1:9" hidden="1">
      <c r="A634" s="40" t="s">
        <v>723</v>
      </c>
      <c r="B634" s="38" t="s">
        <v>797</v>
      </c>
      <c r="C634" s="38" t="s">
        <v>798</v>
      </c>
      <c r="D634" s="38"/>
      <c r="E634" s="42">
        <v>1</v>
      </c>
      <c r="F634" s="9"/>
      <c r="G634" s="8"/>
      <c r="H634" s="43">
        <v>4.91</v>
      </c>
      <c r="I634" s="19">
        <f t="shared" si="28"/>
        <v>0</v>
      </c>
    </row>
    <row r="635" spans="1:9" hidden="1">
      <c r="A635" s="40" t="s">
        <v>723</v>
      </c>
      <c r="B635" s="38" t="s">
        <v>797</v>
      </c>
      <c r="C635" s="38" t="s">
        <v>799</v>
      </c>
      <c r="D635" s="38"/>
      <c r="E635" s="42">
        <v>1</v>
      </c>
      <c r="F635" s="9"/>
      <c r="G635" s="8"/>
      <c r="H635" s="43">
        <v>8.84</v>
      </c>
      <c r="I635" s="19">
        <f t="shared" si="28"/>
        <v>0</v>
      </c>
    </row>
    <row r="636" spans="1:9" hidden="1">
      <c r="A636" s="40" t="s">
        <v>723</v>
      </c>
      <c r="B636" s="38" t="s">
        <v>800</v>
      </c>
      <c r="C636" s="38" t="s">
        <v>801</v>
      </c>
      <c r="D636" s="38"/>
      <c r="E636" s="42">
        <v>1</v>
      </c>
      <c r="F636" s="9"/>
      <c r="G636" s="8"/>
      <c r="H636" s="43">
        <v>6.01</v>
      </c>
      <c r="I636" s="19">
        <f t="shared" si="28"/>
        <v>0</v>
      </c>
    </row>
    <row r="637" spans="1:9" hidden="1">
      <c r="A637" s="40" t="s">
        <v>723</v>
      </c>
      <c r="B637" s="38" t="s">
        <v>800</v>
      </c>
      <c r="C637" s="38" t="s">
        <v>802</v>
      </c>
      <c r="D637" s="38"/>
      <c r="E637" s="42">
        <v>1</v>
      </c>
      <c r="F637" s="9"/>
      <c r="G637" s="8"/>
      <c r="H637" s="43">
        <v>11.5</v>
      </c>
      <c r="I637" s="19">
        <f t="shared" si="28"/>
        <v>0</v>
      </c>
    </row>
    <row r="638" spans="1:9" hidden="1">
      <c r="A638" s="40" t="s">
        <v>723</v>
      </c>
      <c r="B638" s="38" t="s">
        <v>803</v>
      </c>
      <c r="C638" s="38" t="s">
        <v>804</v>
      </c>
      <c r="D638" s="38"/>
      <c r="E638" s="42">
        <v>1</v>
      </c>
      <c r="F638" s="9"/>
      <c r="G638" s="8"/>
      <c r="H638" s="43">
        <v>1.93</v>
      </c>
      <c r="I638" s="19">
        <f t="shared" si="28"/>
        <v>0</v>
      </c>
    </row>
    <row r="639" spans="1:9" hidden="1">
      <c r="A639" s="40" t="s">
        <v>723</v>
      </c>
      <c r="B639" s="38" t="s">
        <v>805</v>
      </c>
      <c r="C639" s="38" t="s">
        <v>806</v>
      </c>
      <c r="D639" s="38"/>
      <c r="E639" s="42">
        <v>1</v>
      </c>
      <c r="F639" s="9"/>
      <c r="G639" s="8"/>
      <c r="H639" s="43">
        <v>0.75</v>
      </c>
      <c r="I639" s="19">
        <f t="shared" si="28"/>
        <v>0</v>
      </c>
    </row>
    <row r="640" spans="1:9" hidden="1">
      <c r="A640" s="40" t="s">
        <v>723</v>
      </c>
      <c r="B640" s="38" t="s">
        <v>807</v>
      </c>
      <c r="C640" s="38" t="s">
        <v>808</v>
      </c>
      <c r="D640" s="38"/>
      <c r="E640" s="42">
        <v>1</v>
      </c>
      <c r="F640" s="9"/>
      <c r="G640" s="8"/>
      <c r="H640" s="43">
        <v>4.17</v>
      </c>
      <c r="I640" s="19">
        <f t="shared" si="28"/>
        <v>0</v>
      </c>
    </row>
    <row r="641" spans="1:9" hidden="1">
      <c r="A641" s="40" t="s">
        <v>723</v>
      </c>
      <c r="B641" s="38" t="s">
        <v>807</v>
      </c>
      <c r="C641" s="38" t="s">
        <v>809</v>
      </c>
      <c r="D641" s="38"/>
      <c r="E641" s="42">
        <v>1</v>
      </c>
      <c r="F641" s="9"/>
      <c r="G641" s="8"/>
      <c r="H641" s="43">
        <v>5.8</v>
      </c>
      <c r="I641" s="19">
        <f t="shared" si="28"/>
        <v>0</v>
      </c>
    </row>
    <row r="642" spans="1:9" hidden="1">
      <c r="A642" s="40" t="s">
        <v>723</v>
      </c>
      <c r="B642" s="38" t="s">
        <v>807</v>
      </c>
      <c r="C642" s="38" t="s">
        <v>810</v>
      </c>
      <c r="D642" s="38"/>
      <c r="E642" s="42">
        <v>1</v>
      </c>
      <c r="F642" s="9"/>
      <c r="G642" s="8"/>
      <c r="H642" s="43">
        <v>7.43</v>
      </c>
      <c r="I642" s="19">
        <f t="shared" si="28"/>
        <v>0</v>
      </c>
    </row>
    <row r="643" spans="1:9" hidden="1">
      <c r="A643" s="40" t="s">
        <v>723</v>
      </c>
      <c r="B643" s="38"/>
      <c r="C643" s="38" t="s">
        <v>811</v>
      </c>
      <c r="D643" s="38" t="s">
        <v>812</v>
      </c>
      <c r="E643" s="42">
        <v>1</v>
      </c>
      <c r="F643" s="9"/>
      <c r="G643" s="8"/>
      <c r="H643" s="43">
        <v>125</v>
      </c>
      <c r="I643" s="19">
        <f t="shared" si="28"/>
        <v>0</v>
      </c>
    </row>
    <row r="644" spans="1:9" hidden="1">
      <c r="A644" s="40" t="s">
        <v>723</v>
      </c>
      <c r="B644" s="38"/>
      <c r="C644" s="38" t="s">
        <v>813</v>
      </c>
      <c r="D644" s="38" t="s">
        <v>812</v>
      </c>
      <c r="E644" s="42">
        <v>1</v>
      </c>
      <c r="F644" s="9"/>
      <c r="G644" s="8"/>
      <c r="H644" s="43">
        <v>152</v>
      </c>
      <c r="I644" s="19">
        <f t="shared" si="28"/>
        <v>0</v>
      </c>
    </row>
    <row r="645" spans="1:9" hidden="1">
      <c r="A645" s="40" t="s">
        <v>723</v>
      </c>
      <c r="B645" s="38" t="s">
        <v>814</v>
      </c>
      <c r="C645" s="38" t="s">
        <v>815</v>
      </c>
      <c r="D645" s="38"/>
      <c r="E645" s="42">
        <v>1</v>
      </c>
      <c r="F645" s="9"/>
      <c r="G645" s="8"/>
      <c r="H645" s="43">
        <v>1.46</v>
      </c>
      <c r="I645" s="19">
        <f t="shared" ref="I645:I676" si="29">F645*H645</f>
        <v>0</v>
      </c>
    </row>
    <row r="646" spans="1:9" hidden="1">
      <c r="A646" s="40" t="s">
        <v>723</v>
      </c>
      <c r="B646" s="38" t="s">
        <v>814</v>
      </c>
      <c r="C646" s="38" t="s">
        <v>816</v>
      </c>
      <c r="D646" s="38"/>
      <c r="E646" s="42">
        <v>1</v>
      </c>
      <c r="F646" s="9"/>
      <c r="G646" s="8"/>
      <c r="H646" s="43">
        <v>2.54</v>
      </c>
      <c r="I646" s="19">
        <f t="shared" si="29"/>
        <v>0</v>
      </c>
    </row>
    <row r="647" spans="1:9" hidden="1">
      <c r="A647" s="40" t="s">
        <v>723</v>
      </c>
      <c r="B647" s="38" t="s">
        <v>817</v>
      </c>
      <c r="C647" s="38" t="s">
        <v>818</v>
      </c>
      <c r="D647" s="38"/>
      <c r="E647" s="42">
        <v>1</v>
      </c>
      <c r="F647" s="9"/>
      <c r="G647" s="8"/>
      <c r="H647" s="43">
        <v>1.94</v>
      </c>
      <c r="I647" s="19">
        <f t="shared" si="29"/>
        <v>0</v>
      </c>
    </row>
    <row r="648" spans="1:9" hidden="1">
      <c r="A648" s="40" t="s">
        <v>723</v>
      </c>
      <c r="B648" s="38" t="s">
        <v>817</v>
      </c>
      <c r="C648" s="38" t="s">
        <v>819</v>
      </c>
      <c r="D648" s="38"/>
      <c r="E648" s="42">
        <v>1</v>
      </c>
      <c r="F648" s="9"/>
      <c r="G648" s="8"/>
      <c r="H648" s="43">
        <v>3.21</v>
      </c>
      <c r="I648" s="19">
        <f t="shared" si="29"/>
        <v>0</v>
      </c>
    </row>
    <row r="649" spans="1:9" hidden="1">
      <c r="A649" s="40" t="s">
        <v>723</v>
      </c>
      <c r="B649" s="38" t="s">
        <v>820</v>
      </c>
      <c r="C649" s="38" t="s">
        <v>821</v>
      </c>
      <c r="D649" s="38"/>
      <c r="E649" s="42">
        <v>1</v>
      </c>
      <c r="F649" s="9"/>
      <c r="G649" s="8"/>
      <c r="H649" s="43">
        <v>3.04</v>
      </c>
      <c r="I649" s="19">
        <f t="shared" si="29"/>
        <v>0</v>
      </c>
    </row>
    <row r="650" spans="1:9" hidden="1">
      <c r="A650" s="40" t="s">
        <v>723</v>
      </c>
      <c r="B650" s="38" t="s">
        <v>820</v>
      </c>
      <c r="C650" s="38" t="s">
        <v>822</v>
      </c>
      <c r="D650" s="38"/>
      <c r="E650" s="42">
        <v>1</v>
      </c>
      <c r="F650" s="9"/>
      <c r="G650" s="8"/>
      <c r="H650" s="43">
        <v>4.84</v>
      </c>
      <c r="I650" s="19">
        <f t="shared" si="29"/>
        <v>0</v>
      </c>
    </row>
    <row r="651" spans="1:9" hidden="1">
      <c r="A651" s="40" t="s">
        <v>723</v>
      </c>
      <c r="B651" s="38" t="s">
        <v>823</v>
      </c>
      <c r="C651" s="38" t="s">
        <v>824</v>
      </c>
      <c r="D651" s="38"/>
      <c r="E651" s="42">
        <v>1</v>
      </c>
      <c r="F651" s="9"/>
      <c r="G651" s="8"/>
      <c r="H651" s="43">
        <v>7.39</v>
      </c>
      <c r="I651" s="19">
        <f t="shared" si="29"/>
        <v>0</v>
      </c>
    </row>
    <row r="652" spans="1:9" hidden="1">
      <c r="A652" s="40" t="s">
        <v>723</v>
      </c>
      <c r="B652" s="38" t="s">
        <v>823</v>
      </c>
      <c r="C652" s="38" t="s">
        <v>825</v>
      </c>
      <c r="D652" s="38"/>
      <c r="E652" s="42">
        <v>1</v>
      </c>
      <c r="F652" s="9"/>
      <c r="G652" s="8"/>
      <c r="H652" s="43">
        <v>12.1</v>
      </c>
      <c r="I652" s="19">
        <f t="shared" si="29"/>
        <v>0</v>
      </c>
    </row>
    <row r="653" spans="1:9" hidden="1">
      <c r="A653" s="40" t="s">
        <v>723</v>
      </c>
      <c r="B653" s="38" t="s">
        <v>826</v>
      </c>
      <c r="C653" s="38" t="s">
        <v>827</v>
      </c>
      <c r="D653" s="38"/>
      <c r="E653" s="42">
        <v>1</v>
      </c>
      <c r="F653" s="9"/>
      <c r="G653" s="8"/>
      <c r="H653" s="43">
        <v>9.86</v>
      </c>
      <c r="I653" s="19">
        <f t="shared" si="29"/>
        <v>0</v>
      </c>
    </row>
    <row r="654" spans="1:9" hidden="1">
      <c r="A654" s="40" t="s">
        <v>723</v>
      </c>
      <c r="B654" s="38" t="s">
        <v>826</v>
      </c>
      <c r="C654" s="38" t="s">
        <v>828</v>
      </c>
      <c r="D654" s="38"/>
      <c r="E654" s="42">
        <v>1</v>
      </c>
      <c r="F654" s="9"/>
      <c r="G654" s="8"/>
      <c r="H654" s="43">
        <v>17.34</v>
      </c>
      <c r="I654" s="19">
        <f t="shared" si="29"/>
        <v>0</v>
      </c>
    </row>
    <row r="655" spans="1:9" hidden="1">
      <c r="A655" s="40" t="s">
        <v>723</v>
      </c>
      <c r="B655" s="38" t="s">
        <v>829</v>
      </c>
      <c r="C655" s="38" t="s">
        <v>830</v>
      </c>
      <c r="D655" s="38"/>
      <c r="E655" s="42">
        <v>1</v>
      </c>
      <c r="F655" s="9"/>
      <c r="G655" s="8"/>
      <c r="H655" s="43">
        <v>2.98</v>
      </c>
      <c r="I655" s="19">
        <f t="shared" si="29"/>
        <v>0</v>
      </c>
    </row>
    <row r="656" spans="1:9" hidden="1">
      <c r="A656" s="40" t="s">
        <v>723</v>
      </c>
      <c r="B656" s="38" t="s">
        <v>829</v>
      </c>
      <c r="C656" s="38" t="s">
        <v>831</v>
      </c>
      <c r="D656" s="38"/>
      <c r="E656" s="42">
        <v>1</v>
      </c>
      <c r="F656" s="9"/>
      <c r="G656" s="8"/>
      <c r="H656" s="43">
        <v>7.42</v>
      </c>
      <c r="I656" s="19">
        <f t="shared" si="29"/>
        <v>0</v>
      </c>
    </row>
    <row r="657" spans="1:9" hidden="1">
      <c r="A657" s="40" t="s">
        <v>723</v>
      </c>
      <c r="B657" s="38" t="s">
        <v>832</v>
      </c>
      <c r="C657" s="38" t="s">
        <v>833</v>
      </c>
      <c r="D657" s="38"/>
      <c r="E657" s="42">
        <v>1</v>
      </c>
      <c r="F657" s="9"/>
      <c r="G657" s="8"/>
      <c r="H657" s="43">
        <v>3.93</v>
      </c>
      <c r="I657" s="19">
        <f t="shared" si="29"/>
        <v>0</v>
      </c>
    </row>
    <row r="658" spans="1:9" hidden="1">
      <c r="A658" s="40" t="s">
        <v>723</v>
      </c>
      <c r="B658" s="38" t="s">
        <v>832</v>
      </c>
      <c r="C658" s="38" t="s">
        <v>834</v>
      </c>
      <c r="D658" s="38"/>
      <c r="E658" s="42">
        <v>1</v>
      </c>
      <c r="F658" s="9"/>
      <c r="G658" s="8"/>
      <c r="H658" s="43">
        <v>7.98</v>
      </c>
      <c r="I658" s="19">
        <f t="shared" si="29"/>
        <v>0</v>
      </c>
    </row>
    <row r="659" spans="1:9" hidden="1">
      <c r="A659" s="40" t="s">
        <v>723</v>
      </c>
      <c r="B659" s="38" t="s">
        <v>835</v>
      </c>
      <c r="C659" s="38" t="s">
        <v>836</v>
      </c>
      <c r="D659" s="38"/>
      <c r="E659" s="42">
        <v>1</v>
      </c>
      <c r="F659" s="9"/>
      <c r="G659" s="8"/>
      <c r="H659" s="43">
        <v>4.58</v>
      </c>
      <c r="I659" s="19">
        <f t="shared" si="29"/>
        <v>0</v>
      </c>
    </row>
    <row r="660" spans="1:9" hidden="1">
      <c r="A660" s="40" t="s">
        <v>723</v>
      </c>
      <c r="B660" s="38" t="s">
        <v>835</v>
      </c>
      <c r="C660" s="38" t="s">
        <v>837</v>
      </c>
      <c r="D660" s="38"/>
      <c r="E660" s="42">
        <v>1</v>
      </c>
      <c r="F660" s="9"/>
      <c r="G660" s="8"/>
      <c r="H660" s="43">
        <v>8.9700000000000006</v>
      </c>
      <c r="I660" s="19">
        <f t="shared" si="29"/>
        <v>0</v>
      </c>
    </row>
    <row r="661" spans="1:9" hidden="1">
      <c r="A661" s="40" t="s">
        <v>723</v>
      </c>
      <c r="B661" s="38" t="s">
        <v>838</v>
      </c>
      <c r="C661" s="38" t="s">
        <v>839</v>
      </c>
      <c r="D661" s="38"/>
      <c r="E661" s="42">
        <v>1</v>
      </c>
      <c r="F661" s="9"/>
      <c r="G661" s="8"/>
      <c r="H661" s="43">
        <v>5.21</v>
      </c>
      <c r="I661" s="19">
        <f t="shared" si="29"/>
        <v>0</v>
      </c>
    </row>
    <row r="662" spans="1:9" hidden="1">
      <c r="A662" s="40" t="s">
        <v>723</v>
      </c>
      <c r="B662" s="38" t="s">
        <v>838</v>
      </c>
      <c r="C662" s="38" t="s">
        <v>840</v>
      </c>
      <c r="D662" s="38"/>
      <c r="E662" s="42">
        <v>1</v>
      </c>
      <c r="F662" s="9"/>
      <c r="G662" s="8"/>
      <c r="H662" s="43">
        <v>9.82</v>
      </c>
      <c r="I662" s="19">
        <f t="shared" si="29"/>
        <v>0</v>
      </c>
    </row>
    <row r="663" spans="1:9" hidden="1">
      <c r="A663" s="40" t="s">
        <v>723</v>
      </c>
      <c r="B663" s="38" t="s">
        <v>841</v>
      </c>
      <c r="C663" s="38" t="s">
        <v>842</v>
      </c>
      <c r="D663" s="38"/>
      <c r="E663" s="42">
        <v>1</v>
      </c>
      <c r="F663" s="9"/>
      <c r="G663" s="8"/>
      <c r="H663" s="43">
        <v>5.9</v>
      </c>
      <c r="I663" s="19">
        <f t="shared" si="29"/>
        <v>0</v>
      </c>
    </row>
    <row r="664" spans="1:9" hidden="1">
      <c r="A664" s="40" t="s">
        <v>723</v>
      </c>
      <c r="B664" s="38" t="s">
        <v>841</v>
      </c>
      <c r="C664" s="38" t="s">
        <v>843</v>
      </c>
      <c r="D664" s="38"/>
      <c r="E664" s="42">
        <v>1</v>
      </c>
      <c r="F664" s="9"/>
      <c r="G664" s="8"/>
      <c r="H664" s="43">
        <v>10.64</v>
      </c>
      <c r="I664" s="19">
        <f t="shared" si="29"/>
        <v>0</v>
      </c>
    </row>
    <row r="665" spans="1:9" hidden="1">
      <c r="A665" s="40" t="s">
        <v>723</v>
      </c>
      <c r="B665" s="38" t="s">
        <v>844</v>
      </c>
      <c r="C665" s="38" t="s">
        <v>845</v>
      </c>
      <c r="D665" s="38"/>
      <c r="E665" s="42">
        <v>1</v>
      </c>
      <c r="F665" s="9"/>
      <c r="G665" s="8"/>
      <c r="H665" s="43">
        <v>6.55</v>
      </c>
      <c r="I665" s="19">
        <f t="shared" si="29"/>
        <v>0</v>
      </c>
    </row>
    <row r="666" spans="1:9" hidden="1">
      <c r="A666" s="40" t="s">
        <v>723</v>
      </c>
      <c r="B666" s="38" t="s">
        <v>844</v>
      </c>
      <c r="C666" s="38" t="s">
        <v>846</v>
      </c>
      <c r="D666" s="38"/>
      <c r="E666" s="42">
        <v>1</v>
      </c>
      <c r="F666" s="9"/>
      <c r="G666" s="8"/>
      <c r="H666" s="43">
        <v>11.76</v>
      </c>
      <c r="I666" s="19">
        <f t="shared" si="29"/>
        <v>0</v>
      </c>
    </row>
    <row r="667" spans="1:9" hidden="1">
      <c r="A667" s="40" t="s">
        <v>723</v>
      </c>
      <c r="B667" s="38" t="s">
        <v>847</v>
      </c>
      <c r="C667" s="38" t="s">
        <v>848</v>
      </c>
      <c r="D667" s="38"/>
      <c r="E667" s="42">
        <v>1</v>
      </c>
      <c r="F667" s="9"/>
      <c r="G667" s="8"/>
      <c r="H667" s="43">
        <v>7.86</v>
      </c>
      <c r="I667" s="19">
        <f t="shared" si="29"/>
        <v>0</v>
      </c>
    </row>
    <row r="668" spans="1:9" hidden="1">
      <c r="A668" s="40" t="s">
        <v>723</v>
      </c>
      <c r="B668" s="38" t="s">
        <v>847</v>
      </c>
      <c r="C668" s="38" t="s">
        <v>849</v>
      </c>
      <c r="D668" s="38"/>
      <c r="E668" s="42">
        <v>1</v>
      </c>
      <c r="F668" s="9"/>
      <c r="G668" s="8"/>
      <c r="H668" s="43">
        <v>12.95</v>
      </c>
      <c r="I668" s="19">
        <f t="shared" si="29"/>
        <v>0</v>
      </c>
    </row>
    <row r="669" spans="1:9" hidden="1">
      <c r="A669" s="40" t="s">
        <v>723</v>
      </c>
      <c r="B669" s="38" t="s">
        <v>850</v>
      </c>
      <c r="C669" s="38" t="s">
        <v>851</v>
      </c>
      <c r="D669" s="38"/>
      <c r="E669" s="42">
        <v>1</v>
      </c>
      <c r="F669" s="9"/>
      <c r="G669" s="8"/>
      <c r="H669" s="43">
        <v>10.49</v>
      </c>
      <c r="I669" s="19">
        <f t="shared" si="29"/>
        <v>0</v>
      </c>
    </row>
    <row r="670" spans="1:9" hidden="1">
      <c r="A670" s="40" t="s">
        <v>723</v>
      </c>
      <c r="B670" s="38" t="s">
        <v>850</v>
      </c>
      <c r="C670" s="38" t="s">
        <v>852</v>
      </c>
      <c r="D670" s="38"/>
      <c r="E670" s="42">
        <v>1</v>
      </c>
      <c r="F670" s="9"/>
      <c r="G670" s="8"/>
      <c r="H670" s="43">
        <v>17.809999999999999</v>
      </c>
      <c r="I670" s="19">
        <f t="shared" si="29"/>
        <v>0</v>
      </c>
    </row>
    <row r="671" spans="1:9" hidden="1">
      <c r="A671" s="40" t="s">
        <v>723</v>
      </c>
      <c r="B671" s="38" t="s">
        <v>853</v>
      </c>
      <c r="C671" s="38" t="s">
        <v>854</v>
      </c>
      <c r="D671" s="38"/>
      <c r="E671" s="42">
        <v>1</v>
      </c>
      <c r="F671" s="9"/>
      <c r="G671" s="8"/>
      <c r="H671" s="43">
        <v>3.18</v>
      </c>
      <c r="I671" s="19">
        <f t="shared" si="29"/>
        <v>0</v>
      </c>
    </row>
    <row r="672" spans="1:9" hidden="1">
      <c r="A672" s="40" t="s">
        <v>723</v>
      </c>
      <c r="B672" s="38" t="s">
        <v>853</v>
      </c>
      <c r="C672" s="38" t="s">
        <v>855</v>
      </c>
      <c r="D672" s="38"/>
      <c r="E672" s="42">
        <v>1</v>
      </c>
      <c r="F672" s="9"/>
      <c r="G672" s="8"/>
      <c r="H672" s="43">
        <v>15.52</v>
      </c>
      <c r="I672" s="19">
        <f t="shared" si="29"/>
        <v>0</v>
      </c>
    </row>
    <row r="673" spans="1:14" hidden="1">
      <c r="A673" s="40" t="s">
        <v>723</v>
      </c>
      <c r="B673" s="38" t="s">
        <v>856</v>
      </c>
      <c r="C673" s="38" t="s">
        <v>857</v>
      </c>
      <c r="D673" s="38"/>
      <c r="E673" s="42">
        <v>1</v>
      </c>
      <c r="F673" s="9"/>
      <c r="G673" s="8"/>
      <c r="H673" s="43">
        <v>3.18</v>
      </c>
      <c r="I673" s="19">
        <f t="shared" si="29"/>
        <v>0</v>
      </c>
    </row>
    <row r="674" spans="1:14" hidden="1">
      <c r="A674" s="40" t="s">
        <v>723</v>
      </c>
      <c r="B674" s="38" t="s">
        <v>856</v>
      </c>
      <c r="C674" s="38" t="s">
        <v>858</v>
      </c>
      <c r="D674" s="38"/>
      <c r="E674" s="42">
        <v>1</v>
      </c>
      <c r="F674" s="9"/>
      <c r="G674" s="8"/>
      <c r="H674" s="43">
        <v>15.52</v>
      </c>
      <c r="I674" s="19">
        <f t="shared" si="29"/>
        <v>0</v>
      </c>
    </row>
    <row r="675" spans="1:14" hidden="1">
      <c r="A675" s="40" t="s">
        <v>723</v>
      </c>
      <c r="B675" s="38" t="s">
        <v>859</v>
      </c>
      <c r="C675" s="38" t="s">
        <v>860</v>
      </c>
      <c r="D675" s="38"/>
      <c r="E675" s="42">
        <v>1</v>
      </c>
      <c r="F675" s="9"/>
      <c r="G675" s="8"/>
      <c r="H675" s="43">
        <v>4.08</v>
      </c>
      <c r="I675" s="19">
        <f t="shared" si="29"/>
        <v>0</v>
      </c>
    </row>
    <row r="676" spans="1:14" hidden="1">
      <c r="A676" s="40" t="s">
        <v>723</v>
      </c>
      <c r="B676" s="38" t="s">
        <v>859</v>
      </c>
      <c r="C676" s="38" t="s">
        <v>861</v>
      </c>
      <c r="D676" s="38"/>
      <c r="E676" s="42">
        <v>1</v>
      </c>
      <c r="F676" s="9"/>
      <c r="G676" s="8"/>
      <c r="H676" s="43">
        <v>17.559999999999999</v>
      </c>
      <c r="I676" s="19">
        <f t="shared" si="29"/>
        <v>0</v>
      </c>
    </row>
    <row r="677" spans="1:14" hidden="1">
      <c r="A677" s="12" t="s">
        <v>862</v>
      </c>
      <c r="B677" s="38" t="s">
        <v>863</v>
      </c>
      <c r="C677" s="38" t="s">
        <v>864</v>
      </c>
      <c r="D677" s="38"/>
      <c r="E677" s="42">
        <v>1</v>
      </c>
      <c r="F677" s="9"/>
      <c r="G677" s="8">
        <f t="shared" ref="G677:G740" si="30">H677+(H677*5%)</f>
        <v>78.75</v>
      </c>
      <c r="H677" s="187">
        <v>75</v>
      </c>
      <c r="I677" s="19">
        <f>G677*F677</f>
        <v>0</v>
      </c>
      <c r="J677" s="63"/>
      <c r="L677" s="131"/>
      <c r="M677" s="131"/>
      <c r="N677" s="131"/>
    </row>
    <row r="678" spans="1:14" hidden="1">
      <c r="A678" s="12" t="s">
        <v>862</v>
      </c>
      <c r="B678" s="38" t="s">
        <v>865</v>
      </c>
      <c r="C678" s="38" t="s">
        <v>866</v>
      </c>
      <c r="D678" s="38"/>
      <c r="E678" s="42">
        <v>1</v>
      </c>
      <c r="F678" s="9"/>
      <c r="G678" s="8">
        <f t="shared" si="30"/>
        <v>91.875</v>
      </c>
      <c r="H678" s="187">
        <v>87.5</v>
      </c>
      <c r="I678" s="19">
        <f t="shared" ref="I678:I741" si="31">G678*F678</f>
        <v>0</v>
      </c>
      <c r="L678" s="131"/>
      <c r="M678" s="131"/>
      <c r="N678" s="131"/>
    </row>
    <row r="679" spans="1:14" hidden="1">
      <c r="A679" s="12" t="s">
        <v>862</v>
      </c>
      <c r="B679" s="38" t="s">
        <v>867</v>
      </c>
      <c r="C679" s="38" t="s">
        <v>868</v>
      </c>
      <c r="D679" s="38"/>
      <c r="E679" s="42">
        <v>1</v>
      </c>
      <c r="F679" s="9"/>
      <c r="G679" s="8">
        <f t="shared" si="30"/>
        <v>236.25</v>
      </c>
      <c r="H679" s="187">
        <v>225</v>
      </c>
      <c r="I679" s="19">
        <f t="shared" si="31"/>
        <v>0</v>
      </c>
      <c r="L679" s="131"/>
      <c r="M679" s="131"/>
      <c r="N679" s="131"/>
    </row>
    <row r="680" spans="1:14" hidden="1">
      <c r="A680" s="12" t="s">
        <v>862</v>
      </c>
      <c r="B680" s="38" t="s">
        <v>869</v>
      </c>
      <c r="C680" s="38" t="s">
        <v>870</v>
      </c>
      <c r="D680" s="38"/>
      <c r="E680" s="42">
        <v>1</v>
      </c>
      <c r="F680" s="9"/>
      <c r="G680" s="8">
        <f t="shared" si="30"/>
        <v>236.25</v>
      </c>
      <c r="H680" s="187">
        <v>225</v>
      </c>
      <c r="I680" s="19">
        <f t="shared" si="31"/>
        <v>0</v>
      </c>
      <c r="L680" s="131"/>
      <c r="M680" s="131"/>
      <c r="N680" s="131"/>
    </row>
    <row r="681" spans="1:14" hidden="1">
      <c r="A681" s="12" t="s">
        <v>862</v>
      </c>
      <c r="B681" s="38" t="s">
        <v>871</v>
      </c>
      <c r="C681" s="38" t="s">
        <v>872</v>
      </c>
      <c r="D681" s="38"/>
      <c r="E681" s="42">
        <v>1</v>
      </c>
      <c r="F681" s="9"/>
      <c r="G681" s="8">
        <f t="shared" si="30"/>
        <v>9.3187499999999996</v>
      </c>
      <c r="H681" s="187">
        <v>8.875</v>
      </c>
      <c r="I681" s="19">
        <f t="shared" si="31"/>
        <v>0</v>
      </c>
      <c r="L681" s="131"/>
      <c r="M681" s="131"/>
      <c r="N681" s="131"/>
    </row>
    <row r="682" spans="1:14" hidden="1">
      <c r="A682" s="12" t="s">
        <v>862</v>
      </c>
      <c r="B682" s="38" t="s">
        <v>873</v>
      </c>
      <c r="C682" s="38" t="s">
        <v>874</v>
      </c>
      <c r="D682" s="38"/>
      <c r="E682" s="42">
        <v>1</v>
      </c>
      <c r="F682" s="9"/>
      <c r="G682" s="8">
        <f t="shared" si="30"/>
        <v>0.49087500000000001</v>
      </c>
      <c r="H682" s="187">
        <v>0.46750000000000003</v>
      </c>
      <c r="I682" s="19">
        <f t="shared" si="31"/>
        <v>0</v>
      </c>
      <c r="L682" s="131"/>
      <c r="M682" s="131"/>
      <c r="N682" s="131"/>
    </row>
    <row r="683" spans="1:14" hidden="1">
      <c r="A683" s="12" t="s">
        <v>862</v>
      </c>
      <c r="B683" s="38" t="s">
        <v>875</v>
      </c>
      <c r="C683" s="38" t="s">
        <v>876</v>
      </c>
      <c r="D683" s="38"/>
      <c r="E683" s="42">
        <v>1</v>
      </c>
      <c r="F683" s="9"/>
      <c r="G683" s="8">
        <f t="shared" si="30"/>
        <v>9.4500000000000001E-3</v>
      </c>
      <c r="H683" s="187">
        <v>8.9999999999999993E-3</v>
      </c>
      <c r="I683" s="19">
        <f t="shared" si="31"/>
        <v>0</v>
      </c>
      <c r="L683" s="131"/>
      <c r="M683" s="131"/>
      <c r="N683" s="131"/>
    </row>
    <row r="684" spans="1:14" hidden="1">
      <c r="A684" s="12" t="s">
        <v>862</v>
      </c>
      <c r="B684" s="38" t="s">
        <v>877</v>
      </c>
      <c r="C684" s="38" t="s">
        <v>878</v>
      </c>
      <c r="D684" s="38"/>
      <c r="E684" s="42">
        <v>1</v>
      </c>
      <c r="F684" s="9"/>
      <c r="G684" s="8">
        <f t="shared" si="30"/>
        <v>6.8249999999999995E-3</v>
      </c>
      <c r="H684" s="187">
        <v>6.4999999999999997E-3</v>
      </c>
      <c r="I684" s="19">
        <f t="shared" si="31"/>
        <v>0</v>
      </c>
      <c r="L684" s="131"/>
      <c r="M684" s="131"/>
      <c r="N684" s="131"/>
    </row>
    <row r="685" spans="1:14" hidden="1">
      <c r="A685" s="12" t="s">
        <v>862</v>
      </c>
      <c r="B685" s="38" t="s">
        <v>879</v>
      </c>
      <c r="C685" s="38" t="s">
        <v>880</v>
      </c>
      <c r="D685" s="38"/>
      <c r="E685" s="42">
        <v>1</v>
      </c>
      <c r="F685" s="9"/>
      <c r="G685" s="8">
        <f t="shared" si="30"/>
        <v>24.141074999999997</v>
      </c>
      <c r="H685" s="187">
        <v>22.991499999999998</v>
      </c>
      <c r="I685" s="19">
        <f t="shared" si="31"/>
        <v>0</v>
      </c>
      <c r="L685" s="131"/>
      <c r="M685" s="131"/>
      <c r="N685" s="131"/>
    </row>
    <row r="686" spans="1:14" hidden="1">
      <c r="A686" s="12" t="s">
        <v>862</v>
      </c>
      <c r="B686" s="38" t="s">
        <v>881</v>
      </c>
      <c r="C686" s="38" t="s">
        <v>882</v>
      </c>
      <c r="D686" s="38"/>
      <c r="E686" s="42">
        <v>1</v>
      </c>
      <c r="F686" s="9"/>
      <c r="G686" s="8">
        <f t="shared" si="30"/>
        <v>27.1845</v>
      </c>
      <c r="H686" s="187">
        <v>25.89</v>
      </c>
      <c r="I686" s="19">
        <f t="shared" si="31"/>
        <v>0</v>
      </c>
      <c r="L686" s="131"/>
      <c r="M686" s="131"/>
      <c r="N686" s="131"/>
    </row>
    <row r="687" spans="1:14" hidden="1">
      <c r="A687" s="12" t="s">
        <v>862</v>
      </c>
      <c r="B687" s="38" t="s">
        <v>883</v>
      </c>
      <c r="C687" s="38" t="s">
        <v>884</v>
      </c>
      <c r="D687" s="38"/>
      <c r="E687" s="42">
        <v>1</v>
      </c>
      <c r="F687" s="9"/>
      <c r="G687" s="8">
        <f t="shared" si="30"/>
        <v>27.168749999999999</v>
      </c>
      <c r="H687" s="187">
        <v>25.875</v>
      </c>
      <c r="I687" s="19">
        <f t="shared" si="31"/>
        <v>0</v>
      </c>
      <c r="L687" s="131"/>
      <c r="M687" s="131"/>
      <c r="N687" s="131"/>
    </row>
    <row r="688" spans="1:14" hidden="1">
      <c r="A688" s="12" t="s">
        <v>862</v>
      </c>
      <c r="B688" s="38" t="s">
        <v>885</v>
      </c>
      <c r="C688" s="38" t="s">
        <v>886</v>
      </c>
      <c r="D688" s="38"/>
      <c r="E688" s="42">
        <v>1</v>
      </c>
      <c r="F688" s="9"/>
      <c r="G688" s="8">
        <f t="shared" si="30"/>
        <v>27.168749999999999</v>
      </c>
      <c r="H688" s="187">
        <v>25.875</v>
      </c>
      <c r="I688" s="19">
        <f t="shared" si="31"/>
        <v>0</v>
      </c>
      <c r="L688" s="131"/>
      <c r="M688" s="131"/>
      <c r="N688" s="131"/>
    </row>
    <row r="689" spans="1:14" hidden="1">
      <c r="A689" s="12" t="s">
        <v>862</v>
      </c>
      <c r="B689" s="38" t="s">
        <v>887</v>
      </c>
      <c r="C689" s="38" t="s">
        <v>888</v>
      </c>
      <c r="D689" s="38"/>
      <c r="E689" s="42">
        <v>1</v>
      </c>
      <c r="F689" s="9"/>
      <c r="G689" s="8">
        <f t="shared" si="30"/>
        <v>24.141074999999997</v>
      </c>
      <c r="H689" s="187">
        <v>22.991499999999998</v>
      </c>
      <c r="I689" s="19">
        <f t="shared" si="31"/>
        <v>0</v>
      </c>
      <c r="L689" s="131"/>
      <c r="M689" s="131"/>
      <c r="N689" s="131"/>
    </row>
    <row r="690" spans="1:14" hidden="1">
      <c r="A690" s="12" t="s">
        <v>862</v>
      </c>
      <c r="B690" s="38" t="s">
        <v>889</v>
      </c>
      <c r="C690" s="38" t="s">
        <v>890</v>
      </c>
      <c r="D690" s="38"/>
      <c r="E690" s="42">
        <v>1</v>
      </c>
      <c r="F690" s="9"/>
      <c r="G690" s="8">
        <f t="shared" si="30"/>
        <v>27.1845</v>
      </c>
      <c r="H690" s="187">
        <v>25.89</v>
      </c>
      <c r="I690" s="19">
        <f t="shared" si="31"/>
        <v>0</v>
      </c>
      <c r="L690" s="131"/>
      <c r="M690" s="131"/>
      <c r="N690" s="131"/>
    </row>
    <row r="691" spans="1:14" hidden="1">
      <c r="A691" s="12" t="s">
        <v>862</v>
      </c>
      <c r="B691" s="38" t="s">
        <v>891</v>
      </c>
      <c r="C691" s="38" t="s">
        <v>892</v>
      </c>
      <c r="D691" s="38"/>
      <c r="E691" s="42">
        <v>1</v>
      </c>
      <c r="F691" s="9"/>
      <c r="G691" s="8">
        <f t="shared" si="30"/>
        <v>27.168749999999999</v>
      </c>
      <c r="H691" s="187">
        <v>25.875</v>
      </c>
      <c r="I691" s="19">
        <f t="shared" si="31"/>
        <v>0</v>
      </c>
      <c r="L691" s="131"/>
      <c r="M691" s="131"/>
      <c r="N691" s="131"/>
    </row>
    <row r="692" spans="1:14" hidden="1">
      <c r="A692" s="12" t="s">
        <v>862</v>
      </c>
      <c r="B692" s="38" t="s">
        <v>893</v>
      </c>
      <c r="C692" s="38" t="s">
        <v>894</v>
      </c>
      <c r="D692" s="38"/>
      <c r="E692" s="42">
        <v>1</v>
      </c>
      <c r="F692" s="9"/>
      <c r="G692" s="8">
        <f t="shared" si="30"/>
        <v>27.1845</v>
      </c>
      <c r="H692" s="187">
        <v>25.89</v>
      </c>
      <c r="I692" s="19">
        <f t="shared" si="31"/>
        <v>0</v>
      </c>
      <c r="L692" s="131"/>
      <c r="M692" s="131"/>
      <c r="N692" s="131"/>
    </row>
    <row r="693" spans="1:14" hidden="1">
      <c r="A693" s="12" t="s">
        <v>862</v>
      </c>
      <c r="B693" s="38" t="s">
        <v>895</v>
      </c>
      <c r="C693" s="38" t="s">
        <v>896</v>
      </c>
      <c r="D693" s="38"/>
      <c r="E693" s="42">
        <v>1</v>
      </c>
      <c r="F693" s="9"/>
      <c r="G693" s="8">
        <f t="shared" si="30"/>
        <v>27.1845</v>
      </c>
      <c r="H693" s="187">
        <v>25.89</v>
      </c>
      <c r="I693" s="19">
        <f t="shared" si="31"/>
        <v>0</v>
      </c>
      <c r="L693" s="131"/>
      <c r="M693" s="131"/>
      <c r="N693" s="131"/>
    </row>
    <row r="694" spans="1:14" hidden="1">
      <c r="A694" s="12" t="s">
        <v>862</v>
      </c>
      <c r="B694" s="38" t="s">
        <v>897</v>
      </c>
      <c r="C694" s="38" t="s">
        <v>898</v>
      </c>
      <c r="D694" s="38"/>
      <c r="E694" s="42">
        <v>1</v>
      </c>
      <c r="F694" s="9"/>
      <c r="G694" s="8">
        <f t="shared" si="30"/>
        <v>27.168749999999999</v>
      </c>
      <c r="H694" s="187">
        <v>25.875</v>
      </c>
      <c r="I694" s="19">
        <f t="shared" si="31"/>
        <v>0</v>
      </c>
      <c r="L694" s="131"/>
      <c r="M694" s="131"/>
      <c r="N694" s="131"/>
    </row>
    <row r="695" spans="1:14" hidden="1">
      <c r="A695" s="12" t="s">
        <v>862</v>
      </c>
      <c r="B695" s="38" t="s">
        <v>899</v>
      </c>
      <c r="C695" s="38" t="s">
        <v>900</v>
      </c>
      <c r="D695" s="38"/>
      <c r="E695" s="42">
        <v>1</v>
      </c>
      <c r="F695" s="9"/>
      <c r="G695" s="8">
        <f t="shared" si="30"/>
        <v>27.1845</v>
      </c>
      <c r="H695" s="187">
        <v>25.89</v>
      </c>
      <c r="I695" s="19">
        <f t="shared" si="31"/>
        <v>0</v>
      </c>
      <c r="L695" s="131"/>
      <c r="M695" s="131"/>
      <c r="N695" s="131"/>
    </row>
    <row r="696" spans="1:14" hidden="1">
      <c r="A696" s="12" t="s">
        <v>862</v>
      </c>
      <c r="B696" s="38" t="s">
        <v>901</v>
      </c>
      <c r="C696" s="38" t="s">
        <v>902</v>
      </c>
      <c r="D696" s="38"/>
      <c r="E696" s="42">
        <v>1</v>
      </c>
      <c r="F696" s="9"/>
      <c r="G696" s="8">
        <f t="shared" si="30"/>
        <v>27.168749999999999</v>
      </c>
      <c r="H696" s="187">
        <v>25.875</v>
      </c>
      <c r="I696" s="19">
        <f t="shared" si="31"/>
        <v>0</v>
      </c>
      <c r="L696" s="131"/>
      <c r="M696" s="131"/>
      <c r="N696" s="131"/>
    </row>
    <row r="697" spans="1:14" hidden="1">
      <c r="A697" s="12" t="s">
        <v>862</v>
      </c>
      <c r="B697" s="38" t="s">
        <v>903</v>
      </c>
      <c r="C697" s="38" t="s">
        <v>904</v>
      </c>
      <c r="D697" s="38"/>
      <c r="E697" s="42">
        <v>1</v>
      </c>
      <c r="F697" s="9"/>
      <c r="G697" s="8">
        <f t="shared" si="30"/>
        <v>27.168749999999999</v>
      </c>
      <c r="H697" s="187">
        <v>25.875</v>
      </c>
      <c r="I697" s="19">
        <f t="shared" si="31"/>
        <v>0</v>
      </c>
      <c r="L697" s="131"/>
      <c r="M697" s="131"/>
      <c r="N697" s="131"/>
    </row>
    <row r="698" spans="1:14" hidden="1">
      <c r="A698" s="12" t="s">
        <v>862</v>
      </c>
      <c r="B698" s="38" t="s">
        <v>905</v>
      </c>
      <c r="C698" s="38" t="s">
        <v>906</v>
      </c>
      <c r="D698" s="38"/>
      <c r="E698" s="42">
        <v>1</v>
      </c>
      <c r="F698" s="9"/>
      <c r="G698" s="8">
        <f t="shared" si="30"/>
        <v>27.1845</v>
      </c>
      <c r="H698" s="187">
        <v>25.89</v>
      </c>
      <c r="I698" s="19">
        <f t="shared" si="31"/>
        <v>0</v>
      </c>
      <c r="L698" s="131"/>
      <c r="M698" s="131"/>
      <c r="N698" s="131"/>
    </row>
    <row r="699" spans="1:14" hidden="1">
      <c r="A699" s="12" t="s">
        <v>862</v>
      </c>
      <c r="B699" s="38" t="s">
        <v>907</v>
      </c>
      <c r="C699" s="38" t="s">
        <v>908</v>
      </c>
      <c r="D699" s="38"/>
      <c r="E699" s="42">
        <v>1</v>
      </c>
      <c r="F699" s="9"/>
      <c r="G699" s="8">
        <f t="shared" si="30"/>
        <v>27.1845</v>
      </c>
      <c r="H699" s="187">
        <v>25.89</v>
      </c>
      <c r="I699" s="19">
        <f t="shared" si="31"/>
        <v>0</v>
      </c>
      <c r="L699" s="131"/>
      <c r="M699" s="131"/>
      <c r="N699" s="131"/>
    </row>
    <row r="700" spans="1:14" hidden="1">
      <c r="A700" s="12" t="s">
        <v>862</v>
      </c>
      <c r="B700" s="38" t="s">
        <v>909</v>
      </c>
      <c r="C700" s="38" t="s">
        <v>910</v>
      </c>
      <c r="D700" s="38"/>
      <c r="E700" s="42">
        <v>1</v>
      </c>
      <c r="F700" s="9"/>
      <c r="G700" s="8">
        <f t="shared" si="30"/>
        <v>27.1845</v>
      </c>
      <c r="H700" s="187">
        <v>25.89</v>
      </c>
      <c r="I700" s="19">
        <f t="shared" si="31"/>
        <v>0</v>
      </c>
      <c r="L700" s="131"/>
      <c r="M700" s="131"/>
      <c r="N700" s="131"/>
    </row>
    <row r="701" spans="1:14" hidden="1">
      <c r="A701" s="12" t="s">
        <v>862</v>
      </c>
      <c r="B701" s="38" t="s">
        <v>911</v>
      </c>
      <c r="C701" s="38" t="s">
        <v>912</v>
      </c>
      <c r="D701" s="38"/>
      <c r="E701" s="42">
        <v>1</v>
      </c>
      <c r="F701" s="9"/>
      <c r="G701" s="8">
        <f t="shared" si="30"/>
        <v>27.168749999999999</v>
      </c>
      <c r="H701" s="187">
        <v>25.875</v>
      </c>
      <c r="I701" s="19">
        <f t="shared" si="31"/>
        <v>0</v>
      </c>
      <c r="L701" s="131"/>
      <c r="M701" s="131"/>
      <c r="N701" s="131"/>
    </row>
    <row r="702" spans="1:14" hidden="1">
      <c r="A702" s="12" t="s">
        <v>862</v>
      </c>
      <c r="B702" s="38" t="s">
        <v>913</v>
      </c>
      <c r="C702" s="38" t="s">
        <v>914</v>
      </c>
      <c r="D702" s="38"/>
      <c r="E702" s="42">
        <v>1</v>
      </c>
      <c r="F702" s="9"/>
      <c r="G702" s="8">
        <f t="shared" si="30"/>
        <v>27.168749999999999</v>
      </c>
      <c r="H702" s="187">
        <v>25.875</v>
      </c>
      <c r="I702" s="19">
        <f t="shared" si="31"/>
        <v>0</v>
      </c>
      <c r="L702" s="131"/>
      <c r="M702" s="131"/>
      <c r="N702" s="131"/>
    </row>
    <row r="703" spans="1:14" hidden="1">
      <c r="A703" s="12" t="s">
        <v>862</v>
      </c>
      <c r="B703" s="38" t="s">
        <v>915</v>
      </c>
      <c r="C703" s="38" t="s">
        <v>916</v>
      </c>
      <c r="D703" s="38"/>
      <c r="E703" s="42">
        <v>1</v>
      </c>
      <c r="F703" s="9"/>
      <c r="G703" s="8">
        <f t="shared" si="30"/>
        <v>27.168749999999999</v>
      </c>
      <c r="H703" s="187">
        <v>25.875</v>
      </c>
      <c r="I703" s="19">
        <f t="shared" si="31"/>
        <v>0</v>
      </c>
      <c r="L703" s="131"/>
      <c r="M703" s="131"/>
      <c r="N703" s="131"/>
    </row>
    <row r="704" spans="1:14" hidden="1">
      <c r="A704" s="12" t="s">
        <v>862</v>
      </c>
      <c r="B704" s="38" t="s">
        <v>917</v>
      </c>
      <c r="C704" s="38" t="s">
        <v>918</v>
      </c>
      <c r="D704" s="38"/>
      <c r="E704" s="42">
        <v>1</v>
      </c>
      <c r="F704" s="9"/>
      <c r="G704" s="8">
        <f t="shared" si="30"/>
        <v>27.168749999999999</v>
      </c>
      <c r="H704" s="187">
        <v>25.875</v>
      </c>
      <c r="I704" s="19">
        <f t="shared" si="31"/>
        <v>0</v>
      </c>
      <c r="L704" s="131"/>
      <c r="M704" s="131"/>
      <c r="N704" s="131"/>
    </row>
    <row r="705" spans="1:14" hidden="1">
      <c r="A705" s="12" t="s">
        <v>862</v>
      </c>
      <c r="B705" s="38" t="s">
        <v>919</v>
      </c>
      <c r="C705" s="38" t="s">
        <v>920</v>
      </c>
      <c r="D705" s="38"/>
      <c r="E705" s="42">
        <v>1</v>
      </c>
      <c r="F705" s="9"/>
      <c r="G705" s="8">
        <f t="shared" si="30"/>
        <v>27.1845</v>
      </c>
      <c r="H705" s="187">
        <v>25.89</v>
      </c>
      <c r="I705" s="19">
        <f t="shared" si="31"/>
        <v>0</v>
      </c>
      <c r="L705" s="131"/>
      <c r="M705" s="131"/>
      <c r="N705" s="131"/>
    </row>
    <row r="706" spans="1:14" hidden="1">
      <c r="A706" s="12" t="s">
        <v>862</v>
      </c>
      <c r="B706" s="38" t="s">
        <v>921</v>
      </c>
      <c r="C706" s="38" t="s">
        <v>922</v>
      </c>
      <c r="D706" s="38"/>
      <c r="E706" s="42">
        <v>1</v>
      </c>
      <c r="F706" s="9"/>
      <c r="G706" s="8">
        <f t="shared" si="30"/>
        <v>0.10500000000000001</v>
      </c>
      <c r="H706" s="187">
        <v>0.1</v>
      </c>
      <c r="I706" s="19">
        <f t="shared" si="31"/>
        <v>0</v>
      </c>
      <c r="L706" s="131"/>
      <c r="M706" s="131"/>
      <c r="N706" s="131"/>
    </row>
    <row r="707" spans="1:14" hidden="1">
      <c r="A707" s="12" t="s">
        <v>862</v>
      </c>
      <c r="B707" s="38" t="s">
        <v>923</v>
      </c>
      <c r="C707" s="38" t="s">
        <v>924</v>
      </c>
      <c r="D707" s="38"/>
      <c r="E707" s="42">
        <v>1</v>
      </c>
      <c r="F707" s="9"/>
      <c r="G707" s="8">
        <f t="shared" si="30"/>
        <v>5.7177749999999996</v>
      </c>
      <c r="H707" s="187">
        <v>5.4455</v>
      </c>
      <c r="I707" s="19">
        <f t="shared" si="31"/>
        <v>0</v>
      </c>
      <c r="L707" s="131"/>
      <c r="M707" s="131"/>
      <c r="N707" s="131"/>
    </row>
    <row r="708" spans="1:14" hidden="1">
      <c r="A708" s="12" t="s">
        <v>862</v>
      </c>
      <c r="B708" s="38" t="s">
        <v>925</v>
      </c>
      <c r="C708" s="38" t="s">
        <v>926</v>
      </c>
      <c r="D708" s="38"/>
      <c r="E708" s="42">
        <v>1</v>
      </c>
      <c r="F708" s="9"/>
      <c r="G708" s="8">
        <f t="shared" si="30"/>
        <v>5.7177749999999996</v>
      </c>
      <c r="H708" s="187">
        <v>5.4455</v>
      </c>
      <c r="I708" s="19">
        <f t="shared" si="31"/>
        <v>0</v>
      </c>
      <c r="L708" s="131"/>
      <c r="M708" s="131"/>
      <c r="N708" s="131"/>
    </row>
    <row r="709" spans="1:14" hidden="1">
      <c r="A709" s="12" t="s">
        <v>862</v>
      </c>
      <c r="B709" s="38" t="s">
        <v>927</v>
      </c>
      <c r="C709" s="38" t="s">
        <v>928</v>
      </c>
      <c r="D709" s="38"/>
      <c r="E709" s="42">
        <v>1</v>
      </c>
      <c r="F709" s="9"/>
      <c r="G709" s="8">
        <f t="shared" si="30"/>
        <v>6.4627500000000007</v>
      </c>
      <c r="H709" s="187">
        <v>6.1550000000000002</v>
      </c>
      <c r="I709" s="19">
        <f t="shared" si="31"/>
        <v>0</v>
      </c>
      <c r="L709" s="131"/>
      <c r="M709" s="131"/>
      <c r="N709" s="131"/>
    </row>
    <row r="710" spans="1:14" hidden="1">
      <c r="A710" s="12" t="s">
        <v>862</v>
      </c>
      <c r="B710" s="38" t="s">
        <v>929</v>
      </c>
      <c r="C710" s="38" t="s">
        <v>930</v>
      </c>
      <c r="D710" s="38"/>
      <c r="E710" s="42">
        <v>1</v>
      </c>
      <c r="F710" s="9"/>
      <c r="G710" s="8">
        <f t="shared" si="30"/>
        <v>6.4627500000000007</v>
      </c>
      <c r="H710" s="187">
        <v>6.1550000000000002</v>
      </c>
      <c r="I710" s="19">
        <f t="shared" si="31"/>
        <v>0</v>
      </c>
      <c r="L710" s="131"/>
      <c r="M710" s="131"/>
      <c r="N710" s="131"/>
    </row>
    <row r="711" spans="1:14" hidden="1">
      <c r="A711" s="12" t="s">
        <v>862</v>
      </c>
      <c r="B711" s="38" t="s">
        <v>931</v>
      </c>
      <c r="C711" s="38" t="s">
        <v>932</v>
      </c>
      <c r="D711" s="38"/>
      <c r="E711" s="42">
        <v>1</v>
      </c>
      <c r="F711" s="9"/>
      <c r="G711" s="8">
        <f t="shared" si="30"/>
        <v>6.9153000000000002</v>
      </c>
      <c r="H711" s="187">
        <v>6.5860000000000003</v>
      </c>
      <c r="I711" s="19">
        <f t="shared" si="31"/>
        <v>0</v>
      </c>
      <c r="L711" s="131"/>
      <c r="M711" s="131"/>
      <c r="N711" s="131"/>
    </row>
    <row r="712" spans="1:14" hidden="1">
      <c r="A712" s="12" t="s">
        <v>862</v>
      </c>
      <c r="B712" s="38" t="s">
        <v>933</v>
      </c>
      <c r="C712" s="38" t="s">
        <v>934</v>
      </c>
      <c r="D712" s="38"/>
      <c r="E712" s="42">
        <v>1</v>
      </c>
      <c r="F712" s="9"/>
      <c r="G712" s="8">
        <f t="shared" si="30"/>
        <v>6.9153000000000002</v>
      </c>
      <c r="H712" s="187">
        <v>6.5860000000000003</v>
      </c>
      <c r="I712" s="19">
        <f t="shared" si="31"/>
        <v>0</v>
      </c>
      <c r="L712" s="131"/>
      <c r="M712" s="131"/>
      <c r="N712" s="131"/>
    </row>
    <row r="713" spans="1:14" hidden="1">
      <c r="A713" s="12" t="s">
        <v>862</v>
      </c>
      <c r="B713" s="38" t="s">
        <v>935</v>
      </c>
      <c r="C713" s="38" t="s">
        <v>936</v>
      </c>
      <c r="D713" s="38"/>
      <c r="E713" s="42">
        <v>1</v>
      </c>
      <c r="F713" s="9"/>
      <c r="G713" s="8">
        <f t="shared" si="30"/>
        <v>6.4811250000000005</v>
      </c>
      <c r="H713" s="187">
        <v>6.1725000000000003</v>
      </c>
      <c r="I713" s="19">
        <f t="shared" si="31"/>
        <v>0</v>
      </c>
      <c r="L713" s="131"/>
      <c r="M713" s="131"/>
      <c r="N713" s="131"/>
    </row>
    <row r="714" spans="1:14" hidden="1">
      <c r="A714" s="12" t="s">
        <v>862</v>
      </c>
      <c r="B714" s="38" t="s">
        <v>937</v>
      </c>
      <c r="C714" s="38" t="s">
        <v>938</v>
      </c>
      <c r="D714" s="38"/>
      <c r="E714" s="42">
        <v>1</v>
      </c>
      <c r="F714" s="9"/>
      <c r="G714" s="8">
        <f t="shared" si="30"/>
        <v>6.4811250000000005</v>
      </c>
      <c r="H714" s="187">
        <v>6.1725000000000003</v>
      </c>
      <c r="I714" s="19">
        <f t="shared" si="31"/>
        <v>0</v>
      </c>
      <c r="L714" s="131"/>
      <c r="M714" s="131"/>
      <c r="N714" s="131"/>
    </row>
    <row r="715" spans="1:14" hidden="1">
      <c r="A715" s="12" t="s">
        <v>862</v>
      </c>
      <c r="B715" s="38" t="s">
        <v>939</v>
      </c>
      <c r="C715" s="38" t="s">
        <v>940</v>
      </c>
      <c r="D715" s="38"/>
      <c r="E715" s="42">
        <v>1</v>
      </c>
      <c r="F715" s="9"/>
      <c r="G715" s="8">
        <f t="shared" si="30"/>
        <v>1.2731249999999998</v>
      </c>
      <c r="H715" s="187">
        <v>1.2124999999999999</v>
      </c>
      <c r="I715" s="19">
        <f t="shared" si="31"/>
        <v>0</v>
      </c>
      <c r="L715" s="131"/>
      <c r="M715" s="131"/>
      <c r="N715" s="131"/>
    </row>
    <row r="716" spans="1:14" hidden="1">
      <c r="A716" s="12" t="s">
        <v>862</v>
      </c>
      <c r="B716" s="38" t="s">
        <v>941</v>
      </c>
      <c r="C716" s="38" t="s">
        <v>942</v>
      </c>
      <c r="D716" s="38"/>
      <c r="E716" s="42">
        <v>1</v>
      </c>
      <c r="F716" s="9"/>
      <c r="G716" s="8">
        <f t="shared" si="30"/>
        <v>1.8716249999999999</v>
      </c>
      <c r="H716" s="187">
        <v>1.7825</v>
      </c>
      <c r="I716" s="19">
        <f t="shared" si="31"/>
        <v>0</v>
      </c>
      <c r="L716" s="131"/>
      <c r="M716" s="131"/>
      <c r="N716" s="131"/>
    </row>
    <row r="717" spans="1:14" hidden="1">
      <c r="A717" s="12" t="s">
        <v>862</v>
      </c>
      <c r="B717" s="97" t="s">
        <v>943</v>
      </c>
      <c r="C717" s="98" t="s">
        <v>944</v>
      </c>
      <c r="D717" s="38" t="s">
        <v>945</v>
      </c>
      <c r="E717" s="42">
        <v>1</v>
      </c>
      <c r="F717" s="9"/>
      <c r="G717" s="8">
        <f t="shared" si="30"/>
        <v>15.865499999999999</v>
      </c>
      <c r="H717" s="187">
        <v>15.11</v>
      </c>
      <c r="I717" s="19">
        <f t="shared" si="31"/>
        <v>0</v>
      </c>
      <c r="L717" s="131"/>
      <c r="M717" s="131"/>
      <c r="N717" s="131"/>
    </row>
    <row r="718" spans="1:14" hidden="1">
      <c r="A718" s="12" t="s">
        <v>862</v>
      </c>
      <c r="B718" s="38" t="s">
        <v>946</v>
      </c>
      <c r="C718" s="38" t="s">
        <v>947</v>
      </c>
      <c r="D718" s="38"/>
      <c r="E718" s="42">
        <v>1</v>
      </c>
      <c r="F718" s="9"/>
      <c r="G718" s="8">
        <f t="shared" si="30"/>
        <v>0.29505000000000003</v>
      </c>
      <c r="H718" s="187">
        <v>0.28100000000000003</v>
      </c>
      <c r="I718" s="19">
        <f t="shared" si="31"/>
        <v>0</v>
      </c>
      <c r="L718" s="131"/>
      <c r="M718" s="131"/>
      <c r="N718" s="131"/>
    </row>
    <row r="719" spans="1:14" hidden="1">
      <c r="A719" s="12" t="s">
        <v>862</v>
      </c>
      <c r="B719" s="97" t="s">
        <v>948</v>
      </c>
      <c r="C719" s="98" t="s">
        <v>949</v>
      </c>
      <c r="D719" s="38"/>
      <c r="E719" s="42">
        <v>1</v>
      </c>
      <c r="F719" s="9"/>
      <c r="G719" s="8">
        <f t="shared" si="30"/>
        <v>0.51659999999999995</v>
      </c>
      <c r="H719" s="187">
        <v>0.49199999999999999</v>
      </c>
      <c r="I719" s="19">
        <f t="shared" si="31"/>
        <v>0</v>
      </c>
      <c r="L719" s="131"/>
      <c r="M719" s="131"/>
      <c r="N719" s="131"/>
    </row>
    <row r="720" spans="1:14" hidden="1">
      <c r="A720" s="12" t="s">
        <v>862</v>
      </c>
      <c r="B720" s="38" t="s">
        <v>950</v>
      </c>
      <c r="C720" s="38" t="s">
        <v>951</v>
      </c>
      <c r="D720" s="38"/>
      <c r="E720" s="42">
        <v>1</v>
      </c>
      <c r="F720" s="9"/>
      <c r="G720" s="8">
        <f t="shared" si="30"/>
        <v>0.51659999999999995</v>
      </c>
      <c r="H720" s="187">
        <v>0.49199999999999999</v>
      </c>
      <c r="I720" s="19">
        <f t="shared" si="31"/>
        <v>0</v>
      </c>
      <c r="L720" s="131"/>
      <c r="M720" s="131"/>
      <c r="N720" s="131"/>
    </row>
    <row r="721" spans="1:14" hidden="1">
      <c r="A721" s="12" t="s">
        <v>862</v>
      </c>
      <c r="B721" s="97" t="s">
        <v>952</v>
      </c>
      <c r="C721" s="98" t="s">
        <v>953</v>
      </c>
      <c r="D721" s="38"/>
      <c r="E721" s="42">
        <v>1</v>
      </c>
      <c r="F721" s="9"/>
      <c r="G721" s="8">
        <f t="shared" si="30"/>
        <v>0.56857499999999994</v>
      </c>
      <c r="H721" s="187">
        <v>0.54149999999999998</v>
      </c>
      <c r="I721" s="19">
        <f t="shared" si="31"/>
        <v>0</v>
      </c>
      <c r="L721" s="131"/>
      <c r="M721" s="131"/>
      <c r="N721" s="131"/>
    </row>
    <row r="722" spans="1:14" hidden="1">
      <c r="A722" s="12" t="s">
        <v>862</v>
      </c>
      <c r="B722" s="38" t="s">
        <v>954</v>
      </c>
      <c r="C722" s="38" t="s">
        <v>955</v>
      </c>
      <c r="D722" s="38"/>
      <c r="E722" s="42">
        <v>1</v>
      </c>
      <c r="F722" s="9"/>
      <c r="G722" s="8">
        <f t="shared" si="30"/>
        <v>1.20855</v>
      </c>
      <c r="H722" s="187">
        <v>1.151</v>
      </c>
      <c r="I722" s="19">
        <f t="shared" si="31"/>
        <v>0</v>
      </c>
      <c r="L722" s="131"/>
      <c r="M722" s="131"/>
      <c r="N722" s="131"/>
    </row>
    <row r="723" spans="1:14" hidden="1">
      <c r="A723" s="12" t="s">
        <v>862</v>
      </c>
      <c r="B723" s="97" t="s">
        <v>956</v>
      </c>
      <c r="C723" s="98" t="s">
        <v>957</v>
      </c>
      <c r="D723" s="38"/>
      <c r="E723" s="42">
        <v>1</v>
      </c>
      <c r="F723" s="9"/>
      <c r="G723" s="8">
        <f t="shared" si="30"/>
        <v>0.58327499999999999</v>
      </c>
      <c r="H723" s="187">
        <v>0.55549999999999999</v>
      </c>
      <c r="I723" s="19">
        <f t="shared" si="31"/>
        <v>0</v>
      </c>
      <c r="L723" s="131"/>
      <c r="M723" s="131"/>
      <c r="N723" s="131"/>
    </row>
    <row r="724" spans="1:14" hidden="1">
      <c r="A724" s="12" t="s">
        <v>862</v>
      </c>
      <c r="B724" s="38" t="s">
        <v>958</v>
      </c>
      <c r="C724" s="38" t="s">
        <v>959</v>
      </c>
      <c r="D724" s="38"/>
      <c r="E724" s="42">
        <v>1</v>
      </c>
      <c r="F724" s="9"/>
      <c r="G724" s="8">
        <f t="shared" si="30"/>
        <v>1.6679250000000001</v>
      </c>
      <c r="H724" s="187">
        <v>1.5885</v>
      </c>
      <c r="I724" s="19">
        <f t="shared" si="31"/>
        <v>0</v>
      </c>
      <c r="L724" s="131"/>
      <c r="M724" s="131"/>
      <c r="N724" s="131"/>
    </row>
    <row r="725" spans="1:14" hidden="1">
      <c r="A725" s="12" t="s">
        <v>862</v>
      </c>
      <c r="B725" s="97" t="s">
        <v>960</v>
      </c>
      <c r="C725" s="98" t="s">
        <v>961</v>
      </c>
      <c r="D725" s="38"/>
      <c r="E725" s="42">
        <v>1</v>
      </c>
      <c r="F725" s="9"/>
      <c r="G725" s="8">
        <f t="shared" si="30"/>
        <v>1.0137750000000001</v>
      </c>
      <c r="H725" s="187">
        <v>0.96550000000000002</v>
      </c>
      <c r="I725" s="19">
        <f t="shared" si="31"/>
        <v>0</v>
      </c>
      <c r="L725" s="131"/>
      <c r="M725" s="131"/>
      <c r="N725" s="131"/>
    </row>
    <row r="726" spans="1:14" hidden="1">
      <c r="A726" s="12" t="s">
        <v>862</v>
      </c>
      <c r="B726" s="38" t="s">
        <v>962</v>
      </c>
      <c r="C726" s="38" t="s">
        <v>963</v>
      </c>
      <c r="D726" s="38"/>
      <c r="E726" s="42">
        <v>1</v>
      </c>
      <c r="F726" s="9"/>
      <c r="G726" s="8">
        <f t="shared" si="30"/>
        <v>2.3793000000000002</v>
      </c>
      <c r="H726" s="187">
        <v>2.266</v>
      </c>
      <c r="I726" s="19">
        <f t="shared" si="31"/>
        <v>0</v>
      </c>
      <c r="L726" s="131"/>
      <c r="M726" s="131"/>
      <c r="N726" s="131"/>
    </row>
    <row r="727" spans="1:14" hidden="1">
      <c r="A727" s="12" t="s">
        <v>862</v>
      </c>
      <c r="B727" s="97" t="s">
        <v>964</v>
      </c>
      <c r="C727" s="98" t="s">
        <v>965</v>
      </c>
      <c r="D727" s="38"/>
      <c r="E727" s="42">
        <v>1</v>
      </c>
      <c r="F727" s="9"/>
      <c r="G727" s="8">
        <f t="shared" si="30"/>
        <v>2.3793000000000002</v>
      </c>
      <c r="H727" s="187">
        <v>2.266</v>
      </c>
      <c r="I727" s="19">
        <f t="shared" si="31"/>
        <v>0</v>
      </c>
      <c r="L727" s="131"/>
      <c r="M727" s="131"/>
      <c r="N727" s="131"/>
    </row>
    <row r="728" spans="1:14" hidden="1">
      <c r="A728" s="12" t="s">
        <v>862</v>
      </c>
      <c r="B728" s="38" t="s">
        <v>966</v>
      </c>
      <c r="C728" s="38" t="s">
        <v>967</v>
      </c>
      <c r="D728" s="38"/>
      <c r="E728" s="42">
        <v>1</v>
      </c>
      <c r="F728" s="9"/>
      <c r="G728" s="8">
        <f t="shared" si="30"/>
        <v>1.4274749999999998</v>
      </c>
      <c r="H728" s="187">
        <v>1.3594999999999999</v>
      </c>
      <c r="I728" s="19">
        <f t="shared" si="31"/>
        <v>0</v>
      </c>
      <c r="L728" s="131"/>
      <c r="M728" s="131"/>
      <c r="N728" s="131"/>
    </row>
    <row r="729" spans="1:14" hidden="1">
      <c r="A729" s="12" t="s">
        <v>862</v>
      </c>
      <c r="B729" s="97" t="s">
        <v>968</v>
      </c>
      <c r="C729" s="98" t="s">
        <v>969</v>
      </c>
      <c r="D729" s="38"/>
      <c r="E729" s="42">
        <v>1</v>
      </c>
      <c r="F729" s="9"/>
      <c r="G729" s="8">
        <f t="shared" si="30"/>
        <v>1.4274749999999998</v>
      </c>
      <c r="H729" s="187">
        <v>1.3594999999999999</v>
      </c>
      <c r="I729" s="19">
        <f t="shared" si="31"/>
        <v>0</v>
      </c>
      <c r="L729" s="131"/>
      <c r="M729" s="131"/>
      <c r="N729" s="131"/>
    </row>
    <row r="730" spans="1:14" hidden="1">
      <c r="A730" s="12" t="s">
        <v>862</v>
      </c>
      <c r="B730" s="38" t="s">
        <v>970</v>
      </c>
      <c r="C730" s="38" t="s">
        <v>971</v>
      </c>
      <c r="D730" s="38"/>
      <c r="E730" s="42">
        <v>1</v>
      </c>
      <c r="F730" s="9"/>
      <c r="G730" s="8">
        <f t="shared" si="30"/>
        <v>5.779725</v>
      </c>
      <c r="H730" s="187">
        <v>5.5045000000000002</v>
      </c>
      <c r="I730" s="19">
        <f t="shared" si="31"/>
        <v>0</v>
      </c>
      <c r="L730" s="131"/>
      <c r="M730" s="131"/>
      <c r="N730" s="131"/>
    </row>
    <row r="731" spans="1:14" hidden="1">
      <c r="A731" s="12" t="s">
        <v>862</v>
      </c>
      <c r="B731" s="97" t="s">
        <v>972</v>
      </c>
      <c r="C731" s="98" t="s">
        <v>973</v>
      </c>
      <c r="D731" s="38"/>
      <c r="E731" s="42">
        <v>1</v>
      </c>
      <c r="F731" s="9"/>
      <c r="G731" s="8">
        <f t="shared" si="30"/>
        <v>5.6836500000000001</v>
      </c>
      <c r="H731" s="187">
        <v>5.4130000000000003</v>
      </c>
      <c r="I731" s="19">
        <f t="shared" si="31"/>
        <v>0</v>
      </c>
      <c r="L731" s="131"/>
      <c r="M731" s="131"/>
      <c r="N731" s="131"/>
    </row>
    <row r="732" spans="1:14" hidden="1">
      <c r="A732" s="12" t="s">
        <v>862</v>
      </c>
      <c r="B732" s="38" t="s">
        <v>974</v>
      </c>
      <c r="C732" s="38" t="s">
        <v>975</v>
      </c>
      <c r="D732" s="38"/>
      <c r="E732" s="42">
        <v>1</v>
      </c>
      <c r="F732" s="9"/>
      <c r="G732" s="8">
        <f t="shared" si="30"/>
        <v>3.105375</v>
      </c>
      <c r="H732" s="187">
        <v>2.9575</v>
      </c>
      <c r="I732" s="19">
        <f t="shared" si="31"/>
        <v>0</v>
      </c>
      <c r="L732" s="131"/>
      <c r="M732" s="131"/>
      <c r="N732" s="131"/>
    </row>
    <row r="733" spans="1:14" hidden="1">
      <c r="A733" s="12" t="s">
        <v>862</v>
      </c>
      <c r="B733" s="97" t="s">
        <v>976</v>
      </c>
      <c r="C733" s="98" t="s">
        <v>977</v>
      </c>
      <c r="D733" s="38"/>
      <c r="E733" s="42">
        <v>1</v>
      </c>
      <c r="F733" s="9"/>
      <c r="G733" s="8">
        <f t="shared" si="30"/>
        <v>2.8077000000000001</v>
      </c>
      <c r="H733" s="187">
        <v>2.6739999999999999</v>
      </c>
      <c r="I733" s="19">
        <f t="shared" si="31"/>
        <v>0</v>
      </c>
      <c r="L733" s="131"/>
      <c r="M733" s="131"/>
      <c r="N733" s="131"/>
    </row>
    <row r="734" spans="1:14" hidden="1">
      <c r="A734" s="12" t="s">
        <v>862</v>
      </c>
      <c r="B734" s="38" t="s">
        <v>978</v>
      </c>
      <c r="C734" s="38" t="s">
        <v>979</v>
      </c>
      <c r="D734" s="38"/>
      <c r="E734" s="42">
        <v>1</v>
      </c>
      <c r="F734" s="9"/>
      <c r="G734" s="8">
        <f t="shared" si="30"/>
        <v>1.4159250000000001</v>
      </c>
      <c r="H734" s="187">
        <v>1.3485</v>
      </c>
      <c r="I734" s="19">
        <f t="shared" si="31"/>
        <v>0</v>
      </c>
      <c r="L734" s="131"/>
      <c r="M734" s="131"/>
      <c r="N734" s="131"/>
    </row>
    <row r="735" spans="1:14" hidden="1">
      <c r="A735" s="12" t="s">
        <v>862</v>
      </c>
      <c r="B735" s="97" t="s">
        <v>980</v>
      </c>
      <c r="C735" s="98" t="s">
        <v>981</v>
      </c>
      <c r="D735" s="38"/>
      <c r="E735" s="42">
        <v>1</v>
      </c>
      <c r="F735" s="9"/>
      <c r="G735" s="8">
        <f t="shared" si="30"/>
        <v>1.4159250000000001</v>
      </c>
      <c r="H735" s="187">
        <v>1.3485</v>
      </c>
      <c r="I735" s="19">
        <f t="shared" si="31"/>
        <v>0</v>
      </c>
      <c r="L735" s="131"/>
      <c r="M735" s="131"/>
      <c r="N735" s="131"/>
    </row>
    <row r="736" spans="1:14" hidden="1">
      <c r="A736" s="12" t="s">
        <v>862</v>
      </c>
      <c r="B736" s="38" t="s">
        <v>982</v>
      </c>
      <c r="C736" s="38" t="s">
        <v>983</v>
      </c>
      <c r="D736" s="38"/>
      <c r="E736" s="42">
        <v>1</v>
      </c>
      <c r="F736" s="9"/>
      <c r="G736" s="8">
        <f t="shared" si="30"/>
        <v>0.144375</v>
      </c>
      <c r="H736" s="187">
        <v>0.13750000000000001</v>
      </c>
      <c r="I736" s="19">
        <f t="shared" si="31"/>
        <v>0</v>
      </c>
      <c r="L736" s="131"/>
      <c r="M736" s="131"/>
      <c r="N736" s="131"/>
    </row>
    <row r="737" spans="1:14" hidden="1">
      <c r="A737" s="12" t="s">
        <v>862</v>
      </c>
      <c r="B737" s="97" t="s">
        <v>984</v>
      </c>
      <c r="C737" s="98" t="s">
        <v>985</v>
      </c>
      <c r="D737" s="38"/>
      <c r="E737" s="42">
        <v>1</v>
      </c>
      <c r="F737" s="9"/>
      <c r="G737" s="8">
        <f t="shared" si="30"/>
        <v>11.188275000000001</v>
      </c>
      <c r="H737" s="187">
        <v>10.6555</v>
      </c>
      <c r="I737" s="19">
        <f t="shared" si="31"/>
        <v>0</v>
      </c>
      <c r="L737" s="131"/>
      <c r="M737" s="131"/>
      <c r="N737" s="131"/>
    </row>
    <row r="738" spans="1:14" hidden="1">
      <c r="A738" s="12" t="s">
        <v>862</v>
      </c>
      <c r="B738" s="38" t="s">
        <v>986</v>
      </c>
      <c r="C738" s="38" t="s">
        <v>987</v>
      </c>
      <c r="D738" s="38"/>
      <c r="E738" s="42">
        <v>1</v>
      </c>
      <c r="F738" s="9"/>
      <c r="G738" s="8">
        <f t="shared" si="30"/>
        <v>21.8064</v>
      </c>
      <c r="H738" s="187">
        <v>20.768000000000001</v>
      </c>
      <c r="I738" s="19">
        <f t="shared" si="31"/>
        <v>0</v>
      </c>
      <c r="L738" s="131"/>
      <c r="M738" s="131"/>
      <c r="N738" s="131"/>
    </row>
    <row r="739" spans="1:14" hidden="1">
      <c r="A739" s="12" t="s">
        <v>862</v>
      </c>
      <c r="B739" s="97" t="s">
        <v>988</v>
      </c>
      <c r="C739" s="98" t="s">
        <v>989</v>
      </c>
      <c r="D739" s="99"/>
      <c r="E739" s="42">
        <v>1</v>
      </c>
      <c r="F739" s="9"/>
      <c r="G739" s="8">
        <f t="shared" si="30"/>
        <v>1.365</v>
      </c>
      <c r="H739" s="187">
        <v>1.3</v>
      </c>
      <c r="I739" s="19">
        <f t="shared" si="31"/>
        <v>0</v>
      </c>
      <c r="L739" s="131"/>
      <c r="M739" s="131"/>
      <c r="N739" s="131"/>
    </row>
    <row r="740" spans="1:14" hidden="1">
      <c r="A740" s="12" t="s">
        <v>862</v>
      </c>
      <c r="B740" s="38" t="s">
        <v>990</v>
      </c>
      <c r="C740" s="38" t="s">
        <v>991</v>
      </c>
      <c r="D740" s="38" t="s">
        <v>992</v>
      </c>
      <c r="E740" s="42">
        <v>1</v>
      </c>
      <c r="F740" s="9"/>
      <c r="G740" s="8">
        <f t="shared" si="30"/>
        <v>306.07499999999999</v>
      </c>
      <c r="H740" s="187">
        <v>291.5</v>
      </c>
      <c r="I740" s="19">
        <f t="shared" si="31"/>
        <v>0</v>
      </c>
      <c r="L740" s="131"/>
      <c r="M740" s="131"/>
      <c r="N740" s="131"/>
    </row>
    <row r="741" spans="1:14" hidden="1">
      <c r="A741" s="100" t="s">
        <v>862</v>
      </c>
      <c r="B741" s="101" t="s">
        <v>993</v>
      </c>
      <c r="C741" s="99" t="s">
        <v>994</v>
      </c>
      <c r="D741" s="38" t="s">
        <v>992</v>
      </c>
      <c r="E741" s="42">
        <v>1</v>
      </c>
      <c r="F741" s="9"/>
      <c r="G741" s="8">
        <f t="shared" ref="G741:G804" si="32">H741+(H741*5%)</f>
        <v>588.21</v>
      </c>
      <c r="H741" s="187">
        <v>560.20000000000005</v>
      </c>
      <c r="I741" s="19">
        <f t="shared" si="31"/>
        <v>0</v>
      </c>
      <c r="L741" s="131"/>
      <c r="M741" s="131"/>
      <c r="N741" s="131"/>
    </row>
    <row r="742" spans="1:14" hidden="1">
      <c r="A742" s="100" t="s">
        <v>862</v>
      </c>
      <c r="B742" s="101" t="s">
        <v>995</v>
      </c>
      <c r="C742" s="99" t="s">
        <v>996</v>
      </c>
      <c r="D742" s="38"/>
      <c r="E742" s="42">
        <v>1</v>
      </c>
      <c r="F742" s="9"/>
      <c r="G742" s="8">
        <f t="shared" si="32"/>
        <v>1.365</v>
      </c>
      <c r="H742" s="187">
        <v>1.3</v>
      </c>
      <c r="I742" s="19">
        <f t="shared" ref="I742:I805" si="33">G742*F742</f>
        <v>0</v>
      </c>
      <c r="L742" s="131"/>
      <c r="M742" s="131"/>
      <c r="N742" s="131"/>
    </row>
    <row r="743" spans="1:14" hidden="1">
      <c r="A743" s="100" t="s">
        <v>862</v>
      </c>
      <c r="B743" s="101" t="s">
        <v>997</v>
      </c>
      <c r="C743" s="99" t="s">
        <v>998</v>
      </c>
      <c r="D743" s="38" t="s">
        <v>992</v>
      </c>
      <c r="E743" s="42">
        <v>1</v>
      </c>
      <c r="F743" s="9"/>
      <c r="G743" s="8">
        <f t="shared" si="32"/>
        <v>306.07499999999999</v>
      </c>
      <c r="H743" s="187">
        <v>291.5</v>
      </c>
      <c r="I743" s="19">
        <f t="shared" si="33"/>
        <v>0</v>
      </c>
      <c r="L743" s="131"/>
      <c r="M743" s="131"/>
      <c r="N743" s="131"/>
    </row>
    <row r="744" spans="1:14" hidden="1">
      <c r="A744" s="100" t="s">
        <v>862</v>
      </c>
      <c r="B744" s="101" t="s">
        <v>999</v>
      </c>
      <c r="C744" s="99" t="s">
        <v>1000</v>
      </c>
      <c r="D744" s="38" t="s">
        <v>992</v>
      </c>
      <c r="E744" s="42">
        <v>1</v>
      </c>
      <c r="F744" s="9"/>
      <c r="G744" s="8">
        <f t="shared" si="32"/>
        <v>588.21</v>
      </c>
      <c r="H744" s="187">
        <v>560.20000000000005</v>
      </c>
      <c r="I744" s="19">
        <f t="shared" si="33"/>
        <v>0</v>
      </c>
      <c r="L744" s="131"/>
      <c r="M744" s="131"/>
      <c r="N744" s="131"/>
    </row>
    <row r="745" spans="1:14" hidden="1">
      <c r="A745" s="100" t="s">
        <v>862</v>
      </c>
      <c r="B745" s="101" t="s">
        <v>1001</v>
      </c>
      <c r="C745" s="99" t="s">
        <v>1002</v>
      </c>
      <c r="D745" s="38"/>
      <c r="E745" s="42">
        <v>1</v>
      </c>
      <c r="F745" s="9"/>
      <c r="G745" s="8">
        <f t="shared" si="32"/>
        <v>1.55925</v>
      </c>
      <c r="H745" s="187">
        <v>1.4850000000000001</v>
      </c>
      <c r="I745" s="19">
        <f t="shared" si="33"/>
        <v>0</v>
      </c>
      <c r="L745" s="131"/>
      <c r="M745" s="131"/>
      <c r="N745" s="131"/>
    </row>
    <row r="746" spans="1:14" ht="14.65" hidden="1" customHeight="1">
      <c r="A746" s="100" t="s">
        <v>862</v>
      </c>
      <c r="B746" s="101" t="s">
        <v>1003</v>
      </c>
      <c r="C746" s="99" t="s">
        <v>1004</v>
      </c>
      <c r="D746" s="38" t="s">
        <v>992</v>
      </c>
      <c r="E746" s="42">
        <v>1</v>
      </c>
      <c r="F746" s="9"/>
      <c r="G746" s="8">
        <f t="shared" si="32"/>
        <v>314.35949999999997</v>
      </c>
      <c r="H746" s="187">
        <v>299.39</v>
      </c>
      <c r="I746" s="19">
        <f t="shared" si="33"/>
        <v>0</v>
      </c>
      <c r="L746" s="131"/>
      <c r="M746" s="131"/>
      <c r="N746" s="131"/>
    </row>
    <row r="747" spans="1:14" ht="14.65" hidden="1" customHeight="1">
      <c r="A747" s="100" t="s">
        <v>862</v>
      </c>
      <c r="B747" s="101" t="s">
        <v>1005</v>
      </c>
      <c r="C747" s="99" t="s">
        <v>1006</v>
      </c>
      <c r="D747" s="38" t="s">
        <v>992</v>
      </c>
      <c r="E747" s="42">
        <v>1</v>
      </c>
      <c r="F747" s="9"/>
      <c r="G747" s="8">
        <f t="shared" si="32"/>
        <v>620.697</v>
      </c>
      <c r="H747" s="187">
        <v>591.14</v>
      </c>
      <c r="I747" s="19">
        <f t="shared" si="33"/>
        <v>0</v>
      </c>
      <c r="L747" s="131"/>
      <c r="M747" s="131"/>
      <c r="N747" s="131"/>
    </row>
    <row r="748" spans="1:14" ht="14.65" hidden="1" customHeight="1">
      <c r="A748" s="12" t="s">
        <v>862</v>
      </c>
      <c r="B748" s="97" t="s">
        <v>1007</v>
      </c>
      <c r="C748" s="98" t="s">
        <v>1008</v>
      </c>
      <c r="D748" s="38"/>
      <c r="E748" s="42">
        <v>1</v>
      </c>
      <c r="F748" s="9"/>
      <c r="G748" s="8">
        <f t="shared" si="32"/>
        <v>1.55925</v>
      </c>
      <c r="H748" s="187">
        <v>1.4850000000000001</v>
      </c>
      <c r="I748" s="19">
        <f t="shared" si="33"/>
        <v>0</v>
      </c>
      <c r="L748" s="131"/>
      <c r="M748" s="131"/>
      <c r="N748" s="131"/>
    </row>
    <row r="749" spans="1:14" ht="14.65" hidden="1" customHeight="1">
      <c r="A749" s="100" t="s">
        <v>862</v>
      </c>
      <c r="B749" s="101" t="s">
        <v>1009</v>
      </c>
      <c r="C749" s="99" t="s">
        <v>1010</v>
      </c>
      <c r="D749" s="38" t="s">
        <v>992</v>
      </c>
      <c r="E749" s="42">
        <v>1</v>
      </c>
      <c r="F749" s="9"/>
      <c r="G749" s="8">
        <f t="shared" si="32"/>
        <v>314.35949999999997</v>
      </c>
      <c r="H749" s="187">
        <v>299.39</v>
      </c>
      <c r="I749" s="19">
        <f t="shared" si="33"/>
        <v>0</v>
      </c>
      <c r="L749" s="131"/>
      <c r="M749" s="131"/>
      <c r="N749" s="131"/>
    </row>
    <row r="750" spans="1:14" hidden="1">
      <c r="A750" s="100" t="s">
        <v>862</v>
      </c>
      <c r="B750" s="101" t="s">
        <v>1011</v>
      </c>
      <c r="C750" s="99" t="s">
        <v>1012</v>
      </c>
      <c r="D750" s="38" t="s">
        <v>992</v>
      </c>
      <c r="E750" s="42">
        <v>1</v>
      </c>
      <c r="F750" s="9"/>
      <c r="G750" s="8">
        <f t="shared" si="32"/>
        <v>620.95949999999993</v>
      </c>
      <c r="H750" s="187">
        <v>591.39</v>
      </c>
      <c r="I750" s="19">
        <f t="shared" si="33"/>
        <v>0</v>
      </c>
      <c r="L750" s="131"/>
      <c r="M750" s="131"/>
      <c r="N750" s="131"/>
    </row>
    <row r="751" spans="1:14" hidden="1">
      <c r="A751" s="100" t="s">
        <v>862</v>
      </c>
      <c r="B751" s="101" t="s">
        <v>1013</v>
      </c>
      <c r="C751" s="99" t="s">
        <v>1014</v>
      </c>
      <c r="D751" s="38"/>
      <c r="E751" s="42">
        <v>1</v>
      </c>
      <c r="F751" s="9"/>
      <c r="G751" s="8">
        <f t="shared" si="32"/>
        <v>1.6380000000000001</v>
      </c>
      <c r="H751" s="187">
        <v>1.56</v>
      </c>
      <c r="I751" s="19">
        <f t="shared" si="33"/>
        <v>0</v>
      </c>
      <c r="L751" s="131"/>
      <c r="M751" s="131"/>
      <c r="N751" s="131"/>
    </row>
    <row r="752" spans="1:14" hidden="1">
      <c r="A752" s="100" t="s">
        <v>862</v>
      </c>
      <c r="B752" s="101" t="s">
        <v>1015</v>
      </c>
      <c r="C752" s="99" t="s">
        <v>1016</v>
      </c>
      <c r="D752" s="38" t="s">
        <v>992</v>
      </c>
      <c r="E752" s="42">
        <v>1</v>
      </c>
      <c r="F752" s="9"/>
      <c r="G752" s="8">
        <f t="shared" si="32"/>
        <v>252.45675</v>
      </c>
      <c r="H752" s="187">
        <v>240.435</v>
      </c>
      <c r="I752" s="19">
        <f t="shared" si="33"/>
        <v>0</v>
      </c>
      <c r="L752" s="131"/>
      <c r="M752" s="131"/>
      <c r="N752" s="131"/>
    </row>
    <row r="753" spans="1:14" hidden="1">
      <c r="A753" s="100" t="s">
        <v>862</v>
      </c>
      <c r="B753" s="101" t="s">
        <v>1017</v>
      </c>
      <c r="C753" s="99" t="s">
        <v>1018</v>
      </c>
      <c r="D753" s="38" t="s">
        <v>992</v>
      </c>
      <c r="E753" s="42">
        <v>1</v>
      </c>
      <c r="F753" s="9"/>
      <c r="G753" s="8">
        <f t="shared" si="32"/>
        <v>547.61174999999992</v>
      </c>
      <c r="H753" s="187">
        <v>521.53499999999997</v>
      </c>
      <c r="I753" s="19">
        <f t="shared" si="33"/>
        <v>0</v>
      </c>
      <c r="L753" s="131"/>
      <c r="M753" s="131"/>
      <c r="N753" s="131"/>
    </row>
    <row r="754" spans="1:14" hidden="1">
      <c r="A754" s="100" t="s">
        <v>862</v>
      </c>
      <c r="B754" s="101" t="s">
        <v>1019</v>
      </c>
      <c r="C754" s="99" t="s">
        <v>1020</v>
      </c>
      <c r="D754" s="38"/>
      <c r="E754" s="42">
        <v>1</v>
      </c>
      <c r="F754" s="9"/>
      <c r="G754" s="8">
        <f t="shared" si="32"/>
        <v>1.6380000000000001</v>
      </c>
      <c r="H754" s="187">
        <v>1.56</v>
      </c>
      <c r="I754" s="19">
        <f t="shared" si="33"/>
        <v>0</v>
      </c>
      <c r="L754" s="131"/>
      <c r="M754" s="131"/>
      <c r="N754" s="131"/>
    </row>
    <row r="755" spans="1:14" hidden="1">
      <c r="A755" s="100" t="s">
        <v>862</v>
      </c>
      <c r="B755" s="101" t="s">
        <v>1021</v>
      </c>
      <c r="C755" s="99" t="s">
        <v>1022</v>
      </c>
      <c r="D755" s="38" t="s">
        <v>992</v>
      </c>
      <c r="E755" s="42">
        <v>1</v>
      </c>
      <c r="F755" s="9"/>
      <c r="G755" s="8">
        <f t="shared" si="32"/>
        <v>252.45675</v>
      </c>
      <c r="H755" s="187">
        <v>240.435</v>
      </c>
      <c r="I755" s="19">
        <f t="shared" si="33"/>
        <v>0</v>
      </c>
      <c r="L755" s="131"/>
      <c r="M755" s="131"/>
      <c r="N755" s="131"/>
    </row>
    <row r="756" spans="1:14" hidden="1">
      <c r="A756" s="100" t="s">
        <v>862</v>
      </c>
      <c r="B756" s="101" t="s">
        <v>1023</v>
      </c>
      <c r="C756" s="99" t="s">
        <v>1024</v>
      </c>
      <c r="D756" s="38" t="s">
        <v>992</v>
      </c>
      <c r="E756" s="42">
        <v>1</v>
      </c>
      <c r="F756" s="9"/>
      <c r="G756" s="8">
        <f t="shared" si="32"/>
        <v>547.61174999999992</v>
      </c>
      <c r="H756" s="187">
        <v>521.53499999999997</v>
      </c>
      <c r="I756" s="19">
        <f t="shared" si="33"/>
        <v>0</v>
      </c>
      <c r="L756" s="131"/>
      <c r="M756" s="131"/>
      <c r="N756" s="131"/>
    </row>
    <row r="757" spans="1:14" hidden="1">
      <c r="A757" s="100" t="s">
        <v>862</v>
      </c>
      <c r="B757" s="101" t="s">
        <v>1025</v>
      </c>
      <c r="C757" s="99" t="s">
        <v>1026</v>
      </c>
      <c r="D757" s="38"/>
      <c r="E757" s="42">
        <v>1</v>
      </c>
      <c r="F757" s="9"/>
      <c r="G757" s="8">
        <f t="shared" si="32"/>
        <v>1.70625</v>
      </c>
      <c r="H757" s="188">
        <v>1.625</v>
      </c>
      <c r="I757" s="19">
        <f t="shared" si="33"/>
        <v>0</v>
      </c>
      <c r="L757" s="131"/>
      <c r="M757" s="131"/>
      <c r="N757" s="131"/>
    </row>
    <row r="758" spans="1:14" hidden="1">
      <c r="A758" s="100" t="s">
        <v>862</v>
      </c>
      <c r="B758" s="101" t="s">
        <v>1027</v>
      </c>
      <c r="C758" s="99" t="s">
        <v>1028</v>
      </c>
      <c r="D758" s="38"/>
      <c r="E758" s="42">
        <v>1</v>
      </c>
      <c r="F758" s="9"/>
      <c r="G758" s="8">
        <f t="shared" si="32"/>
        <v>1.70625</v>
      </c>
      <c r="H758" s="188">
        <v>1.625</v>
      </c>
      <c r="I758" s="19">
        <f t="shared" si="33"/>
        <v>0</v>
      </c>
      <c r="L758" s="131"/>
      <c r="M758" s="131"/>
      <c r="N758" s="131"/>
    </row>
    <row r="759" spans="1:14" hidden="1">
      <c r="A759" s="100" t="s">
        <v>862</v>
      </c>
      <c r="B759" s="101" t="s">
        <v>1029</v>
      </c>
      <c r="C759" s="99" t="s">
        <v>1030</v>
      </c>
      <c r="D759" s="38"/>
      <c r="E759" s="42">
        <v>1</v>
      </c>
      <c r="F759" s="9"/>
      <c r="G759" s="8">
        <f t="shared" si="32"/>
        <v>3.0843750000000001</v>
      </c>
      <c r="H759" s="188">
        <v>2.9375</v>
      </c>
      <c r="I759" s="19">
        <f t="shared" si="33"/>
        <v>0</v>
      </c>
      <c r="L759" s="131"/>
      <c r="M759" s="131"/>
      <c r="N759" s="131"/>
    </row>
    <row r="760" spans="1:14" hidden="1">
      <c r="A760" s="100" t="s">
        <v>862</v>
      </c>
      <c r="B760" s="101" t="s">
        <v>1031</v>
      </c>
      <c r="C760" s="99" t="s">
        <v>1032</v>
      </c>
      <c r="D760" s="38"/>
      <c r="E760" s="42">
        <v>1</v>
      </c>
      <c r="F760" s="9"/>
      <c r="G760" s="8">
        <f t="shared" si="32"/>
        <v>3.0843750000000001</v>
      </c>
      <c r="H760" s="188">
        <v>2.9375</v>
      </c>
      <c r="I760" s="19">
        <f t="shared" si="33"/>
        <v>0</v>
      </c>
      <c r="L760" s="131"/>
      <c r="M760" s="131"/>
      <c r="N760" s="131"/>
    </row>
    <row r="761" spans="1:14" hidden="1">
      <c r="A761" s="100" t="s">
        <v>862</v>
      </c>
      <c r="B761" s="101" t="s">
        <v>1033</v>
      </c>
      <c r="C761" s="99" t="s">
        <v>1034</v>
      </c>
      <c r="D761" s="38"/>
      <c r="E761" s="42">
        <v>1</v>
      </c>
      <c r="F761" s="9"/>
      <c r="G761" s="8">
        <f t="shared" si="32"/>
        <v>2.0343749999999998</v>
      </c>
      <c r="H761" s="188">
        <v>1.9375</v>
      </c>
      <c r="I761" s="19">
        <f t="shared" si="33"/>
        <v>0</v>
      </c>
      <c r="L761" s="131"/>
      <c r="M761" s="131"/>
      <c r="N761" s="131"/>
    </row>
    <row r="762" spans="1:14" hidden="1">
      <c r="A762" s="100" t="s">
        <v>862</v>
      </c>
      <c r="B762" s="101" t="s">
        <v>1035</v>
      </c>
      <c r="C762" s="99" t="s">
        <v>1036</v>
      </c>
      <c r="D762" s="38"/>
      <c r="E762" s="42">
        <v>1</v>
      </c>
      <c r="F762" s="9"/>
      <c r="G762" s="8">
        <f t="shared" si="32"/>
        <v>2.0343749999999998</v>
      </c>
      <c r="H762" s="188">
        <v>1.9375</v>
      </c>
      <c r="I762" s="19">
        <f t="shared" si="33"/>
        <v>0</v>
      </c>
      <c r="L762" s="131"/>
      <c r="M762" s="131"/>
      <c r="N762" s="131"/>
    </row>
    <row r="763" spans="1:14" hidden="1">
      <c r="A763" s="100" t="s">
        <v>862</v>
      </c>
      <c r="B763" s="101" t="s">
        <v>1037</v>
      </c>
      <c r="C763" s="99" t="s">
        <v>1038</v>
      </c>
      <c r="D763" s="38"/>
      <c r="E763" s="42">
        <v>1</v>
      </c>
      <c r="F763" s="9"/>
      <c r="G763" s="8">
        <f t="shared" si="32"/>
        <v>2.2118250000000002</v>
      </c>
      <c r="H763" s="188">
        <v>2.1065</v>
      </c>
      <c r="I763" s="19">
        <f t="shared" si="33"/>
        <v>0</v>
      </c>
      <c r="L763" s="131"/>
      <c r="M763" s="131"/>
      <c r="N763" s="131"/>
    </row>
    <row r="764" spans="1:14" hidden="1">
      <c r="A764" s="100" t="s">
        <v>862</v>
      </c>
      <c r="B764" s="101" t="s">
        <v>1039</v>
      </c>
      <c r="C764" s="99" t="s">
        <v>1040</v>
      </c>
      <c r="D764" s="38"/>
      <c r="E764" s="42">
        <v>1</v>
      </c>
      <c r="F764" s="9"/>
      <c r="G764" s="8">
        <f t="shared" si="32"/>
        <v>2.2118250000000002</v>
      </c>
      <c r="H764" s="188">
        <v>2.1065</v>
      </c>
      <c r="I764" s="19">
        <f t="shared" si="33"/>
        <v>0</v>
      </c>
      <c r="L764" s="131"/>
      <c r="M764" s="131"/>
      <c r="N764" s="131"/>
    </row>
    <row r="765" spans="1:14" hidden="1">
      <c r="A765" s="100" t="s">
        <v>862</v>
      </c>
      <c r="B765" s="101" t="s">
        <v>1041</v>
      </c>
      <c r="C765" s="99" t="s">
        <v>1042</v>
      </c>
      <c r="D765" s="38"/>
      <c r="E765" s="42">
        <v>1</v>
      </c>
      <c r="F765" s="9"/>
      <c r="G765" s="8">
        <f t="shared" si="32"/>
        <v>2.3887499999999999</v>
      </c>
      <c r="H765" s="188">
        <v>2.2749999999999999</v>
      </c>
      <c r="I765" s="19">
        <f t="shared" si="33"/>
        <v>0</v>
      </c>
      <c r="L765" s="131"/>
      <c r="M765" s="131"/>
      <c r="N765" s="131"/>
    </row>
    <row r="766" spans="1:14" hidden="1">
      <c r="A766" s="100" t="s">
        <v>862</v>
      </c>
      <c r="B766" s="101" t="s">
        <v>1043</v>
      </c>
      <c r="C766" s="99" t="s">
        <v>1044</v>
      </c>
      <c r="D766" s="38"/>
      <c r="E766" s="42">
        <v>1</v>
      </c>
      <c r="F766" s="9"/>
      <c r="G766" s="8">
        <f t="shared" si="32"/>
        <v>2.3887499999999999</v>
      </c>
      <c r="H766" s="188">
        <v>2.2749999999999999</v>
      </c>
      <c r="I766" s="19">
        <f t="shared" si="33"/>
        <v>0</v>
      </c>
      <c r="L766" s="131"/>
      <c r="M766" s="131"/>
      <c r="N766" s="131"/>
    </row>
    <row r="767" spans="1:14" hidden="1">
      <c r="A767" s="100" t="s">
        <v>862</v>
      </c>
      <c r="B767" s="101" t="s">
        <v>1045</v>
      </c>
      <c r="C767" s="99" t="s">
        <v>1046</v>
      </c>
      <c r="D767" s="38"/>
      <c r="E767" s="42">
        <v>1</v>
      </c>
      <c r="F767" s="9"/>
      <c r="G767" s="8">
        <f t="shared" si="32"/>
        <v>2.4297</v>
      </c>
      <c r="H767" s="188">
        <v>2.3140000000000001</v>
      </c>
      <c r="I767" s="19">
        <f t="shared" si="33"/>
        <v>0</v>
      </c>
      <c r="L767" s="131"/>
      <c r="M767" s="131"/>
      <c r="N767" s="131"/>
    </row>
    <row r="768" spans="1:14" hidden="1">
      <c r="A768" s="100" t="s">
        <v>862</v>
      </c>
      <c r="B768" s="101" t="s">
        <v>1047</v>
      </c>
      <c r="C768" s="99" t="s">
        <v>1048</v>
      </c>
      <c r="D768" s="38"/>
      <c r="E768" s="42">
        <v>1</v>
      </c>
      <c r="F768" s="9"/>
      <c r="G768" s="8">
        <f t="shared" si="32"/>
        <v>2.4297</v>
      </c>
      <c r="H768" s="188">
        <v>2.3140000000000001</v>
      </c>
      <c r="I768" s="19">
        <f t="shared" si="33"/>
        <v>0</v>
      </c>
      <c r="L768" s="131"/>
      <c r="M768" s="131"/>
      <c r="N768" s="131"/>
    </row>
    <row r="769" spans="1:14" hidden="1">
      <c r="A769" s="100" t="s">
        <v>862</v>
      </c>
      <c r="B769" s="101" t="s">
        <v>1049</v>
      </c>
      <c r="C769" s="99" t="s">
        <v>1050</v>
      </c>
      <c r="D769" s="38"/>
      <c r="E769" s="42">
        <v>1</v>
      </c>
      <c r="F769" s="9"/>
      <c r="G769" s="8">
        <f t="shared" si="32"/>
        <v>13.7004</v>
      </c>
      <c r="H769" s="188">
        <v>13.048</v>
      </c>
      <c r="I769" s="19">
        <f t="shared" si="33"/>
        <v>0</v>
      </c>
      <c r="L769" s="131"/>
      <c r="M769" s="131"/>
      <c r="N769" s="131"/>
    </row>
    <row r="770" spans="1:14" hidden="1">
      <c r="A770" s="100" t="s">
        <v>862</v>
      </c>
      <c r="B770" s="101" t="s">
        <v>1051</v>
      </c>
      <c r="C770" s="99" t="s">
        <v>1052</v>
      </c>
      <c r="D770" s="38"/>
      <c r="E770" s="42">
        <v>1</v>
      </c>
      <c r="F770" s="9"/>
      <c r="G770" s="8">
        <f t="shared" si="32"/>
        <v>26.262599999999999</v>
      </c>
      <c r="H770" s="188">
        <v>25.012</v>
      </c>
      <c r="I770" s="19">
        <f t="shared" si="33"/>
        <v>0</v>
      </c>
      <c r="L770" s="131"/>
      <c r="M770" s="131"/>
      <c r="N770" s="131"/>
    </row>
    <row r="771" spans="1:14" hidden="1">
      <c r="A771" s="100" t="s">
        <v>862</v>
      </c>
      <c r="B771" s="101" t="s">
        <v>1053</v>
      </c>
      <c r="C771" s="99" t="s">
        <v>1054</v>
      </c>
      <c r="D771" s="38"/>
      <c r="E771" s="42">
        <v>1</v>
      </c>
      <c r="F771" s="9"/>
      <c r="G771" s="8">
        <f t="shared" si="32"/>
        <v>159.72967500000001</v>
      </c>
      <c r="H771" s="188">
        <v>152.12350000000001</v>
      </c>
      <c r="I771" s="19">
        <f t="shared" si="33"/>
        <v>0</v>
      </c>
      <c r="L771" s="131"/>
      <c r="M771" s="131"/>
      <c r="N771" s="131"/>
    </row>
    <row r="772" spans="1:14" hidden="1">
      <c r="A772" s="100" t="s">
        <v>862</v>
      </c>
      <c r="B772" s="101" t="s">
        <v>1055</v>
      </c>
      <c r="C772" s="99" t="s">
        <v>1056</v>
      </c>
      <c r="D772" s="38"/>
      <c r="E772" s="42">
        <v>1</v>
      </c>
      <c r="F772" s="9"/>
      <c r="G772" s="8">
        <f t="shared" si="32"/>
        <v>34.183275000000002</v>
      </c>
      <c r="H772" s="188">
        <v>32.555500000000002</v>
      </c>
      <c r="I772" s="19">
        <f t="shared" si="33"/>
        <v>0</v>
      </c>
      <c r="L772" s="131"/>
      <c r="M772" s="131"/>
      <c r="N772" s="131"/>
    </row>
    <row r="773" spans="1:14" hidden="1">
      <c r="A773" s="100" t="s">
        <v>862</v>
      </c>
      <c r="B773" s="101" t="s">
        <v>1057</v>
      </c>
      <c r="C773" s="99" t="s">
        <v>1058</v>
      </c>
      <c r="D773" s="38"/>
      <c r="E773" s="42">
        <v>1</v>
      </c>
      <c r="F773" s="9"/>
      <c r="G773" s="8">
        <f t="shared" si="32"/>
        <v>168.689325</v>
      </c>
      <c r="H773" s="188">
        <v>160.65649999999999</v>
      </c>
      <c r="I773" s="19">
        <f t="shared" si="33"/>
        <v>0</v>
      </c>
      <c r="L773" s="131"/>
      <c r="M773" s="131"/>
      <c r="N773" s="131"/>
    </row>
    <row r="774" spans="1:14" hidden="1">
      <c r="A774" s="100" t="s">
        <v>862</v>
      </c>
      <c r="B774" s="101" t="s">
        <v>1059</v>
      </c>
      <c r="C774" s="99" t="s">
        <v>1060</v>
      </c>
      <c r="D774" s="38"/>
      <c r="E774" s="42">
        <v>1</v>
      </c>
      <c r="F774" s="9"/>
      <c r="G774" s="8">
        <f t="shared" si="32"/>
        <v>24.196200000000001</v>
      </c>
      <c r="H774" s="188">
        <v>23.044</v>
      </c>
      <c r="I774" s="19">
        <f t="shared" si="33"/>
        <v>0</v>
      </c>
      <c r="L774" s="131"/>
      <c r="M774" s="131"/>
      <c r="N774" s="131"/>
    </row>
    <row r="775" spans="1:14" hidden="1">
      <c r="A775" s="100" t="s">
        <v>862</v>
      </c>
      <c r="B775" s="101" t="s">
        <v>1061</v>
      </c>
      <c r="C775" s="99" t="s">
        <v>1062</v>
      </c>
      <c r="D775" s="38"/>
      <c r="E775" s="42">
        <v>1</v>
      </c>
      <c r="F775" s="9"/>
      <c r="G775" s="8">
        <f t="shared" si="32"/>
        <v>24.212999999999997</v>
      </c>
      <c r="H775" s="188">
        <v>23.06</v>
      </c>
      <c r="I775" s="19">
        <f t="shared" si="33"/>
        <v>0</v>
      </c>
      <c r="L775" s="131"/>
      <c r="M775" s="131"/>
      <c r="N775" s="131"/>
    </row>
    <row r="776" spans="1:14" hidden="1">
      <c r="A776" s="100" t="s">
        <v>862</v>
      </c>
      <c r="B776" s="101" t="s">
        <v>1063</v>
      </c>
      <c r="C776" s="99" t="s">
        <v>1064</v>
      </c>
      <c r="D776" s="38"/>
      <c r="E776" s="42">
        <v>1</v>
      </c>
      <c r="F776" s="9"/>
      <c r="G776" s="8">
        <f t="shared" si="32"/>
        <v>24.212999999999997</v>
      </c>
      <c r="H776" s="188">
        <v>23.06</v>
      </c>
      <c r="I776" s="19">
        <f t="shared" si="33"/>
        <v>0</v>
      </c>
      <c r="L776" s="131"/>
      <c r="M776" s="131"/>
      <c r="N776" s="131"/>
    </row>
    <row r="777" spans="1:14" hidden="1">
      <c r="A777" s="100" t="s">
        <v>862</v>
      </c>
      <c r="B777" s="101" t="s">
        <v>1065</v>
      </c>
      <c r="C777" s="99" t="s">
        <v>1066</v>
      </c>
      <c r="D777" s="38"/>
      <c r="E777" s="42">
        <v>1</v>
      </c>
      <c r="F777" s="9"/>
      <c r="G777" s="8">
        <f t="shared" si="32"/>
        <v>24.196200000000001</v>
      </c>
      <c r="H777" s="188">
        <v>23.044</v>
      </c>
      <c r="I777" s="19">
        <f t="shared" si="33"/>
        <v>0</v>
      </c>
      <c r="L777" s="131"/>
      <c r="M777" s="131"/>
      <c r="N777" s="131"/>
    </row>
    <row r="778" spans="1:14" hidden="1">
      <c r="A778" s="100" t="s">
        <v>862</v>
      </c>
      <c r="B778" s="101" t="s">
        <v>1067</v>
      </c>
      <c r="C778" s="99" t="s">
        <v>1068</v>
      </c>
      <c r="D778" s="38"/>
      <c r="E778" s="42">
        <v>1</v>
      </c>
      <c r="F778" s="9"/>
      <c r="G778" s="8">
        <f t="shared" si="32"/>
        <v>16.889250000000001</v>
      </c>
      <c r="H778" s="188">
        <v>16.085000000000001</v>
      </c>
      <c r="I778" s="19">
        <f t="shared" si="33"/>
        <v>0</v>
      </c>
      <c r="L778" s="131"/>
      <c r="M778" s="131"/>
      <c r="N778" s="131"/>
    </row>
    <row r="779" spans="1:14" hidden="1">
      <c r="A779" s="100" t="s">
        <v>862</v>
      </c>
      <c r="B779" s="101" t="s">
        <v>1069</v>
      </c>
      <c r="C779" s="99" t="s">
        <v>1070</v>
      </c>
      <c r="D779" s="38"/>
      <c r="E779" s="42">
        <v>1</v>
      </c>
      <c r="F779" s="9"/>
      <c r="G779" s="8">
        <f t="shared" si="32"/>
        <v>16.872450000000001</v>
      </c>
      <c r="H779" s="188">
        <v>16.068999999999999</v>
      </c>
      <c r="I779" s="19">
        <f t="shared" si="33"/>
        <v>0</v>
      </c>
      <c r="L779" s="131"/>
      <c r="M779" s="131"/>
      <c r="N779" s="131"/>
    </row>
    <row r="780" spans="1:14" hidden="1">
      <c r="A780" s="100" t="s">
        <v>862</v>
      </c>
      <c r="B780" s="101" t="s">
        <v>1071</v>
      </c>
      <c r="C780" s="99" t="s">
        <v>1072</v>
      </c>
      <c r="D780" s="38"/>
      <c r="E780" s="42">
        <v>1</v>
      </c>
      <c r="F780" s="9"/>
      <c r="G780" s="8">
        <f t="shared" si="32"/>
        <v>19.369875</v>
      </c>
      <c r="H780" s="188">
        <v>18.447500000000002</v>
      </c>
      <c r="I780" s="19">
        <f t="shared" si="33"/>
        <v>0</v>
      </c>
      <c r="L780" s="131"/>
      <c r="M780" s="131"/>
      <c r="N780" s="131"/>
    </row>
    <row r="781" spans="1:14" hidden="1">
      <c r="A781" s="100" t="s">
        <v>862</v>
      </c>
      <c r="B781" s="101" t="s">
        <v>1073</v>
      </c>
      <c r="C781" s="99" t="s">
        <v>1074</v>
      </c>
      <c r="D781" s="38"/>
      <c r="E781" s="42">
        <v>1</v>
      </c>
      <c r="F781" s="9"/>
      <c r="G781" s="8">
        <f t="shared" si="32"/>
        <v>23.584575000000001</v>
      </c>
      <c r="H781" s="188">
        <v>22.461500000000001</v>
      </c>
      <c r="I781" s="19">
        <f t="shared" si="33"/>
        <v>0</v>
      </c>
      <c r="L781" s="131"/>
      <c r="M781" s="131"/>
      <c r="N781" s="131"/>
    </row>
    <row r="782" spans="1:14" hidden="1">
      <c r="A782" s="100" t="s">
        <v>862</v>
      </c>
      <c r="B782" s="101" t="s">
        <v>1075</v>
      </c>
      <c r="C782" s="99" t="s">
        <v>1076</v>
      </c>
      <c r="D782" s="38"/>
      <c r="E782" s="42">
        <v>1</v>
      </c>
      <c r="F782" s="9"/>
      <c r="G782" s="8">
        <f t="shared" si="32"/>
        <v>24.212999999999997</v>
      </c>
      <c r="H782" s="188">
        <v>23.06</v>
      </c>
      <c r="I782" s="19">
        <f t="shared" si="33"/>
        <v>0</v>
      </c>
      <c r="L782" s="131"/>
      <c r="M782" s="131"/>
      <c r="N782" s="131"/>
    </row>
    <row r="783" spans="1:14" hidden="1">
      <c r="A783" s="100" t="s">
        <v>862</v>
      </c>
      <c r="B783" s="101" t="s">
        <v>1077</v>
      </c>
      <c r="C783" s="99" t="s">
        <v>1078</v>
      </c>
      <c r="D783" s="38"/>
      <c r="E783" s="42">
        <v>1</v>
      </c>
      <c r="F783" s="9"/>
      <c r="G783" s="8">
        <f t="shared" si="32"/>
        <v>36.868124999999999</v>
      </c>
      <c r="H783" s="188">
        <v>35.112499999999997</v>
      </c>
      <c r="I783" s="19">
        <f t="shared" si="33"/>
        <v>0</v>
      </c>
      <c r="L783" s="131"/>
      <c r="M783" s="131"/>
      <c r="N783" s="131"/>
    </row>
    <row r="784" spans="1:14" hidden="1">
      <c r="A784" s="100" t="s">
        <v>862</v>
      </c>
      <c r="B784" s="101" t="s">
        <v>1079</v>
      </c>
      <c r="C784" s="99" t="s">
        <v>1080</v>
      </c>
      <c r="D784" s="38"/>
      <c r="E784" s="42">
        <v>1</v>
      </c>
      <c r="F784" s="9"/>
      <c r="G784" s="8">
        <f t="shared" si="32"/>
        <v>36.868124999999999</v>
      </c>
      <c r="H784" s="188">
        <v>35.112499999999997</v>
      </c>
      <c r="I784" s="19">
        <f t="shared" si="33"/>
        <v>0</v>
      </c>
      <c r="L784" s="131"/>
      <c r="M784" s="131"/>
      <c r="N784" s="131"/>
    </row>
    <row r="785" spans="1:14" hidden="1">
      <c r="A785" s="100" t="s">
        <v>862</v>
      </c>
      <c r="B785" s="101" t="s">
        <v>1081</v>
      </c>
      <c r="C785" s="99" t="s">
        <v>1082</v>
      </c>
      <c r="D785" s="38"/>
      <c r="E785" s="42">
        <v>1</v>
      </c>
      <c r="F785" s="9"/>
      <c r="G785" s="8">
        <f t="shared" si="32"/>
        <v>0.13650000000000001</v>
      </c>
      <c r="H785" s="188">
        <v>0.13</v>
      </c>
      <c r="I785" s="19">
        <f t="shared" si="33"/>
        <v>0</v>
      </c>
      <c r="L785" s="131"/>
      <c r="M785" s="131"/>
      <c r="N785" s="131"/>
    </row>
    <row r="786" spans="1:14" hidden="1">
      <c r="A786" s="100" t="s">
        <v>862</v>
      </c>
      <c r="B786" s="101" t="s">
        <v>1083</v>
      </c>
      <c r="C786" s="99" t="s">
        <v>1084</v>
      </c>
      <c r="D786" s="38"/>
      <c r="E786" s="42">
        <v>1</v>
      </c>
      <c r="F786" s="9"/>
      <c r="G786" s="8">
        <f t="shared" si="32"/>
        <v>3.4781249999999999</v>
      </c>
      <c r="H786" s="188">
        <v>3.3125</v>
      </c>
      <c r="I786" s="19">
        <f t="shared" si="33"/>
        <v>0</v>
      </c>
      <c r="L786" s="131"/>
      <c r="M786" s="131"/>
      <c r="N786" s="131"/>
    </row>
    <row r="787" spans="1:14" hidden="1">
      <c r="A787" s="100" t="s">
        <v>862</v>
      </c>
      <c r="B787" s="101" t="s">
        <v>1085</v>
      </c>
      <c r="C787" s="99" t="s">
        <v>1086</v>
      </c>
      <c r="D787" s="38"/>
      <c r="E787" s="42">
        <v>1</v>
      </c>
      <c r="F787" s="9"/>
      <c r="G787" s="8">
        <f t="shared" si="32"/>
        <v>37.781625000000005</v>
      </c>
      <c r="H787" s="188">
        <v>35.982500000000002</v>
      </c>
      <c r="I787" s="19">
        <f t="shared" si="33"/>
        <v>0</v>
      </c>
      <c r="L787" s="131"/>
      <c r="M787" s="131"/>
      <c r="N787" s="131"/>
    </row>
    <row r="788" spans="1:14" hidden="1">
      <c r="A788" s="100" t="s">
        <v>862</v>
      </c>
      <c r="B788" s="101" t="s">
        <v>1087</v>
      </c>
      <c r="C788" s="99" t="s">
        <v>1088</v>
      </c>
      <c r="D788" s="38"/>
      <c r="E788" s="42">
        <v>1</v>
      </c>
      <c r="F788" s="9"/>
      <c r="G788" s="8">
        <f t="shared" si="32"/>
        <v>39.508874999999996</v>
      </c>
      <c r="H788" s="188">
        <v>37.627499999999998</v>
      </c>
      <c r="I788" s="19">
        <f t="shared" si="33"/>
        <v>0</v>
      </c>
      <c r="L788" s="131"/>
      <c r="M788" s="131"/>
      <c r="N788" s="131"/>
    </row>
    <row r="789" spans="1:14" hidden="1">
      <c r="A789" s="100" t="s">
        <v>862</v>
      </c>
      <c r="B789" s="101" t="s">
        <v>1089</v>
      </c>
      <c r="C789" s="99" t="s">
        <v>1090</v>
      </c>
      <c r="D789" s="38"/>
      <c r="E789" s="42">
        <v>1</v>
      </c>
      <c r="F789" s="9"/>
      <c r="G789" s="8">
        <f t="shared" si="32"/>
        <v>38.117625000000004</v>
      </c>
      <c r="H789" s="188">
        <v>36.302500000000002</v>
      </c>
      <c r="I789" s="19">
        <f t="shared" si="33"/>
        <v>0</v>
      </c>
      <c r="L789" s="131"/>
      <c r="M789" s="131"/>
      <c r="N789" s="131"/>
    </row>
    <row r="790" spans="1:14" hidden="1">
      <c r="A790" s="100" t="s">
        <v>862</v>
      </c>
      <c r="B790" s="101" t="s">
        <v>1091</v>
      </c>
      <c r="C790" s="99" t="s">
        <v>1092</v>
      </c>
      <c r="D790" s="38"/>
      <c r="E790" s="42">
        <v>1</v>
      </c>
      <c r="F790" s="9"/>
      <c r="G790" s="8">
        <f t="shared" si="32"/>
        <v>38.117625000000004</v>
      </c>
      <c r="H790" s="188">
        <v>36.302500000000002</v>
      </c>
      <c r="I790" s="19">
        <f t="shared" si="33"/>
        <v>0</v>
      </c>
      <c r="L790" s="131"/>
      <c r="M790" s="131"/>
      <c r="N790" s="131"/>
    </row>
    <row r="791" spans="1:14" hidden="1">
      <c r="A791" s="100" t="s">
        <v>862</v>
      </c>
      <c r="B791" s="102" t="s">
        <v>1093</v>
      </c>
      <c r="C791" s="99" t="s">
        <v>1094</v>
      </c>
      <c r="D791" s="38"/>
      <c r="E791" s="42">
        <v>1</v>
      </c>
      <c r="F791" s="9"/>
      <c r="G791" s="8">
        <f t="shared" si="32"/>
        <v>23.584575000000001</v>
      </c>
      <c r="H791" s="188">
        <v>22.461500000000001</v>
      </c>
      <c r="I791" s="19">
        <f t="shared" si="33"/>
        <v>0</v>
      </c>
      <c r="L791" s="131"/>
      <c r="M791" s="131"/>
      <c r="N791" s="131"/>
    </row>
    <row r="792" spans="1:14" hidden="1">
      <c r="A792" s="100" t="s">
        <v>862</v>
      </c>
      <c r="B792" s="102" t="s">
        <v>1095</v>
      </c>
      <c r="C792" s="99" t="s">
        <v>1096</v>
      </c>
      <c r="D792" s="38"/>
      <c r="E792" s="42">
        <v>1</v>
      </c>
      <c r="F792" s="9"/>
      <c r="G792" s="8">
        <f t="shared" si="32"/>
        <v>38.117625000000004</v>
      </c>
      <c r="H792" s="188">
        <v>36.302500000000002</v>
      </c>
      <c r="I792" s="19">
        <f t="shared" si="33"/>
        <v>0</v>
      </c>
      <c r="L792" s="131"/>
      <c r="M792" s="131"/>
      <c r="N792" s="131"/>
    </row>
    <row r="793" spans="1:14" hidden="1">
      <c r="A793" s="100" t="s">
        <v>862</v>
      </c>
      <c r="B793" s="102" t="s">
        <v>1097</v>
      </c>
      <c r="C793" s="99" t="s">
        <v>1098</v>
      </c>
      <c r="D793" s="38"/>
      <c r="E793" s="42">
        <v>1</v>
      </c>
      <c r="F793" s="9"/>
      <c r="G793" s="8">
        <f t="shared" si="32"/>
        <v>1.9598250000000002</v>
      </c>
      <c r="H793" s="188">
        <v>1.8665</v>
      </c>
      <c r="I793" s="19">
        <f t="shared" si="33"/>
        <v>0</v>
      </c>
      <c r="L793" s="131"/>
      <c r="M793" s="131"/>
      <c r="N793" s="131"/>
    </row>
    <row r="794" spans="1:14" hidden="1">
      <c r="A794" s="100" t="s">
        <v>862</v>
      </c>
      <c r="B794" s="101" t="s">
        <v>1099</v>
      </c>
      <c r="C794" s="99" t="s">
        <v>1100</v>
      </c>
      <c r="D794" s="38"/>
      <c r="E794" s="42">
        <v>1</v>
      </c>
      <c r="F794" s="9"/>
      <c r="G794" s="8">
        <f t="shared" si="32"/>
        <v>1.9598250000000002</v>
      </c>
      <c r="H794" s="188">
        <v>1.8665</v>
      </c>
      <c r="I794" s="19">
        <f t="shared" si="33"/>
        <v>0</v>
      </c>
      <c r="L794" s="131"/>
      <c r="M794" s="131"/>
      <c r="N794" s="131"/>
    </row>
    <row r="795" spans="1:14" hidden="1">
      <c r="A795" s="100" t="s">
        <v>862</v>
      </c>
      <c r="B795" s="102" t="s">
        <v>1101</v>
      </c>
      <c r="C795" s="99" t="s">
        <v>1102</v>
      </c>
      <c r="D795" s="38"/>
      <c r="E795" s="42">
        <v>1</v>
      </c>
      <c r="F795" s="9"/>
      <c r="G795" s="8">
        <f t="shared" si="32"/>
        <v>1.6233</v>
      </c>
      <c r="H795" s="188">
        <v>1.546</v>
      </c>
      <c r="I795" s="19">
        <f t="shared" si="33"/>
        <v>0</v>
      </c>
      <c r="L795" s="131"/>
      <c r="M795" s="131"/>
      <c r="N795" s="131"/>
    </row>
    <row r="796" spans="1:14" hidden="1">
      <c r="A796" s="100" t="s">
        <v>862</v>
      </c>
      <c r="B796" s="102" t="s">
        <v>1103</v>
      </c>
      <c r="C796" s="99" t="s">
        <v>1104</v>
      </c>
      <c r="D796" s="38"/>
      <c r="E796" s="42">
        <v>1</v>
      </c>
      <c r="F796" s="9"/>
      <c r="G796" s="8">
        <f t="shared" si="32"/>
        <v>1.6233</v>
      </c>
      <c r="H796" s="188">
        <v>1.546</v>
      </c>
      <c r="I796" s="19">
        <f t="shared" si="33"/>
        <v>0</v>
      </c>
      <c r="L796" s="131"/>
      <c r="M796" s="131"/>
      <c r="N796" s="131"/>
    </row>
    <row r="797" spans="1:14" hidden="1">
      <c r="A797" s="100" t="s">
        <v>862</v>
      </c>
      <c r="B797" s="101" t="s">
        <v>1105</v>
      </c>
      <c r="C797" s="99" t="s">
        <v>1106</v>
      </c>
      <c r="D797" s="38"/>
      <c r="E797" s="42">
        <v>1</v>
      </c>
      <c r="F797" s="9"/>
      <c r="G797" s="8">
        <f t="shared" si="32"/>
        <v>1.6863000000000001</v>
      </c>
      <c r="H797" s="188">
        <v>1.6060000000000001</v>
      </c>
      <c r="I797" s="19">
        <f t="shared" si="33"/>
        <v>0</v>
      </c>
      <c r="L797" s="131"/>
      <c r="M797" s="131"/>
      <c r="N797" s="131"/>
    </row>
    <row r="798" spans="1:14" hidden="1">
      <c r="A798" s="100" t="s">
        <v>862</v>
      </c>
      <c r="B798" s="102" t="s">
        <v>1107</v>
      </c>
      <c r="C798" s="99" t="s">
        <v>1108</v>
      </c>
      <c r="D798" s="38"/>
      <c r="E798" s="42">
        <v>1</v>
      </c>
      <c r="F798" s="9"/>
      <c r="G798" s="8">
        <f t="shared" si="32"/>
        <v>1.6863000000000001</v>
      </c>
      <c r="H798" s="188">
        <v>1.6060000000000001</v>
      </c>
      <c r="I798" s="19">
        <f t="shared" si="33"/>
        <v>0</v>
      </c>
      <c r="L798" s="131"/>
      <c r="M798" s="131"/>
      <c r="N798" s="131"/>
    </row>
    <row r="799" spans="1:14" hidden="1">
      <c r="A799" s="100" t="s">
        <v>862</v>
      </c>
      <c r="B799" s="102" t="s">
        <v>1109</v>
      </c>
      <c r="C799" s="99" t="s">
        <v>1110</v>
      </c>
      <c r="D799" s="38"/>
      <c r="E799" s="42">
        <v>1</v>
      </c>
      <c r="F799" s="9"/>
      <c r="G799" s="8">
        <f t="shared" si="32"/>
        <v>7.9159499999999996</v>
      </c>
      <c r="H799" s="188">
        <v>7.5389999999999997</v>
      </c>
      <c r="I799" s="19">
        <f t="shared" si="33"/>
        <v>0</v>
      </c>
      <c r="L799" s="131"/>
      <c r="M799" s="131"/>
      <c r="N799" s="131"/>
    </row>
    <row r="800" spans="1:14" hidden="1">
      <c r="A800" s="100" t="s">
        <v>862</v>
      </c>
      <c r="B800" s="102" t="s">
        <v>1111</v>
      </c>
      <c r="C800" s="99" t="s">
        <v>1112</v>
      </c>
      <c r="D800" s="38"/>
      <c r="E800" s="42">
        <v>1</v>
      </c>
      <c r="F800" s="9"/>
      <c r="G800" s="8">
        <f t="shared" si="32"/>
        <v>9.7912499999999998</v>
      </c>
      <c r="H800" s="188">
        <v>9.3249999999999993</v>
      </c>
      <c r="I800" s="19">
        <f t="shared" si="33"/>
        <v>0</v>
      </c>
      <c r="L800" s="131"/>
      <c r="M800" s="131"/>
      <c r="N800" s="131"/>
    </row>
    <row r="801" spans="1:14" hidden="1">
      <c r="A801" s="100" t="s">
        <v>862</v>
      </c>
      <c r="B801" s="101" t="s">
        <v>1113</v>
      </c>
      <c r="C801" s="99" t="s">
        <v>1114</v>
      </c>
      <c r="D801" s="38"/>
      <c r="E801" s="42">
        <v>1</v>
      </c>
      <c r="F801" s="9"/>
      <c r="G801" s="8">
        <f t="shared" si="32"/>
        <v>12.542250000000001</v>
      </c>
      <c r="H801" s="188">
        <v>11.945</v>
      </c>
      <c r="I801" s="19">
        <f t="shared" si="33"/>
        <v>0</v>
      </c>
      <c r="L801" s="131"/>
      <c r="M801" s="131"/>
      <c r="N801" s="131"/>
    </row>
    <row r="802" spans="1:14" hidden="1">
      <c r="A802" s="100" t="s">
        <v>862</v>
      </c>
      <c r="B802" s="102" t="s">
        <v>1115</v>
      </c>
      <c r="C802" s="99" t="s">
        <v>1116</v>
      </c>
      <c r="D802" s="38" t="s">
        <v>1117</v>
      </c>
      <c r="E802" s="42">
        <v>1</v>
      </c>
      <c r="F802" s="9"/>
      <c r="G802" s="8">
        <f t="shared" si="32"/>
        <v>629.38574999999992</v>
      </c>
      <c r="H802" s="188">
        <v>599.41499999999996</v>
      </c>
      <c r="I802" s="19">
        <f t="shared" si="33"/>
        <v>0</v>
      </c>
      <c r="L802" s="131"/>
      <c r="M802" s="131"/>
      <c r="N802" s="131"/>
    </row>
    <row r="803" spans="1:14" hidden="1">
      <c r="A803" s="100" t="s">
        <v>862</v>
      </c>
      <c r="B803" s="101" t="s">
        <v>1118</v>
      </c>
      <c r="C803" s="99" t="s">
        <v>1116</v>
      </c>
      <c r="D803" s="38"/>
      <c r="E803" s="42">
        <v>1</v>
      </c>
      <c r="F803" s="9"/>
      <c r="G803" s="8">
        <f t="shared" si="32"/>
        <v>775.85024999999996</v>
      </c>
      <c r="H803" s="188">
        <v>738.90499999999997</v>
      </c>
      <c r="I803" s="19">
        <f t="shared" si="33"/>
        <v>0</v>
      </c>
      <c r="L803" s="131"/>
      <c r="M803" s="131"/>
      <c r="N803" s="131"/>
    </row>
    <row r="804" spans="1:14" hidden="1">
      <c r="A804" s="100" t="s">
        <v>862</v>
      </c>
      <c r="B804" s="101" t="s">
        <v>1119</v>
      </c>
      <c r="C804" s="99" t="s">
        <v>1120</v>
      </c>
      <c r="D804" s="38"/>
      <c r="E804" s="42">
        <v>1</v>
      </c>
      <c r="F804" s="9"/>
      <c r="G804" s="8">
        <f t="shared" si="32"/>
        <v>18.595500000000001</v>
      </c>
      <c r="H804" s="188">
        <v>17.71</v>
      </c>
      <c r="I804" s="19">
        <f t="shared" si="33"/>
        <v>0</v>
      </c>
      <c r="L804" s="131"/>
      <c r="M804" s="131"/>
      <c r="N804" s="131"/>
    </row>
    <row r="805" spans="1:14" hidden="1">
      <c r="A805" s="100" t="s">
        <v>862</v>
      </c>
      <c r="B805" s="101" t="s">
        <v>1121</v>
      </c>
      <c r="C805" s="99" t="s">
        <v>1116</v>
      </c>
      <c r="D805" s="38" t="s">
        <v>1117</v>
      </c>
      <c r="E805" s="42">
        <v>1</v>
      </c>
      <c r="F805" s="9"/>
      <c r="G805" s="8">
        <f t="shared" ref="G805:G868" si="34">H805+(H805*5%)</f>
        <v>994.43400000000008</v>
      </c>
      <c r="H805" s="188">
        <v>947.08</v>
      </c>
      <c r="I805" s="19">
        <f t="shared" si="33"/>
        <v>0</v>
      </c>
      <c r="L805" s="131"/>
      <c r="M805" s="131"/>
      <c r="N805" s="131"/>
    </row>
    <row r="806" spans="1:14" hidden="1">
      <c r="A806" s="100" t="s">
        <v>862</v>
      </c>
      <c r="B806" s="101" t="s">
        <v>1122</v>
      </c>
      <c r="C806" s="99" t="s">
        <v>1123</v>
      </c>
      <c r="D806" s="38"/>
      <c r="E806" s="42">
        <v>1</v>
      </c>
      <c r="F806" s="9"/>
      <c r="G806" s="8">
        <f t="shared" si="34"/>
        <v>0.107625</v>
      </c>
      <c r="H806" s="188">
        <v>0.10249999999999999</v>
      </c>
      <c r="I806" s="19">
        <f t="shared" ref="I806:I869" si="35">G806*F806</f>
        <v>0</v>
      </c>
      <c r="L806" s="131"/>
      <c r="M806" s="131"/>
      <c r="N806" s="131"/>
    </row>
    <row r="807" spans="1:14" hidden="1">
      <c r="A807" s="100" t="s">
        <v>862</v>
      </c>
      <c r="B807" s="101" t="s">
        <v>1124</v>
      </c>
      <c r="C807" s="99" t="s">
        <v>1125</v>
      </c>
      <c r="D807" s="38"/>
      <c r="E807" s="42">
        <v>1</v>
      </c>
      <c r="F807" s="9"/>
      <c r="G807" s="8">
        <f t="shared" si="34"/>
        <v>0.35122500000000001</v>
      </c>
      <c r="H807" s="188">
        <v>0.33450000000000002</v>
      </c>
      <c r="I807" s="19">
        <f t="shared" si="35"/>
        <v>0</v>
      </c>
      <c r="L807" s="131"/>
      <c r="M807" s="131"/>
      <c r="N807" s="131"/>
    </row>
    <row r="808" spans="1:14" hidden="1">
      <c r="A808" s="100" t="s">
        <v>862</v>
      </c>
      <c r="B808" s="101" t="s">
        <v>1126</v>
      </c>
      <c r="C808" s="99" t="s">
        <v>1127</v>
      </c>
      <c r="D808" s="38"/>
      <c r="E808" s="42">
        <v>1</v>
      </c>
      <c r="F808" s="9"/>
      <c r="G808" s="8">
        <f t="shared" si="34"/>
        <v>0.1008</v>
      </c>
      <c r="H808" s="188">
        <v>9.6000000000000002E-2</v>
      </c>
      <c r="I808" s="19">
        <f t="shared" si="35"/>
        <v>0</v>
      </c>
      <c r="L808" s="131"/>
      <c r="M808" s="131"/>
      <c r="N808" s="131"/>
    </row>
    <row r="809" spans="1:14" hidden="1">
      <c r="A809" s="100" t="s">
        <v>862</v>
      </c>
      <c r="B809" s="101" t="s">
        <v>1128</v>
      </c>
      <c r="C809" s="99" t="s">
        <v>1129</v>
      </c>
      <c r="D809" s="38"/>
      <c r="E809" s="42">
        <v>1</v>
      </c>
      <c r="F809" s="9"/>
      <c r="G809" s="8">
        <f t="shared" si="34"/>
        <v>0.10395</v>
      </c>
      <c r="H809" s="188">
        <v>9.9000000000000005E-2</v>
      </c>
      <c r="I809" s="19">
        <f t="shared" si="35"/>
        <v>0</v>
      </c>
      <c r="L809" s="131"/>
      <c r="M809" s="131"/>
      <c r="N809" s="131"/>
    </row>
    <row r="810" spans="1:14" hidden="1">
      <c r="A810" s="100" t="s">
        <v>862</v>
      </c>
      <c r="B810" s="101" t="s">
        <v>1130</v>
      </c>
      <c r="C810" s="99" t="s">
        <v>1131</v>
      </c>
      <c r="D810" s="38"/>
      <c r="E810" s="42">
        <v>1</v>
      </c>
      <c r="F810" s="9"/>
      <c r="G810" s="8">
        <f t="shared" si="34"/>
        <v>0.265125</v>
      </c>
      <c r="H810" s="188">
        <v>0.2525</v>
      </c>
      <c r="I810" s="19">
        <f t="shared" si="35"/>
        <v>0</v>
      </c>
      <c r="L810" s="131"/>
      <c r="M810" s="131"/>
      <c r="N810" s="131"/>
    </row>
    <row r="811" spans="1:14" hidden="1">
      <c r="A811" s="100" t="s">
        <v>862</v>
      </c>
      <c r="B811" s="101" t="s">
        <v>1132</v>
      </c>
      <c r="C811" s="99" t="s">
        <v>1133</v>
      </c>
      <c r="D811" s="38"/>
      <c r="E811" s="42">
        <v>1</v>
      </c>
      <c r="F811" s="9"/>
      <c r="G811" s="8">
        <f t="shared" si="34"/>
        <v>0.12180000000000001</v>
      </c>
      <c r="H811" s="188">
        <v>0.11600000000000001</v>
      </c>
      <c r="I811" s="19">
        <f t="shared" si="35"/>
        <v>0</v>
      </c>
      <c r="L811" s="131"/>
      <c r="M811" s="131"/>
      <c r="N811" s="131"/>
    </row>
    <row r="812" spans="1:14" hidden="1">
      <c r="A812" s="100" t="s">
        <v>862</v>
      </c>
      <c r="B812" s="101" t="s">
        <v>1134</v>
      </c>
      <c r="C812" s="99" t="s">
        <v>1135</v>
      </c>
      <c r="D812" s="38"/>
      <c r="E812" s="42">
        <v>1</v>
      </c>
      <c r="F812" s="9"/>
      <c r="G812" s="8">
        <f t="shared" si="34"/>
        <v>0.19950000000000001</v>
      </c>
      <c r="H812" s="188">
        <v>0.19</v>
      </c>
      <c r="I812" s="19">
        <f t="shared" si="35"/>
        <v>0</v>
      </c>
      <c r="L812" s="131"/>
      <c r="M812" s="131"/>
      <c r="N812" s="131"/>
    </row>
    <row r="813" spans="1:14" hidden="1">
      <c r="A813" s="100" t="s">
        <v>862</v>
      </c>
      <c r="B813" s="101" t="s">
        <v>1136</v>
      </c>
      <c r="C813" s="99" t="s">
        <v>1137</v>
      </c>
      <c r="D813" s="38"/>
      <c r="E813" s="42">
        <v>1</v>
      </c>
      <c r="F813" s="9"/>
      <c r="G813" s="8">
        <f t="shared" si="34"/>
        <v>0.479325</v>
      </c>
      <c r="H813" s="188">
        <v>0.45650000000000002</v>
      </c>
      <c r="I813" s="19">
        <f t="shared" si="35"/>
        <v>0</v>
      </c>
      <c r="L813" s="131"/>
      <c r="M813" s="131"/>
      <c r="N813" s="131"/>
    </row>
    <row r="814" spans="1:14" hidden="1">
      <c r="A814" s="100" t="s">
        <v>862</v>
      </c>
      <c r="B814" s="101" t="s">
        <v>1138</v>
      </c>
      <c r="C814" s="99" t="s">
        <v>1139</v>
      </c>
      <c r="D814" s="38"/>
      <c r="E814" s="42">
        <v>1</v>
      </c>
      <c r="F814" s="9"/>
      <c r="G814" s="8">
        <f t="shared" si="34"/>
        <v>0.34807500000000002</v>
      </c>
      <c r="H814" s="188">
        <v>0.33150000000000002</v>
      </c>
      <c r="I814" s="19">
        <f t="shared" si="35"/>
        <v>0</v>
      </c>
      <c r="L814" s="131"/>
      <c r="M814" s="131"/>
      <c r="N814" s="131"/>
    </row>
    <row r="815" spans="1:14" hidden="1">
      <c r="A815" s="100" t="s">
        <v>862</v>
      </c>
      <c r="B815" s="101" t="s">
        <v>1140</v>
      </c>
      <c r="C815" s="99" t="s">
        <v>1141</v>
      </c>
      <c r="D815" s="38"/>
      <c r="E815" s="42">
        <v>1</v>
      </c>
      <c r="F815" s="9"/>
      <c r="G815" s="8">
        <f t="shared" si="34"/>
        <v>2.6155500000000003</v>
      </c>
      <c r="H815" s="188">
        <v>2.4910000000000001</v>
      </c>
      <c r="I815" s="19">
        <f t="shared" si="35"/>
        <v>0</v>
      </c>
      <c r="L815" s="131"/>
      <c r="M815" s="131"/>
      <c r="N815" s="131"/>
    </row>
    <row r="816" spans="1:14" hidden="1">
      <c r="A816" s="100" t="s">
        <v>862</v>
      </c>
      <c r="B816" s="101" t="s">
        <v>1142</v>
      </c>
      <c r="C816" s="99" t="s">
        <v>1143</v>
      </c>
      <c r="D816" s="38"/>
      <c r="E816" s="42">
        <v>1</v>
      </c>
      <c r="F816" s="9"/>
      <c r="G816" s="8">
        <f t="shared" si="34"/>
        <v>6.3629999999999995</v>
      </c>
      <c r="H816" s="188">
        <v>6.06</v>
      </c>
      <c r="I816" s="19">
        <f t="shared" si="35"/>
        <v>0</v>
      </c>
      <c r="L816" s="131"/>
      <c r="M816" s="131"/>
      <c r="N816" s="131"/>
    </row>
    <row r="817" spans="1:14" hidden="1">
      <c r="A817" s="100" t="s">
        <v>862</v>
      </c>
      <c r="B817" s="101" t="s">
        <v>1144</v>
      </c>
      <c r="C817" s="99" t="s">
        <v>1145</v>
      </c>
      <c r="D817" s="38"/>
      <c r="E817" s="42">
        <v>1</v>
      </c>
      <c r="F817" s="9"/>
      <c r="G817" s="8">
        <f t="shared" si="34"/>
        <v>6.3629999999999995</v>
      </c>
      <c r="H817" s="188">
        <v>6.06</v>
      </c>
      <c r="I817" s="19">
        <f t="shared" si="35"/>
        <v>0</v>
      </c>
      <c r="L817" s="131"/>
      <c r="M817" s="131"/>
      <c r="N817" s="131"/>
    </row>
    <row r="818" spans="1:14" hidden="1">
      <c r="A818" s="100" t="s">
        <v>862</v>
      </c>
      <c r="B818" s="101" t="s">
        <v>1146</v>
      </c>
      <c r="C818" s="99" t="s">
        <v>1147</v>
      </c>
      <c r="D818" s="38"/>
      <c r="E818" s="42">
        <v>1</v>
      </c>
      <c r="F818" s="9"/>
      <c r="G818" s="8">
        <f t="shared" si="34"/>
        <v>0.15434999999999999</v>
      </c>
      <c r="H818" s="188">
        <v>0.14699999999999999</v>
      </c>
      <c r="I818" s="19">
        <f t="shared" si="35"/>
        <v>0</v>
      </c>
      <c r="L818" s="131"/>
      <c r="M818" s="131"/>
      <c r="N818" s="131"/>
    </row>
    <row r="819" spans="1:14" hidden="1">
      <c r="A819" s="100" t="s">
        <v>862</v>
      </c>
      <c r="B819" s="101" t="s">
        <v>1148</v>
      </c>
      <c r="C819" s="99" t="s">
        <v>1149</v>
      </c>
      <c r="D819" s="38"/>
      <c r="E819" s="42">
        <v>1</v>
      </c>
      <c r="F819" s="9"/>
      <c r="G819" s="8">
        <f t="shared" si="34"/>
        <v>2.0144250000000001</v>
      </c>
      <c r="H819" s="188">
        <v>1.9185000000000001</v>
      </c>
      <c r="I819" s="19">
        <f t="shared" si="35"/>
        <v>0</v>
      </c>
      <c r="L819" s="131"/>
      <c r="M819" s="131"/>
      <c r="N819" s="131"/>
    </row>
    <row r="820" spans="1:14" hidden="1">
      <c r="A820" s="100" t="s">
        <v>862</v>
      </c>
      <c r="B820" s="101" t="s">
        <v>1150</v>
      </c>
      <c r="C820" s="99" t="s">
        <v>1151</v>
      </c>
      <c r="D820" s="38"/>
      <c r="E820" s="42">
        <v>1</v>
      </c>
      <c r="F820" s="9"/>
      <c r="G820" s="8">
        <f t="shared" si="34"/>
        <v>2.0144250000000001</v>
      </c>
      <c r="H820" s="188">
        <v>1.9185000000000001</v>
      </c>
      <c r="I820" s="19">
        <f t="shared" si="35"/>
        <v>0</v>
      </c>
      <c r="L820" s="131"/>
      <c r="M820" s="131"/>
      <c r="N820" s="131"/>
    </row>
    <row r="821" spans="1:14" hidden="1">
      <c r="A821" s="100" t="s">
        <v>862</v>
      </c>
      <c r="B821" s="101" t="s">
        <v>1152</v>
      </c>
      <c r="C821" s="99" t="s">
        <v>1153</v>
      </c>
      <c r="D821" s="38"/>
      <c r="E821" s="42">
        <v>1</v>
      </c>
      <c r="F821" s="9"/>
      <c r="G821" s="8">
        <f t="shared" si="34"/>
        <v>0.47407500000000002</v>
      </c>
      <c r="H821" s="188">
        <v>0.45150000000000001</v>
      </c>
      <c r="I821" s="19">
        <f t="shared" si="35"/>
        <v>0</v>
      </c>
      <c r="L821" s="131"/>
      <c r="M821" s="131"/>
      <c r="N821" s="131"/>
    </row>
    <row r="822" spans="1:14" hidden="1">
      <c r="A822" s="100" t="s">
        <v>862</v>
      </c>
      <c r="B822" s="101" t="s">
        <v>1154</v>
      </c>
      <c r="C822" s="99" t="s">
        <v>1155</v>
      </c>
      <c r="D822" s="38"/>
      <c r="E822" s="42">
        <v>1</v>
      </c>
      <c r="F822" s="9"/>
      <c r="G822" s="8">
        <f t="shared" si="34"/>
        <v>4.9182000000000006</v>
      </c>
      <c r="H822" s="188">
        <v>4.6840000000000002</v>
      </c>
      <c r="I822" s="19">
        <f t="shared" si="35"/>
        <v>0</v>
      </c>
      <c r="L822" s="131"/>
      <c r="M822" s="131"/>
      <c r="N822" s="131"/>
    </row>
    <row r="823" spans="1:14" hidden="1">
      <c r="A823" s="100" t="s">
        <v>862</v>
      </c>
      <c r="B823" s="101" t="s">
        <v>1156</v>
      </c>
      <c r="C823" s="99" t="s">
        <v>1157</v>
      </c>
      <c r="D823" s="38"/>
      <c r="E823" s="42">
        <v>1</v>
      </c>
      <c r="F823" s="9"/>
      <c r="G823" s="8">
        <f t="shared" si="34"/>
        <v>4.9182000000000006</v>
      </c>
      <c r="H823" s="188">
        <v>4.6840000000000002</v>
      </c>
      <c r="I823" s="19">
        <f t="shared" si="35"/>
        <v>0</v>
      </c>
      <c r="L823" s="131"/>
      <c r="M823" s="131"/>
      <c r="N823" s="131"/>
    </row>
    <row r="824" spans="1:14" hidden="1">
      <c r="A824" s="100" t="s">
        <v>862</v>
      </c>
      <c r="B824" s="101" t="s">
        <v>1158</v>
      </c>
      <c r="C824" s="99" t="s">
        <v>1159</v>
      </c>
      <c r="D824" s="38"/>
      <c r="E824" s="42">
        <v>1</v>
      </c>
      <c r="F824" s="9"/>
      <c r="G824" s="8">
        <f t="shared" si="34"/>
        <v>0.94132499999999997</v>
      </c>
      <c r="H824" s="188">
        <v>0.89649999999999996</v>
      </c>
      <c r="I824" s="19">
        <f t="shared" si="35"/>
        <v>0</v>
      </c>
      <c r="L824" s="131"/>
      <c r="M824" s="131"/>
      <c r="N824" s="131"/>
    </row>
    <row r="825" spans="1:14" hidden="1">
      <c r="A825" s="100" t="s">
        <v>862</v>
      </c>
      <c r="B825" s="101" t="s">
        <v>1160</v>
      </c>
      <c r="C825" s="99" t="s">
        <v>1161</v>
      </c>
      <c r="D825" s="38"/>
      <c r="E825" s="42">
        <v>1</v>
      </c>
      <c r="F825" s="9"/>
      <c r="G825" s="8">
        <f t="shared" si="34"/>
        <v>1.0017</v>
      </c>
      <c r="H825" s="188">
        <v>0.95399999999999996</v>
      </c>
      <c r="I825" s="19">
        <f t="shared" si="35"/>
        <v>0</v>
      </c>
      <c r="L825" s="131"/>
      <c r="M825" s="131"/>
      <c r="N825" s="131"/>
    </row>
    <row r="826" spans="1:14" hidden="1">
      <c r="A826" s="100" t="s">
        <v>862</v>
      </c>
      <c r="B826" s="101" t="s">
        <v>1162</v>
      </c>
      <c r="C826" s="99" t="s">
        <v>1163</v>
      </c>
      <c r="D826" s="38"/>
      <c r="E826" s="42">
        <v>1</v>
      </c>
      <c r="F826" s="9"/>
      <c r="G826" s="8">
        <f t="shared" si="34"/>
        <v>9.5549999999999996E-2</v>
      </c>
      <c r="H826" s="188">
        <v>9.0999999999999998E-2</v>
      </c>
      <c r="I826" s="19">
        <f t="shared" si="35"/>
        <v>0</v>
      </c>
      <c r="L826" s="131"/>
      <c r="M826" s="131"/>
      <c r="N826" s="131"/>
    </row>
    <row r="827" spans="1:14" hidden="1">
      <c r="A827" s="100" t="s">
        <v>862</v>
      </c>
      <c r="B827" s="101" t="s">
        <v>1164</v>
      </c>
      <c r="C827" s="99" t="s">
        <v>1165</v>
      </c>
      <c r="D827" s="38"/>
      <c r="E827" s="42">
        <v>1</v>
      </c>
      <c r="F827" s="9"/>
      <c r="G827" s="8">
        <f t="shared" si="34"/>
        <v>3.9857999999999998</v>
      </c>
      <c r="H827" s="188">
        <v>3.7959999999999998</v>
      </c>
      <c r="I827" s="19">
        <f t="shared" si="35"/>
        <v>0</v>
      </c>
      <c r="L827" s="131"/>
      <c r="M827" s="131"/>
      <c r="N827" s="131"/>
    </row>
    <row r="828" spans="1:14" hidden="1">
      <c r="A828" s="100" t="s">
        <v>862</v>
      </c>
      <c r="B828" s="101" t="s">
        <v>1166</v>
      </c>
      <c r="C828" s="99" t="s">
        <v>1167</v>
      </c>
      <c r="D828" s="38"/>
      <c r="E828" s="42">
        <v>1</v>
      </c>
      <c r="F828" s="9"/>
      <c r="G828" s="8">
        <f t="shared" si="34"/>
        <v>1255.8</v>
      </c>
      <c r="H828" s="188">
        <v>1196</v>
      </c>
      <c r="I828" s="19">
        <f t="shared" si="35"/>
        <v>0</v>
      </c>
      <c r="L828" s="131"/>
      <c r="M828" s="131"/>
      <c r="N828" s="131"/>
    </row>
    <row r="829" spans="1:14" hidden="1">
      <c r="A829" s="100" t="s">
        <v>862</v>
      </c>
      <c r="B829" s="101" t="s">
        <v>1168</v>
      </c>
      <c r="C829" s="99" t="s">
        <v>1169</v>
      </c>
      <c r="D829" s="38"/>
      <c r="E829" s="42">
        <v>1</v>
      </c>
      <c r="F829" s="9"/>
      <c r="G829" s="8">
        <f t="shared" si="34"/>
        <v>136.5</v>
      </c>
      <c r="H829" s="188">
        <v>130</v>
      </c>
      <c r="I829" s="19">
        <f t="shared" si="35"/>
        <v>0</v>
      </c>
      <c r="L829" s="131"/>
      <c r="M829" s="131"/>
      <c r="N829" s="131"/>
    </row>
    <row r="830" spans="1:14" hidden="1">
      <c r="A830" s="100" t="s">
        <v>862</v>
      </c>
      <c r="B830" s="101" t="s">
        <v>1170</v>
      </c>
      <c r="C830" s="99" t="s">
        <v>1171</v>
      </c>
      <c r="D830" s="38"/>
      <c r="E830" s="42">
        <v>1</v>
      </c>
      <c r="F830" s="9"/>
      <c r="G830" s="8">
        <f t="shared" si="34"/>
        <v>304.854375</v>
      </c>
      <c r="H830" s="188">
        <v>290.33749999999998</v>
      </c>
      <c r="I830" s="19">
        <f t="shared" si="35"/>
        <v>0</v>
      </c>
      <c r="L830" s="131"/>
      <c r="M830" s="131"/>
      <c r="N830" s="131"/>
    </row>
    <row r="831" spans="1:14" hidden="1">
      <c r="A831" s="100" t="s">
        <v>862</v>
      </c>
      <c r="B831" s="101" t="s">
        <v>1172</v>
      </c>
      <c r="C831" s="99" t="s">
        <v>1173</v>
      </c>
      <c r="D831" s="38"/>
      <c r="E831" s="42">
        <v>1</v>
      </c>
      <c r="F831" s="9"/>
      <c r="G831" s="8">
        <f t="shared" si="34"/>
        <v>54.996375</v>
      </c>
      <c r="H831" s="188">
        <v>52.377499999999998</v>
      </c>
      <c r="I831" s="19">
        <f t="shared" si="35"/>
        <v>0</v>
      </c>
      <c r="L831" s="131"/>
      <c r="M831" s="131"/>
      <c r="N831" s="131"/>
    </row>
    <row r="832" spans="1:14" hidden="1">
      <c r="A832" s="100" t="s">
        <v>862</v>
      </c>
      <c r="B832" s="101" t="s">
        <v>1174</v>
      </c>
      <c r="C832" s="99" t="s">
        <v>1175</v>
      </c>
      <c r="D832" s="38"/>
      <c r="E832" s="42">
        <v>1</v>
      </c>
      <c r="F832" s="9"/>
      <c r="G832" s="8">
        <f t="shared" si="34"/>
        <v>184.27500000000001</v>
      </c>
      <c r="H832" s="188">
        <v>175.5</v>
      </c>
      <c r="I832" s="19">
        <f t="shared" si="35"/>
        <v>0</v>
      </c>
      <c r="L832" s="131"/>
      <c r="M832" s="131"/>
      <c r="N832" s="131"/>
    </row>
    <row r="833" spans="1:14" hidden="1">
      <c r="A833" s="100" t="s">
        <v>862</v>
      </c>
      <c r="B833" s="101" t="s">
        <v>1176</v>
      </c>
      <c r="C833" s="99" t="s">
        <v>1177</v>
      </c>
      <c r="D833" s="38"/>
      <c r="E833" s="42">
        <v>1</v>
      </c>
      <c r="F833" s="9"/>
      <c r="G833" s="8">
        <f t="shared" si="34"/>
        <v>141.04124999999999</v>
      </c>
      <c r="H833" s="188">
        <v>134.32499999999999</v>
      </c>
      <c r="I833" s="19">
        <f t="shared" si="35"/>
        <v>0</v>
      </c>
      <c r="L833" s="131"/>
      <c r="M833" s="131"/>
      <c r="N833" s="131"/>
    </row>
    <row r="834" spans="1:14" hidden="1">
      <c r="A834" s="100" t="s">
        <v>862</v>
      </c>
      <c r="B834" s="101" t="s">
        <v>1178</v>
      </c>
      <c r="C834" s="99" t="s">
        <v>1179</v>
      </c>
      <c r="D834" s="38"/>
      <c r="E834" s="42">
        <v>1</v>
      </c>
      <c r="F834" s="9"/>
      <c r="G834" s="8">
        <f t="shared" si="34"/>
        <v>48.874875000000003</v>
      </c>
      <c r="H834" s="188">
        <v>46.547499999999999</v>
      </c>
      <c r="I834" s="19">
        <f t="shared" si="35"/>
        <v>0</v>
      </c>
      <c r="L834" s="131"/>
      <c r="M834" s="131"/>
      <c r="N834" s="131"/>
    </row>
    <row r="835" spans="1:14" hidden="1">
      <c r="A835" s="100" t="s">
        <v>862</v>
      </c>
      <c r="B835" s="101" t="s">
        <v>1180</v>
      </c>
      <c r="C835" s="99" t="s">
        <v>1181</v>
      </c>
      <c r="D835" s="38"/>
      <c r="E835" s="42">
        <v>1</v>
      </c>
      <c r="F835" s="9"/>
      <c r="G835" s="8">
        <f t="shared" si="34"/>
        <v>29.062949999999997</v>
      </c>
      <c r="H835" s="188">
        <v>27.678999999999998</v>
      </c>
      <c r="I835" s="19">
        <f t="shared" si="35"/>
        <v>0</v>
      </c>
      <c r="L835" s="131"/>
      <c r="M835" s="131"/>
      <c r="N835" s="131"/>
    </row>
    <row r="836" spans="1:14" hidden="1">
      <c r="A836" s="100" t="s">
        <v>862</v>
      </c>
      <c r="B836" s="101" t="s">
        <v>1182</v>
      </c>
      <c r="C836" s="99" t="s">
        <v>1183</v>
      </c>
      <c r="D836" s="38"/>
      <c r="E836" s="42">
        <v>1</v>
      </c>
      <c r="F836" s="9"/>
      <c r="G836" s="8">
        <f t="shared" si="34"/>
        <v>0.92557499999999993</v>
      </c>
      <c r="H836" s="188">
        <v>0.88149999999999995</v>
      </c>
      <c r="I836" s="19">
        <f t="shared" si="35"/>
        <v>0</v>
      </c>
      <c r="L836" s="131"/>
      <c r="M836" s="131"/>
      <c r="N836" s="131"/>
    </row>
    <row r="837" spans="1:14" hidden="1">
      <c r="A837" s="100" t="s">
        <v>862</v>
      </c>
      <c r="B837" s="101" t="s">
        <v>1184</v>
      </c>
      <c r="C837" s="99" t="s">
        <v>1185</v>
      </c>
      <c r="D837" s="38"/>
      <c r="E837" s="42">
        <v>1</v>
      </c>
      <c r="F837" s="9"/>
      <c r="G837" s="8">
        <f t="shared" si="34"/>
        <v>0.92557499999999993</v>
      </c>
      <c r="H837" s="188">
        <v>0.88149999999999995</v>
      </c>
      <c r="I837" s="19">
        <f t="shared" si="35"/>
        <v>0</v>
      </c>
      <c r="L837" s="131"/>
      <c r="M837" s="131"/>
      <c r="N837" s="131"/>
    </row>
    <row r="838" spans="1:14" hidden="1">
      <c r="A838" s="100" t="s">
        <v>862</v>
      </c>
      <c r="B838" s="101" t="s">
        <v>1186</v>
      </c>
      <c r="C838" s="99" t="s">
        <v>1187</v>
      </c>
      <c r="D838" s="38"/>
      <c r="E838" s="42">
        <v>1</v>
      </c>
      <c r="F838" s="9"/>
      <c r="G838" s="8">
        <f t="shared" si="34"/>
        <v>0.92557499999999993</v>
      </c>
      <c r="H838" s="188">
        <v>0.88149999999999995</v>
      </c>
      <c r="I838" s="19">
        <f t="shared" si="35"/>
        <v>0</v>
      </c>
      <c r="L838" s="131"/>
      <c r="M838" s="131"/>
      <c r="N838" s="131"/>
    </row>
    <row r="839" spans="1:14" hidden="1">
      <c r="A839" s="100" t="s">
        <v>862</v>
      </c>
      <c r="B839" s="101" t="s">
        <v>1188</v>
      </c>
      <c r="C839" s="99" t="s">
        <v>1189</v>
      </c>
      <c r="D839" s="38"/>
      <c r="E839" s="42">
        <v>1</v>
      </c>
      <c r="F839" s="9"/>
      <c r="G839" s="8">
        <f t="shared" si="34"/>
        <v>0.92557499999999993</v>
      </c>
      <c r="H839" s="188">
        <v>0.88149999999999995</v>
      </c>
      <c r="I839" s="19">
        <f t="shared" si="35"/>
        <v>0</v>
      </c>
      <c r="L839" s="131"/>
      <c r="M839" s="131"/>
      <c r="N839" s="131"/>
    </row>
    <row r="840" spans="1:14" hidden="1">
      <c r="A840" s="100" t="s">
        <v>862</v>
      </c>
      <c r="B840" s="101" t="s">
        <v>1190</v>
      </c>
      <c r="C840" s="99" t="s">
        <v>1191</v>
      </c>
      <c r="D840" s="38"/>
      <c r="E840" s="42">
        <v>1</v>
      </c>
      <c r="F840" s="9"/>
      <c r="G840" s="8">
        <f t="shared" si="34"/>
        <v>0.92557499999999993</v>
      </c>
      <c r="H840" s="188">
        <v>0.88149999999999995</v>
      </c>
      <c r="I840" s="19">
        <f t="shared" si="35"/>
        <v>0</v>
      </c>
      <c r="L840" s="131"/>
      <c r="M840" s="131"/>
      <c r="N840" s="131"/>
    </row>
    <row r="841" spans="1:14" hidden="1">
      <c r="A841" s="100" t="s">
        <v>862</v>
      </c>
      <c r="B841" s="101" t="s">
        <v>1192</v>
      </c>
      <c r="C841" s="99" t="s">
        <v>1193</v>
      </c>
      <c r="D841" s="38"/>
      <c r="E841" s="42">
        <v>1</v>
      </c>
      <c r="F841" s="9"/>
      <c r="G841" s="8">
        <f t="shared" si="34"/>
        <v>0.92557499999999993</v>
      </c>
      <c r="H841" s="188">
        <v>0.88149999999999995</v>
      </c>
      <c r="I841" s="19">
        <f t="shared" si="35"/>
        <v>0</v>
      </c>
      <c r="L841" s="131"/>
      <c r="M841" s="131"/>
      <c r="N841" s="131"/>
    </row>
    <row r="842" spans="1:14" hidden="1">
      <c r="A842" s="100" t="s">
        <v>862</v>
      </c>
      <c r="B842" s="101" t="s">
        <v>1194</v>
      </c>
      <c r="C842" s="99" t="s">
        <v>1195</v>
      </c>
      <c r="D842" s="38"/>
      <c r="E842" s="42">
        <v>1</v>
      </c>
      <c r="F842" s="9"/>
      <c r="G842" s="8">
        <f t="shared" si="34"/>
        <v>0.92557499999999993</v>
      </c>
      <c r="H842" s="188">
        <v>0.88149999999999995</v>
      </c>
      <c r="I842" s="19">
        <f t="shared" si="35"/>
        <v>0</v>
      </c>
      <c r="L842" s="131"/>
      <c r="M842" s="131"/>
      <c r="N842" s="131"/>
    </row>
    <row r="843" spans="1:14" hidden="1">
      <c r="A843" s="100" t="s">
        <v>862</v>
      </c>
      <c r="B843" s="101" t="s">
        <v>1196</v>
      </c>
      <c r="C843" s="99" t="s">
        <v>1197</v>
      </c>
      <c r="D843" s="38"/>
      <c r="E843" s="42">
        <v>1</v>
      </c>
      <c r="F843" s="9"/>
      <c r="G843" s="8">
        <f t="shared" si="34"/>
        <v>0.92557499999999993</v>
      </c>
      <c r="H843" s="188">
        <v>0.88149999999999995</v>
      </c>
      <c r="I843" s="19">
        <f t="shared" si="35"/>
        <v>0</v>
      </c>
      <c r="L843" s="131"/>
      <c r="M843" s="131"/>
      <c r="N843" s="131"/>
    </row>
    <row r="844" spans="1:14" hidden="1">
      <c r="A844" s="100" t="s">
        <v>862</v>
      </c>
      <c r="B844" s="101" t="s">
        <v>1198</v>
      </c>
      <c r="C844" s="99" t="s">
        <v>1199</v>
      </c>
      <c r="D844" s="38"/>
      <c r="E844" s="42">
        <v>1</v>
      </c>
      <c r="F844" s="9"/>
      <c r="G844" s="8">
        <f t="shared" si="34"/>
        <v>0.92557499999999993</v>
      </c>
      <c r="H844" s="188">
        <v>0.88149999999999995</v>
      </c>
      <c r="I844" s="19">
        <f t="shared" si="35"/>
        <v>0</v>
      </c>
      <c r="L844" s="131"/>
      <c r="M844" s="131"/>
      <c r="N844" s="131"/>
    </row>
    <row r="845" spans="1:14" hidden="1">
      <c r="A845" s="100" t="s">
        <v>862</v>
      </c>
      <c r="B845" s="101" t="s">
        <v>1200</v>
      </c>
      <c r="C845" s="99" t="s">
        <v>1201</v>
      </c>
      <c r="D845" s="38"/>
      <c r="E845" s="42">
        <v>1</v>
      </c>
      <c r="F845" s="9"/>
      <c r="G845" s="8">
        <f t="shared" si="34"/>
        <v>0.92557499999999993</v>
      </c>
      <c r="H845" s="188">
        <v>0.88149999999999995</v>
      </c>
      <c r="I845" s="19">
        <f t="shared" si="35"/>
        <v>0</v>
      </c>
      <c r="L845" s="131"/>
      <c r="M845" s="131"/>
      <c r="N845" s="131"/>
    </row>
    <row r="846" spans="1:14" hidden="1">
      <c r="A846" s="100" t="s">
        <v>862</v>
      </c>
      <c r="B846" s="101" t="s">
        <v>1202</v>
      </c>
      <c r="C846" s="99" t="s">
        <v>1203</v>
      </c>
      <c r="D846" s="38"/>
      <c r="E846" s="42">
        <v>1</v>
      </c>
      <c r="F846" s="9"/>
      <c r="G846" s="8">
        <f t="shared" si="34"/>
        <v>0.92557499999999993</v>
      </c>
      <c r="H846" s="188">
        <v>0.88149999999999995</v>
      </c>
      <c r="I846" s="19">
        <f t="shared" si="35"/>
        <v>0</v>
      </c>
      <c r="L846" s="131"/>
      <c r="M846" s="131"/>
      <c r="N846" s="131"/>
    </row>
    <row r="847" spans="1:14" hidden="1">
      <c r="A847" s="100" t="s">
        <v>862</v>
      </c>
      <c r="B847" s="101" t="s">
        <v>1204</v>
      </c>
      <c r="C847" s="99" t="s">
        <v>1205</v>
      </c>
      <c r="D847" s="38"/>
      <c r="E847" s="42">
        <v>1</v>
      </c>
      <c r="F847" s="9"/>
      <c r="G847" s="8">
        <f t="shared" si="34"/>
        <v>0.92557499999999993</v>
      </c>
      <c r="H847" s="188">
        <v>0.88149999999999995</v>
      </c>
      <c r="I847" s="19">
        <f t="shared" si="35"/>
        <v>0</v>
      </c>
      <c r="L847" s="131"/>
      <c r="M847" s="131"/>
      <c r="N847" s="131"/>
    </row>
    <row r="848" spans="1:14" hidden="1">
      <c r="A848" s="100" t="s">
        <v>862</v>
      </c>
      <c r="B848" s="101" t="s">
        <v>1206</v>
      </c>
      <c r="C848" s="99" t="s">
        <v>1207</v>
      </c>
      <c r="D848" s="38"/>
      <c r="E848" s="42">
        <v>1</v>
      </c>
      <c r="F848" s="9"/>
      <c r="G848" s="8">
        <f t="shared" si="34"/>
        <v>0.92557499999999993</v>
      </c>
      <c r="H848" s="188">
        <v>0.88149999999999995</v>
      </c>
      <c r="I848" s="19">
        <f t="shared" si="35"/>
        <v>0</v>
      </c>
      <c r="L848" s="131"/>
      <c r="M848" s="131"/>
      <c r="N848" s="131"/>
    </row>
    <row r="849" spans="1:14" hidden="1">
      <c r="A849" s="100" t="s">
        <v>862</v>
      </c>
      <c r="B849" s="101" t="s">
        <v>1208</v>
      </c>
      <c r="C849" s="99" t="s">
        <v>1209</v>
      </c>
      <c r="D849" s="38"/>
      <c r="E849" s="42">
        <v>1</v>
      </c>
      <c r="F849" s="9"/>
      <c r="G849" s="8">
        <f t="shared" si="34"/>
        <v>0.92557499999999993</v>
      </c>
      <c r="H849" s="188">
        <v>0.88149999999999995</v>
      </c>
      <c r="I849" s="19">
        <f t="shared" si="35"/>
        <v>0</v>
      </c>
      <c r="L849" s="131"/>
      <c r="M849" s="131"/>
      <c r="N849" s="131"/>
    </row>
    <row r="850" spans="1:14" hidden="1">
      <c r="A850" s="100" t="s">
        <v>862</v>
      </c>
      <c r="B850" s="101" t="s">
        <v>1210</v>
      </c>
      <c r="C850" s="99" t="s">
        <v>1211</v>
      </c>
      <c r="D850" s="38"/>
      <c r="E850" s="42">
        <v>1</v>
      </c>
      <c r="F850" s="9"/>
      <c r="G850" s="8">
        <f t="shared" si="34"/>
        <v>0.92557499999999993</v>
      </c>
      <c r="H850" s="188">
        <v>0.88149999999999995</v>
      </c>
      <c r="I850" s="19">
        <f t="shared" si="35"/>
        <v>0</v>
      </c>
      <c r="L850" s="131"/>
      <c r="M850" s="131"/>
      <c r="N850" s="131"/>
    </row>
    <row r="851" spans="1:14" hidden="1">
      <c r="A851" s="100" t="s">
        <v>862</v>
      </c>
      <c r="B851" s="101" t="s">
        <v>1212</v>
      </c>
      <c r="C851" s="99" t="s">
        <v>1213</v>
      </c>
      <c r="D851" s="38"/>
      <c r="E851" s="42">
        <v>1</v>
      </c>
      <c r="F851" s="9"/>
      <c r="G851" s="8">
        <f t="shared" si="34"/>
        <v>0.92557499999999993</v>
      </c>
      <c r="H851" s="188">
        <v>0.88149999999999995</v>
      </c>
      <c r="I851" s="19">
        <f t="shared" si="35"/>
        <v>0</v>
      </c>
      <c r="L851" s="131"/>
      <c r="M851" s="131"/>
      <c r="N851" s="131"/>
    </row>
    <row r="852" spans="1:14" hidden="1">
      <c r="A852" s="100" t="s">
        <v>862</v>
      </c>
      <c r="B852" s="101" t="s">
        <v>1214</v>
      </c>
      <c r="C852" s="99" t="s">
        <v>1215</v>
      </c>
      <c r="D852" s="38"/>
      <c r="E852" s="42">
        <v>1</v>
      </c>
      <c r="F852" s="9"/>
      <c r="G852" s="8">
        <f t="shared" si="34"/>
        <v>0.92557499999999993</v>
      </c>
      <c r="H852" s="188">
        <v>0.88149999999999995</v>
      </c>
      <c r="I852" s="19">
        <f t="shared" si="35"/>
        <v>0</v>
      </c>
      <c r="L852" s="131"/>
      <c r="M852" s="131"/>
      <c r="N852" s="131"/>
    </row>
    <row r="853" spans="1:14" hidden="1">
      <c r="A853" s="100" t="s">
        <v>862</v>
      </c>
      <c r="B853" s="101" t="s">
        <v>1216</v>
      </c>
      <c r="C853" s="99" t="s">
        <v>1217</v>
      </c>
      <c r="D853" s="38"/>
      <c r="E853" s="42">
        <v>1</v>
      </c>
      <c r="F853" s="9"/>
      <c r="G853" s="8">
        <f t="shared" si="34"/>
        <v>0.92557499999999993</v>
      </c>
      <c r="H853" s="188">
        <v>0.88149999999999995</v>
      </c>
      <c r="I853" s="19">
        <f t="shared" si="35"/>
        <v>0</v>
      </c>
      <c r="L853" s="131"/>
      <c r="M853" s="131"/>
      <c r="N853" s="131"/>
    </row>
    <row r="854" spans="1:14" hidden="1">
      <c r="A854" s="100" t="s">
        <v>862</v>
      </c>
      <c r="B854" s="101" t="s">
        <v>1218</v>
      </c>
      <c r="C854" s="99" t="s">
        <v>1219</v>
      </c>
      <c r="D854" s="38"/>
      <c r="E854" s="42">
        <v>1</v>
      </c>
      <c r="F854" s="9"/>
      <c r="G854" s="8">
        <f t="shared" si="34"/>
        <v>0.92557499999999993</v>
      </c>
      <c r="H854" s="188">
        <v>0.88149999999999995</v>
      </c>
      <c r="I854" s="19">
        <f t="shared" si="35"/>
        <v>0</v>
      </c>
      <c r="L854" s="131"/>
      <c r="M854" s="131"/>
      <c r="N854" s="131"/>
    </row>
    <row r="855" spans="1:14" hidden="1">
      <c r="A855" s="100" t="s">
        <v>862</v>
      </c>
      <c r="B855" s="101" t="s">
        <v>1220</v>
      </c>
      <c r="C855" s="99" t="s">
        <v>1221</v>
      </c>
      <c r="D855" s="38"/>
      <c r="E855" s="42">
        <v>1</v>
      </c>
      <c r="F855" s="9"/>
      <c r="G855" s="8">
        <f t="shared" si="34"/>
        <v>0.23100000000000001</v>
      </c>
      <c r="H855" s="188">
        <v>0.22</v>
      </c>
      <c r="I855" s="19">
        <f t="shared" si="35"/>
        <v>0</v>
      </c>
      <c r="L855" s="131"/>
      <c r="M855" s="131"/>
      <c r="N855" s="131"/>
    </row>
    <row r="856" spans="1:14" hidden="1">
      <c r="A856" s="100" t="s">
        <v>862</v>
      </c>
      <c r="B856" s="101" t="s">
        <v>1222</v>
      </c>
      <c r="C856" s="99" t="s">
        <v>1223</v>
      </c>
      <c r="D856" s="38"/>
      <c r="E856" s="42">
        <v>1</v>
      </c>
      <c r="F856" s="9"/>
      <c r="G856" s="8">
        <f t="shared" si="34"/>
        <v>0.49244999999999994</v>
      </c>
      <c r="H856" s="188">
        <v>0.46899999999999997</v>
      </c>
      <c r="I856" s="19">
        <f t="shared" si="35"/>
        <v>0</v>
      </c>
      <c r="L856" s="131"/>
      <c r="M856" s="131"/>
      <c r="N856" s="131"/>
    </row>
    <row r="857" spans="1:14" hidden="1">
      <c r="A857" s="100" t="s">
        <v>862</v>
      </c>
      <c r="B857" s="101" t="s">
        <v>1224</v>
      </c>
      <c r="C857" s="99" t="s">
        <v>1225</v>
      </c>
      <c r="D857" s="38"/>
      <c r="E857" s="42">
        <v>1</v>
      </c>
      <c r="F857" s="9"/>
      <c r="G857" s="8">
        <f t="shared" si="34"/>
        <v>0.49244999999999994</v>
      </c>
      <c r="H857" s="188">
        <v>0.46899999999999997</v>
      </c>
      <c r="I857" s="19">
        <f t="shared" si="35"/>
        <v>0</v>
      </c>
      <c r="L857" s="131"/>
      <c r="M857" s="131"/>
      <c r="N857" s="131"/>
    </row>
    <row r="858" spans="1:14" hidden="1">
      <c r="A858" s="100" t="s">
        <v>862</v>
      </c>
      <c r="B858" s="101" t="s">
        <v>1226</v>
      </c>
      <c r="C858" s="99" t="s">
        <v>1227</v>
      </c>
      <c r="D858" s="38"/>
      <c r="E858" s="42">
        <v>1</v>
      </c>
      <c r="F858" s="9"/>
      <c r="G858" s="8">
        <f t="shared" si="34"/>
        <v>0.92557499999999993</v>
      </c>
      <c r="H858" s="188">
        <v>0.88149999999999995</v>
      </c>
      <c r="I858" s="19">
        <f t="shared" si="35"/>
        <v>0</v>
      </c>
      <c r="L858" s="131"/>
      <c r="M858" s="131"/>
      <c r="N858" s="131"/>
    </row>
    <row r="859" spans="1:14" hidden="1">
      <c r="A859" s="100" t="s">
        <v>862</v>
      </c>
      <c r="B859" s="101" t="s">
        <v>1228</v>
      </c>
      <c r="C859" s="99" t="s">
        <v>1229</v>
      </c>
      <c r="D859" s="38"/>
      <c r="E859" s="42">
        <v>1</v>
      </c>
      <c r="F859" s="9"/>
      <c r="G859" s="8">
        <f t="shared" si="34"/>
        <v>0.92557499999999993</v>
      </c>
      <c r="H859" s="188">
        <v>0.88149999999999995</v>
      </c>
      <c r="I859" s="19">
        <f t="shared" si="35"/>
        <v>0</v>
      </c>
      <c r="L859" s="131"/>
      <c r="M859" s="131"/>
      <c r="N859" s="131"/>
    </row>
    <row r="860" spans="1:14" hidden="1">
      <c r="A860" s="100" t="s">
        <v>862</v>
      </c>
      <c r="B860" s="101" t="s">
        <v>1230</v>
      </c>
      <c r="C860" s="99" t="s">
        <v>1231</v>
      </c>
      <c r="D860" s="38"/>
      <c r="E860" s="42">
        <v>1</v>
      </c>
      <c r="F860" s="9"/>
      <c r="G860" s="8">
        <f t="shared" si="34"/>
        <v>0.92557499999999993</v>
      </c>
      <c r="H860" s="188">
        <v>0.88149999999999995</v>
      </c>
      <c r="I860" s="19">
        <f t="shared" si="35"/>
        <v>0</v>
      </c>
      <c r="L860" s="131"/>
      <c r="M860" s="131"/>
      <c r="N860" s="131"/>
    </row>
    <row r="861" spans="1:14" hidden="1">
      <c r="A861" s="100" t="s">
        <v>862</v>
      </c>
      <c r="B861" s="101" t="s">
        <v>1232</v>
      </c>
      <c r="C861" s="99" t="s">
        <v>1233</v>
      </c>
      <c r="D861" s="38"/>
      <c r="E861" s="42">
        <v>1</v>
      </c>
      <c r="F861" s="9"/>
      <c r="G861" s="8">
        <f t="shared" si="34"/>
        <v>0.92557499999999993</v>
      </c>
      <c r="H861" s="188">
        <v>0.88149999999999995</v>
      </c>
      <c r="I861" s="19">
        <f t="shared" si="35"/>
        <v>0</v>
      </c>
      <c r="L861" s="131"/>
      <c r="M861" s="131"/>
      <c r="N861" s="131"/>
    </row>
    <row r="862" spans="1:14" hidden="1">
      <c r="A862" s="100" t="s">
        <v>862</v>
      </c>
      <c r="B862" s="101" t="s">
        <v>1234</v>
      </c>
      <c r="C862" s="99" t="s">
        <v>1235</v>
      </c>
      <c r="D862" s="38"/>
      <c r="E862" s="42">
        <v>1</v>
      </c>
      <c r="F862" s="9"/>
      <c r="G862" s="8">
        <f t="shared" si="34"/>
        <v>0.92557499999999993</v>
      </c>
      <c r="H862" s="188">
        <v>0.88149999999999995</v>
      </c>
      <c r="I862" s="19">
        <f t="shared" si="35"/>
        <v>0</v>
      </c>
      <c r="L862" s="131"/>
      <c r="M862" s="131"/>
      <c r="N862" s="131"/>
    </row>
    <row r="863" spans="1:14" hidden="1">
      <c r="A863" s="100" t="s">
        <v>862</v>
      </c>
      <c r="B863" s="101" t="s">
        <v>1236</v>
      </c>
      <c r="C863" s="99" t="s">
        <v>1237</v>
      </c>
      <c r="D863" s="38"/>
      <c r="E863" s="42">
        <v>1</v>
      </c>
      <c r="F863" s="9"/>
      <c r="G863" s="8">
        <f t="shared" si="34"/>
        <v>0.92557499999999993</v>
      </c>
      <c r="H863" s="188">
        <v>0.88149999999999995</v>
      </c>
      <c r="I863" s="19">
        <f t="shared" si="35"/>
        <v>0</v>
      </c>
      <c r="L863" s="131"/>
      <c r="M863" s="131"/>
      <c r="N863" s="131"/>
    </row>
    <row r="864" spans="1:14" hidden="1">
      <c r="A864" s="100" t="s">
        <v>862</v>
      </c>
      <c r="B864" s="101" t="s">
        <v>1238</v>
      </c>
      <c r="C864" s="99" t="s">
        <v>1239</v>
      </c>
      <c r="D864" s="38"/>
      <c r="E864" s="42">
        <v>1</v>
      </c>
      <c r="F864" s="9"/>
      <c r="G864" s="8">
        <f t="shared" si="34"/>
        <v>0.92557499999999993</v>
      </c>
      <c r="H864" s="188">
        <v>0.88149999999999995</v>
      </c>
      <c r="I864" s="19">
        <f t="shared" si="35"/>
        <v>0</v>
      </c>
      <c r="L864" s="131"/>
      <c r="M864" s="131"/>
      <c r="N864" s="131"/>
    </row>
    <row r="865" spans="1:14" hidden="1">
      <c r="A865" s="100" t="s">
        <v>862</v>
      </c>
      <c r="B865" s="101" t="s">
        <v>1240</v>
      </c>
      <c r="C865" s="99" t="s">
        <v>1241</v>
      </c>
      <c r="D865" s="38"/>
      <c r="E865" s="42">
        <v>1</v>
      </c>
      <c r="F865" s="9"/>
      <c r="G865" s="8">
        <f t="shared" si="34"/>
        <v>0.92557499999999993</v>
      </c>
      <c r="H865" s="188">
        <v>0.88149999999999995</v>
      </c>
      <c r="I865" s="19">
        <f t="shared" si="35"/>
        <v>0</v>
      </c>
      <c r="L865" s="131"/>
      <c r="M865" s="131"/>
      <c r="N865" s="131"/>
    </row>
    <row r="866" spans="1:14" hidden="1">
      <c r="A866" s="100" t="s">
        <v>862</v>
      </c>
      <c r="B866" s="101" t="s">
        <v>1242</v>
      </c>
      <c r="C866" s="99" t="s">
        <v>1243</v>
      </c>
      <c r="D866" s="38"/>
      <c r="E866" s="42">
        <v>1</v>
      </c>
      <c r="F866" s="9"/>
      <c r="G866" s="8">
        <f t="shared" si="34"/>
        <v>0.92557499999999993</v>
      </c>
      <c r="H866" s="188">
        <v>0.88149999999999995</v>
      </c>
      <c r="I866" s="19">
        <f t="shared" si="35"/>
        <v>0</v>
      </c>
      <c r="L866" s="131"/>
      <c r="M866" s="131"/>
      <c r="N866" s="131"/>
    </row>
    <row r="867" spans="1:14" hidden="1">
      <c r="A867" s="100" t="s">
        <v>862</v>
      </c>
      <c r="B867" s="101" t="s">
        <v>1244</v>
      </c>
      <c r="C867" s="99" t="s">
        <v>1245</v>
      </c>
      <c r="D867" s="38"/>
      <c r="E867" s="42">
        <v>1</v>
      </c>
      <c r="F867" s="9"/>
      <c r="G867" s="8">
        <f t="shared" si="34"/>
        <v>0.92557499999999993</v>
      </c>
      <c r="H867" s="188">
        <v>0.88149999999999995</v>
      </c>
      <c r="I867" s="19">
        <f t="shared" si="35"/>
        <v>0</v>
      </c>
      <c r="L867" s="131"/>
      <c r="M867" s="131"/>
      <c r="N867" s="131"/>
    </row>
    <row r="868" spans="1:14" hidden="1">
      <c r="A868" s="100" t="s">
        <v>862</v>
      </c>
      <c r="B868" s="101" t="s">
        <v>1246</v>
      </c>
      <c r="C868" s="99" t="s">
        <v>1247</v>
      </c>
      <c r="D868" s="38"/>
      <c r="E868" s="42">
        <v>1</v>
      </c>
      <c r="F868" s="9"/>
      <c r="G868" s="8">
        <f t="shared" si="34"/>
        <v>0.92557499999999993</v>
      </c>
      <c r="H868" s="188">
        <v>0.88149999999999995</v>
      </c>
      <c r="I868" s="19">
        <f t="shared" si="35"/>
        <v>0</v>
      </c>
      <c r="L868" s="131"/>
      <c r="M868" s="131"/>
      <c r="N868" s="131"/>
    </row>
    <row r="869" spans="1:14" hidden="1">
      <c r="A869" s="100" t="s">
        <v>862</v>
      </c>
      <c r="B869" s="101" t="s">
        <v>1248</v>
      </c>
      <c r="C869" s="99" t="s">
        <v>1249</v>
      </c>
      <c r="D869" s="38"/>
      <c r="E869" s="42">
        <v>1</v>
      </c>
      <c r="F869" s="9"/>
      <c r="G869" s="8">
        <f t="shared" ref="G869:G932" si="36">H869+(H869*5%)</f>
        <v>0.92557499999999993</v>
      </c>
      <c r="H869" s="188">
        <v>0.88149999999999995</v>
      </c>
      <c r="I869" s="19">
        <f t="shared" si="35"/>
        <v>0</v>
      </c>
      <c r="L869" s="131"/>
      <c r="M869" s="131"/>
      <c r="N869" s="131"/>
    </row>
    <row r="870" spans="1:14" hidden="1">
      <c r="A870" s="100" t="s">
        <v>862</v>
      </c>
      <c r="B870" s="101" t="s">
        <v>1250</v>
      </c>
      <c r="C870" s="99" t="s">
        <v>1251</v>
      </c>
      <c r="D870" s="38"/>
      <c r="E870" s="42">
        <v>1</v>
      </c>
      <c r="F870" s="9"/>
      <c r="G870" s="8">
        <f t="shared" si="36"/>
        <v>0.92557499999999993</v>
      </c>
      <c r="H870" s="188">
        <v>0.88149999999999995</v>
      </c>
      <c r="I870" s="19">
        <f t="shared" ref="I870:I933" si="37">G870*F870</f>
        <v>0</v>
      </c>
      <c r="L870" s="131"/>
      <c r="M870" s="131"/>
      <c r="N870" s="131"/>
    </row>
    <row r="871" spans="1:14" hidden="1">
      <c r="A871" s="100" t="s">
        <v>862</v>
      </c>
      <c r="B871" s="101" t="s">
        <v>1252</v>
      </c>
      <c r="C871" s="99" t="s">
        <v>1253</v>
      </c>
      <c r="D871" s="38"/>
      <c r="E871" s="42">
        <v>1</v>
      </c>
      <c r="F871" s="9"/>
      <c r="G871" s="8">
        <f t="shared" si="36"/>
        <v>0.92557499999999993</v>
      </c>
      <c r="H871" s="188">
        <v>0.88149999999999995</v>
      </c>
      <c r="I871" s="19">
        <f t="shared" si="37"/>
        <v>0</v>
      </c>
      <c r="L871" s="131"/>
      <c r="M871" s="131"/>
      <c r="N871" s="131"/>
    </row>
    <row r="872" spans="1:14" hidden="1">
      <c r="A872" s="100" t="s">
        <v>862</v>
      </c>
      <c r="B872" s="101" t="s">
        <v>1254</v>
      </c>
      <c r="C872" s="99" t="s">
        <v>1255</v>
      </c>
      <c r="D872" s="38"/>
      <c r="E872" s="42">
        <v>1</v>
      </c>
      <c r="F872" s="9"/>
      <c r="G872" s="8">
        <f t="shared" si="36"/>
        <v>0.92557499999999993</v>
      </c>
      <c r="H872" s="188">
        <v>0.88149999999999995</v>
      </c>
      <c r="I872" s="19">
        <f t="shared" si="37"/>
        <v>0</v>
      </c>
      <c r="L872" s="131"/>
      <c r="M872" s="131"/>
      <c r="N872" s="131"/>
    </row>
    <row r="873" spans="1:14" hidden="1">
      <c r="A873" s="100" t="s">
        <v>862</v>
      </c>
      <c r="B873" s="101" t="s">
        <v>1256</v>
      </c>
      <c r="C873" s="99" t="s">
        <v>1257</v>
      </c>
      <c r="D873" s="38"/>
      <c r="E873" s="42">
        <v>1</v>
      </c>
      <c r="F873" s="9"/>
      <c r="G873" s="8">
        <f t="shared" si="36"/>
        <v>0.92557499999999993</v>
      </c>
      <c r="H873" s="188">
        <v>0.88149999999999995</v>
      </c>
      <c r="I873" s="19">
        <f t="shared" si="37"/>
        <v>0</v>
      </c>
      <c r="L873" s="131"/>
      <c r="M873" s="131"/>
      <c r="N873" s="131"/>
    </row>
    <row r="874" spans="1:14" hidden="1">
      <c r="A874" s="100" t="s">
        <v>862</v>
      </c>
      <c r="B874" s="101" t="s">
        <v>1258</v>
      </c>
      <c r="C874" s="99" t="s">
        <v>1259</v>
      </c>
      <c r="D874" s="38"/>
      <c r="E874" s="42">
        <v>1</v>
      </c>
      <c r="F874" s="9"/>
      <c r="G874" s="8">
        <f t="shared" si="36"/>
        <v>0.92557499999999993</v>
      </c>
      <c r="H874" s="188">
        <v>0.88149999999999995</v>
      </c>
      <c r="I874" s="19">
        <f t="shared" si="37"/>
        <v>0</v>
      </c>
      <c r="L874" s="131"/>
      <c r="M874" s="131"/>
      <c r="N874" s="131"/>
    </row>
    <row r="875" spans="1:14" hidden="1">
      <c r="A875" s="100" t="s">
        <v>862</v>
      </c>
      <c r="B875" s="101" t="s">
        <v>1260</v>
      </c>
      <c r="C875" s="99" t="s">
        <v>1261</v>
      </c>
      <c r="D875" s="38"/>
      <c r="E875" s="42">
        <v>1</v>
      </c>
      <c r="F875" s="9"/>
      <c r="G875" s="8">
        <f t="shared" si="36"/>
        <v>0.92557499999999993</v>
      </c>
      <c r="H875" s="188">
        <v>0.88149999999999995</v>
      </c>
      <c r="I875" s="19">
        <f t="shared" si="37"/>
        <v>0</v>
      </c>
      <c r="L875" s="131"/>
      <c r="M875" s="131"/>
      <c r="N875" s="131"/>
    </row>
    <row r="876" spans="1:14" hidden="1">
      <c r="A876" s="100" t="s">
        <v>862</v>
      </c>
      <c r="B876" s="101" t="s">
        <v>1262</v>
      </c>
      <c r="C876" s="99" t="s">
        <v>1263</v>
      </c>
      <c r="D876" s="38"/>
      <c r="E876" s="42">
        <v>1</v>
      </c>
      <c r="F876" s="9"/>
      <c r="G876" s="8">
        <f t="shared" si="36"/>
        <v>0.92557499999999993</v>
      </c>
      <c r="H876" s="188">
        <v>0.88149999999999995</v>
      </c>
      <c r="I876" s="19">
        <f t="shared" si="37"/>
        <v>0</v>
      </c>
      <c r="L876" s="131"/>
      <c r="M876" s="131"/>
      <c r="N876" s="131"/>
    </row>
    <row r="877" spans="1:14" hidden="1">
      <c r="A877" s="100" t="s">
        <v>862</v>
      </c>
      <c r="B877" s="101" t="s">
        <v>1264</v>
      </c>
      <c r="C877" s="99" t="s">
        <v>1265</v>
      </c>
      <c r="D877" s="38"/>
      <c r="E877" s="42">
        <v>1</v>
      </c>
      <c r="F877" s="9"/>
      <c r="G877" s="8">
        <f t="shared" si="36"/>
        <v>0.92557499999999993</v>
      </c>
      <c r="H877" s="188">
        <v>0.88149999999999995</v>
      </c>
      <c r="I877" s="19">
        <f t="shared" si="37"/>
        <v>0</v>
      </c>
      <c r="L877" s="131"/>
      <c r="M877" s="131"/>
      <c r="N877" s="131"/>
    </row>
    <row r="878" spans="1:14" hidden="1">
      <c r="A878" s="100" t="s">
        <v>862</v>
      </c>
      <c r="B878" s="101" t="s">
        <v>1266</v>
      </c>
      <c r="C878" s="99" t="s">
        <v>1267</v>
      </c>
      <c r="D878" s="38"/>
      <c r="E878" s="42">
        <v>1</v>
      </c>
      <c r="F878" s="9"/>
      <c r="G878" s="8">
        <f t="shared" si="36"/>
        <v>0.92557499999999993</v>
      </c>
      <c r="H878" s="188">
        <v>0.88149999999999995</v>
      </c>
      <c r="I878" s="19">
        <f t="shared" si="37"/>
        <v>0</v>
      </c>
      <c r="L878" s="131"/>
      <c r="M878" s="131"/>
      <c r="N878" s="131"/>
    </row>
    <row r="879" spans="1:14" hidden="1">
      <c r="A879" s="100" t="s">
        <v>862</v>
      </c>
      <c r="B879" s="101" t="s">
        <v>1268</v>
      </c>
      <c r="C879" s="99" t="s">
        <v>1269</v>
      </c>
      <c r="D879" s="38"/>
      <c r="E879" s="42">
        <v>1</v>
      </c>
      <c r="F879" s="9"/>
      <c r="G879" s="8">
        <f t="shared" si="36"/>
        <v>0.92557499999999993</v>
      </c>
      <c r="H879" s="188">
        <v>0.88149999999999995</v>
      </c>
      <c r="I879" s="19">
        <f t="shared" si="37"/>
        <v>0</v>
      </c>
      <c r="L879" s="131"/>
      <c r="M879" s="131"/>
      <c r="N879" s="131"/>
    </row>
    <row r="880" spans="1:14" hidden="1">
      <c r="A880" s="100" t="s">
        <v>862</v>
      </c>
      <c r="B880" s="101" t="s">
        <v>1270</v>
      </c>
      <c r="C880" s="99" t="s">
        <v>1271</v>
      </c>
      <c r="D880" s="38"/>
      <c r="E880" s="42">
        <v>1</v>
      </c>
      <c r="F880" s="9"/>
      <c r="G880" s="8">
        <f t="shared" si="36"/>
        <v>0.92557499999999993</v>
      </c>
      <c r="H880" s="188">
        <v>0.88149999999999995</v>
      </c>
      <c r="I880" s="19">
        <f t="shared" si="37"/>
        <v>0</v>
      </c>
      <c r="L880" s="131"/>
      <c r="M880" s="131"/>
      <c r="N880" s="131"/>
    </row>
    <row r="881" spans="1:14" hidden="1">
      <c r="A881" s="100" t="s">
        <v>862</v>
      </c>
      <c r="B881" s="101" t="s">
        <v>1272</v>
      </c>
      <c r="C881" s="99" t="s">
        <v>1273</v>
      </c>
      <c r="D881" s="38"/>
      <c r="E881" s="42">
        <v>1</v>
      </c>
      <c r="F881" s="9"/>
      <c r="G881" s="8">
        <f t="shared" si="36"/>
        <v>0.92557499999999993</v>
      </c>
      <c r="H881" s="188">
        <v>0.88149999999999995</v>
      </c>
      <c r="I881" s="19">
        <f t="shared" si="37"/>
        <v>0</v>
      </c>
      <c r="L881" s="131"/>
      <c r="M881" s="131"/>
      <c r="N881" s="131"/>
    </row>
    <row r="882" spans="1:14" hidden="1">
      <c r="A882" s="100" t="s">
        <v>862</v>
      </c>
      <c r="B882" s="101" t="s">
        <v>1274</v>
      </c>
      <c r="C882" s="99" t="s">
        <v>1275</v>
      </c>
      <c r="D882" s="38"/>
      <c r="E882" s="42">
        <v>1</v>
      </c>
      <c r="F882" s="9"/>
      <c r="G882" s="8">
        <f t="shared" si="36"/>
        <v>0.92557499999999993</v>
      </c>
      <c r="H882" s="188">
        <v>0.88149999999999995</v>
      </c>
      <c r="I882" s="19">
        <f t="shared" si="37"/>
        <v>0</v>
      </c>
      <c r="L882" s="131"/>
      <c r="M882" s="131"/>
      <c r="N882" s="131"/>
    </row>
    <row r="883" spans="1:14" hidden="1">
      <c r="A883" s="100" t="s">
        <v>862</v>
      </c>
      <c r="B883" s="101" t="s">
        <v>1276</v>
      </c>
      <c r="C883" s="99" t="s">
        <v>1277</v>
      </c>
      <c r="D883" s="38"/>
      <c r="E883" s="42">
        <v>1</v>
      </c>
      <c r="F883" s="9"/>
      <c r="G883" s="8">
        <f t="shared" si="36"/>
        <v>0.92557499999999993</v>
      </c>
      <c r="H883" s="188">
        <v>0.88149999999999995</v>
      </c>
      <c r="I883" s="19">
        <f t="shared" si="37"/>
        <v>0</v>
      </c>
      <c r="L883" s="131"/>
      <c r="M883" s="131"/>
      <c r="N883" s="131"/>
    </row>
    <row r="884" spans="1:14" hidden="1">
      <c r="A884" s="100" t="s">
        <v>862</v>
      </c>
      <c r="B884" s="101" t="s">
        <v>1278</v>
      </c>
      <c r="C884" s="99" t="s">
        <v>1279</v>
      </c>
      <c r="D884" s="38"/>
      <c r="E884" s="42">
        <v>1</v>
      </c>
      <c r="F884" s="9"/>
      <c r="G884" s="8">
        <f t="shared" si="36"/>
        <v>0.92557499999999993</v>
      </c>
      <c r="H884" s="188">
        <v>0.88149999999999995</v>
      </c>
      <c r="I884" s="19">
        <f t="shared" si="37"/>
        <v>0</v>
      </c>
      <c r="L884" s="131"/>
      <c r="M884" s="131"/>
      <c r="N884" s="131"/>
    </row>
    <row r="885" spans="1:14" hidden="1">
      <c r="A885" s="100" t="s">
        <v>862</v>
      </c>
      <c r="B885" s="101" t="s">
        <v>1280</v>
      </c>
      <c r="C885" s="99" t="s">
        <v>1281</v>
      </c>
      <c r="D885" s="38"/>
      <c r="E885" s="42">
        <v>1</v>
      </c>
      <c r="F885" s="9"/>
      <c r="G885" s="8">
        <f t="shared" si="36"/>
        <v>0.89932500000000004</v>
      </c>
      <c r="H885" s="188">
        <v>0.85650000000000004</v>
      </c>
      <c r="I885" s="19">
        <f t="shared" si="37"/>
        <v>0</v>
      </c>
      <c r="L885" s="131"/>
      <c r="M885" s="131"/>
      <c r="N885" s="131"/>
    </row>
    <row r="886" spans="1:14" hidden="1">
      <c r="A886" s="100" t="s">
        <v>862</v>
      </c>
      <c r="B886" s="101" t="s">
        <v>1282</v>
      </c>
      <c r="C886" s="99" t="s">
        <v>1283</v>
      </c>
      <c r="D886" s="38"/>
      <c r="E886" s="42">
        <v>1</v>
      </c>
      <c r="F886" s="9"/>
      <c r="G886" s="8">
        <f t="shared" si="36"/>
        <v>0.92557499999999993</v>
      </c>
      <c r="H886" s="188">
        <v>0.88149999999999995</v>
      </c>
      <c r="I886" s="19">
        <f t="shared" si="37"/>
        <v>0</v>
      </c>
      <c r="L886" s="131"/>
      <c r="M886" s="131"/>
      <c r="N886" s="131"/>
    </row>
    <row r="887" spans="1:14" hidden="1">
      <c r="A887" s="100" t="s">
        <v>862</v>
      </c>
      <c r="B887" s="101" t="s">
        <v>1284</v>
      </c>
      <c r="C887" s="99" t="s">
        <v>1285</v>
      </c>
      <c r="D887" s="38"/>
      <c r="E887" s="42">
        <v>1</v>
      </c>
      <c r="F887" s="9"/>
      <c r="G887" s="8">
        <f t="shared" si="36"/>
        <v>1.9320000000000002</v>
      </c>
      <c r="H887" s="188">
        <v>1.84</v>
      </c>
      <c r="I887" s="19">
        <f t="shared" si="37"/>
        <v>0</v>
      </c>
      <c r="L887" s="131"/>
      <c r="M887" s="131"/>
      <c r="N887" s="131"/>
    </row>
    <row r="888" spans="1:14" hidden="1">
      <c r="A888" s="100" t="s">
        <v>862</v>
      </c>
      <c r="B888" s="101" t="s">
        <v>1286</v>
      </c>
      <c r="C888" s="99" t="s">
        <v>1287</v>
      </c>
      <c r="D888" s="38"/>
      <c r="E888" s="42">
        <v>1</v>
      </c>
      <c r="F888" s="9"/>
      <c r="G888" s="8">
        <f t="shared" si="36"/>
        <v>1.9320000000000002</v>
      </c>
      <c r="H888" s="188">
        <v>1.84</v>
      </c>
      <c r="I888" s="19">
        <f t="shared" si="37"/>
        <v>0</v>
      </c>
      <c r="L888" s="131"/>
      <c r="M888" s="131"/>
      <c r="N888" s="131"/>
    </row>
    <row r="889" spans="1:14" hidden="1">
      <c r="A889" s="100" t="s">
        <v>862</v>
      </c>
      <c r="B889" s="101" t="s">
        <v>1288</v>
      </c>
      <c r="C889" s="99" t="s">
        <v>1289</v>
      </c>
      <c r="D889" s="38"/>
      <c r="E889" s="42">
        <v>1</v>
      </c>
      <c r="F889" s="9"/>
      <c r="G889" s="8">
        <f t="shared" si="36"/>
        <v>1.9320000000000002</v>
      </c>
      <c r="H889" s="188">
        <v>1.84</v>
      </c>
      <c r="I889" s="19">
        <f t="shared" si="37"/>
        <v>0</v>
      </c>
      <c r="L889" s="131"/>
      <c r="M889" s="131"/>
      <c r="N889" s="131"/>
    </row>
    <row r="890" spans="1:14" hidden="1">
      <c r="A890" s="100" t="s">
        <v>862</v>
      </c>
      <c r="B890" s="101" t="s">
        <v>1290</v>
      </c>
      <c r="C890" s="99" t="s">
        <v>1291</v>
      </c>
      <c r="D890" s="38"/>
      <c r="E890" s="42">
        <v>1</v>
      </c>
      <c r="F890" s="9"/>
      <c r="G890" s="8">
        <f t="shared" si="36"/>
        <v>1.9320000000000002</v>
      </c>
      <c r="H890" s="188">
        <v>1.84</v>
      </c>
      <c r="I890" s="19">
        <f t="shared" si="37"/>
        <v>0</v>
      </c>
      <c r="L890" s="131"/>
      <c r="M890" s="131"/>
      <c r="N890" s="131"/>
    </row>
    <row r="891" spans="1:14" hidden="1">
      <c r="A891" s="100" t="s">
        <v>862</v>
      </c>
      <c r="B891" s="101" t="s">
        <v>1292</v>
      </c>
      <c r="C891" s="99" t="s">
        <v>1293</v>
      </c>
      <c r="D891" s="38"/>
      <c r="E891" s="42">
        <v>1</v>
      </c>
      <c r="F891" s="9"/>
      <c r="G891" s="8">
        <f t="shared" si="36"/>
        <v>1.9320000000000002</v>
      </c>
      <c r="H891" s="188">
        <v>1.84</v>
      </c>
      <c r="I891" s="19">
        <f t="shared" si="37"/>
        <v>0</v>
      </c>
      <c r="L891" s="131"/>
      <c r="M891" s="131"/>
      <c r="N891" s="131"/>
    </row>
    <row r="892" spans="1:14" hidden="1">
      <c r="A892" s="100" t="s">
        <v>862</v>
      </c>
      <c r="B892" s="101" t="s">
        <v>1294</v>
      </c>
      <c r="C892" s="99" t="s">
        <v>1295</v>
      </c>
      <c r="D892" s="38"/>
      <c r="E892" s="42">
        <v>1</v>
      </c>
      <c r="F892" s="9"/>
      <c r="G892" s="8">
        <f t="shared" si="36"/>
        <v>1.9320000000000002</v>
      </c>
      <c r="H892" s="188">
        <v>1.84</v>
      </c>
      <c r="I892" s="19">
        <f t="shared" si="37"/>
        <v>0</v>
      </c>
      <c r="L892" s="131"/>
      <c r="M892" s="131"/>
      <c r="N892" s="131"/>
    </row>
    <row r="893" spans="1:14" hidden="1">
      <c r="A893" s="100" t="s">
        <v>862</v>
      </c>
      <c r="B893" s="101" t="s">
        <v>1296</v>
      </c>
      <c r="C893" s="99" t="s">
        <v>1297</v>
      </c>
      <c r="D893" s="38"/>
      <c r="E893" s="42">
        <v>1</v>
      </c>
      <c r="F893" s="9"/>
      <c r="G893" s="8">
        <f t="shared" si="36"/>
        <v>1.9320000000000002</v>
      </c>
      <c r="H893" s="188">
        <v>1.84</v>
      </c>
      <c r="I893" s="19">
        <f t="shared" si="37"/>
        <v>0</v>
      </c>
      <c r="L893" s="131"/>
      <c r="M893" s="131"/>
      <c r="N893" s="131"/>
    </row>
    <row r="894" spans="1:14" hidden="1">
      <c r="A894" s="100" t="s">
        <v>862</v>
      </c>
      <c r="B894" s="101" t="s">
        <v>1298</v>
      </c>
      <c r="C894" s="99" t="s">
        <v>1299</v>
      </c>
      <c r="D894" s="38"/>
      <c r="E894" s="42">
        <v>1</v>
      </c>
      <c r="F894" s="9"/>
      <c r="G894" s="8">
        <f t="shared" si="36"/>
        <v>1.9320000000000002</v>
      </c>
      <c r="H894" s="188">
        <v>1.84</v>
      </c>
      <c r="I894" s="19">
        <f t="shared" si="37"/>
        <v>0</v>
      </c>
      <c r="L894" s="131"/>
      <c r="M894" s="131"/>
      <c r="N894" s="131"/>
    </row>
    <row r="895" spans="1:14" hidden="1">
      <c r="A895" s="100" t="s">
        <v>862</v>
      </c>
      <c r="B895" s="101" t="s">
        <v>1300</v>
      </c>
      <c r="C895" s="99" t="s">
        <v>1301</v>
      </c>
      <c r="D895" s="38"/>
      <c r="E895" s="42">
        <v>1</v>
      </c>
      <c r="F895" s="9"/>
      <c r="G895" s="8">
        <f t="shared" si="36"/>
        <v>1.9320000000000002</v>
      </c>
      <c r="H895" s="188">
        <v>1.84</v>
      </c>
      <c r="I895" s="19">
        <f t="shared" si="37"/>
        <v>0</v>
      </c>
      <c r="L895" s="131"/>
      <c r="M895" s="131"/>
      <c r="N895" s="131"/>
    </row>
    <row r="896" spans="1:14" hidden="1">
      <c r="A896" s="100" t="s">
        <v>862</v>
      </c>
      <c r="B896" s="101" t="s">
        <v>1302</v>
      </c>
      <c r="C896" s="99" t="s">
        <v>1303</v>
      </c>
      <c r="D896" s="38"/>
      <c r="E896" s="42">
        <v>1</v>
      </c>
      <c r="F896" s="9"/>
      <c r="G896" s="8">
        <f t="shared" si="36"/>
        <v>1.9320000000000002</v>
      </c>
      <c r="H896" s="188">
        <v>1.84</v>
      </c>
      <c r="I896" s="19">
        <f t="shared" si="37"/>
        <v>0</v>
      </c>
      <c r="L896" s="131"/>
      <c r="M896" s="131"/>
      <c r="N896" s="131"/>
    </row>
    <row r="897" spans="1:14" hidden="1">
      <c r="A897" s="100" t="s">
        <v>862</v>
      </c>
      <c r="B897" s="101" t="s">
        <v>1304</v>
      </c>
      <c r="C897" s="99" t="s">
        <v>1305</v>
      </c>
      <c r="D897" s="38"/>
      <c r="E897" s="42">
        <v>1</v>
      </c>
      <c r="F897" s="9"/>
      <c r="G897" s="8">
        <f t="shared" si="36"/>
        <v>1.9320000000000002</v>
      </c>
      <c r="H897" s="188">
        <v>1.84</v>
      </c>
      <c r="I897" s="19">
        <f t="shared" si="37"/>
        <v>0</v>
      </c>
      <c r="L897" s="131"/>
      <c r="M897" s="131"/>
      <c r="N897" s="131"/>
    </row>
    <row r="898" spans="1:14" hidden="1">
      <c r="A898" s="100" t="s">
        <v>862</v>
      </c>
      <c r="B898" s="101" t="s">
        <v>1306</v>
      </c>
      <c r="C898" s="99" t="s">
        <v>1307</v>
      </c>
      <c r="D898" s="38"/>
      <c r="E898" s="42">
        <v>1</v>
      </c>
      <c r="F898" s="9"/>
      <c r="G898" s="8">
        <f t="shared" si="36"/>
        <v>1.9320000000000002</v>
      </c>
      <c r="H898" s="188">
        <v>1.84</v>
      </c>
      <c r="I898" s="19">
        <f t="shared" si="37"/>
        <v>0</v>
      </c>
      <c r="L898" s="131"/>
      <c r="M898" s="131"/>
      <c r="N898" s="131"/>
    </row>
    <row r="899" spans="1:14" hidden="1">
      <c r="A899" s="100" t="s">
        <v>862</v>
      </c>
      <c r="B899" s="101" t="s">
        <v>1308</v>
      </c>
      <c r="C899" s="99" t="s">
        <v>1309</v>
      </c>
      <c r="D899" s="38"/>
      <c r="E899" s="42">
        <v>1</v>
      </c>
      <c r="F899" s="9"/>
      <c r="G899" s="8">
        <f t="shared" si="36"/>
        <v>1.9320000000000002</v>
      </c>
      <c r="H899" s="188">
        <v>1.84</v>
      </c>
      <c r="I899" s="19">
        <f t="shared" si="37"/>
        <v>0</v>
      </c>
      <c r="L899" s="131"/>
      <c r="M899" s="131"/>
      <c r="N899" s="131"/>
    </row>
    <row r="900" spans="1:14" hidden="1">
      <c r="A900" s="100" t="s">
        <v>862</v>
      </c>
      <c r="B900" s="101" t="s">
        <v>1310</v>
      </c>
      <c r="C900" s="99" t="s">
        <v>1311</v>
      </c>
      <c r="D900" s="38"/>
      <c r="E900" s="42">
        <v>1</v>
      </c>
      <c r="F900" s="9"/>
      <c r="G900" s="8">
        <f t="shared" si="36"/>
        <v>1.9320000000000002</v>
      </c>
      <c r="H900" s="188">
        <v>1.84</v>
      </c>
      <c r="I900" s="19">
        <f t="shared" si="37"/>
        <v>0</v>
      </c>
      <c r="L900" s="131"/>
      <c r="M900" s="131"/>
      <c r="N900" s="131"/>
    </row>
    <row r="901" spans="1:14" hidden="1">
      <c r="A901" s="100" t="s">
        <v>862</v>
      </c>
      <c r="B901" s="101" t="s">
        <v>1312</v>
      </c>
      <c r="C901" s="99" t="s">
        <v>1313</v>
      </c>
      <c r="D901" s="38"/>
      <c r="E901" s="42">
        <v>1</v>
      </c>
      <c r="F901" s="9"/>
      <c r="G901" s="8">
        <f t="shared" si="36"/>
        <v>1.9320000000000002</v>
      </c>
      <c r="H901" s="188">
        <v>1.84</v>
      </c>
      <c r="I901" s="19">
        <f t="shared" si="37"/>
        <v>0</v>
      </c>
      <c r="L901" s="131"/>
      <c r="M901" s="131"/>
      <c r="N901" s="131"/>
    </row>
    <row r="902" spans="1:14" hidden="1">
      <c r="A902" s="100" t="s">
        <v>862</v>
      </c>
      <c r="B902" s="101" t="s">
        <v>1314</v>
      </c>
      <c r="C902" s="99" t="s">
        <v>1315</v>
      </c>
      <c r="D902" s="38"/>
      <c r="E902" s="42">
        <v>1</v>
      </c>
      <c r="F902" s="9"/>
      <c r="G902" s="8">
        <f t="shared" si="36"/>
        <v>1.9320000000000002</v>
      </c>
      <c r="H902" s="188">
        <v>1.84</v>
      </c>
      <c r="I902" s="19">
        <f t="shared" si="37"/>
        <v>0</v>
      </c>
      <c r="L902" s="131"/>
      <c r="M902" s="131"/>
      <c r="N902" s="131"/>
    </row>
    <row r="903" spans="1:14" hidden="1">
      <c r="A903" s="100" t="s">
        <v>862</v>
      </c>
      <c r="B903" s="101" t="s">
        <v>1316</v>
      </c>
      <c r="C903" s="99" t="s">
        <v>1317</v>
      </c>
      <c r="D903" s="38"/>
      <c r="E903" s="42">
        <v>1</v>
      </c>
      <c r="F903" s="9"/>
      <c r="G903" s="8">
        <f t="shared" si="36"/>
        <v>1.9320000000000002</v>
      </c>
      <c r="H903" s="188">
        <v>1.84</v>
      </c>
      <c r="I903" s="19">
        <f t="shared" si="37"/>
        <v>0</v>
      </c>
      <c r="L903" s="131"/>
      <c r="M903" s="131"/>
      <c r="N903" s="131"/>
    </row>
    <row r="904" spans="1:14" hidden="1">
      <c r="A904" s="100" t="s">
        <v>862</v>
      </c>
      <c r="B904" s="101" t="s">
        <v>1318</v>
      </c>
      <c r="C904" s="99" t="s">
        <v>1319</v>
      </c>
      <c r="D904" s="38"/>
      <c r="E904" s="42">
        <v>1</v>
      </c>
      <c r="F904" s="9"/>
      <c r="G904" s="8">
        <f t="shared" si="36"/>
        <v>1.9320000000000002</v>
      </c>
      <c r="H904" s="188">
        <v>1.84</v>
      </c>
      <c r="I904" s="19">
        <f t="shared" si="37"/>
        <v>0</v>
      </c>
      <c r="L904" s="131"/>
      <c r="M904" s="131"/>
      <c r="N904" s="131"/>
    </row>
    <row r="905" spans="1:14" hidden="1">
      <c r="A905" s="100" t="s">
        <v>862</v>
      </c>
      <c r="B905" s="101" t="s">
        <v>1320</v>
      </c>
      <c r="C905" s="99" t="s">
        <v>1321</v>
      </c>
      <c r="D905" s="38"/>
      <c r="E905" s="42">
        <v>1</v>
      </c>
      <c r="F905" s="9"/>
      <c r="G905" s="8">
        <f t="shared" si="36"/>
        <v>1.9320000000000002</v>
      </c>
      <c r="H905" s="188">
        <v>1.84</v>
      </c>
      <c r="I905" s="19">
        <f t="shared" si="37"/>
        <v>0</v>
      </c>
      <c r="L905" s="131"/>
      <c r="M905" s="131"/>
      <c r="N905" s="131"/>
    </row>
    <row r="906" spans="1:14" hidden="1">
      <c r="A906" s="100" t="s">
        <v>862</v>
      </c>
      <c r="B906" s="101" t="s">
        <v>1322</v>
      </c>
      <c r="C906" s="99" t="s">
        <v>1323</v>
      </c>
      <c r="D906" s="38"/>
      <c r="E906" s="42">
        <v>1</v>
      </c>
      <c r="F906" s="9"/>
      <c r="G906" s="8">
        <f t="shared" si="36"/>
        <v>1.9320000000000002</v>
      </c>
      <c r="H906" s="188">
        <v>1.84</v>
      </c>
      <c r="I906" s="19">
        <f t="shared" si="37"/>
        <v>0</v>
      </c>
      <c r="L906" s="131"/>
      <c r="M906" s="131"/>
      <c r="N906" s="131"/>
    </row>
    <row r="907" spans="1:14" hidden="1">
      <c r="A907" s="100" t="s">
        <v>862</v>
      </c>
      <c r="B907" s="101" t="s">
        <v>1324</v>
      </c>
      <c r="C907" s="99" t="s">
        <v>1325</v>
      </c>
      <c r="D907" s="38"/>
      <c r="E907" s="42">
        <v>1</v>
      </c>
      <c r="F907" s="9"/>
      <c r="G907" s="8">
        <f t="shared" si="36"/>
        <v>1.9320000000000002</v>
      </c>
      <c r="H907" s="188">
        <v>1.84</v>
      </c>
      <c r="I907" s="19">
        <f t="shared" si="37"/>
        <v>0</v>
      </c>
      <c r="L907" s="131"/>
      <c r="M907" s="131"/>
      <c r="N907" s="131"/>
    </row>
    <row r="908" spans="1:14" hidden="1">
      <c r="A908" s="100" t="s">
        <v>862</v>
      </c>
      <c r="B908" s="101" t="s">
        <v>1326</v>
      </c>
      <c r="C908" s="99" t="s">
        <v>1327</v>
      </c>
      <c r="D908" s="38"/>
      <c r="E908" s="42">
        <v>1</v>
      </c>
      <c r="F908" s="9"/>
      <c r="G908" s="8">
        <f t="shared" si="36"/>
        <v>1.9320000000000002</v>
      </c>
      <c r="H908" s="188">
        <v>1.84</v>
      </c>
      <c r="I908" s="19">
        <f t="shared" si="37"/>
        <v>0</v>
      </c>
      <c r="L908" s="131"/>
      <c r="M908" s="131"/>
      <c r="N908" s="131"/>
    </row>
    <row r="909" spans="1:14" hidden="1">
      <c r="A909" s="100" t="s">
        <v>862</v>
      </c>
      <c r="B909" s="101" t="s">
        <v>1328</v>
      </c>
      <c r="C909" s="99" t="s">
        <v>1329</v>
      </c>
      <c r="D909" s="38"/>
      <c r="E909" s="42">
        <v>1</v>
      </c>
      <c r="F909" s="9"/>
      <c r="G909" s="8">
        <f t="shared" si="36"/>
        <v>1.9320000000000002</v>
      </c>
      <c r="H909" s="188">
        <v>1.84</v>
      </c>
      <c r="I909" s="19">
        <f t="shared" si="37"/>
        <v>0</v>
      </c>
      <c r="L909" s="131"/>
      <c r="M909" s="131"/>
      <c r="N909" s="131"/>
    </row>
    <row r="910" spans="1:14" hidden="1">
      <c r="A910" s="100" t="s">
        <v>862</v>
      </c>
      <c r="B910" s="101" t="s">
        <v>1330</v>
      </c>
      <c r="C910" s="99" t="s">
        <v>1331</v>
      </c>
      <c r="D910" s="38"/>
      <c r="E910" s="42">
        <v>1</v>
      </c>
      <c r="F910" s="9"/>
      <c r="G910" s="8">
        <f t="shared" si="36"/>
        <v>1.9320000000000002</v>
      </c>
      <c r="H910" s="188">
        <v>1.84</v>
      </c>
      <c r="I910" s="19">
        <f t="shared" si="37"/>
        <v>0</v>
      </c>
      <c r="L910" s="131"/>
      <c r="M910" s="131"/>
      <c r="N910" s="131"/>
    </row>
    <row r="911" spans="1:14" hidden="1">
      <c r="A911" s="100" t="s">
        <v>862</v>
      </c>
      <c r="B911" s="101" t="s">
        <v>1332</v>
      </c>
      <c r="C911" s="99" t="s">
        <v>1333</v>
      </c>
      <c r="D911" s="38"/>
      <c r="E911" s="42">
        <v>1</v>
      </c>
      <c r="F911" s="9"/>
      <c r="G911" s="8">
        <f t="shared" si="36"/>
        <v>1.9320000000000002</v>
      </c>
      <c r="H911" s="188">
        <v>1.84</v>
      </c>
      <c r="I911" s="19">
        <f t="shared" si="37"/>
        <v>0</v>
      </c>
      <c r="L911" s="131"/>
      <c r="M911" s="131"/>
      <c r="N911" s="131"/>
    </row>
    <row r="912" spans="1:14" hidden="1">
      <c r="A912" s="100" t="s">
        <v>862</v>
      </c>
      <c r="B912" s="101" t="s">
        <v>1334</v>
      </c>
      <c r="C912" s="99" t="s">
        <v>1335</v>
      </c>
      <c r="D912" s="38"/>
      <c r="E912" s="42">
        <v>1</v>
      </c>
      <c r="F912" s="9"/>
      <c r="G912" s="8">
        <f t="shared" si="36"/>
        <v>1.9320000000000002</v>
      </c>
      <c r="H912" s="188">
        <v>1.84</v>
      </c>
      <c r="I912" s="19">
        <f t="shared" si="37"/>
        <v>0</v>
      </c>
      <c r="L912" s="131"/>
      <c r="M912" s="131"/>
      <c r="N912" s="131"/>
    </row>
    <row r="913" spans="1:14" hidden="1">
      <c r="A913" s="100" t="s">
        <v>862</v>
      </c>
      <c r="B913" s="101" t="s">
        <v>1336</v>
      </c>
      <c r="C913" s="99" t="s">
        <v>1337</v>
      </c>
      <c r="D913" s="38"/>
      <c r="E913" s="42">
        <v>1</v>
      </c>
      <c r="F913" s="9"/>
      <c r="G913" s="8">
        <f t="shared" si="36"/>
        <v>1.9320000000000002</v>
      </c>
      <c r="H913" s="188">
        <v>1.84</v>
      </c>
      <c r="I913" s="19">
        <f t="shared" si="37"/>
        <v>0</v>
      </c>
      <c r="L913" s="131"/>
      <c r="M913" s="131"/>
      <c r="N913" s="131"/>
    </row>
    <row r="914" spans="1:14" hidden="1">
      <c r="A914" s="100" t="s">
        <v>862</v>
      </c>
      <c r="B914" s="101" t="s">
        <v>1338</v>
      </c>
      <c r="C914" s="99" t="s">
        <v>1339</v>
      </c>
      <c r="D914" s="38"/>
      <c r="E914" s="42">
        <v>1</v>
      </c>
      <c r="F914" s="9"/>
      <c r="G914" s="8">
        <f t="shared" si="36"/>
        <v>1.9320000000000002</v>
      </c>
      <c r="H914" s="188">
        <v>1.84</v>
      </c>
      <c r="I914" s="19">
        <f t="shared" si="37"/>
        <v>0</v>
      </c>
      <c r="L914" s="131"/>
      <c r="M914" s="131"/>
      <c r="N914" s="131"/>
    </row>
    <row r="915" spans="1:14" hidden="1">
      <c r="A915" s="100" t="s">
        <v>862</v>
      </c>
      <c r="B915" s="101" t="s">
        <v>1340</v>
      </c>
      <c r="C915" s="99" t="s">
        <v>1341</v>
      </c>
      <c r="D915" s="38"/>
      <c r="E915" s="42">
        <v>1</v>
      </c>
      <c r="F915" s="9"/>
      <c r="G915" s="8">
        <f t="shared" si="36"/>
        <v>1.9320000000000002</v>
      </c>
      <c r="H915" s="188">
        <v>1.84</v>
      </c>
      <c r="I915" s="19">
        <f t="shared" si="37"/>
        <v>0</v>
      </c>
      <c r="L915" s="131"/>
      <c r="M915" s="131"/>
      <c r="N915" s="131"/>
    </row>
    <row r="916" spans="1:14" hidden="1">
      <c r="A916" s="100" t="s">
        <v>862</v>
      </c>
      <c r="B916" s="101" t="s">
        <v>1342</v>
      </c>
      <c r="C916" s="99" t="s">
        <v>1343</v>
      </c>
      <c r="D916" s="38"/>
      <c r="E916" s="42">
        <v>1</v>
      </c>
      <c r="F916" s="9"/>
      <c r="G916" s="8">
        <f t="shared" si="36"/>
        <v>1.9320000000000002</v>
      </c>
      <c r="H916" s="188">
        <v>1.84</v>
      </c>
      <c r="I916" s="19">
        <f t="shared" si="37"/>
        <v>0</v>
      </c>
      <c r="L916" s="131"/>
      <c r="M916" s="131"/>
      <c r="N916" s="131"/>
    </row>
    <row r="917" spans="1:14" hidden="1">
      <c r="A917" s="100" t="s">
        <v>862</v>
      </c>
      <c r="B917" s="101" t="s">
        <v>1344</v>
      </c>
      <c r="C917" s="99" t="s">
        <v>1345</v>
      </c>
      <c r="D917" s="38"/>
      <c r="E917" s="42">
        <v>1</v>
      </c>
      <c r="F917" s="9"/>
      <c r="G917" s="8">
        <f t="shared" si="36"/>
        <v>1.9320000000000002</v>
      </c>
      <c r="H917" s="188">
        <v>1.84</v>
      </c>
      <c r="I917" s="19">
        <f t="shared" si="37"/>
        <v>0</v>
      </c>
      <c r="L917" s="131"/>
      <c r="M917" s="131"/>
      <c r="N917" s="131"/>
    </row>
    <row r="918" spans="1:14" hidden="1">
      <c r="A918" s="100" t="s">
        <v>862</v>
      </c>
      <c r="B918" s="101" t="s">
        <v>1346</v>
      </c>
      <c r="C918" s="99" t="s">
        <v>1347</v>
      </c>
      <c r="D918" s="38"/>
      <c r="E918" s="42">
        <v>1</v>
      </c>
      <c r="F918" s="9"/>
      <c r="G918" s="8">
        <f t="shared" si="36"/>
        <v>1.9320000000000002</v>
      </c>
      <c r="H918" s="188">
        <v>1.84</v>
      </c>
      <c r="I918" s="19">
        <f t="shared" si="37"/>
        <v>0</v>
      </c>
      <c r="L918" s="131"/>
      <c r="M918" s="131"/>
      <c r="N918" s="131"/>
    </row>
    <row r="919" spans="1:14" hidden="1">
      <c r="A919" s="100" t="s">
        <v>862</v>
      </c>
      <c r="B919" s="101" t="s">
        <v>1348</v>
      </c>
      <c r="C919" s="99" t="s">
        <v>1349</v>
      </c>
      <c r="D919" s="38"/>
      <c r="E919" s="42">
        <v>1</v>
      </c>
      <c r="F919" s="9"/>
      <c r="G919" s="8">
        <f t="shared" si="36"/>
        <v>1.9320000000000002</v>
      </c>
      <c r="H919" s="188">
        <v>1.84</v>
      </c>
      <c r="I919" s="19">
        <f t="shared" si="37"/>
        <v>0</v>
      </c>
      <c r="L919" s="131"/>
      <c r="M919" s="131"/>
      <c r="N919" s="131"/>
    </row>
    <row r="920" spans="1:14" hidden="1">
      <c r="A920" s="100" t="s">
        <v>862</v>
      </c>
      <c r="B920" s="101" t="s">
        <v>1350</v>
      </c>
      <c r="C920" s="99" t="s">
        <v>1351</v>
      </c>
      <c r="D920" s="38"/>
      <c r="E920" s="42">
        <v>1</v>
      </c>
      <c r="F920" s="9"/>
      <c r="G920" s="8">
        <f t="shared" si="36"/>
        <v>1.9320000000000002</v>
      </c>
      <c r="H920" s="188">
        <v>1.84</v>
      </c>
      <c r="I920" s="19">
        <f t="shared" si="37"/>
        <v>0</v>
      </c>
      <c r="L920" s="131"/>
      <c r="M920" s="131"/>
      <c r="N920" s="131"/>
    </row>
    <row r="921" spans="1:14" hidden="1">
      <c r="A921" s="100" t="s">
        <v>862</v>
      </c>
      <c r="B921" s="101" t="s">
        <v>1352</v>
      </c>
      <c r="C921" s="99" t="s">
        <v>1353</v>
      </c>
      <c r="D921" s="38"/>
      <c r="E921" s="42">
        <v>1</v>
      </c>
      <c r="F921" s="9"/>
      <c r="G921" s="8">
        <f t="shared" si="36"/>
        <v>1.9320000000000002</v>
      </c>
      <c r="H921" s="188">
        <v>1.84</v>
      </c>
      <c r="I921" s="19">
        <f t="shared" si="37"/>
        <v>0</v>
      </c>
      <c r="L921" s="131"/>
      <c r="M921" s="131"/>
      <c r="N921" s="131"/>
    </row>
    <row r="922" spans="1:14" hidden="1">
      <c r="A922" s="100" t="s">
        <v>862</v>
      </c>
      <c r="B922" s="101" t="s">
        <v>1354</v>
      </c>
      <c r="C922" s="99" t="s">
        <v>1355</v>
      </c>
      <c r="D922" s="38"/>
      <c r="E922" s="42">
        <v>1</v>
      </c>
      <c r="F922" s="9"/>
      <c r="G922" s="8">
        <f t="shared" si="36"/>
        <v>1.9320000000000002</v>
      </c>
      <c r="H922" s="188">
        <v>1.84</v>
      </c>
      <c r="I922" s="19">
        <f t="shared" si="37"/>
        <v>0</v>
      </c>
      <c r="L922" s="131"/>
      <c r="M922" s="131"/>
      <c r="N922" s="131"/>
    </row>
    <row r="923" spans="1:14" hidden="1">
      <c r="A923" s="100" t="s">
        <v>862</v>
      </c>
      <c r="B923" s="101" t="s">
        <v>1356</v>
      </c>
      <c r="C923" s="99" t="s">
        <v>1357</v>
      </c>
      <c r="D923" s="38"/>
      <c r="E923" s="42">
        <v>1</v>
      </c>
      <c r="F923" s="9"/>
      <c r="G923" s="8">
        <f t="shared" si="36"/>
        <v>1.9320000000000002</v>
      </c>
      <c r="H923" s="188">
        <v>1.84</v>
      </c>
      <c r="I923" s="19">
        <f t="shared" si="37"/>
        <v>0</v>
      </c>
      <c r="L923" s="131"/>
      <c r="M923" s="131"/>
      <c r="N923" s="131"/>
    </row>
    <row r="924" spans="1:14" hidden="1">
      <c r="A924" s="100" t="s">
        <v>862</v>
      </c>
      <c r="B924" s="101" t="s">
        <v>1358</v>
      </c>
      <c r="C924" s="99" t="s">
        <v>1359</v>
      </c>
      <c r="D924" s="38"/>
      <c r="E924" s="42">
        <v>1</v>
      </c>
      <c r="F924" s="9"/>
      <c r="G924" s="8">
        <f t="shared" si="36"/>
        <v>1.9320000000000002</v>
      </c>
      <c r="H924" s="188">
        <v>1.84</v>
      </c>
      <c r="I924" s="19">
        <f t="shared" si="37"/>
        <v>0</v>
      </c>
      <c r="L924" s="131"/>
      <c r="M924" s="131"/>
      <c r="N924" s="131"/>
    </row>
    <row r="925" spans="1:14" hidden="1">
      <c r="A925" s="100" t="s">
        <v>862</v>
      </c>
      <c r="B925" s="101" t="s">
        <v>1360</v>
      </c>
      <c r="C925" s="99" t="s">
        <v>1361</v>
      </c>
      <c r="D925" s="38"/>
      <c r="E925" s="42">
        <v>1</v>
      </c>
      <c r="F925" s="9"/>
      <c r="G925" s="8">
        <f t="shared" si="36"/>
        <v>1.9320000000000002</v>
      </c>
      <c r="H925" s="188">
        <v>1.84</v>
      </c>
      <c r="I925" s="19">
        <f t="shared" si="37"/>
        <v>0</v>
      </c>
      <c r="L925" s="131"/>
      <c r="M925" s="131"/>
      <c r="N925" s="131"/>
    </row>
    <row r="926" spans="1:14" hidden="1">
      <c r="A926" s="100" t="s">
        <v>862</v>
      </c>
      <c r="B926" s="101" t="s">
        <v>1362</v>
      </c>
      <c r="C926" s="99" t="s">
        <v>1363</v>
      </c>
      <c r="D926" s="38"/>
      <c r="E926" s="42">
        <v>1</v>
      </c>
      <c r="F926" s="9"/>
      <c r="G926" s="8">
        <f t="shared" si="36"/>
        <v>1.9320000000000002</v>
      </c>
      <c r="H926" s="188">
        <v>1.84</v>
      </c>
      <c r="I926" s="19">
        <f t="shared" si="37"/>
        <v>0</v>
      </c>
      <c r="L926" s="131"/>
      <c r="M926" s="131"/>
      <c r="N926" s="131"/>
    </row>
    <row r="927" spans="1:14" hidden="1">
      <c r="A927" s="100" t="s">
        <v>862</v>
      </c>
      <c r="B927" s="101" t="s">
        <v>1364</v>
      </c>
      <c r="C927" s="99" t="s">
        <v>1365</v>
      </c>
      <c r="D927" s="38"/>
      <c r="E927" s="42">
        <v>1</v>
      </c>
      <c r="F927" s="9"/>
      <c r="G927" s="8">
        <f t="shared" si="36"/>
        <v>1.9320000000000002</v>
      </c>
      <c r="H927" s="188">
        <v>1.84</v>
      </c>
      <c r="I927" s="19">
        <f t="shared" si="37"/>
        <v>0</v>
      </c>
      <c r="L927" s="131"/>
      <c r="M927" s="131"/>
      <c r="N927" s="131"/>
    </row>
    <row r="928" spans="1:14" hidden="1">
      <c r="A928" s="100" t="s">
        <v>862</v>
      </c>
      <c r="B928" s="101" t="s">
        <v>1366</v>
      </c>
      <c r="C928" s="99" t="s">
        <v>1367</v>
      </c>
      <c r="D928" s="38"/>
      <c r="E928" s="42">
        <v>1</v>
      </c>
      <c r="F928" s="9"/>
      <c r="G928" s="8">
        <f t="shared" si="36"/>
        <v>1.9320000000000002</v>
      </c>
      <c r="H928" s="188">
        <v>1.84</v>
      </c>
      <c r="I928" s="19">
        <f t="shared" si="37"/>
        <v>0</v>
      </c>
      <c r="L928" s="131"/>
      <c r="M928" s="131"/>
      <c r="N928" s="131"/>
    </row>
    <row r="929" spans="1:14" hidden="1">
      <c r="A929" s="100" t="s">
        <v>862</v>
      </c>
      <c r="B929" s="101" t="s">
        <v>1368</v>
      </c>
      <c r="C929" s="99" t="s">
        <v>1369</v>
      </c>
      <c r="D929" s="38"/>
      <c r="E929" s="42">
        <v>1</v>
      </c>
      <c r="F929" s="9"/>
      <c r="G929" s="8">
        <f t="shared" si="36"/>
        <v>1.9320000000000002</v>
      </c>
      <c r="H929" s="188">
        <v>1.84</v>
      </c>
      <c r="I929" s="19">
        <f t="shared" si="37"/>
        <v>0</v>
      </c>
      <c r="L929" s="131"/>
      <c r="M929" s="131"/>
      <c r="N929" s="131"/>
    </row>
    <row r="930" spans="1:14" hidden="1">
      <c r="A930" s="100" t="s">
        <v>862</v>
      </c>
      <c r="B930" s="101" t="s">
        <v>1370</v>
      </c>
      <c r="C930" s="99" t="s">
        <v>1371</v>
      </c>
      <c r="D930" s="38"/>
      <c r="E930" s="42">
        <v>1</v>
      </c>
      <c r="F930" s="9"/>
      <c r="G930" s="8">
        <f t="shared" si="36"/>
        <v>1.9320000000000002</v>
      </c>
      <c r="H930" s="188">
        <v>1.84</v>
      </c>
      <c r="I930" s="19">
        <f t="shared" si="37"/>
        <v>0</v>
      </c>
      <c r="L930" s="131"/>
      <c r="M930" s="131"/>
      <c r="N930" s="131"/>
    </row>
    <row r="931" spans="1:14" hidden="1">
      <c r="A931" s="100" t="s">
        <v>862</v>
      </c>
      <c r="B931" s="101" t="s">
        <v>1372</v>
      </c>
      <c r="C931" s="99" t="s">
        <v>1373</v>
      </c>
      <c r="D931" s="38"/>
      <c r="E931" s="42">
        <v>1</v>
      </c>
      <c r="F931" s="9"/>
      <c r="G931" s="8">
        <f t="shared" si="36"/>
        <v>1.7534999999999998</v>
      </c>
      <c r="H931" s="188">
        <v>1.67</v>
      </c>
      <c r="I931" s="19">
        <f t="shared" si="37"/>
        <v>0</v>
      </c>
      <c r="L931" s="131"/>
      <c r="M931" s="131"/>
      <c r="N931" s="131"/>
    </row>
    <row r="932" spans="1:14" hidden="1">
      <c r="A932" s="100" t="s">
        <v>862</v>
      </c>
      <c r="B932" s="101" t="s">
        <v>1374</v>
      </c>
      <c r="C932" s="99" t="s">
        <v>1375</v>
      </c>
      <c r="D932" s="38"/>
      <c r="E932" s="42">
        <v>1</v>
      </c>
      <c r="F932" s="9"/>
      <c r="G932" s="8">
        <f t="shared" si="36"/>
        <v>1.7534999999999998</v>
      </c>
      <c r="H932" s="188">
        <v>1.67</v>
      </c>
      <c r="I932" s="19">
        <f t="shared" si="37"/>
        <v>0</v>
      </c>
      <c r="L932" s="131"/>
      <c r="M932" s="131"/>
      <c r="N932" s="131"/>
    </row>
    <row r="933" spans="1:14" hidden="1">
      <c r="A933" s="100" t="s">
        <v>862</v>
      </c>
      <c r="B933" s="101" t="s">
        <v>1376</v>
      </c>
      <c r="C933" s="99" t="s">
        <v>1377</v>
      </c>
      <c r="D933" s="38"/>
      <c r="E933" s="42">
        <v>1</v>
      </c>
      <c r="F933" s="9"/>
      <c r="G933" s="8">
        <f t="shared" ref="G933:G996" si="38">H933+(H933*5%)</f>
        <v>1.70625</v>
      </c>
      <c r="H933" s="188">
        <v>1.625</v>
      </c>
      <c r="I933" s="19">
        <f t="shared" si="37"/>
        <v>0</v>
      </c>
      <c r="L933" s="131"/>
      <c r="M933" s="131"/>
      <c r="N933" s="131"/>
    </row>
    <row r="934" spans="1:14" hidden="1">
      <c r="A934" s="100" t="s">
        <v>862</v>
      </c>
      <c r="B934" s="101" t="s">
        <v>1378</v>
      </c>
      <c r="C934" s="99" t="s">
        <v>1379</v>
      </c>
      <c r="D934" s="38"/>
      <c r="E934" s="42">
        <v>1</v>
      </c>
      <c r="F934" s="9"/>
      <c r="G934" s="8">
        <f t="shared" si="38"/>
        <v>1.70625</v>
      </c>
      <c r="H934" s="188">
        <v>1.625</v>
      </c>
      <c r="I934" s="19">
        <f t="shared" ref="I934:I997" si="39">G934*F934</f>
        <v>0</v>
      </c>
      <c r="L934" s="131"/>
      <c r="M934" s="131"/>
      <c r="N934" s="131"/>
    </row>
    <row r="935" spans="1:14" hidden="1">
      <c r="A935" s="100" t="s">
        <v>862</v>
      </c>
      <c r="B935" s="101" t="s">
        <v>1380</v>
      </c>
      <c r="C935" s="99" t="s">
        <v>1381</v>
      </c>
      <c r="D935" s="38"/>
      <c r="E935" s="42">
        <v>1</v>
      </c>
      <c r="F935" s="9"/>
      <c r="G935" s="8">
        <f t="shared" si="38"/>
        <v>32.418750000000003</v>
      </c>
      <c r="H935" s="188">
        <v>30.875</v>
      </c>
      <c r="I935" s="19">
        <f t="shared" si="39"/>
        <v>0</v>
      </c>
      <c r="L935" s="131"/>
      <c r="M935" s="131"/>
      <c r="N935" s="131"/>
    </row>
    <row r="936" spans="1:14" hidden="1">
      <c r="A936" s="100" t="s">
        <v>862</v>
      </c>
      <c r="B936" s="101" t="s">
        <v>1382</v>
      </c>
      <c r="C936" s="99" t="s">
        <v>1383</v>
      </c>
      <c r="D936" s="38"/>
      <c r="E936" s="42">
        <v>1</v>
      </c>
      <c r="F936" s="9"/>
      <c r="G936" s="8">
        <f t="shared" si="38"/>
        <v>32.418750000000003</v>
      </c>
      <c r="H936" s="188">
        <v>30.875</v>
      </c>
      <c r="I936" s="19">
        <f t="shared" si="39"/>
        <v>0</v>
      </c>
      <c r="L936" s="131"/>
      <c r="M936" s="131"/>
      <c r="N936" s="131"/>
    </row>
    <row r="937" spans="1:14" hidden="1">
      <c r="A937" s="100" t="s">
        <v>862</v>
      </c>
      <c r="B937" s="101" t="s">
        <v>1384</v>
      </c>
      <c r="C937" s="99" t="s">
        <v>1385</v>
      </c>
      <c r="D937" s="38"/>
      <c r="E937" s="42">
        <v>1</v>
      </c>
      <c r="F937" s="9"/>
      <c r="G937" s="8">
        <f t="shared" si="38"/>
        <v>3.6854999999999998</v>
      </c>
      <c r="H937" s="188">
        <v>3.51</v>
      </c>
      <c r="I937" s="19">
        <f t="shared" si="39"/>
        <v>0</v>
      </c>
      <c r="L937" s="131"/>
      <c r="M937" s="131"/>
      <c r="N937" s="131"/>
    </row>
    <row r="938" spans="1:14" hidden="1">
      <c r="A938" s="100" t="s">
        <v>862</v>
      </c>
      <c r="B938" s="101" t="s">
        <v>1386</v>
      </c>
      <c r="C938" s="99" t="s">
        <v>1387</v>
      </c>
      <c r="D938" s="38"/>
      <c r="E938" s="42">
        <v>1</v>
      </c>
      <c r="F938" s="9"/>
      <c r="G938" s="8">
        <f t="shared" si="38"/>
        <v>22.844324999999998</v>
      </c>
      <c r="H938" s="188">
        <v>21.756499999999999</v>
      </c>
      <c r="I938" s="19">
        <f t="shared" si="39"/>
        <v>0</v>
      </c>
      <c r="L938" s="131"/>
      <c r="M938" s="131"/>
      <c r="N938" s="131"/>
    </row>
    <row r="939" spans="1:14" hidden="1">
      <c r="A939" s="100" t="s">
        <v>862</v>
      </c>
      <c r="B939" s="101" t="s">
        <v>1388</v>
      </c>
      <c r="C939" s="99" t="s">
        <v>1389</v>
      </c>
      <c r="D939" s="38"/>
      <c r="E939" s="42">
        <v>1</v>
      </c>
      <c r="F939" s="9"/>
      <c r="G939" s="8">
        <f t="shared" si="38"/>
        <v>88.265625</v>
      </c>
      <c r="H939" s="188">
        <v>84.0625</v>
      </c>
      <c r="I939" s="19">
        <f t="shared" si="39"/>
        <v>0</v>
      </c>
      <c r="L939" s="131"/>
      <c r="M939" s="131"/>
      <c r="N939" s="131"/>
    </row>
    <row r="940" spans="1:14" hidden="1">
      <c r="A940" s="100" t="s">
        <v>862</v>
      </c>
      <c r="B940" s="101" t="s">
        <v>1390</v>
      </c>
      <c r="C940" s="99" t="s">
        <v>1391</v>
      </c>
      <c r="D940" s="38"/>
      <c r="E940" s="42">
        <v>1</v>
      </c>
      <c r="F940" s="9"/>
      <c r="G940" s="8">
        <f t="shared" si="38"/>
        <v>107.8035</v>
      </c>
      <c r="H940" s="188">
        <v>102.67</v>
      </c>
      <c r="I940" s="19">
        <f t="shared" si="39"/>
        <v>0</v>
      </c>
      <c r="L940" s="131"/>
      <c r="M940" s="131"/>
      <c r="N940" s="131"/>
    </row>
    <row r="941" spans="1:14" hidden="1">
      <c r="A941" s="100" t="s">
        <v>862</v>
      </c>
      <c r="B941" s="101" t="s">
        <v>1392</v>
      </c>
      <c r="C941" s="99" t="s">
        <v>1393</v>
      </c>
      <c r="D941" s="38"/>
      <c r="E941" s="42">
        <v>1</v>
      </c>
      <c r="F941" s="9"/>
      <c r="G941" s="8">
        <f t="shared" si="38"/>
        <v>64.682625000000002</v>
      </c>
      <c r="H941" s="188">
        <v>61.602499999999999</v>
      </c>
      <c r="I941" s="19">
        <f t="shared" si="39"/>
        <v>0</v>
      </c>
      <c r="L941" s="131"/>
      <c r="M941" s="131"/>
      <c r="N941" s="131"/>
    </row>
    <row r="942" spans="1:14" hidden="1">
      <c r="A942" s="100" t="s">
        <v>862</v>
      </c>
      <c r="B942" s="101" t="s">
        <v>1394</v>
      </c>
      <c r="C942" s="99" t="s">
        <v>1395</v>
      </c>
      <c r="D942" s="38"/>
      <c r="E942" s="42">
        <v>1</v>
      </c>
      <c r="F942" s="9"/>
      <c r="G942" s="8">
        <f t="shared" si="38"/>
        <v>24.021375000000003</v>
      </c>
      <c r="H942" s="188">
        <v>22.877500000000001</v>
      </c>
      <c r="I942" s="19">
        <f t="shared" si="39"/>
        <v>0</v>
      </c>
      <c r="L942" s="131"/>
      <c r="M942" s="131"/>
      <c r="N942" s="131"/>
    </row>
    <row r="943" spans="1:14" hidden="1">
      <c r="A943" s="100" t="s">
        <v>862</v>
      </c>
      <c r="B943" s="101" t="s">
        <v>1396</v>
      </c>
      <c r="C943" s="99" t="s">
        <v>1397</v>
      </c>
      <c r="D943" s="38"/>
      <c r="E943" s="42">
        <v>1</v>
      </c>
      <c r="F943" s="9"/>
      <c r="G943" s="8">
        <f t="shared" si="38"/>
        <v>44.030699999999996</v>
      </c>
      <c r="H943" s="188">
        <v>41.933999999999997</v>
      </c>
      <c r="I943" s="19">
        <f t="shared" si="39"/>
        <v>0</v>
      </c>
      <c r="L943" s="131"/>
      <c r="M943" s="131"/>
      <c r="N943" s="131"/>
    </row>
    <row r="944" spans="1:14" hidden="1">
      <c r="A944" s="100" t="s">
        <v>862</v>
      </c>
      <c r="B944" s="101" t="s">
        <v>1398</v>
      </c>
      <c r="C944" s="99" t="s">
        <v>1399</v>
      </c>
      <c r="D944" s="38" t="s">
        <v>1117</v>
      </c>
      <c r="E944" s="42">
        <v>1</v>
      </c>
      <c r="F944" s="9"/>
      <c r="G944" s="8">
        <f t="shared" si="38"/>
        <v>667.06499999999994</v>
      </c>
      <c r="H944" s="188">
        <v>635.29999999999995</v>
      </c>
      <c r="I944" s="19">
        <f t="shared" si="39"/>
        <v>0</v>
      </c>
      <c r="L944" s="131"/>
      <c r="M944" s="131"/>
      <c r="N944" s="131"/>
    </row>
    <row r="945" spans="1:14" hidden="1">
      <c r="A945" s="100" t="s">
        <v>862</v>
      </c>
      <c r="B945" s="101" t="s">
        <v>1400</v>
      </c>
      <c r="C945" s="99" t="s">
        <v>1401</v>
      </c>
      <c r="D945" s="38"/>
      <c r="E945" s="42">
        <v>1</v>
      </c>
      <c r="F945" s="9"/>
      <c r="G945" s="8">
        <f t="shared" si="38"/>
        <v>19.68225</v>
      </c>
      <c r="H945" s="188">
        <v>18.745000000000001</v>
      </c>
      <c r="I945" s="19">
        <f t="shared" si="39"/>
        <v>0</v>
      </c>
      <c r="L945" s="131"/>
      <c r="M945" s="131"/>
      <c r="N945" s="131"/>
    </row>
    <row r="946" spans="1:14" hidden="1">
      <c r="A946" s="100" t="s">
        <v>862</v>
      </c>
      <c r="B946" s="101" t="s">
        <v>1402</v>
      </c>
      <c r="C946" s="99" t="s">
        <v>1403</v>
      </c>
      <c r="D946" s="38" t="s">
        <v>1117</v>
      </c>
      <c r="E946" s="42">
        <v>1</v>
      </c>
      <c r="F946" s="9"/>
      <c r="G946" s="8">
        <f t="shared" si="38"/>
        <v>635.33924999999999</v>
      </c>
      <c r="H946" s="188">
        <v>605.08500000000004</v>
      </c>
      <c r="I946" s="19">
        <f t="shared" si="39"/>
        <v>0</v>
      </c>
      <c r="L946" s="131"/>
      <c r="M946" s="131"/>
      <c r="N946" s="131"/>
    </row>
    <row r="947" spans="1:14" hidden="1">
      <c r="A947" s="100" t="s">
        <v>862</v>
      </c>
      <c r="B947" s="101" t="s">
        <v>1404</v>
      </c>
      <c r="C947" s="99" t="s">
        <v>1405</v>
      </c>
      <c r="D947" s="38" t="s">
        <v>1117</v>
      </c>
      <c r="E947" s="42">
        <v>1</v>
      </c>
      <c r="F947" s="9"/>
      <c r="G947" s="8">
        <f t="shared" si="38"/>
        <v>837.64274999999998</v>
      </c>
      <c r="H947" s="188">
        <v>797.755</v>
      </c>
      <c r="I947" s="19">
        <f t="shared" si="39"/>
        <v>0</v>
      </c>
      <c r="L947" s="131"/>
      <c r="M947" s="131"/>
      <c r="N947" s="131"/>
    </row>
    <row r="948" spans="1:14" hidden="1">
      <c r="A948" s="100" t="s">
        <v>862</v>
      </c>
      <c r="B948" s="101" t="s">
        <v>1406</v>
      </c>
      <c r="C948" s="99" t="s">
        <v>1407</v>
      </c>
      <c r="D948" s="38" t="s">
        <v>1117</v>
      </c>
      <c r="E948" s="42">
        <v>1</v>
      </c>
      <c r="F948" s="9"/>
      <c r="G948" s="8">
        <f t="shared" si="38"/>
        <v>1001.532</v>
      </c>
      <c r="H948" s="188">
        <v>953.84</v>
      </c>
      <c r="I948" s="19">
        <f t="shared" si="39"/>
        <v>0</v>
      </c>
      <c r="L948" s="131"/>
      <c r="M948" s="131"/>
      <c r="N948" s="131"/>
    </row>
    <row r="949" spans="1:14" hidden="1">
      <c r="A949" s="100" t="s">
        <v>862</v>
      </c>
      <c r="B949" s="101" t="s">
        <v>1408</v>
      </c>
      <c r="C949" s="99" t="s">
        <v>1409</v>
      </c>
      <c r="D949" s="38"/>
      <c r="E949" s="42">
        <v>1</v>
      </c>
      <c r="F949" s="9"/>
      <c r="G949" s="8">
        <f t="shared" si="38"/>
        <v>22.413824999999999</v>
      </c>
      <c r="H949" s="188">
        <v>21.346499999999999</v>
      </c>
      <c r="I949" s="19">
        <f t="shared" si="39"/>
        <v>0</v>
      </c>
      <c r="L949" s="131"/>
      <c r="M949" s="131"/>
      <c r="N949" s="131"/>
    </row>
    <row r="950" spans="1:14" hidden="1">
      <c r="A950" s="100" t="s">
        <v>862</v>
      </c>
      <c r="B950" s="101" t="s">
        <v>1410</v>
      </c>
      <c r="C950" s="99" t="s">
        <v>1411</v>
      </c>
      <c r="D950" s="38"/>
      <c r="E950" s="42">
        <v>1</v>
      </c>
      <c r="F950" s="9"/>
      <c r="G950" s="8">
        <f t="shared" si="38"/>
        <v>70.851375000000004</v>
      </c>
      <c r="H950" s="188">
        <v>67.477500000000006</v>
      </c>
      <c r="I950" s="19">
        <f t="shared" si="39"/>
        <v>0</v>
      </c>
      <c r="L950" s="131"/>
      <c r="M950" s="131"/>
      <c r="N950" s="131"/>
    </row>
    <row r="951" spans="1:14" hidden="1">
      <c r="A951" s="100" t="s">
        <v>862</v>
      </c>
      <c r="B951" s="101" t="s">
        <v>1412</v>
      </c>
      <c r="C951" s="99" t="s">
        <v>1413</v>
      </c>
      <c r="D951" s="38"/>
      <c r="E951" s="42">
        <v>1</v>
      </c>
      <c r="F951" s="9"/>
      <c r="G951" s="8">
        <f t="shared" si="38"/>
        <v>70.851375000000004</v>
      </c>
      <c r="H951" s="188">
        <v>67.477500000000006</v>
      </c>
      <c r="I951" s="19">
        <f t="shared" si="39"/>
        <v>0</v>
      </c>
      <c r="L951" s="131"/>
      <c r="M951" s="131"/>
      <c r="N951" s="131"/>
    </row>
    <row r="952" spans="1:14" hidden="1">
      <c r="A952" s="100" t="s">
        <v>862</v>
      </c>
      <c r="B952" s="101" t="s">
        <v>1414</v>
      </c>
      <c r="C952" s="99" t="s">
        <v>1415</v>
      </c>
      <c r="D952" s="38"/>
      <c r="E952" s="42">
        <v>1</v>
      </c>
      <c r="F952" s="9"/>
      <c r="G952" s="8">
        <f t="shared" si="38"/>
        <v>122.415825</v>
      </c>
      <c r="H952" s="188">
        <v>116.5865</v>
      </c>
      <c r="I952" s="19">
        <f t="shared" si="39"/>
        <v>0</v>
      </c>
      <c r="L952" s="131"/>
      <c r="M952" s="131"/>
      <c r="N952" s="131"/>
    </row>
    <row r="953" spans="1:14" hidden="1">
      <c r="A953" s="100" t="s">
        <v>862</v>
      </c>
      <c r="B953" s="101" t="s">
        <v>1416</v>
      </c>
      <c r="C953" s="99" t="s">
        <v>1417</v>
      </c>
      <c r="D953" s="38"/>
      <c r="E953" s="42">
        <v>1</v>
      </c>
      <c r="F953" s="9"/>
      <c r="G953" s="8">
        <f t="shared" si="38"/>
        <v>57.862875000000003</v>
      </c>
      <c r="H953" s="188">
        <v>55.107500000000002</v>
      </c>
      <c r="I953" s="19">
        <f t="shared" si="39"/>
        <v>0</v>
      </c>
      <c r="L953" s="131"/>
      <c r="M953" s="131"/>
      <c r="N953" s="131"/>
    </row>
    <row r="954" spans="1:14" hidden="1">
      <c r="A954" s="100" t="s">
        <v>862</v>
      </c>
      <c r="B954" s="101" t="s">
        <v>1418</v>
      </c>
      <c r="C954" s="99" t="s">
        <v>1419</v>
      </c>
      <c r="D954" s="38"/>
      <c r="E954" s="42">
        <v>1</v>
      </c>
      <c r="F954" s="9"/>
      <c r="G954" s="8">
        <f t="shared" si="38"/>
        <v>47.629575000000003</v>
      </c>
      <c r="H954" s="188">
        <v>45.361499999999999</v>
      </c>
      <c r="I954" s="19">
        <f t="shared" si="39"/>
        <v>0</v>
      </c>
      <c r="L954" s="131"/>
      <c r="M954" s="131"/>
      <c r="N954" s="131"/>
    </row>
    <row r="955" spans="1:14" hidden="1">
      <c r="A955" s="100" t="s">
        <v>862</v>
      </c>
      <c r="B955" s="101" t="s">
        <v>1420</v>
      </c>
      <c r="C955" s="99" t="s">
        <v>1421</v>
      </c>
      <c r="D955" s="38"/>
      <c r="E955" s="42">
        <v>1</v>
      </c>
      <c r="F955" s="9"/>
      <c r="G955" s="8">
        <f t="shared" si="38"/>
        <v>47.629575000000003</v>
      </c>
      <c r="H955" s="188">
        <v>45.361499999999999</v>
      </c>
      <c r="I955" s="19">
        <f t="shared" si="39"/>
        <v>0</v>
      </c>
      <c r="L955" s="131"/>
      <c r="M955" s="131"/>
      <c r="N955" s="131"/>
    </row>
    <row r="956" spans="1:14" hidden="1">
      <c r="A956" s="100" t="s">
        <v>862</v>
      </c>
      <c r="B956" s="101" t="s">
        <v>1422</v>
      </c>
      <c r="C956" s="99" t="s">
        <v>1423</v>
      </c>
      <c r="D956" s="38"/>
      <c r="E956" s="42">
        <v>1</v>
      </c>
      <c r="F956" s="9"/>
      <c r="G956" s="8">
        <f t="shared" si="38"/>
        <v>77.875875000000008</v>
      </c>
      <c r="H956" s="188">
        <v>74.167500000000004</v>
      </c>
      <c r="I956" s="19">
        <f t="shared" si="39"/>
        <v>0</v>
      </c>
      <c r="L956" s="131"/>
      <c r="M956" s="131"/>
      <c r="N956" s="131"/>
    </row>
    <row r="957" spans="1:14" hidden="1">
      <c r="A957" s="100" t="s">
        <v>862</v>
      </c>
      <c r="B957" s="101" t="s">
        <v>1424</v>
      </c>
      <c r="C957" s="99" t="s">
        <v>1425</v>
      </c>
      <c r="D957" s="38"/>
      <c r="E957" s="42">
        <v>1</v>
      </c>
      <c r="F957" s="9"/>
      <c r="G957" s="8">
        <f t="shared" si="38"/>
        <v>39.309375000000003</v>
      </c>
      <c r="H957" s="188">
        <v>37.4375</v>
      </c>
      <c r="I957" s="19">
        <f t="shared" si="39"/>
        <v>0</v>
      </c>
      <c r="L957" s="131"/>
      <c r="M957" s="131"/>
      <c r="N957" s="131"/>
    </row>
    <row r="958" spans="1:14" hidden="1">
      <c r="A958" s="100" t="s">
        <v>862</v>
      </c>
      <c r="B958" s="101" t="s">
        <v>1426</v>
      </c>
      <c r="C958" s="99" t="s">
        <v>1427</v>
      </c>
      <c r="D958" s="38"/>
      <c r="E958" s="42">
        <v>1</v>
      </c>
      <c r="F958" s="9"/>
      <c r="G958" s="8">
        <f t="shared" si="38"/>
        <v>86.16825</v>
      </c>
      <c r="H958" s="188">
        <v>82.064999999999998</v>
      </c>
      <c r="I958" s="19">
        <f t="shared" si="39"/>
        <v>0</v>
      </c>
      <c r="L958" s="131"/>
      <c r="M958" s="131"/>
      <c r="N958" s="131"/>
    </row>
    <row r="959" spans="1:14" hidden="1">
      <c r="A959" s="100" t="s">
        <v>862</v>
      </c>
      <c r="B959" s="101" t="s">
        <v>1428</v>
      </c>
      <c r="C959" s="99" t="s">
        <v>1429</v>
      </c>
      <c r="D959" s="38"/>
      <c r="E959" s="42">
        <v>1</v>
      </c>
      <c r="F959" s="9"/>
      <c r="G959" s="8">
        <f t="shared" si="38"/>
        <v>86.16825</v>
      </c>
      <c r="H959" s="188">
        <v>82.064999999999998</v>
      </c>
      <c r="I959" s="19">
        <f t="shared" si="39"/>
        <v>0</v>
      </c>
      <c r="L959" s="131"/>
      <c r="M959" s="131"/>
      <c r="N959" s="131"/>
    </row>
    <row r="960" spans="1:14" hidden="1">
      <c r="A960" s="100" t="s">
        <v>862</v>
      </c>
      <c r="B960" s="101" t="s">
        <v>1430</v>
      </c>
      <c r="C960" s="99" t="s">
        <v>1431</v>
      </c>
      <c r="D960" s="38"/>
      <c r="E960" s="42">
        <v>1</v>
      </c>
      <c r="F960" s="9"/>
      <c r="G960" s="8">
        <f t="shared" si="38"/>
        <v>132.85544999999999</v>
      </c>
      <c r="H960" s="188">
        <v>126.529</v>
      </c>
      <c r="I960" s="19">
        <f t="shared" si="39"/>
        <v>0</v>
      </c>
      <c r="L960" s="131"/>
      <c r="M960" s="131"/>
      <c r="N960" s="131"/>
    </row>
    <row r="961" spans="1:14" hidden="1">
      <c r="A961" s="100" t="s">
        <v>862</v>
      </c>
      <c r="B961" s="101" t="s">
        <v>1432</v>
      </c>
      <c r="C961" s="99" t="s">
        <v>1433</v>
      </c>
      <c r="D961" s="38"/>
      <c r="E961" s="42">
        <v>1</v>
      </c>
      <c r="F961" s="9"/>
      <c r="G961" s="8">
        <f t="shared" si="38"/>
        <v>77.937825000000004</v>
      </c>
      <c r="H961" s="188">
        <v>74.226500000000001</v>
      </c>
      <c r="I961" s="19">
        <f t="shared" si="39"/>
        <v>0</v>
      </c>
      <c r="L961" s="131"/>
      <c r="M961" s="131"/>
      <c r="N961" s="131"/>
    </row>
    <row r="962" spans="1:14" hidden="1">
      <c r="A962" s="100" t="s">
        <v>862</v>
      </c>
      <c r="B962" s="101" t="s">
        <v>1434</v>
      </c>
      <c r="C962" s="99" t="s">
        <v>1435</v>
      </c>
      <c r="D962" s="38"/>
      <c r="E962" s="42">
        <v>1</v>
      </c>
      <c r="F962" s="9"/>
      <c r="G962" s="8">
        <f t="shared" si="38"/>
        <v>37.889250000000004</v>
      </c>
      <c r="H962" s="188">
        <v>36.085000000000001</v>
      </c>
      <c r="I962" s="19">
        <f t="shared" si="39"/>
        <v>0</v>
      </c>
      <c r="L962" s="131"/>
      <c r="M962" s="131"/>
      <c r="N962" s="131"/>
    </row>
    <row r="963" spans="1:14" hidden="1">
      <c r="A963" s="100" t="s">
        <v>862</v>
      </c>
      <c r="B963" s="101" t="s">
        <v>1436</v>
      </c>
      <c r="C963" s="99" t="s">
        <v>1437</v>
      </c>
      <c r="D963" s="38"/>
      <c r="E963" s="42">
        <v>1</v>
      </c>
      <c r="F963" s="9"/>
      <c r="G963" s="8">
        <f t="shared" si="38"/>
        <v>37.889250000000004</v>
      </c>
      <c r="H963" s="188">
        <v>36.085000000000001</v>
      </c>
      <c r="I963" s="19">
        <f t="shared" si="39"/>
        <v>0</v>
      </c>
      <c r="L963" s="131"/>
      <c r="M963" s="131"/>
      <c r="N963" s="131"/>
    </row>
    <row r="964" spans="1:14" hidden="1">
      <c r="A964" s="100" t="s">
        <v>862</v>
      </c>
      <c r="B964" s="101" t="s">
        <v>1438</v>
      </c>
      <c r="C964" s="99" t="s">
        <v>1439</v>
      </c>
      <c r="D964" s="38"/>
      <c r="E964" s="42">
        <v>1</v>
      </c>
      <c r="F964" s="9"/>
      <c r="G964" s="8">
        <f t="shared" si="38"/>
        <v>37.889250000000004</v>
      </c>
      <c r="H964" s="188">
        <v>36.085000000000001</v>
      </c>
      <c r="I964" s="19">
        <f t="shared" si="39"/>
        <v>0</v>
      </c>
      <c r="L964" s="131"/>
      <c r="M964" s="131"/>
      <c r="N964" s="131"/>
    </row>
    <row r="965" spans="1:14" hidden="1">
      <c r="A965" s="100" t="s">
        <v>862</v>
      </c>
      <c r="B965" s="101" t="s">
        <v>1440</v>
      </c>
      <c r="C965" s="99" t="s">
        <v>1441</v>
      </c>
      <c r="D965" s="38"/>
      <c r="E965" s="42">
        <v>1</v>
      </c>
      <c r="F965" s="9"/>
      <c r="G965" s="8">
        <f t="shared" si="38"/>
        <v>67.183199999999999</v>
      </c>
      <c r="H965" s="188">
        <v>63.984000000000002</v>
      </c>
      <c r="I965" s="19">
        <f t="shared" si="39"/>
        <v>0</v>
      </c>
      <c r="L965" s="131"/>
      <c r="M965" s="131"/>
      <c r="N965" s="131"/>
    </row>
    <row r="966" spans="1:14" hidden="1">
      <c r="A966" s="100" t="s">
        <v>862</v>
      </c>
      <c r="B966" s="101" t="s">
        <v>1442</v>
      </c>
      <c r="C966" s="99" t="s">
        <v>1443</v>
      </c>
      <c r="D966" s="38"/>
      <c r="E966" s="42">
        <v>1</v>
      </c>
      <c r="F966" s="9"/>
      <c r="G966" s="8">
        <f t="shared" si="38"/>
        <v>33.522824999999997</v>
      </c>
      <c r="H966" s="188">
        <v>31.926500000000001</v>
      </c>
      <c r="I966" s="19">
        <f t="shared" si="39"/>
        <v>0</v>
      </c>
      <c r="L966" s="131"/>
      <c r="M966" s="131"/>
      <c r="N966" s="131"/>
    </row>
    <row r="967" spans="1:14" hidden="1">
      <c r="A967" s="100" t="s">
        <v>862</v>
      </c>
      <c r="B967" s="101" t="s">
        <v>1444</v>
      </c>
      <c r="C967" s="99" t="s">
        <v>1445</v>
      </c>
      <c r="D967" s="38"/>
      <c r="E967" s="42">
        <v>1</v>
      </c>
      <c r="F967" s="9"/>
      <c r="G967" s="8">
        <f t="shared" si="38"/>
        <v>59.40795</v>
      </c>
      <c r="H967" s="188">
        <v>56.579000000000001</v>
      </c>
      <c r="I967" s="19">
        <f t="shared" si="39"/>
        <v>0</v>
      </c>
      <c r="L967" s="131"/>
      <c r="M967" s="131"/>
      <c r="N967" s="131"/>
    </row>
    <row r="968" spans="1:14" hidden="1">
      <c r="A968" s="100" t="s">
        <v>862</v>
      </c>
      <c r="B968" s="101" t="s">
        <v>1446</v>
      </c>
      <c r="C968" s="99" t="s">
        <v>1447</v>
      </c>
      <c r="D968" s="38"/>
      <c r="E968" s="42">
        <v>1</v>
      </c>
      <c r="F968" s="9"/>
      <c r="G968" s="8">
        <f t="shared" si="38"/>
        <v>59.40795</v>
      </c>
      <c r="H968" s="188">
        <v>56.579000000000001</v>
      </c>
      <c r="I968" s="19">
        <f t="shared" si="39"/>
        <v>0</v>
      </c>
      <c r="L968" s="131"/>
      <c r="M968" s="131"/>
      <c r="N968" s="131"/>
    </row>
    <row r="969" spans="1:14" hidden="1">
      <c r="A969" s="100" t="s">
        <v>862</v>
      </c>
      <c r="B969" s="101" t="s">
        <v>1448</v>
      </c>
      <c r="C969" s="99" t="s">
        <v>1449</v>
      </c>
      <c r="D969" s="38"/>
      <c r="E969" s="42">
        <v>1</v>
      </c>
      <c r="F969" s="9"/>
      <c r="G969" s="8">
        <f t="shared" si="38"/>
        <v>59.40795</v>
      </c>
      <c r="H969" s="188">
        <v>56.579000000000001</v>
      </c>
      <c r="I969" s="19">
        <f t="shared" si="39"/>
        <v>0</v>
      </c>
      <c r="L969" s="131"/>
      <c r="M969" s="131"/>
      <c r="N969" s="131"/>
    </row>
    <row r="970" spans="1:14" hidden="1">
      <c r="A970" s="100" t="s">
        <v>862</v>
      </c>
      <c r="B970" s="101" t="s">
        <v>1450</v>
      </c>
      <c r="C970" s="99" t="s">
        <v>1451</v>
      </c>
      <c r="D970" s="38"/>
      <c r="E970" s="42">
        <v>1</v>
      </c>
      <c r="F970" s="9"/>
      <c r="G970" s="8">
        <f t="shared" si="38"/>
        <v>92.301824999999994</v>
      </c>
      <c r="H970" s="188">
        <v>87.906499999999994</v>
      </c>
      <c r="I970" s="19">
        <f t="shared" si="39"/>
        <v>0</v>
      </c>
      <c r="L970" s="131"/>
      <c r="M970" s="131"/>
      <c r="N970" s="131"/>
    </row>
    <row r="971" spans="1:14" hidden="1">
      <c r="A971" s="100" t="s">
        <v>862</v>
      </c>
      <c r="B971" s="101" t="s">
        <v>1452</v>
      </c>
      <c r="C971" s="99" t="s">
        <v>1453</v>
      </c>
      <c r="D971" s="38"/>
      <c r="E971" s="42">
        <v>1</v>
      </c>
      <c r="F971" s="9"/>
      <c r="G971" s="8">
        <f t="shared" si="38"/>
        <v>50.467199999999998</v>
      </c>
      <c r="H971" s="188">
        <v>48.064</v>
      </c>
      <c r="I971" s="19">
        <f t="shared" si="39"/>
        <v>0</v>
      </c>
      <c r="L971" s="131"/>
      <c r="M971" s="131"/>
      <c r="N971" s="131"/>
    </row>
    <row r="972" spans="1:14" hidden="1">
      <c r="A972" s="100" t="s">
        <v>862</v>
      </c>
      <c r="B972" s="101" t="s">
        <v>1454</v>
      </c>
      <c r="C972" s="99" t="s">
        <v>1455</v>
      </c>
      <c r="D972" s="38"/>
      <c r="E972" s="42">
        <v>1</v>
      </c>
      <c r="F972" s="9"/>
      <c r="G972" s="8">
        <f t="shared" si="38"/>
        <v>38.712449999999997</v>
      </c>
      <c r="H972" s="188">
        <v>36.869</v>
      </c>
      <c r="I972" s="19">
        <f t="shared" si="39"/>
        <v>0</v>
      </c>
      <c r="L972" s="131"/>
      <c r="M972" s="131"/>
      <c r="N972" s="131"/>
    </row>
    <row r="973" spans="1:14" hidden="1">
      <c r="A973" s="100" t="s">
        <v>862</v>
      </c>
      <c r="B973" s="101" t="s">
        <v>1456</v>
      </c>
      <c r="C973" s="99" t="s">
        <v>1457</v>
      </c>
      <c r="D973" s="38"/>
      <c r="E973" s="42">
        <v>1</v>
      </c>
      <c r="F973" s="9"/>
      <c r="G973" s="8">
        <f t="shared" si="38"/>
        <v>57.985199999999999</v>
      </c>
      <c r="H973" s="188">
        <v>55.223999999999997</v>
      </c>
      <c r="I973" s="19">
        <f t="shared" si="39"/>
        <v>0</v>
      </c>
      <c r="L973" s="131"/>
      <c r="M973" s="131"/>
      <c r="N973" s="131"/>
    </row>
    <row r="974" spans="1:14" hidden="1">
      <c r="A974" s="100" t="s">
        <v>862</v>
      </c>
      <c r="B974" s="101" t="s">
        <v>1458</v>
      </c>
      <c r="C974" s="99" t="s">
        <v>1459</v>
      </c>
      <c r="D974" s="38"/>
      <c r="E974" s="42">
        <v>1</v>
      </c>
      <c r="F974" s="9"/>
      <c r="G974" s="8">
        <f t="shared" si="38"/>
        <v>38.712449999999997</v>
      </c>
      <c r="H974" s="188">
        <v>36.869</v>
      </c>
      <c r="I974" s="19">
        <f t="shared" si="39"/>
        <v>0</v>
      </c>
      <c r="L974" s="131"/>
      <c r="M974" s="131"/>
      <c r="N974" s="131"/>
    </row>
    <row r="975" spans="1:14" hidden="1">
      <c r="A975" s="100" t="s">
        <v>862</v>
      </c>
      <c r="B975" s="101" t="s">
        <v>1460</v>
      </c>
      <c r="C975" s="99" t="s">
        <v>1461</v>
      </c>
      <c r="D975" s="38"/>
      <c r="E975" s="42">
        <v>1</v>
      </c>
      <c r="F975" s="9"/>
      <c r="G975" s="8">
        <f t="shared" si="38"/>
        <v>58.571624999999997</v>
      </c>
      <c r="H975" s="188">
        <v>55.782499999999999</v>
      </c>
      <c r="I975" s="19">
        <f t="shared" si="39"/>
        <v>0</v>
      </c>
      <c r="L975" s="131"/>
      <c r="M975" s="131"/>
      <c r="N975" s="131"/>
    </row>
    <row r="976" spans="1:14" hidden="1">
      <c r="A976" s="100" t="s">
        <v>862</v>
      </c>
      <c r="B976" s="101" t="s">
        <v>1462</v>
      </c>
      <c r="C976" s="99" t="s">
        <v>1463</v>
      </c>
      <c r="D976" s="38"/>
      <c r="E976" s="42">
        <v>1</v>
      </c>
      <c r="F976" s="9"/>
      <c r="G976" s="8">
        <f t="shared" si="38"/>
        <v>55.243124999999999</v>
      </c>
      <c r="H976" s="188">
        <v>52.612499999999997</v>
      </c>
      <c r="I976" s="19">
        <f t="shared" si="39"/>
        <v>0</v>
      </c>
      <c r="L976" s="131"/>
      <c r="M976" s="131"/>
      <c r="N976" s="131"/>
    </row>
    <row r="977" spans="1:14" hidden="1">
      <c r="A977" s="100" t="s">
        <v>862</v>
      </c>
      <c r="B977" s="101" t="s">
        <v>1464</v>
      </c>
      <c r="C977" s="99" t="s">
        <v>1465</v>
      </c>
      <c r="D977" s="38"/>
      <c r="E977" s="42">
        <v>1</v>
      </c>
      <c r="F977" s="9"/>
      <c r="G977" s="8">
        <f t="shared" si="38"/>
        <v>49.630874999999996</v>
      </c>
      <c r="H977" s="188">
        <v>47.267499999999998</v>
      </c>
      <c r="I977" s="19">
        <f t="shared" si="39"/>
        <v>0</v>
      </c>
      <c r="L977" s="131"/>
      <c r="M977" s="131"/>
      <c r="N977" s="131"/>
    </row>
    <row r="978" spans="1:14" hidden="1">
      <c r="A978" s="100" t="s">
        <v>862</v>
      </c>
      <c r="B978" s="101" t="s">
        <v>1466</v>
      </c>
      <c r="C978" s="99" t="s">
        <v>1467</v>
      </c>
      <c r="D978" s="38"/>
      <c r="E978" s="42">
        <v>1</v>
      </c>
      <c r="F978" s="9"/>
      <c r="G978" s="8">
        <f t="shared" si="38"/>
        <v>55.761824999999995</v>
      </c>
      <c r="H978" s="188">
        <v>53.106499999999997</v>
      </c>
      <c r="I978" s="19">
        <f t="shared" si="39"/>
        <v>0</v>
      </c>
      <c r="L978" s="131"/>
      <c r="M978" s="131"/>
      <c r="N978" s="131"/>
    </row>
    <row r="979" spans="1:14" hidden="1">
      <c r="A979" s="100" t="s">
        <v>862</v>
      </c>
      <c r="B979" s="101" t="s">
        <v>1468</v>
      </c>
      <c r="C979" s="99" t="s">
        <v>1469</v>
      </c>
      <c r="D979" s="38"/>
      <c r="E979" s="42">
        <v>1</v>
      </c>
      <c r="F979" s="9"/>
      <c r="G979" s="8">
        <f t="shared" si="38"/>
        <v>118.2825</v>
      </c>
      <c r="H979" s="188">
        <v>112.65</v>
      </c>
      <c r="I979" s="19">
        <f t="shared" si="39"/>
        <v>0</v>
      </c>
      <c r="L979" s="131"/>
      <c r="M979" s="131"/>
      <c r="N979" s="131"/>
    </row>
    <row r="980" spans="1:14" hidden="1">
      <c r="A980" s="100" t="s">
        <v>862</v>
      </c>
      <c r="B980" s="101" t="s">
        <v>1470</v>
      </c>
      <c r="C980" s="99" t="s">
        <v>1471</v>
      </c>
      <c r="D980" s="38"/>
      <c r="E980" s="42">
        <v>1</v>
      </c>
      <c r="F980" s="9"/>
      <c r="G980" s="8">
        <f t="shared" si="38"/>
        <v>157.70999999999998</v>
      </c>
      <c r="H980" s="188">
        <v>150.19999999999999</v>
      </c>
      <c r="I980" s="19">
        <f t="shared" si="39"/>
        <v>0</v>
      </c>
      <c r="L980" s="131"/>
      <c r="M980" s="131"/>
      <c r="N980" s="131"/>
    </row>
    <row r="981" spans="1:14" hidden="1">
      <c r="A981" s="100" t="s">
        <v>862</v>
      </c>
      <c r="B981" s="101" t="s">
        <v>1472</v>
      </c>
      <c r="C981" s="99" t="s">
        <v>1473</v>
      </c>
      <c r="D981" s="38"/>
      <c r="E981" s="42">
        <v>1</v>
      </c>
      <c r="F981" s="9"/>
      <c r="G981" s="8">
        <f t="shared" si="38"/>
        <v>47.777625</v>
      </c>
      <c r="H981" s="188">
        <v>45.502499999999998</v>
      </c>
      <c r="I981" s="19">
        <f t="shared" si="39"/>
        <v>0</v>
      </c>
      <c r="L981" s="131"/>
      <c r="M981" s="131"/>
      <c r="N981" s="131"/>
    </row>
    <row r="982" spans="1:14" hidden="1">
      <c r="A982" s="100" t="s">
        <v>862</v>
      </c>
      <c r="B982" s="101" t="s">
        <v>1474</v>
      </c>
      <c r="C982" s="99" t="s">
        <v>1475</v>
      </c>
      <c r="D982" s="38"/>
      <c r="E982" s="42">
        <v>1</v>
      </c>
      <c r="F982" s="9"/>
      <c r="G982" s="8">
        <f t="shared" si="38"/>
        <v>41.085449999999994</v>
      </c>
      <c r="H982" s="188">
        <v>39.128999999999998</v>
      </c>
      <c r="I982" s="19">
        <f t="shared" si="39"/>
        <v>0</v>
      </c>
      <c r="L982" s="131"/>
      <c r="M982" s="131"/>
      <c r="N982" s="131"/>
    </row>
    <row r="983" spans="1:14" hidden="1">
      <c r="A983" s="100" t="s">
        <v>862</v>
      </c>
      <c r="B983" s="101" t="s">
        <v>1476</v>
      </c>
      <c r="C983" s="99" t="s">
        <v>1477</v>
      </c>
      <c r="D983" s="38"/>
      <c r="E983" s="42">
        <v>1</v>
      </c>
      <c r="F983" s="9"/>
      <c r="G983" s="8">
        <f t="shared" si="38"/>
        <v>120.8235</v>
      </c>
      <c r="H983" s="188">
        <v>115.07</v>
      </c>
      <c r="I983" s="19">
        <f t="shared" si="39"/>
        <v>0</v>
      </c>
      <c r="L983" s="131"/>
      <c r="M983" s="131"/>
      <c r="N983" s="131"/>
    </row>
    <row r="984" spans="1:14" hidden="1">
      <c r="A984" s="100" t="s">
        <v>862</v>
      </c>
      <c r="B984" s="101" t="s">
        <v>1478</v>
      </c>
      <c r="C984" s="99" t="s">
        <v>1479</v>
      </c>
      <c r="D984" s="38"/>
      <c r="E984" s="42">
        <v>1</v>
      </c>
      <c r="F984" s="9"/>
      <c r="G984" s="8">
        <f t="shared" si="38"/>
        <v>33.804749999999999</v>
      </c>
      <c r="H984" s="188">
        <v>32.195</v>
      </c>
      <c r="I984" s="19">
        <f t="shared" si="39"/>
        <v>0</v>
      </c>
      <c r="L984" s="131"/>
      <c r="M984" s="131"/>
      <c r="N984" s="131"/>
    </row>
    <row r="985" spans="1:14" hidden="1">
      <c r="A985" s="100" t="s">
        <v>862</v>
      </c>
      <c r="B985" s="101" t="s">
        <v>1480</v>
      </c>
      <c r="C985" s="99" t="s">
        <v>1481</v>
      </c>
      <c r="D985" s="38"/>
      <c r="E985" s="42">
        <v>1</v>
      </c>
      <c r="F985" s="9"/>
      <c r="G985" s="8">
        <f t="shared" si="38"/>
        <v>42.700874999999996</v>
      </c>
      <c r="H985" s="188">
        <v>40.667499999999997</v>
      </c>
      <c r="I985" s="19">
        <f t="shared" si="39"/>
        <v>0</v>
      </c>
      <c r="L985" s="131"/>
      <c r="M985" s="131"/>
      <c r="N985" s="131"/>
    </row>
    <row r="986" spans="1:14" hidden="1">
      <c r="A986" s="100" t="s">
        <v>862</v>
      </c>
      <c r="B986" s="101" t="s">
        <v>1482</v>
      </c>
      <c r="C986" s="99" t="s">
        <v>1483</v>
      </c>
      <c r="D986" s="38"/>
      <c r="E986" s="42">
        <v>1</v>
      </c>
      <c r="F986" s="9"/>
      <c r="G986" s="8">
        <f t="shared" si="38"/>
        <v>59.247824999999999</v>
      </c>
      <c r="H986" s="188">
        <v>56.426499999999997</v>
      </c>
      <c r="I986" s="19">
        <f t="shared" si="39"/>
        <v>0</v>
      </c>
      <c r="L986" s="131"/>
      <c r="M986" s="131"/>
      <c r="N986" s="131"/>
    </row>
    <row r="987" spans="1:14" hidden="1">
      <c r="A987" s="100" t="s">
        <v>862</v>
      </c>
      <c r="B987" s="101" t="s">
        <v>1484</v>
      </c>
      <c r="C987" s="99" t="s">
        <v>1485</v>
      </c>
      <c r="D987" s="38"/>
      <c r="E987" s="42">
        <v>1</v>
      </c>
      <c r="F987" s="9"/>
      <c r="G987" s="8">
        <f t="shared" si="38"/>
        <v>36.202950000000001</v>
      </c>
      <c r="H987" s="188">
        <v>34.478999999999999</v>
      </c>
      <c r="I987" s="19">
        <f t="shared" si="39"/>
        <v>0</v>
      </c>
      <c r="L987" s="131"/>
      <c r="M987" s="131"/>
      <c r="N987" s="131"/>
    </row>
    <row r="988" spans="1:14" hidden="1">
      <c r="A988" s="100" t="s">
        <v>862</v>
      </c>
      <c r="B988" s="101" t="s">
        <v>1486</v>
      </c>
      <c r="C988" s="99" t="s">
        <v>1487</v>
      </c>
      <c r="D988" s="38"/>
      <c r="E988" s="42">
        <v>1</v>
      </c>
      <c r="F988" s="9"/>
      <c r="G988" s="8">
        <f t="shared" si="38"/>
        <v>29.666700000000002</v>
      </c>
      <c r="H988" s="188">
        <v>28.254000000000001</v>
      </c>
      <c r="I988" s="19">
        <f t="shared" si="39"/>
        <v>0</v>
      </c>
      <c r="L988" s="131"/>
      <c r="M988" s="131"/>
      <c r="N988" s="131"/>
    </row>
    <row r="989" spans="1:14" hidden="1">
      <c r="A989" s="100" t="s">
        <v>862</v>
      </c>
      <c r="B989" s="101" t="s">
        <v>1488</v>
      </c>
      <c r="C989" s="99" t="s">
        <v>1489</v>
      </c>
      <c r="D989" s="38"/>
      <c r="E989" s="42">
        <v>1</v>
      </c>
      <c r="F989" s="9"/>
      <c r="G989" s="8">
        <f t="shared" si="38"/>
        <v>77.562449999999998</v>
      </c>
      <c r="H989" s="188">
        <v>73.869</v>
      </c>
      <c r="I989" s="19">
        <f t="shared" si="39"/>
        <v>0</v>
      </c>
      <c r="L989" s="131"/>
      <c r="M989" s="131"/>
      <c r="N989" s="131"/>
    </row>
    <row r="990" spans="1:14" hidden="1">
      <c r="A990" s="100" t="s">
        <v>862</v>
      </c>
      <c r="B990" s="101" t="s">
        <v>1490</v>
      </c>
      <c r="C990" s="99" t="s">
        <v>1491</v>
      </c>
      <c r="D990" s="38"/>
      <c r="E990" s="42">
        <v>1</v>
      </c>
      <c r="F990" s="9"/>
      <c r="G990" s="8">
        <f t="shared" si="38"/>
        <v>92.8767</v>
      </c>
      <c r="H990" s="188">
        <v>88.453999999999994</v>
      </c>
      <c r="I990" s="19">
        <f t="shared" si="39"/>
        <v>0</v>
      </c>
      <c r="L990" s="131"/>
      <c r="M990" s="131"/>
      <c r="N990" s="131"/>
    </row>
    <row r="991" spans="1:14" hidden="1">
      <c r="A991" s="100" t="s">
        <v>862</v>
      </c>
      <c r="B991" s="101" t="s">
        <v>1492</v>
      </c>
      <c r="C991" s="99" t="s">
        <v>1493</v>
      </c>
      <c r="D991" s="38"/>
      <c r="E991" s="42">
        <v>1</v>
      </c>
      <c r="F991" s="9"/>
      <c r="G991" s="8">
        <f t="shared" si="38"/>
        <v>121.42462499999999</v>
      </c>
      <c r="H991" s="188">
        <v>115.6425</v>
      </c>
      <c r="I991" s="19">
        <f t="shared" si="39"/>
        <v>0</v>
      </c>
      <c r="L991" s="131"/>
      <c r="M991" s="131"/>
      <c r="N991" s="131"/>
    </row>
    <row r="992" spans="1:14" hidden="1">
      <c r="A992" s="100" t="s">
        <v>862</v>
      </c>
      <c r="B992" s="101" t="s">
        <v>1494</v>
      </c>
      <c r="C992" s="99" t="s">
        <v>1495</v>
      </c>
      <c r="D992" s="38"/>
      <c r="E992" s="42">
        <v>1</v>
      </c>
      <c r="F992" s="9"/>
      <c r="G992" s="8">
        <f t="shared" si="38"/>
        <v>43.9572</v>
      </c>
      <c r="H992" s="188">
        <v>41.863999999999997</v>
      </c>
      <c r="I992" s="19">
        <f t="shared" si="39"/>
        <v>0</v>
      </c>
      <c r="L992" s="131"/>
      <c r="M992" s="131"/>
      <c r="N992" s="131"/>
    </row>
    <row r="993" spans="1:14" hidden="1">
      <c r="A993" s="100" t="s">
        <v>862</v>
      </c>
      <c r="B993" s="101" t="s">
        <v>1496</v>
      </c>
      <c r="C993" s="99" t="s">
        <v>1497</v>
      </c>
      <c r="D993" s="38"/>
      <c r="E993" s="42">
        <v>1</v>
      </c>
      <c r="F993" s="9"/>
      <c r="G993" s="8">
        <f t="shared" si="38"/>
        <v>20.636700000000001</v>
      </c>
      <c r="H993" s="188">
        <v>19.654</v>
      </c>
      <c r="I993" s="19">
        <f t="shared" si="39"/>
        <v>0</v>
      </c>
      <c r="L993" s="131"/>
      <c r="M993" s="131"/>
      <c r="N993" s="131"/>
    </row>
    <row r="994" spans="1:14" hidden="1">
      <c r="A994" s="100" t="s">
        <v>862</v>
      </c>
      <c r="B994" s="101" t="s">
        <v>1498</v>
      </c>
      <c r="C994" s="99" t="s">
        <v>1499</v>
      </c>
      <c r="D994" s="38"/>
      <c r="E994" s="42">
        <v>1</v>
      </c>
      <c r="F994" s="9"/>
      <c r="G994" s="8">
        <f t="shared" si="38"/>
        <v>20.636700000000001</v>
      </c>
      <c r="H994" s="188">
        <v>19.654</v>
      </c>
      <c r="I994" s="19">
        <f t="shared" si="39"/>
        <v>0</v>
      </c>
      <c r="L994" s="131"/>
      <c r="M994" s="131"/>
      <c r="N994" s="131"/>
    </row>
    <row r="995" spans="1:14" hidden="1">
      <c r="A995" s="100" t="s">
        <v>862</v>
      </c>
      <c r="B995" s="101" t="s">
        <v>1500</v>
      </c>
      <c r="C995" s="99" t="s">
        <v>1501</v>
      </c>
      <c r="D995" s="38"/>
      <c r="E995" s="42">
        <v>1</v>
      </c>
      <c r="F995" s="9"/>
      <c r="G995" s="8">
        <f t="shared" si="38"/>
        <v>20.636700000000001</v>
      </c>
      <c r="H995" s="188">
        <v>19.654</v>
      </c>
      <c r="I995" s="19">
        <f t="shared" si="39"/>
        <v>0</v>
      </c>
      <c r="L995" s="131"/>
      <c r="M995" s="131"/>
      <c r="N995" s="131"/>
    </row>
    <row r="996" spans="1:14" hidden="1">
      <c r="A996" s="100" t="s">
        <v>862</v>
      </c>
      <c r="B996" s="101" t="s">
        <v>1502</v>
      </c>
      <c r="C996" s="99" t="s">
        <v>1503</v>
      </c>
      <c r="D996" s="38"/>
      <c r="E996" s="42">
        <v>1</v>
      </c>
      <c r="F996" s="9"/>
      <c r="G996" s="8">
        <f t="shared" si="38"/>
        <v>48.399749999999997</v>
      </c>
      <c r="H996" s="188">
        <v>46.094999999999999</v>
      </c>
      <c r="I996" s="19">
        <f t="shared" si="39"/>
        <v>0</v>
      </c>
      <c r="L996" s="131"/>
      <c r="M996" s="131"/>
      <c r="N996" s="131"/>
    </row>
    <row r="997" spans="1:14" hidden="1">
      <c r="A997" s="100" t="s">
        <v>862</v>
      </c>
      <c r="B997" s="101" t="s">
        <v>1504</v>
      </c>
      <c r="C997" s="99" t="s">
        <v>1505</v>
      </c>
      <c r="D997" s="38"/>
      <c r="E997" s="42">
        <v>1</v>
      </c>
      <c r="F997" s="9"/>
      <c r="G997" s="8">
        <f t="shared" ref="G997:G1060" si="40">H997+(H997*5%)</f>
        <v>15.772575</v>
      </c>
      <c r="H997" s="188">
        <v>15.0215</v>
      </c>
      <c r="I997" s="19">
        <f t="shared" si="39"/>
        <v>0</v>
      </c>
      <c r="L997" s="131"/>
      <c r="M997" s="131"/>
      <c r="N997" s="131"/>
    </row>
    <row r="998" spans="1:14" hidden="1">
      <c r="A998" s="100" t="s">
        <v>862</v>
      </c>
      <c r="B998" s="101" t="s">
        <v>1506</v>
      </c>
      <c r="C998" s="99" t="s">
        <v>1507</v>
      </c>
      <c r="D998" s="38"/>
      <c r="E998" s="42">
        <v>1</v>
      </c>
      <c r="F998" s="9"/>
      <c r="G998" s="8">
        <f t="shared" si="40"/>
        <v>23.298449999999999</v>
      </c>
      <c r="H998" s="188">
        <v>22.189</v>
      </c>
      <c r="I998" s="19">
        <f t="shared" ref="I998:I1061" si="41">G998*F998</f>
        <v>0</v>
      </c>
      <c r="L998" s="131"/>
      <c r="M998" s="131"/>
      <c r="N998" s="131"/>
    </row>
    <row r="999" spans="1:14" hidden="1">
      <c r="A999" s="100" t="s">
        <v>862</v>
      </c>
      <c r="B999" s="101" t="s">
        <v>1508</v>
      </c>
      <c r="C999" s="99" t="s">
        <v>1509</v>
      </c>
      <c r="D999" s="38"/>
      <c r="E999" s="42">
        <v>1</v>
      </c>
      <c r="F999" s="9"/>
      <c r="G999" s="8">
        <f t="shared" si="40"/>
        <v>23.298449999999999</v>
      </c>
      <c r="H999" s="188">
        <v>22.189</v>
      </c>
      <c r="I999" s="19">
        <f t="shared" si="41"/>
        <v>0</v>
      </c>
      <c r="L999" s="131"/>
      <c r="M999" s="131"/>
      <c r="N999" s="131"/>
    </row>
    <row r="1000" spans="1:14" hidden="1">
      <c r="A1000" s="100" t="s">
        <v>862</v>
      </c>
      <c r="B1000" s="101" t="s">
        <v>1510</v>
      </c>
      <c r="C1000" s="99" t="s">
        <v>1511</v>
      </c>
      <c r="D1000" s="38"/>
      <c r="E1000" s="42">
        <v>1</v>
      </c>
      <c r="F1000" s="9"/>
      <c r="G1000" s="8">
        <f t="shared" si="40"/>
        <v>23.298449999999999</v>
      </c>
      <c r="H1000" s="188">
        <v>22.189</v>
      </c>
      <c r="I1000" s="19">
        <f t="shared" si="41"/>
        <v>0</v>
      </c>
      <c r="L1000" s="131"/>
      <c r="M1000" s="131"/>
      <c r="N1000" s="131"/>
    </row>
    <row r="1001" spans="1:14" hidden="1">
      <c r="A1001" s="100" t="s">
        <v>862</v>
      </c>
      <c r="B1001" s="101" t="s">
        <v>1512</v>
      </c>
      <c r="C1001" s="99" t="s">
        <v>1513</v>
      </c>
      <c r="D1001" s="38"/>
      <c r="E1001" s="42">
        <v>1</v>
      </c>
      <c r="F1001" s="9"/>
      <c r="G1001" s="8">
        <f t="shared" si="40"/>
        <v>2.1813750000000001</v>
      </c>
      <c r="H1001" s="188">
        <v>2.0775000000000001</v>
      </c>
      <c r="I1001" s="19">
        <f t="shared" si="41"/>
        <v>0</v>
      </c>
      <c r="L1001" s="131"/>
      <c r="M1001" s="131"/>
      <c r="N1001" s="131"/>
    </row>
    <row r="1002" spans="1:14" hidden="1">
      <c r="A1002" s="100" t="s">
        <v>862</v>
      </c>
      <c r="B1002" s="101" t="s">
        <v>1514</v>
      </c>
      <c r="C1002" s="99" t="s">
        <v>1515</v>
      </c>
      <c r="D1002" s="38"/>
      <c r="E1002" s="42">
        <v>1</v>
      </c>
      <c r="F1002" s="9"/>
      <c r="G1002" s="8">
        <f t="shared" si="40"/>
        <v>2.1813750000000001</v>
      </c>
      <c r="H1002" s="188">
        <v>2.0775000000000001</v>
      </c>
      <c r="I1002" s="19">
        <f t="shared" si="41"/>
        <v>0</v>
      </c>
      <c r="L1002" s="131"/>
      <c r="M1002" s="131"/>
      <c r="N1002" s="131"/>
    </row>
    <row r="1003" spans="1:14" hidden="1">
      <c r="A1003" s="100" t="s">
        <v>862</v>
      </c>
      <c r="B1003" s="101" t="s">
        <v>1516</v>
      </c>
      <c r="C1003" s="99" t="s">
        <v>1517</v>
      </c>
      <c r="D1003" s="38"/>
      <c r="E1003" s="42">
        <v>1</v>
      </c>
      <c r="F1003" s="9"/>
      <c r="G1003" s="8">
        <f t="shared" si="40"/>
        <v>2.1813750000000001</v>
      </c>
      <c r="H1003" s="188">
        <v>2.0775000000000001</v>
      </c>
      <c r="I1003" s="19">
        <f t="shared" si="41"/>
        <v>0</v>
      </c>
      <c r="L1003" s="131"/>
      <c r="M1003" s="131"/>
      <c r="N1003" s="131"/>
    </row>
    <row r="1004" spans="1:14" hidden="1">
      <c r="A1004" s="100" t="s">
        <v>862</v>
      </c>
      <c r="B1004" s="101" t="s">
        <v>1518</v>
      </c>
      <c r="C1004" s="99" t="s">
        <v>1519</v>
      </c>
      <c r="D1004" s="38"/>
      <c r="E1004" s="42">
        <v>1</v>
      </c>
      <c r="F1004" s="9"/>
      <c r="G1004" s="8">
        <f t="shared" si="40"/>
        <v>2.1813750000000001</v>
      </c>
      <c r="H1004" s="188">
        <v>2.0775000000000001</v>
      </c>
      <c r="I1004" s="19">
        <f t="shared" si="41"/>
        <v>0</v>
      </c>
      <c r="L1004" s="131"/>
      <c r="M1004" s="131"/>
      <c r="N1004" s="131"/>
    </row>
    <row r="1005" spans="1:14" hidden="1">
      <c r="A1005" s="100" t="s">
        <v>862</v>
      </c>
      <c r="B1005" s="101" t="s">
        <v>1520</v>
      </c>
      <c r="C1005" s="99" t="s">
        <v>1521</v>
      </c>
      <c r="D1005" s="38"/>
      <c r="E1005" s="42">
        <v>1</v>
      </c>
      <c r="F1005" s="9"/>
      <c r="G1005" s="8">
        <f t="shared" si="40"/>
        <v>2.1813750000000001</v>
      </c>
      <c r="H1005" s="188">
        <v>2.0775000000000001</v>
      </c>
      <c r="I1005" s="19">
        <f t="shared" si="41"/>
        <v>0</v>
      </c>
      <c r="L1005" s="131"/>
      <c r="M1005" s="131"/>
      <c r="N1005" s="131"/>
    </row>
    <row r="1006" spans="1:14" hidden="1">
      <c r="A1006" s="100" t="s">
        <v>862</v>
      </c>
      <c r="B1006" s="101" t="s">
        <v>1522</v>
      </c>
      <c r="C1006" s="99" t="s">
        <v>1523</v>
      </c>
      <c r="D1006" s="38"/>
      <c r="E1006" s="42">
        <v>1</v>
      </c>
      <c r="F1006" s="9"/>
      <c r="G1006" s="8">
        <f t="shared" si="40"/>
        <v>2.1813750000000001</v>
      </c>
      <c r="H1006" s="188">
        <v>2.0775000000000001</v>
      </c>
      <c r="I1006" s="19">
        <f t="shared" si="41"/>
        <v>0</v>
      </c>
      <c r="L1006" s="131"/>
      <c r="M1006" s="131"/>
      <c r="N1006" s="131"/>
    </row>
    <row r="1007" spans="1:14" hidden="1">
      <c r="A1007" s="100" t="s">
        <v>862</v>
      </c>
      <c r="B1007" s="101" t="s">
        <v>1524</v>
      </c>
      <c r="C1007" s="99" t="s">
        <v>1525</v>
      </c>
      <c r="D1007" s="38"/>
      <c r="E1007" s="42">
        <v>1</v>
      </c>
      <c r="F1007" s="9"/>
      <c r="G1007" s="8">
        <f t="shared" si="40"/>
        <v>2.1813750000000001</v>
      </c>
      <c r="H1007" s="188">
        <v>2.0775000000000001</v>
      </c>
      <c r="I1007" s="19">
        <f t="shared" si="41"/>
        <v>0</v>
      </c>
      <c r="L1007" s="131"/>
      <c r="M1007" s="131"/>
      <c r="N1007" s="131"/>
    </row>
    <row r="1008" spans="1:14" hidden="1">
      <c r="A1008" s="100" t="s">
        <v>862</v>
      </c>
      <c r="B1008" s="101" t="s">
        <v>1526</v>
      </c>
      <c r="C1008" s="99" t="s">
        <v>1527</v>
      </c>
      <c r="D1008" s="38"/>
      <c r="E1008" s="42">
        <v>1</v>
      </c>
      <c r="F1008" s="9"/>
      <c r="G1008" s="8">
        <f t="shared" si="40"/>
        <v>2.1813750000000001</v>
      </c>
      <c r="H1008" s="188">
        <v>2.0775000000000001</v>
      </c>
      <c r="I1008" s="19">
        <f t="shared" si="41"/>
        <v>0</v>
      </c>
      <c r="L1008" s="131"/>
      <c r="M1008" s="131"/>
      <c r="N1008" s="131"/>
    </row>
    <row r="1009" spans="1:14" hidden="1">
      <c r="A1009" s="100" t="s">
        <v>862</v>
      </c>
      <c r="B1009" s="101" t="s">
        <v>1528</v>
      </c>
      <c r="C1009" s="99" t="s">
        <v>1529</v>
      </c>
      <c r="D1009" s="38"/>
      <c r="E1009" s="42">
        <v>1</v>
      </c>
      <c r="F1009" s="9"/>
      <c r="G1009" s="8">
        <f t="shared" si="40"/>
        <v>2.1813750000000001</v>
      </c>
      <c r="H1009" s="188">
        <v>2.0775000000000001</v>
      </c>
      <c r="I1009" s="19">
        <f t="shared" si="41"/>
        <v>0</v>
      </c>
      <c r="L1009" s="131"/>
      <c r="M1009" s="131"/>
      <c r="N1009" s="131"/>
    </row>
    <row r="1010" spans="1:14" hidden="1">
      <c r="A1010" s="100" t="s">
        <v>862</v>
      </c>
      <c r="B1010" s="101" t="s">
        <v>1530</v>
      </c>
      <c r="C1010" s="99" t="s">
        <v>1531</v>
      </c>
      <c r="D1010" s="38"/>
      <c r="E1010" s="42">
        <v>1</v>
      </c>
      <c r="F1010" s="9"/>
      <c r="G1010" s="8">
        <f t="shared" si="40"/>
        <v>2.1813750000000001</v>
      </c>
      <c r="H1010" s="188">
        <v>2.0775000000000001</v>
      </c>
      <c r="I1010" s="19">
        <f t="shared" si="41"/>
        <v>0</v>
      </c>
      <c r="L1010" s="131"/>
      <c r="M1010" s="131"/>
      <c r="N1010" s="131"/>
    </row>
    <row r="1011" spans="1:14" hidden="1">
      <c r="A1011" s="100" t="s">
        <v>862</v>
      </c>
      <c r="B1011" s="101" t="s">
        <v>1532</v>
      </c>
      <c r="C1011" s="99" t="s">
        <v>1533</v>
      </c>
      <c r="D1011" s="38"/>
      <c r="E1011" s="42">
        <v>1</v>
      </c>
      <c r="F1011" s="9"/>
      <c r="G1011" s="8">
        <f t="shared" si="40"/>
        <v>2.1813750000000001</v>
      </c>
      <c r="H1011" s="188">
        <v>2.0775000000000001</v>
      </c>
      <c r="I1011" s="19">
        <f t="shared" si="41"/>
        <v>0</v>
      </c>
      <c r="L1011" s="131"/>
      <c r="M1011" s="131"/>
      <c r="N1011" s="131"/>
    </row>
    <row r="1012" spans="1:14" hidden="1">
      <c r="A1012" s="100" t="s">
        <v>862</v>
      </c>
      <c r="B1012" s="101" t="s">
        <v>1534</v>
      </c>
      <c r="C1012" s="99" t="s">
        <v>1535</v>
      </c>
      <c r="D1012" s="38"/>
      <c r="E1012" s="42">
        <v>1</v>
      </c>
      <c r="F1012" s="9"/>
      <c r="G1012" s="8">
        <f t="shared" si="40"/>
        <v>2.1813750000000001</v>
      </c>
      <c r="H1012" s="188">
        <v>2.0775000000000001</v>
      </c>
      <c r="I1012" s="19">
        <f t="shared" si="41"/>
        <v>0</v>
      </c>
      <c r="L1012" s="131"/>
      <c r="M1012" s="131"/>
      <c r="N1012" s="131"/>
    </row>
    <row r="1013" spans="1:14" hidden="1">
      <c r="A1013" s="100" t="s">
        <v>862</v>
      </c>
      <c r="B1013" s="101" t="s">
        <v>1536</v>
      </c>
      <c r="C1013" s="99" t="s">
        <v>1537</v>
      </c>
      <c r="D1013" s="38"/>
      <c r="E1013" s="42">
        <v>1</v>
      </c>
      <c r="F1013" s="9"/>
      <c r="G1013" s="8">
        <f t="shared" si="40"/>
        <v>2.1813750000000001</v>
      </c>
      <c r="H1013" s="188">
        <v>2.0775000000000001</v>
      </c>
      <c r="I1013" s="19">
        <f t="shared" si="41"/>
        <v>0</v>
      </c>
      <c r="L1013" s="131"/>
      <c r="M1013" s="131"/>
      <c r="N1013" s="131"/>
    </row>
    <row r="1014" spans="1:14" hidden="1">
      <c r="A1014" s="100" t="s">
        <v>862</v>
      </c>
      <c r="B1014" s="101" t="s">
        <v>1538</v>
      </c>
      <c r="C1014" s="99" t="s">
        <v>1539</v>
      </c>
      <c r="D1014" s="38"/>
      <c r="E1014" s="42">
        <v>1</v>
      </c>
      <c r="F1014" s="9"/>
      <c r="G1014" s="8">
        <f t="shared" si="40"/>
        <v>2.1813750000000001</v>
      </c>
      <c r="H1014" s="188">
        <v>2.0775000000000001</v>
      </c>
      <c r="I1014" s="19">
        <f t="shared" si="41"/>
        <v>0</v>
      </c>
      <c r="L1014" s="131"/>
      <c r="M1014" s="131"/>
      <c r="N1014" s="131"/>
    </row>
    <row r="1015" spans="1:14" hidden="1">
      <c r="A1015" s="100" t="s">
        <v>862</v>
      </c>
      <c r="B1015" s="101" t="s">
        <v>1540</v>
      </c>
      <c r="C1015" s="99" t="s">
        <v>1541</v>
      </c>
      <c r="D1015" s="38"/>
      <c r="E1015" s="42">
        <v>1</v>
      </c>
      <c r="F1015" s="9"/>
      <c r="G1015" s="8">
        <f t="shared" si="40"/>
        <v>2.1813750000000001</v>
      </c>
      <c r="H1015" s="188">
        <v>2.0775000000000001</v>
      </c>
      <c r="I1015" s="19">
        <f t="shared" si="41"/>
        <v>0</v>
      </c>
      <c r="L1015" s="131"/>
      <c r="M1015" s="131"/>
      <c r="N1015" s="131"/>
    </row>
    <row r="1016" spans="1:14" hidden="1">
      <c r="A1016" s="100" t="s">
        <v>862</v>
      </c>
      <c r="B1016" s="101" t="s">
        <v>1542</v>
      </c>
      <c r="C1016" s="99" t="s">
        <v>1543</v>
      </c>
      <c r="D1016" s="38"/>
      <c r="E1016" s="42">
        <v>1</v>
      </c>
      <c r="F1016" s="9"/>
      <c r="G1016" s="8">
        <f t="shared" si="40"/>
        <v>2.1813750000000001</v>
      </c>
      <c r="H1016" s="188">
        <v>2.0775000000000001</v>
      </c>
      <c r="I1016" s="19">
        <f t="shared" si="41"/>
        <v>0</v>
      </c>
      <c r="L1016" s="131"/>
      <c r="M1016" s="131"/>
      <c r="N1016" s="131"/>
    </row>
    <row r="1017" spans="1:14" hidden="1">
      <c r="A1017" s="100" t="s">
        <v>862</v>
      </c>
      <c r="B1017" s="101" t="s">
        <v>1544</v>
      </c>
      <c r="C1017" s="99" t="s">
        <v>1545</v>
      </c>
      <c r="D1017" s="38"/>
      <c r="E1017" s="42">
        <v>1</v>
      </c>
      <c r="F1017" s="9"/>
      <c r="G1017" s="8">
        <f t="shared" si="40"/>
        <v>2.1813750000000001</v>
      </c>
      <c r="H1017" s="188">
        <v>2.0775000000000001</v>
      </c>
      <c r="I1017" s="19">
        <f t="shared" si="41"/>
        <v>0</v>
      </c>
      <c r="L1017" s="131"/>
      <c r="M1017" s="131"/>
      <c r="N1017" s="131"/>
    </row>
    <row r="1018" spans="1:14" hidden="1">
      <c r="A1018" s="100" t="s">
        <v>862</v>
      </c>
      <c r="B1018" s="101" t="s">
        <v>1546</v>
      </c>
      <c r="C1018" s="99" t="s">
        <v>1547</v>
      </c>
      <c r="D1018" s="38"/>
      <c r="E1018" s="42">
        <v>1</v>
      </c>
      <c r="F1018" s="9"/>
      <c r="G1018" s="8">
        <f t="shared" si="40"/>
        <v>2.1813750000000001</v>
      </c>
      <c r="H1018" s="188">
        <v>2.0775000000000001</v>
      </c>
      <c r="I1018" s="19">
        <f t="shared" si="41"/>
        <v>0</v>
      </c>
      <c r="L1018" s="131"/>
      <c r="M1018" s="131"/>
      <c r="N1018" s="131"/>
    </row>
    <row r="1019" spans="1:14" hidden="1">
      <c r="A1019" s="100" t="s">
        <v>862</v>
      </c>
      <c r="B1019" s="101" t="s">
        <v>1548</v>
      </c>
      <c r="C1019" s="99" t="s">
        <v>1549</v>
      </c>
      <c r="D1019" s="38"/>
      <c r="E1019" s="42">
        <v>1</v>
      </c>
      <c r="F1019" s="9"/>
      <c r="G1019" s="8">
        <f t="shared" si="40"/>
        <v>2.1813750000000001</v>
      </c>
      <c r="H1019" s="188">
        <v>2.0775000000000001</v>
      </c>
      <c r="I1019" s="19">
        <f t="shared" si="41"/>
        <v>0</v>
      </c>
      <c r="L1019" s="131"/>
      <c r="M1019" s="131"/>
      <c r="N1019" s="131"/>
    </row>
    <row r="1020" spans="1:14" hidden="1">
      <c r="A1020" s="100" t="s">
        <v>862</v>
      </c>
      <c r="B1020" s="101" t="s">
        <v>1550</v>
      </c>
      <c r="C1020" s="99" t="s">
        <v>1551</v>
      </c>
      <c r="D1020" s="38"/>
      <c r="E1020" s="42">
        <v>1</v>
      </c>
      <c r="F1020" s="9"/>
      <c r="G1020" s="8">
        <f t="shared" si="40"/>
        <v>2.1813750000000001</v>
      </c>
      <c r="H1020" s="188">
        <v>2.0775000000000001</v>
      </c>
      <c r="I1020" s="19">
        <f t="shared" si="41"/>
        <v>0</v>
      </c>
      <c r="L1020" s="131"/>
      <c r="M1020" s="131"/>
      <c r="N1020" s="131"/>
    </row>
    <row r="1021" spans="1:14" hidden="1">
      <c r="A1021" s="100" t="s">
        <v>862</v>
      </c>
      <c r="B1021" s="101" t="s">
        <v>1552</v>
      </c>
      <c r="C1021" s="99" t="s">
        <v>1553</v>
      </c>
      <c r="D1021" s="38"/>
      <c r="E1021" s="42">
        <v>1</v>
      </c>
      <c r="F1021" s="9"/>
      <c r="G1021" s="8">
        <f t="shared" si="40"/>
        <v>2.1813750000000001</v>
      </c>
      <c r="H1021" s="188">
        <v>2.0775000000000001</v>
      </c>
      <c r="I1021" s="19">
        <f t="shared" si="41"/>
        <v>0</v>
      </c>
      <c r="L1021" s="131"/>
      <c r="M1021" s="131"/>
      <c r="N1021" s="131"/>
    </row>
    <row r="1022" spans="1:14" hidden="1">
      <c r="A1022" s="100" t="s">
        <v>862</v>
      </c>
      <c r="B1022" s="101" t="s">
        <v>1554</v>
      </c>
      <c r="C1022" s="99" t="s">
        <v>1555</v>
      </c>
      <c r="D1022" s="38"/>
      <c r="E1022" s="42">
        <v>1</v>
      </c>
      <c r="F1022" s="9"/>
      <c r="G1022" s="8">
        <f t="shared" si="40"/>
        <v>2.1813750000000001</v>
      </c>
      <c r="H1022" s="188">
        <v>2.0775000000000001</v>
      </c>
      <c r="I1022" s="19">
        <f t="shared" si="41"/>
        <v>0</v>
      </c>
      <c r="L1022" s="131"/>
      <c r="M1022" s="131"/>
      <c r="N1022" s="131"/>
    </row>
    <row r="1023" spans="1:14" hidden="1">
      <c r="A1023" s="100" t="s">
        <v>862</v>
      </c>
      <c r="B1023" s="101" t="s">
        <v>1556</v>
      </c>
      <c r="C1023" s="99" t="s">
        <v>1557</v>
      </c>
      <c r="D1023" s="38"/>
      <c r="E1023" s="42">
        <v>1</v>
      </c>
      <c r="F1023" s="9"/>
      <c r="G1023" s="8">
        <f t="shared" si="40"/>
        <v>2.1813750000000001</v>
      </c>
      <c r="H1023" s="188">
        <v>2.0775000000000001</v>
      </c>
      <c r="I1023" s="19">
        <f t="shared" si="41"/>
        <v>0</v>
      </c>
      <c r="L1023" s="131"/>
      <c r="M1023" s="131"/>
      <c r="N1023" s="131"/>
    </row>
    <row r="1024" spans="1:14" hidden="1">
      <c r="A1024" s="100" t="s">
        <v>862</v>
      </c>
      <c r="B1024" s="101" t="s">
        <v>1558</v>
      </c>
      <c r="C1024" s="99" t="s">
        <v>1559</v>
      </c>
      <c r="D1024" s="38"/>
      <c r="E1024" s="42">
        <v>1</v>
      </c>
      <c r="F1024" s="9"/>
      <c r="G1024" s="8">
        <f t="shared" si="40"/>
        <v>2.1813750000000001</v>
      </c>
      <c r="H1024" s="188">
        <v>2.0775000000000001</v>
      </c>
      <c r="I1024" s="19">
        <f t="shared" si="41"/>
        <v>0</v>
      </c>
      <c r="L1024" s="131"/>
      <c r="M1024" s="131"/>
      <c r="N1024" s="131"/>
    </row>
    <row r="1025" spans="1:14" hidden="1">
      <c r="A1025" s="100" t="s">
        <v>862</v>
      </c>
      <c r="B1025" s="101" t="s">
        <v>1560</v>
      </c>
      <c r="C1025" s="99" t="s">
        <v>1561</v>
      </c>
      <c r="D1025" s="38"/>
      <c r="E1025" s="42">
        <v>1</v>
      </c>
      <c r="F1025" s="9"/>
      <c r="G1025" s="8">
        <f t="shared" si="40"/>
        <v>2.1813750000000001</v>
      </c>
      <c r="H1025" s="188">
        <v>2.0775000000000001</v>
      </c>
      <c r="I1025" s="19">
        <f t="shared" si="41"/>
        <v>0</v>
      </c>
      <c r="L1025" s="131"/>
      <c r="M1025" s="131"/>
      <c r="N1025" s="131"/>
    </row>
    <row r="1026" spans="1:14" hidden="1">
      <c r="A1026" s="100" t="s">
        <v>862</v>
      </c>
      <c r="B1026" s="101" t="s">
        <v>1562</v>
      </c>
      <c r="C1026" s="99" t="s">
        <v>1563</v>
      </c>
      <c r="D1026" s="38"/>
      <c r="E1026" s="42">
        <v>1</v>
      </c>
      <c r="F1026" s="9"/>
      <c r="G1026" s="8">
        <f t="shared" si="40"/>
        <v>2.1813750000000001</v>
      </c>
      <c r="H1026" s="188">
        <v>2.0775000000000001</v>
      </c>
      <c r="I1026" s="19">
        <f t="shared" si="41"/>
        <v>0</v>
      </c>
      <c r="L1026" s="131"/>
      <c r="M1026" s="131"/>
      <c r="N1026" s="131"/>
    </row>
    <row r="1027" spans="1:14" hidden="1">
      <c r="A1027" s="100" t="s">
        <v>862</v>
      </c>
      <c r="B1027" s="101" t="s">
        <v>1564</v>
      </c>
      <c r="C1027" s="99" t="s">
        <v>1565</v>
      </c>
      <c r="D1027" s="38"/>
      <c r="E1027" s="42">
        <v>1</v>
      </c>
      <c r="F1027" s="9"/>
      <c r="G1027" s="8">
        <f t="shared" si="40"/>
        <v>2.1813750000000001</v>
      </c>
      <c r="H1027" s="188">
        <v>2.0775000000000001</v>
      </c>
      <c r="I1027" s="19">
        <f t="shared" si="41"/>
        <v>0</v>
      </c>
      <c r="L1027" s="131"/>
      <c r="M1027" s="131"/>
      <c r="N1027" s="131"/>
    </row>
    <row r="1028" spans="1:14" hidden="1">
      <c r="A1028" s="100" t="s">
        <v>862</v>
      </c>
      <c r="B1028" s="101" t="s">
        <v>1566</v>
      </c>
      <c r="C1028" s="99" t="s">
        <v>1567</v>
      </c>
      <c r="D1028" s="38"/>
      <c r="E1028" s="42">
        <v>1</v>
      </c>
      <c r="F1028" s="9"/>
      <c r="G1028" s="8">
        <f t="shared" si="40"/>
        <v>2.1813750000000001</v>
      </c>
      <c r="H1028" s="188">
        <v>2.0775000000000001</v>
      </c>
      <c r="I1028" s="19">
        <f t="shared" si="41"/>
        <v>0</v>
      </c>
      <c r="L1028" s="131"/>
      <c r="M1028" s="131"/>
      <c r="N1028" s="131"/>
    </row>
    <row r="1029" spans="1:14" hidden="1">
      <c r="A1029" s="100" t="s">
        <v>862</v>
      </c>
      <c r="B1029" s="101" t="s">
        <v>1568</v>
      </c>
      <c r="C1029" s="99" t="s">
        <v>1569</v>
      </c>
      <c r="D1029" s="38"/>
      <c r="E1029" s="42">
        <v>1</v>
      </c>
      <c r="F1029" s="9"/>
      <c r="G1029" s="8">
        <f t="shared" si="40"/>
        <v>2.1813750000000001</v>
      </c>
      <c r="H1029" s="188">
        <v>2.0775000000000001</v>
      </c>
      <c r="I1029" s="19">
        <f t="shared" si="41"/>
        <v>0</v>
      </c>
      <c r="L1029" s="131"/>
      <c r="M1029" s="131"/>
      <c r="N1029" s="131"/>
    </row>
    <row r="1030" spans="1:14" hidden="1">
      <c r="A1030" s="100" t="s">
        <v>862</v>
      </c>
      <c r="B1030" s="101" t="s">
        <v>1570</v>
      </c>
      <c r="C1030" s="99" t="s">
        <v>1571</v>
      </c>
      <c r="D1030" s="38"/>
      <c r="E1030" s="42">
        <v>1</v>
      </c>
      <c r="F1030" s="9"/>
      <c r="G1030" s="8">
        <f t="shared" si="40"/>
        <v>2.1813750000000001</v>
      </c>
      <c r="H1030" s="188">
        <v>2.0775000000000001</v>
      </c>
      <c r="I1030" s="19">
        <f t="shared" si="41"/>
        <v>0</v>
      </c>
      <c r="L1030" s="131"/>
      <c r="M1030" s="131"/>
      <c r="N1030" s="131"/>
    </row>
    <row r="1031" spans="1:14" hidden="1">
      <c r="A1031" s="100" t="s">
        <v>862</v>
      </c>
      <c r="B1031" s="101" t="s">
        <v>1572</v>
      </c>
      <c r="C1031" s="99" t="s">
        <v>1573</v>
      </c>
      <c r="D1031" s="38"/>
      <c r="E1031" s="42">
        <v>1</v>
      </c>
      <c r="F1031" s="9"/>
      <c r="G1031" s="8">
        <f t="shared" si="40"/>
        <v>2.1813750000000001</v>
      </c>
      <c r="H1031" s="188">
        <v>2.0775000000000001</v>
      </c>
      <c r="I1031" s="19">
        <f t="shared" si="41"/>
        <v>0</v>
      </c>
      <c r="L1031" s="131"/>
      <c r="M1031" s="131"/>
      <c r="N1031" s="131"/>
    </row>
    <row r="1032" spans="1:14" hidden="1">
      <c r="A1032" s="100" t="s">
        <v>862</v>
      </c>
      <c r="B1032" s="101" t="s">
        <v>1574</v>
      </c>
      <c r="C1032" s="99" t="s">
        <v>1575</v>
      </c>
      <c r="D1032" s="38"/>
      <c r="E1032" s="42">
        <v>1</v>
      </c>
      <c r="F1032" s="9"/>
      <c r="G1032" s="8">
        <f t="shared" si="40"/>
        <v>2.1813750000000001</v>
      </c>
      <c r="H1032" s="188">
        <v>2.0775000000000001</v>
      </c>
      <c r="I1032" s="19">
        <f t="shared" si="41"/>
        <v>0</v>
      </c>
      <c r="L1032" s="131"/>
      <c r="M1032" s="131"/>
      <c r="N1032" s="131"/>
    </row>
    <row r="1033" spans="1:14" hidden="1">
      <c r="A1033" s="100" t="s">
        <v>862</v>
      </c>
      <c r="B1033" s="101" t="s">
        <v>1576</v>
      </c>
      <c r="C1033" s="99" t="s">
        <v>1577</v>
      </c>
      <c r="D1033" s="38"/>
      <c r="E1033" s="42">
        <v>1</v>
      </c>
      <c r="F1033" s="9"/>
      <c r="G1033" s="8">
        <f t="shared" si="40"/>
        <v>2.1813750000000001</v>
      </c>
      <c r="H1033" s="188">
        <v>2.0775000000000001</v>
      </c>
      <c r="I1033" s="19">
        <f t="shared" si="41"/>
        <v>0</v>
      </c>
      <c r="L1033" s="131"/>
      <c r="M1033" s="131"/>
      <c r="N1033" s="131"/>
    </row>
    <row r="1034" spans="1:14" hidden="1">
      <c r="A1034" s="100" t="s">
        <v>862</v>
      </c>
      <c r="B1034" s="101" t="s">
        <v>1578</v>
      </c>
      <c r="C1034" s="99" t="s">
        <v>1579</v>
      </c>
      <c r="D1034" s="38"/>
      <c r="E1034" s="42">
        <v>1</v>
      </c>
      <c r="F1034" s="9"/>
      <c r="G1034" s="8">
        <f t="shared" si="40"/>
        <v>2.1813750000000001</v>
      </c>
      <c r="H1034" s="188">
        <v>2.0775000000000001</v>
      </c>
      <c r="I1034" s="19">
        <f t="shared" si="41"/>
        <v>0</v>
      </c>
      <c r="L1034" s="131"/>
      <c r="M1034" s="131"/>
      <c r="N1034" s="131"/>
    </row>
    <row r="1035" spans="1:14" hidden="1">
      <c r="A1035" s="100" t="s">
        <v>862</v>
      </c>
      <c r="B1035" s="101" t="s">
        <v>1580</v>
      </c>
      <c r="C1035" s="99" t="s">
        <v>1581</v>
      </c>
      <c r="D1035" s="38"/>
      <c r="E1035" s="42">
        <v>1</v>
      </c>
      <c r="F1035" s="9"/>
      <c r="G1035" s="8">
        <f t="shared" si="40"/>
        <v>2.1813750000000001</v>
      </c>
      <c r="H1035" s="188">
        <v>2.0775000000000001</v>
      </c>
      <c r="I1035" s="19">
        <f t="shared" si="41"/>
        <v>0</v>
      </c>
      <c r="L1035" s="131"/>
      <c r="M1035" s="131"/>
      <c r="N1035" s="131"/>
    </row>
    <row r="1036" spans="1:14" hidden="1">
      <c r="A1036" s="100" t="s">
        <v>862</v>
      </c>
      <c r="B1036" s="101" t="s">
        <v>1582</v>
      </c>
      <c r="C1036" s="99" t="s">
        <v>1583</v>
      </c>
      <c r="D1036" s="38"/>
      <c r="E1036" s="42">
        <v>1</v>
      </c>
      <c r="F1036" s="9"/>
      <c r="G1036" s="8">
        <f t="shared" si="40"/>
        <v>2.1813750000000001</v>
      </c>
      <c r="H1036" s="188">
        <v>2.0775000000000001</v>
      </c>
      <c r="I1036" s="19">
        <f t="shared" si="41"/>
        <v>0</v>
      </c>
      <c r="L1036" s="131"/>
      <c r="M1036" s="131"/>
      <c r="N1036" s="131"/>
    </row>
    <row r="1037" spans="1:14" hidden="1">
      <c r="A1037" s="100" t="s">
        <v>862</v>
      </c>
      <c r="B1037" s="101" t="s">
        <v>1584</v>
      </c>
      <c r="C1037" s="99" t="s">
        <v>1585</v>
      </c>
      <c r="D1037" s="38"/>
      <c r="E1037" s="42">
        <v>1</v>
      </c>
      <c r="F1037" s="9"/>
      <c r="G1037" s="8">
        <f t="shared" si="40"/>
        <v>2.1813750000000001</v>
      </c>
      <c r="H1037" s="188">
        <v>2.0775000000000001</v>
      </c>
      <c r="I1037" s="19">
        <f t="shared" si="41"/>
        <v>0</v>
      </c>
      <c r="L1037" s="131"/>
      <c r="M1037" s="131"/>
      <c r="N1037" s="131"/>
    </row>
    <row r="1038" spans="1:14" hidden="1">
      <c r="A1038" s="100" t="s">
        <v>862</v>
      </c>
      <c r="B1038" s="101" t="s">
        <v>1586</v>
      </c>
      <c r="C1038" s="99" t="s">
        <v>1587</v>
      </c>
      <c r="D1038" s="38"/>
      <c r="E1038" s="42">
        <v>1</v>
      </c>
      <c r="F1038" s="9"/>
      <c r="G1038" s="8">
        <f t="shared" si="40"/>
        <v>2.1813750000000001</v>
      </c>
      <c r="H1038" s="188">
        <v>2.0775000000000001</v>
      </c>
      <c r="I1038" s="19">
        <f t="shared" si="41"/>
        <v>0</v>
      </c>
      <c r="L1038" s="131"/>
      <c r="M1038" s="131"/>
      <c r="N1038" s="131"/>
    </row>
    <row r="1039" spans="1:14" hidden="1">
      <c r="A1039" s="100" t="s">
        <v>862</v>
      </c>
      <c r="B1039" s="101" t="s">
        <v>1588</v>
      </c>
      <c r="C1039" s="99" t="s">
        <v>1589</v>
      </c>
      <c r="D1039" s="38"/>
      <c r="E1039" s="42">
        <v>1</v>
      </c>
      <c r="F1039" s="9"/>
      <c r="G1039" s="8">
        <f t="shared" si="40"/>
        <v>2.1813750000000001</v>
      </c>
      <c r="H1039" s="188">
        <v>2.0775000000000001</v>
      </c>
      <c r="I1039" s="19">
        <f t="shared" si="41"/>
        <v>0</v>
      </c>
      <c r="L1039" s="131"/>
      <c r="M1039" s="131"/>
      <c r="N1039" s="131"/>
    </row>
    <row r="1040" spans="1:14" hidden="1">
      <c r="A1040" s="100" t="s">
        <v>862</v>
      </c>
      <c r="B1040" s="101" t="s">
        <v>1590</v>
      </c>
      <c r="C1040" s="99" t="s">
        <v>1591</v>
      </c>
      <c r="D1040" s="38"/>
      <c r="E1040" s="42">
        <v>1</v>
      </c>
      <c r="F1040" s="9"/>
      <c r="G1040" s="8">
        <f t="shared" si="40"/>
        <v>2.1813750000000001</v>
      </c>
      <c r="H1040" s="188">
        <v>2.0775000000000001</v>
      </c>
      <c r="I1040" s="19">
        <f t="shared" si="41"/>
        <v>0</v>
      </c>
      <c r="L1040" s="131"/>
      <c r="M1040" s="131"/>
      <c r="N1040" s="131"/>
    </row>
    <row r="1041" spans="1:14" hidden="1">
      <c r="A1041" s="100" t="s">
        <v>862</v>
      </c>
      <c r="B1041" s="101" t="s">
        <v>1592</v>
      </c>
      <c r="C1041" s="99" t="s">
        <v>1593</v>
      </c>
      <c r="D1041" s="38"/>
      <c r="E1041" s="42">
        <v>1</v>
      </c>
      <c r="F1041" s="9"/>
      <c r="G1041" s="8">
        <f t="shared" si="40"/>
        <v>2.1813750000000001</v>
      </c>
      <c r="H1041" s="188">
        <v>2.0775000000000001</v>
      </c>
      <c r="I1041" s="19">
        <f t="shared" si="41"/>
        <v>0</v>
      </c>
      <c r="L1041" s="131"/>
      <c r="M1041" s="131"/>
      <c r="N1041" s="131"/>
    </row>
    <row r="1042" spans="1:14" hidden="1">
      <c r="A1042" s="100" t="s">
        <v>862</v>
      </c>
      <c r="B1042" s="101" t="s">
        <v>1594</v>
      </c>
      <c r="C1042" s="99" t="s">
        <v>1595</v>
      </c>
      <c r="D1042" s="38"/>
      <c r="E1042" s="42">
        <v>1</v>
      </c>
      <c r="F1042" s="9"/>
      <c r="G1042" s="8">
        <f t="shared" si="40"/>
        <v>2.1813750000000001</v>
      </c>
      <c r="H1042" s="188">
        <v>2.0775000000000001</v>
      </c>
      <c r="I1042" s="19">
        <f t="shared" si="41"/>
        <v>0</v>
      </c>
      <c r="L1042" s="131"/>
      <c r="M1042" s="131"/>
      <c r="N1042" s="131"/>
    </row>
    <row r="1043" spans="1:14" hidden="1">
      <c r="A1043" s="100" t="s">
        <v>862</v>
      </c>
      <c r="B1043" s="101" t="s">
        <v>1596</v>
      </c>
      <c r="C1043" s="99" t="s">
        <v>1597</v>
      </c>
      <c r="D1043" s="38"/>
      <c r="E1043" s="42">
        <v>1</v>
      </c>
      <c r="F1043" s="9"/>
      <c r="G1043" s="8">
        <f t="shared" si="40"/>
        <v>2.1813750000000001</v>
      </c>
      <c r="H1043" s="188">
        <v>2.0775000000000001</v>
      </c>
      <c r="I1043" s="19">
        <f t="shared" si="41"/>
        <v>0</v>
      </c>
      <c r="L1043" s="131"/>
      <c r="M1043" s="131"/>
      <c r="N1043" s="131"/>
    </row>
    <row r="1044" spans="1:14" hidden="1">
      <c r="A1044" s="100" t="s">
        <v>862</v>
      </c>
      <c r="B1044" s="101" t="s">
        <v>1598</v>
      </c>
      <c r="C1044" s="99" t="s">
        <v>1599</v>
      </c>
      <c r="D1044" s="38"/>
      <c r="E1044" s="42">
        <v>1</v>
      </c>
      <c r="F1044" s="9"/>
      <c r="G1044" s="8">
        <f t="shared" si="40"/>
        <v>2.1813750000000001</v>
      </c>
      <c r="H1044" s="188">
        <v>2.0775000000000001</v>
      </c>
      <c r="I1044" s="19">
        <f t="shared" si="41"/>
        <v>0</v>
      </c>
      <c r="L1044" s="131"/>
      <c r="M1044" s="131"/>
      <c r="N1044" s="131"/>
    </row>
    <row r="1045" spans="1:14" hidden="1">
      <c r="A1045" s="100" t="s">
        <v>862</v>
      </c>
      <c r="B1045" s="101" t="s">
        <v>1600</v>
      </c>
      <c r="C1045" s="99" t="s">
        <v>1601</v>
      </c>
      <c r="D1045" s="38"/>
      <c r="E1045" s="42">
        <v>1</v>
      </c>
      <c r="F1045" s="9"/>
      <c r="G1045" s="8">
        <f t="shared" si="40"/>
        <v>2.1813750000000001</v>
      </c>
      <c r="H1045" s="188">
        <v>2.0775000000000001</v>
      </c>
      <c r="I1045" s="19">
        <f t="shared" si="41"/>
        <v>0</v>
      </c>
      <c r="L1045" s="131"/>
      <c r="M1045" s="131"/>
      <c r="N1045" s="131"/>
    </row>
    <row r="1046" spans="1:14" hidden="1">
      <c r="A1046" s="100" t="s">
        <v>862</v>
      </c>
      <c r="B1046" s="101" t="s">
        <v>1602</v>
      </c>
      <c r="C1046" s="99" t="s">
        <v>1603</v>
      </c>
      <c r="D1046" s="38"/>
      <c r="E1046" s="42">
        <v>1</v>
      </c>
      <c r="F1046" s="9"/>
      <c r="G1046" s="8">
        <f t="shared" si="40"/>
        <v>2.1813750000000001</v>
      </c>
      <c r="H1046" s="188">
        <v>2.0775000000000001</v>
      </c>
      <c r="I1046" s="19">
        <f t="shared" si="41"/>
        <v>0</v>
      </c>
      <c r="L1046" s="131"/>
      <c r="M1046" s="131"/>
      <c r="N1046" s="131"/>
    </row>
    <row r="1047" spans="1:14" hidden="1">
      <c r="A1047" s="100" t="s">
        <v>862</v>
      </c>
      <c r="B1047" s="101" t="s">
        <v>1604</v>
      </c>
      <c r="C1047" s="99" t="s">
        <v>1605</v>
      </c>
      <c r="D1047" s="38"/>
      <c r="E1047" s="42">
        <v>1</v>
      </c>
      <c r="F1047" s="9"/>
      <c r="G1047" s="8">
        <f t="shared" si="40"/>
        <v>2.1813750000000001</v>
      </c>
      <c r="H1047" s="188">
        <v>2.0775000000000001</v>
      </c>
      <c r="I1047" s="19">
        <f t="shared" si="41"/>
        <v>0</v>
      </c>
      <c r="L1047" s="131"/>
      <c r="M1047" s="131"/>
      <c r="N1047" s="131"/>
    </row>
    <row r="1048" spans="1:14" hidden="1">
      <c r="A1048" s="100" t="s">
        <v>862</v>
      </c>
      <c r="B1048" s="101" t="s">
        <v>1606</v>
      </c>
      <c r="C1048" s="99" t="s">
        <v>1607</v>
      </c>
      <c r="D1048" s="38"/>
      <c r="E1048" s="42">
        <v>1</v>
      </c>
      <c r="F1048" s="9"/>
      <c r="G1048" s="8">
        <f t="shared" si="40"/>
        <v>2.1813750000000001</v>
      </c>
      <c r="H1048" s="188">
        <v>2.0775000000000001</v>
      </c>
      <c r="I1048" s="19">
        <f t="shared" si="41"/>
        <v>0</v>
      </c>
      <c r="L1048" s="131"/>
      <c r="M1048" s="131"/>
      <c r="N1048" s="131"/>
    </row>
    <row r="1049" spans="1:14" hidden="1">
      <c r="A1049" s="100" t="s">
        <v>862</v>
      </c>
      <c r="B1049" s="101" t="s">
        <v>1608</v>
      </c>
      <c r="C1049" s="99" t="s">
        <v>1609</v>
      </c>
      <c r="D1049" s="38"/>
      <c r="E1049" s="42">
        <v>1</v>
      </c>
      <c r="F1049" s="9"/>
      <c r="G1049" s="8">
        <f t="shared" si="40"/>
        <v>2.1813750000000001</v>
      </c>
      <c r="H1049" s="188">
        <v>2.0775000000000001</v>
      </c>
      <c r="I1049" s="19">
        <f t="shared" si="41"/>
        <v>0</v>
      </c>
      <c r="L1049" s="131"/>
      <c r="M1049" s="131"/>
      <c r="N1049" s="131"/>
    </row>
    <row r="1050" spans="1:14" hidden="1">
      <c r="A1050" s="100" t="s">
        <v>862</v>
      </c>
      <c r="B1050" s="101" t="s">
        <v>1610</v>
      </c>
      <c r="C1050" s="99" t="s">
        <v>1611</v>
      </c>
      <c r="D1050" s="38"/>
      <c r="E1050" s="42">
        <v>1</v>
      </c>
      <c r="F1050" s="9"/>
      <c r="G1050" s="8">
        <f t="shared" si="40"/>
        <v>2.1813750000000001</v>
      </c>
      <c r="H1050" s="188">
        <v>2.0775000000000001</v>
      </c>
      <c r="I1050" s="19">
        <f t="shared" si="41"/>
        <v>0</v>
      </c>
      <c r="L1050" s="131"/>
      <c r="M1050" s="131"/>
      <c r="N1050" s="131"/>
    </row>
    <row r="1051" spans="1:14" hidden="1">
      <c r="A1051" s="100" t="s">
        <v>862</v>
      </c>
      <c r="B1051" s="101" t="s">
        <v>1612</v>
      </c>
      <c r="C1051" s="99" t="s">
        <v>1613</v>
      </c>
      <c r="D1051" s="38"/>
      <c r="E1051" s="42">
        <v>1</v>
      </c>
      <c r="F1051" s="9"/>
      <c r="G1051" s="8">
        <f t="shared" si="40"/>
        <v>2.1813750000000001</v>
      </c>
      <c r="H1051" s="188">
        <v>2.0775000000000001</v>
      </c>
      <c r="I1051" s="19">
        <f t="shared" si="41"/>
        <v>0</v>
      </c>
      <c r="L1051" s="131"/>
      <c r="M1051" s="131"/>
      <c r="N1051" s="131"/>
    </row>
    <row r="1052" spans="1:14" hidden="1">
      <c r="A1052" s="100" t="s">
        <v>862</v>
      </c>
      <c r="B1052" s="101" t="s">
        <v>1614</v>
      </c>
      <c r="C1052" s="99" t="s">
        <v>1615</v>
      </c>
      <c r="D1052" s="38"/>
      <c r="E1052" s="42">
        <v>1</v>
      </c>
      <c r="F1052" s="9"/>
      <c r="G1052" s="8">
        <f t="shared" si="40"/>
        <v>2.1813750000000001</v>
      </c>
      <c r="H1052" s="188">
        <v>2.0775000000000001</v>
      </c>
      <c r="I1052" s="19">
        <f t="shared" si="41"/>
        <v>0</v>
      </c>
      <c r="L1052" s="131"/>
      <c r="M1052" s="131"/>
      <c r="N1052" s="131"/>
    </row>
    <row r="1053" spans="1:14" hidden="1">
      <c r="A1053" s="100" t="s">
        <v>862</v>
      </c>
      <c r="B1053" s="101" t="s">
        <v>1616</v>
      </c>
      <c r="C1053" s="99" t="s">
        <v>1617</v>
      </c>
      <c r="D1053" s="38"/>
      <c r="E1053" s="42">
        <v>1</v>
      </c>
      <c r="F1053" s="9"/>
      <c r="G1053" s="8">
        <f t="shared" si="40"/>
        <v>2.1813750000000001</v>
      </c>
      <c r="H1053" s="188">
        <v>2.0775000000000001</v>
      </c>
      <c r="I1053" s="19">
        <f t="shared" si="41"/>
        <v>0</v>
      </c>
      <c r="L1053" s="131"/>
      <c r="M1053" s="131"/>
      <c r="N1053" s="131"/>
    </row>
    <row r="1054" spans="1:14" hidden="1">
      <c r="A1054" s="100" t="s">
        <v>862</v>
      </c>
      <c r="B1054" s="101" t="s">
        <v>1618</v>
      </c>
      <c r="C1054" s="99" t="s">
        <v>1619</v>
      </c>
      <c r="D1054" s="38"/>
      <c r="E1054" s="42">
        <v>1</v>
      </c>
      <c r="F1054" s="9"/>
      <c r="G1054" s="8">
        <f t="shared" si="40"/>
        <v>2.1813750000000001</v>
      </c>
      <c r="H1054" s="188">
        <v>2.0775000000000001</v>
      </c>
      <c r="I1054" s="19">
        <f t="shared" si="41"/>
        <v>0</v>
      </c>
      <c r="L1054" s="131"/>
      <c r="M1054" s="131"/>
      <c r="N1054" s="131"/>
    </row>
    <row r="1055" spans="1:14" hidden="1">
      <c r="A1055" s="100" t="s">
        <v>862</v>
      </c>
      <c r="B1055" s="101" t="s">
        <v>1620</v>
      </c>
      <c r="C1055" s="99" t="s">
        <v>1621</v>
      </c>
      <c r="D1055" s="38"/>
      <c r="E1055" s="42">
        <v>1</v>
      </c>
      <c r="F1055" s="9"/>
      <c r="G1055" s="8">
        <f t="shared" si="40"/>
        <v>2.1813750000000001</v>
      </c>
      <c r="H1055" s="188">
        <v>2.0775000000000001</v>
      </c>
      <c r="I1055" s="19">
        <f t="shared" si="41"/>
        <v>0</v>
      </c>
      <c r="L1055" s="131"/>
      <c r="M1055" s="131"/>
      <c r="N1055" s="131"/>
    </row>
    <row r="1056" spans="1:14" hidden="1">
      <c r="A1056" s="100" t="s">
        <v>862</v>
      </c>
      <c r="B1056" s="101" t="s">
        <v>1622</v>
      </c>
      <c r="C1056" s="99" t="s">
        <v>1623</v>
      </c>
      <c r="D1056" s="38"/>
      <c r="E1056" s="42">
        <v>1</v>
      </c>
      <c r="F1056" s="9"/>
      <c r="G1056" s="8">
        <f t="shared" si="40"/>
        <v>2.1813750000000001</v>
      </c>
      <c r="H1056" s="188">
        <v>2.0775000000000001</v>
      </c>
      <c r="I1056" s="19">
        <f t="shared" si="41"/>
        <v>0</v>
      </c>
      <c r="L1056" s="131"/>
      <c r="M1056" s="131"/>
      <c r="N1056" s="131"/>
    </row>
    <row r="1057" spans="1:14" hidden="1">
      <c r="A1057" s="100" t="s">
        <v>862</v>
      </c>
      <c r="B1057" s="101" t="s">
        <v>1624</v>
      </c>
      <c r="C1057" s="99" t="s">
        <v>1625</v>
      </c>
      <c r="D1057" s="38"/>
      <c r="E1057" s="42">
        <v>1</v>
      </c>
      <c r="F1057" s="9"/>
      <c r="G1057" s="8">
        <f t="shared" si="40"/>
        <v>2.1813750000000001</v>
      </c>
      <c r="H1057" s="188">
        <v>2.0775000000000001</v>
      </c>
      <c r="I1057" s="19">
        <f t="shared" si="41"/>
        <v>0</v>
      </c>
      <c r="L1057" s="131"/>
      <c r="M1057" s="131"/>
      <c r="N1057" s="131"/>
    </row>
    <row r="1058" spans="1:14" hidden="1">
      <c r="A1058" s="100" t="s">
        <v>862</v>
      </c>
      <c r="B1058" s="101" t="s">
        <v>1626</v>
      </c>
      <c r="C1058" s="99" t="s">
        <v>1627</v>
      </c>
      <c r="D1058" s="38"/>
      <c r="E1058" s="42">
        <v>1</v>
      </c>
      <c r="F1058" s="9"/>
      <c r="G1058" s="8">
        <f t="shared" si="40"/>
        <v>2.1813750000000001</v>
      </c>
      <c r="H1058" s="188">
        <v>2.0775000000000001</v>
      </c>
      <c r="I1058" s="19">
        <f t="shared" si="41"/>
        <v>0</v>
      </c>
      <c r="L1058" s="131"/>
      <c r="M1058" s="131"/>
      <c r="N1058" s="131"/>
    </row>
    <row r="1059" spans="1:14" hidden="1">
      <c r="A1059" s="100" t="s">
        <v>862</v>
      </c>
      <c r="B1059" s="101" t="s">
        <v>1628</v>
      </c>
      <c r="C1059" s="99" t="s">
        <v>1629</v>
      </c>
      <c r="D1059" s="38"/>
      <c r="E1059" s="42">
        <v>1</v>
      </c>
      <c r="F1059" s="9"/>
      <c r="G1059" s="8">
        <f t="shared" si="40"/>
        <v>2.1813750000000001</v>
      </c>
      <c r="H1059" s="188">
        <v>2.0775000000000001</v>
      </c>
      <c r="I1059" s="19">
        <f t="shared" si="41"/>
        <v>0</v>
      </c>
      <c r="L1059" s="131"/>
      <c r="M1059" s="131"/>
      <c r="N1059" s="131"/>
    </row>
    <row r="1060" spans="1:14" hidden="1">
      <c r="A1060" s="100" t="s">
        <v>862</v>
      </c>
      <c r="B1060" s="101" t="s">
        <v>1630</v>
      </c>
      <c r="C1060" s="99" t="s">
        <v>1631</v>
      </c>
      <c r="D1060" s="38"/>
      <c r="E1060" s="42">
        <v>1</v>
      </c>
      <c r="F1060" s="9"/>
      <c r="G1060" s="8">
        <f t="shared" si="40"/>
        <v>2.1813750000000001</v>
      </c>
      <c r="H1060" s="188">
        <v>2.0775000000000001</v>
      </c>
      <c r="I1060" s="19">
        <f t="shared" si="41"/>
        <v>0</v>
      </c>
      <c r="L1060" s="131"/>
      <c r="M1060" s="131"/>
      <c r="N1060" s="131"/>
    </row>
    <row r="1061" spans="1:14" hidden="1">
      <c r="A1061" s="100" t="s">
        <v>862</v>
      </c>
      <c r="B1061" s="101" t="s">
        <v>1632</v>
      </c>
      <c r="C1061" s="99" t="s">
        <v>1633</v>
      </c>
      <c r="D1061" s="38"/>
      <c r="E1061" s="42">
        <v>1</v>
      </c>
      <c r="F1061" s="9"/>
      <c r="G1061" s="8">
        <f t="shared" ref="G1061:G1124" si="42">H1061+(H1061*5%)</f>
        <v>2.1813750000000001</v>
      </c>
      <c r="H1061" s="188">
        <v>2.0775000000000001</v>
      </c>
      <c r="I1061" s="19">
        <f t="shared" si="41"/>
        <v>0</v>
      </c>
      <c r="L1061" s="131"/>
      <c r="M1061" s="131"/>
      <c r="N1061" s="131"/>
    </row>
    <row r="1062" spans="1:14" hidden="1">
      <c r="A1062" s="100" t="s">
        <v>862</v>
      </c>
      <c r="B1062" s="101" t="s">
        <v>1634</v>
      </c>
      <c r="C1062" s="99" t="s">
        <v>1635</v>
      </c>
      <c r="D1062" s="38"/>
      <c r="E1062" s="42">
        <v>1</v>
      </c>
      <c r="F1062" s="9"/>
      <c r="G1062" s="8">
        <f t="shared" si="42"/>
        <v>2.1813750000000001</v>
      </c>
      <c r="H1062" s="188">
        <v>2.0775000000000001</v>
      </c>
      <c r="I1062" s="19">
        <f t="shared" ref="I1062:I1125" si="43">G1062*F1062</f>
        <v>0</v>
      </c>
      <c r="L1062" s="131"/>
      <c r="M1062" s="131"/>
      <c r="N1062" s="131"/>
    </row>
    <row r="1063" spans="1:14" hidden="1">
      <c r="A1063" s="100" t="s">
        <v>862</v>
      </c>
      <c r="B1063" s="101" t="s">
        <v>1636</v>
      </c>
      <c r="C1063" s="99" t="s">
        <v>1637</v>
      </c>
      <c r="D1063" s="38"/>
      <c r="E1063" s="42">
        <v>1</v>
      </c>
      <c r="F1063" s="9"/>
      <c r="G1063" s="8">
        <f t="shared" si="42"/>
        <v>2.1813750000000001</v>
      </c>
      <c r="H1063" s="188">
        <v>2.0775000000000001</v>
      </c>
      <c r="I1063" s="19">
        <f t="shared" si="43"/>
        <v>0</v>
      </c>
      <c r="L1063" s="131"/>
      <c r="M1063" s="131"/>
      <c r="N1063" s="131"/>
    </row>
    <row r="1064" spans="1:14" hidden="1">
      <c r="A1064" s="100" t="s">
        <v>862</v>
      </c>
      <c r="B1064" s="101" t="s">
        <v>1638</v>
      </c>
      <c r="C1064" s="99" t="s">
        <v>1639</v>
      </c>
      <c r="D1064" s="38"/>
      <c r="E1064" s="42">
        <v>1</v>
      </c>
      <c r="F1064" s="9"/>
      <c r="G1064" s="8">
        <f t="shared" si="42"/>
        <v>2.1813750000000001</v>
      </c>
      <c r="H1064" s="188">
        <v>2.0775000000000001</v>
      </c>
      <c r="I1064" s="19">
        <f t="shared" si="43"/>
        <v>0</v>
      </c>
      <c r="L1064" s="131"/>
      <c r="M1064" s="131"/>
      <c r="N1064" s="131"/>
    </row>
    <row r="1065" spans="1:14" hidden="1">
      <c r="A1065" s="100" t="s">
        <v>862</v>
      </c>
      <c r="B1065" s="101" t="s">
        <v>1640</v>
      </c>
      <c r="C1065" s="99" t="s">
        <v>1641</v>
      </c>
      <c r="D1065" s="38"/>
      <c r="E1065" s="42">
        <v>1</v>
      </c>
      <c r="F1065" s="9"/>
      <c r="G1065" s="8">
        <f t="shared" si="42"/>
        <v>2.1813750000000001</v>
      </c>
      <c r="H1065" s="188">
        <v>2.0775000000000001</v>
      </c>
      <c r="I1065" s="19">
        <f t="shared" si="43"/>
        <v>0</v>
      </c>
      <c r="L1065" s="131"/>
      <c r="M1065" s="131"/>
      <c r="N1065" s="131"/>
    </row>
    <row r="1066" spans="1:14" hidden="1">
      <c r="A1066" s="100" t="s">
        <v>862</v>
      </c>
      <c r="B1066" s="101" t="s">
        <v>1642</v>
      </c>
      <c r="C1066" s="99" t="s">
        <v>1643</v>
      </c>
      <c r="D1066" s="38"/>
      <c r="E1066" s="42">
        <v>1</v>
      </c>
      <c r="F1066" s="9"/>
      <c r="G1066" s="8">
        <f t="shared" si="42"/>
        <v>2.1813750000000001</v>
      </c>
      <c r="H1066" s="188">
        <v>2.0775000000000001</v>
      </c>
      <c r="I1066" s="19">
        <f t="shared" si="43"/>
        <v>0</v>
      </c>
      <c r="L1066" s="131"/>
      <c r="M1066" s="131"/>
      <c r="N1066" s="131"/>
    </row>
    <row r="1067" spans="1:14" hidden="1">
      <c r="A1067" s="100" t="s">
        <v>862</v>
      </c>
      <c r="B1067" s="101" t="s">
        <v>1644</v>
      </c>
      <c r="C1067" s="99" t="s">
        <v>1645</v>
      </c>
      <c r="D1067" s="38"/>
      <c r="E1067" s="42">
        <v>1</v>
      </c>
      <c r="F1067" s="9"/>
      <c r="G1067" s="8">
        <f t="shared" si="42"/>
        <v>2.1813750000000001</v>
      </c>
      <c r="H1067" s="188">
        <v>2.0775000000000001</v>
      </c>
      <c r="I1067" s="19">
        <f t="shared" si="43"/>
        <v>0</v>
      </c>
      <c r="L1067" s="131"/>
      <c r="M1067" s="131"/>
      <c r="N1067" s="131"/>
    </row>
    <row r="1068" spans="1:14" hidden="1">
      <c r="A1068" s="100" t="s">
        <v>862</v>
      </c>
      <c r="B1068" s="101" t="s">
        <v>1646</v>
      </c>
      <c r="C1068" s="99" t="s">
        <v>1647</v>
      </c>
      <c r="D1068" s="38"/>
      <c r="E1068" s="42">
        <v>1</v>
      </c>
      <c r="F1068" s="9"/>
      <c r="G1068" s="8">
        <f t="shared" si="42"/>
        <v>2.1813750000000001</v>
      </c>
      <c r="H1068" s="188">
        <v>2.0775000000000001</v>
      </c>
      <c r="I1068" s="19">
        <f t="shared" si="43"/>
        <v>0</v>
      </c>
      <c r="L1068" s="131"/>
      <c r="M1068" s="131"/>
      <c r="N1068" s="131"/>
    </row>
    <row r="1069" spans="1:14" hidden="1">
      <c r="A1069" s="100" t="s">
        <v>862</v>
      </c>
      <c r="B1069" s="101" t="s">
        <v>1648</v>
      </c>
      <c r="C1069" s="99" t="s">
        <v>1649</v>
      </c>
      <c r="D1069" s="38"/>
      <c r="E1069" s="42">
        <v>1</v>
      </c>
      <c r="F1069" s="9"/>
      <c r="G1069" s="8">
        <f t="shared" si="42"/>
        <v>2.1813750000000001</v>
      </c>
      <c r="H1069" s="188">
        <v>2.0775000000000001</v>
      </c>
      <c r="I1069" s="19">
        <f t="shared" si="43"/>
        <v>0</v>
      </c>
      <c r="L1069" s="131"/>
      <c r="M1069" s="131"/>
      <c r="N1069" s="131"/>
    </row>
    <row r="1070" spans="1:14" hidden="1">
      <c r="A1070" s="100" t="s">
        <v>862</v>
      </c>
      <c r="B1070" s="101" t="s">
        <v>1650</v>
      </c>
      <c r="C1070" s="99" t="s">
        <v>1651</v>
      </c>
      <c r="D1070" s="38"/>
      <c r="E1070" s="42">
        <v>1</v>
      </c>
      <c r="F1070" s="9"/>
      <c r="G1070" s="8">
        <f t="shared" si="42"/>
        <v>2.1813750000000001</v>
      </c>
      <c r="H1070" s="188">
        <v>2.0775000000000001</v>
      </c>
      <c r="I1070" s="19">
        <f t="shared" si="43"/>
        <v>0</v>
      </c>
      <c r="L1070" s="131"/>
      <c r="M1070" s="131"/>
      <c r="N1070" s="131"/>
    </row>
    <row r="1071" spans="1:14" hidden="1">
      <c r="A1071" s="100" t="s">
        <v>862</v>
      </c>
      <c r="B1071" s="101" t="s">
        <v>1652</v>
      </c>
      <c r="C1071" s="99" t="s">
        <v>1653</v>
      </c>
      <c r="D1071" s="38"/>
      <c r="E1071" s="42">
        <v>1</v>
      </c>
      <c r="F1071" s="9"/>
      <c r="G1071" s="8">
        <f t="shared" si="42"/>
        <v>2.1813750000000001</v>
      </c>
      <c r="H1071" s="188">
        <v>2.0775000000000001</v>
      </c>
      <c r="I1071" s="19">
        <f t="shared" si="43"/>
        <v>0</v>
      </c>
      <c r="L1071" s="131"/>
      <c r="M1071" s="131"/>
      <c r="N1071" s="131"/>
    </row>
    <row r="1072" spans="1:14" hidden="1">
      <c r="A1072" s="100" t="s">
        <v>862</v>
      </c>
      <c r="B1072" s="101" t="s">
        <v>1654</v>
      </c>
      <c r="C1072" s="99" t="s">
        <v>1655</v>
      </c>
      <c r="D1072" s="38"/>
      <c r="E1072" s="42">
        <v>1</v>
      </c>
      <c r="F1072" s="9"/>
      <c r="G1072" s="8">
        <f t="shared" si="42"/>
        <v>2.1813750000000001</v>
      </c>
      <c r="H1072" s="188">
        <v>2.0775000000000001</v>
      </c>
      <c r="I1072" s="19">
        <f t="shared" si="43"/>
        <v>0</v>
      </c>
      <c r="L1072" s="131"/>
      <c r="M1072" s="131"/>
      <c r="N1072" s="131"/>
    </row>
    <row r="1073" spans="1:14" hidden="1">
      <c r="A1073" s="100" t="s">
        <v>862</v>
      </c>
      <c r="B1073" s="101" t="s">
        <v>1656</v>
      </c>
      <c r="C1073" s="99" t="s">
        <v>1657</v>
      </c>
      <c r="D1073" s="38"/>
      <c r="E1073" s="42">
        <v>1</v>
      </c>
      <c r="F1073" s="9"/>
      <c r="G1073" s="8">
        <f t="shared" si="42"/>
        <v>2.1813750000000001</v>
      </c>
      <c r="H1073" s="188">
        <v>2.0775000000000001</v>
      </c>
      <c r="I1073" s="19">
        <f t="shared" si="43"/>
        <v>0</v>
      </c>
      <c r="L1073" s="131"/>
      <c r="M1073" s="131"/>
      <c r="N1073" s="131"/>
    </row>
    <row r="1074" spans="1:14" hidden="1">
      <c r="A1074" s="100" t="s">
        <v>862</v>
      </c>
      <c r="B1074" s="101" t="s">
        <v>1658</v>
      </c>
      <c r="C1074" s="99" t="s">
        <v>1659</v>
      </c>
      <c r="D1074" s="38"/>
      <c r="E1074" s="42">
        <v>1</v>
      </c>
      <c r="F1074" s="9"/>
      <c r="G1074" s="8">
        <f t="shared" si="42"/>
        <v>2.1813750000000001</v>
      </c>
      <c r="H1074" s="188">
        <v>2.0775000000000001</v>
      </c>
      <c r="I1074" s="19">
        <f t="shared" si="43"/>
        <v>0</v>
      </c>
      <c r="L1074" s="131"/>
      <c r="M1074" s="131"/>
      <c r="N1074" s="131"/>
    </row>
    <row r="1075" spans="1:14" hidden="1">
      <c r="A1075" s="100" t="s">
        <v>862</v>
      </c>
      <c r="B1075" s="101" t="s">
        <v>1660</v>
      </c>
      <c r="C1075" s="99" t="s">
        <v>1661</v>
      </c>
      <c r="D1075" s="38"/>
      <c r="E1075" s="42">
        <v>1</v>
      </c>
      <c r="F1075" s="9"/>
      <c r="G1075" s="8">
        <f t="shared" si="42"/>
        <v>2.1813750000000001</v>
      </c>
      <c r="H1075" s="188">
        <v>2.0775000000000001</v>
      </c>
      <c r="I1075" s="19">
        <f t="shared" si="43"/>
        <v>0</v>
      </c>
      <c r="L1075" s="131"/>
      <c r="M1075" s="131"/>
      <c r="N1075" s="131"/>
    </row>
    <row r="1076" spans="1:14" hidden="1">
      <c r="A1076" s="100" t="s">
        <v>862</v>
      </c>
      <c r="B1076" s="101" t="s">
        <v>1662</v>
      </c>
      <c r="C1076" s="99" t="s">
        <v>1663</v>
      </c>
      <c r="D1076" s="38"/>
      <c r="E1076" s="42">
        <v>1</v>
      </c>
      <c r="F1076" s="9"/>
      <c r="G1076" s="8">
        <f t="shared" si="42"/>
        <v>2.1813750000000001</v>
      </c>
      <c r="H1076" s="188">
        <v>2.0775000000000001</v>
      </c>
      <c r="I1076" s="19">
        <f t="shared" si="43"/>
        <v>0</v>
      </c>
      <c r="L1076" s="131"/>
      <c r="M1076" s="131"/>
      <c r="N1076" s="131"/>
    </row>
    <row r="1077" spans="1:14" hidden="1">
      <c r="A1077" s="100" t="s">
        <v>862</v>
      </c>
      <c r="B1077" s="101" t="s">
        <v>1664</v>
      </c>
      <c r="C1077" s="99" t="s">
        <v>1665</v>
      </c>
      <c r="D1077" s="38"/>
      <c r="E1077" s="42">
        <v>1</v>
      </c>
      <c r="F1077" s="9"/>
      <c r="G1077" s="8">
        <f t="shared" si="42"/>
        <v>2.1813750000000001</v>
      </c>
      <c r="H1077" s="188">
        <v>2.0775000000000001</v>
      </c>
      <c r="I1077" s="19">
        <f t="shared" si="43"/>
        <v>0</v>
      </c>
      <c r="L1077" s="131"/>
      <c r="M1077" s="131"/>
      <c r="N1077" s="131"/>
    </row>
    <row r="1078" spans="1:14" hidden="1">
      <c r="A1078" s="100" t="s">
        <v>862</v>
      </c>
      <c r="B1078" s="101" t="s">
        <v>1666</v>
      </c>
      <c r="C1078" s="99" t="s">
        <v>1667</v>
      </c>
      <c r="D1078" s="38"/>
      <c r="E1078" s="42">
        <v>1</v>
      </c>
      <c r="F1078" s="9"/>
      <c r="G1078" s="8">
        <f t="shared" si="42"/>
        <v>2.1813750000000001</v>
      </c>
      <c r="H1078" s="188">
        <v>2.0775000000000001</v>
      </c>
      <c r="I1078" s="19">
        <f t="shared" si="43"/>
        <v>0</v>
      </c>
      <c r="L1078" s="131"/>
      <c r="M1078" s="131"/>
      <c r="N1078" s="131"/>
    </row>
    <row r="1079" spans="1:14" hidden="1">
      <c r="A1079" s="100" t="s">
        <v>862</v>
      </c>
      <c r="B1079" s="101" t="s">
        <v>1668</v>
      </c>
      <c r="C1079" s="99" t="s">
        <v>1669</v>
      </c>
      <c r="D1079" s="38"/>
      <c r="E1079" s="42">
        <v>1</v>
      </c>
      <c r="F1079" s="9"/>
      <c r="G1079" s="8">
        <f t="shared" si="42"/>
        <v>2.1813750000000001</v>
      </c>
      <c r="H1079" s="188">
        <v>2.0775000000000001</v>
      </c>
      <c r="I1079" s="19">
        <f t="shared" si="43"/>
        <v>0</v>
      </c>
      <c r="L1079" s="131"/>
      <c r="M1079" s="131"/>
      <c r="N1079" s="131"/>
    </row>
    <row r="1080" spans="1:14" hidden="1">
      <c r="A1080" s="100" t="s">
        <v>862</v>
      </c>
      <c r="B1080" s="101" t="s">
        <v>1670</v>
      </c>
      <c r="C1080" s="99" t="s">
        <v>1671</v>
      </c>
      <c r="D1080" s="38"/>
      <c r="E1080" s="42">
        <v>1</v>
      </c>
      <c r="F1080" s="9"/>
      <c r="G1080" s="8">
        <f t="shared" si="42"/>
        <v>2.1813750000000001</v>
      </c>
      <c r="H1080" s="188">
        <v>2.0775000000000001</v>
      </c>
      <c r="I1080" s="19">
        <f t="shared" si="43"/>
        <v>0</v>
      </c>
      <c r="L1080" s="131"/>
      <c r="M1080" s="131"/>
      <c r="N1080" s="131"/>
    </row>
    <row r="1081" spans="1:14" hidden="1">
      <c r="A1081" s="100" t="s">
        <v>862</v>
      </c>
      <c r="B1081" s="101" t="s">
        <v>1672</v>
      </c>
      <c r="C1081" s="99" t="s">
        <v>1673</v>
      </c>
      <c r="D1081" s="38"/>
      <c r="E1081" s="42">
        <v>1</v>
      </c>
      <c r="F1081" s="9"/>
      <c r="G1081" s="8">
        <f t="shared" si="42"/>
        <v>2.1813750000000001</v>
      </c>
      <c r="H1081" s="188">
        <v>2.0775000000000001</v>
      </c>
      <c r="I1081" s="19">
        <f t="shared" si="43"/>
        <v>0</v>
      </c>
      <c r="L1081" s="131"/>
      <c r="M1081" s="131"/>
      <c r="N1081" s="131"/>
    </row>
    <row r="1082" spans="1:14" hidden="1">
      <c r="A1082" s="100" t="s">
        <v>862</v>
      </c>
      <c r="B1082" s="101" t="s">
        <v>1674</v>
      </c>
      <c r="C1082" s="99" t="s">
        <v>1675</v>
      </c>
      <c r="D1082" s="38"/>
      <c r="E1082" s="42">
        <v>1</v>
      </c>
      <c r="F1082" s="9"/>
      <c r="G1082" s="8">
        <f t="shared" si="42"/>
        <v>2.1813750000000001</v>
      </c>
      <c r="H1082" s="188">
        <v>2.0775000000000001</v>
      </c>
      <c r="I1082" s="19">
        <f t="shared" si="43"/>
        <v>0</v>
      </c>
      <c r="L1082" s="131"/>
      <c r="M1082" s="131"/>
      <c r="N1082" s="131"/>
    </row>
    <row r="1083" spans="1:14" hidden="1">
      <c r="A1083" s="100" t="s">
        <v>862</v>
      </c>
      <c r="B1083" s="101" t="s">
        <v>1676</v>
      </c>
      <c r="C1083" s="99" t="s">
        <v>1677</v>
      </c>
      <c r="D1083" s="38"/>
      <c r="E1083" s="42">
        <v>1</v>
      </c>
      <c r="F1083" s="9"/>
      <c r="G1083" s="8">
        <f t="shared" si="42"/>
        <v>2.1813750000000001</v>
      </c>
      <c r="H1083" s="188">
        <v>2.0775000000000001</v>
      </c>
      <c r="I1083" s="19">
        <f t="shared" si="43"/>
        <v>0</v>
      </c>
      <c r="L1083" s="131"/>
      <c r="M1083" s="131"/>
      <c r="N1083" s="131"/>
    </row>
    <row r="1084" spans="1:14" hidden="1">
      <c r="A1084" s="100" t="s">
        <v>862</v>
      </c>
      <c r="B1084" s="101" t="s">
        <v>1678</v>
      </c>
      <c r="C1084" s="99" t="s">
        <v>1679</v>
      </c>
      <c r="D1084" s="38"/>
      <c r="E1084" s="42">
        <v>1</v>
      </c>
      <c r="F1084" s="9"/>
      <c r="G1084" s="8">
        <f t="shared" si="42"/>
        <v>2.1813750000000001</v>
      </c>
      <c r="H1084" s="188">
        <v>2.0775000000000001</v>
      </c>
      <c r="I1084" s="19">
        <f t="shared" si="43"/>
        <v>0</v>
      </c>
      <c r="L1084" s="131"/>
      <c r="M1084" s="131"/>
      <c r="N1084" s="131"/>
    </row>
    <row r="1085" spans="1:14" hidden="1">
      <c r="A1085" s="100" t="s">
        <v>862</v>
      </c>
      <c r="B1085" s="101" t="s">
        <v>1680</v>
      </c>
      <c r="C1085" s="99" t="s">
        <v>1681</v>
      </c>
      <c r="D1085" s="38"/>
      <c r="E1085" s="42">
        <v>1</v>
      </c>
      <c r="F1085" s="9"/>
      <c r="G1085" s="8">
        <f t="shared" si="42"/>
        <v>2.1813750000000001</v>
      </c>
      <c r="H1085" s="188">
        <v>2.0775000000000001</v>
      </c>
      <c r="I1085" s="19">
        <f t="shared" si="43"/>
        <v>0</v>
      </c>
      <c r="L1085" s="131"/>
      <c r="M1085" s="131"/>
      <c r="N1085" s="131"/>
    </row>
    <row r="1086" spans="1:14" hidden="1">
      <c r="A1086" s="100" t="s">
        <v>862</v>
      </c>
      <c r="B1086" s="101" t="s">
        <v>1682</v>
      </c>
      <c r="C1086" s="99" t="s">
        <v>1683</v>
      </c>
      <c r="D1086" s="38"/>
      <c r="E1086" s="42">
        <v>1</v>
      </c>
      <c r="F1086" s="9"/>
      <c r="G1086" s="8">
        <f t="shared" si="42"/>
        <v>2.1813750000000001</v>
      </c>
      <c r="H1086" s="188">
        <v>2.0775000000000001</v>
      </c>
      <c r="I1086" s="19">
        <f t="shared" si="43"/>
        <v>0</v>
      </c>
      <c r="L1086" s="131"/>
      <c r="M1086" s="131"/>
      <c r="N1086" s="131"/>
    </row>
    <row r="1087" spans="1:14" hidden="1">
      <c r="A1087" s="100" t="s">
        <v>862</v>
      </c>
      <c r="B1087" s="101" t="s">
        <v>1684</v>
      </c>
      <c r="C1087" s="99" t="s">
        <v>1685</v>
      </c>
      <c r="D1087" s="38"/>
      <c r="E1087" s="42">
        <v>1</v>
      </c>
      <c r="F1087" s="9"/>
      <c r="G1087" s="8">
        <f t="shared" si="42"/>
        <v>2.1813750000000001</v>
      </c>
      <c r="H1087" s="188">
        <v>2.0775000000000001</v>
      </c>
      <c r="I1087" s="19">
        <f t="shared" si="43"/>
        <v>0</v>
      </c>
      <c r="L1087" s="131"/>
      <c r="M1087" s="131"/>
      <c r="N1087" s="131"/>
    </row>
    <row r="1088" spans="1:14" hidden="1">
      <c r="A1088" s="100" t="s">
        <v>862</v>
      </c>
      <c r="B1088" s="101" t="s">
        <v>1686</v>
      </c>
      <c r="C1088" s="99" t="s">
        <v>1687</v>
      </c>
      <c r="D1088" s="38"/>
      <c r="E1088" s="42">
        <v>1</v>
      </c>
      <c r="F1088" s="9"/>
      <c r="G1088" s="8">
        <f t="shared" si="42"/>
        <v>2.1813750000000001</v>
      </c>
      <c r="H1088" s="188">
        <v>2.0775000000000001</v>
      </c>
      <c r="I1088" s="19">
        <f t="shared" si="43"/>
        <v>0</v>
      </c>
      <c r="L1088" s="131"/>
      <c r="M1088" s="131"/>
      <c r="N1088" s="131"/>
    </row>
    <row r="1089" spans="1:14" hidden="1">
      <c r="A1089" s="100" t="s">
        <v>862</v>
      </c>
      <c r="B1089" s="101" t="s">
        <v>1688</v>
      </c>
      <c r="C1089" s="99" t="s">
        <v>1689</v>
      </c>
      <c r="D1089" s="38"/>
      <c r="E1089" s="42">
        <v>1</v>
      </c>
      <c r="F1089" s="9"/>
      <c r="G1089" s="8">
        <f t="shared" si="42"/>
        <v>2.1813750000000001</v>
      </c>
      <c r="H1089" s="188">
        <v>2.0775000000000001</v>
      </c>
      <c r="I1089" s="19">
        <f t="shared" si="43"/>
        <v>0</v>
      </c>
      <c r="L1089" s="131"/>
      <c r="M1089" s="131"/>
      <c r="N1089" s="131"/>
    </row>
    <row r="1090" spans="1:14" hidden="1">
      <c r="A1090" s="100" t="s">
        <v>862</v>
      </c>
      <c r="B1090" s="101" t="s">
        <v>1690</v>
      </c>
      <c r="C1090" s="99" t="s">
        <v>1691</v>
      </c>
      <c r="D1090" s="38"/>
      <c r="E1090" s="42">
        <v>1</v>
      </c>
      <c r="F1090" s="9"/>
      <c r="G1090" s="8">
        <f t="shared" si="42"/>
        <v>2.1813750000000001</v>
      </c>
      <c r="H1090" s="188">
        <v>2.0775000000000001</v>
      </c>
      <c r="I1090" s="19">
        <f t="shared" si="43"/>
        <v>0</v>
      </c>
      <c r="L1090" s="131"/>
      <c r="M1090" s="131"/>
      <c r="N1090" s="131"/>
    </row>
    <row r="1091" spans="1:14" hidden="1">
      <c r="A1091" s="100" t="s">
        <v>862</v>
      </c>
      <c r="B1091" s="101" t="s">
        <v>1692</v>
      </c>
      <c r="C1091" s="99" t="s">
        <v>1693</v>
      </c>
      <c r="D1091" s="38"/>
      <c r="E1091" s="42">
        <v>1</v>
      </c>
      <c r="F1091" s="9"/>
      <c r="G1091" s="8">
        <f t="shared" si="42"/>
        <v>2.1813750000000001</v>
      </c>
      <c r="H1091" s="188">
        <v>2.0775000000000001</v>
      </c>
      <c r="I1091" s="19">
        <f t="shared" si="43"/>
        <v>0</v>
      </c>
      <c r="L1091" s="131"/>
      <c r="M1091" s="131"/>
      <c r="N1091" s="131"/>
    </row>
    <row r="1092" spans="1:14" hidden="1">
      <c r="A1092" s="100" t="s">
        <v>862</v>
      </c>
      <c r="B1092" s="101" t="s">
        <v>1694</v>
      </c>
      <c r="C1092" s="99" t="s">
        <v>1695</v>
      </c>
      <c r="D1092" s="38"/>
      <c r="E1092" s="42">
        <v>1</v>
      </c>
      <c r="F1092" s="9"/>
      <c r="G1092" s="8">
        <f t="shared" si="42"/>
        <v>2.1813750000000001</v>
      </c>
      <c r="H1092" s="188">
        <v>2.0775000000000001</v>
      </c>
      <c r="I1092" s="19">
        <f t="shared" si="43"/>
        <v>0</v>
      </c>
      <c r="L1092" s="131"/>
      <c r="M1092" s="131"/>
      <c r="N1092" s="131"/>
    </row>
    <row r="1093" spans="1:14" hidden="1">
      <c r="A1093" s="100" t="s">
        <v>862</v>
      </c>
      <c r="B1093" s="101" t="s">
        <v>1696</v>
      </c>
      <c r="C1093" s="99" t="s">
        <v>1697</v>
      </c>
      <c r="D1093" s="38"/>
      <c r="E1093" s="42">
        <v>1</v>
      </c>
      <c r="F1093" s="9"/>
      <c r="G1093" s="8">
        <f t="shared" si="42"/>
        <v>2.1813750000000001</v>
      </c>
      <c r="H1093" s="188">
        <v>2.0775000000000001</v>
      </c>
      <c r="I1093" s="19">
        <f t="shared" si="43"/>
        <v>0</v>
      </c>
      <c r="L1093" s="131"/>
      <c r="M1093" s="131"/>
      <c r="N1093" s="131"/>
    </row>
    <row r="1094" spans="1:14" hidden="1">
      <c r="A1094" s="100" t="s">
        <v>862</v>
      </c>
      <c r="B1094" s="101" t="s">
        <v>1698</v>
      </c>
      <c r="C1094" s="99" t="s">
        <v>1699</v>
      </c>
      <c r="D1094" s="38"/>
      <c r="E1094" s="42">
        <v>1</v>
      </c>
      <c r="F1094" s="9"/>
      <c r="G1094" s="8">
        <f t="shared" si="42"/>
        <v>2.1813750000000001</v>
      </c>
      <c r="H1094" s="188">
        <v>2.0775000000000001</v>
      </c>
      <c r="I1094" s="19">
        <f t="shared" si="43"/>
        <v>0</v>
      </c>
      <c r="L1094" s="131"/>
      <c r="M1094" s="131"/>
      <c r="N1094" s="131"/>
    </row>
    <row r="1095" spans="1:14" hidden="1">
      <c r="A1095" s="100" t="s">
        <v>862</v>
      </c>
      <c r="B1095" s="101" t="s">
        <v>1700</v>
      </c>
      <c r="C1095" s="99" t="s">
        <v>1701</v>
      </c>
      <c r="D1095" s="38"/>
      <c r="E1095" s="42">
        <v>1</v>
      </c>
      <c r="F1095" s="9"/>
      <c r="G1095" s="8">
        <f t="shared" si="42"/>
        <v>2.1813750000000001</v>
      </c>
      <c r="H1095" s="188">
        <v>2.0775000000000001</v>
      </c>
      <c r="I1095" s="19">
        <f t="shared" si="43"/>
        <v>0</v>
      </c>
      <c r="L1095" s="131"/>
      <c r="M1095" s="131"/>
      <c r="N1095" s="131"/>
    </row>
    <row r="1096" spans="1:14" hidden="1">
      <c r="A1096" s="100" t="s">
        <v>862</v>
      </c>
      <c r="B1096" s="101" t="s">
        <v>1702</v>
      </c>
      <c r="C1096" s="99" t="s">
        <v>1703</v>
      </c>
      <c r="D1096" s="38"/>
      <c r="E1096" s="42">
        <v>1</v>
      </c>
      <c r="F1096" s="9"/>
      <c r="G1096" s="8">
        <f t="shared" si="42"/>
        <v>2.1813750000000001</v>
      </c>
      <c r="H1096" s="188">
        <v>2.0775000000000001</v>
      </c>
      <c r="I1096" s="19">
        <f t="shared" si="43"/>
        <v>0</v>
      </c>
      <c r="L1096" s="131"/>
      <c r="M1096" s="131"/>
      <c r="N1096" s="131"/>
    </row>
    <row r="1097" spans="1:14" hidden="1">
      <c r="A1097" s="100" t="s">
        <v>862</v>
      </c>
      <c r="B1097" s="101" t="s">
        <v>1704</v>
      </c>
      <c r="C1097" s="99" t="s">
        <v>1705</v>
      </c>
      <c r="D1097" s="38"/>
      <c r="E1097" s="42">
        <v>1</v>
      </c>
      <c r="F1097" s="9"/>
      <c r="G1097" s="8">
        <f t="shared" si="42"/>
        <v>2.1813750000000001</v>
      </c>
      <c r="H1097" s="188">
        <v>2.0775000000000001</v>
      </c>
      <c r="I1097" s="19">
        <f t="shared" si="43"/>
        <v>0</v>
      </c>
      <c r="L1097" s="131"/>
      <c r="M1097" s="131"/>
      <c r="N1097" s="131"/>
    </row>
    <row r="1098" spans="1:14" hidden="1">
      <c r="A1098" s="100" t="s">
        <v>862</v>
      </c>
      <c r="B1098" s="101" t="s">
        <v>1706</v>
      </c>
      <c r="C1098" s="99" t="s">
        <v>1707</v>
      </c>
      <c r="D1098" s="38"/>
      <c r="E1098" s="42">
        <v>1</v>
      </c>
      <c r="F1098" s="9"/>
      <c r="G1098" s="8">
        <f t="shared" si="42"/>
        <v>2.1813750000000001</v>
      </c>
      <c r="H1098" s="188">
        <v>2.0775000000000001</v>
      </c>
      <c r="I1098" s="19">
        <f t="shared" si="43"/>
        <v>0</v>
      </c>
      <c r="L1098" s="131"/>
      <c r="M1098" s="131"/>
      <c r="N1098" s="131"/>
    </row>
    <row r="1099" spans="1:14" hidden="1">
      <c r="A1099" s="100" t="s">
        <v>862</v>
      </c>
      <c r="B1099" s="101" t="s">
        <v>1708</v>
      </c>
      <c r="C1099" s="99" t="s">
        <v>1709</v>
      </c>
      <c r="D1099" s="38"/>
      <c r="E1099" s="42">
        <v>1</v>
      </c>
      <c r="F1099" s="9"/>
      <c r="G1099" s="8">
        <f t="shared" si="42"/>
        <v>2.1813750000000001</v>
      </c>
      <c r="H1099" s="188">
        <v>2.0775000000000001</v>
      </c>
      <c r="I1099" s="19">
        <f t="shared" si="43"/>
        <v>0</v>
      </c>
      <c r="L1099" s="131"/>
      <c r="M1099" s="131"/>
      <c r="N1099" s="131"/>
    </row>
    <row r="1100" spans="1:14" hidden="1">
      <c r="A1100" s="100" t="s">
        <v>862</v>
      </c>
      <c r="B1100" s="101" t="s">
        <v>1710</v>
      </c>
      <c r="C1100" s="99" t="s">
        <v>1711</v>
      </c>
      <c r="D1100" s="38"/>
      <c r="E1100" s="42">
        <v>1</v>
      </c>
      <c r="F1100" s="9"/>
      <c r="G1100" s="8">
        <f t="shared" si="42"/>
        <v>2.1813750000000001</v>
      </c>
      <c r="H1100" s="188">
        <v>2.0775000000000001</v>
      </c>
      <c r="I1100" s="19">
        <f t="shared" si="43"/>
        <v>0</v>
      </c>
      <c r="L1100" s="131"/>
      <c r="M1100" s="131"/>
      <c r="N1100" s="131"/>
    </row>
    <row r="1101" spans="1:14" hidden="1">
      <c r="A1101" s="100" t="s">
        <v>862</v>
      </c>
      <c r="B1101" s="101" t="s">
        <v>1712</v>
      </c>
      <c r="C1101" s="99" t="s">
        <v>1713</v>
      </c>
      <c r="D1101" s="38"/>
      <c r="E1101" s="42">
        <v>1</v>
      </c>
      <c r="F1101" s="9"/>
      <c r="G1101" s="8">
        <f t="shared" si="42"/>
        <v>2.1813750000000001</v>
      </c>
      <c r="H1101" s="188">
        <v>2.0775000000000001</v>
      </c>
      <c r="I1101" s="19">
        <f t="shared" si="43"/>
        <v>0</v>
      </c>
      <c r="L1101" s="131"/>
      <c r="M1101" s="131"/>
      <c r="N1101" s="131"/>
    </row>
    <row r="1102" spans="1:14" hidden="1">
      <c r="A1102" s="100" t="s">
        <v>862</v>
      </c>
      <c r="B1102" s="101" t="s">
        <v>1714</v>
      </c>
      <c r="C1102" s="99" t="s">
        <v>1715</v>
      </c>
      <c r="D1102" s="38"/>
      <c r="E1102" s="42">
        <v>1</v>
      </c>
      <c r="F1102" s="9"/>
      <c r="G1102" s="8">
        <f t="shared" si="42"/>
        <v>2.1813750000000001</v>
      </c>
      <c r="H1102" s="188">
        <v>2.0775000000000001</v>
      </c>
      <c r="I1102" s="19">
        <f t="shared" si="43"/>
        <v>0</v>
      </c>
      <c r="L1102" s="131"/>
      <c r="M1102" s="131"/>
      <c r="N1102" s="131"/>
    </row>
    <row r="1103" spans="1:14" hidden="1">
      <c r="A1103" s="100" t="s">
        <v>862</v>
      </c>
      <c r="B1103" s="101" t="s">
        <v>1716</v>
      </c>
      <c r="C1103" s="99" t="s">
        <v>1717</v>
      </c>
      <c r="D1103" s="38"/>
      <c r="E1103" s="42">
        <v>1</v>
      </c>
      <c r="F1103" s="9"/>
      <c r="G1103" s="8">
        <f t="shared" si="42"/>
        <v>2.1813750000000001</v>
      </c>
      <c r="H1103" s="188">
        <v>2.0775000000000001</v>
      </c>
      <c r="I1103" s="19">
        <f t="shared" si="43"/>
        <v>0</v>
      </c>
      <c r="L1103" s="131"/>
      <c r="M1103" s="131"/>
      <c r="N1103" s="131"/>
    </row>
    <row r="1104" spans="1:14" hidden="1">
      <c r="A1104" s="100" t="s">
        <v>862</v>
      </c>
      <c r="B1104" s="101" t="s">
        <v>1718</v>
      </c>
      <c r="C1104" s="99" t="s">
        <v>1719</v>
      </c>
      <c r="D1104" s="38"/>
      <c r="E1104" s="42">
        <v>1</v>
      </c>
      <c r="F1104" s="9"/>
      <c r="G1104" s="8">
        <f t="shared" si="42"/>
        <v>2.1813750000000001</v>
      </c>
      <c r="H1104" s="188">
        <v>2.0775000000000001</v>
      </c>
      <c r="I1104" s="19">
        <f t="shared" si="43"/>
        <v>0</v>
      </c>
      <c r="L1104" s="131"/>
      <c r="M1104" s="131"/>
      <c r="N1104" s="131"/>
    </row>
    <row r="1105" spans="1:14" hidden="1">
      <c r="A1105" s="100" t="s">
        <v>862</v>
      </c>
      <c r="B1105" s="101" t="s">
        <v>1720</v>
      </c>
      <c r="C1105" s="99" t="s">
        <v>1721</v>
      </c>
      <c r="D1105" s="38"/>
      <c r="E1105" s="42">
        <v>1</v>
      </c>
      <c r="F1105" s="9"/>
      <c r="G1105" s="8">
        <f t="shared" si="42"/>
        <v>2.1813750000000001</v>
      </c>
      <c r="H1105" s="188">
        <v>2.0775000000000001</v>
      </c>
      <c r="I1105" s="19">
        <f t="shared" si="43"/>
        <v>0</v>
      </c>
      <c r="L1105" s="131"/>
      <c r="M1105" s="131"/>
      <c r="N1105" s="131"/>
    </row>
    <row r="1106" spans="1:14" hidden="1">
      <c r="A1106" s="100" t="s">
        <v>862</v>
      </c>
      <c r="B1106" s="101" t="s">
        <v>1722</v>
      </c>
      <c r="C1106" s="99" t="s">
        <v>1723</v>
      </c>
      <c r="D1106" s="38"/>
      <c r="E1106" s="42">
        <v>1</v>
      </c>
      <c r="F1106" s="9"/>
      <c r="G1106" s="8">
        <f t="shared" si="42"/>
        <v>2.1813750000000001</v>
      </c>
      <c r="H1106" s="188">
        <v>2.0775000000000001</v>
      </c>
      <c r="I1106" s="19">
        <f t="shared" si="43"/>
        <v>0</v>
      </c>
      <c r="L1106" s="131"/>
      <c r="M1106" s="131"/>
      <c r="N1106" s="131"/>
    </row>
    <row r="1107" spans="1:14" hidden="1">
      <c r="A1107" s="100" t="s">
        <v>862</v>
      </c>
      <c r="B1107" s="101" t="s">
        <v>1724</v>
      </c>
      <c r="C1107" s="99" t="s">
        <v>1725</v>
      </c>
      <c r="D1107" s="38"/>
      <c r="E1107" s="42">
        <v>1</v>
      </c>
      <c r="F1107" s="9"/>
      <c r="G1107" s="8">
        <f t="shared" si="42"/>
        <v>2.1813750000000001</v>
      </c>
      <c r="H1107" s="188">
        <v>2.0775000000000001</v>
      </c>
      <c r="I1107" s="19">
        <f t="shared" si="43"/>
        <v>0</v>
      </c>
      <c r="L1107" s="131"/>
      <c r="M1107" s="131"/>
      <c r="N1107" s="131"/>
    </row>
    <row r="1108" spans="1:14" hidden="1">
      <c r="A1108" s="100" t="s">
        <v>862</v>
      </c>
      <c r="B1108" s="101" t="s">
        <v>1726</v>
      </c>
      <c r="C1108" s="99" t="s">
        <v>1727</v>
      </c>
      <c r="D1108" s="38"/>
      <c r="E1108" s="42">
        <v>1</v>
      </c>
      <c r="F1108" s="9"/>
      <c r="G1108" s="8">
        <f t="shared" si="42"/>
        <v>2.1813750000000001</v>
      </c>
      <c r="H1108" s="188">
        <v>2.0775000000000001</v>
      </c>
      <c r="I1108" s="19">
        <f t="shared" si="43"/>
        <v>0</v>
      </c>
      <c r="L1108" s="131"/>
      <c r="M1108" s="131"/>
      <c r="N1108" s="131"/>
    </row>
    <row r="1109" spans="1:14" hidden="1">
      <c r="A1109" s="100" t="s">
        <v>862</v>
      </c>
      <c r="B1109" s="101" t="s">
        <v>1728</v>
      </c>
      <c r="C1109" s="99" t="s">
        <v>1729</v>
      </c>
      <c r="D1109" s="38"/>
      <c r="E1109" s="42">
        <v>1</v>
      </c>
      <c r="F1109" s="9"/>
      <c r="G1109" s="8">
        <f t="shared" si="42"/>
        <v>2.1813750000000001</v>
      </c>
      <c r="H1109" s="188">
        <v>2.0775000000000001</v>
      </c>
      <c r="I1109" s="19">
        <f t="shared" si="43"/>
        <v>0</v>
      </c>
      <c r="L1109" s="131"/>
      <c r="M1109" s="131"/>
      <c r="N1109" s="131"/>
    </row>
    <row r="1110" spans="1:14" hidden="1">
      <c r="A1110" s="100" t="s">
        <v>862</v>
      </c>
      <c r="B1110" s="101" t="s">
        <v>1730</v>
      </c>
      <c r="C1110" s="99" t="s">
        <v>1731</v>
      </c>
      <c r="D1110" s="38"/>
      <c r="E1110" s="42">
        <v>1</v>
      </c>
      <c r="F1110" s="9"/>
      <c r="G1110" s="8">
        <f t="shared" si="42"/>
        <v>2.1813750000000001</v>
      </c>
      <c r="H1110" s="188">
        <v>2.0775000000000001</v>
      </c>
      <c r="I1110" s="19">
        <f t="shared" si="43"/>
        <v>0</v>
      </c>
      <c r="L1110" s="131"/>
      <c r="M1110" s="131"/>
      <c r="N1110" s="131"/>
    </row>
    <row r="1111" spans="1:14" hidden="1">
      <c r="A1111" s="100" t="s">
        <v>862</v>
      </c>
      <c r="B1111" s="101" t="s">
        <v>1732</v>
      </c>
      <c r="C1111" s="99" t="s">
        <v>1733</v>
      </c>
      <c r="D1111" s="38"/>
      <c r="E1111" s="42">
        <v>1</v>
      </c>
      <c r="F1111" s="9"/>
      <c r="G1111" s="8">
        <f t="shared" si="42"/>
        <v>2.1813750000000001</v>
      </c>
      <c r="H1111" s="188">
        <v>2.0775000000000001</v>
      </c>
      <c r="I1111" s="19">
        <f t="shared" si="43"/>
        <v>0</v>
      </c>
      <c r="L1111" s="131"/>
      <c r="M1111" s="131"/>
      <c r="N1111" s="131"/>
    </row>
    <row r="1112" spans="1:14" hidden="1">
      <c r="A1112" s="100" t="s">
        <v>862</v>
      </c>
      <c r="B1112" s="101" t="s">
        <v>1734</v>
      </c>
      <c r="C1112" s="99" t="s">
        <v>1735</v>
      </c>
      <c r="D1112" s="38"/>
      <c r="E1112" s="42">
        <v>1</v>
      </c>
      <c r="F1112" s="9"/>
      <c r="G1112" s="8">
        <f t="shared" si="42"/>
        <v>2.1813750000000001</v>
      </c>
      <c r="H1112" s="188">
        <v>2.0775000000000001</v>
      </c>
      <c r="I1112" s="19">
        <f t="shared" si="43"/>
        <v>0</v>
      </c>
      <c r="L1112" s="131"/>
      <c r="M1112" s="131"/>
      <c r="N1112" s="131"/>
    </row>
    <row r="1113" spans="1:14" hidden="1">
      <c r="A1113" s="100" t="s">
        <v>862</v>
      </c>
      <c r="B1113" s="101" t="s">
        <v>1736</v>
      </c>
      <c r="C1113" s="99" t="s">
        <v>1737</v>
      </c>
      <c r="D1113" s="38"/>
      <c r="E1113" s="42">
        <v>1</v>
      </c>
      <c r="F1113" s="9"/>
      <c r="G1113" s="8">
        <f t="shared" si="42"/>
        <v>2.1813750000000001</v>
      </c>
      <c r="H1113" s="188">
        <v>2.0775000000000001</v>
      </c>
      <c r="I1113" s="19">
        <f t="shared" si="43"/>
        <v>0</v>
      </c>
      <c r="L1113" s="131"/>
      <c r="M1113" s="131"/>
      <c r="N1113" s="131"/>
    </row>
    <row r="1114" spans="1:14" hidden="1">
      <c r="A1114" s="100" t="s">
        <v>862</v>
      </c>
      <c r="B1114" s="101" t="s">
        <v>1738</v>
      </c>
      <c r="C1114" s="99" t="s">
        <v>1739</v>
      </c>
      <c r="D1114" s="38"/>
      <c r="E1114" s="42">
        <v>1</v>
      </c>
      <c r="F1114" s="9"/>
      <c r="G1114" s="8">
        <f t="shared" si="42"/>
        <v>2.1813750000000001</v>
      </c>
      <c r="H1114" s="188">
        <v>2.0775000000000001</v>
      </c>
      <c r="I1114" s="19">
        <f t="shared" si="43"/>
        <v>0</v>
      </c>
      <c r="L1114" s="131"/>
      <c r="M1114" s="131"/>
      <c r="N1114" s="131"/>
    </row>
    <row r="1115" spans="1:14" hidden="1">
      <c r="A1115" s="100" t="s">
        <v>862</v>
      </c>
      <c r="B1115" s="101" t="s">
        <v>1740</v>
      </c>
      <c r="C1115" s="99" t="s">
        <v>1741</v>
      </c>
      <c r="D1115" s="38"/>
      <c r="E1115" s="42">
        <v>1</v>
      </c>
      <c r="F1115" s="9"/>
      <c r="G1115" s="8">
        <f t="shared" si="42"/>
        <v>2.1813750000000001</v>
      </c>
      <c r="H1115" s="188">
        <v>2.0775000000000001</v>
      </c>
      <c r="I1115" s="19">
        <f t="shared" si="43"/>
        <v>0</v>
      </c>
      <c r="L1115" s="131"/>
      <c r="M1115" s="131"/>
      <c r="N1115" s="131"/>
    </row>
    <row r="1116" spans="1:14" hidden="1">
      <c r="A1116" s="100" t="s">
        <v>862</v>
      </c>
      <c r="B1116" s="101" t="s">
        <v>1742</v>
      </c>
      <c r="C1116" s="99" t="s">
        <v>1743</v>
      </c>
      <c r="D1116" s="38"/>
      <c r="E1116" s="42">
        <v>1</v>
      </c>
      <c r="F1116" s="9"/>
      <c r="G1116" s="8">
        <f t="shared" si="42"/>
        <v>2.1813750000000001</v>
      </c>
      <c r="H1116" s="188">
        <v>2.0775000000000001</v>
      </c>
      <c r="I1116" s="19">
        <f t="shared" si="43"/>
        <v>0</v>
      </c>
      <c r="L1116" s="131"/>
      <c r="M1116" s="131"/>
      <c r="N1116" s="131"/>
    </row>
    <row r="1117" spans="1:14" hidden="1">
      <c r="A1117" s="100" t="s">
        <v>862</v>
      </c>
      <c r="B1117" s="101" t="s">
        <v>1744</v>
      </c>
      <c r="C1117" s="99" t="s">
        <v>1745</v>
      </c>
      <c r="D1117" s="38"/>
      <c r="E1117" s="42">
        <v>1</v>
      </c>
      <c r="F1117" s="9"/>
      <c r="G1117" s="8">
        <f t="shared" si="42"/>
        <v>2.1813750000000001</v>
      </c>
      <c r="H1117" s="188">
        <v>2.0775000000000001</v>
      </c>
      <c r="I1117" s="19">
        <f t="shared" si="43"/>
        <v>0</v>
      </c>
      <c r="L1117" s="131"/>
      <c r="M1117" s="131"/>
      <c r="N1117" s="131"/>
    </row>
    <row r="1118" spans="1:14" hidden="1">
      <c r="A1118" s="100" t="s">
        <v>862</v>
      </c>
      <c r="B1118" s="101" t="s">
        <v>1746</v>
      </c>
      <c r="C1118" s="99" t="s">
        <v>1747</v>
      </c>
      <c r="D1118" s="38"/>
      <c r="E1118" s="42">
        <v>1</v>
      </c>
      <c r="F1118" s="9"/>
      <c r="G1118" s="8">
        <f t="shared" si="42"/>
        <v>2.1813750000000001</v>
      </c>
      <c r="H1118" s="188">
        <v>2.0775000000000001</v>
      </c>
      <c r="I1118" s="19">
        <f t="shared" si="43"/>
        <v>0</v>
      </c>
      <c r="L1118" s="131"/>
      <c r="M1118" s="131"/>
      <c r="N1118" s="131"/>
    </row>
    <row r="1119" spans="1:14" hidden="1">
      <c r="A1119" s="100" t="s">
        <v>862</v>
      </c>
      <c r="B1119" s="101" t="s">
        <v>1748</v>
      </c>
      <c r="C1119" s="99" t="s">
        <v>1749</v>
      </c>
      <c r="D1119" s="38"/>
      <c r="E1119" s="42">
        <v>1</v>
      </c>
      <c r="F1119" s="9"/>
      <c r="G1119" s="8">
        <f t="shared" si="42"/>
        <v>2.1813750000000001</v>
      </c>
      <c r="H1119" s="188">
        <v>2.0775000000000001</v>
      </c>
      <c r="I1119" s="19">
        <f t="shared" si="43"/>
        <v>0</v>
      </c>
      <c r="L1119" s="131"/>
      <c r="M1119" s="131"/>
      <c r="N1119" s="131"/>
    </row>
    <row r="1120" spans="1:14" hidden="1">
      <c r="A1120" s="100" t="s">
        <v>862</v>
      </c>
      <c r="B1120" s="101" t="s">
        <v>1750</v>
      </c>
      <c r="C1120" s="99" t="s">
        <v>1751</v>
      </c>
      <c r="D1120" s="38"/>
      <c r="E1120" s="42">
        <v>1</v>
      </c>
      <c r="F1120" s="9"/>
      <c r="G1120" s="8">
        <f t="shared" si="42"/>
        <v>2.1813750000000001</v>
      </c>
      <c r="H1120" s="188">
        <v>2.0775000000000001</v>
      </c>
      <c r="I1120" s="19">
        <f t="shared" si="43"/>
        <v>0</v>
      </c>
      <c r="L1120" s="131"/>
      <c r="M1120" s="131"/>
      <c r="N1120" s="131"/>
    </row>
    <row r="1121" spans="1:14" hidden="1">
      <c r="A1121" s="100" t="s">
        <v>862</v>
      </c>
      <c r="B1121" s="101" t="s">
        <v>1752</v>
      </c>
      <c r="C1121" s="99" t="s">
        <v>1753</v>
      </c>
      <c r="D1121" s="38"/>
      <c r="E1121" s="42">
        <v>1</v>
      </c>
      <c r="F1121" s="9"/>
      <c r="G1121" s="8">
        <f t="shared" si="42"/>
        <v>2.1813750000000001</v>
      </c>
      <c r="H1121" s="188">
        <v>2.0775000000000001</v>
      </c>
      <c r="I1121" s="19">
        <f t="shared" si="43"/>
        <v>0</v>
      </c>
      <c r="L1121" s="131"/>
      <c r="M1121" s="131"/>
      <c r="N1121" s="131"/>
    </row>
    <row r="1122" spans="1:14" hidden="1">
      <c r="A1122" s="100" t="s">
        <v>862</v>
      </c>
      <c r="B1122" s="101" t="s">
        <v>1754</v>
      </c>
      <c r="C1122" s="99" t="s">
        <v>1755</v>
      </c>
      <c r="D1122" s="38"/>
      <c r="E1122" s="42">
        <v>1</v>
      </c>
      <c r="F1122" s="9"/>
      <c r="G1122" s="8">
        <f t="shared" si="42"/>
        <v>2.1813750000000001</v>
      </c>
      <c r="H1122" s="188">
        <v>2.0775000000000001</v>
      </c>
      <c r="I1122" s="19">
        <f t="shared" si="43"/>
        <v>0</v>
      </c>
      <c r="L1122" s="131"/>
      <c r="M1122" s="131"/>
      <c r="N1122" s="131"/>
    </row>
    <row r="1123" spans="1:14" hidden="1">
      <c r="A1123" s="100" t="s">
        <v>862</v>
      </c>
      <c r="B1123" s="101" t="s">
        <v>1756</v>
      </c>
      <c r="C1123" s="99" t="s">
        <v>1757</v>
      </c>
      <c r="D1123" s="38"/>
      <c r="E1123" s="42">
        <v>1</v>
      </c>
      <c r="F1123" s="9"/>
      <c r="G1123" s="8">
        <f t="shared" si="42"/>
        <v>2.1813750000000001</v>
      </c>
      <c r="H1123" s="188">
        <v>2.0775000000000001</v>
      </c>
      <c r="I1123" s="19">
        <f t="shared" si="43"/>
        <v>0</v>
      </c>
      <c r="L1123" s="131"/>
      <c r="M1123" s="131"/>
      <c r="N1123" s="131"/>
    </row>
    <row r="1124" spans="1:14" hidden="1">
      <c r="A1124" s="100" t="s">
        <v>862</v>
      </c>
      <c r="B1124" s="101" t="s">
        <v>1758</v>
      </c>
      <c r="C1124" s="99" t="s">
        <v>1759</v>
      </c>
      <c r="D1124" s="38"/>
      <c r="E1124" s="42">
        <v>1</v>
      </c>
      <c r="F1124" s="9"/>
      <c r="G1124" s="8">
        <f t="shared" si="42"/>
        <v>2.1813750000000001</v>
      </c>
      <c r="H1124" s="188">
        <v>2.0775000000000001</v>
      </c>
      <c r="I1124" s="19">
        <f t="shared" si="43"/>
        <v>0</v>
      </c>
      <c r="L1124" s="131"/>
      <c r="M1124" s="131"/>
      <c r="N1124" s="131"/>
    </row>
    <row r="1125" spans="1:14" hidden="1">
      <c r="A1125" s="100" t="s">
        <v>862</v>
      </c>
      <c r="B1125" s="101" t="s">
        <v>1760</v>
      </c>
      <c r="C1125" s="99" t="s">
        <v>1761</v>
      </c>
      <c r="D1125" s="38"/>
      <c r="E1125" s="42">
        <v>1</v>
      </c>
      <c r="F1125" s="9"/>
      <c r="G1125" s="8">
        <f t="shared" ref="G1125:G1188" si="44">H1125+(H1125*5%)</f>
        <v>2.1813750000000001</v>
      </c>
      <c r="H1125" s="188">
        <v>2.0775000000000001</v>
      </c>
      <c r="I1125" s="19">
        <f t="shared" si="43"/>
        <v>0</v>
      </c>
      <c r="L1125" s="131"/>
      <c r="M1125" s="131"/>
      <c r="N1125" s="131"/>
    </row>
    <row r="1126" spans="1:14" hidden="1">
      <c r="A1126" s="100" t="s">
        <v>862</v>
      </c>
      <c r="B1126" s="101" t="s">
        <v>1762</v>
      </c>
      <c r="C1126" s="99" t="s">
        <v>1763</v>
      </c>
      <c r="D1126" s="38"/>
      <c r="E1126" s="42">
        <v>1</v>
      </c>
      <c r="F1126" s="9"/>
      <c r="G1126" s="8">
        <f t="shared" si="44"/>
        <v>2.1813750000000001</v>
      </c>
      <c r="H1126" s="188">
        <v>2.0775000000000001</v>
      </c>
      <c r="I1126" s="19">
        <f t="shared" ref="I1126:I1189" si="45">G1126*F1126</f>
        <v>0</v>
      </c>
      <c r="L1126" s="131"/>
      <c r="M1126" s="131"/>
      <c r="N1126" s="131"/>
    </row>
    <row r="1127" spans="1:14" hidden="1">
      <c r="A1127" s="100" t="s">
        <v>862</v>
      </c>
      <c r="B1127" s="101" t="s">
        <v>1764</v>
      </c>
      <c r="C1127" s="99" t="s">
        <v>1765</v>
      </c>
      <c r="D1127" s="38"/>
      <c r="E1127" s="42">
        <v>1</v>
      </c>
      <c r="F1127" s="9"/>
      <c r="G1127" s="8">
        <f t="shared" si="44"/>
        <v>2.1813750000000001</v>
      </c>
      <c r="H1127" s="188">
        <v>2.0775000000000001</v>
      </c>
      <c r="I1127" s="19">
        <f t="shared" si="45"/>
        <v>0</v>
      </c>
      <c r="L1127" s="131"/>
      <c r="M1127" s="131"/>
      <c r="N1127" s="131"/>
    </row>
    <row r="1128" spans="1:14" hidden="1">
      <c r="A1128" s="100" t="s">
        <v>862</v>
      </c>
      <c r="B1128" s="101" t="s">
        <v>1766</v>
      </c>
      <c r="C1128" s="99" t="s">
        <v>1767</v>
      </c>
      <c r="D1128" s="38"/>
      <c r="E1128" s="42">
        <v>1</v>
      </c>
      <c r="F1128" s="9"/>
      <c r="G1128" s="8">
        <f t="shared" si="44"/>
        <v>2.1813750000000001</v>
      </c>
      <c r="H1128" s="188">
        <v>2.0775000000000001</v>
      </c>
      <c r="I1128" s="19">
        <f t="shared" si="45"/>
        <v>0</v>
      </c>
      <c r="L1128" s="131"/>
      <c r="M1128" s="131"/>
      <c r="N1128" s="131"/>
    </row>
    <row r="1129" spans="1:14" hidden="1">
      <c r="A1129" s="100" t="s">
        <v>862</v>
      </c>
      <c r="B1129" s="101" t="s">
        <v>1768</v>
      </c>
      <c r="C1129" s="99" t="s">
        <v>1769</v>
      </c>
      <c r="D1129" s="38"/>
      <c r="E1129" s="42">
        <v>1</v>
      </c>
      <c r="F1129" s="9"/>
      <c r="G1129" s="8">
        <f t="shared" si="44"/>
        <v>2.1813750000000001</v>
      </c>
      <c r="H1129" s="188">
        <v>2.0775000000000001</v>
      </c>
      <c r="I1129" s="19">
        <f t="shared" si="45"/>
        <v>0</v>
      </c>
      <c r="L1129" s="131"/>
      <c r="M1129" s="131"/>
      <c r="N1129" s="131"/>
    </row>
    <row r="1130" spans="1:14" hidden="1">
      <c r="A1130" s="100" t="s">
        <v>862</v>
      </c>
      <c r="B1130" s="101" t="s">
        <v>1770</v>
      </c>
      <c r="C1130" s="99" t="s">
        <v>1771</v>
      </c>
      <c r="D1130" s="38"/>
      <c r="E1130" s="42">
        <v>1</v>
      </c>
      <c r="F1130" s="9"/>
      <c r="G1130" s="8">
        <f t="shared" si="44"/>
        <v>2.1813750000000001</v>
      </c>
      <c r="H1130" s="188">
        <v>2.0775000000000001</v>
      </c>
      <c r="I1130" s="19">
        <f t="shared" si="45"/>
        <v>0</v>
      </c>
      <c r="L1130" s="131"/>
      <c r="M1130" s="131"/>
      <c r="N1130" s="131"/>
    </row>
    <row r="1131" spans="1:14" hidden="1">
      <c r="A1131" s="100" t="s">
        <v>862</v>
      </c>
      <c r="B1131" s="101" t="s">
        <v>1772</v>
      </c>
      <c r="C1131" s="99" t="s">
        <v>1773</v>
      </c>
      <c r="D1131" s="38"/>
      <c r="E1131" s="42">
        <v>1</v>
      </c>
      <c r="F1131" s="9"/>
      <c r="G1131" s="8">
        <f t="shared" si="44"/>
        <v>2.1813750000000001</v>
      </c>
      <c r="H1131" s="188">
        <v>2.0775000000000001</v>
      </c>
      <c r="I1131" s="19">
        <f t="shared" si="45"/>
        <v>0</v>
      </c>
      <c r="L1131" s="131"/>
      <c r="M1131" s="131"/>
      <c r="N1131" s="131"/>
    </row>
    <row r="1132" spans="1:14" hidden="1">
      <c r="A1132" s="100" t="s">
        <v>862</v>
      </c>
      <c r="B1132" s="101" t="s">
        <v>1774</v>
      </c>
      <c r="C1132" s="99" t="s">
        <v>1775</v>
      </c>
      <c r="D1132" s="38"/>
      <c r="E1132" s="42">
        <v>1</v>
      </c>
      <c r="F1132" s="9"/>
      <c r="G1132" s="8">
        <f t="shared" si="44"/>
        <v>2.1813750000000001</v>
      </c>
      <c r="H1132" s="188">
        <v>2.0775000000000001</v>
      </c>
      <c r="I1132" s="19">
        <f t="shared" si="45"/>
        <v>0</v>
      </c>
      <c r="L1132" s="131"/>
      <c r="M1132" s="131"/>
      <c r="N1132" s="131"/>
    </row>
    <row r="1133" spans="1:14" hidden="1">
      <c r="A1133" s="100" t="s">
        <v>862</v>
      </c>
      <c r="B1133" s="101" t="s">
        <v>1776</v>
      </c>
      <c r="C1133" s="99" t="s">
        <v>1777</v>
      </c>
      <c r="D1133" s="38"/>
      <c r="E1133" s="42">
        <v>1</v>
      </c>
      <c r="F1133" s="9"/>
      <c r="G1133" s="8">
        <f t="shared" si="44"/>
        <v>2.1813750000000001</v>
      </c>
      <c r="H1133" s="188">
        <v>2.0775000000000001</v>
      </c>
      <c r="I1133" s="19">
        <f t="shared" si="45"/>
        <v>0</v>
      </c>
      <c r="L1133" s="131"/>
      <c r="M1133" s="131"/>
      <c r="N1133" s="131"/>
    </row>
    <row r="1134" spans="1:14" hidden="1">
      <c r="A1134" s="100" t="s">
        <v>862</v>
      </c>
      <c r="B1134" s="101" t="s">
        <v>1778</v>
      </c>
      <c r="C1134" s="99" t="s">
        <v>1779</v>
      </c>
      <c r="D1134" s="38"/>
      <c r="E1134" s="42">
        <v>1</v>
      </c>
      <c r="F1134" s="9"/>
      <c r="G1134" s="8">
        <f t="shared" si="44"/>
        <v>2.1813750000000001</v>
      </c>
      <c r="H1134" s="188">
        <v>2.0775000000000001</v>
      </c>
      <c r="I1134" s="19">
        <f t="shared" si="45"/>
        <v>0</v>
      </c>
      <c r="L1134" s="131"/>
      <c r="M1134" s="131"/>
      <c r="N1134" s="131"/>
    </row>
    <row r="1135" spans="1:14" hidden="1">
      <c r="A1135" s="100" t="s">
        <v>862</v>
      </c>
      <c r="B1135" s="101" t="s">
        <v>1780</v>
      </c>
      <c r="C1135" s="99" t="s">
        <v>1781</v>
      </c>
      <c r="D1135" s="38"/>
      <c r="E1135" s="42">
        <v>1</v>
      </c>
      <c r="F1135" s="9"/>
      <c r="G1135" s="8">
        <f t="shared" si="44"/>
        <v>2.1813750000000001</v>
      </c>
      <c r="H1135" s="188">
        <v>2.0775000000000001</v>
      </c>
      <c r="I1135" s="19">
        <f t="shared" si="45"/>
        <v>0</v>
      </c>
      <c r="L1135" s="131"/>
      <c r="M1135" s="131"/>
      <c r="N1135" s="131"/>
    </row>
    <row r="1136" spans="1:14" hidden="1">
      <c r="A1136" s="100" t="s">
        <v>862</v>
      </c>
      <c r="B1136" s="101" t="s">
        <v>1782</v>
      </c>
      <c r="C1136" s="99" t="s">
        <v>1783</v>
      </c>
      <c r="D1136" s="38"/>
      <c r="E1136" s="42">
        <v>1</v>
      </c>
      <c r="F1136" s="9"/>
      <c r="G1136" s="8">
        <f t="shared" si="44"/>
        <v>2.1813750000000001</v>
      </c>
      <c r="H1136" s="188">
        <v>2.0775000000000001</v>
      </c>
      <c r="I1136" s="19">
        <f t="shared" si="45"/>
        <v>0</v>
      </c>
      <c r="L1136" s="131"/>
      <c r="M1136" s="131"/>
      <c r="N1136" s="131"/>
    </row>
    <row r="1137" spans="1:14" hidden="1">
      <c r="A1137" s="100" t="s">
        <v>862</v>
      </c>
      <c r="B1137" s="101" t="s">
        <v>1784</v>
      </c>
      <c r="C1137" s="99" t="s">
        <v>1785</v>
      </c>
      <c r="D1137" s="38"/>
      <c r="E1137" s="42">
        <v>1</v>
      </c>
      <c r="F1137" s="9"/>
      <c r="G1137" s="8">
        <f t="shared" si="44"/>
        <v>2.1813750000000001</v>
      </c>
      <c r="H1137" s="188">
        <v>2.0775000000000001</v>
      </c>
      <c r="I1137" s="19">
        <f t="shared" si="45"/>
        <v>0</v>
      </c>
      <c r="L1137" s="131"/>
      <c r="M1137" s="131"/>
      <c r="N1137" s="131"/>
    </row>
    <row r="1138" spans="1:14" hidden="1">
      <c r="A1138" s="100" t="s">
        <v>862</v>
      </c>
      <c r="B1138" s="101" t="s">
        <v>1786</v>
      </c>
      <c r="C1138" s="99" t="s">
        <v>1787</v>
      </c>
      <c r="D1138" s="38"/>
      <c r="E1138" s="42">
        <v>1</v>
      </c>
      <c r="F1138" s="9"/>
      <c r="G1138" s="8">
        <f t="shared" si="44"/>
        <v>2.1813750000000001</v>
      </c>
      <c r="H1138" s="188">
        <v>2.0775000000000001</v>
      </c>
      <c r="I1138" s="19">
        <f t="shared" si="45"/>
        <v>0</v>
      </c>
      <c r="L1138" s="131"/>
      <c r="M1138" s="131"/>
      <c r="N1138" s="131"/>
    </row>
    <row r="1139" spans="1:14" hidden="1">
      <c r="A1139" s="100" t="s">
        <v>862</v>
      </c>
      <c r="B1139" s="101" t="s">
        <v>1788</v>
      </c>
      <c r="C1139" s="99" t="s">
        <v>1789</v>
      </c>
      <c r="D1139" s="38"/>
      <c r="E1139" s="42">
        <v>1</v>
      </c>
      <c r="F1139" s="9"/>
      <c r="G1139" s="8">
        <f t="shared" si="44"/>
        <v>2.1813750000000001</v>
      </c>
      <c r="H1139" s="188">
        <v>2.0775000000000001</v>
      </c>
      <c r="I1139" s="19">
        <f t="shared" si="45"/>
        <v>0</v>
      </c>
      <c r="L1139" s="131"/>
      <c r="M1139" s="131"/>
      <c r="N1139" s="131"/>
    </row>
    <row r="1140" spans="1:14" hidden="1">
      <c r="A1140" s="100" t="s">
        <v>862</v>
      </c>
      <c r="B1140" s="101" t="s">
        <v>1790</v>
      </c>
      <c r="C1140" s="103" t="s">
        <v>1791</v>
      </c>
      <c r="D1140" s="38"/>
      <c r="E1140" s="42">
        <v>1</v>
      </c>
      <c r="F1140" s="9"/>
      <c r="G1140" s="8">
        <f t="shared" si="44"/>
        <v>2.1813750000000001</v>
      </c>
      <c r="H1140" s="188">
        <v>2.0775000000000001</v>
      </c>
      <c r="I1140" s="19">
        <f t="shared" si="45"/>
        <v>0</v>
      </c>
      <c r="L1140" s="131"/>
      <c r="M1140" s="131"/>
      <c r="N1140" s="131"/>
    </row>
    <row r="1141" spans="1:14" hidden="1">
      <c r="A1141" s="100" t="s">
        <v>862</v>
      </c>
      <c r="B1141" s="101" t="s">
        <v>1792</v>
      </c>
      <c r="C1141" s="99" t="s">
        <v>1793</v>
      </c>
      <c r="D1141" s="38"/>
      <c r="E1141" s="42">
        <v>1</v>
      </c>
      <c r="F1141" s="9"/>
      <c r="G1141" s="8">
        <f t="shared" si="44"/>
        <v>2.1813750000000001</v>
      </c>
      <c r="H1141" s="188">
        <v>2.0775000000000001</v>
      </c>
      <c r="I1141" s="19">
        <f t="shared" si="45"/>
        <v>0</v>
      </c>
      <c r="L1141" s="131"/>
      <c r="M1141" s="131"/>
      <c r="N1141" s="131"/>
    </row>
    <row r="1142" spans="1:14" hidden="1">
      <c r="A1142" s="100" t="s">
        <v>862</v>
      </c>
      <c r="B1142" s="101" t="s">
        <v>1794</v>
      </c>
      <c r="C1142" s="99" t="s">
        <v>1795</v>
      </c>
      <c r="D1142" s="38"/>
      <c r="E1142" s="42">
        <v>1</v>
      </c>
      <c r="F1142" s="9"/>
      <c r="G1142" s="8">
        <f t="shared" si="44"/>
        <v>2.1813750000000001</v>
      </c>
      <c r="H1142" s="188">
        <v>2.0775000000000001</v>
      </c>
      <c r="I1142" s="19">
        <f t="shared" si="45"/>
        <v>0</v>
      </c>
      <c r="L1142" s="131"/>
      <c r="M1142" s="131"/>
      <c r="N1142" s="131"/>
    </row>
    <row r="1143" spans="1:14" hidden="1">
      <c r="A1143" s="100" t="s">
        <v>862</v>
      </c>
      <c r="B1143" s="101" t="s">
        <v>1796</v>
      </c>
      <c r="C1143" s="99" t="s">
        <v>1797</v>
      </c>
      <c r="D1143" s="38"/>
      <c r="E1143" s="42">
        <v>1</v>
      </c>
      <c r="F1143" s="9"/>
      <c r="G1143" s="8">
        <f t="shared" si="44"/>
        <v>2.1813750000000001</v>
      </c>
      <c r="H1143" s="188">
        <v>2.0775000000000001</v>
      </c>
      <c r="I1143" s="19">
        <f t="shared" si="45"/>
        <v>0</v>
      </c>
      <c r="L1143" s="131"/>
      <c r="M1143" s="131"/>
      <c r="N1143" s="131"/>
    </row>
    <row r="1144" spans="1:14" hidden="1">
      <c r="A1144" s="100" t="s">
        <v>862</v>
      </c>
      <c r="B1144" s="101" t="s">
        <v>1798</v>
      </c>
      <c r="C1144" s="99" t="s">
        <v>1799</v>
      </c>
      <c r="D1144" s="38"/>
      <c r="E1144" s="42">
        <v>1</v>
      </c>
      <c r="F1144" s="9"/>
      <c r="G1144" s="8">
        <f t="shared" si="44"/>
        <v>2.1813750000000001</v>
      </c>
      <c r="H1144" s="188">
        <v>2.0775000000000001</v>
      </c>
      <c r="I1144" s="19">
        <f t="shared" si="45"/>
        <v>0</v>
      </c>
      <c r="L1144" s="131"/>
      <c r="M1144" s="131"/>
      <c r="N1144" s="131"/>
    </row>
    <row r="1145" spans="1:14" hidden="1">
      <c r="A1145" s="100" t="s">
        <v>862</v>
      </c>
      <c r="B1145" s="101" t="s">
        <v>1800</v>
      </c>
      <c r="C1145" s="99" t="s">
        <v>1801</v>
      </c>
      <c r="D1145" s="38"/>
      <c r="E1145" s="42">
        <v>1</v>
      </c>
      <c r="F1145" s="9"/>
      <c r="G1145" s="8">
        <f t="shared" si="44"/>
        <v>2.1813750000000001</v>
      </c>
      <c r="H1145" s="188">
        <v>2.0775000000000001</v>
      </c>
      <c r="I1145" s="19">
        <f t="shared" si="45"/>
        <v>0</v>
      </c>
      <c r="L1145" s="131"/>
      <c r="M1145" s="131"/>
      <c r="N1145" s="131"/>
    </row>
    <row r="1146" spans="1:14" hidden="1">
      <c r="A1146" s="100" t="s">
        <v>862</v>
      </c>
      <c r="B1146" s="101" t="s">
        <v>1802</v>
      </c>
      <c r="C1146" s="99" t="s">
        <v>1803</v>
      </c>
      <c r="D1146" s="38"/>
      <c r="E1146" s="42">
        <v>1</v>
      </c>
      <c r="F1146" s="9"/>
      <c r="G1146" s="8">
        <f t="shared" si="44"/>
        <v>2.1813750000000001</v>
      </c>
      <c r="H1146" s="188">
        <v>2.0775000000000001</v>
      </c>
      <c r="I1146" s="19">
        <f t="shared" si="45"/>
        <v>0</v>
      </c>
      <c r="L1146" s="131"/>
      <c r="M1146" s="131"/>
      <c r="N1146" s="131"/>
    </row>
    <row r="1147" spans="1:14" hidden="1">
      <c r="A1147" s="100" t="s">
        <v>862</v>
      </c>
      <c r="B1147" s="101" t="s">
        <v>1804</v>
      </c>
      <c r="C1147" s="99" t="s">
        <v>1805</v>
      </c>
      <c r="D1147" s="38"/>
      <c r="E1147" s="42">
        <v>1</v>
      </c>
      <c r="F1147" s="9"/>
      <c r="G1147" s="8">
        <f t="shared" si="44"/>
        <v>2.1813750000000001</v>
      </c>
      <c r="H1147" s="188">
        <v>2.0775000000000001</v>
      </c>
      <c r="I1147" s="19">
        <f t="shared" si="45"/>
        <v>0</v>
      </c>
      <c r="L1147" s="131"/>
      <c r="M1147" s="131"/>
      <c r="N1147" s="131"/>
    </row>
    <row r="1148" spans="1:14" hidden="1">
      <c r="A1148" s="100" t="s">
        <v>862</v>
      </c>
      <c r="B1148" s="101" t="s">
        <v>1806</v>
      </c>
      <c r="C1148" s="99" t="s">
        <v>1807</v>
      </c>
      <c r="D1148" s="38"/>
      <c r="E1148" s="42">
        <v>1</v>
      </c>
      <c r="F1148" s="9"/>
      <c r="G1148" s="8">
        <f t="shared" si="44"/>
        <v>2.1813750000000001</v>
      </c>
      <c r="H1148" s="188">
        <v>2.0775000000000001</v>
      </c>
      <c r="I1148" s="19">
        <f t="shared" si="45"/>
        <v>0</v>
      </c>
      <c r="L1148" s="131"/>
      <c r="M1148" s="131"/>
      <c r="N1148" s="131"/>
    </row>
    <row r="1149" spans="1:14" hidden="1">
      <c r="A1149" s="100" t="s">
        <v>862</v>
      </c>
      <c r="B1149" s="101" t="s">
        <v>1808</v>
      </c>
      <c r="C1149" s="99" t="s">
        <v>1809</v>
      </c>
      <c r="D1149" s="38"/>
      <c r="E1149" s="42">
        <v>1</v>
      </c>
      <c r="F1149" s="9"/>
      <c r="G1149" s="8">
        <f t="shared" si="44"/>
        <v>2.1813750000000001</v>
      </c>
      <c r="H1149" s="188">
        <v>2.0775000000000001</v>
      </c>
      <c r="I1149" s="19">
        <f t="shared" si="45"/>
        <v>0</v>
      </c>
      <c r="L1149" s="131"/>
      <c r="M1149" s="131"/>
      <c r="N1149" s="131"/>
    </row>
    <row r="1150" spans="1:14" hidden="1">
      <c r="A1150" s="100" t="s">
        <v>862</v>
      </c>
      <c r="B1150" s="101" t="s">
        <v>1810</v>
      </c>
      <c r="C1150" s="99" t="s">
        <v>1811</v>
      </c>
      <c r="D1150" s="38"/>
      <c r="E1150" s="42">
        <v>1</v>
      </c>
      <c r="F1150" s="9"/>
      <c r="G1150" s="8">
        <f t="shared" si="44"/>
        <v>2.1813750000000001</v>
      </c>
      <c r="H1150" s="188">
        <v>2.0775000000000001</v>
      </c>
      <c r="I1150" s="19">
        <f t="shared" si="45"/>
        <v>0</v>
      </c>
      <c r="L1150" s="131"/>
      <c r="M1150" s="131"/>
      <c r="N1150" s="131"/>
    </row>
    <row r="1151" spans="1:14" hidden="1">
      <c r="A1151" s="100" t="s">
        <v>862</v>
      </c>
      <c r="B1151" s="101" t="s">
        <v>1812</v>
      </c>
      <c r="C1151" s="99" t="s">
        <v>1813</v>
      </c>
      <c r="D1151" s="38"/>
      <c r="E1151" s="42">
        <v>1</v>
      </c>
      <c r="F1151" s="9"/>
      <c r="G1151" s="8">
        <f t="shared" si="44"/>
        <v>2.1813750000000001</v>
      </c>
      <c r="H1151" s="188">
        <v>2.0775000000000001</v>
      </c>
      <c r="I1151" s="19">
        <f t="shared" si="45"/>
        <v>0</v>
      </c>
      <c r="L1151" s="131"/>
      <c r="M1151" s="131"/>
      <c r="N1151" s="131"/>
    </row>
    <row r="1152" spans="1:14" hidden="1">
      <c r="A1152" s="100" t="s">
        <v>862</v>
      </c>
      <c r="B1152" s="101" t="s">
        <v>1814</v>
      </c>
      <c r="C1152" s="99" t="s">
        <v>1815</v>
      </c>
      <c r="D1152" s="38"/>
      <c r="E1152" s="42">
        <v>1</v>
      </c>
      <c r="F1152" s="9"/>
      <c r="G1152" s="8">
        <f t="shared" si="44"/>
        <v>2.1813750000000001</v>
      </c>
      <c r="H1152" s="188">
        <v>2.0775000000000001</v>
      </c>
      <c r="I1152" s="19">
        <f t="shared" si="45"/>
        <v>0</v>
      </c>
      <c r="L1152" s="131"/>
      <c r="M1152" s="131"/>
      <c r="N1152" s="131"/>
    </row>
    <row r="1153" spans="1:14" hidden="1">
      <c r="A1153" s="100" t="s">
        <v>862</v>
      </c>
      <c r="B1153" s="101" t="s">
        <v>1816</v>
      </c>
      <c r="C1153" s="99" t="s">
        <v>1817</v>
      </c>
      <c r="D1153" s="38"/>
      <c r="E1153" s="42">
        <v>1</v>
      </c>
      <c r="F1153" s="9"/>
      <c r="G1153" s="8">
        <f t="shared" si="44"/>
        <v>2.1813750000000001</v>
      </c>
      <c r="H1153" s="188">
        <v>2.0775000000000001</v>
      </c>
      <c r="I1153" s="19">
        <f t="shared" si="45"/>
        <v>0</v>
      </c>
      <c r="L1153" s="131"/>
      <c r="M1153" s="131"/>
      <c r="N1153" s="131"/>
    </row>
    <row r="1154" spans="1:14" hidden="1">
      <c r="A1154" s="100" t="s">
        <v>862</v>
      </c>
      <c r="B1154" s="101" t="s">
        <v>1818</v>
      </c>
      <c r="C1154" s="99" t="s">
        <v>1819</v>
      </c>
      <c r="D1154" s="38"/>
      <c r="E1154" s="42">
        <v>1</v>
      </c>
      <c r="F1154" s="9"/>
      <c r="G1154" s="8">
        <f t="shared" si="44"/>
        <v>2.1813750000000001</v>
      </c>
      <c r="H1154" s="188">
        <v>2.0775000000000001</v>
      </c>
      <c r="I1154" s="19">
        <f t="shared" si="45"/>
        <v>0</v>
      </c>
      <c r="L1154" s="131"/>
      <c r="M1154" s="131"/>
      <c r="N1154" s="131"/>
    </row>
    <row r="1155" spans="1:14" hidden="1">
      <c r="A1155" s="100" t="s">
        <v>862</v>
      </c>
      <c r="B1155" s="102" t="s">
        <v>1820</v>
      </c>
      <c r="C1155" s="103" t="s">
        <v>1821</v>
      </c>
      <c r="D1155" s="38"/>
      <c r="E1155" s="42">
        <v>1</v>
      </c>
      <c r="F1155" s="9"/>
      <c r="G1155" s="8">
        <f t="shared" si="44"/>
        <v>2.1813750000000001</v>
      </c>
      <c r="H1155" s="188">
        <v>2.0775000000000001</v>
      </c>
      <c r="I1155" s="19">
        <f t="shared" si="45"/>
        <v>0</v>
      </c>
      <c r="L1155" s="131"/>
      <c r="M1155" s="131"/>
      <c r="N1155" s="131"/>
    </row>
    <row r="1156" spans="1:14" hidden="1">
      <c r="A1156" s="100" t="s">
        <v>862</v>
      </c>
      <c r="B1156" s="101" t="s">
        <v>1822</v>
      </c>
      <c r="C1156" s="99" t="s">
        <v>1823</v>
      </c>
      <c r="D1156" s="38"/>
      <c r="E1156" s="42">
        <v>1</v>
      </c>
      <c r="F1156" s="9"/>
      <c r="G1156" s="8">
        <f t="shared" si="44"/>
        <v>2.1813750000000001</v>
      </c>
      <c r="H1156" s="188">
        <v>2.0775000000000001</v>
      </c>
      <c r="I1156" s="19">
        <f t="shared" si="45"/>
        <v>0</v>
      </c>
      <c r="L1156" s="131"/>
      <c r="M1156" s="131"/>
      <c r="N1156" s="131"/>
    </row>
    <row r="1157" spans="1:14" hidden="1">
      <c r="A1157" s="100" t="s">
        <v>862</v>
      </c>
      <c r="B1157" s="101" t="s">
        <v>1824</v>
      </c>
      <c r="C1157" s="99" t="s">
        <v>1825</v>
      </c>
      <c r="D1157" s="38"/>
      <c r="E1157" s="42">
        <v>1</v>
      </c>
      <c r="F1157" s="9"/>
      <c r="G1157" s="8">
        <f t="shared" si="44"/>
        <v>2.1813750000000001</v>
      </c>
      <c r="H1157" s="188">
        <v>2.0775000000000001</v>
      </c>
      <c r="I1157" s="19">
        <f t="shared" si="45"/>
        <v>0</v>
      </c>
      <c r="L1157" s="131"/>
      <c r="M1157" s="131"/>
      <c r="N1157" s="131"/>
    </row>
    <row r="1158" spans="1:14" hidden="1">
      <c r="A1158" s="100" t="s">
        <v>862</v>
      </c>
      <c r="B1158" s="101" t="s">
        <v>1826</v>
      </c>
      <c r="C1158" s="99" t="s">
        <v>1827</v>
      </c>
      <c r="D1158" s="38"/>
      <c r="E1158" s="42">
        <v>1</v>
      </c>
      <c r="F1158" s="9"/>
      <c r="G1158" s="8">
        <f t="shared" si="44"/>
        <v>2.1813750000000001</v>
      </c>
      <c r="H1158" s="188">
        <v>2.0775000000000001</v>
      </c>
      <c r="I1158" s="19">
        <f t="shared" si="45"/>
        <v>0</v>
      </c>
      <c r="L1158" s="131"/>
      <c r="M1158" s="131"/>
      <c r="N1158" s="131"/>
    </row>
    <row r="1159" spans="1:14" hidden="1">
      <c r="A1159" s="100" t="s">
        <v>862</v>
      </c>
      <c r="B1159" s="101" t="s">
        <v>1828</v>
      </c>
      <c r="C1159" s="99" t="s">
        <v>1829</v>
      </c>
      <c r="D1159" s="38"/>
      <c r="E1159" s="42">
        <v>1</v>
      </c>
      <c r="F1159" s="9"/>
      <c r="G1159" s="8">
        <f t="shared" si="44"/>
        <v>2.1813750000000001</v>
      </c>
      <c r="H1159" s="188">
        <v>2.0775000000000001</v>
      </c>
      <c r="I1159" s="19">
        <f t="shared" si="45"/>
        <v>0</v>
      </c>
      <c r="L1159" s="131"/>
      <c r="M1159" s="131"/>
      <c r="N1159" s="131"/>
    </row>
    <row r="1160" spans="1:14" hidden="1">
      <c r="A1160" s="100" t="s">
        <v>862</v>
      </c>
      <c r="B1160" s="101" t="s">
        <v>1830</v>
      </c>
      <c r="C1160" s="99" t="s">
        <v>1831</v>
      </c>
      <c r="D1160" s="38"/>
      <c r="E1160" s="42">
        <v>1</v>
      </c>
      <c r="F1160" s="9"/>
      <c r="G1160" s="8">
        <f t="shared" si="44"/>
        <v>2.1813750000000001</v>
      </c>
      <c r="H1160" s="188">
        <v>2.0775000000000001</v>
      </c>
      <c r="I1160" s="19">
        <f t="shared" si="45"/>
        <v>0</v>
      </c>
      <c r="L1160" s="131"/>
      <c r="M1160" s="131"/>
      <c r="N1160" s="131"/>
    </row>
    <row r="1161" spans="1:14" hidden="1">
      <c r="A1161" s="100" t="s">
        <v>862</v>
      </c>
      <c r="B1161" s="101" t="s">
        <v>1832</v>
      </c>
      <c r="C1161" s="99" t="s">
        <v>1833</v>
      </c>
      <c r="D1161" s="38"/>
      <c r="E1161" s="42">
        <v>1</v>
      </c>
      <c r="F1161" s="9"/>
      <c r="G1161" s="8">
        <f t="shared" si="44"/>
        <v>2.1813750000000001</v>
      </c>
      <c r="H1161" s="188">
        <v>2.0775000000000001</v>
      </c>
      <c r="I1161" s="19">
        <f t="shared" si="45"/>
        <v>0</v>
      </c>
      <c r="L1161" s="131"/>
      <c r="M1161" s="131"/>
      <c r="N1161" s="131"/>
    </row>
    <row r="1162" spans="1:14" hidden="1">
      <c r="A1162" s="100" t="s">
        <v>862</v>
      </c>
      <c r="B1162" s="101" t="s">
        <v>1834</v>
      </c>
      <c r="C1162" s="99" t="s">
        <v>1835</v>
      </c>
      <c r="D1162" s="38"/>
      <c r="E1162" s="42">
        <v>1</v>
      </c>
      <c r="F1162" s="9"/>
      <c r="G1162" s="8">
        <f t="shared" si="44"/>
        <v>2.1813750000000001</v>
      </c>
      <c r="H1162" s="188">
        <v>2.0775000000000001</v>
      </c>
      <c r="I1162" s="19">
        <f t="shared" si="45"/>
        <v>0</v>
      </c>
      <c r="L1162" s="131"/>
      <c r="M1162" s="131"/>
      <c r="N1162" s="131"/>
    </row>
    <row r="1163" spans="1:14" hidden="1">
      <c r="A1163" s="100" t="s">
        <v>862</v>
      </c>
      <c r="B1163" s="101" t="s">
        <v>1836</v>
      </c>
      <c r="C1163" s="99" t="s">
        <v>1837</v>
      </c>
      <c r="D1163" s="38"/>
      <c r="E1163" s="42">
        <v>1</v>
      </c>
      <c r="F1163" s="9"/>
      <c r="G1163" s="8">
        <f t="shared" si="44"/>
        <v>2.1813750000000001</v>
      </c>
      <c r="H1163" s="188">
        <v>2.0775000000000001</v>
      </c>
      <c r="I1163" s="19">
        <f t="shared" si="45"/>
        <v>0</v>
      </c>
      <c r="L1163" s="131"/>
      <c r="M1163" s="131"/>
      <c r="N1163" s="131"/>
    </row>
    <row r="1164" spans="1:14" hidden="1">
      <c r="A1164" s="100" t="s">
        <v>862</v>
      </c>
      <c r="B1164" s="101" t="s">
        <v>1838</v>
      </c>
      <c r="C1164" s="99" t="s">
        <v>1839</v>
      </c>
      <c r="D1164" s="38"/>
      <c r="E1164" s="42">
        <v>1</v>
      </c>
      <c r="F1164" s="9"/>
      <c r="G1164" s="8">
        <f t="shared" si="44"/>
        <v>2.1813750000000001</v>
      </c>
      <c r="H1164" s="188">
        <v>2.0775000000000001</v>
      </c>
      <c r="I1164" s="19">
        <f t="shared" si="45"/>
        <v>0</v>
      </c>
      <c r="L1164" s="131"/>
      <c r="M1164" s="131"/>
      <c r="N1164" s="131"/>
    </row>
    <row r="1165" spans="1:14" hidden="1">
      <c r="A1165" s="100" t="s">
        <v>862</v>
      </c>
      <c r="B1165" s="101" t="s">
        <v>1840</v>
      </c>
      <c r="C1165" s="99" t="s">
        <v>1841</v>
      </c>
      <c r="D1165" s="38"/>
      <c r="E1165" s="42">
        <v>1</v>
      </c>
      <c r="F1165" s="9"/>
      <c r="G1165" s="8">
        <f t="shared" si="44"/>
        <v>2.1813750000000001</v>
      </c>
      <c r="H1165" s="188">
        <v>2.0775000000000001</v>
      </c>
      <c r="I1165" s="19">
        <f t="shared" si="45"/>
        <v>0</v>
      </c>
      <c r="L1165" s="131"/>
      <c r="M1165" s="131"/>
      <c r="N1165" s="131"/>
    </row>
    <row r="1166" spans="1:14" hidden="1">
      <c r="A1166" s="100" t="s">
        <v>862</v>
      </c>
      <c r="B1166" s="102" t="s">
        <v>1842</v>
      </c>
      <c r="C1166" s="103" t="s">
        <v>1843</v>
      </c>
      <c r="D1166" s="38"/>
      <c r="E1166" s="42">
        <v>1</v>
      </c>
      <c r="F1166" s="9"/>
      <c r="G1166" s="8">
        <f t="shared" si="44"/>
        <v>2.1813750000000001</v>
      </c>
      <c r="H1166" s="188">
        <v>2.0775000000000001</v>
      </c>
      <c r="I1166" s="19">
        <f t="shared" si="45"/>
        <v>0</v>
      </c>
      <c r="L1166" s="131"/>
      <c r="M1166" s="131"/>
      <c r="N1166" s="131"/>
    </row>
    <row r="1167" spans="1:14" hidden="1">
      <c r="A1167" s="100" t="s">
        <v>862</v>
      </c>
      <c r="B1167" s="101" t="s">
        <v>1844</v>
      </c>
      <c r="C1167" s="99" t="s">
        <v>1845</v>
      </c>
      <c r="D1167" s="38"/>
      <c r="E1167" s="42">
        <v>1</v>
      </c>
      <c r="F1167" s="9"/>
      <c r="G1167" s="8">
        <f t="shared" si="44"/>
        <v>2.1813750000000001</v>
      </c>
      <c r="H1167" s="188">
        <v>2.0775000000000001</v>
      </c>
      <c r="I1167" s="19">
        <f t="shared" si="45"/>
        <v>0</v>
      </c>
      <c r="L1167" s="131"/>
      <c r="M1167" s="131"/>
      <c r="N1167" s="131"/>
    </row>
    <row r="1168" spans="1:14" hidden="1">
      <c r="A1168" s="100" t="s">
        <v>862</v>
      </c>
      <c r="B1168" s="101" t="s">
        <v>1846</v>
      </c>
      <c r="C1168" s="99" t="s">
        <v>1847</v>
      </c>
      <c r="D1168" s="38"/>
      <c r="E1168" s="42">
        <v>1</v>
      </c>
      <c r="F1168" s="9"/>
      <c r="G1168" s="8">
        <f t="shared" si="44"/>
        <v>2.1813750000000001</v>
      </c>
      <c r="H1168" s="188">
        <v>2.0775000000000001</v>
      </c>
      <c r="I1168" s="19">
        <f t="shared" si="45"/>
        <v>0</v>
      </c>
      <c r="L1168" s="131"/>
      <c r="M1168" s="131"/>
      <c r="N1168" s="131"/>
    </row>
    <row r="1169" spans="1:14" hidden="1">
      <c r="A1169" s="100" t="s">
        <v>862</v>
      </c>
      <c r="B1169" s="102" t="s">
        <v>1848</v>
      </c>
      <c r="C1169" s="103" t="s">
        <v>1849</v>
      </c>
      <c r="D1169" s="38"/>
      <c r="E1169" s="42">
        <v>1</v>
      </c>
      <c r="F1169" s="9"/>
      <c r="G1169" s="8">
        <f t="shared" si="44"/>
        <v>2.1813750000000001</v>
      </c>
      <c r="H1169" s="188">
        <v>2.0775000000000001</v>
      </c>
      <c r="I1169" s="19">
        <f t="shared" si="45"/>
        <v>0</v>
      </c>
      <c r="L1169" s="131"/>
      <c r="M1169" s="131"/>
      <c r="N1169" s="131"/>
    </row>
    <row r="1170" spans="1:14" hidden="1">
      <c r="A1170" s="100" t="s">
        <v>862</v>
      </c>
      <c r="B1170" s="102" t="s">
        <v>1850</v>
      </c>
      <c r="C1170" s="99" t="s">
        <v>1851</v>
      </c>
      <c r="D1170" s="38"/>
      <c r="E1170" s="42">
        <v>1</v>
      </c>
      <c r="F1170" s="9"/>
      <c r="G1170" s="8">
        <f t="shared" si="44"/>
        <v>2.1813750000000001</v>
      </c>
      <c r="H1170" s="188">
        <v>2.0775000000000001</v>
      </c>
      <c r="I1170" s="19">
        <f t="shared" si="45"/>
        <v>0</v>
      </c>
      <c r="L1170" s="131"/>
      <c r="M1170" s="131"/>
      <c r="N1170" s="131"/>
    </row>
    <row r="1171" spans="1:14" hidden="1">
      <c r="A1171" s="100" t="s">
        <v>862</v>
      </c>
      <c r="B1171" s="101" t="s">
        <v>1852</v>
      </c>
      <c r="C1171" s="99" t="s">
        <v>1853</v>
      </c>
      <c r="D1171" s="38"/>
      <c r="E1171" s="42">
        <v>1</v>
      </c>
      <c r="F1171" s="9"/>
      <c r="G1171" s="8">
        <f t="shared" si="44"/>
        <v>2.1813750000000001</v>
      </c>
      <c r="H1171" s="188">
        <v>2.0775000000000001</v>
      </c>
      <c r="I1171" s="19">
        <f t="shared" si="45"/>
        <v>0</v>
      </c>
      <c r="L1171" s="131"/>
      <c r="M1171" s="131"/>
      <c r="N1171" s="131"/>
    </row>
    <row r="1172" spans="1:14" hidden="1">
      <c r="A1172" s="100" t="s">
        <v>862</v>
      </c>
      <c r="B1172" s="101" t="s">
        <v>1854</v>
      </c>
      <c r="C1172" s="99" t="s">
        <v>1855</v>
      </c>
      <c r="D1172" s="38"/>
      <c r="E1172" s="42">
        <v>1</v>
      </c>
      <c r="F1172" s="9"/>
      <c r="G1172" s="8">
        <f t="shared" si="44"/>
        <v>2.1813750000000001</v>
      </c>
      <c r="H1172" s="188">
        <v>2.0775000000000001</v>
      </c>
      <c r="I1172" s="19">
        <f t="shared" si="45"/>
        <v>0</v>
      </c>
      <c r="L1172" s="131"/>
      <c r="M1172" s="131"/>
      <c r="N1172" s="131"/>
    </row>
    <row r="1173" spans="1:14" hidden="1">
      <c r="A1173" s="100" t="s">
        <v>862</v>
      </c>
      <c r="B1173" s="101" t="s">
        <v>1856</v>
      </c>
      <c r="C1173" s="99" t="s">
        <v>1857</v>
      </c>
      <c r="D1173" s="38"/>
      <c r="E1173" s="42">
        <v>1</v>
      </c>
      <c r="F1173" s="9"/>
      <c r="G1173" s="8">
        <f t="shared" si="44"/>
        <v>2.1813750000000001</v>
      </c>
      <c r="H1173" s="188">
        <v>2.0775000000000001</v>
      </c>
      <c r="I1173" s="19">
        <f t="shared" si="45"/>
        <v>0</v>
      </c>
      <c r="L1173" s="131"/>
      <c r="M1173" s="131"/>
      <c r="N1173" s="131"/>
    </row>
    <row r="1174" spans="1:14" hidden="1">
      <c r="A1174" s="100" t="s">
        <v>862</v>
      </c>
      <c r="B1174" s="101" t="s">
        <v>1858</v>
      </c>
      <c r="C1174" s="99" t="s">
        <v>1859</v>
      </c>
      <c r="D1174" s="38"/>
      <c r="E1174" s="42">
        <v>1</v>
      </c>
      <c r="F1174" s="9"/>
      <c r="G1174" s="8">
        <f t="shared" si="44"/>
        <v>2.1813750000000001</v>
      </c>
      <c r="H1174" s="188">
        <v>2.0775000000000001</v>
      </c>
      <c r="I1174" s="19">
        <f t="shared" si="45"/>
        <v>0</v>
      </c>
      <c r="L1174" s="131"/>
      <c r="M1174" s="131"/>
      <c r="N1174" s="131"/>
    </row>
    <row r="1175" spans="1:14" hidden="1">
      <c r="A1175" s="100" t="s">
        <v>862</v>
      </c>
      <c r="B1175" s="102" t="s">
        <v>1860</v>
      </c>
      <c r="C1175" s="103" t="s">
        <v>1861</v>
      </c>
      <c r="D1175" s="38"/>
      <c r="E1175" s="42">
        <v>1</v>
      </c>
      <c r="F1175" s="9"/>
      <c r="G1175" s="8">
        <f t="shared" si="44"/>
        <v>2.1813750000000001</v>
      </c>
      <c r="H1175" s="188">
        <v>2.0775000000000001</v>
      </c>
      <c r="I1175" s="19">
        <f t="shared" si="45"/>
        <v>0</v>
      </c>
      <c r="L1175" s="131"/>
      <c r="M1175" s="131"/>
      <c r="N1175" s="131"/>
    </row>
    <row r="1176" spans="1:14" hidden="1">
      <c r="A1176" s="100" t="s">
        <v>862</v>
      </c>
      <c r="B1176" s="101" t="s">
        <v>1862</v>
      </c>
      <c r="C1176" s="99" t="s">
        <v>1863</v>
      </c>
      <c r="D1176" s="38"/>
      <c r="E1176" s="42">
        <v>1</v>
      </c>
      <c r="F1176" s="9"/>
      <c r="G1176" s="8">
        <f t="shared" si="44"/>
        <v>2.1813750000000001</v>
      </c>
      <c r="H1176" s="188">
        <v>2.0775000000000001</v>
      </c>
      <c r="I1176" s="19">
        <f t="shared" si="45"/>
        <v>0</v>
      </c>
      <c r="L1176" s="131"/>
      <c r="M1176" s="131"/>
      <c r="N1176" s="131"/>
    </row>
    <row r="1177" spans="1:14" hidden="1">
      <c r="A1177" s="100" t="s">
        <v>862</v>
      </c>
      <c r="B1177" s="101" t="s">
        <v>1864</v>
      </c>
      <c r="C1177" s="99" t="s">
        <v>1865</v>
      </c>
      <c r="D1177" s="38"/>
      <c r="E1177" s="42">
        <v>1</v>
      </c>
      <c r="F1177" s="9"/>
      <c r="G1177" s="8">
        <f t="shared" si="44"/>
        <v>2.1813750000000001</v>
      </c>
      <c r="H1177" s="188">
        <v>2.0775000000000001</v>
      </c>
      <c r="I1177" s="19">
        <f t="shared" si="45"/>
        <v>0</v>
      </c>
      <c r="L1177" s="131"/>
      <c r="M1177" s="131"/>
      <c r="N1177" s="131"/>
    </row>
    <row r="1178" spans="1:14" hidden="1">
      <c r="A1178" s="100" t="s">
        <v>862</v>
      </c>
      <c r="B1178" s="101" t="s">
        <v>1866</v>
      </c>
      <c r="C1178" s="99" t="s">
        <v>1867</v>
      </c>
      <c r="D1178" s="38"/>
      <c r="E1178" s="42">
        <v>1</v>
      </c>
      <c r="F1178" s="9"/>
      <c r="G1178" s="8">
        <f t="shared" si="44"/>
        <v>2.1813750000000001</v>
      </c>
      <c r="H1178" s="188">
        <v>2.0775000000000001</v>
      </c>
      <c r="I1178" s="19">
        <f t="shared" si="45"/>
        <v>0</v>
      </c>
      <c r="L1178" s="131"/>
      <c r="M1178" s="131"/>
      <c r="N1178" s="131"/>
    </row>
    <row r="1179" spans="1:14" hidden="1">
      <c r="A1179" s="100" t="s">
        <v>862</v>
      </c>
      <c r="B1179" s="101" t="s">
        <v>1868</v>
      </c>
      <c r="C1179" s="99" t="s">
        <v>1869</v>
      </c>
      <c r="D1179" s="38"/>
      <c r="E1179" s="42">
        <v>1</v>
      </c>
      <c r="F1179" s="9"/>
      <c r="G1179" s="8">
        <f t="shared" si="44"/>
        <v>2.1813750000000001</v>
      </c>
      <c r="H1179" s="188">
        <v>2.0775000000000001</v>
      </c>
      <c r="I1179" s="19">
        <f t="shared" si="45"/>
        <v>0</v>
      </c>
      <c r="L1179" s="131"/>
      <c r="M1179" s="131"/>
      <c r="N1179" s="131"/>
    </row>
    <row r="1180" spans="1:14" hidden="1">
      <c r="A1180" s="100" t="s">
        <v>862</v>
      </c>
      <c r="B1180" s="101" t="s">
        <v>1870</v>
      </c>
      <c r="C1180" s="99" t="s">
        <v>1871</v>
      </c>
      <c r="D1180" s="38"/>
      <c r="E1180" s="42">
        <v>1</v>
      </c>
      <c r="F1180" s="9"/>
      <c r="G1180" s="8">
        <f t="shared" si="44"/>
        <v>2.1813750000000001</v>
      </c>
      <c r="H1180" s="188">
        <v>2.0775000000000001</v>
      </c>
      <c r="I1180" s="19">
        <f t="shared" si="45"/>
        <v>0</v>
      </c>
      <c r="L1180" s="131"/>
      <c r="M1180" s="131"/>
      <c r="N1180" s="131"/>
    </row>
    <row r="1181" spans="1:14" hidden="1">
      <c r="A1181" s="100" t="s">
        <v>862</v>
      </c>
      <c r="B1181" s="101" t="s">
        <v>1872</v>
      </c>
      <c r="C1181" s="99" t="s">
        <v>1873</v>
      </c>
      <c r="D1181" s="38"/>
      <c r="E1181" s="42">
        <v>1</v>
      </c>
      <c r="F1181" s="9"/>
      <c r="G1181" s="8">
        <f t="shared" si="44"/>
        <v>2.1813750000000001</v>
      </c>
      <c r="H1181" s="188">
        <v>2.0775000000000001</v>
      </c>
      <c r="I1181" s="19">
        <f t="shared" si="45"/>
        <v>0</v>
      </c>
      <c r="L1181" s="131"/>
      <c r="M1181" s="131"/>
      <c r="N1181" s="131"/>
    </row>
    <row r="1182" spans="1:14" hidden="1">
      <c r="A1182" s="100" t="s">
        <v>862</v>
      </c>
      <c r="B1182" s="101" t="s">
        <v>1874</v>
      </c>
      <c r="C1182" s="99" t="s">
        <v>1875</v>
      </c>
      <c r="D1182" s="38"/>
      <c r="E1182" s="42">
        <v>1</v>
      </c>
      <c r="F1182" s="9"/>
      <c r="G1182" s="8">
        <f t="shared" si="44"/>
        <v>2.1813750000000001</v>
      </c>
      <c r="H1182" s="188">
        <v>2.0775000000000001</v>
      </c>
      <c r="I1182" s="19">
        <f t="shared" si="45"/>
        <v>0</v>
      </c>
      <c r="L1182" s="131"/>
      <c r="M1182" s="131"/>
      <c r="N1182" s="131"/>
    </row>
    <row r="1183" spans="1:14" hidden="1">
      <c r="A1183" s="100" t="s">
        <v>862</v>
      </c>
      <c r="B1183" s="101" t="s">
        <v>1876</v>
      </c>
      <c r="C1183" s="99" t="s">
        <v>1877</v>
      </c>
      <c r="D1183" s="38"/>
      <c r="E1183" s="42">
        <v>1</v>
      </c>
      <c r="F1183" s="9"/>
      <c r="G1183" s="8">
        <f t="shared" si="44"/>
        <v>2.1813750000000001</v>
      </c>
      <c r="H1183" s="188">
        <v>2.0775000000000001</v>
      </c>
      <c r="I1183" s="19">
        <f t="shared" si="45"/>
        <v>0</v>
      </c>
      <c r="L1183" s="131"/>
      <c r="M1183" s="131"/>
      <c r="N1183" s="131"/>
    </row>
    <row r="1184" spans="1:14" hidden="1">
      <c r="A1184" s="100" t="s">
        <v>862</v>
      </c>
      <c r="B1184" s="101" t="s">
        <v>1878</v>
      </c>
      <c r="C1184" s="99" t="s">
        <v>1879</v>
      </c>
      <c r="D1184" s="38"/>
      <c r="E1184" s="42">
        <v>1</v>
      </c>
      <c r="F1184" s="9"/>
      <c r="G1184" s="8">
        <f t="shared" si="44"/>
        <v>2.1813750000000001</v>
      </c>
      <c r="H1184" s="188">
        <v>2.0775000000000001</v>
      </c>
      <c r="I1184" s="19">
        <f t="shared" si="45"/>
        <v>0</v>
      </c>
      <c r="L1184" s="131"/>
      <c r="M1184" s="131"/>
      <c r="N1184" s="131"/>
    </row>
    <row r="1185" spans="1:14" hidden="1">
      <c r="A1185" s="100" t="s">
        <v>862</v>
      </c>
      <c r="B1185" s="101" t="s">
        <v>1880</v>
      </c>
      <c r="C1185" s="99" t="s">
        <v>1881</v>
      </c>
      <c r="D1185" s="38"/>
      <c r="E1185" s="42">
        <v>1</v>
      </c>
      <c r="F1185" s="9"/>
      <c r="G1185" s="8">
        <f t="shared" si="44"/>
        <v>2.1813750000000001</v>
      </c>
      <c r="H1185" s="188">
        <v>2.0775000000000001</v>
      </c>
      <c r="I1185" s="19">
        <f t="shared" si="45"/>
        <v>0</v>
      </c>
      <c r="L1185" s="131"/>
      <c r="M1185" s="131"/>
      <c r="N1185" s="131"/>
    </row>
    <row r="1186" spans="1:14" hidden="1">
      <c r="A1186" s="100" t="s">
        <v>862</v>
      </c>
      <c r="B1186" s="101" t="s">
        <v>1882</v>
      </c>
      <c r="C1186" s="99" t="s">
        <v>1883</v>
      </c>
      <c r="D1186" s="38"/>
      <c r="E1186" s="42">
        <v>1</v>
      </c>
      <c r="F1186" s="9"/>
      <c r="G1186" s="8">
        <f t="shared" si="44"/>
        <v>2.1813750000000001</v>
      </c>
      <c r="H1186" s="188">
        <v>2.0775000000000001</v>
      </c>
      <c r="I1186" s="19">
        <f t="shared" si="45"/>
        <v>0</v>
      </c>
      <c r="L1186" s="131"/>
      <c r="M1186" s="131"/>
      <c r="N1186" s="131"/>
    </row>
    <row r="1187" spans="1:14" hidden="1">
      <c r="A1187" s="100" t="s">
        <v>862</v>
      </c>
      <c r="B1187" s="101" t="s">
        <v>1884</v>
      </c>
      <c r="C1187" s="99" t="s">
        <v>1885</v>
      </c>
      <c r="D1187" s="38"/>
      <c r="E1187" s="42">
        <v>1</v>
      </c>
      <c r="F1187" s="9"/>
      <c r="G1187" s="8">
        <f t="shared" si="44"/>
        <v>2.1813750000000001</v>
      </c>
      <c r="H1187" s="188">
        <v>2.0775000000000001</v>
      </c>
      <c r="I1187" s="19">
        <f t="shared" si="45"/>
        <v>0</v>
      </c>
      <c r="L1187" s="131"/>
      <c r="M1187" s="131"/>
      <c r="N1187" s="131"/>
    </row>
    <row r="1188" spans="1:14" hidden="1">
      <c r="A1188" s="100" t="s">
        <v>862</v>
      </c>
      <c r="B1188" s="101" t="s">
        <v>1886</v>
      </c>
      <c r="C1188" s="99" t="s">
        <v>1887</v>
      </c>
      <c r="D1188" s="38"/>
      <c r="E1188" s="42">
        <v>1</v>
      </c>
      <c r="F1188" s="9"/>
      <c r="G1188" s="8">
        <f t="shared" si="44"/>
        <v>2.1813750000000001</v>
      </c>
      <c r="H1188" s="188">
        <v>2.0775000000000001</v>
      </c>
      <c r="I1188" s="19">
        <f t="shared" si="45"/>
        <v>0</v>
      </c>
      <c r="L1188" s="131"/>
      <c r="M1188" s="131"/>
      <c r="N1188" s="131"/>
    </row>
    <row r="1189" spans="1:14" hidden="1">
      <c r="A1189" s="100" t="s">
        <v>862</v>
      </c>
      <c r="B1189" s="101" t="s">
        <v>1888</v>
      </c>
      <c r="C1189" s="99" t="s">
        <v>1889</v>
      </c>
      <c r="D1189" s="38"/>
      <c r="E1189" s="42">
        <v>1</v>
      </c>
      <c r="F1189" s="9"/>
      <c r="G1189" s="8">
        <f t="shared" ref="G1189:G1252" si="46">H1189+(H1189*5%)</f>
        <v>2.1813750000000001</v>
      </c>
      <c r="H1189" s="188">
        <v>2.0775000000000001</v>
      </c>
      <c r="I1189" s="19">
        <f t="shared" si="45"/>
        <v>0</v>
      </c>
      <c r="L1189" s="131"/>
      <c r="M1189" s="131"/>
      <c r="N1189" s="131"/>
    </row>
    <row r="1190" spans="1:14" hidden="1">
      <c r="A1190" s="100" t="s">
        <v>862</v>
      </c>
      <c r="B1190" s="101" t="s">
        <v>1890</v>
      </c>
      <c r="C1190" s="99" t="s">
        <v>1891</v>
      </c>
      <c r="D1190" s="38"/>
      <c r="E1190" s="42">
        <v>1</v>
      </c>
      <c r="F1190" s="9"/>
      <c r="G1190" s="8">
        <f t="shared" si="46"/>
        <v>2.1813750000000001</v>
      </c>
      <c r="H1190" s="188">
        <v>2.0775000000000001</v>
      </c>
      <c r="I1190" s="19">
        <f t="shared" ref="I1190:I1253" si="47">G1190*F1190</f>
        <v>0</v>
      </c>
      <c r="L1190" s="131"/>
      <c r="M1190" s="131"/>
      <c r="N1190" s="131"/>
    </row>
    <row r="1191" spans="1:14" hidden="1">
      <c r="A1191" s="100" t="s">
        <v>862</v>
      </c>
      <c r="B1191" s="101" t="s">
        <v>1892</v>
      </c>
      <c r="C1191" s="99" t="s">
        <v>1893</v>
      </c>
      <c r="D1191" s="38"/>
      <c r="E1191" s="42">
        <v>1</v>
      </c>
      <c r="F1191" s="9"/>
      <c r="G1191" s="8">
        <f t="shared" si="46"/>
        <v>2.1813750000000001</v>
      </c>
      <c r="H1191" s="188">
        <v>2.0775000000000001</v>
      </c>
      <c r="I1191" s="19">
        <f t="shared" si="47"/>
        <v>0</v>
      </c>
      <c r="L1191" s="131"/>
      <c r="M1191" s="131"/>
      <c r="N1191" s="131"/>
    </row>
    <row r="1192" spans="1:14" hidden="1">
      <c r="A1192" s="100" t="s">
        <v>862</v>
      </c>
      <c r="B1192" s="101" t="s">
        <v>1894</v>
      </c>
      <c r="C1192" s="99" t="s">
        <v>1895</v>
      </c>
      <c r="D1192" s="38"/>
      <c r="E1192" s="42">
        <v>1</v>
      </c>
      <c r="F1192" s="9"/>
      <c r="G1192" s="8">
        <f t="shared" si="46"/>
        <v>53.563124999999999</v>
      </c>
      <c r="H1192" s="188">
        <v>51.012500000000003</v>
      </c>
      <c r="I1192" s="19">
        <f t="shared" si="47"/>
        <v>0</v>
      </c>
      <c r="L1192" s="131"/>
      <c r="M1192" s="131"/>
      <c r="N1192" s="131"/>
    </row>
    <row r="1193" spans="1:14" hidden="1">
      <c r="A1193" s="100" t="s">
        <v>862</v>
      </c>
      <c r="B1193" s="101" t="s">
        <v>1896</v>
      </c>
      <c r="C1193" s="99" t="s">
        <v>1897</v>
      </c>
      <c r="D1193" s="38"/>
      <c r="E1193" s="42">
        <v>1</v>
      </c>
      <c r="F1193" s="9"/>
      <c r="G1193" s="8">
        <f t="shared" si="46"/>
        <v>2.1813750000000001</v>
      </c>
      <c r="H1193" s="188">
        <v>2.0775000000000001</v>
      </c>
      <c r="I1193" s="19">
        <f t="shared" si="47"/>
        <v>0</v>
      </c>
      <c r="L1193" s="131"/>
      <c r="M1193" s="131"/>
      <c r="N1193" s="131"/>
    </row>
    <row r="1194" spans="1:14" hidden="1">
      <c r="A1194" s="100" t="s">
        <v>862</v>
      </c>
      <c r="B1194" s="101" t="s">
        <v>1898</v>
      </c>
      <c r="C1194" s="99" t="s">
        <v>1899</v>
      </c>
      <c r="D1194" s="38"/>
      <c r="E1194" s="42">
        <v>1</v>
      </c>
      <c r="F1194" s="9"/>
      <c r="G1194" s="8">
        <f t="shared" si="46"/>
        <v>50.741250000000001</v>
      </c>
      <c r="H1194" s="188">
        <v>48.325000000000003</v>
      </c>
      <c r="I1194" s="19">
        <f t="shared" si="47"/>
        <v>0</v>
      </c>
      <c r="L1194" s="131"/>
      <c r="M1194" s="131"/>
      <c r="N1194" s="131"/>
    </row>
    <row r="1195" spans="1:14" hidden="1">
      <c r="A1195" s="100" t="s">
        <v>862</v>
      </c>
      <c r="B1195" s="101" t="s">
        <v>1900</v>
      </c>
      <c r="C1195" s="99" t="s">
        <v>1901</v>
      </c>
      <c r="D1195" s="38"/>
      <c r="E1195" s="42">
        <v>1</v>
      </c>
      <c r="F1195" s="9"/>
      <c r="G1195" s="8">
        <f t="shared" si="46"/>
        <v>65.469075000000004</v>
      </c>
      <c r="H1195" s="188">
        <v>62.351500000000001</v>
      </c>
      <c r="I1195" s="19">
        <f t="shared" si="47"/>
        <v>0</v>
      </c>
      <c r="L1195" s="131"/>
      <c r="M1195" s="131"/>
      <c r="N1195" s="131"/>
    </row>
    <row r="1196" spans="1:14" hidden="1">
      <c r="A1196" s="100" t="s">
        <v>862</v>
      </c>
      <c r="B1196" s="101" t="s">
        <v>1902</v>
      </c>
      <c r="C1196" s="99" t="s">
        <v>1903</v>
      </c>
      <c r="D1196" s="38"/>
      <c r="E1196" s="42">
        <v>1</v>
      </c>
      <c r="F1196" s="9"/>
      <c r="G1196" s="8">
        <f t="shared" si="46"/>
        <v>53.191949999999999</v>
      </c>
      <c r="H1196" s="188">
        <v>50.658999999999999</v>
      </c>
      <c r="I1196" s="19">
        <f t="shared" si="47"/>
        <v>0</v>
      </c>
      <c r="L1196" s="131"/>
      <c r="M1196" s="131"/>
      <c r="N1196" s="131"/>
    </row>
    <row r="1197" spans="1:14" hidden="1">
      <c r="A1197" s="100" t="s">
        <v>862</v>
      </c>
      <c r="B1197" s="101" t="s">
        <v>1904</v>
      </c>
      <c r="C1197" s="99" t="s">
        <v>1905</v>
      </c>
      <c r="D1197" s="38"/>
      <c r="E1197" s="42">
        <v>1</v>
      </c>
      <c r="F1197" s="9"/>
      <c r="G1197" s="8">
        <f t="shared" si="46"/>
        <v>73.729949999999988</v>
      </c>
      <c r="H1197" s="188">
        <v>70.218999999999994</v>
      </c>
      <c r="I1197" s="19">
        <f t="shared" si="47"/>
        <v>0</v>
      </c>
      <c r="L1197" s="131"/>
      <c r="M1197" s="131"/>
      <c r="N1197" s="131"/>
    </row>
    <row r="1198" spans="1:14" hidden="1">
      <c r="A1198" s="100" t="s">
        <v>862</v>
      </c>
      <c r="B1198" s="101" t="s">
        <v>1906</v>
      </c>
      <c r="C1198" s="99" t="s">
        <v>1907</v>
      </c>
      <c r="D1198" s="38"/>
      <c r="E1198" s="42">
        <v>1</v>
      </c>
      <c r="F1198" s="9"/>
      <c r="G1198" s="8">
        <f t="shared" si="46"/>
        <v>63.692999999999998</v>
      </c>
      <c r="H1198" s="188">
        <v>60.66</v>
      </c>
      <c r="I1198" s="19">
        <f t="shared" si="47"/>
        <v>0</v>
      </c>
      <c r="L1198" s="131"/>
      <c r="M1198" s="131"/>
      <c r="N1198" s="131"/>
    </row>
    <row r="1199" spans="1:14" hidden="1">
      <c r="A1199" s="100" t="s">
        <v>862</v>
      </c>
      <c r="B1199" s="101" t="s">
        <v>1908</v>
      </c>
      <c r="C1199" s="99" t="s">
        <v>1909</v>
      </c>
      <c r="D1199" s="38"/>
      <c r="E1199" s="42">
        <v>1</v>
      </c>
      <c r="F1199" s="9"/>
      <c r="G1199" s="8">
        <f t="shared" si="46"/>
        <v>116.69595</v>
      </c>
      <c r="H1199" s="188">
        <v>111.139</v>
      </c>
      <c r="I1199" s="19">
        <f t="shared" si="47"/>
        <v>0</v>
      </c>
      <c r="L1199" s="131"/>
      <c r="M1199" s="131"/>
      <c r="N1199" s="131"/>
    </row>
    <row r="1200" spans="1:14" hidden="1">
      <c r="A1200" s="100" t="s">
        <v>862</v>
      </c>
      <c r="B1200" s="101" t="s">
        <v>1910</v>
      </c>
      <c r="C1200" s="99" t="s">
        <v>1911</v>
      </c>
      <c r="D1200" s="38"/>
      <c r="E1200" s="42">
        <v>1</v>
      </c>
      <c r="F1200" s="9"/>
      <c r="G1200" s="8">
        <f t="shared" si="46"/>
        <v>58.578450000000004</v>
      </c>
      <c r="H1200" s="188">
        <v>55.789000000000001</v>
      </c>
      <c r="I1200" s="19">
        <f t="shared" si="47"/>
        <v>0</v>
      </c>
      <c r="L1200" s="131"/>
      <c r="M1200" s="131"/>
      <c r="N1200" s="131"/>
    </row>
    <row r="1201" spans="1:14" hidden="1">
      <c r="A1201" s="100" t="s">
        <v>862</v>
      </c>
      <c r="B1201" s="101" t="s">
        <v>1912</v>
      </c>
      <c r="C1201" s="99" t="s">
        <v>1913</v>
      </c>
      <c r="D1201" s="38"/>
      <c r="E1201" s="42">
        <v>1</v>
      </c>
      <c r="F1201" s="9"/>
      <c r="G1201" s="8">
        <f t="shared" si="46"/>
        <v>51.804375</v>
      </c>
      <c r="H1201" s="188">
        <v>49.337499999999999</v>
      </c>
      <c r="I1201" s="19">
        <f t="shared" si="47"/>
        <v>0</v>
      </c>
      <c r="L1201" s="131"/>
      <c r="M1201" s="131"/>
      <c r="N1201" s="131"/>
    </row>
    <row r="1202" spans="1:14" hidden="1">
      <c r="A1202" s="100" t="s">
        <v>862</v>
      </c>
      <c r="B1202" s="101" t="s">
        <v>1914</v>
      </c>
      <c r="C1202" s="99" t="s">
        <v>1915</v>
      </c>
      <c r="D1202" s="38"/>
      <c r="E1202" s="42">
        <v>1</v>
      </c>
      <c r="F1202" s="9"/>
      <c r="G1202" s="8">
        <f t="shared" si="46"/>
        <v>104.177325</v>
      </c>
      <c r="H1202" s="188">
        <v>99.216499999999996</v>
      </c>
      <c r="I1202" s="19">
        <f t="shared" si="47"/>
        <v>0</v>
      </c>
      <c r="L1202" s="131"/>
      <c r="M1202" s="131"/>
      <c r="N1202" s="131"/>
    </row>
    <row r="1203" spans="1:14" hidden="1">
      <c r="A1203" s="100" t="s">
        <v>862</v>
      </c>
      <c r="B1203" s="101" t="s">
        <v>1916</v>
      </c>
      <c r="C1203" s="99" t="s">
        <v>1917</v>
      </c>
      <c r="D1203" s="38"/>
      <c r="E1203" s="42">
        <v>1</v>
      </c>
      <c r="F1203" s="9"/>
      <c r="G1203" s="8">
        <f t="shared" si="46"/>
        <v>45.293324999999996</v>
      </c>
      <c r="H1203" s="188">
        <v>43.136499999999998</v>
      </c>
      <c r="I1203" s="19">
        <f t="shared" si="47"/>
        <v>0</v>
      </c>
      <c r="L1203" s="131"/>
      <c r="M1203" s="131"/>
      <c r="N1203" s="131"/>
    </row>
    <row r="1204" spans="1:14" hidden="1">
      <c r="A1204" s="100" t="s">
        <v>862</v>
      </c>
      <c r="B1204" s="101" t="s">
        <v>1918</v>
      </c>
      <c r="C1204" s="99" t="s">
        <v>1919</v>
      </c>
      <c r="D1204" s="38"/>
      <c r="E1204" s="42">
        <v>1</v>
      </c>
      <c r="F1204" s="9"/>
      <c r="G1204" s="8">
        <f t="shared" si="46"/>
        <v>57.188250000000004</v>
      </c>
      <c r="H1204" s="188">
        <v>54.465000000000003</v>
      </c>
      <c r="I1204" s="19">
        <f t="shared" si="47"/>
        <v>0</v>
      </c>
      <c r="L1204" s="131"/>
      <c r="M1204" s="131"/>
      <c r="N1204" s="131"/>
    </row>
    <row r="1205" spans="1:14" hidden="1">
      <c r="A1205" s="100" t="s">
        <v>862</v>
      </c>
      <c r="B1205" s="101" t="s">
        <v>1920</v>
      </c>
      <c r="C1205" s="99" t="s">
        <v>1921</v>
      </c>
      <c r="D1205" s="38"/>
      <c r="E1205" s="42">
        <v>1</v>
      </c>
      <c r="F1205" s="9"/>
      <c r="G1205" s="8">
        <f t="shared" si="46"/>
        <v>81.285750000000007</v>
      </c>
      <c r="H1205" s="188">
        <v>77.415000000000006</v>
      </c>
      <c r="I1205" s="19">
        <f t="shared" si="47"/>
        <v>0</v>
      </c>
      <c r="L1205" s="131"/>
      <c r="M1205" s="131"/>
      <c r="N1205" s="131"/>
    </row>
    <row r="1206" spans="1:14" hidden="1">
      <c r="A1206" s="100" t="s">
        <v>862</v>
      </c>
      <c r="B1206" s="101" t="s">
        <v>1922</v>
      </c>
      <c r="C1206" s="99" t="s">
        <v>1923</v>
      </c>
      <c r="D1206" s="38"/>
      <c r="E1206" s="42">
        <v>1</v>
      </c>
      <c r="F1206" s="9"/>
      <c r="G1206" s="8">
        <f t="shared" si="46"/>
        <v>39.177075000000002</v>
      </c>
      <c r="H1206" s="188">
        <v>37.311500000000002</v>
      </c>
      <c r="I1206" s="19">
        <f t="shared" si="47"/>
        <v>0</v>
      </c>
      <c r="L1206" s="131"/>
      <c r="M1206" s="131"/>
      <c r="N1206" s="131"/>
    </row>
    <row r="1207" spans="1:14" hidden="1">
      <c r="A1207" s="100" t="s">
        <v>862</v>
      </c>
      <c r="B1207" s="101" t="s">
        <v>1924</v>
      </c>
      <c r="C1207" s="99" t="s">
        <v>1925</v>
      </c>
      <c r="D1207" s="38"/>
      <c r="E1207" s="42">
        <v>1</v>
      </c>
      <c r="F1207" s="9"/>
      <c r="G1207" s="8">
        <f t="shared" si="46"/>
        <v>71.158499999999989</v>
      </c>
      <c r="H1207" s="188">
        <v>67.77</v>
      </c>
      <c r="I1207" s="19">
        <f t="shared" si="47"/>
        <v>0</v>
      </c>
      <c r="L1207" s="131"/>
      <c r="M1207" s="131"/>
      <c r="N1207" s="131"/>
    </row>
    <row r="1208" spans="1:14" hidden="1">
      <c r="A1208" s="100" t="s">
        <v>862</v>
      </c>
      <c r="B1208" s="101" t="s">
        <v>1926</v>
      </c>
      <c r="C1208" s="99" t="s">
        <v>1927</v>
      </c>
      <c r="D1208" s="38"/>
      <c r="E1208" s="42">
        <v>1</v>
      </c>
      <c r="F1208" s="9"/>
      <c r="G1208" s="8">
        <f t="shared" si="46"/>
        <v>80.645250000000004</v>
      </c>
      <c r="H1208" s="188">
        <v>76.805000000000007</v>
      </c>
      <c r="I1208" s="19">
        <f t="shared" si="47"/>
        <v>0</v>
      </c>
      <c r="L1208" s="131"/>
      <c r="M1208" s="131"/>
      <c r="N1208" s="131"/>
    </row>
    <row r="1209" spans="1:14" hidden="1">
      <c r="A1209" s="100" t="s">
        <v>862</v>
      </c>
      <c r="B1209" s="101" t="s">
        <v>1928</v>
      </c>
      <c r="C1209" s="99" t="s">
        <v>1929</v>
      </c>
      <c r="D1209" s="38"/>
      <c r="E1209" s="42">
        <v>1</v>
      </c>
      <c r="F1209" s="9"/>
      <c r="G1209" s="8">
        <f t="shared" si="46"/>
        <v>141.34207499999999</v>
      </c>
      <c r="H1209" s="188">
        <v>134.61150000000001</v>
      </c>
      <c r="I1209" s="19">
        <f t="shared" si="47"/>
        <v>0</v>
      </c>
      <c r="L1209" s="131"/>
      <c r="M1209" s="131"/>
      <c r="N1209" s="131"/>
    </row>
    <row r="1210" spans="1:14" hidden="1">
      <c r="A1210" s="100" t="s">
        <v>862</v>
      </c>
      <c r="B1210" s="101" t="s">
        <v>1930</v>
      </c>
      <c r="C1210" s="99" t="s">
        <v>1931</v>
      </c>
      <c r="D1210" s="38"/>
      <c r="E1210" s="42">
        <v>1</v>
      </c>
      <c r="F1210" s="9"/>
      <c r="G1210" s="8">
        <f t="shared" si="46"/>
        <v>49.822500000000005</v>
      </c>
      <c r="H1210" s="188">
        <v>47.45</v>
      </c>
      <c r="I1210" s="19">
        <f t="shared" si="47"/>
        <v>0</v>
      </c>
      <c r="L1210" s="131"/>
      <c r="M1210" s="131"/>
      <c r="N1210" s="131"/>
    </row>
    <row r="1211" spans="1:14" hidden="1">
      <c r="A1211" s="100" t="s">
        <v>862</v>
      </c>
      <c r="B1211" s="101" t="s">
        <v>1932</v>
      </c>
      <c r="C1211" s="99" t="s">
        <v>1933</v>
      </c>
      <c r="D1211" s="38"/>
      <c r="E1211" s="42">
        <v>1</v>
      </c>
      <c r="F1211" s="9"/>
      <c r="G1211" s="8">
        <f t="shared" si="46"/>
        <v>38.148074999999999</v>
      </c>
      <c r="H1211" s="188">
        <v>36.331499999999998</v>
      </c>
      <c r="I1211" s="19">
        <f t="shared" si="47"/>
        <v>0</v>
      </c>
      <c r="L1211" s="131"/>
      <c r="M1211" s="131"/>
      <c r="N1211" s="131"/>
    </row>
    <row r="1212" spans="1:14" hidden="1">
      <c r="A1212" s="100" t="s">
        <v>862</v>
      </c>
      <c r="B1212" s="101" t="s">
        <v>1934</v>
      </c>
      <c r="C1212" s="99" t="s">
        <v>1935</v>
      </c>
      <c r="D1212" s="38"/>
      <c r="E1212" s="42">
        <v>1</v>
      </c>
      <c r="F1212" s="9"/>
      <c r="G1212" s="8">
        <f t="shared" si="46"/>
        <v>92.09812500000001</v>
      </c>
      <c r="H1212" s="188">
        <v>87.712500000000006</v>
      </c>
      <c r="I1212" s="19">
        <f t="shared" si="47"/>
        <v>0</v>
      </c>
      <c r="L1212" s="131"/>
      <c r="M1212" s="131"/>
      <c r="N1212" s="131"/>
    </row>
    <row r="1213" spans="1:14" hidden="1">
      <c r="A1213" s="100" t="s">
        <v>862</v>
      </c>
      <c r="B1213" s="101" t="s">
        <v>1936</v>
      </c>
      <c r="C1213" s="99" t="s">
        <v>1937</v>
      </c>
      <c r="D1213" s="38"/>
      <c r="E1213" s="42">
        <v>1</v>
      </c>
      <c r="F1213" s="9"/>
      <c r="G1213" s="8">
        <f t="shared" si="46"/>
        <v>39.558749999999996</v>
      </c>
      <c r="H1213" s="188">
        <v>37.674999999999997</v>
      </c>
      <c r="I1213" s="19">
        <f t="shared" si="47"/>
        <v>0</v>
      </c>
      <c r="L1213" s="131"/>
      <c r="M1213" s="131"/>
      <c r="N1213" s="131"/>
    </row>
    <row r="1214" spans="1:14" hidden="1">
      <c r="A1214" s="100" t="s">
        <v>862</v>
      </c>
      <c r="B1214" s="101" t="s">
        <v>1938</v>
      </c>
      <c r="C1214" s="99" t="s">
        <v>1939</v>
      </c>
      <c r="D1214" s="38"/>
      <c r="E1214" s="42">
        <v>1</v>
      </c>
      <c r="F1214" s="9"/>
      <c r="G1214" s="8">
        <f t="shared" si="46"/>
        <v>101.82374999999999</v>
      </c>
      <c r="H1214" s="188">
        <v>96.974999999999994</v>
      </c>
      <c r="I1214" s="19">
        <f t="shared" si="47"/>
        <v>0</v>
      </c>
      <c r="L1214" s="131"/>
      <c r="M1214" s="131"/>
      <c r="N1214" s="131"/>
    </row>
    <row r="1215" spans="1:14" hidden="1">
      <c r="A1215" s="100" t="s">
        <v>862</v>
      </c>
      <c r="B1215" s="101" t="s">
        <v>1940</v>
      </c>
      <c r="C1215" s="99" t="s">
        <v>1941</v>
      </c>
      <c r="D1215" s="38"/>
      <c r="E1215" s="42">
        <v>1</v>
      </c>
      <c r="F1215" s="9"/>
      <c r="G1215" s="8">
        <f t="shared" si="46"/>
        <v>85.240575000000007</v>
      </c>
      <c r="H1215" s="188">
        <v>81.1815</v>
      </c>
      <c r="I1215" s="19">
        <f t="shared" si="47"/>
        <v>0</v>
      </c>
      <c r="L1215" s="131"/>
      <c r="M1215" s="131"/>
      <c r="N1215" s="131"/>
    </row>
    <row r="1216" spans="1:14" hidden="1">
      <c r="A1216" s="100" t="s">
        <v>862</v>
      </c>
      <c r="B1216" s="101" t="s">
        <v>1942</v>
      </c>
      <c r="C1216" s="99" t="s">
        <v>1943</v>
      </c>
      <c r="D1216" s="38"/>
      <c r="E1216" s="42">
        <v>1</v>
      </c>
      <c r="F1216" s="9"/>
      <c r="G1216" s="8">
        <f t="shared" si="46"/>
        <v>172.6242</v>
      </c>
      <c r="H1216" s="188">
        <v>164.404</v>
      </c>
      <c r="I1216" s="19">
        <f t="shared" si="47"/>
        <v>0</v>
      </c>
      <c r="L1216" s="131"/>
      <c r="M1216" s="131"/>
      <c r="N1216" s="131"/>
    </row>
    <row r="1217" spans="1:14" hidden="1">
      <c r="A1217" s="100" t="s">
        <v>862</v>
      </c>
      <c r="B1217" s="101" t="s">
        <v>1944</v>
      </c>
      <c r="C1217" s="99" t="s">
        <v>1945</v>
      </c>
      <c r="D1217" s="38"/>
      <c r="E1217" s="42">
        <v>1</v>
      </c>
      <c r="F1217" s="9"/>
      <c r="G1217" s="8">
        <f t="shared" si="46"/>
        <v>69.418125000000003</v>
      </c>
      <c r="H1217" s="188">
        <v>66.112499999999997</v>
      </c>
      <c r="I1217" s="19">
        <f t="shared" si="47"/>
        <v>0</v>
      </c>
      <c r="L1217" s="131"/>
      <c r="M1217" s="131"/>
      <c r="N1217" s="131"/>
    </row>
    <row r="1218" spans="1:14" hidden="1">
      <c r="A1218" s="100" t="s">
        <v>862</v>
      </c>
      <c r="B1218" s="101" t="s">
        <v>1946</v>
      </c>
      <c r="C1218" s="99" t="s">
        <v>1947</v>
      </c>
      <c r="D1218" s="38"/>
      <c r="E1218" s="42">
        <v>1</v>
      </c>
      <c r="F1218" s="9"/>
      <c r="G1218" s="8">
        <f t="shared" si="46"/>
        <v>121.6635</v>
      </c>
      <c r="H1218" s="188">
        <v>115.87</v>
      </c>
      <c r="I1218" s="19">
        <f t="shared" si="47"/>
        <v>0</v>
      </c>
      <c r="L1218" s="131"/>
      <c r="M1218" s="131"/>
      <c r="N1218" s="131"/>
    </row>
    <row r="1219" spans="1:14" hidden="1">
      <c r="A1219" s="100" t="s">
        <v>862</v>
      </c>
      <c r="B1219" s="101" t="s">
        <v>1948</v>
      </c>
      <c r="C1219" s="99" t="s">
        <v>1949</v>
      </c>
      <c r="D1219" s="38"/>
      <c r="E1219" s="42">
        <v>1</v>
      </c>
      <c r="F1219" s="9"/>
      <c r="G1219" s="8">
        <f t="shared" si="46"/>
        <v>144.41437500000001</v>
      </c>
      <c r="H1219" s="188">
        <v>137.53749999999999</v>
      </c>
      <c r="I1219" s="19">
        <f t="shared" si="47"/>
        <v>0</v>
      </c>
      <c r="L1219" s="131"/>
      <c r="M1219" s="131"/>
      <c r="N1219" s="131"/>
    </row>
    <row r="1220" spans="1:14" hidden="1">
      <c r="A1220" s="100" t="s">
        <v>862</v>
      </c>
      <c r="B1220" s="101" t="s">
        <v>1950</v>
      </c>
      <c r="C1220" s="99" t="s">
        <v>1951</v>
      </c>
      <c r="D1220" s="38"/>
      <c r="E1220" s="42">
        <v>1</v>
      </c>
      <c r="F1220" s="9"/>
      <c r="G1220" s="8">
        <f t="shared" si="46"/>
        <v>155.31757500000001</v>
      </c>
      <c r="H1220" s="188">
        <v>147.92150000000001</v>
      </c>
      <c r="I1220" s="19">
        <f t="shared" si="47"/>
        <v>0</v>
      </c>
      <c r="L1220" s="131"/>
      <c r="M1220" s="131"/>
      <c r="N1220" s="131"/>
    </row>
    <row r="1221" spans="1:14" hidden="1">
      <c r="A1221" s="100" t="s">
        <v>862</v>
      </c>
      <c r="B1221" s="101" t="s">
        <v>1952</v>
      </c>
      <c r="C1221" s="99" t="s">
        <v>1953</v>
      </c>
      <c r="D1221" s="38"/>
      <c r="E1221" s="42">
        <v>1</v>
      </c>
      <c r="F1221" s="9"/>
      <c r="G1221" s="8">
        <f t="shared" si="46"/>
        <v>202.924575</v>
      </c>
      <c r="H1221" s="188">
        <v>193.26150000000001</v>
      </c>
      <c r="I1221" s="19">
        <f t="shared" si="47"/>
        <v>0</v>
      </c>
      <c r="L1221" s="131"/>
      <c r="M1221" s="131"/>
      <c r="N1221" s="131"/>
    </row>
    <row r="1222" spans="1:14" hidden="1">
      <c r="A1222" s="100" t="s">
        <v>862</v>
      </c>
      <c r="B1222" s="101" t="s">
        <v>1954</v>
      </c>
      <c r="C1222" s="99" t="s">
        <v>1955</v>
      </c>
      <c r="D1222" s="38"/>
      <c r="E1222" s="42">
        <v>1</v>
      </c>
      <c r="F1222" s="9"/>
      <c r="G1222" s="8">
        <f t="shared" si="46"/>
        <v>13.691999999999998</v>
      </c>
      <c r="H1222" s="188">
        <v>13.04</v>
      </c>
      <c r="I1222" s="19">
        <f t="shared" si="47"/>
        <v>0</v>
      </c>
      <c r="L1222" s="131"/>
      <c r="M1222" s="131"/>
      <c r="N1222" s="131"/>
    </row>
    <row r="1223" spans="1:14" hidden="1">
      <c r="A1223" s="100" t="s">
        <v>862</v>
      </c>
      <c r="B1223" s="101" t="s">
        <v>1956</v>
      </c>
      <c r="C1223" s="99" t="s">
        <v>1957</v>
      </c>
      <c r="D1223" s="38"/>
      <c r="E1223" s="42">
        <v>1</v>
      </c>
      <c r="F1223" s="9"/>
      <c r="G1223" s="8">
        <f t="shared" si="46"/>
        <v>42.682499999999997</v>
      </c>
      <c r="H1223" s="188">
        <v>40.65</v>
      </c>
      <c r="I1223" s="19">
        <f t="shared" si="47"/>
        <v>0</v>
      </c>
      <c r="L1223" s="131"/>
      <c r="M1223" s="131"/>
      <c r="N1223" s="131"/>
    </row>
    <row r="1224" spans="1:14" hidden="1">
      <c r="A1224" s="100" t="s">
        <v>862</v>
      </c>
      <c r="B1224" s="101" t="s">
        <v>1958</v>
      </c>
      <c r="C1224" s="99" t="s">
        <v>1959</v>
      </c>
      <c r="D1224" s="38"/>
      <c r="E1224" s="42">
        <v>1</v>
      </c>
      <c r="F1224" s="9"/>
      <c r="G1224" s="8">
        <f t="shared" si="46"/>
        <v>42.682499999999997</v>
      </c>
      <c r="H1224" s="188">
        <v>40.65</v>
      </c>
      <c r="I1224" s="19">
        <f t="shared" si="47"/>
        <v>0</v>
      </c>
      <c r="L1224" s="131"/>
      <c r="M1224" s="131"/>
      <c r="N1224" s="131"/>
    </row>
    <row r="1225" spans="1:14" hidden="1">
      <c r="A1225" s="100" t="s">
        <v>862</v>
      </c>
      <c r="B1225" s="101" t="s">
        <v>1960</v>
      </c>
      <c r="C1225" s="99" t="s">
        <v>1961</v>
      </c>
      <c r="D1225" s="38" t="s">
        <v>1117</v>
      </c>
      <c r="E1225" s="42">
        <v>1</v>
      </c>
      <c r="F1225" s="9"/>
      <c r="G1225" s="8">
        <f t="shared" si="46"/>
        <v>855.78674999999998</v>
      </c>
      <c r="H1225" s="188">
        <v>815.03499999999997</v>
      </c>
      <c r="I1225" s="19">
        <f t="shared" si="47"/>
        <v>0</v>
      </c>
      <c r="L1225" s="131"/>
      <c r="M1225" s="131"/>
      <c r="N1225" s="131"/>
    </row>
    <row r="1226" spans="1:14" hidden="1">
      <c r="A1226" s="100" t="s">
        <v>862</v>
      </c>
      <c r="B1226" s="101" t="s">
        <v>1962</v>
      </c>
      <c r="C1226" s="99" t="s">
        <v>1963</v>
      </c>
      <c r="D1226" s="38"/>
      <c r="E1226" s="42">
        <v>1</v>
      </c>
      <c r="F1226" s="9"/>
      <c r="G1226" s="8">
        <f t="shared" si="46"/>
        <v>12.030374999999999</v>
      </c>
      <c r="H1226" s="188">
        <v>11.4575</v>
      </c>
      <c r="I1226" s="19">
        <f t="shared" si="47"/>
        <v>0</v>
      </c>
      <c r="L1226" s="131"/>
      <c r="M1226" s="131"/>
      <c r="N1226" s="131"/>
    </row>
    <row r="1227" spans="1:14" hidden="1">
      <c r="A1227" s="100" t="s">
        <v>862</v>
      </c>
      <c r="B1227" s="101" t="s">
        <v>1964</v>
      </c>
      <c r="C1227" s="99" t="s">
        <v>1965</v>
      </c>
      <c r="D1227" s="38"/>
      <c r="E1227" s="42">
        <v>1</v>
      </c>
      <c r="F1227" s="9"/>
      <c r="G1227" s="8">
        <f t="shared" si="46"/>
        <v>17.403749999999999</v>
      </c>
      <c r="H1227" s="188">
        <v>16.574999999999999</v>
      </c>
      <c r="I1227" s="19">
        <f t="shared" si="47"/>
        <v>0</v>
      </c>
      <c r="L1227" s="131"/>
      <c r="M1227" s="131"/>
      <c r="N1227" s="131"/>
    </row>
    <row r="1228" spans="1:14" hidden="1">
      <c r="A1228" s="100" t="s">
        <v>862</v>
      </c>
      <c r="B1228" s="101" t="s">
        <v>1966</v>
      </c>
      <c r="C1228" s="99" t="s">
        <v>1967</v>
      </c>
      <c r="D1228" s="38"/>
      <c r="E1228" s="42">
        <v>1</v>
      </c>
      <c r="F1228" s="9"/>
      <c r="G1228" s="8">
        <f t="shared" si="46"/>
        <v>14.998200000000001</v>
      </c>
      <c r="H1228" s="188">
        <v>14.284000000000001</v>
      </c>
      <c r="I1228" s="19">
        <f t="shared" si="47"/>
        <v>0</v>
      </c>
      <c r="L1228" s="131"/>
      <c r="M1228" s="131"/>
      <c r="N1228" s="131"/>
    </row>
    <row r="1229" spans="1:14" hidden="1">
      <c r="A1229" s="100" t="s">
        <v>862</v>
      </c>
      <c r="B1229" s="101" t="s">
        <v>1968</v>
      </c>
      <c r="C1229" s="99" t="s">
        <v>1969</v>
      </c>
      <c r="D1229" s="38"/>
      <c r="E1229" s="42">
        <v>1</v>
      </c>
      <c r="F1229" s="9"/>
      <c r="G1229" s="8">
        <f t="shared" si="46"/>
        <v>23.442824999999999</v>
      </c>
      <c r="H1229" s="188">
        <v>22.326499999999999</v>
      </c>
      <c r="I1229" s="19">
        <f t="shared" si="47"/>
        <v>0</v>
      </c>
      <c r="L1229" s="131"/>
      <c r="M1229" s="131"/>
      <c r="N1229" s="131"/>
    </row>
    <row r="1230" spans="1:14" hidden="1">
      <c r="A1230" s="100" t="s">
        <v>862</v>
      </c>
      <c r="B1230" s="101" t="s">
        <v>1970</v>
      </c>
      <c r="C1230" s="99" t="s">
        <v>1971</v>
      </c>
      <c r="D1230" s="38"/>
      <c r="E1230" s="42">
        <v>1</v>
      </c>
      <c r="F1230" s="9"/>
      <c r="G1230" s="8">
        <f t="shared" si="46"/>
        <v>23.442824999999999</v>
      </c>
      <c r="H1230" s="188">
        <v>22.326499999999999</v>
      </c>
      <c r="I1230" s="19">
        <f t="shared" si="47"/>
        <v>0</v>
      </c>
      <c r="L1230" s="131"/>
      <c r="M1230" s="131"/>
      <c r="N1230" s="131"/>
    </row>
    <row r="1231" spans="1:14" hidden="1">
      <c r="A1231" s="100" t="s">
        <v>862</v>
      </c>
      <c r="B1231" s="101" t="s">
        <v>1972</v>
      </c>
      <c r="C1231" s="99" t="s">
        <v>1973</v>
      </c>
      <c r="D1231" s="38"/>
      <c r="E1231" s="42">
        <v>1</v>
      </c>
      <c r="F1231" s="9"/>
      <c r="G1231" s="8">
        <f t="shared" si="46"/>
        <v>30.173324999999998</v>
      </c>
      <c r="H1231" s="188">
        <v>28.736499999999999</v>
      </c>
      <c r="I1231" s="19">
        <f t="shared" si="47"/>
        <v>0</v>
      </c>
      <c r="L1231" s="131"/>
      <c r="M1231" s="131"/>
      <c r="N1231" s="131"/>
    </row>
    <row r="1232" spans="1:14" hidden="1">
      <c r="A1232" s="100" t="s">
        <v>862</v>
      </c>
      <c r="B1232" s="101" t="s">
        <v>1974</v>
      </c>
      <c r="C1232" s="99" t="s">
        <v>1975</v>
      </c>
      <c r="D1232" s="38"/>
      <c r="E1232" s="42">
        <v>1</v>
      </c>
      <c r="F1232" s="9"/>
      <c r="G1232" s="8">
        <f t="shared" si="46"/>
        <v>23.442824999999999</v>
      </c>
      <c r="H1232" s="188">
        <v>22.326499999999999</v>
      </c>
      <c r="I1232" s="19">
        <f t="shared" si="47"/>
        <v>0</v>
      </c>
      <c r="L1232" s="131"/>
      <c r="M1232" s="131"/>
      <c r="N1232" s="131"/>
    </row>
    <row r="1233" spans="1:14" hidden="1">
      <c r="A1233" s="100" t="s">
        <v>862</v>
      </c>
      <c r="B1233" s="101" t="s">
        <v>1976</v>
      </c>
      <c r="C1233" s="99" t="s">
        <v>1977</v>
      </c>
      <c r="D1233" s="38"/>
      <c r="E1233" s="42">
        <v>1</v>
      </c>
      <c r="F1233" s="9"/>
      <c r="G1233" s="8">
        <f t="shared" si="46"/>
        <v>63.295574999999999</v>
      </c>
      <c r="H1233" s="188">
        <v>60.281500000000001</v>
      </c>
      <c r="I1233" s="19">
        <f t="shared" si="47"/>
        <v>0</v>
      </c>
      <c r="L1233" s="131"/>
      <c r="M1233" s="131"/>
      <c r="N1233" s="131"/>
    </row>
    <row r="1234" spans="1:14" hidden="1">
      <c r="A1234" s="100" t="s">
        <v>862</v>
      </c>
      <c r="B1234" s="101" t="s">
        <v>1978</v>
      </c>
      <c r="C1234" s="99" t="s">
        <v>1979</v>
      </c>
      <c r="D1234" s="38"/>
      <c r="E1234" s="42">
        <v>1</v>
      </c>
      <c r="F1234" s="9"/>
      <c r="G1234" s="8">
        <f t="shared" si="46"/>
        <v>59.91825</v>
      </c>
      <c r="H1234" s="188">
        <v>57.064999999999998</v>
      </c>
      <c r="I1234" s="19">
        <f t="shared" si="47"/>
        <v>0</v>
      </c>
      <c r="L1234" s="131"/>
      <c r="M1234" s="131"/>
      <c r="N1234" s="131"/>
    </row>
    <row r="1235" spans="1:14" hidden="1">
      <c r="A1235" s="100" t="s">
        <v>862</v>
      </c>
      <c r="B1235" s="101" t="s">
        <v>1980</v>
      </c>
      <c r="C1235" s="99" t="s">
        <v>1981</v>
      </c>
      <c r="D1235" s="38"/>
      <c r="E1235" s="42">
        <v>1</v>
      </c>
      <c r="F1235" s="9"/>
      <c r="G1235" s="8">
        <f t="shared" si="46"/>
        <v>81.448499999999996</v>
      </c>
      <c r="H1235" s="188">
        <v>77.569999999999993</v>
      </c>
      <c r="I1235" s="19">
        <f t="shared" si="47"/>
        <v>0</v>
      </c>
      <c r="L1235" s="131"/>
      <c r="M1235" s="131"/>
      <c r="N1235" s="131"/>
    </row>
    <row r="1236" spans="1:14" hidden="1">
      <c r="A1236" s="100" t="s">
        <v>862</v>
      </c>
      <c r="B1236" s="101" t="s">
        <v>1982</v>
      </c>
      <c r="C1236" s="99" t="s">
        <v>1983</v>
      </c>
      <c r="D1236" s="38" t="s">
        <v>1117</v>
      </c>
      <c r="E1236" s="42">
        <v>1</v>
      </c>
      <c r="F1236" s="9"/>
      <c r="G1236" s="8">
        <f t="shared" si="46"/>
        <v>1189.692</v>
      </c>
      <c r="H1236" s="188">
        <v>1133.04</v>
      </c>
      <c r="I1236" s="19">
        <f t="shared" si="47"/>
        <v>0</v>
      </c>
      <c r="L1236" s="131"/>
      <c r="M1236" s="131"/>
      <c r="N1236" s="131"/>
    </row>
    <row r="1237" spans="1:14" hidden="1">
      <c r="A1237" s="100" t="s">
        <v>862</v>
      </c>
      <c r="B1237" s="101" t="s">
        <v>1984</v>
      </c>
      <c r="C1237" s="99" t="s">
        <v>1985</v>
      </c>
      <c r="D1237" s="38"/>
      <c r="E1237" s="42">
        <v>1</v>
      </c>
      <c r="F1237" s="9"/>
      <c r="G1237" s="8">
        <f t="shared" si="46"/>
        <v>32.807250000000003</v>
      </c>
      <c r="H1237" s="188">
        <v>31.245000000000001</v>
      </c>
      <c r="I1237" s="19">
        <f t="shared" si="47"/>
        <v>0</v>
      </c>
      <c r="L1237" s="131"/>
      <c r="M1237" s="131"/>
      <c r="N1237" s="131"/>
    </row>
    <row r="1238" spans="1:14" hidden="1">
      <c r="A1238" s="100" t="s">
        <v>862</v>
      </c>
      <c r="B1238" s="101" t="s">
        <v>1986</v>
      </c>
      <c r="C1238" s="99" t="s">
        <v>1987</v>
      </c>
      <c r="D1238" s="38"/>
      <c r="E1238" s="42">
        <v>1</v>
      </c>
      <c r="F1238" s="9"/>
      <c r="G1238" s="8">
        <f t="shared" si="46"/>
        <v>49.993124999999999</v>
      </c>
      <c r="H1238" s="188">
        <v>47.612499999999997</v>
      </c>
      <c r="I1238" s="19">
        <f t="shared" si="47"/>
        <v>0</v>
      </c>
      <c r="L1238" s="131"/>
      <c r="M1238" s="131"/>
      <c r="N1238" s="131"/>
    </row>
    <row r="1239" spans="1:14" hidden="1">
      <c r="A1239" s="100" t="s">
        <v>862</v>
      </c>
      <c r="B1239" s="97" t="s">
        <v>1988</v>
      </c>
      <c r="C1239" s="98" t="s">
        <v>1989</v>
      </c>
      <c r="D1239" s="38" t="s">
        <v>1117</v>
      </c>
      <c r="E1239" s="42">
        <v>1</v>
      </c>
      <c r="F1239" s="9"/>
      <c r="G1239" s="8">
        <f t="shared" si="46"/>
        <v>2927.0535</v>
      </c>
      <c r="H1239" s="188">
        <v>2787.67</v>
      </c>
      <c r="I1239" s="19">
        <f t="shared" si="47"/>
        <v>0</v>
      </c>
      <c r="L1239" s="131"/>
      <c r="M1239" s="131"/>
      <c r="N1239" s="131"/>
    </row>
    <row r="1240" spans="1:14" hidden="1">
      <c r="A1240" s="100" t="s">
        <v>862</v>
      </c>
      <c r="B1240" s="101" t="s">
        <v>1990</v>
      </c>
      <c r="C1240" s="99" t="s">
        <v>1991</v>
      </c>
      <c r="D1240" s="38"/>
      <c r="E1240" s="42">
        <v>1</v>
      </c>
      <c r="F1240" s="9"/>
      <c r="G1240" s="8">
        <f t="shared" si="46"/>
        <v>70.887074999999996</v>
      </c>
      <c r="H1240" s="188">
        <v>67.511499999999998</v>
      </c>
      <c r="I1240" s="19">
        <f t="shared" si="47"/>
        <v>0</v>
      </c>
      <c r="L1240" s="131"/>
      <c r="M1240" s="131"/>
      <c r="N1240" s="131"/>
    </row>
    <row r="1241" spans="1:14" hidden="1">
      <c r="A1241" s="100" t="s">
        <v>862</v>
      </c>
      <c r="B1241" s="101" t="s">
        <v>1992</v>
      </c>
      <c r="C1241" s="99" t="s">
        <v>1993</v>
      </c>
      <c r="D1241" s="38"/>
      <c r="E1241" s="42">
        <v>1</v>
      </c>
      <c r="F1241" s="9"/>
      <c r="G1241" s="8">
        <f t="shared" si="46"/>
        <v>52.429124999999999</v>
      </c>
      <c r="H1241" s="188">
        <v>49.932499999999997</v>
      </c>
      <c r="I1241" s="19">
        <f t="shared" si="47"/>
        <v>0</v>
      </c>
      <c r="L1241" s="131"/>
      <c r="M1241" s="131"/>
      <c r="N1241" s="131"/>
    </row>
    <row r="1242" spans="1:14" hidden="1">
      <c r="A1242" s="100" t="s">
        <v>862</v>
      </c>
      <c r="B1242" s="101" t="s">
        <v>1994</v>
      </c>
      <c r="C1242" s="99" t="s">
        <v>1995</v>
      </c>
      <c r="D1242" s="38"/>
      <c r="E1242" s="42">
        <v>1</v>
      </c>
      <c r="F1242" s="9"/>
      <c r="G1242" s="8">
        <f t="shared" si="46"/>
        <v>52.429124999999999</v>
      </c>
      <c r="H1242" s="188">
        <v>49.932499999999997</v>
      </c>
      <c r="I1242" s="19">
        <f t="shared" si="47"/>
        <v>0</v>
      </c>
      <c r="L1242" s="131"/>
      <c r="M1242" s="131"/>
      <c r="N1242" s="131"/>
    </row>
    <row r="1243" spans="1:14" hidden="1">
      <c r="A1243" s="100" t="s">
        <v>862</v>
      </c>
      <c r="B1243" s="101" t="s">
        <v>1996</v>
      </c>
      <c r="C1243" s="99" t="s">
        <v>1997</v>
      </c>
      <c r="D1243" s="38"/>
      <c r="E1243" s="42">
        <v>1</v>
      </c>
      <c r="F1243" s="9"/>
      <c r="G1243" s="8">
        <f t="shared" si="46"/>
        <v>73.74307499999999</v>
      </c>
      <c r="H1243" s="188">
        <v>70.231499999999997</v>
      </c>
      <c r="I1243" s="19">
        <f t="shared" si="47"/>
        <v>0</v>
      </c>
      <c r="L1243" s="131"/>
      <c r="M1243" s="131"/>
      <c r="N1243" s="131"/>
    </row>
    <row r="1244" spans="1:14" hidden="1">
      <c r="A1244" s="100" t="s">
        <v>862</v>
      </c>
      <c r="B1244" s="97" t="s">
        <v>1998</v>
      </c>
      <c r="C1244" s="98" t="s">
        <v>1999</v>
      </c>
      <c r="D1244" s="38" t="s">
        <v>1117</v>
      </c>
      <c r="E1244" s="42">
        <v>1</v>
      </c>
      <c r="F1244" s="9"/>
      <c r="G1244" s="8">
        <f t="shared" si="46"/>
        <v>4203.4440000000004</v>
      </c>
      <c r="H1244" s="188">
        <v>4003.28</v>
      </c>
      <c r="I1244" s="19">
        <f t="shared" si="47"/>
        <v>0</v>
      </c>
      <c r="L1244" s="131"/>
      <c r="M1244" s="131"/>
      <c r="N1244" s="131"/>
    </row>
    <row r="1245" spans="1:14" hidden="1">
      <c r="A1245" s="100" t="s">
        <v>862</v>
      </c>
      <c r="B1245" s="101" t="s">
        <v>2000</v>
      </c>
      <c r="C1245" s="99" t="s">
        <v>2001</v>
      </c>
      <c r="D1245" s="38"/>
      <c r="E1245" s="42">
        <v>1</v>
      </c>
      <c r="F1245" s="9"/>
      <c r="G1245" s="8">
        <f t="shared" si="46"/>
        <v>107.02124999999999</v>
      </c>
      <c r="H1245" s="188">
        <v>101.925</v>
      </c>
      <c r="I1245" s="19">
        <f t="shared" si="47"/>
        <v>0</v>
      </c>
      <c r="L1245" s="131"/>
      <c r="M1245" s="131"/>
      <c r="N1245" s="131"/>
    </row>
    <row r="1246" spans="1:14" hidden="1">
      <c r="A1246" s="100" t="s">
        <v>862</v>
      </c>
      <c r="B1246" s="101" t="s">
        <v>2002</v>
      </c>
      <c r="C1246" s="99" t="s">
        <v>2003</v>
      </c>
      <c r="D1246" s="38"/>
      <c r="E1246" s="42">
        <v>1</v>
      </c>
      <c r="F1246" s="9"/>
      <c r="G1246" s="8">
        <f t="shared" si="46"/>
        <v>40.477499999999999</v>
      </c>
      <c r="H1246" s="188">
        <v>38.549999999999997</v>
      </c>
      <c r="I1246" s="19">
        <f t="shared" si="47"/>
        <v>0</v>
      </c>
      <c r="L1246" s="131"/>
      <c r="M1246" s="131"/>
      <c r="N1246" s="131"/>
    </row>
    <row r="1247" spans="1:14" hidden="1">
      <c r="A1247" s="100" t="s">
        <v>862</v>
      </c>
      <c r="B1247" s="101" t="s">
        <v>2004</v>
      </c>
      <c r="C1247" s="99" t="s">
        <v>2005</v>
      </c>
      <c r="D1247" s="38"/>
      <c r="E1247" s="42">
        <v>1</v>
      </c>
      <c r="F1247" s="9"/>
      <c r="G1247" s="8">
        <f t="shared" si="46"/>
        <v>12.6945</v>
      </c>
      <c r="H1247" s="188">
        <v>12.09</v>
      </c>
      <c r="I1247" s="19">
        <f t="shared" si="47"/>
        <v>0</v>
      </c>
      <c r="L1247" s="131"/>
      <c r="M1247" s="131"/>
      <c r="N1247" s="131"/>
    </row>
    <row r="1248" spans="1:14" hidden="1">
      <c r="A1248" s="100" t="s">
        <v>862</v>
      </c>
      <c r="B1248" s="101" t="s">
        <v>2006</v>
      </c>
      <c r="C1248" s="99" t="s">
        <v>2007</v>
      </c>
      <c r="D1248" s="38"/>
      <c r="E1248" s="42">
        <v>1</v>
      </c>
      <c r="F1248" s="9"/>
      <c r="G1248" s="8">
        <f t="shared" si="46"/>
        <v>35.932575</v>
      </c>
      <c r="H1248" s="188">
        <v>34.221499999999999</v>
      </c>
      <c r="I1248" s="19">
        <f t="shared" si="47"/>
        <v>0</v>
      </c>
      <c r="L1248" s="131"/>
      <c r="M1248" s="131"/>
      <c r="N1248" s="131"/>
    </row>
    <row r="1249" spans="1:14" hidden="1">
      <c r="A1249" s="100" t="s">
        <v>862</v>
      </c>
      <c r="B1249" s="101" t="s">
        <v>2008</v>
      </c>
      <c r="C1249" s="99" t="s">
        <v>2009</v>
      </c>
      <c r="D1249" s="38"/>
      <c r="E1249" s="42">
        <v>1</v>
      </c>
      <c r="F1249" s="9"/>
      <c r="G1249" s="8">
        <f t="shared" si="46"/>
        <v>51.177</v>
      </c>
      <c r="H1249" s="188">
        <v>48.74</v>
      </c>
      <c r="I1249" s="19">
        <f t="shared" si="47"/>
        <v>0</v>
      </c>
      <c r="L1249" s="131"/>
      <c r="M1249" s="131"/>
      <c r="N1249" s="131"/>
    </row>
    <row r="1250" spans="1:14" hidden="1">
      <c r="A1250" s="100" t="s">
        <v>862</v>
      </c>
      <c r="B1250" s="101" t="s">
        <v>2010</v>
      </c>
      <c r="C1250" s="99" t="s">
        <v>2011</v>
      </c>
      <c r="D1250" s="38"/>
      <c r="E1250" s="42">
        <v>1</v>
      </c>
      <c r="F1250" s="9"/>
      <c r="G1250" s="8">
        <f t="shared" si="46"/>
        <v>68.35499999999999</v>
      </c>
      <c r="H1250" s="188">
        <v>65.099999999999994</v>
      </c>
      <c r="I1250" s="19">
        <f t="shared" si="47"/>
        <v>0</v>
      </c>
      <c r="L1250" s="131"/>
      <c r="M1250" s="131"/>
      <c r="N1250" s="131"/>
    </row>
    <row r="1251" spans="1:14" hidden="1">
      <c r="A1251" s="100" t="s">
        <v>862</v>
      </c>
      <c r="B1251" s="101" t="s">
        <v>2012</v>
      </c>
      <c r="C1251" s="99" t="s">
        <v>2013</v>
      </c>
      <c r="D1251" s="38"/>
      <c r="E1251" s="42">
        <v>1</v>
      </c>
      <c r="F1251" s="9"/>
      <c r="G1251" s="8">
        <f t="shared" si="46"/>
        <v>35.980874999999997</v>
      </c>
      <c r="H1251" s="188">
        <v>34.267499999999998</v>
      </c>
      <c r="I1251" s="19">
        <f t="shared" si="47"/>
        <v>0</v>
      </c>
      <c r="L1251" s="131"/>
      <c r="M1251" s="131"/>
      <c r="N1251" s="131"/>
    </row>
    <row r="1252" spans="1:14" hidden="1">
      <c r="A1252" s="100" t="s">
        <v>862</v>
      </c>
      <c r="B1252" s="101" t="s">
        <v>2014</v>
      </c>
      <c r="C1252" s="99" t="s">
        <v>2015</v>
      </c>
      <c r="D1252" s="38"/>
      <c r="E1252" s="42">
        <v>1</v>
      </c>
      <c r="F1252" s="9"/>
      <c r="G1252" s="8">
        <f t="shared" si="46"/>
        <v>43.246875000000003</v>
      </c>
      <c r="H1252" s="188">
        <v>41.1875</v>
      </c>
      <c r="I1252" s="19">
        <f t="shared" si="47"/>
        <v>0</v>
      </c>
      <c r="L1252" s="131"/>
      <c r="M1252" s="131"/>
      <c r="N1252" s="131"/>
    </row>
    <row r="1253" spans="1:14" hidden="1">
      <c r="A1253" s="100" t="s">
        <v>862</v>
      </c>
      <c r="B1253" s="101" t="s">
        <v>2016</v>
      </c>
      <c r="C1253" s="99" t="s">
        <v>2017</v>
      </c>
      <c r="D1253" s="38"/>
      <c r="E1253" s="42">
        <v>1</v>
      </c>
      <c r="F1253" s="9"/>
      <c r="G1253" s="8">
        <f t="shared" ref="G1253:G1316" si="48">H1253+(H1253*5%)</f>
        <v>52.5672</v>
      </c>
      <c r="H1253" s="188">
        <v>50.064</v>
      </c>
      <c r="I1253" s="19">
        <f t="shared" si="47"/>
        <v>0</v>
      </c>
      <c r="L1253" s="131"/>
      <c r="M1253" s="131"/>
      <c r="N1253" s="131"/>
    </row>
    <row r="1254" spans="1:14" hidden="1">
      <c r="A1254" s="100" t="s">
        <v>862</v>
      </c>
      <c r="B1254" s="101" t="s">
        <v>2018</v>
      </c>
      <c r="C1254" s="99" t="s">
        <v>2019</v>
      </c>
      <c r="D1254" s="38"/>
      <c r="E1254" s="42">
        <v>1</v>
      </c>
      <c r="F1254" s="9"/>
      <c r="G1254" s="8">
        <f t="shared" si="48"/>
        <v>48.309449999999998</v>
      </c>
      <c r="H1254" s="188">
        <v>46.009</v>
      </c>
      <c r="I1254" s="19">
        <f t="shared" ref="I1254:I1317" si="49">G1254*F1254</f>
        <v>0</v>
      </c>
      <c r="L1254" s="131"/>
      <c r="M1254" s="131"/>
      <c r="N1254" s="131"/>
    </row>
    <row r="1255" spans="1:14" hidden="1">
      <c r="A1255" s="100" t="s">
        <v>862</v>
      </c>
      <c r="B1255" s="101" t="s">
        <v>2020</v>
      </c>
      <c r="C1255" s="99" t="s">
        <v>2021</v>
      </c>
      <c r="D1255" s="38"/>
      <c r="E1255" s="42">
        <v>1</v>
      </c>
      <c r="F1255" s="9"/>
      <c r="G1255" s="8">
        <f t="shared" si="48"/>
        <v>26.974500000000003</v>
      </c>
      <c r="H1255" s="188">
        <v>25.69</v>
      </c>
      <c r="I1255" s="19">
        <f t="shared" si="49"/>
        <v>0</v>
      </c>
      <c r="L1255" s="131"/>
      <c r="M1255" s="131"/>
      <c r="N1255" s="131"/>
    </row>
    <row r="1256" spans="1:14" hidden="1">
      <c r="A1256" s="100" t="s">
        <v>862</v>
      </c>
      <c r="B1256" s="101" t="s">
        <v>2022</v>
      </c>
      <c r="C1256" s="99" t="s">
        <v>2023</v>
      </c>
      <c r="D1256" s="38"/>
      <c r="E1256" s="42">
        <v>1</v>
      </c>
      <c r="F1256" s="9"/>
      <c r="G1256" s="8">
        <f t="shared" si="48"/>
        <v>25.13175</v>
      </c>
      <c r="H1256" s="188">
        <v>23.934999999999999</v>
      </c>
      <c r="I1256" s="19">
        <f t="shared" si="49"/>
        <v>0</v>
      </c>
      <c r="L1256" s="131"/>
      <c r="M1256" s="131"/>
      <c r="N1256" s="131"/>
    </row>
    <row r="1257" spans="1:14" hidden="1">
      <c r="A1257" s="100" t="s">
        <v>862</v>
      </c>
      <c r="B1257" s="101" t="s">
        <v>2024</v>
      </c>
      <c r="C1257" s="99" t="s">
        <v>2025</v>
      </c>
      <c r="D1257" s="38"/>
      <c r="E1257" s="42">
        <v>1</v>
      </c>
      <c r="F1257" s="9"/>
      <c r="G1257" s="8">
        <f t="shared" si="48"/>
        <v>8.3805750000000003</v>
      </c>
      <c r="H1257" s="188">
        <v>7.9814999999999996</v>
      </c>
      <c r="I1257" s="19">
        <f t="shared" si="49"/>
        <v>0</v>
      </c>
      <c r="L1257" s="131"/>
      <c r="M1257" s="131"/>
      <c r="N1257" s="131"/>
    </row>
    <row r="1258" spans="1:14" hidden="1">
      <c r="A1258" s="100" t="s">
        <v>862</v>
      </c>
      <c r="B1258" s="101" t="s">
        <v>2026</v>
      </c>
      <c r="C1258" s="99" t="s">
        <v>2027</v>
      </c>
      <c r="D1258" s="38"/>
      <c r="E1258" s="42">
        <v>1</v>
      </c>
      <c r="F1258" s="9"/>
      <c r="G1258" s="8">
        <f t="shared" si="48"/>
        <v>54.0015</v>
      </c>
      <c r="H1258" s="188">
        <v>51.43</v>
      </c>
      <c r="I1258" s="19">
        <f t="shared" si="49"/>
        <v>0</v>
      </c>
      <c r="L1258" s="131"/>
      <c r="M1258" s="131"/>
      <c r="N1258" s="131"/>
    </row>
    <row r="1259" spans="1:14" hidden="1">
      <c r="A1259" s="100" t="s">
        <v>862</v>
      </c>
      <c r="B1259" s="101" t="s">
        <v>2028</v>
      </c>
      <c r="C1259" s="99" t="s">
        <v>2029</v>
      </c>
      <c r="D1259" s="38"/>
      <c r="E1259" s="42">
        <v>1</v>
      </c>
      <c r="F1259" s="9"/>
      <c r="G1259" s="8">
        <f t="shared" si="48"/>
        <v>66.604124999999996</v>
      </c>
      <c r="H1259" s="188">
        <v>63.432499999999997</v>
      </c>
      <c r="I1259" s="19">
        <f t="shared" si="49"/>
        <v>0</v>
      </c>
      <c r="L1259" s="131"/>
      <c r="M1259" s="131"/>
      <c r="N1259" s="131"/>
    </row>
    <row r="1260" spans="1:14" hidden="1">
      <c r="A1260" s="100" t="s">
        <v>862</v>
      </c>
      <c r="B1260" s="101" t="s">
        <v>2030</v>
      </c>
      <c r="C1260" s="99" t="s">
        <v>2031</v>
      </c>
      <c r="D1260" s="38"/>
      <c r="E1260" s="42">
        <v>1</v>
      </c>
      <c r="F1260" s="9"/>
      <c r="G1260" s="8">
        <f t="shared" si="48"/>
        <v>65.639700000000005</v>
      </c>
      <c r="H1260" s="188">
        <v>62.514000000000003</v>
      </c>
      <c r="I1260" s="19">
        <f t="shared" si="49"/>
        <v>0</v>
      </c>
      <c r="L1260" s="131"/>
      <c r="M1260" s="131"/>
      <c r="N1260" s="131"/>
    </row>
    <row r="1261" spans="1:14" hidden="1">
      <c r="A1261" s="100" t="s">
        <v>862</v>
      </c>
      <c r="B1261" s="101" t="s">
        <v>2032</v>
      </c>
      <c r="C1261" s="99" t="s">
        <v>2033</v>
      </c>
      <c r="D1261" s="38"/>
      <c r="E1261" s="42">
        <v>1</v>
      </c>
      <c r="F1261" s="9"/>
      <c r="G1261" s="8">
        <f t="shared" si="48"/>
        <v>139.153875</v>
      </c>
      <c r="H1261" s="188">
        <v>132.5275</v>
      </c>
      <c r="I1261" s="19">
        <f t="shared" si="49"/>
        <v>0</v>
      </c>
      <c r="L1261" s="131"/>
      <c r="M1261" s="131"/>
      <c r="N1261" s="131"/>
    </row>
    <row r="1262" spans="1:14" hidden="1">
      <c r="A1262" s="100" t="s">
        <v>862</v>
      </c>
      <c r="B1262" s="101" t="s">
        <v>2034</v>
      </c>
      <c r="C1262" s="99" t="s">
        <v>2035</v>
      </c>
      <c r="D1262" s="38"/>
      <c r="E1262" s="42">
        <v>1</v>
      </c>
      <c r="F1262" s="9"/>
      <c r="G1262" s="8">
        <f t="shared" si="48"/>
        <v>157.9725</v>
      </c>
      <c r="H1262" s="188">
        <v>150.44999999999999</v>
      </c>
      <c r="I1262" s="19">
        <f t="shared" si="49"/>
        <v>0</v>
      </c>
      <c r="L1262" s="131"/>
      <c r="M1262" s="131"/>
      <c r="N1262" s="131"/>
    </row>
    <row r="1263" spans="1:14" hidden="1">
      <c r="A1263" s="100" t="s">
        <v>862</v>
      </c>
      <c r="B1263" s="101" t="s">
        <v>2036</v>
      </c>
      <c r="C1263" s="99" t="s">
        <v>2037</v>
      </c>
      <c r="D1263" s="38"/>
      <c r="E1263" s="42">
        <v>1</v>
      </c>
      <c r="F1263" s="9"/>
      <c r="G1263" s="8">
        <f t="shared" si="48"/>
        <v>159.003075</v>
      </c>
      <c r="H1263" s="188">
        <v>151.4315</v>
      </c>
      <c r="I1263" s="19">
        <f t="shared" si="49"/>
        <v>0</v>
      </c>
      <c r="L1263" s="131"/>
      <c r="M1263" s="131"/>
      <c r="N1263" s="131"/>
    </row>
    <row r="1264" spans="1:14" hidden="1">
      <c r="A1264" s="100" t="s">
        <v>862</v>
      </c>
      <c r="B1264" s="101" t="s">
        <v>2038</v>
      </c>
      <c r="C1264" s="99" t="s">
        <v>2039</v>
      </c>
      <c r="D1264" s="38"/>
      <c r="E1264" s="42">
        <v>1</v>
      </c>
      <c r="F1264" s="9"/>
      <c r="G1264" s="8">
        <f t="shared" si="48"/>
        <v>175.05074999999999</v>
      </c>
      <c r="H1264" s="188">
        <v>166.715</v>
      </c>
      <c r="I1264" s="19">
        <f t="shared" si="49"/>
        <v>0</v>
      </c>
      <c r="L1264" s="131"/>
      <c r="M1264" s="131"/>
      <c r="N1264" s="131"/>
    </row>
    <row r="1265" spans="1:14" hidden="1">
      <c r="A1265" s="100" t="s">
        <v>862</v>
      </c>
      <c r="B1265" s="101" t="s">
        <v>2040</v>
      </c>
      <c r="C1265" s="99" t="s">
        <v>2041</v>
      </c>
      <c r="D1265" s="38"/>
      <c r="E1265" s="42">
        <v>1</v>
      </c>
      <c r="F1265" s="9"/>
      <c r="G1265" s="8">
        <f t="shared" si="48"/>
        <v>8.0141249999999999</v>
      </c>
      <c r="H1265" s="188">
        <v>7.6325000000000003</v>
      </c>
      <c r="I1265" s="19">
        <f t="shared" si="49"/>
        <v>0</v>
      </c>
      <c r="L1265" s="131"/>
      <c r="M1265" s="131"/>
      <c r="N1265" s="131"/>
    </row>
    <row r="1266" spans="1:14" hidden="1">
      <c r="A1266" s="100" t="s">
        <v>862</v>
      </c>
      <c r="B1266" s="101" t="s">
        <v>2042</v>
      </c>
      <c r="C1266" s="99" t="s">
        <v>2043</v>
      </c>
      <c r="D1266" s="38"/>
      <c r="E1266" s="42">
        <v>1</v>
      </c>
      <c r="F1266" s="9"/>
      <c r="G1266" s="8">
        <f t="shared" si="48"/>
        <v>8.3621999999999996</v>
      </c>
      <c r="H1266" s="188">
        <v>7.9640000000000004</v>
      </c>
      <c r="I1266" s="19">
        <f t="shared" si="49"/>
        <v>0</v>
      </c>
      <c r="L1266" s="131"/>
      <c r="M1266" s="131"/>
      <c r="N1266" s="131"/>
    </row>
    <row r="1267" spans="1:14" hidden="1">
      <c r="A1267" s="100" t="s">
        <v>862</v>
      </c>
      <c r="B1267" s="101" t="s">
        <v>2044</v>
      </c>
      <c r="C1267" s="99" t="s">
        <v>2045</v>
      </c>
      <c r="D1267" s="38"/>
      <c r="E1267" s="42">
        <v>1</v>
      </c>
      <c r="F1267" s="9"/>
      <c r="G1267" s="8">
        <f t="shared" si="48"/>
        <v>8.7097499999999997</v>
      </c>
      <c r="H1267" s="188">
        <v>8.2949999999999999</v>
      </c>
      <c r="I1267" s="19">
        <f t="shared" si="49"/>
        <v>0</v>
      </c>
      <c r="L1267" s="131"/>
      <c r="M1267" s="131"/>
      <c r="N1267" s="131"/>
    </row>
    <row r="1268" spans="1:14" hidden="1">
      <c r="A1268" s="100" t="s">
        <v>862</v>
      </c>
      <c r="B1268" s="101" t="s">
        <v>2046</v>
      </c>
      <c r="C1268" s="99" t="s">
        <v>2047</v>
      </c>
      <c r="D1268" s="38"/>
      <c r="E1268" s="42">
        <v>1</v>
      </c>
      <c r="F1268" s="9"/>
      <c r="G1268" s="8">
        <f t="shared" si="48"/>
        <v>9.0578249999999993</v>
      </c>
      <c r="H1268" s="188">
        <v>8.6265000000000001</v>
      </c>
      <c r="I1268" s="19">
        <f t="shared" si="49"/>
        <v>0</v>
      </c>
      <c r="L1268" s="131"/>
      <c r="M1268" s="131"/>
      <c r="N1268" s="131"/>
    </row>
    <row r="1269" spans="1:14" hidden="1">
      <c r="A1269" s="100" t="s">
        <v>862</v>
      </c>
      <c r="B1269" s="101" t="s">
        <v>2048</v>
      </c>
      <c r="C1269" s="99" t="s">
        <v>2049</v>
      </c>
      <c r="D1269" s="38"/>
      <c r="E1269" s="42">
        <v>1</v>
      </c>
      <c r="F1269" s="9"/>
      <c r="G1269" s="8">
        <f t="shared" si="48"/>
        <v>9.4053749999999994</v>
      </c>
      <c r="H1269" s="188">
        <v>8.9574999999999996</v>
      </c>
      <c r="I1269" s="19">
        <f t="shared" si="49"/>
        <v>0</v>
      </c>
      <c r="L1269" s="131"/>
      <c r="M1269" s="131"/>
      <c r="N1269" s="131"/>
    </row>
    <row r="1270" spans="1:14" hidden="1">
      <c r="A1270" s="100" t="s">
        <v>862</v>
      </c>
      <c r="B1270" s="101" t="s">
        <v>2050</v>
      </c>
      <c r="C1270" s="99" t="s">
        <v>2051</v>
      </c>
      <c r="D1270" s="38"/>
      <c r="E1270" s="42">
        <v>1</v>
      </c>
      <c r="F1270" s="9"/>
      <c r="G1270" s="8">
        <f t="shared" si="48"/>
        <v>7.3736249999999997</v>
      </c>
      <c r="H1270" s="188">
        <v>7.0225</v>
      </c>
      <c r="I1270" s="19">
        <f t="shared" si="49"/>
        <v>0</v>
      </c>
      <c r="L1270" s="131"/>
      <c r="M1270" s="131"/>
      <c r="N1270" s="131"/>
    </row>
    <row r="1271" spans="1:14" hidden="1">
      <c r="A1271" s="100" t="s">
        <v>862</v>
      </c>
      <c r="B1271" s="101" t="s">
        <v>2052</v>
      </c>
      <c r="C1271" s="99" t="s">
        <v>2053</v>
      </c>
      <c r="D1271" s="38"/>
      <c r="E1271" s="42">
        <v>1</v>
      </c>
      <c r="F1271" s="9"/>
      <c r="G1271" s="8">
        <f t="shared" si="48"/>
        <v>12.103875</v>
      </c>
      <c r="H1271" s="188">
        <v>11.5275</v>
      </c>
      <c r="I1271" s="19">
        <f t="shared" si="49"/>
        <v>0</v>
      </c>
      <c r="L1271" s="131"/>
      <c r="M1271" s="131"/>
      <c r="N1271" s="131"/>
    </row>
    <row r="1272" spans="1:14" hidden="1">
      <c r="A1272" s="100" t="s">
        <v>862</v>
      </c>
      <c r="B1272" s="101" t="s">
        <v>2054</v>
      </c>
      <c r="C1272" s="99" t="s">
        <v>2055</v>
      </c>
      <c r="D1272" s="38"/>
      <c r="E1272" s="42">
        <v>1</v>
      </c>
      <c r="F1272" s="9"/>
      <c r="G1272" s="8">
        <f t="shared" si="48"/>
        <v>1.7944500000000001</v>
      </c>
      <c r="H1272" s="188">
        <v>1.7090000000000001</v>
      </c>
      <c r="I1272" s="19">
        <f t="shared" si="49"/>
        <v>0</v>
      </c>
      <c r="L1272" s="131"/>
      <c r="M1272" s="131"/>
      <c r="N1272" s="131"/>
    </row>
    <row r="1273" spans="1:14" hidden="1">
      <c r="A1273" s="100" t="s">
        <v>862</v>
      </c>
      <c r="B1273" s="101" t="s">
        <v>2056</v>
      </c>
      <c r="C1273" s="99" t="s">
        <v>2057</v>
      </c>
      <c r="D1273" s="38"/>
      <c r="E1273" s="42">
        <v>1</v>
      </c>
      <c r="F1273" s="9"/>
      <c r="G1273" s="8">
        <f t="shared" si="48"/>
        <v>5.5282499999999999</v>
      </c>
      <c r="H1273" s="188">
        <v>5.2649999999999997</v>
      </c>
      <c r="I1273" s="19">
        <f t="shared" si="49"/>
        <v>0</v>
      </c>
      <c r="L1273" s="131"/>
      <c r="M1273" s="131"/>
      <c r="N1273" s="131"/>
    </row>
    <row r="1274" spans="1:14" hidden="1">
      <c r="A1274" s="100" t="s">
        <v>862</v>
      </c>
      <c r="B1274" s="101" t="s">
        <v>2058</v>
      </c>
      <c r="C1274" s="99" t="s">
        <v>2059</v>
      </c>
      <c r="D1274" s="38"/>
      <c r="E1274" s="42">
        <v>1</v>
      </c>
      <c r="F1274" s="9"/>
      <c r="G1274" s="8">
        <f t="shared" si="48"/>
        <v>17.075624999999999</v>
      </c>
      <c r="H1274" s="188">
        <v>16.262499999999999</v>
      </c>
      <c r="I1274" s="19">
        <f t="shared" si="49"/>
        <v>0</v>
      </c>
      <c r="L1274" s="131"/>
      <c r="M1274" s="131"/>
      <c r="N1274" s="131"/>
    </row>
    <row r="1275" spans="1:14" hidden="1">
      <c r="A1275" s="100" t="s">
        <v>862</v>
      </c>
      <c r="B1275" s="101" t="s">
        <v>2060</v>
      </c>
      <c r="C1275" s="99" t="s">
        <v>2061</v>
      </c>
      <c r="D1275" s="38"/>
      <c r="E1275" s="42">
        <v>1</v>
      </c>
      <c r="F1275" s="9"/>
      <c r="G1275" s="8">
        <f t="shared" si="48"/>
        <v>16.58475</v>
      </c>
      <c r="H1275" s="188">
        <v>15.795</v>
      </c>
      <c r="I1275" s="19">
        <f t="shared" si="49"/>
        <v>0</v>
      </c>
      <c r="L1275" s="131"/>
      <c r="M1275" s="131"/>
      <c r="N1275" s="131"/>
    </row>
    <row r="1276" spans="1:14" hidden="1">
      <c r="A1276" s="100" t="s">
        <v>862</v>
      </c>
      <c r="B1276" s="101" t="s">
        <v>2062</v>
      </c>
      <c r="C1276" s="99" t="s">
        <v>2063</v>
      </c>
      <c r="D1276" s="38"/>
      <c r="E1276" s="42">
        <v>1</v>
      </c>
      <c r="F1276" s="9"/>
      <c r="G1276" s="8">
        <f t="shared" si="48"/>
        <v>10.237500000000001</v>
      </c>
      <c r="H1276" s="188">
        <v>9.75</v>
      </c>
      <c r="I1276" s="19">
        <f t="shared" si="49"/>
        <v>0</v>
      </c>
      <c r="L1276" s="131"/>
      <c r="M1276" s="131"/>
      <c r="N1276" s="131"/>
    </row>
    <row r="1277" spans="1:14" hidden="1">
      <c r="A1277" s="100" t="s">
        <v>862</v>
      </c>
      <c r="B1277" s="101" t="s">
        <v>2064</v>
      </c>
      <c r="C1277" s="99" t="s">
        <v>2065</v>
      </c>
      <c r="D1277" s="38"/>
      <c r="E1277" s="42">
        <v>1</v>
      </c>
      <c r="F1277" s="9"/>
      <c r="G1277" s="8">
        <f t="shared" si="48"/>
        <v>7.8188250000000004</v>
      </c>
      <c r="H1277" s="188">
        <v>7.4465000000000003</v>
      </c>
      <c r="I1277" s="19">
        <f t="shared" si="49"/>
        <v>0</v>
      </c>
      <c r="L1277" s="131"/>
      <c r="M1277" s="131"/>
      <c r="N1277" s="131"/>
    </row>
    <row r="1278" spans="1:14" hidden="1">
      <c r="A1278" s="100" t="s">
        <v>862</v>
      </c>
      <c r="B1278" s="101" t="s">
        <v>2066</v>
      </c>
      <c r="C1278" s="99" t="s">
        <v>2067</v>
      </c>
      <c r="D1278" s="38"/>
      <c r="E1278" s="42">
        <v>1</v>
      </c>
      <c r="F1278" s="9"/>
      <c r="G1278" s="8">
        <f t="shared" si="48"/>
        <v>13.56495</v>
      </c>
      <c r="H1278" s="188">
        <v>12.919</v>
      </c>
      <c r="I1278" s="19">
        <f t="shared" si="49"/>
        <v>0</v>
      </c>
      <c r="L1278" s="131"/>
      <c r="M1278" s="131"/>
      <c r="N1278" s="131"/>
    </row>
    <row r="1279" spans="1:14" hidden="1">
      <c r="A1279" s="100" t="s">
        <v>862</v>
      </c>
      <c r="B1279" s="101" t="s">
        <v>2068</v>
      </c>
      <c r="C1279" s="99" t="s">
        <v>2069</v>
      </c>
      <c r="D1279" s="38"/>
      <c r="E1279" s="42">
        <v>1</v>
      </c>
      <c r="F1279" s="9"/>
      <c r="G1279" s="8">
        <f t="shared" si="48"/>
        <v>41.807324999999999</v>
      </c>
      <c r="H1279" s="188">
        <v>39.816499999999998</v>
      </c>
      <c r="I1279" s="19">
        <f t="shared" si="49"/>
        <v>0</v>
      </c>
      <c r="L1279" s="131"/>
      <c r="M1279" s="131"/>
      <c r="N1279" s="131"/>
    </row>
    <row r="1280" spans="1:14" hidden="1">
      <c r="A1280" s="100" t="s">
        <v>862</v>
      </c>
      <c r="B1280" s="101" t="s">
        <v>2070</v>
      </c>
      <c r="C1280" s="99" t="s">
        <v>2071</v>
      </c>
      <c r="D1280" s="38"/>
      <c r="E1280" s="42">
        <v>1</v>
      </c>
      <c r="F1280" s="9"/>
      <c r="G1280" s="8">
        <f t="shared" si="48"/>
        <v>126.0882</v>
      </c>
      <c r="H1280" s="188">
        <v>120.084</v>
      </c>
      <c r="I1280" s="19">
        <f t="shared" si="49"/>
        <v>0</v>
      </c>
      <c r="L1280" s="131"/>
      <c r="M1280" s="131"/>
      <c r="N1280" s="131"/>
    </row>
    <row r="1281" spans="1:14" hidden="1">
      <c r="A1281" s="100" t="s">
        <v>862</v>
      </c>
      <c r="B1281" s="101" t="s">
        <v>2072</v>
      </c>
      <c r="C1281" s="99" t="s">
        <v>2073</v>
      </c>
      <c r="D1281" s="38"/>
      <c r="E1281" s="42">
        <v>1</v>
      </c>
      <c r="F1281" s="9"/>
      <c r="G1281" s="8">
        <f t="shared" si="48"/>
        <v>46.614750000000001</v>
      </c>
      <c r="H1281" s="188">
        <v>44.395000000000003</v>
      </c>
      <c r="I1281" s="19">
        <f t="shared" si="49"/>
        <v>0</v>
      </c>
      <c r="L1281" s="131"/>
      <c r="M1281" s="131"/>
      <c r="N1281" s="131"/>
    </row>
    <row r="1282" spans="1:14" hidden="1">
      <c r="A1282" s="100" t="s">
        <v>862</v>
      </c>
      <c r="B1282" s="101" t="s">
        <v>2074</v>
      </c>
      <c r="C1282" s="99" t="s">
        <v>2075</v>
      </c>
      <c r="D1282" s="38"/>
      <c r="E1282" s="42">
        <v>1</v>
      </c>
      <c r="F1282" s="9"/>
      <c r="G1282" s="8">
        <f t="shared" si="48"/>
        <v>6.0191249999999998</v>
      </c>
      <c r="H1282" s="188">
        <v>5.7324999999999999</v>
      </c>
      <c r="I1282" s="19">
        <f t="shared" si="49"/>
        <v>0</v>
      </c>
      <c r="L1282" s="131"/>
      <c r="M1282" s="131"/>
      <c r="N1282" s="131"/>
    </row>
    <row r="1283" spans="1:14" hidden="1">
      <c r="A1283" s="100" t="s">
        <v>862</v>
      </c>
      <c r="B1283" s="101" t="s">
        <v>2076</v>
      </c>
      <c r="C1283" s="99" t="s">
        <v>2077</v>
      </c>
      <c r="D1283" s="38"/>
      <c r="E1283" s="42">
        <v>1</v>
      </c>
      <c r="F1283" s="9"/>
      <c r="G1283" s="8">
        <f t="shared" si="48"/>
        <v>51.460499999999996</v>
      </c>
      <c r="H1283" s="188">
        <v>49.01</v>
      </c>
      <c r="I1283" s="19">
        <f t="shared" si="49"/>
        <v>0</v>
      </c>
      <c r="L1283" s="131"/>
      <c r="M1283" s="131"/>
      <c r="N1283" s="131"/>
    </row>
    <row r="1284" spans="1:14" hidden="1">
      <c r="A1284" s="100" t="s">
        <v>862</v>
      </c>
      <c r="B1284" s="101" t="s">
        <v>2078</v>
      </c>
      <c r="C1284" s="99" t="s">
        <v>2079</v>
      </c>
      <c r="D1284" s="38"/>
      <c r="E1284" s="42">
        <v>1</v>
      </c>
      <c r="F1284" s="9"/>
      <c r="G1284" s="8">
        <f t="shared" si="48"/>
        <v>51.460499999999996</v>
      </c>
      <c r="H1284" s="188">
        <v>49.01</v>
      </c>
      <c r="I1284" s="19">
        <f t="shared" si="49"/>
        <v>0</v>
      </c>
      <c r="L1284" s="131"/>
      <c r="M1284" s="131"/>
      <c r="N1284" s="131"/>
    </row>
    <row r="1285" spans="1:14" hidden="1">
      <c r="A1285" s="100" t="s">
        <v>862</v>
      </c>
      <c r="B1285" s="101" t="s">
        <v>2080</v>
      </c>
      <c r="C1285" s="99" t="s">
        <v>2081</v>
      </c>
      <c r="D1285" s="38"/>
      <c r="E1285" s="42">
        <v>1</v>
      </c>
      <c r="F1285" s="9"/>
      <c r="G1285" s="8">
        <f t="shared" si="48"/>
        <v>11.316375000000001</v>
      </c>
      <c r="H1285" s="188">
        <v>10.7775</v>
      </c>
      <c r="I1285" s="19">
        <f t="shared" si="49"/>
        <v>0</v>
      </c>
      <c r="L1285" s="131"/>
      <c r="M1285" s="131"/>
      <c r="N1285" s="131"/>
    </row>
    <row r="1286" spans="1:14" hidden="1">
      <c r="A1286" s="100" t="s">
        <v>862</v>
      </c>
      <c r="B1286" s="101" t="s">
        <v>2082</v>
      </c>
      <c r="C1286" s="99" t="s">
        <v>2083</v>
      </c>
      <c r="D1286" s="38"/>
      <c r="E1286" s="42">
        <v>1</v>
      </c>
      <c r="F1286" s="9"/>
      <c r="G1286" s="8">
        <f t="shared" si="48"/>
        <v>0.201075</v>
      </c>
      <c r="H1286" s="188">
        <v>0.1915</v>
      </c>
      <c r="I1286" s="19">
        <f t="shared" si="49"/>
        <v>0</v>
      </c>
      <c r="L1286" s="131"/>
      <c r="M1286" s="131"/>
      <c r="N1286" s="131"/>
    </row>
    <row r="1287" spans="1:14" hidden="1">
      <c r="A1287" s="100" t="s">
        <v>862</v>
      </c>
      <c r="B1287" s="101" t="s">
        <v>2084</v>
      </c>
      <c r="C1287" s="99" t="s">
        <v>2085</v>
      </c>
      <c r="D1287" s="38"/>
      <c r="E1287" s="42">
        <v>1</v>
      </c>
      <c r="F1287" s="9"/>
      <c r="G1287" s="8">
        <f t="shared" si="48"/>
        <v>61.356750000000005</v>
      </c>
      <c r="H1287" s="188">
        <v>58.435000000000002</v>
      </c>
      <c r="I1287" s="19">
        <f t="shared" si="49"/>
        <v>0</v>
      </c>
      <c r="L1287" s="131"/>
      <c r="M1287" s="131"/>
      <c r="N1287" s="131"/>
    </row>
    <row r="1288" spans="1:14" hidden="1">
      <c r="A1288" s="100" t="s">
        <v>862</v>
      </c>
      <c r="B1288" s="101" t="s">
        <v>2086</v>
      </c>
      <c r="C1288" s="99" t="s">
        <v>2087</v>
      </c>
      <c r="D1288" s="38"/>
      <c r="E1288" s="42">
        <v>1</v>
      </c>
      <c r="F1288" s="9"/>
      <c r="G1288" s="8">
        <f t="shared" si="48"/>
        <v>0.38219999999999998</v>
      </c>
      <c r="H1288" s="188">
        <v>0.36399999999999999</v>
      </c>
      <c r="I1288" s="19">
        <f t="shared" si="49"/>
        <v>0</v>
      </c>
      <c r="L1288" s="131"/>
      <c r="M1288" s="131"/>
      <c r="N1288" s="131"/>
    </row>
    <row r="1289" spans="1:14" hidden="1">
      <c r="A1289" s="100" t="s">
        <v>862</v>
      </c>
      <c r="B1289" s="101" t="s">
        <v>2088</v>
      </c>
      <c r="C1289" s="99" t="s">
        <v>2089</v>
      </c>
      <c r="D1289" s="38"/>
      <c r="E1289" s="42">
        <v>1</v>
      </c>
      <c r="F1289" s="9"/>
      <c r="G1289" s="8">
        <f t="shared" si="48"/>
        <v>0.26250000000000001</v>
      </c>
      <c r="H1289" s="188">
        <v>0.25</v>
      </c>
      <c r="I1289" s="19">
        <f t="shared" si="49"/>
        <v>0</v>
      </c>
      <c r="L1289" s="131"/>
      <c r="M1289" s="131"/>
      <c r="N1289" s="131"/>
    </row>
    <row r="1290" spans="1:14" hidden="1">
      <c r="A1290" s="100" t="s">
        <v>862</v>
      </c>
      <c r="B1290" s="101" t="s">
        <v>2090</v>
      </c>
      <c r="C1290" s="99" t="s">
        <v>2091</v>
      </c>
      <c r="D1290" s="38" t="s">
        <v>945</v>
      </c>
      <c r="E1290" s="42">
        <v>1</v>
      </c>
      <c r="F1290" s="9"/>
      <c r="G1290" s="8">
        <f t="shared" si="48"/>
        <v>9.6652500000000003</v>
      </c>
      <c r="H1290" s="188">
        <v>9.2050000000000001</v>
      </c>
      <c r="I1290" s="19">
        <f t="shared" si="49"/>
        <v>0</v>
      </c>
      <c r="L1290" s="131"/>
      <c r="M1290" s="131"/>
      <c r="N1290" s="131"/>
    </row>
    <row r="1291" spans="1:14" hidden="1">
      <c r="A1291" s="100" t="s">
        <v>862</v>
      </c>
      <c r="B1291" s="101" t="s">
        <v>2092</v>
      </c>
      <c r="C1291" s="99" t="s">
        <v>2093</v>
      </c>
      <c r="D1291" s="38"/>
      <c r="E1291" s="42">
        <v>1</v>
      </c>
      <c r="F1291" s="9"/>
      <c r="G1291" s="8">
        <f t="shared" si="48"/>
        <v>5.8012500000000005</v>
      </c>
      <c r="H1291" s="188">
        <v>5.5250000000000004</v>
      </c>
      <c r="I1291" s="19">
        <f t="shared" si="49"/>
        <v>0</v>
      </c>
      <c r="L1291" s="131"/>
      <c r="M1291" s="131"/>
      <c r="N1291" s="131"/>
    </row>
    <row r="1292" spans="1:14" hidden="1">
      <c r="A1292" s="100" t="s">
        <v>862</v>
      </c>
      <c r="B1292" s="101" t="s">
        <v>2094</v>
      </c>
      <c r="C1292" s="99" t="s">
        <v>2095</v>
      </c>
      <c r="D1292" s="38"/>
      <c r="E1292" s="42">
        <v>1</v>
      </c>
      <c r="F1292" s="9"/>
      <c r="G1292" s="8">
        <f t="shared" si="48"/>
        <v>17.977575000000002</v>
      </c>
      <c r="H1292" s="188">
        <v>17.121500000000001</v>
      </c>
      <c r="I1292" s="19">
        <f t="shared" si="49"/>
        <v>0</v>
      </c>
      <c r="L1292" s="131"/>
      <c r="M1292" s="131"/>
      <c r="N1292" s="131"/>
    </row>
    <row r="1293" spans="1:14" hidden="1">
      <c r="A1293" s="100" t="s">
        <v>862</v>
      </c>
      <c r="B1293" s="101" t="s">
        <v>2096</v>
      </c>
      <c r="C1293" s="99" t="s">
        <v>2097</v>
      </c>
      <c r="D1293" s="38"/>
      <c r="E1293" s="42">
        <v>1</v>
      </c>
      <c r="F1293" s="9"/>
      <c r="G1293" s="8">
        <f t="shared" si="48"/>
        <v>8.7360000000000007</v>
      </c>
      <c r="H1293" s="188">
        <v>8.32</v>
      </c>
      <c r="I1293" s="19">
        <f t="shared" si="49"/>
        <v>0</v>
      </c>
      <c r="L1293" s="131"/>
      <c r="M1293" s="131"/>
      <c r="N1293" s="131"/>
    </row>
    <row r="1294" spans="1:14" hidden="1">
      <c r="A1294" s="100" t="s">
        <v>862</v>
      </c>
      <c r="B1294" s="101" t="s">
        <v>2098</v>
      </c>
      <c r="C1294" s="99" t="s">
        <v>2099</v>
      </c>
      <c r="D1294" s="38" t="s">
        <v>945</v>
      </c>
      <c r="E1294" s="42">
        <v>1</v>
      </c>
      <c r="F1294" s="9"/>
      <c r="G1294" s="8">
        <f t="shared" si="48"/>
        <v>40.335749999999997</v>
      </c>
      <c r="H1294" s="188">
        <v>38.414999999999999</v>
      </c>
      <c r="I1294" s="19">
        <f t="shared" si="49"/>
        <v>0</v>
      </c>
      <c r="L1294" s="131"/>
      <c r="M1294" s="131"/>
      <c r="N1294" s="131"/>
    </row>
    <row r="1295" spans="1:14" hidden="1">
      <c r="A1295" s="100" t="s">
        <v>862</v>
      </c>
      <c r="B1295" s="101" t="s">
        <v>2100</v>
      </c>
      <c r="C1295" s="99" t="s">
        <v>2101</v>
      </c>
      <c r="D1295" s="38"/>
      <c r="E1295" s="42">
        <v>1</v>
      </c>
      <c r="F1295" s="9"/>
      <c r="G1295" s="8">
        <f t="shared" si="48"/>
        <v>41.6325</v>
      </c>
      <c r="H1295" s="188">
        <v>39.65</v>
      </c>
      <c r="I1295" s="19">
        <f t="shared" si="49"/>
        <v>0</v>
      </c>
      <c r="L1295" s="131"/>
      <c r="M1295" s="131"/>
      <c r="N1295" s="131"/>
    </row>
    <row r="1296" spans="1:14" hidden="1">
      <c r="A1296" s="100" t="s">
        <v>862</v>
      </c>
      <c r="B1296" s="101" t="s">
        <v>2102</v>
      </c>
      <c r="C1296" s="99" t="s">
        <v>2103</v>
      </c>
      <c r="D1296" s="38"/>
      <c r="E1296" s="42">
        <v>1</v>
      </c>
      <c r="F1296" s="9"/>
      <c r="G1296" s="8">
        <f t="shared" si="48"/>
        <v>215.8065</v>
      </c>
      <c r="H1296" s="188">
        <v>205.53</v>
      </c>
      <c r="I1296" s="19">
        <f t="shared" si="49"/>
        <v>0</v>
      </c>
      <c r="L1296" s="131"/>
      <c r="M1296" s="131"/>
      <c r="N1296" s="131"/>
    </row>
    <row r="1297" spans="1:14" hidden="1">
      <c r="A1297" s="100" t="s">
        <v>862</v>
      </c>
      <c r="B1297" s="101" t="s">
        <v>2104</v>
      </c>
      <c r="C1297" s="99" t="s">
        <v>2105</v>
      </c>
      <c r="D1297" s="38"/>
      <c r="E1297" s="42">
        <v>1</v>
      </c>
      <c r="F1297" s="9"/>
      <c r="G1297" s="8">
        <f t="shared" si="48"/>
        <v>10.16925</v>
      </c>
      <c r="H1297" s="188">
        <v>9.6850000000000005</v>
      </c>
      <c r="I1297" s="19">
        <f t="shared" si="49"/>
        <v>0</v>
      </c>
      <c r="L1297" s="131"/>
      <c r="M1297" s="131"/>
      <c r="N1297" s="131"/>
    </row>
    <row r="1298" spans="1:14" hidden="1">
      <c r="A1298" s="100" t="s">
        <v>862</v>
      </c>
      <c r="B1298" s="101" t="s">
        <v>2106</v>
      </c>
      <c r="C1298" s="99" t="s">
        <v>2107</v>
      </c>
      <c r="D1298" s="38"/>
      <c r="E1298" s="42">
        <v>1</v>
      </c>
      <c r="F1298" s="9"/>
      <c r="G1298" s="8">
        <f t="shared" si="48"/>
        <v>10.645949999999999</v>
      </c>
      <c r="H1298" s="188">
        <v>10.138999999999999</v>
      </c>
      <c r="I1298" s="19">
        <f t="shared" si="49"/>
        <v>0</v>
      </c>
      <c r="L1298" s="131"/>
      <c r="M1298" s="131"/>
      <c r="N1298" s="131"/>
    </row>
    <row r="1299" spans="1:14" hidden="1">
      <c r="A1299" s="100" t="s">
        <v>862</v>
      </c>
      <c r="B1299" s="102" t="s">
        <v>2108</v>
      </c>
      <c r="C1299" s="99" t="s">
        <v>2109</v>
      </c>
      <c r="D1299" s="38"/>
      <c r="E1299" s="42">
        <v>1</v>
      </c>
      <c r="F1299" s="9"/>
      <c r="G1299" s="8">
        <f t="shared" si="48"/>
        <v>10.787699999999999</v>
      </c>
      <c r="H1299" s="188">
        <v>10.273999999999999</v>
      </c>
      <c r="I1299" s="19">
        <f t="shared" si="49"/>
        <v>0</v>
      </c>
      <c r="L1299" s="131"/>
      <c r="M1299" s="131"/>
      <c r="N1299" s="131"/>
    </row>
    <row r="1300" spans="1:14" hidden="1">
      <c r="A1300" s="100" t="s">
        <v>862</v>
      </c>
      <c r="B1300" s="102" t="s">
        <v>2110</v>
      </c>
      <c r="C1300" s="99" t="s">
        <v>2111</v>
      </c>
      <c r="D1300" s="38"/>
      <c r="E1300" s="42">
        <v>1</v>
      </c>
      <c r="F1300" s="9"/>
      <c r="G1300" s="8">
        <f t="shared" si="48"/>
        <v>11.000325</v>
      </c>
      <c r="H1300" s="188">
        <v>10.4765</v>
      </c>
      <c r="I1300" s="19">
        <f t="shared" si="49"/>
        <v>0</v>
      </c>
      <c r="L1300" s="131"/>
      <c r="M1300" s="131"/>
      <c r="N1300" s="131"/>
    </row>
    <row r="1301" spans="1:14" hidden="1">
      <c r="A1301" s="100" t="s">
        <v>862</v>
      </c>
      <c r="B1301" s="101" t="s">
        <v>2112</v>
      </c>
      <c r="C1301" s="99" t="s">
        <v>2113</v>
      </c>
      <c r="D1301" s="38"/>
      <c r="E1301" s="42">
        <v>1</v>
      </c>
      <c r="F1301" s="9"/>
      <c r="G1301" s="8">
        <f t="shared" si="48"/>
        <v>11.142075</v>
      </c>
      <c r="H1301" s="188">
        <v>10.611499999999999</v>
      </c>
      <c r="I1301" s="19">
        <f t="shared" si="49"/>
        <v>0</v>
      </c>
      <c r="L1301" s="131"/>
      <c r="M1301" s="131"/>
      <c r="N1301" s="131"/>
    </row>
    <row r="1302" spans="1:14" hidden="1">
      <c r="A1302" s="100" t="s">
        <v>862</v>
      </c>
      <c r="B1302" s="102" t="s">
        <v>2114</v>
      </c>
      <c r="C1302" s="99" t="s">
        <v>2115</v>
      </c>
      <c r="D1302" s="38"/>
      <c r="E1302" s="42">
        <v>1</v>
      </c>
      <c r="F1302" s="9"/>
      <c r="G1302" s="8">
        <f t="shared" si="48"/>
        <v>11.283824999999998</v>
      </c>
      <c r="H1302" s="188">
        <v>10.746499999999999</v>
      </c>
      <c r="I1302" s="19">
        <f t="shared" si="49"/>
        <v>0</v>
      </c>
      <c r="L1302" s="131"/>
      <c r="M1302" s="131"/>
      <c r="N1302" s="131"/>
    </row>
    <row r="1303" spans="1:14" hidden="1">
      <c r="A1303" s="100" t="s">
        <v>862</v>
      </c>
      <c r="B1303" s="102" t="s">
        <v>2116</v>
      </c>
      <c r="C1303" s="99" t="s">
        <v>2117</v>
      </c>
      <c r="D1303" s="38"/>
      <c r="E1303" s="42">
        <v>1</v>
      </c>
      <c r="F1303" s="9"/>
      <c r="G1303" s="8">
        <f t="shared" si="48"/>
        <v>11.425575</v>
      </c>
      <c r="H1303" s="188">
        <v>10.881500000000001</v>
      </c>
      <c r="I1303" s="19">
        <f t="shared" si="49"/>
        <v>0</v>
      </c>
      <c r="L1303" s="131"/>
      <c r="M1303" s="131"/>
      <c r="N1303" s="131"/>
    </row>
    <row r="1304" spans="1:14" hidden="1">
      <c r="A1304" s="100" t="s">
        <v>862</v>
      </c>
      <c r="B1304" s="101" t="s">
        <v>2118</v>
      </c>
      <c r="C1304" s="99" t="s">
        <v>2119</v>
      </c>
      <c r="D1304" s="38"/>
      <c r="E1304" s="42">
        <v>1</v>
      </c>
      <c r="F1304" s="9"/>
      <c r="G1304" s="8">
        <f t="shared" si="48"/>
        <v>11.567325</v>
      </c>
      <c r="H1304" s="188">
        <v>11.016500000000001</v>
      </c>
      <c r="I1304" s="19">
        <f t="shared" si="49"/>
        <v>0</v>
      </c>
      <c r="L1304" s="131"/>
      <c r="M1304" s="131"/>
      <c r="N1304" s="131"/>
    </row>
    <row r="1305" spans="1:14" hidden="1">
      <c r="A1305" s="100" t="s">
        <v>862</v>
      </c>
      <c r="B1305" s="101" t="s">
        <v>2120</v>
      </c>
      <c r="C1305" s="99" t="s">
        <v>2121</v>
      </c>
      <c r="D1305" s="38"/>
      <c r="E1305" s="42">
        <v>1</v>
      </c>
      <c r="F1305" s="9"/>
      <c r="G1305" s="8">
        <f t="shared" si="48"/>
        <v>11.907</v>
      </c>
      <c r="H1305" s="188">
        <v>11.34</v>
      </c>
      <c r="I1305" s="19">
        <f t="shared" si="49"/>
        <v>0</v>
      </c>
      <c r="L1305" s="131"/>
      <c r="M1305" s="131"/>
      <c r="N1305" s="131"/>
    </row>
    <row r="1306" spans="1:14" hidden="1">
      <c r="A1306" s="100" t="s">
        <v>862</v>
      </c>
      <c r="B1306" s="101" t="s">
        <v>2122</v>
      </c>
      <c r="C1306" s="99" t="s">
        <v>2123</v>
      </c>
      <c r="D1306" s="38"/>
      <c r="E1306" s="42">
        <v>1</v>
      </c>
      <c r="F1306" s="9"/>
      <c r="G1306" s="8">
        <f t="shared" si="48"/>
        <v>12.205200000000001</v>
      </c>
      <c r="H1306" s="188">
        <v>11.624000000000001</v>
      </c>
      <c r="I1306" s="19">
        <f t="shared" si="49"/>
        <v>0</v>
      </c>
      <c r="L1306" s="131"/>
      <c r="M1306" s="131"/>
      <c r="N1306" s="131"/>
    </row>
    <row r="1307" spans="1:14" hidden="1">
      <c r="A1307" s="100" t="s">
        <v>862</v>
      </c>
      <c r="B1307" s="102" t="s">
        <v>2124</v>
      </c>
      <c r="C1307" s="99" t="s">
        <v>2125</v>
      </c>
      <c r="D1307" s="38"/>
      <c r="E1307" s="42">
        <v>1</v>
      </c>
      <c r="F1307" s="9"/>
      <c r="G1307" s="8">
        <f t="shared" si="48"/>
        <v>28.59675</v>
      </c>
      <c r="H1307" s="188">
        <v>27.234999999999999</v>
      </c>
      <c r="I1307" s="19">
        <f t="shared" si="49"/>
        <v>0</v>
      </c>
      <c r="L1307" s="131"/>
      <c r="M1307" s="131"/>
      <c r="N1307" s="131"/>
    </row>
    <row r="1308" spans="1:14" hidden="1">
      <c r="A1308" s="100" t="s">
        <v>862</v>
      </c>
      <c r="B1308" s="102" t="s">
        <v>2126</v>
      </c>
      <c r="C1308" s="99" t="s">
        <v>2127</v>
      </c>
      <c r="D1308" s="38"/>
      <c r="E1308" s="42">
        <v>1</v>
      </c>
      <c r="F1308" s="9"/>
      <c r="G1308" s="8">
        <f t="shared" si="48"/>
        <v>18.837</v>
      </c>
      <c r="H1308" s="188">
        <v>17.940000000000001</v>
      </c>
      <c r="I1308" s="19">
        <f t="shared" si="49"/>
        <v>0</v>
      </c>
      <c r="L1308" s="131"/>
      <c r="M1308" s="131"/>
      <c r="N1308" s="131"/>
    </row>
    <row r="1309" spans="1:14" hidden="1">
      <c r="A1309" s="100" t="s">
        <v>862</v>
      </c>
      <c r="B1309" s="101" t="s">
        <v>2128</v>
      </c>
      <c r="C1309" s="99" t="s">
        <v>2129</v>
      </c>
      <c r="D1309" s="38"/>
      <c r="E1309" s="42">
        <v>1</v>
      </c>
      <c r="F1309" s="9"/>
      <c r="G1309" s="8">
        <f t="shared" si="48"/>
        <v>42.238875</v>
      </c>
      <c r="H1309" s="188">
        <v>40.227499999999999</v>
      </c>
      <c r="I1309" s="19">
        <f t="shared" si="49"/>
        <v>0</v>
      </c>
      <c r="L1309" s="131"/>
      <c r="M1309" s="131"/>
      <c r="N1309" s="131"/>
    </row>
    <row r="1310" spans="1:14" hidden="1">
      <c r="A1310" s="100" t="s">
        <v>862</v>
      </c>
      <c r="B1310" s="102" t="s">
        <v>2130</v>
      </c>
      <c r="C1310" s="99" t="s">
        <v>2131</v>
      </c>
      <c r="D1310" s="38"/>
      <c r="E1310" s="42">
        <v>1</v>
      </c>
      <c r="F1310" s="9"/>
      <c r="G1310" s="8">
        <f t="shared" si="48"/>
        <v>14.0595</v>
      </c>
      <c r="H1310" s="188">
        <v>13.39</v>
      </c>
      <c r="I1310" s="19">
        <f t="shared" si="49"/>
        <v>0</v>
      </c>
      <c r="L1310" s="131"/>
      <c r="M1310" s="131"/>
      <c r="N1310" s="131"/>
    </row>
    <row r="1311" spans="1:14" hidden="1">
      <c r="A1311" s="100" t="s">
        <v>862</v>
      </c>
      <c r="B1311" s="102" t="s">
        <v>2132</v>
      </c>
      <c r="C1311" s="99" t="s">
        <v>2133</v>
      </c>
      <c r="D1311" s="38"/>
      <c r="E1311" s="42">
        <v>1</v>
      </c>
      <c r="F1311" s="9"/>
      <c r="G1311" s="8">
        <f t="shared" si="48"/>
        <v>42.131250000000001</v>
      </c>
      <c r="H1311" s="188">
        <v>40.125</v>
      </c>
      <c r="I1311" s="19">
        <f t="shared" si="49"/>
        <v>0</v>
      </c>
      <c r="L1311" s="131"/>
      <c r="M1311" s="131"/>
      <c r="N1311" s="131"/>
    </row>
    <row r="1312" spans="1:14" hidden="1">
      <c r="A1312" s="100" t="s">
        <v>862</v>
      </c>
      <c r="B1312" s="101" t="s">
        <v>2134</v>
      </c>
      <c r="C1312" s="99" t="s">
        <v>2135</v>
      </c>
      <c r="D1312" s="38"/>
      <c r="E1312" s="42">
        <v>1</v>
      </c>
      <c r="F1312" s="9"/>
      <c r="G1312" s="8">
        <f t="shared" si="48"/>
        <v>33.510750000000002</v>
      </c>
      <c r="H1312" s="188">
        <v>31.914999999999999</v>
      </c>
      <c r="I1312" s="19">
        <f t="shared" si="49"/>
        <v>0</v>
      </c>
      <c r="L1312" s="131"/>
      <c r="M1312" s="131"/>
      <c r="N1312" s="131"/>
    </row>
    <row r="1313" spans="1:14" hidden="1">
      <c r="A1313" s="100" t="s">
        <v>862</v>
      </c>
      <c r="B1313" s="101" t="s">
        <v>2136</v>
      </c>
      <c r="C1313" s="99" t="s">
        <v>2137</v>
      </c>
      <c r="D1313" s="38"/>
      <c r="E1313" s="42">
        <v>1</v>
      </c>
      <c r="F1313" s="9"/>
      <c r="G1313" s="8">
        <f t="shared" si="48"/>
        <v>46.410000000000004</v>
      </c>
      <c r="H1313" s="188">
        <v>44.2</v>
      </c>
      <c r="I1313" s="19">
        <f t="shared" si="49"/>
        <v>0</v>
      </c>
      <c r="L1313" s="131"/>
      <c r="M1313" s="131"/>
      <c r="N1313" s="131"/>
    </row>
    <row r="1314" spans="1:14" hidden="1">
      <c r="A1314" s="100" t="s">
        <v>862</v>
      </c>
      <c r="B1314" s="101" t="s">
        <v>2138</v>
      </c>
      <c r="C1314" s="99" t="s">
        <v>2139</v>
      </c>
      <c r="D1314" s="38" t="s">
        <v>945</v>
      </c>
      <c r="E1314" s="42">
        <v>1</v>
      </c>
      <c r="F1314" s="9"/>
      <c r="G1314" s="8">
        <f t="shared" si="48"/>
        <v>21.4725</v>
      </c>
      <c r="H1314" s="188">
        <v>20.45</v>
      </c>
      <c r="I1314" s="19">
        <f t="shared" si="49"/>
        <v>0</v>
      </c>
      <c r="L1314" s="131"/>
      <c r="M1314" s="131"/>
      <c r="N1314" s="131"/>
    </row>
    <row r="1315" spans="1:14" hidden="1">
      <c r="A1315" s="100" t="s">
        <v>862</v>
      </c>
      <c r="B1315" s="101" t="s">
        <v>2140</v>
      </c>
      <c r="C1315" s="99" t="s">
        <v>2141</v>
      </c>
      <c r="D1315" s="38" t="s">
        <v>945</v>
      </c>
      <c r="E1315" s="42">
        <v>1</v>
      </c>
      <c r="F1315" s="9"/>
      <c r="G1315" s="8">
        <f t="shared" si="48"/>
        <v>32.213999999999999</v>
      </c>
      <c r="H1315" s="188">
        <v>30.68</v>
      </c>
      <c r="I1315" s="19">
        <f t="shared" si="49"/>
        <v>0</v>
      </c>
      <c r="L1315" s="131"/>
      <c r="M1315" s="131"/>
      <c r="N1315" s="131"/>
    </row>
    <row r="1316" spans="1:14" hidden="1">
      <c r="A1316" s="100" t="s">
        <v>862</v>
      </c>
      <c r="B1316" s="101" t="s">
        <v>2142</v>
      </c>
      <c r="C1316" s="99" t="s">
        <v>2143</v>
      </c>
      <c r="D1316" s="38"/>
      <c r="E1316" s="42">
        <v>1</v>
      </c>
      <c r="F1316" s="9"/>
      <c r="G1316" s="8">
        <f t="shared" si="48"/>
        <v>9.1874999999999998E-2</v>
      </c>
      <c r="H1316" s="188">
        <v>8.7499999999999994E-2</v>
      </c>
      <c r="I1316" s="19">
        <f t="shared" si="49"/>
        <v>0</v>
      </c>
      <c r="L1316" s="131"/>
      <c r="M1316" s="131"/>
      <c r="N1316" s="131"/>
    </row>
    <row r="1317" spans="1:14" hidden="1">
      <c r="A1317" s="100" t="s">
        <v>862</v>
      </c>
      <c r="B1317" s="101" t="s">
        <v>2144</v>
      </c>
      <c r="C1317" s="99" t="s">
        <v>2145</v>
      </c>
      <c r="D1317" s="38"/>
      <c r="E1317" s="42">
        <v>1</v>
      </c>
      <c r="F1317" s="9"/>
      <c r="G1317" s="8">
        <f t="shared" ref="G1317:G1380" si="50">H1317+(H1317*5%)</f>
        <v>19.327874999999999</v>
      </c>
      <c r="H1317" s="188">
        <v>18.407499999999999</v>
      </c>
      <c r="I1317" s="19">
        <f t="shared" si="49"/>
        <v>0</v>
      </c>
      <c r="L1317" s="131"/>
      <c r="M1317" s="131"/>
      <c r="N1317" s="131"/>
    </row>
    <row r="1318" spans="1:14" hidden="1">
      <c r="A1318" s="100" t="s">
        <v>862</v>
      </c>
      <c r="B1318" s="101" t="s">
        <v>2146</v>
      </c>
      <c r="C1318" s="99" t="s">
        <v>2147</v>
      </c>
      <c r="D1318" s="38"/>
      <c r="E1318" s="42">
        <v>1</v>
      </c>
      <c r="F1318" s="9"/>
      <c r="G1318" s="8">
        <f t="shared" si="50"/>
        <v>44.021249999999995</v>
      </c>
      <c r="H1318" s="188">
        <v>41.924999999999997</v>
      </c>
      <c r="I1318" s="19">
        <f t="shared" ref="I1318:I1381" si="51">G1318*F1318</f>
        <v>0</v>
      </c>
      <c r="L1318" s="131"/>
      <c r="M1318" s="131"/>
      <c r="N1318" s="131"/>
    </row>
    <row r="1319" spans="1:14" hidden="1">
      <c r="A1319" s="100" t="s">
        <v>862</v>
      </c>
      <c r="B1319" s="101" t="s">
        <v>2148</v>
      </c>
      <c r="C1319" s="99" t="s">
        <v>2149</v>
      </c>
      <c r="D1319" s="38"/>
      <c r="E1319" s="42">
        <v>1</v>
      </c>
      <c r="F1319" s="9"/>
      <c r="G1319" s="8">
        <f t="shared" si="50"/>
        <v>12.298125000000001</v>
      </c>
      <c r="H1319" s="188">
        <v>11.7125</v>
      </c>
      <c r="I1319" s="19">
        <f t="shared" si="51"/>
        <v>0</v>
      </c>
      <c r="L1319" s="131"/>
      <c r="M1319" s="131"/>
      <c r="N1319" s="131"/>
    </row>
    <row r="1320" spans="1:14" hidden="1">
      <c r="A1320" s="100" t="s">
        <v>862</v>
      </c>
      <c r="B1320" s="97" t="s">
        <v>2150</v>
      </c>
      <c r="C1320" s="98" t="s">
        <v>2151</v>
      </c>
      <c r="D1320" s="38" t="s">
        <v>945</v>
      </c>
      <c r="E1320" s="42">
        <v>1</v>
      </c>
      <c r="F1320" s="9"/>
      <c r="G1320" s="8">
        <f t="shared" si="50"/>
        <v>135.13499999999999</v>
      </c>
      <c r="H1320" s="188">
        <v>128.69999999999999</v>
      </c>
      <c r="I1320" s="19">
        <f t="shared" si="51"/>
        <v>0</v>
      </c>
      <c r="L1320" s="131"/>
      <c r="M1320" s="131"/>
      <c r="N1320" s="131"/>
    </row>
    <row r="1321" spans="1:14" hidden="1">
      <c r="A1321" s="100" t="s">
        <v>862</v>
      </c>
      <c r="B1321" s="101" t="s">
        <v>2152</v>
      </c>
      <c r="C1321" s="99" t="s">
        <v>2153</v>
      </c>
      <c r="D1321" s="38"/>
      <c r="E1321" s="42">
        <v>1</v>
      </c>
      <c r="F1321" s="9"/>
      <c r="G1321" s="8">
        <f t="shared" si="50"/>
        <v>7.8225000000000003E-2</v>
      </c>
      <c r="H1321" s="188">
        <v>7.4499999999999997E-2</v>
      </c>
      <c r="I1321" s="19">
        <f t="shared" si="51"/>
        <v>0</v>
      </c>
      <c r="L1321" s="131"/>
      <c r="M1321" s="131"/>
      <c r="N1321" s="131"/>
    </row>
    <row r="1322" spans="1:14" hidden="1">
      <c r="A1322" s="100" t="s">
        <v>862</v>
      </c>
      <c r="B1322" s="101" t="s">
        <v>2154</v>
      </c>
      <c r="C1322" s="99" t="s">
        <v>2155</v>
      </c>
      <c r="D1322" s="38"/>
      <c r="E1322" s="42">
        <v>1</v>
      </c>
      <c r="F1322" s="9"/>
      <c r="G1322" s="8">
        <f t="shared" si="50"/>
        <v>187.55100000000002</v>
      </c>
      <c r="H1322" s="188">
        <v>178.62</v>
      </c>
      <c r="I1322" s="19">
        <f t="shared" si="51"/>
        <v>0</v>
      </c>
      <c r="L1322" s="131"/>
      <c r="M1322" s="131"/>
      <c r="N1322" s="131"/>
    </row>
    <row r="1323" spans="1:14" hidden="1">
      <c r="A1323" s="100" t="s">
        <v>862</v>
      </c>
      <c r="B1323" s="101" t="s">
        <v>2156</v>
      </c>
      <c r="C1323" s="99" t="s">
        <v>2157</v>
      </c>
      <c r="D1323" s="38"/>
      <c r="E1323" s="42">
        <v>1</v>
      </c>
      <c r="F1323" s="9"/>
      <c r="G1323" s="8">
        <f t="shared" si="50"/>
        <v>2.7824999999999999E-2</v>
      </c>
      <c r="H1323" s="188">
        <v>2.6499999999999999E-2</v>
      </c>
      <c r="I1323" s="19">
        <f t="shared" si="51"/>
        <v>0</v>
      </c>
      <c r="L1323" s="131"/>
      <c r="M1323" s="131"/>
      <c r="N1323" s="131"/>
    </row>
    <row r="1324" spans="1:14" hidden="1">
      <c r="A1324" s="100" t="s">
        <v>862</v>
      </c>
      <c r="B1324" s="101" t="s">
        <v>2158</v>
      </c>
      <c r="C1324" s="99" t="s">
        <v>2159</v>
      </c>
      <c r="D1324" s="38"/>
      <c r="E1324" s="42">
        <v>1</v>
      </c>
      <c r="F1324" s="9"/>
      <c r="G1324" s="8">
        <f t="shared" si="50"/>
        <v>0.58590000000000009</v>
      </c>
      <c r="H1324" s="188">
        <v>0.55800000000000005</v>
      </c>
      <c r="I1324" s="19">
        <f t="shared" si="51"/>
        <v>0</v>
      </c>
      <c r="L1324" s="131"/>
      <c r="M1324" s="131"/>
      <c r="N1324" s="131"/>
    </row>
    <row r="1325" spans="1:14" hidden="1">
      <c r="A1325" s="100" t="s">
        <v>862</v>
      </c>
      <c r="B1325" s="101" t="s">
        <v>2160</v>
      </c>
      <c r="C1325" s="99" t="s">
        <v>2161</v>
      </c>
      <c r="D1325" s="38"/>
      <c r="E1325" s="42">
        <v>1</v>
      </c>
      <c r="F1325" s="9"/>
      <c r="G1325" s="8">
        <f t="shared" si="50"/>
        <v>50.982750000000003</v>
      </c>
      <c r="H1325" s="188">
        <v>48.555</v>
      </c>
      <c r="I1325" s="19">
        <f t="shared" si="51"/>
        <v>0</v>
      </c>
      <c r="L1325" s="131"/>
      <c r="M1325" s="131"/>
      <c r="N1325" s="131"/>
    </row>
    <row r="1326" spans="1:14" hidden="1">
      <c r="A1326" s="100" t="s">
        <v>862</v>
      </c>
      <c r="B1326" s="101" t="s">
        <v>2162</v>
      </c>
      <c r="C1326" s="99" t="s">
        <v>2163</v>
      </c>
      <c r="D1326" s="38"/>
      <c r="E1326" s="42">
        <v>1</v>
      </c>
      <c r="F1326" s="9"/>
      <c r="G1326" s="8">
        <f t="shared" si="50"/>
        <v>38.292450000000002</v>
      </c>
      <c r="H1326" s="188">
        <v>36.469000000000001</v>
      </c>
      <c r="I1326" s="19">
        <f t="shared" si="51"/>
        <v>0</v>
      </c>
      <c r="L1326" s="131"/>
      <c r="M1326" s="131"/>
      <c r="N1326" s="131"/>
    </row>
    <row r="1327" spans="1:14" hidden="1">
      <c r="A1327" s="100" t="s">
        <v>862</v>
      </c>
      <c r="B1327" s="101" t="s">
        <v>2164</v>
      </c>
      <c r="C1327" s="99" t="s">
        <v>2165</v>
      </c>
      <c r="D1327" s="38"/>
      <c r="E1327" s="42">
        <v>1</v>
      </c>
      <c r="F1327" s="9"/>
      <c r="G1327" s="8">
        <f t="shared" si="50"/>
        <v>38.356500000000004</v>
      </c>
      <c r="H1327" s="188">
        <v>36.53</v>
      </c>
      <c r="I1327" s="19">
        <f t="shared" si="51"/>
        <v>0</v>
      </c>
      <c r="L1327" s="131"/>
      <c r="M1327" s="131"/>
      <c r="N1327" s="131"/>
    </row>
    <row r="1328" spans="1:14" hidden="1">
      <c r="A1328" s="100" t="s">
        <v>862</v>
      </c>
      <c r="B1328" s="101" t="s">
        <v>2166</v>
      </c>
      <c r="C1328" s="99" t="s">
        <v>2167</v>
      </c>
      <c r="D1328" s="38"/>
      <c r="E1328" s="42">
        <v>1</v>
      </c>
      <c r="F1328" s="9"/>
      <c r="G1328" s="8">
        <f t="shared" si="50"/>
        <v>0.99644999999999995</v>
      </c>
      <c r="H1328" s="188">
        <v>0.94899999999999995</v>
      </c>
      <c r="I1328" s="19">
        <f t="shared" si="51"/>
        <v>0</v>
      </c>
      <c r="L1328" s="131"/>
      <c r="M1328" s="131"/>
      <c r="N1328" s="131"/>
    </row>
    <row r="1329" spans="1:14" hidden="1">
      <c r="A1329" s="100" t="s">
        <v>862</v>
      </c>
      <c r="B1329" s="101" t="s">
        <v>2168</v>
      </c>
      <c r="C1329" s="99" t="s">
        <v>2169</v>
      </c>
      <c r="D1329" s="38"/>
      <c r="E1329" s="42">
        <v>1</v>
      </c>
      <c r="F1329" s="9"/>
      <c r="G1329" s="8">
        <f t="shared" si="50"/>
        <v>0.31395000000000001</v>
      </c>
      <c r="H1329" s="188">
        <v>0.29899999999999999</v>
      </c>
      <c r="I1329" s="19">
        <f t="shared" si="51"/>
        <v>0</v>
      </c>
      <c r="L1329" s="131"/>
      <c r="M1329" s="131"/>
      <c r="N1329" s="131"/>
    </row>
    <row r="1330" spans="1:14" hidden="1">
      <c r="A1330" s="100" t="s">
        <v>862</v>
      </c>
      <c r="B1330" s="101" t="s">
        <v>2170</v>
      </c>
      <c r="C1330" s="99" t="s">
        <v>2171</v>
      </c>
      <c r="D1330" s="38"/>
      <c r="E1330" s="42">
        <v>1</v>
      </c>
      <c r="F1330" s="9"/>
      <c r="G1330" s="8">
        <f t="shared" si="50"/>
        <v>0.31395000000000001</v>
      </c>
      <c r="H1330" s="188">
        <v>0.29899999999999999</v>
      </c>
      <c r="I1330" s="19">
        <f t="shared" si="51"/>
        <v>0</v>
      </c>
      <c r="L1330" s="131"/>
      <c r="M1330" s="131"/>
      <c r="N1330" s="131"/>
    </row>
    <row r="1331" spans="1:14" hidden="1">
      <c r="A1331" s="100" t="s">
        <v>862</v>
      </c>
      <c r="B1331" s="101" t="s">
        <v>2172</v>
      </c>
      <c r="C1331" s="99" t="s">
        <v>2173</v>
      </c>
      <c r="D1331" s="38"/>
      <c r="E1331" s="42">
        <v>1</v>
      </c>
      <c r="F1331" s="9"/>
      <c r="G1331" s="8">
        <f t="shared" si="50"/>
        <v>2.3625E-2</v>
      </c>
      <c r="H1331" s="188">
        <v>2.2499999999999999E-2</v>
      </c>
      <c r="I1331" s="19">
        <f t="shared" si="51"/>
        <v>0</v>
      </c>
      <c r="L1331" s="131"/>
      <c r="M1331" s="131"/>
      <c r="N1331" s="131"/>
    </row>
    <row r="1332" spans="1:14" hidden="1">
      <c r="A1332" s="100" t="s">
        <v>862</v>
      </c>
      <c r="B1332" s="101" t="s">
        <v>2174</v>
      </c>
      <c r="C1332" s="99" t="s">
        <v>2175</v>
      </c>
      <c r="D1332" s="38"/>
      <c r="E1332" s="42">
        <v>1</v>
      </c>
      <c r="F1332" s="9"/>
      <c r="G1332" s="8">
        <f t="shared" si="50"/>
        <v>0.757575</v>
      </c>
      <c r="H1332" s="188">
        <v>0.72150000000000003</v>
      </c>
      <c r="I1332" s="19">
        <f t="shared" si="51"/>
        <v>0</v>
      </c>
      <c r="L1332" s="131"/>
      <c r="M1332" s="131"/>
      <c r="N1332" s="131"/>
    </row>
    <row r="1333" spans="1:14" hidden="1">
      <c r="A1333" s="100" t="s">
        <v>862</v>
      </c>
      <c r="B1333" s="101" t="s">
        <v>2176</v>
      </c>
      <c r="C1333" s="99" t="s">
        <v>2177</v>
      </c>
      <c r="D1333" s="38"/>
      <c r="E1333" s="42">
        <v>1</v>
      </c>
      <c r="F1333" s="9"/>
      <c r="G1333" s="8">
        <f t="shared" si="50"/>
        <v>13.44525</v>
      </c>
      <c r="H1333" s="188">
        <v>12.805</v>
      </c>
      <c r="I1333" s="19">
        <f t="shared" si="51"/>
        <v>0</v>
      </c>
      <c r="L1333" s="131"/>
      <c r="M1333" s="131"/>
      <c r="N1333" s="131"/>
    </row>
    <row r="1334" spans="1:14" hidden="1">
      <c r="A1334" s="100" t="s">
        <v>862</v>
      </c>
      <c r="B1334" s="101" t="s">
        <v>2178</v>
      </c>
      <c r="C1334" s="99" t="s">
        <v>2179</v>
      </c>
      <c r="D1334" s="38"/>
      <c r="E1334" s="42">
        <v>1</v>
      </c>
      <c r="F1334" s="9"/>
      <c r="G1334" s="8">
        <f t="shared" si="50"/>
        <v>27.231749999999998</v>
      </c>
      <c r="H1334" s="188">
        <v>25.934999999999999</v>
      </c>
      <c r="I1334" s="19">
        <f t="shared" si="51"/>
        <v>0</v>
      </c>
      <c r="L1334" s="131"/>
      <c r="M1334" s="131"/>
      <c r="N1334" s="131"/>
    </row>
    <row r="1335" spans="1:14" hidden="1">
      <c r="A1335" s="100" t="s">
        <v>862</v>
      </c>
      <c r="B1335" s="101" t="s">
        <v>2180</v>
      </c>
      <c r="C1335" s="99" t="s">
        <v>2181</v>
      </c>
      <c r="D1335" s="38"/>
      <c r="E1335" s="42">
        <v>1</v>
      </c>
      <c r="F1335" s="9"/>
      <c r="G1335" s="8">
        <f t="shared" si="50"/>
        <v>38.292450000000002</v>
      </c>
      <c r="H1335" s="188">
        <v>36.469000000000001</v>
      </c>
      <c r="I1335" s="19">
        <f t="shared" si="51"/>
        <v>0</v>
      </c>
      <c r="L1335" s="131"/>
      <c r="M1335" s="131"/>
      <c r="N1335" s="131"/>
    </row>
    <row r="1336" spans="1:14" hidden="1">
      <c r="A1336" s="100" t="s">
        <v>862</v>
      </c>
      <c r="B1336" s="101" t="s">
        <v>2182</v>
      </c>
      <c r="C1336" s="99" t="s">
        <v>2183</v>
      </c>
      <c r="D1336" s="38"/>
      <c r="E1336" s="42">
        <v>1</v>
      </c>
      <c r="F1336" s="9"/>
      <c r="G1336" s="8">
        <f t="shared" si="50"/>
        <v>38.308199999999999</v>
      </c>
      <c r="H1336" s="188">
        <v>36.484000000000002</v>
      </c>
      <c r="I1336" s="19">
        <f t="shared" si="51"/>
        <v>0</v>
      </c>
      <c r="L1336" s="131"/>
      <c r="M1336" s="131"/>
      <c r="N1336" s="131"/>
    </row>
    <row r="1337" spans="1:14" hidden="1">
      <c r="A1337" s="100" t="s">
        <v>862</v>
      </c>
      <c r="B1337" s="101" t="s">
        <v>2184</v>
      </c>
      <c r="C1337" s="99" t="s">
        <v>2185</v>
      </c>
      <c r="D1337" s="38"/>
      <c r="E1337" s="42">
        <v>1</v>
      </c>
      <c r="F1337" s="9"/>
      <c r="G1337" s="8">
        <f t="shared" si="50"/>
        <v>50.982750000000003</v>
      </c>
      <c r="H1337" s="188">
        <v>48.555</v>
      </c>
      <c r="I1337" s="19">
        <f t="shared" si="51"/>
        <v>0</v>
      </c>
      <c r="L1337" s="131"/>
      <c r="M1337" s="131"/>
      <c r="N1337" s="131"/>
    </row>
    <row r="1338" spans="1:14" hidden="1">
      <c r="A1338" s="100" t="s">
        <v>862</v>
      </c>
      <c r="B1338" s="101" t="s">
        <v>2186</v>
      </c>
      <c r="C1338" s="99" t="s">
        <v>2187</v>
      </c>
      <c r="D1338" s="38"/>
      <c r="E1338" s="42">
        <v>1</v>
      </c>
      <c r="F1338" s="9"/>
      <c r="G1338" s="8">
        <f t="shared" si="50"/>
        <v>50.982750000000003</v>
      </c>
      <c r="H1338" s="188">
        <v>48.555</v>
      </c>
      <c r="I1338" s="19">
        <f t="shared" si="51"/>
        <v>0</v>
      </c>
      <c r="L1338" s="131"/>
      <c r="M1338" s="131"/>
      <c r="N1338" s="131"/>
    </row>
    <row r="1339" spans="1:14" hidden="1">
      <c r="A1339" s="100" t="s">
        <v>862</v>
      </c>
      <c r="B1339" s="101" t="s">
        <v>2188</v>
      </c>
      <c r="C1339" s="99" t="s">
        <v>2189</v>
      </c>
      <c r="D1339" s="38"/>
      <c r="E1339" s="42">
        <v>1</v>
      </c>
      <c r="F1339" s="9"/>
      <c r="G1339" s="8">
        <f t="shared" si="50"/>
        <v>2.3929499999999999</v>
      </c>
      <c r="H1339" s="188">
        <v>2.2789999999999999</v>
      </c>
      <c r="I1339" s="19">
        <f t="shared" si="51"/>
        <v>0</v>
      </c>
      <c r="L1339" s="131"/>
      <c r="M1339" s="131"/>
      <c r="N1339" s="131"/>
    </row>
    <row r="1340" spans="1:14" hidden="1">
      <c r="A1340" s="100" t="s">
        <v>862</v>
      </c>
      <c r="B1340" s="101" t="s">
        <v>2190</v>
      </c>
      <c r="C1340" s="99" t="s">
        <v>2191</v>
      </c>
      <c r="D1340" s="38"/>
      <c r="E1340" s="42">
        <v>1</v>
      </c>
      <c r="F1340" s="9"/>
      <c r="G1340" s="8">
        <f t="shared" si="50"/>
        <v>4.7853750000000002</v>
      </c>
      <c r="H1340" s="188">
        <v>4.5575000000000001</v>
      </c>
      <c r="I1340" s="19">
        <f t="shared" si="51"/>
        <v>0</v>
      </c>
      <c r="L1340" s="131"/>
      <c r="M1340" s="131"/>
      <c r="N1340" s="131"/>
    </row>
    <row r="1341" spans="1:14" hidden="1">
      <c r="A1341" s="100" t="s">
        <v>862</v>
      </c>
      <c r="B1341" s="101" t="s">
        <v>2192</v>
      </c>
      <c r="C1341" s="99" t="s">
        <v>2193</v>
      </c>
      <c r="D1341" s="38"/>
      <c r="E1341" s="42">
        <v>1</v>
      </c>
      <c r="F1341" s="9"/>
      <c r="G1341" s="8">
        <f t="shared" si="50"/>
        <v>1.1802000000000001</v>
      </c>
      <c r="H1341" s="188">
        <v>1.1240000000000001</v>
      </c>
      <c r="I1341" s="19">
        <f t="shared" si="51"/>
        <v>0</v>
      </c>
      <c r="L1341" s="131"/>
      <c r="M1341" s="131"/>
      <c r="N1341" s="131"/>
    </row>
    <row r="1342" spans="1:14" hidden="1">
      <c r="A1342" s="100" t="s">
        <v>862</v>
      </c>
      <c r="B1342" s="101" t="s">
        <v>2194</v>
      </c>
      <c r="C1342" s="99" t="s">
        <v>2195</v>
      </c>
      <c r="D1342" s="38"/>
      <c r="E1342" s="42">
        <v>1</v>
      </c>
      <c r="F1342" s="9"/>
      <c r="G1342" s="8">
        <f t="shared" si="50"/>
        <v>0.232575</v>
      </c>
      <c r="H1342" s="188">
        <v>0.2215</v>
      </c>
      <c r="I1342" s="19">
        <f t="shared" si="51"/>
        <v>0</v>
      </c>
      <c r="L1342" s="131"/>
      <c r="M1342" s="131"/>
      <c r="N1342" s="131"/>
    </row>
    <row r="1343" spans="1:14" hidden="1">
      <c r="A1343" s="100" t="s">
        <v>862</v>
      </c>
      <c r="B1343" s="101" t="s">
        <v>2196</v>
      </c>
      <c r="C1343" s="99" t="s">
        <v>2197</v>
      </c>
      <c r="D1343" s="38"/>
      <c r="E1343" s="42">
        <v>1</v>
      </c>
      <c r="F1343" s="9"/>
      <c r="G1343" s="8">
        <f t="shared" si="50"/>
        <v>8.8452000000000002</v>
      </c>
      <c r="H1343" s="188">
        <v>8.4239999999999995</v>
      </c>
      <c r="I1343" s="19">
        <f t="shared" si="51"/>
        <v>0</v>
      </c>
      <c r="L1343" s="131"/>
      <c r="M1343" s="131"/>
      <c r="N1343" s="131"/>
    </row>
    <row r="1344" spans="1:14" hidden="1">
      <c r="A1344" s="100" t="s">
        <v>862</v>
      </c>
      <c r="B1344" s="101" t="s">
        <v>2198</v>
      </c>
      <c r="C1344" s="99" t="s">
        <v>2199</v>
      </c>
      <c r="D1344" s="38"/>
      <c r="E1344" s="42">
        <v>1</v>
      </c>
      <c r="F1344" s="9"/>
      <c r="G1344" s="8">
        <f t="shared" si="50"/>
        <v>1.911</v>
      </c>
      <c r="H1344" s="188">
        <v>1.82</v>
      </c>
      <c r="I1344" s="19">
        <f t="shared" si="51"/>
        <v>0</v>
      </c>
      <c r="L1344" s="131"/>
      <c r="M1344" s="131"/>
      <c r="N1344" s="131"/>
    </row>
    <row r="1345" spans="1:14" hidden="1">
      <c r="A1345" s="100" t="s">
        <v>862</v>
      </c>
      <c r="B1345" s="101" t="s">
        <v>2200</v>
      </c>
      <c r="C1345" s="99" t="s">
        <v>2201</v>
      </c>
      <c r="D1345" s="38"/>
      <c r="E1345" s="42">
        <v>1</v>
      </c>
      <c r="F1345" s="9"/>
      <c r="G1345" s="8">
        <f t="shared" si="50"/>
        <v>5.0415749999999999</v>
      </c>
      <c r="H1345" s="188">
        <v>4.8014999999999999</v>
      </c>
      <c r="I1345" s="19">
        <f t="shared" si="51"/>
        <v>0</v>
      </c>
      <c r="L1345" s="131"/>
      <c r="M1345" s="131"/>
      <c r="N1345" s="131"/>
    </row>
    <row r="1346" spans="1:14" hidden="1">
      <c r="A1346" s="100" t="s">
        <v>862</v>
      </c>
      <c r="B1346" s="101" t="s">
        <v>2202</v>
      </c>
      <c r="C1346" s="99" t="s">
        <v>2203</v>
      </c>
      <c r="D1346" s="38"/>
      <c r="E1346" s="42">
        <v>1</v>
      </c>
      <c r="F1346" s="9"/>
      <c r="G1346" s="8">
        <f t="shared" si="50"/>
        <v>1.938825</v>
      </c>
      <c r="H1346" s="188">
        <v>1.8465</v>
      </c>
      <c r="I1346" s="19">
        <f t="shared" si="51"/>
        <v>0</v>
      </c>
      <c r="L1346" s="131"/>
      <c r="M1346" s="131"/>
      <c r="N1346" s="131"/>
    </row>
    <row r="1347" spans="1:14" hidden="1">
      <c r="A1347" s="100" t="s">
        <v>862</v>
      </c>
      <c r="B1347" s="101" t="s">
        <v>2204</v>
      </c>
      <c r="C1347" s="99" t="s">
        <v>2205</v>
      </c>
      <c r="D1347" s="38"/>
      <c r="E1347" s="42">
        <v>1</v>
      </c>
      <c r="F1347" s="9"/>
      <c r="G1347" s="8">
        <f t="shared" si="50"/>
        <v>13.7592</v>
      </c>
      <c r="H1347" s="188">
        <v>13.103999999999999</v>
      </c>
      <c r="I1347" s="19">
        <f t="shared" si="51"/>
        <v>0</v>
      </c>
      <c r="L1347" s="131"/>
      <c r="M1347" s="131"/>
      <c r="N1347" s="131"/>
    </row>
    <row r="1348" spans="1:14" hidden="1">
      <c r="A1348" s="100" t="s">
        <v>862</v>
      </c>
      <c r="B1348" s="101" t="s">
        <v>2206</v>
      </c>
      <c r="C1348" s="99" t="s">
        <v>2207</v>
      </c>
      <c r="D1348" s="38"/>
      <c r="E1348" s="42">
        <v>1</v>
      </c>
      <c r="F1348" s="9"/>
      <c r="G1348" s="8">
        <f t="shared" si="50"/>
        <v>26.3172</v>
      </c>
      <c r="H1348" s="188">
        <v>25.064</v>
      </c>
      <c r="I1348" s="19">
        <f t="shared" si="51"/>
        <v>0</v>
      </c>
      <c r="L1348" s="131"/>
      <c r="M1348" s="131"/>
      <c r="N1348" s="131"/>
    </row>
    <row r="1349" spans="1:14" hidden="1">
      <c r="A1349" s="100" t="s">
        <v>862</v>
      </c>
      <c r="B1349" s="101" t="s">
        <v>2208</v>
      </c>
      <c r="C1349" s="99" t="s">
        <v>2209</v>
      </c>
      <c r="D1349" s="38"/>
      <c r="E1349" s="42">
        <v>1</v>
      </c>
      <c r="F1349" s="9"/>
      <c r="G1349" s="8">
        <f t="shared" si="50"/>
        <v>25.047750000000001</v>
      </c>
      <c r="H1349" s="188">
        <v>23.855</v>
      </c>
      <c r="I1349" s="19">
        <f t="shared" si="51"/>
        <v>0</v>
      </c>
      <c r="L1349" s="131"/>
      <c r="M1349" s="131"/>
      <c r="N1349" s="131"/>
    </row>
    <row r="1350" spans="1:14" hidden="1">
      <c r="A1350" s="100" t="s">
        <v>862</v>
      </c>
      <c r="B1350" s="101" t="s">
        <v>2210</v>
      </c>
      <c r="C1350" s="99" t="s">
        <v>2211</v>
      </c>
      <c r="D1350" s="38"/>
      <c r="E1350" s="42">
        <v>1</v>
      </c>
      <c r="F1350" s="9"/>
      <c r="G1350" s="8">
        <f t="shared" si="50"/>
        <v>26.3172</v>
      </c>
      <c r="H1350" s="188">
        <v>25.064</v>
      </c>
      <c r="I1350" s="19">
        <f t="shared" si="51"/>
        <v>0</v>
      </c>
      <c r="L1350" s="131"/>
      <c r="M1350" s="131"/>
      <c r="N1350" s="131"/>
    </row>
    <row r="1351" spans="1:14" hidden="1">
      <c r="A1351" s="100" t="s">
        <v>862</v>
      </c>
      <c r="B1351" s="101" t="s">
        <v>2212</v>
      </c>
      <c r="C1351" s="99" t="s">
        <v>2213</v>
      </c>
      <c r="D1351" s="38"/>
      <c r="E1351" s="42">
        <v>1</v>
      </c>
      <c r="F1351" s="9"/>
      <c r="G1351" s="8">
        <f t="shared" si="50"/>
        <v>26.3172</v>
      </c>
      <c r="H1351" s="188">
        <v>25.064</v>
      </c>
      <c r="I1351" s="19">
        <f t="shared" si="51"/>
        <v>0</v>
      </c>
      <c r="L1351" s="131"/>
      <c r="M1351" s="131"/>
      <c r="N1351" s="131"/>
    </row>
    <row r="1352" spans="1:14" hidden="1">
      <c r="A1352" s="100" t="s">
        <v>862</v>
      </c>
      <c r="B1352" s="101" t="s">
        <v>2214</v>
      </c>
      <c r="C1352" s="99" t="s">
        <v>2215</v>
      </c>
      <c r="D1352" s="38"/>
      <c r="E1352" s="42">
        <v>1</v>
      </c>
      <c r="F1352" s="9"/>
      <c r="G1352" s="8">
        <f t="shared" si="50"/>
        <v>16.31175</v>
      </c>
      <c r="H1352" s="188">
        <v>15.535</v>
      </c>
      <c r="I1352" s="19">
        <f t="shared" si="51"/>
        <v>0</v>
      </c>
      <c r="L1352" s="131"/>
      <c r="M1352" s="131"/>
      <c r="N1352" s="131"/>
    </row>
    <row r="1353" spans="1:14" hidden="1">
      <c r="A1353" s="100" t="s">
        <v>862</v>
      </c>
      <c r="B1353" s="101" t="s">
        <v>2216</v>
      </c>
      <c r="C1353" s="99" t="s">
        <v>2217</v>
      </c>
      <c r="D1353" s="38"/>
      <c r="E1353" s="42">
        <v>1</v>
      </c>
      <c r="F1353" s="9"/>
      <c r="G1353" s="8">
        <f t="shared" si="50"/>
        <v>25.485074999999998</v>
      </c>
      <c r="H1353" s="188">
        <v>24.2715</v>
      </c>
      <c r="I1353" s="19">
        <f t="shared" si="51"/>
        <v>0</v>
      </c>
      <c r="L1353" s="131"/>
      <c r="M1353" s="131"/>
      <c r="N1353" s="131"/>
    </row>
    <row r="1354" spans="1:14" hidden="1">
      <c r="A1354" s="100" t="s">
        <v>862</v>
      </c>
      <c r="B1354" s="101" t="s">
        <v>2218</v>
      </c>
      <c r="C1354" s="99" t="s">
        <v>2219</v>
      </c>
      <c r="D1354" s="38"/>
      <c r="E1354" s="42">
        <v>1</v>
      </c>
      <c r="F1354" s="9"/>
      <c r="G1354" s="8">
        <f t="shared" si="50"/>
        <v>25.485074999999998</v>
      </c>
      <c r="H1354" s="188">
        <v>24.2715</v>
      </c>
      <c r="I1354" s="19">
        <f t="shared" si="51"/>
        <v>0</v>
      </c>
      <c r="L1354" s="131"/>
      <c r="M1354" s="131"/>
      <c r="N1354" s="131"/>
    </row>
    <row r="1355" spans="1:14" hidden="1">
      <c r="A1355" s="100" t="s">
        <v>862</v>
      </c>
      <c r="B1355" s="101" t="s">
        <v>2220</v>
      </c>
      <c r="C1355" s="99" t="s">
        <v>2221</v>
      </c>
      <c r="D1355" s="38"/>
      <c r="E1355" s="42">
        <v>1</v>
      </c>
      <c r="F1355" s="9"/>
      <c r="G1355" s="8">
        <f t="shared" si="50"/>
        <v>25.485074999999998</v>
      </c>
      <c r="H1355" s="188">
        <v>24.2715</v>
      </c>
      <c r="I1355" s="19">
        <f t="shared" si="51"/>
        <v>0</v>
      </c>
      <c r="L1355" s="131"/>
      <c r="M1355" s="131"/>
      <c r="N1355" s="131"/>
    </row>
    <row r="1356" spans="1:14" hidden="1">
      <c r="A1356" s="100" t="s">
        <v>862</v>
      </c>
      <c r="B1356" s="101" t="s">
        <v>2222</v>
      </c>
      <c r="C1356" s="99" t="s">
        <v>2223</v>
      </c>
      <c r="D1356" s="38"/>
      <c r="E1356" s="42">
        <v>1</v>
      </c>
      <c r="F1356" s="9"/>
      <c r="G1356" s="8">
        <f t="shared" si="50"/>
        <v>25.485074999999998</v>
      </c>
      <c r="H1356" s="188">
        <v>24.2715</v>
      </c>
      <c r="I1356" s="19">
        <f t="shared" si="51"/>
        <v>0</v>
      </c>
      <c r="L1356" s="131"/>
      <c r="M1356" s="131"/>
      <c r="N1356" s="131"/>
    </row>
    <row r="1357" spans="1:14" hidden="1">
      <c r="A1357" s="100" t="s">
        <v>862</v>
      </c>
      <c r="B1357" s="101" t="s">
        <v>2224</v>
      </c>
      <c r="C1357" s="99" t="s">
        <v>2225</v>
      </c>
      <c r="D1357" s="38"/>
      <c r="E1357" s="42">
        <v>1</v>
      </c>
      <c r="F1357" s="9"/>
      <c r="G1357" s="8">
        <f t="shared" si="50"/>
        <v>16.981124999999999</v>
      </c>
      <c r="H1357" s="188">
        <v>16.172499999999999</v>
      </c>
      <c r="I1357" s="19">
        <f t="shared" si="51"/>
        <v>0</v>
      </c>
      <c r="L1357" s="131"/>
      <c r="M1357" s="131"/>
      <c r="N1357" s="131"/>
    </row>
    <row r="1358" spans="1:14" hidden="1">
      <c r="A1358" s="100" t="s">
        <v>862</v>
      </c>
      <c r="B1358" s="101" t="s">
        <v>2226</v>
      </c>
      <c r="C1358" s="99" t="s">
        <v>2227</v>
      </c>
      <c r="D1358" s="38"/>
      <c r="E1358" s="42">
        <v>1</v>
      </c>
      <c r="F1358" s="9"/>
      <c r="G1358" s="8">
        <f t="shared" si="50"/>
        <v>17.826374999999999</v>
      </c>
      <c r="H1358" s="188">
        <v>16.977499999999999</v>
      </c>
      <c r="I1358" s="19">
        <f t="shared" si="51"/>
        <v>0</v>
      </c>
      <c r="L1358" s="131"/>
      <c r="M1358" s="131"/>
      <c r="N1358" s="131"/>
    </row>
    <row r="1359" spans="1:14" hidden="1">
      <c r="A1359" s="100" t="s">
        <v>862</v>
      </c>
      <c r="B1359" s="101" t="s">
        <v>2228</v>
      </c>
      <c r="C1359" s="99" t="s">
        <v>2229</v>
      </c>
      <c r="D1359" s="38"/>
      <c r="E1359" s="42">
        <v>1</v>
      </c>
      <c r="F1359" s="9"/>
      <c r="G1359" s="8">
        <f t="shared" si="50"/>
        <v>16.981124999999999</v>
      </c>
      <c r="H1359" s="188">
        <v>16.172499999999999</v>
      </c>
      <c r="I1359" s="19">
        <f t="shared" si="51"/>
        <v>0</v>
      </c>
      <c r="L1359" s="131"/>
      <c r="M1359" s="131"/>
      <c r="N1359" s="131"/>
    </row>
    <row r="1360" spans="1:14" hidden="1">
      <c r="A1360" s="100" t="s">
        <v>862</v>
      </c>
      <c r="B1360" s="101" t="s">
        <v>2230</v>
      </c>
      <c r="C1360" s="99" t="s">
        <v>2231</v>
      </c>
      <c r="D1360" s="38"/>
      <c r="E1360" s="42">
        <v>1</v>
      </c>
      <c r="F1360" s="9"/>
      <c r="G1360" s="8">
        <f t="shared" si="50"/>
        <v>19.28745</v>
      </c>
      <c r="H1360" s="188">
        <v>18.369</v>
      </c>
      <c r="I1360" s="19">
        <f t="shared" si="51"/>
        <v>0</v>
      </c>
      <c r="L1360" s="131"/>
      <c r="M1360" s="131"/>
      <c r="N1360" s="131"/>
    </row>
    <row r="1361" spans="1:14" hidden="1">
      <c r="A1361" s="100" t="s">
        <v>862</v>
      </c>
      <c r="B1361" s="101" t="s">
        <v>2232</v>
      </c>
      <c r="C1361" s="99" t="s">
        <v>2233</v>
      </c>
      <c r="D1361" s="38"/>
      <c r="E1361" s="42">
        <v>1</v>
      </c>
      <c r="F1361" s="9"/>
      <c r="G1361" s="8">
        <f t="shared" si="50"/>
        <v>28.419825000000003</v>
      </c>
      <c r="H1361" s="188">
        <v>27.066500000000001</v>
      </c>
      <c r="I1361" s="19">
        <f t="shared" si="51"/>
        <v>0</v>
      </c>
      <c r="L1361" s="131"/>
      <c r="M1361" s="131"/>
      <c r="N1361" s="131"/>
    </row>
    <row r="1362" spans="1:14" hidden="1">
      <c r="A1362" s="100" t="s">
        <v>862</v>
      </c>
      <c r="B1362" s="101" t="s">
        <v>2234</v>
      </c>
      <c r="C1362" s="99" t="s">
        <v>2235</v>
      </c>
      <c r="D1362" s="38"/>
      <c r="E1362" s="42">
        <v>1</v>
      </c>
      <c r="F1362" s="9"/>
      <c r="G1362" s="8">
        <f t="shared" si="50"/>
        <v>56.251125000000002</v>
      </c>
      <c r="H1362" s="188">
        <v>53.572499999999998</v>
      </c>
      <c r="I1362" s="19">
        <f t="shared" si="51"/>
        <v>0</v>
      </c>
      <c r="L1362" s="131"/>
      <c r="M1362" s="131"/>
      <c r="N1362" s="131"/>
    </row>
    <row r="1363" spans="1:14" hidden="1">
      <c r="A1363" s="100" t="s">
        <v>862</v>
      </c>
      <c r="B1363" s="101" t="s">
        <v>2236</v>
      </c>
      <c r="C1363" s="99" t="s">
        <v>2237</v>
      </c>
      <c r="D1363" s="38"/>
      <c r="E1363" s="42">
        <v>1</v>
      </c>
      <c r="F1363" s="9"/>
      <c r="G1363" s="8">
        <f t="shared" si="50"/>
        <v>56.251125000000002</v>
      </c>
      <c r="H1363" s="188">
        <v>53.572499999999998</v>
      </c>
      <c r="I1363" s="19">
        <f t="shared" si="51"/>
        <v>0</v>
      </c>
      <c r="L1363" s="131"/>
      <c r="M1363" s="131"/>
      <c r="N1363" s="131"/>
    </row>
    <row r="1364" spans="1:14" hidden="1">
      <c r="A1364" s="100" t="s">
        <v>862</v>
      </c>
      <c r="B1364" s="101" t="s">
        <v>2238</v>
      </c>
      <c r="C1364" s="99" t="s">
        <v>2239</v>
      </c>
      <c r="D1364" s="38"/>
      <c r="E1364" s="42">
        <v>1</v>
      </c>
      <c r="F1364" s="9"/>
      <c r="G1364" s="8">
        <f t="shared" si="50"/>
        <v>56.251125000000002</v>
      </c>
      <c r="H1364" s="188">
        <v>53.572499999999998</v>
      </c>
      <c r="I1364" s="19">
        <f t="shared" si="51"/>
        <v>0</v>
      </c>
      <c r="L1364" s="131"/>
      <c r="M1364" s="131"/>
      <c r="N1364" s="131"/>
    </row>
    <row r="1365" spans="1:14" hidden="1">
      <c r="A1365" s="100" t="s">
        <v>862</v>
      </c>
      <c r="B1365" s="101" t="s">
        <v>2240</v>
      </c>
      <c r="C1365" s="99" t="s">
        <v>2241</v>
      </c>
      <c r="D1365" s="38"/>
      <c r="E1365" s="42">
        <v>1</v>
      </c>
      <c r="F1365" s="9"/>
      <c r="G1365" s="8">
        <f t="shared" si="50"/>
        <v>56.251125000000002</v>
      </c>
      <c r="H1365" s="188">
        <v>53.572499999999998</v>
      </c>
      <c r="I1365" s="19">
        <f t="shared" si="51"/>
        <v>0</v>
      </c>
      <c r="L1365" s="131"/>
      <c r="M1365" s="131"/>
      <c r="N1365" s="131"/>
    </row>
    <row r="1366" spans="1:14" hidden="1">
      <c r="A1366" s="100" t="s">
        <v>862</v>
      </c>
      <c r="B1366" s="101" t="s">
        <v>2242</v>
      </c>
      <c r="C1366" s="99" t="s">
        <v>2243</v>
      </c>
      <c r="D1366" s="38"/>
      <c r="E1366" s="42">
        <v>1</v>
      </c>
      <c r="F1366" s="9"/>
      <c r="G1366" s="8">
        <f t="shared" si="50"/>
        <v>29.552250000000001</v>
      </c>
      <c r="H1366" s="188">
        <v>28.145</v>
      </c>
      <c r="I1366" s="19">
        <f t="shared" si="51"/>
        <v>0</v>
      </c>
      <c r="L1366" s="131"/>
      <c r="M1366" s="131"/>
      <c r="N1366" s="131"/>
    </row>
    <row r="1367" spans="1:14" hidden="1">
      <c r="A1367" s="100" t="s">
        <v>862</v>
      </c>
      <c r="B1367" s="101" t="s">
        <v>2244</v>
      </c>
      <c r="C1367" s="99" t="s">
        <v>2245</v>
      </c>
      <c r="D1367" s="38"/>
      <c r="E1367" s="42">
        <v>1</v>
      </c>
      <c r="F1367" s="9"/>
      <c r="G1367" s="8">
        <f t="shared" si="50"/>
        <v>56.251125000000002</v>
      </c>
      <c r="H1367" s="188">
        <v>53.572499999999998</v>
      </c>
      <c r="I1367" s="19">
        <f t="shared" si="51"/>
        <v>0</v>
      </c>
      <c r="L1367" s="131"/>
      <c r="M1367" s="131"/>
      <c r="N1367" s="131"/>
    </row>
    <row r="1368" spans="1:14" hidden="1">
      <c r="A1368" s="100" t="s">
        <v>862</v>
      </c>
      <c r="B1368" s="101" t="s">
        <v>2246</v>
      </c>
      <c r="C1368" s="99" t="s">
        <v>2247</v>
      </c>
      <c r="D1368" s="38"/>
      <c r="E1368" s="42">
        <v>1</v>
      </c>
      <c r="F1368" s="9"/>
      <c r="G1368" s="8">
        <f t="shared" si="50"/>
        <v>56.251125000000002</v>
      </c>
      <c r="H1368" s="188">
        <v>53.572499999999998</v>
      </c>
      <c r="I1368" s="19">
        <f t="shared" si="51"/>
        <v>0</v>
      </c>
      <c r="L1368" s="131"/>
      <c r="M1368" s="131"/>
      <c r="N1368" s="131"/>
    </row>
    <row r="1369" spans="1:14" hidden="1">
      <c r="A1369" s="100" t="s">
        <v>862</v>
      </c>
      <c r="B1369" s="101" t="s">
        <v>2248</v>
      </c>
      <c r="C1369" s="99" t="s">
        <v>2249</v>
      </c>
      <c r="D1369" s="38"/>
      <c r="E1369" s="42">
        <v>1</v>
      </c>
      <c r="F1369" s="9"/>
      <c r="G1369" s="8">
        <f t="shared" si="50"/>
        <v>56.251125000000002</v>
      </c>
      <c r="H1369" s="188">
        <v>53.572499999999998</v>
      </c>
      <c r="I1369" s="19">
        <f t="shared" si="51"/>
        <v>0</v>
      </c>
      <c r="L1369" s="131"/>
      <c r="M1369" s="131"/>
      <c r="N1369" s="131"/>
    </row>
    <row r="1370" spans="1:14" hidden="1">
      <c r="A1370" s="100" t="s">
        <v>862</v>
      </c>
      <c r="B1370" s="101" t="s">
        <v>2250</v>
      </c>
      <c r="C1370" s="99" t="s">
        <v>2251</v>
      </c>
      <c r="D1370" s="38"/>
      <c r="E1370" s="42">
        <v>1</v>
      </c>
      <c r="F1370" s="9"/>
      <c r="G1370" s="8">
        <f t="shared" si="50"/>
        <v>56.251125000000002</v>
      </c>
      <c r="H1370" s="188">
        <v>53.572499999999998</v>
      </c>
      <c r="I1370" s="19">
        <f t="shared" si="51"/>
        <v>0</v>
      </c>
      <c r="L1370" s="131"/>
      <c r="M1370" s="131"/>
      <c r="N1370" s="131"/>
    </row>
    <row r="1371" spans="1:14" hidden="1">
      <c r="A1371" s="100" t="s">
        <v>862</v>
      </c>
      <c r="B1371" s="101" t="s">
        <v>2252</v>
      </c>
      <c r="C1371" s="99" t="s">
        <v>2253</v>
      </c>
      <c r="D1371" s="38"/>
      <c r="E1371" s="42">
        <v>1</v>
      </c>
      <c r="F1371" s="9"/>
      <c r="G1371" s="8">
        <f t="shared" si="50"/>
        <v>50.505000000000003</v>
      </c>
      <c r="H1371" s="188">
        <v>48.1</v>
      </c>
      <c r="I1371" s="19">
        <f t="shared" si="51"/>
        <v>0</v>
      </c>
      <c r="L1371" s="131"/>
      <c r="M1371" s="131"/>
      <c r="N1371" s="131"/>
    </row>
    <row r="1372" spans="1:14" hidden="1">
      <c r="A1372" s="100" t="s">
        <v>862</v>
      </c>
      <c r="B1372" s="101" t="s">
        <v>2254</v>
      </c>
      <c r="C1372" s="99" t="s">
        <v>2255</v>
      </c>
      <c r="D1372" s="38"/>
      <c r="E1372" s="42">
        <v>1</v>
      </c>
      <c r="F1372" s="9"/>
      <c r="G1372" s="8">
        <f t="shared" si="50"/>
        <v>18.372374999999998</v>
      </c>
      <c r="H1372" s="188">
        <v>17.497499999999999</v>
      </c>
      <c r="I1372" s="19">
        <f t="shared" si="51"/>
        <v>0</v>
      </c>
      <c r="L1372" s="131"/>
      <c r="M1372" s="131"/>
      <c r="N1372" s="131"/>
    </row>
    <row r="1373" spans="1:14" hidden="1">
      <c r="A1373" s="100" t="s">
        <v>862</v>
      </c>
      <c r="B1373" s="101" t="s">
        <v>2256</v>
      </c>
      <c r="C1373" s="99" t="s">
        <v>2257</v>
      </c>
      <c r="D1373" s="38"/>
      <c r="E1373" s="42">
        <v>1</v>
      </c>
      <c r="F1373" s="9"/>
      <c r="G1373" s="8">
        <f t="shared" si="50"/>
        <v>17.595375000000001</v>
      </c>
      <c r="H1373" s="188">
        <v>16.7575</v>
      </c>
      <c r="I1373" s="19">
        <f t="shared" si="51"/>
        <v>0</v>
      </c>
      <c r="L1373" s="131"/>
      <c r="M1373" s="131"/>
      <c r="N1373" s="131"/>
    </row>
    <row r="1374" spans="1:14" hidden="1">
      <c r="A1374" s="100" t="s">
        <v>862</v>
      </c>
      <c r="B1374" s="101" t="s">
        <v>2258</v>
      </c>
      <c r="C1374" s="99" t="s">
        <v>2259</v>
      </c>
      <c r="D1374" s="38"/>
      <c r="E1374" s="42">
        <v>1</v>
      </c>
      <c r="F1374" s="9"/>
      <c r="G1374" s="8">
        <f t="shared" si="50"/>
        <v>26.781824999999998</v>
      </c>
      <c r="H1374" s="188">
        <v>25.506499999999999</v>
      </c>
      <c r="I1374" s="19">
        <f t="shared" si="51"/>
        <v>0</v>
      </c>
      <c r="L1374" s="131"/>
      <c r="M1374" s="131"/>
      <c r="N1374" s="131"/>
    </row>
    <row r="1375" spans="1:14" hidden="1">
      <c r="A1375" s="100" t="s">
        <v>862</v>
      </c>
      <c r="B1375" s="101" t="s">
        <v>2260</v>
      </c>
      <c r="C1375" s="99" t="s">
        <v>2261</v>
      </c>
      <c r="D1375" s="38"/>
      <c r="E1375" s="42">
        <v>1</v>
      </c>
      <c r="F1375" s="9"/>
      <c r="G1375" s="8">
        <f t="shared" si="50"/>
        <v>26.781824999999998</v>
      </c>
      <c r="H1375" s="188">
        <v>25.506499999999999</v>
      </c>
      <c r="I1375" s="19">
        <f t="shared" si="51"/>
        <v>0</v>
      </c>
      <c r="L1375" s="131"/>
      <c r="M1375" s="131"/>
      <c r="N1375" s="131"/>
    </row>
    <row r="1376" spans="1:14" hidden="1">
      <c r="A1376" s="100" t="s">
        <v>862</v>
      </c>
      <c r="B1376" s="101" t="s">
        <v>2262</v>
      </c>
      <c r="C1376" s="99" t="s">
        <v>2263</v>
      </c>
      <c r="D1376" s="38"/>
      <c r="E1376" s="42">
        <v>1</v>
      </c>
      <c r="F1376" s="9"/>
      <c r="G1376" s="8">
        <f t="shared" si="50"/>
        <v>26.781824999999998</v>
      </c>
      <c r="H1376" s="188">
        <v>25.506499999999999</v>
      </c>
      <c r="I1376" s="19">
        <f t="shared" si="51"/>
        <v>0</v>
      </c>
      <c r="L1376" s="131"/>
      <c r="M1376" s="131"/>
      <c r="N1376" s="131"/>
    </row>
    <row r="1377" spans="1:14" hidden="1">
      <c r="A1377" s="100" t="s">
        <v>862</v>
      </c>
      <c r="B1377" s="101" t="s">
        <v>2264</v>
      </c>
      <c r="C1377" s="99" t="s">
        <v>2265</v>
      </c>
      <c r="D1377" s="38"/>
      <c r="E1377" s="42">
        <v>1</v>
      </c>
      <c r="F1377" s="9"/>
      <c r="G1377" s="8">
        <f t="shared" si="50"/>
        <v>26.781824999999998</v>
      </c>
      <c r="H1377" s="188">
        <v>25.506499999999999</v>
      </c>
      <c r="I1377" s="19">
        <f t="shared" si="51"/>
        <v>0</v>
      </c>
      <c r="L1377" s="131"/>
      <c r="M1377" s="131"/>
      <c r="N1377" s="131"/>
    </row>
    <row r="1378" spans="1:14" hidden="1">
      <c r="A1378" s="100" t="s">
        <v>862</v>
      </c>
      <c r="B1378" s="101" t="s">
        <v>2266</v>
      </c>
      <c r="C1378" s="99" t="s">
        <v>2267</v>
      </c>
      <c r="D1378" s="38"/>
      <c r="E1378" s="42">
        <v>1</v>
      </c>
      <c r="F1378" s="9"/>
      <c r="G1378" s="8">
        <f t="shared" si="50"/>
        <v>28.187249999999999</v>
      </c>
      <c r="H1378" s="188">
        <v>26.844999999999999</v>
      </c>
      <c r="I1378" s="19">
        <f t="shared" si="51"/>
        <v>0</v>
      </c>
      <c r="L1378" s="131"/>
      <c r="M1378" s="131"/>
      <c r="N1378" s="131"/>
    </row>
    <row r="1379" spans="1:14" hidden="1">
      <c r="A1379" s="100" t="s">
        <v>862</v>
      </c>
      <c r="B1379" s="101" t="s">
        <v>2268</v>
      </c>
      <c r="C1379" s="99" t="s">
        <v>2269</v>
      </c>
      <c r="D1379" s="38"/>
      <c r="E1379" s="42">
        <v>1</v>
      </c>
      <c r="F1379" s="9"/>
      <c r="G1379" s="8">
        <f t="shared" si="50"/>
        <v>17.595375000000001</v>
      </c>
      <c r="H1379" s="188">
        <v>16.7575</v>
      </c>
      <c r="I1379" s="19">
        <f t="shared" si="51"/>
        <v>0</v>
      </c>
      <c r="L1379" s="131"/>
      <c r="M1379" s="131"/>
      <c r="N1379" s="131"/>
    </row>
    <row r="1380" spans="1:14" hidden="1">
      <c r="A1380" s="100" t="s">
        <v>862</v>
      </c>
      <c r="B1380" s="101" t="s">
        <v>2270</v>
      </c>
      <c r="C1380" s="99" t="s">
        <v>2271</v>
      </c>
      <c r="D1380" s="38"/>
      <c r="E1380" s="42">
        <v>1</v>
      </c>
      <c r="F1380" s="9"/>
      <c r="G1380" s="8">
        <f t="shared" si="50"/>
        <v>16.981124999999999</v>
      </c>
      <c r="H1380" s="188">
        <v>16.172499999999999</v>
      </c>
      <c r="I1380" s="19">
        <f t="shared" si="51"/>
        <v>0</v>
      </c>
      <c r="L1380" s="131"/>
      <c r="M1380" s="131"/>
      <c r="N1380" s="131"/>
    </row>
    <row r="1381" spans="1:14" hidden="1">
      <c r="A1381" s="100" t="s">
        <v>862</v>
      </c>
      <c r="B1381" s="101" t="s">
        <v>2272</v>
      </c>
      <c r="C1381" s="99" t="s">
        <v>2273</v>
      </c>
      <c r="D1381" s="38"/>
      <c r="E1381" s="42">
        <v>1</v>
      </c>
      <c r="F1381" s="9"/>
      <c r="G1381" s="8">
        <f t="shared" ref="G1381:G1444" si="52">H1381+(H1381*5%)</f>
        <v>34.851074999999994</v>
      </c>
      <c r="H1381" s="188">
        <v>33.191499999999998</v>
      </c>
      <c r="I1381" s="19">
        <f t="shared" si="51"/>
        <v>0</v>
      </c>
      <c r="L1381" s="131"/>
      <c r="M1381" s="131"/>
      <c r="N1381" s="131"/>
    </row>
    <row r="1382" spans="1:14" hidden="1">
      <c r="A1382" s="100" t="s">
        <v>862</v>
      </c>
      <c r="B1382" s="101" t="s">
        <v>2274</v>
      </c>
      <c r="C1382" s="99" t="s">
        <v>2275</v>
      </c>
      <c r="D1382" s="38"/>
      <c r="E1382" s="42">
        <v>1</v>
      </c>
      <c r="F1382" s="9"/>
      <c r="G1382" s="8">
        <f t="shared" si="52"/>
        <v>16.981124999999999</v>
      </c>
      <c r="H1382" s="188">
        <v>16.172499999999999</v>
      </c>
      <c r="I1382" s="19">
        <f t="shared" ref="I1382:I1445" si="53">G1382*F1382</f>
        <v>0</v>
      </c>
      <c r="L1382" s="131"/>
      <c r="M1382" s="131"/>
      <c r="N1382" s="131"/>
    </row>
    <row r="1383" spans="1:14" hidden="1">
      <c r="A1383" s="100" t="s">
        <v>862</v>
      </c>
      <c r="B1383" s="101" t="s">
        <v>2276</v>
      </c>
      <c r="C1383" s="99" t="s">
        <v>2277</v>
      </c>
      <c r="D1383" s="38"/>
      <c r="E1383" s="42">
        <v>1</v>
      </c>
      <c r="F1383" s="9"/>
      <c r="G1383" s="8">
        <f t="shared" si="52"/>
        <v>16.981124999999999</v>
      </c>
      <c r="H1383" s="188">
        <v>16.172499999999999</v>
      </c>
      <c r="I1383" s="19">
        <f t="shared" si="53"/>
        <v>0</v>
      </c>
      <c r="L1383" s="131"/>
      <c r="M1383" s="131"/>
      <c r="N1383" s="131"/>
    </row>
    <row r="1384" spans="1:14" hidden="1">
      <c r="A1384" s="100" t="s">
        <v>862</v>
      </c>
      <c r="B1384" s="101" t="s">
        <v>2278</v>
      </c>
      <c r="C1384" s="99" t="s">
        <v>2279</v>
      </c>
      <c r="D1384" s="38"/>
      <c r="E1384" s="42">
        <v>1</v>
      </c>
      <c r="F1384" s="9"/>
      <c r="G1384" s="8">
        <f t="shared" si="52"/>
        <v>15.247574999999999</v>
      </c>
      <c r="H1384" s="188">
        <v>14.5215</v>
      </c>
      <c r="I1384" s="19">
        <f t="shared" si="53"/>
        <v>0</v>
      </c>
      <c r="L1384" s="131"/>
      <c r="M1384" s="131"/>
      <c r="N1384" s="131"/>
    </row>
    <row r="1385" spans="1:14" hidden="1">
      <c r="A1385" s="100" t="s">
        <v>862</v>
      </c>
      <c r="B1385" s="101" t="s">
        <v>2280</v>
      </c>
      <c r="C1385" s="99" t="s">
        <v>2281</v>
      </c>
      <c r="D1385" s="38"/>
      <c r="E1385" s="42">
        <v>1</v>
      </c>
      <c r="F1385" s="9"/>
      <c r="G1385" s="8">
        <f t="shared" si="52"/>
        <v>16.885574999999999</v>
      </c>
      <c r="H1385" s="188">
        <v>16.081499999999998</v>
      </c>
      <c r="I1385" s="19">
        <f t="shared" si="53"/>
        <v>0</v>
      </c>
      <c r="L1385" s="131"/>
      <c r="M1385" s="131"/>
      <c r="N1385" s="131"/>
    </row>
    <row r="1386" spans="1:14" hidden="1">
      <c r="A1386" s="100" t="s">
        <v>862</v>
      </c>
      <c r="B1386" s="101" t="s">
        <v>2282</v>
      </c>
      <c r="C1386" s="99" t="s">
        <v>2283</v>
      </c>
      <c r="D1386" s="38"/>
      <c r="E1386" s="42">
        <v>1</v>
      </c>
      <c r="F1386" s="9"/>
      <c r="G1386" s="8">
        <f t="shared" si="52"/>
        <v>13.773375</v>
      </c>
      <c r="H1386" s="188">
        <v>13.1175</v>
      </c>
      <c r="I1386" s="19">
        <f t="shared" si="53"/>
        <v>0</v>
      </c>
      <c r="L1386" s="131"/>
      <c r="M1386" s="131"/>
      <c r="N1386" s="131"/>
    </row>
    <row r="1387" spans="1:14" hidden="1">
      <c r="A1387" s="100" t="s">
        <v>862</v>
      </c>
      <c r="B1387" s="101" t="s">
        <v>2284</v>
      </c>
      <c r="C1387" s="99" t="s">
        <v>2285</v>
      </c>
      <c r="D1387" s="38"/>
      <c r="E1387" s="42">
        <v>1</v>
      </c>
      <c r="F1387" s="9"/>
      <c r="G1387" s="8">
        <f t="shared" si="52"/>
        <v>26.3172</v>
      </c>
      <c r="H1387" s="188">
        <v>25.064</v>
      </c>
      <c r="I1387" s="19">
        <f t="shared" si="53"/>
        <v>0</v>
      </c>
      <c r="L1387" s="131"/>
      <c r="M1387" s="131"/>
      <c r="N1387" s="131"/>
    </row>
    <row r="1388" spans="1:14" hidden="1">
      <c r="A1388" s="100" t="s">
        <v>862</v>
      </c>
      <c r="B1388" s="101" t="s">
        <v>2286</v>
      </c>
      <c r="C1388" s="99" t="s">
        <v>2287</v>
      </c>
      <c r="D1388" s="38"/>
      <c r="E1388" s="42">
        <v>1</v>
      </c>
      <c r="F1388" s="9"/>
      <c r="G1388" s="8">
        <f t="shared" si="52"/>
        <v>26.3172</v>
      </c>
      <c r="H1388" s="188">
        <v>25.064</v>
      </c>
      <c r="I1388" s="19">
        <f t="shared" si="53"/>
        <v>0</v>
      </c>
      <c r="L1388" s="131"/>
      <c r="M1388" s="131"/>
      <c r="N1388" s="131"/>
    </row>
    <row r="1389" spans="1:14" hidden="1">
      <c r="A1389" s="100" t="s">
        <v>862</v>
      </c>
      <c r="B1389" s="101" t="s">
        <v>2288</v>
      </c>
      <c r="C1389" s="99" t="s">
        <v>2289</v>
      </c>
      <c r="D1389" s="38"/>
      <c r="E1389" s="42">
        <v>1</v>
      </c>
      <c r="F1389" s="9"/>
      <c r="G1389" s="8">
        <f t="shared" si="52"/>
        <v>26.3172</v>
      </c>
      <c r="H1389" s="188">
        <v>25.064</v>
      </c>
      <c r="I1389" s="19">
        <f t="shared" si="53"/>
        <v>0</v>
      </c>
      <c r="L1389" s="131"/>
      <c r="M1389" s="131"/>
      <c r="N1389" s="131"/>
    </row>
    <row r="1390" spans="1:14" hidden="1">
      <c r="A1390" s="100" t="s">
        <v>862</v>
      </c>
      <c r="B1390" s="101" t="s">
        <v>2290</v>
      </c>
      <c r="C1390" s="99" t="s">
        <v>2291</v>
      </c>
      <c r="D1390" s="38"/>
      <c r="E1390" s="42">
        <v>1</v>
      </c>
      <c r="F1390" s="9"/>
      <c r="G1390" s="8">
        <f t="shared" si="52"/>
        <v>26.3172</v>
      </c>
      <c r="H1390" s="188">
        <v>25.064</v>
      </c>
      <c r="I1390" s="19">
        <f t="shared" si="53"/>
        <v>0</v>
      </c>
      <c r="L1390" s="131"/>
      <c r="M1390" s="131"/>
      <c r="N1390" s="131"/>
    </row>
    <row r="1391" spans="1:14" hidden="1">
      <c r="A1391" s="100" t="s">
        <v>862</v>
      </c>
      <c r="B1391" s="101" t="s">
        <v>2292</v>
      </c>
      <c r="C1391" s="99" t="s">
        <v>2293</v>
      </c>
      <c r="D1391" s="38"/>
      <c r="E1391" s="42">
        <v>1</v>
      </c>
      <c r="F1391" s="9"/>
      <c r="G1391" s="8">
        <f t="shared" si="52"/>
        <v>14.127750000000001</v>
      </c>
      <c r="H1391" s="188">
        <v>13.455</v>
      </c>
      <c r="I1391" s="19">
        <f t="shared" si="53"/>
        <v>0</v>
      </c>
      <c r="L1391" s="131"/>
      <c r="M1391" s="131"/>
      <c r="N1391" s="131"/>
    </row>
    <row r="1392" spans="1:14" hidden="1">
      <c r="A1392" s="100" t="s">
        <v>862</v>
      </c>
      <c r="B1392" s="101" t="s">
        <v>2294</v>
      </c>
      <c r="C1392" s="99" t="s">
        <v>2295</v>
      </c>
      <c r="D1392" s="38"/>
      <c r="E1392" s="42">
        <v>1</v>
      </c>
      <c r="F1392" s="9"/>
      <c r="G1392" s="8">
        <f t="shared" si="52"/>
        <v>15.725325</v>
      </c>
      <c r="H1392" s="188">
        <v>14.9765</v>
      </c>
      <c r="I1392" s="19">
        <f t="shared" si="53"/>
        <v>0</v>
      </c>
      <c r="L1392" s="131"/>
      <c r="M1392" s="131"/>
      <c r="N1392" s="131"/>
    </row>
    <row r="1393" spans="1:14" hidden="1">
      <c r="A1393" s="100" t="s">
        <v>862</v>
      </c>
      <c r="B1393" s="101" t="s">
        <v>2296</v>
      </c>
      <c r="C1393" s="99" t="s">
        <v>2297</v>
      </c>
      <c r="D1393" s="38"/>
      <c r="E1393" s="42">
        <v>1</v>
      </c>
      <c r="F1393" s="9"/>
      <c r="G1393" s="8">
        <f t="shared" si="52"/>
        <v>14.578200000000001</v>
      </c>
      <c r="H1393" s="188">
        <v>13.884</v>
      </c>
      <c r="I1393" s="19">
        <f t="shared" si="53"/>
        <v>0</v>
      </c>
      <c r="L1393" s="131"/>
      <c r="M1393" s="131"/>
      <c r="N1393" s="131"/>
    </row>
    <row r="1394" spans="1:14" hidden="1">
      <c r="A1394" s="100" t="s">
        <v>862</v>
      </c>
      <c r="B1394" s="101" t="s">
        <v>2298</v>
      </c>
      <c r="C1394" s="99" t="s">
        <v>2299</v>
      </c>
      <c r="D1394" s="38"/>
      <c r="E1394" s="42">
        <v>1</v>
      </c>
      <c r="F1394" s="9"/>
      <c r="G1394" s="8">
        <f t="shared" si="52"/>
        <v>0.62737500000000002</v>
      </c>
      <c r="H1394" s="188">
        <v>0.59750000000000003</v>
      </c>
      <c r="I1394" s="19">
        <f t="shared" si="53"/>
        <v>0</v>
      </c>
      <c r="L1394" s="131"/>
      <c r="M1394" s="131"/>
      <c r="N1394" s="131"/>
    </row>
    <row r="1395" spans="1:14" hidden="1">
      <c r="A1395" s="100" t="s">
        <v>862</v>
      </c>
      <c r="B1395" s="101" t="s">
        <v>2300</v>
      </c>
      <c r="C1395" s="99" t="s">
        <v>2301</v>
      </c>
      <c r="D1395" s="38"/>
      <c r="E1395" s="42">
        <v>1</v>
      </c>
      <c r="F1395" s="9"/>
      <c r="G1395" s="8">
        <f t="shared" si="52"/>
        <v>0.62737500000000002</v>
      </c>
      <c r="H1395" s="188">
        <v>0.59750000000000003</v>
      </c>
      <c r="I1395" s="19">
        <f t="shared" si="53"/>
        <v>0</v>
      </c>
      <c r="L1395" s="131"/>
      <c r="M1395" s="131"/>
      <c r="N1395" s="131"/>
    </row>
    <row r="1396" spans="1:14" hidden="1">
      <c r="A1396" s="100" t="s">
        <v>862</v>
      </c>
      <c r="B1396" s="101" t="s">
        <v>2302</v>
      </c>
      <c r="C1396" s="99" t="s">
        <v>2303</v>
      </c>
      <c r="D1396" s="38"/>
      <c r="E1396" s="42">
        <v>1</v>
      </c>
      <c r="F1396" s="9"/>
      <c r="G1396" s="8">
        <f t="shared" si="52"/>
        <v>0.62737500000000002</v>
      </c>
      <c r="H1396" s="188">
        <v>0.59750000000000003</v>
      </c>
      <c r="I1396" s="19">
        <f t="shared" si="53"/>
        <v>0</v>
      </c>
      <c r="L1396" s="131"/>
      <c r="M1396" s="131"/>
      <c r="N1396" s="131"/>
    </row>
    <row r="1397" spans="1:14" hidden="1">
      <c r="A1397" s="100" t="s">
        <v>862</v>
      </c>
      <c r="B1397" s="101" t="s">
        <v>2304</v>
      </c>
      <c r="C1397" s="99" t="s">
        <v>2305</v>
      </c>
      <c r="D1397" s="38"/>
      <c r="E1397" s="42">
        <v>1</v>
      </c>
      <c r="F1397" s="9"/>
      <c r="G1397" s="8">
        <f t="shared" si="52"/>
        <v>6.2658750000000003</v>
      </c>
      <c r="H1397" s="188">
        <v>5.9675000000000002</v>
      </c>
      <c r="I1397" s="19">
        <f t="shared" si="53"/>
        <v>0</v>
      </c>
      <c r="L1397" s="131"/>
      <c r="M1397" s="131"/>
      <c r="N1397" s="131"/>
    </row>
    <row r="1398" spans="1:14" hidden="1">
      <c r="A1398" s="100" t="s">
        <v>862</v>
      </c>
      <c r="B1398" s="101" t="s">
        <v>2306</v>
      </c>
      <c r="C1398" s="99" t="s">
        <v>2307</v>
      </c>
      <c r="D1398" s="38"/>
      <c r="E1398" s="42">
        <v>1</v>
      </c>
      <c r="F1398" s="9"/>
      <c r="G1398" s="8">
        <f t="shared" si="52"/>
        <v>6.2658750000000003</v>
      </c>
      <c r="H1398" s="188">
        <v>5.9675000000000002</v>
      </c>
      <c r="I1398" s="19">
        <f t="shared" si="53"/>
        <v>0</v>
      </c>
      <c r="L1398" s="131"/>
      <c r="M1398" s="131"/>
      <c r="N1398" s="131"/>
    </row>
    <row r="1399" spans="1:14" hidden="1">
      <c r="A1399" s="100" t="s">
        <v>862</v>
      </c>
      <c r="B1399" s="101" t="s">
        <v>2308</v>
      </c>
      <c r="C1399" s="99" t="s">
        <v>2309</v>
      </c>
      <c r="D1399" s="38"/>
      <c r="E1399" s="42">
        <v>1</v>
      </c>
      <c r="F1399" s="9"/>
      <c r="G1399" s="8">
        <f t="shared" si="52"/>
        <v>6.1976249999999995</v>
      </c>
      <c r="H1399" s="188">
        <v>5.9024999999999999</v>
      </c>
      <c r="I1399" s="19">
        <f t="shared" si="53"/>
        <v>0</v>
      </c>
      <c r="L1399" s="131"/>
      <c r="M1399" s="131"/>
      <c r="N1399" s="131"/>
    </row>
    <row r="1400" spans="1:14" hidden="1">
      <c r="A1400" s="100" t="s">
        <v>862</v>
      </c>
      <c r="B1400" s="101" t="s">
        <v>2310</v>
      </c>
      <c r="C1400" s="99" t="s">
        <v>2311</v>
      </c>
      <c r="D1400" s="38"/>
      <c r="E1400" s="42">
        <v>1</v>
      </c>
      <c r="F1400" s="9"/>
      <c r="G1400" s="8">
        <f t="shared" si="52"/>
        <v>6.2632500000000002</v>
      </c>
      <c r="H1400" s="188">
        <v>5.9649999999999999</v>
      </c>
      <c r="I1400" s="19">
        <f t="shared" si="53"/>
        <v>0</v>
      </c>
      <c r="L1400" s="131"/>
      <c r="M1400" s="131"/>
      <c r="N1400" s="131"/>
    </row>
    <row r="1401" spans="1:14" hidden="1">
      <c r="A1401" s="100" t="s">
        <v>862</v>
      </c>
      <c r="B1401" s="101" t="s">
        <v>2312</v>
      </c>
      <c r="C1401" s="99" t="s">
        <v>2313</v>
      </c>
      <c r="D1401" s="38"/>
      <c r="E1401" s="42">
        <v>1</v>
      </c>
      <c r="F1401" s="9"/>
      <c r="G1401" s="8">
        <f t="shared" si="52"/>
        <v>6.3881999999999994</v>
      </c>
      <c r="H1401" s="188">
        <v>6.0839999999999996</v>
      </c>
      <c r="I1401" s="19">
        <f t="shared" si="53"/>
        <v>0</v>
      </c>
      <c r="L1401" s="131"/>
      <c r="M1401" s="131"/>
      <c r="N1401" s="131"/>
    </row>
    <row r="1402" spans="1:14" hidden="1">
      <c r="A1402" s="100" t="s">
        <v>862</v>
      </c>
      <c r="B1402" s="101" t="s">
        <v>2314</v>
      </c>
      <c r="C1402" s="99" t="s">
        <v>2315</v>
      </c>
      <c r="D1402" s="38"/>
      <c r="E1402" s="42">
        <v>1</v>
      </c>
      <c r="F1402" s="9"/>
      <c r="G1402" s="8">
        <f t="shared" si="52"/>
        <v>6.3881999999999994</v>
      </c>
      <c r="H1402" s="188">
        <v>6.0839999999999996</v>
      </c>
      <c r="I1402" s="19">
        <f t="shared" si="53"/>
        <v>0</v>
      </c>
      <c r="L1402" s="131"/>
      <c r="M1402" s="131"/>
      <c r="N1402" s="131"/>
    </row>
    <row r="1403" spans="1:14" hidden="1">
      <c r="A1403" s="100" t="s">
        <v>862</v>
      </c>
      <c r="B1403" s="101" t="s">
        <v>2316</v>
      </c>
      <c r="C1403" s="99" t="s">
        <v>2317</v>
      </c>
      <c r="D1403" s="38"/>
      <c r="E1403" s="42">
        <v>1</v>
      </c>
      <c r="F1403" s="9"/>
      <c r="G1403" s="8">
        <f t="shared" si="52"/>
        <v>7.6849499999999997</v>
      </c>
      <c r="H1403" s="188">
        <v>7.319</v>
      </c>
      <c r="I1403" s="19">
        <f t="shared" si="53"/>
        <v>0</v>
      </c>
      <c r="L1403" s="131"/>
      <c r="M1403" s="131"/>
      <c r="N1403" s="131"/>
    </row>
    <row r="1404" spans="1:14" hidden="1">
      <c r="A1404" s="100" t="s">
        <v>862</v>
      </c>
      <c r="B1404" s="101" t="s">
        <v>2318</v>
      </c>
      <c r="C1404" s="99" t="s">
        <v>2319</v>
      </c>
      <c r="D1404" s="38"/>
      <c r="E1404" s="42">
        <v>1</v>
      </c>
      <c r="F1404" s="9"/>
      <c r="G1404" s="8">
        <f t="shared" si="52"/>
        <v>0.14332500000000001</v>
      </c>
      <c r="H1404" s="188">
        <v>0.13650000000000001</v>
      </c>
      <c r="I1404" s="19">
        <f t="shared" si="53"/>
        <v>0</v>
      </c>
      <c r="L1404" s="131"/>
      <c r="M1404" s="131"/>
      <c r="N1404" s="131"/>
    </row>
    <row r="1405" spans="1:14" hidden="1">
      <c r="A1405" s="100" t="s">
        <v>862</v>
      </c>
      <c r="B1405" s="101" t="s">
        <v>2320</v>
      </c>
      <c r="C1405" s="99" t="s">
        <v>2321</v>
      </c>
      <c r="D1405" s="38"/>
      <c r="E1405" s="42">
        <v>1</v>
      </c>
      <c r="F1405" s="9"/>
      <c r="G1405" s="8">
        <f t="shared" si="52"/>
        <v>0.170625</v>
      </c>
      <c r="H1405" s="188">
        <v>0.16250000000000001</v>
      </c>
      <c r="I1405" s="19">
        <f t="shared" si="53"/>
        <v>0</v>
      </c>
      <c r="L1405" s="131"/>
      <c r="M1405" s="131"/>
      <c r="N1405" s="131"/>
    </row>
    <row r="1406" spans="1:14" hidden="1">
      <c r="A1406" s="100" t="s">
        <v>862</v>
      </c>
      <c r="B1406" s="101" t="s">
        <v>2322</v>
      </c>
      <c r="C1406" s="99" t="s">
        <v>2323</v>
      </c>
      <c r="D1406" s="38"/>
      <c r="E1406" s="42">
        <v>1</v>
      </c>
      <c r="F1406" s="9"/>
      <c r="G1406" s="8">
        <f t="shared" si="52"/>
        <v>10.92</v>
      </c>
      <c r="H1406" s="188">
        <v>10.4</v>
      </c>
      <c r="I1406" s="19">
        <f t="shared" si="53"/>
        <v>0</v>
      </c>
      <c r="L1406" s="131"/>
      <c r="M1406" s="131"/>
      <c r="N1406" s="131"/>
    </row>
    <row r="1407" spans="1:14" hidden="1">
      <c r="A1407" s="100" t="s">
        <v>862</v>
      </c>
      <c r="B1407" s="101" t="s">
        <v>2324</v>
      </c>
      <c r="C1407" s="99" t="s">
        <v>2325</v>
      </c>
      <c r="D1407" s="38"/>
      <c r="E1407" s="42">
        <v>1</v>
      </c>
      <c r="F1407" s="9"/>
      <c r="G1407" s="8">
        <f t="shared" si="52"/>
        <v>54.122250000000001</v>
      </c>
      <c r="H1407" s="188">
        <v>51.545000000000002</v>
      </c>
      <c r="I1407" s="19">
        <f t="shared" si="53"/>
        <v>0</v>
      </c>
      <c r="L1407" s="131"/>
      <c r="M1407" s="131"/>
      <c r="N1407" s="131"/>
    </row>
    <row r="1408" spans="1:14" hidden="1">
      <c r="A1408" s="100" t="s">
        <v>862</v>
      </c>
      <c r="B1408" s="101" t="s">
        <v>2326</v>
      </c>
      <c r="C1408" s="99" t="s">
        <v>2309</v>
      </c>
      <c r="D1408" s="38"/>
      <c r="E1408" s="42">
        <v>1</v>
      </c>
      <c r="F1408" s="9"/>
      <c r="G1408" s="8">
        <f t="shared" si="52"/>
        <v>8.23095</v>
      </c>
      <c r="H1408" s="188">
        <v>7.8390000000000004</v>
      </c>
      <c r="I1408" s="19">
        <f t="shared" si="53"/>
        <v>0</v>
      </c>
      <c r="L1408" s="131"/>
      <c r="M1408" s="131"/>
      <c r="N1408" s="131"/>
    </row>
    <row r="1409" spans="1:14" hidden="1">
      <c r="A1409" s="100" t="s">
        <v>862</v>
      </c>
      <c r="B1409" s="101" t="s">
        <v>2327</v>
      </c>
      <c r="C1409" s="99" t="s">
        <v>2328</v>
      </c>
      <c r="D1409" s="38"/>
      <c r="E1409" s="42">
        <v>1</v>
      </c>
      <c r="F1409" s="9"/>
      <c r="G1409" s="8">
        <f t="shared" si="52"/>
        <v>1.3151249999999999</v>
      </c>
      <c r="H1409" s="188">
        <v>1.2524999999999999</v>
      </c>
      <c r="I1409" s="19">
        <f t="shared" si="53"/>
        <v>0</v>
      </c>
      <c r="L1409" s="131"/>
      <c r="M1409" s="131"/>
      <c r="N1409" s="131"/>
    </row>
    <row r="1410" spans="1:14" hidden="1">
      <c r="A1410" s="100" t="s">
        <v>862</v>
      </c>
      <c r="B1410" s="101" t="s">
        <v>2329</v>
      </c>
      <c r="C1410" s="99" t="s">
        <v>2330</v>
      </c>
      <c r="D1410" s="38"/>
      <c r="E1410" s="42">
        <v>1</v>
      </c>
      <c r="F1410" s="9"/>
      <c r="G1410" s="8">
        <f t="shared" si="52"/>
        <v>115.98457500000001</v>
      </c>
      <c r="H1410" s="188">
        <v>110.4615</v>
      </c>
      <c r="I1410" s="19">
        <f t="shared" si="53"/>
        <v>0</v>
      </c>
      <c r="L1410" s="131"/>
      <c r="M1410" s="131"/>
      <c r="N1410" s="131"/>
    </row>
    <row r="1411" spans="1:14" hidden="1">
      <c r="A1411" s="100" t="s">
        <v>862</v>
      </c>
      <c r="B1411" s="101" t="s">
        <v>2331</v>
      </c>
      <c r="C1411" s="99" t="s">
        <v>2332</v>
      </c>
      <c r="D1411" s="38"/>
      <c r="E1411" s="42">
        <v>1</v>
      </c>
      <c r="F1411" s="9"/>
      <c r="G1411" s="8">
        <f t="shared" si="52"/>
        <v>117.79949999999999</v>
      </c>
      <c r="H1411" s="188">
        <v>112.19</v>
      </c>
      <c r="I1411" s="19">
        <f t="shared" si="53"/>
        <v>0</v>
      </c>
      <c r="L1411" s="131"/>
      <c r="M1411" s="131"/>
      <c r="N1411" s="131"/>
    </row>
    <row r="1412" spans="1:14" hidden="1">
      <c r="A1412" s="100" t="s">
        <v>862</v>
      </c>
      <c r="B1412" s="101" t="s">
        <v>2333</v>
      </c>
      <c r="C1412" s="99" t="s">
        <v>2334</v>
      </c>
      <c r="D1412" s="38"/>
      <c r="E1412" s="42">
        <v>1</v>
      </c>
      <c r="F1412" s="9"/>
      <c r="G1412" s="8">
        <f t="shared" si="52"/>
        <v>23.968875000000001</v>
      </c>
      <c r="H1412" s="188">
        <v>22.827500000000001</v>
      </c>
      <c r="I1412" s="19">
        <f t="shared" si="53"/>
        <v>0</v>
      </c>
      <c r="L1412" s="131"/>
      <c r="M1412" s="131"/>
      <c r="N1412" s="131"/>
    </row>
    <row r="1413" spans="1:14" hidden="1">
      <c r="A1413" s="100" t="s">
        <v>862</v>
      </c>
      <c r="B1413" s="101" t="s">
        <v>2335</v>
      </c>
      <c r="C1413" s="99" t="s">
        <v>2336</v>
      </c>
      <c r="D1413" s="38"/>
      <c r="E1413" s="42">
        <v>1</v>
      </c>
      <c r="F1413" s="9"/>
      <c r="G1413" s="8">
        <f t="shared" si="52"/>
        <v>28.119</v>
      </c>
      <c r="H1413" s="188">
        <v>26.78</v>
      </c>
      <c r="I1413" s="19">
        <f t="shared" si="53"/>
        <v>0</v>
      </c>
      <c r="L1413" s="131"/>
      <c r="M1413" s="131"/>
      <c r="N1413" s="131"/>
    </row>
    <row r="1414" spans="1:14" hidden="1">
      <c r="A1414" s="100" t="s">
        <v>862</v>
      </c>
      <c r="B1414" s="101" t="s">
        <v>2337</v>
      </c>
      <c r="C1414" s="99" t="s">
        <v>2338</v>
      </c>
      <c r="D1414" s="38"/>
      <c r="E1414" s="42">
        <v>1</v>
      </c>
      <c r="F1414" s="9"/>
      <c r="G1414" s="8">
        <f t="shared" si="52"/>
        <v>98.826000000000008</v>
      </c>
      <c r="H1414" s="188">
        <v>94.12</v>
      </c>
      <c r="I1414" s="19">
        <f t="shared" si="53"/>
        <v>0</v>
      </c>
      <c r="L1414" s="131"/>
      <c r="M1414" s="131"/>
      <c r="N1414" s="131"/>
    </row>
    <row r="1415" spans="1:14" hidden="1">
      <c r="A1415" s="100" t="s">
        <v>862</v>
      </c>
      <c r="B1415" s="101" t="s">
        <v>2339</v>
      </c>
      <c r="C1415" s="99" t="s">
        <v>2340</v>
      </c>
      <c r="D1415" s="38"/>
      <c r="E1415" s="42">
        <v>1</v>
      </c>
      <c r="F1415" s="9"/>
      <c r="G1415" s="8">
        <f t="shared" si="52"/>
        <v>107.46645000000001</v>
      </c>
      <c r="H1415" s="188">
        <v>102.349</v>
      </c>
      <c r="I1415" s="19">
        <f t="shared" si="53"/>
        <v>0</v>
      </c>
      <c r="L1415" s="131"/>
      <c r="M1415" s="131"/>
      <c r="N1415" s="131"/>
    </row>
    <row r="1416" spans="1:14" hidden="1">
      <c r="A1416" s="100" t="s">
        <v>862</v>
      </c>
      <c r="B1416" s="101" t="s">
        <v>2341</v>
      </c>
      <c r="C1416" s="99" t="s">
        <v>2342</v>
      </c>
      <c r="D1416" s="38"/>
      <c r="E1416" s="42">
        <v>1</v>
      </c>
      <c r="F1416" s="9"/>
      <c r="G1416" s="8">
        <f t="shared" si="52"/>
        <v>36.513750000000002</v>
      </c>
      <c r="H1416" s="188">
        <v>34.774999999999999</v>
      </c>
      <c r="I1416" s="19">
        <f t="shared" si="53"/>
        <v>0</v>
      </c>
      <c r="L1416" s="131"/>
      <c r="M1416" s="131"/>
      <c r="N1416" s="131"/>
    </row>
    <row r="1417" spans="1:14" hidden="1">
      <c r="A1417" s="100" t="s">
        <v>862</v>
      </c>
      <c r="B1417" s="101" t="s">
        <v>2343</v>
      </c>
      <c r="C1417" s="99" t="s">
        <v>2344</v>
      </c>
      <c r="D1417" s="38"/>
      <c r="E1417" s="42">
        <v>1</v>
      </c>
      <c r="F1417" s="9"/>
      <c r="G1417" s="8">
        <f t="shared" si="52"/>
        <v>40.417124999999999</v>
      </c>
      <c r="H1417" s="188">
        <v>38.4925</v>
      </c>
      <c r="I1417" s="19">
        <f t="shared" si="53"/>
        <v>0</v>
      </c>
      <c r="L1417" s="131"/>
      <c r="M1417" s="131"/>
      <c r="N1417" s="131"/>
    </row>
    <row r="1418" spans="1:14" hidden="1">
      <c r="A1418" s="100" t="s">
        <v>862</v>
      </c>
      <c r="B1418" s="101" t="s">
        <v>2345</v>
      </c>
      <c r="C1418" s="99" t="s">
        <v>2346</v>
      </c>
      <c r="D1418" s="38"/>
      <c r="E1418" s="42">
        <v>1</v>
      </c>
      <c r="F1418" s="9"/>
      <c r="G1418" s="8">
        <f t="shared" si="52"/>
        <v>127.819125</v>
      </c>
      <c r="H1418" s="188">
        <v>121.7325</v>
      </c>
      <c r="I1418" s="19">
        <f t="shared" si="53"/>
        <v>0</v>
      </c>
      <c r="L1418" s="131"/>
      <c r="M1418" s="131"/>
      <c r="N1418" s="131"/>
    </row>
    <row r="1419" spans="1:14" hidden="1">
      <c r="A1419" s="100" t="s">
        <v>862</v>
      </c>
      <c r="B1419" s="101" t="s">
        <v>2347</v>
      </c>
      <c r="C1419" s="99" t="s">
        <v>2348</v>
      </c>
      <c r="D1419" s="38"/>
      <c r="E1419" s="42">
        <v>1</v>
      </c>
      <c r="F1419" s="9"/>
      <c r="G1419" s="8">
        <f t="shared" si="52"/>
        <v>131.750325</v>
      </c>
      <c r="H1419" s="188">
        <v>125.4765</v>
      </c>
      <c r="I1419" s="19">
        <f t="shared" si="53"/>
        <v>0</v>
      </c>
      <c r="L1419" s="131"/>
      <c r="M1419" s="131"/>
      <c r="N1419" s="131"/>
    </row>
    <row r="1420" spans="1:14" hidden="1">
      <c r="A1420" s="100" t="s">
        <v>862</v>
      </c>
      <c r="B1420" s="101" t="s">
        <v>2349</v>
      </c>
      <c r="C1420" s="99" t="s">
        <v>2350</v>
      </c>
      <c r="D1420" s="38"/>
      <c r="E1420" s="42">
        <v>1</v>
      </c>
      <c r="F1420" s="9"/>
      <c r="G1420" s="8">
        <f t="shared" si="52"/>
        <v>114.89257499999999</v>
      </c>
      <c r="H1420" s="188">
        <v>109.42149999999999</v>
      </c>
      <c r="I1420" s="19">
        <f t="shared" si="53"/>
        <v>0</v>
      </c>
      <c r="L1420" s="131"/>
      <c r="M1420" s="131"/>
      <c r="N1420" s="131"/>
    </row>
    <row r="1421" spans="1:14" hidden="1">
      <c r="A1421" s="100" t="s">
        <v>862</v>
      </c>
      <c r="B1421" s="101" t="s">
        <v>2351</v>
      </c>
      <c r="C1421" s="99" t="s">
        <v>2352</v>
      </c>
      <c r="D1421" s="38"/>
      <c r="E1421" s="42">
        <v>1</v>
      </c>
      <c r="F1421" s="9"/>
      <c r="G1421" s="8">
        <f t="shared" si="52"/>
        <v>120.925875</v>
      </c>
      <c r="H1421" s="188">
        <v>115.1675</v>
      </c>
      <c r="I1421" s="19">
        <f t="shared" si="53"/>
        <v>0</v>
      </c>
      <c r="L1421" s="131"/>
      <c r="M1421" s="131"/>
      <c r="N1421" s="131"/>
    </row>
    <row r="1422" spans="1:14" hidden="1">
      <c r="A1422" s="100" t="s">
        <v>862</v>
      </c>
      <c r="B1422" s="101" t="s">
        <v>2353</v>
      </c>
      <c r="C1422" s="99" t="s">
        <v>2354</v>
      </c>
      <c r="D1422" s="38"/>
      <c r="E1422" s="42">
        <v>1</v>
      </c>
      <c r="F1422" s="9"/>
      <c r="G1422" s="8">
        <f t="shared" si="52"/>
        <v>3.9716250000000004</v>
      </c>
      <c r="H1422" s="188">
        <v>3.7825000000000002</v>
      </c>
      <c r="I1422" s="19">
        <f t="shared" si="53"/>
        <v>0</v>
      </c>
      <c r="L1422" s="131"/>
      <c r="M1422" s="131"/>
      <c r="N1422" s="131"/>
    </row>
    <row r="1423" spans="1:14" hidden="1">
      <c r="A1423" s="100" t="s">
        <v>862</v>
      </c>
      <c r="B1423" s="101" t="s">
        <v>2355</v>
      </c>
      <c r="C1423" s="99" t="s">
        <v>2356</v>
      </c>
      <c r="D1423" s="38"/>
      <c r="E1423" s="42">
        <v>1</v>
      </c>
      <c r="F1423" s="9"/>
      <c r="G1423" s="8">
        <f t="shared" si="52"/>
        <v>5.5413749999999995</v>
      </c>
      <c r="H1423" s="188">
        <v>5.2774999999999999</v>
      </c>
      <c r="I1423" s="19">
        <f t="shared" si="53"/>
        <v>0</v>
      </c>
      <c r="L1423" s="131"/>
      <c r="M1423" s="131"/>
      <c r="N1423" s="131"/>
    </row>
    <row r="1424" spans="1:14" hidden="1">
      <c r="A1424" s="100" t="s">
        <v>862</v>
      </c>
      <c r="B1424" s="101" t="s">
        <v>2357</v>
      </c>
      <c r="C1424" s="99" t="s">
        <v>2358</v>
      </c>
      <c r="D1424" s="38"/>
      <c r="E1424" s="42">
        <v>1</v>
      </c>
      <c r="F1424" s="9"/>
      <c r="G1424" s="8">
        <f t="shared" si="52"/>
        <v>8.9817</v>
      </c>
      <c r="H1424" s="188">
        <v>8.5540000000000003</v>
      </c>
      <c r="I1424" s="19">
        <f t="shared" si="53"/>
        <v>0</v>
      </c>
      <c r="L1424" s="131"/>
      <c r="M1424" s="131"/>
      <c r="N1424" s="131"/>
    </row>
    <row r="1425" spans="1:14" hidden="1">
      <c r="A1425" s="100" t="s">
        <v>862</v>
      </c>
      <c r="B1425" s="101" t="s">
        <v>2359</v>
      </c>
      <c r="C1425" s="99" t="s">
        <v>2360</v>
      </c>
      <c r="D1425" s="38"/>
      <c r="E1425" s="42">
        <v>1</v>
      </c>
      <c r="F1425" s="9"/>
      <c r="G1425" s="8">
        <f t="shared" si="52"/>
        <v>8.9817</v>
      </c>
      <c r="H1425" s="188">
        <v>8.5540000000000003</v>
      </c>
      <c r="I1425" s="19">
        <f t="shared" si="53"/>
        <v>0</v>
      </c>
      <c r="L1425" s="131"/>
      <c r="M1425" s="131"/>
      <c r="N1425" s="131"/>
    </row>
    <row r="1426" spans="1:14" hidden="1">
      <c r="A1426" s="100" t="s">
        <v>862</v>
      </c>
      <c r="B1426" s="101" t="s">
        <v>2361</v>
      </c>
      <c r="C1426" s="99" t="s">
        <v>2362</v>
      </c>
      <c r="D1426" s="38"/>
      <c r="E1426" s="42">
        <v>1</v>
      </c>
      <c r="F1426" s="9"/>
      <c r="G1426" s="8">
        <f t="shared" si="52"/>
        <v>7.9579499999999994</v>
      </c>
      <c r="H1426" s="188">
        <v>7.5789999999999997</v>
      </c>
      <c r="I1426" s="19">
        <f t="shared" si="53"/>
        <v>0</v>
      </c>
      <c r="L1426" s="131"/>
      <c r="M1426" s="131"/>
      <c r="N1426" s="131"/>
    </row>
    <row r="1427" spans="1:14" hidden="1">
      <c r="A1427" s="100" t="s">
        <v>862</v>
      </c>
      <c r="B1427" s="101" t="s">
        <v>2363</v>
      </c>
      <c r="C1427" s="99" t="s">
        <v>2364</v>
      </c>
      <c r="D1427" s="38"/>
      <c r="E1427" s="42">
        <v>1</v>
      </c>
      <c r="F1427" s="9"/>
      <c r="G1427" s="8">
        <f t="shared" si="52"/>
        <v>24.09225</v>
      </c>
      <c r="H1427" s="188">
        <v>22.945</v>
      </c>
      <c r="I1427" s="19">
        <f t="shared" si="53"/>
        <v>0</v>
      </c>
      <c r="L1427" s="131"/>
      <c r="M1427" s="131"/>
      <c r="N1427" s="131"/>
    </row>
    <row r="1428" spans="1:14" hidden="1">
      <c r="A1428" s="100" t="s">
        <v>862</v>
      </c>
      <c r="B1428" s="101" t="s">
        <v>2365</v>
      </c>
      <c r="C1428" s="99" t="s">
        <v>2366</v>
      </c>
      <c r="D1428" s="38"/>
      <c r="E1428" s="42">
        <v>1</v>
      </c>
      <c r="F1428" s="9"/>
      <c r="G1428" s="8">
        <f t="shared" si="52"/>
        <v>6.7567499999999994</v>
      </c>
      <c r="H1428" s="188">
        <v>6.4349999999999996</v>
      </c>
      <c r="I1428" s="19">
        <f t="shared" si="53"/>
        <v>0</v>
      </c>
      <c r="L1428" s="131"/>
      <c r="M1428" s="131"/>
      <c r="N1428" s="131"/>
    </row>
    <row r="1429" spans="1:14" hidden="1">
      <c r="A1429" s="100" t="s">
        <v>862</v>
      </c>
      <c r="B1429" s="101" t="s">
        <v>2367</v>
      </c>
      <c r="C1429" s="99" t="s">
        <v>2303</v>
      </c>
      <c r="D1429" s="38"/>
      <c r="E1429" s="42">
        <v>1</v>
      </c>
      <c r="F1429" s="9"/>
      <c r="G1429" s="8">
        <f t="shared" si="52"/>
        <v>3.9994500000000004</v>
      </c>
      <c r="H1429" s="188">
        <v>3.8090000000000002</v>
      </c>
      <c r="I1429" s="19">
        <f t="shared" si="53"/>
        <v>0</v>
      </c>
      <c r="L1429" s="131"/>
      <c r="M1429" s="131"/>
      <c r="N1429" s="131"/>
    </row>
    <row r="1430" spans="1:14" hidden="1">
      <c r="A1430" s="100" t="s">
        <v>862</v>
      </c>
      <c r="B1430" s="101" t="s">
        <v>2368</v>
      </c>
      <c r="C1430" s="99" t="s">
        <v>2369</v>
      </c>
      <c r="D1430" s="38"/>
      <c r="E1430" s="42">
        <v>1</v>
      </c>
      <c r="F1430" s="9"/>
      <c r="G1430" s="8">
        <f t="shared" si="52"/>
        <v>9.8962500000000002</v>
      </c>
      <c r="H1430" s="188">
        <v>9.4250000000000007</v>
      </c>
      <c r="I1430" s="19">
        <f t="shared" si="53"/>
        <v>0</v>
      </c>
      <c r="L1430" s="131"/>
      <c r="M1430" s="131"/>
      <c r="N1430" s="131"/>
    </row>
    <row r="1431" spans="1:14" hidden="1">
      <c r="A1431" s="100" t="s">
        <v>862</v>
      </c>
      <c r="B1431" s="101" t="s">
        <v>2370</v>
      </c>
      <c r="C1431" s="99" t="s">
        <v>2371</v>
      </c>
      <c r="D1431" s="38"/>
      <c r="E1431" s="42">
        <v>1</v>
      </c>
      <c r="F1431" s="9"/>
      <c r="G1431" s="8">
        <f t="shared" si="52"/>
        <v>86.882249999999999</v>
      </c>
      <c r="H1431" s="188">
        <v>82.745000000000005</v>
      </c>
      <c r="I1431" s="19">
        <f t="shared" si="53"/>
        <v>0</v>
      </c>
      <c r="L1431" s="131"/>
      <c r="M1431" s="131"/>
      <c r="N1431" s="131"/>
    </row>
    <row r="1432" spans="1:14" hidden="1">
      <c r="A1432" s="100" t="s">
        <v>862</v>
      </c>
      <c r="B1432" s="101" t="s">
        <v>2372</v>
      </c>
      <c r="C1432" s="99" t="s">
        <v>2373</v>
      </c>
      <c r="D1432" s="38"/>
      <c r="E1432" s="42">
        <v>1</v>
      </c>
      <c r="F1432" s="9"/>
      <c r="G1432" s="8">
        <f t="shared" si="52"/>
        <v>140.32199999999997</v>
      </c>
      <c r="H1432" s="188">
        <v>133.63999999999999</v>
      </c>
      <c r="I1432" s="19">
        <f t="shared" si="53"/>
        <v>0</v>
      </c>
      <c r="L1432" s="131"/>
      <c r="M1432" s="131"/>
      <c r="N1432" s="131"/>
    </row>
    <row r="1433" spans="1:14" hidden="1">
      <c r="A1433" s="100" t="s">
        <v>862</v>
      </c>
      <c r="B1433" s="101" t="s">
        <v>2374</v>
      </c>
      <c r="C1433" s="99" t="s">
        <v>2375</v>
      </c>
      <c r="D1433" s="38"/>
      <c r="E1433" s="42">
        <v>1</v>
      </c>
      <c r="F1433" s="9"/>
      <c r="G1433" s="8">
        <f t="shared" si="52"/>
        <v>149.26275000000001</v>
      </c>
      <c r="H1433" s="188">
        <v>142.155</v>
      </c>
      <c r="I1433" s="19">
        <f t="shared" si="53"/>
        <v>0</v>
      </c>
      <c r="L1433" s="131"/>
      <c r="M1433" s="131"/>
      <c r="N1433" s="131"/>
    </row>
    <row r="1434" spans="1:14" hidden="1">
      <c r="A1434" s="100" t="s">
        <v>862</v>
      </c>
      <c r="B1434" s="101" t="s">
        <v>2376</v>
      </c>
      <c r="C1434" s="99" t="s">
        <v>2377</v>
      </c>
      <c r="D1434" s="38"/>
      <c r="E1434" s="42">
        <v>1</v>
      </c>
      <c r="F1434" s="9"/>
      <c r="G1434" s="8">
        <f t="shared" si="52"/>
        <v>497.40600000000001</v>
      </c>
      <c r="H1434" s="188">
        <v>473.72</v>
      </c>
      <c r="I1434" s="19">
        <f t="shared" si="53"/>
        <v>0</v>
      </c>
      <c r="L1434" s="131"/>
      <c r="M1434" s="131"/>
      <c r="N1434" s="131"/>
    </row>
    <row r="1435" spans="1:14" hidden="1">
      <c r="A1435" s="100" t="s">
        <v>862</v>
      </c>
      <c r="B1435" s="101" t="s">
        <v>2378</v>
      </c>
      <c r="C1435" s="99" t="s">
        <v>2379</v>
      </c>
      <c r="D1435" s="38"/>
      <c r="E1435" s="42">
        <v>1</v>
      </c>
      <c r="F1435" s="9"/>
      <c r="G1435" s="8">
        <f t="shared" si="52"/>
        <v>499.09912499999996</v>
      </c>
      <c r="H1435" s="188">
        <v>475.33249999999998</v>
      </c>
      <c r="I1435" s="19">
        <f t="shared" si="53"/>
        <v>0</v>
      </c>
      <c r="L1435" s="131"/>
      <c r="M1435" s="131"/>
      <c r="N1435" s="131"/>
    </row>
    <row r="1436" spans="1:14" hidden="1">
      <c r="A1436" s="100" t="s">
        <v>862</v>
      </c>
      <c r="B1436" s="101" t="s">
        <v>2380</v>
      </c>
      <c r="C1436" s="99" t="s">
        <v>2381</v>
      </c>
      <c r="D1436" s="38"/>
      <c r="E1436" s="42">
        <v>1</v>
      </c>
      <c r="F1436" s="9"/>
      <c r="G1436" s="8">
        <f t="shared" si="52"/>
        <v>474.07762500000001</v>
      </c>
      <c r="H1436" s="188">
        <v>451.5025</v>
      </c>
      <c r="I1436" s="19">
        <f t="shared" si="53"/>
        <v>0</v>
      </c>
      <c r="L1436" s="131"/>
      <c r="M1436" s="131"/>
      <c r="N1436" s="131"/>
    </row>
    <row r="1437" spans="1:14" hidden="1">
      <c r="A1437" s="100" t="s">
        <v>862</v>
      </c>
      <c r="B1437" s="101" t="s">
        <v>2382</v>
      </c>
      <c r="C1437" s="99" t="s">
        <v>2383</v>
      </c>
      <c r="D1437" s="38"/>
      <c r="E1437" s="42">
        <v>1</v>
      </c>
      <c r="F1437" s="9"/>
      <c r="G1437" s="8">
        <f t="shared" si="52"/>
        <v>490.51274999999998</v>
      </c>
      <c r="H1437" s="188">
        <v>467.15499999999997</v>
      </c>
      <c r="I1437" s="19">
        <f t="shared" si="53"/>
        <v>0</v>
      </c>
      <c r="L1437" s="131"/>
      <c r="M1437" s="131"/>
      <c r="N1437" s="131"/>
    </row>
    <row r="1438" spans="1:14" hidden="1">
      <c r="A1438" s="100" t="s">
        <v>862</v>
      </c>
      <c r="B1438" s="101" t="s">
        <v>2384</v>
      </c>
      <c r="C1438" s="99" t="s">
        <v>2385</v>
      </c>
      <c r="D1438" s="38"/>
      <c r="E1438" s="42">
        <v>1</v>
      </c>
      <c r="F1438" s="9"/>
      <c r="G1438" s="8">
        <f t="shared" si="52"/>
        <v>191.03174999999999</v>
      </c>
      <c r="H1438" s="188">
        <v>181.935</v>
      </c>
      <c r="I1438" s="19">
        <f t="shared" si="53"/>
        <v>0</v>
      </c>
      <c r="L1438" s="131"/>
      <c r="M1438" s="131"/>
      <c r="N1438" s="131"/>
    </row>
    <row r="1439" spans="1:14" hidden="1">
      <c r="A1439" s="100" t="s">
        <v>862</v>
      </c>
      <c r="B1439" s="101" t="s">
        <v>2386</v>
      </c>
      <c r="C1439" s="99" t="s">
        <v>2387</v>
      </c>
      <c r="D1439" s="38"/>
      <c r="E1439" s="42">
        <v>1</v>
      </c>
      <c r="F1439" s="9"/>
      <c r="G1439" s="8">
        <f t="shared" si="52"/>
        <v>45.522749999999995</v>
      </c>
      <c r="H1439" s="188">
        <v>43.354999999999997</v>
      </c>
      <c r="I1439" s="19">
        <f t="shared" si="53"/>
        <v>0</v>
      </c>
      <c r="L1439" s="131"/>
      <c r="M1439" s="131"/>
      <c r="N1439" s="131"/>
    </row>
    <row r="1440" spans="1:14" hidden="1">
      <c r="A1440" s="100" t="s">
        <v>862</v>
      </c>
      <c r="B1440" s="101" t="s">
        <v>2388</v>
      </c>
      <c r="C1440" s="99" t="s">
        <v>2389</v>
      </c>
      <c r="D1440" s="38"/>
      <c r="E1440" s="42">
        <v>1</v>
      </c>
      <c r="F1440" s="9"/>
      <c r="G1440" s="8">
        <f t="shared" si="52"/>
        <v>45.509625</v>
      </c>
      <c r="H1440" s="188">
        <v>43.342500000000001</v>
      </c>
      <c r="I1440" s="19">
        <f t="shared" si="53"/>
        <v>0</v>
      </c>
      <c r="L1440" s="131"/>
      <c r="M1440" s="131"/>
      <c r="N1440" s="131"/>
    </row>
    <row r="1441" spans="1:14" hidden="1">
      <c r="A1441" s="100" t="s">
        <v>862</v>
      </c>
      <c r="B1441" s="101" t="s">
        <v>2390</v>
      </c>
      <c r="C1441" s="99" t="s">
        <v>2391</v>
      </c>
      <c r="D1441" s="38"/>
      <c r="E1441" s="42">
        <v>1</v>
      </c>
      <c r="F1441" s="9"/>
      <c r="G1441" s="8">
        <f t="shared" si="52"/>
        <v>198.32137499999999</v>
      </c>
      <c r="H1441" s="188">
        <v>188.8775</v>
      </c>
      <c r="I1441" s="19">
        <f t="shared" si="53"/>
        <v>0</v>
      </c>
      <c r="L1441" s="131"/>
      <c r="M1441" s="131"/>
      <c r="N1441" s="131"/>
    </row>
    <row r="1442" spans="1:14" hidden="1">
      <c r="A1442" s="100" t="s">
        <v>862</v>
      </c>
      <c r="B1442" s="101" t="s">
        <v>2392</v>
      </c>
      <c r="C1442" s="99" t="s">
        <v>2393</v>
      </c>
      <c r="D1442" s="38"/>
      <c r="E1442" s="42">
        <v>1</v>
      </c>
      <c r="F1442" s="9"/>
      <c r="G1442" s="8">
        <f t="shared" si="52"/>
        <v>226.38524999999998</v>
      </c>
      <c r="H1442" s="188">
        <v>215.60499999999999</v>
      </c>
      <c r="I1442" s="19">
        <f t="shared" si="53"/>
        <v>0</v>
      </c>
      <c r="L1442" s="131"/>
      <c r="M1442" s="131"/>
      <c r="N1442" s="131"/>
    </row>
    <row r="1443" spans="1:14" hidden="1">
      <c r="A1443" s="100" t="s">
        <v>862</v>
      </c>
      <c r="B1443" s="101" t="s">
        <v>2394</v>
      </c>
      <c r="C1443" s="99" t="s">
        <v>2395</v>
      </c>
      <c r="D1443" s="38"/>
      <c r="E1443" s="42">
        <v>1</v>
      </c>
      <c r="F1443" s="9"/>
      <c r="G1443" s="8">
        <f t="shared" si="52"/>
        <v>198.94874999999999</v>
      </c>
      <c r="H1443" s="188">
        <v>189.47499999999999</v>
      </c>
      <c r="I1443" s="19">
        <f t="shared" si="53"/>
        <v>0</v>
      </c>
      <c r="L1443" s="131"/>
      <c r="M1443" s="131"/>
      <c r="N1443" s="131"/>
    </row>
    <row r="1444" spans="1:14" hidden="1">
      <c r="A1444" s="100" t="s">
        <v>862</v>
      </c>
      <c r="B1444" s="101" t="s">
        <v>2396</v>
      </c>
      <c r="C1444" s="99" t="s">
        <v>2397</v>
      </c>
      <c r="D1444" s="38"/>
      <c r="E1444" s="42">
        <v>1</v>
      </c>
      <c r="F1444" s="9"/>
      <c r="G1444" s="8">
        <f t="shared" si="52"/>
        <v>198.94874999999999</v>
      </c>
      <c r="H1444" s="188">
        <v>189.47499999999999</v>
      </c>
      <c r="I1444" s="19">
        <f t="shared" si="53"/>
        <v>0</v>
      </c>
      <c r="L1444" s="131"/>
      <c r="M1444" s="131"/>
      <c r="N1444" s="131"/>
    </row>
    <row r="1445" spans="1:14" hidden="1">
      <c r="A1445" s="100" t="s">
        <v>862</v>
      </c>
      <c r="B1445" s="101" t="s">
        <v>2398</v>
      </c>
      <c r="C1445" s="99" t="s">
        <v>2399</v>
      </c>
      <c r="D1445" s="38"/>
      <c r="E1445" s="42">
        <v>1</v>
      </c>
      <c r="F1445" s="9"/>
      <c r="G1445" s="8">
        <f t="shared" ref="G1445:G1508" si="54">H1445+(H1445*5%)</f>
        <v>44.976750000000003</v>
      </c>
      <c r="H1445" s="188">
        <v>42.835000000000001</v>
      </c>
      <c r="I1445" s="19">
        <f t="shared" si="53"/>
        <v>0</v>
      </c>
      <c r="L1445" s="131"/>
      <c r="M1445" s="131"/>
      <c r="N1445" s="131"/>
    </row>
    <row r="1446" spans="1:14" hidden="1">
      <c r="A1446" s="100" t="s">
        <v>862</v>
      </c>
      <c r="B1446" s="101" t="s">
        <v>2400</v>
      </c>
      <c r="C1446" s="99" t="s">
        <v>2401</v>
      </c>
      <c r="D1446" s="38"/>
      <c r="E1446" s="42">
        <v>1</v>
      </c>
      <c r="F1446" s="9"/>
      <c r="G1446" s="8">
        <f t="shared" si="54"/>
        <v>202.56599999999997</v>
      </c>
      <c r="H1446" s="188">
        <v>192.92</v>
      </c>
      <c r="I1446" s="19">
        <f t="shared" ref="I1446:I1509" si="55">G1446*F1446</f>
        <v>0</v>
      </c>
      <c r="L1446" s="131"/>
      <c r="M1446" s="131"/>
      <c r="N1446" s="131"/>
    </row>
    <row r="1447" spans="1:14" hidden="1">
      <c r="A1447" s="100" t="s">
        <v>862</v>
      </c>
      <c r="B1447" s="101" t="s">
        <v>2402</v>
      </c>
      <c r="C1447" s="99" t="s">
        <v>2403</v>
      </c>
      <c r="D1447" s="38"/>
      <c r="E1447" s="42">
        <v>1</v>
      </c>
      <c r="F1447" s="9"/>
      <c r="G1447" s="8">
        <f t="shared" si="54"/>
        <v>202.56599999999997</v>
      </c>
      <c r="H1447" s="188">
        <v>192.92</v>
      </c>
      <c r="I1447" s="19">
        <f t="shared" si="55"/>
        <v>0</v>
      </c>
      <c r="L1447" s="131"/>
      <c r="M1447" s="131"/>
      <c r="N1447" s="131"/>
    </row>
    <row r="1448" spans="1:14" hidden="1">
      <c r="A1448" s="100" t="s">
        <v>862</v>
      </c>
      <c r="B1448" s="101" t="s">
        <v>2404</v>
      </c>
      <c r="C1448" s="99" t="s">
        <v>2405</v>
      </c>
      <c r="D1448" s="38"/>
      <c r="E1448" s="42">
        <v>1</v>
      </c>
      <c r="F1448" s="9"/>
      <c r="G1448" s="8">
        <f t="shared" si="54"/>
        <v>2.148825</v>
      </c>
      <c r="H1448" s="188">
        <v>2.0465</v>
      </c>
      <c r="I1448" s="19">
        <f t="shared" si="55"/>
        <v>0</v>
      </c>
      <c r="L1448" s="131"/>
      <c r="M1448" s="131"/>
      <c r="N1448" s="131"/>
    </row>
    <row r="1449" spans="1:14" hidden="1">
      <c r="A1449" s="100" t="s">
        <v>862</v>
      </c>
      <c r="B1449" s="101" t="s">
        <v>2406</v>
      </c>
      <c r="C1449" s="99" t="s">
        <v>2407</v>
      </c>
      <c r="D1449" s="38" t="s">
        <v>945</v>
      </c>
      <c r="E1449" s="42">
        <v>1</v>
      </c>
      <c r="F1449" s="9"/>
      <c r="G1449" s="8">
        <f t="shared" si="54"/>
        <v>20.270250000000001</v>
      </c>
      <c r="H1449" s="188">
        <v>19.305</v>
      </c>
      <c r="I1449" s="19">
        <f t="shared" si="55"/>
        <v>0</v>
      </c>
      <c r="L1449" s="131"/>
      <c r="M1449" s="131"/>
      <c r="N1449" s="131"/>
    </row>
    <row r="1450" spans="1:14" hidden="1">
      <c r="A1450" s="100" t="s">
        <v>862</v>
      </c>
      <c r="B1450" s="101" t="s">
        <v>2408</v>
      </c>
      <c r="C1450" s="99" t="s">
        <v>2409</v>
      </c>
      <c r="D1450" s="38" t="s">
        <v>945</v>
      </c>
      <c r="E1450" s="42">
        <v>1</v>
      </c>
      <c r="F1450" s="9"/>
      <c r="G1450" s="8">
        <f t="shared" si="54"/>
        <v>29.688749999999999</v>
      </c>
      <c r="H1450" s="188">
        <v>28.274999999999999</v>
      </c>
      <c r="I1450" s="19">
        <f t="shared" si="55"/>
        <v>0</v>
      </c>
      <c r="L1450" s="131"/>
      <c r="M1450" s="131"/>
      <c r="N1450" s="131"/>
    </row>
    <row r="1451" spans="1:14" hidden="1">
      <c r="A1451" s="100" t="s">
        <v>862</v>
      </c>
      <c r="B1451" s="101" t="s">
        <v>2410</v>
      </c>
      <c r="C1451" s="99" t="s">
        <v>2411</v>
      </c>
      <c r="D1451" s="38"/>
      <c r="E1451" s="42">
        <v>1</v>
      </c>
      <c r="F1451" s="9"/>
      <c r="G1451" s="8">
        <f t="shared" si="54"/>
        <v>8.8724999999999987</v>
      </c>
      <c r="H1451" s="188">
        <v>8.4499999999999993</v>
      </c>
      <c r="I1451" s="19">
        <f t="shared" si="55"/>
        <v>0</v>
      </c>
      <c r="L1451" s="131"/>
      <c r="M1451" s="131"/>
      <c r="N1451" s="131"/>
    </row>
    <row r="1452" spans="1:14" hidden="1">
      <c r="A1452" s="100" t="s">
        <v>862</v>
      </c>
      <c r="B1452" s="101" t="s">
        <v>2412</v>
      </c>
      <c r="C1452" s="99" t="s">
        <v>2413</v>
      </c>
      <c r="D1452" s="38"/>
      <c r="E1452" s="42">
        <v>1</v>
      </c>
      <c r="F1452" s="9"/>
      <c r="G1452" s="8">
        <f t="shared" si="54"/>
        <v>4.8557250000000005</v>
      </c>
      <c r="H1452" s="188">
        <v>4.6245000000000003</v>
      </c>
      <c r="I1452" s="19">
        <f t="shared" si="55"/>
        <v>0</v>
      </c>
      <c r="L1452" s="131"/>
      <c r="M1452" s="131"/>
      <c r="N1452" s="131"/>
    </row>
    <row r="1453" spans="1:14" hidden="1">
      <c r="A1453" s="100" t="s">
        <v>862</v>
      </c>
      <c r="B1453" s="101" t="s">
        <v>2414</v>
      </c>
      <c r="C1453" s="99" t="s">
        <v>2415</v>
      </c>
      <c r="D1453" s="38"/>
      <c r="E1453" s="42">
        <v>1</v>
      </c>
      <c r="F1453" s="9"/>
      <c r="G1453" s="8">
        <f t="shared" si="54"/>
        <v>21.157499999999999</v>
      </c>
      <c r="H1453" s="188">
        <v>20.149999999999999</v>
      </c>
      <c r="I1453" s="19">
        <f t="shared" si="55"/>
        <v>0</v>
      </c>
      <c r="L1453" s="131"/>
      <c r="M1453" s="131"/>
      <c r="N1453" s="131"/>
    </row>
    <row r="1454" spans="1:14" hidden="1">
      <c r="A1454" s="100" t="s">
        <v>862</v>
      </c>
      <c r="B1454" s="101" t="s">
        <v>2416</v>
      </c>
      <c r="C1454" s="99" t="s">
        <v>2417</v>
      </c>
      <c r="D1454" s="38"/>
      <c r="E1454" s="42">
        <v>1</v>
      </c>
      <c r="F1454" s="9"/>
      <c r="G1454" s="8">
        <f t="shared" si="54"/>
        <v>2.3729999999999998</v>
      </c>
      <c r="H1454" s="188">
        <v>2.2599999999999998</v>
      </c>
      <c r="I1454" s="19">
        <f t="shared" si="55"/>
        <v>0</v>
      </c>
      <c r="L1454" s="131"/>
      <c r="M1454" s="131"/>
      <c r="N1454" s="131"/>
    </row>
    <row r="1455" spans="1:14" hidden="1">
      <c r="A1455" s="100" t="s">
        <v>862</v>
      </c>
      <c r="B1455" s="101" t="s">
        <v>2418</v>
      </c>
      <c r="C1455" s="99" t="s">
        <v>2419</v>
      </c>
      <c r="D1455" s="38" t="s">
        <v>572</v>
      </c>
      <c r="E1455" s="42">
        <v>1</v>
      </c>
      <c r="F1455" s="9"/>
      <c r="G1455" s="8">
        <f t="shared" si="54"/>
        <v>1.0289999999999999</v>
      </c>
      <c r="H1455" s="188">
        <v>0.98</v>
      </c>
      <c r="I1455" s="19">
        <f t="shared" si="55"/>
        <v>0</v>
      </c>
      <c r="L1455" s="131"/>
      <c r="M1455" s="131"/>
      <c r="N1455" s="131"/>
    </row>
    <row r="1456" spans="1:14" hidden="1">
      <c r="A1456" s="100" t="s">
        <v>862</v>
      </c>
      <c r="B1456" s="101" t="s">
        <v>2420</v>
      </c>
      <c r="C1456" s="99" t="s">
        <v>2421</v>
      </c>
      <c r="D1456" s="38" t="s">
        <v>572</v>
      </c>
      <c r="E1456" s="42">
        <v>1</v>
      </c>
      <c r="F1456" s="9"/>
      <c r="G1456" s="8">
        <f t="shared" si="54"/>
        <v>1.6695000000000002</v>
      </c>
      <c r="H1456" s="188">
        <v>1.59</v>
      </c>
      <c r="I1456" s="19">
        <f t="shared" si="55"/>
        <v>0</v>
      </c>
      <c r="L1456" s="131"/>
      <c r="M1456" s="131"/>
      <c r="N1456" s="131"/>
    </row>
    <row r="1457" spans="1:14" hidden="1">
      <c r="A1457" s="100" t="s">
        <v>862</v>
      </c>
      <c r="B1457" s="101" t="s">
        <v>2422</v>
      </c>
      <c r="C1457" s="99" t="s">
        <v>2423</v>
      </c>
      <c r="D1457" s="38" t="s">
        <v>572</v>
      </c>
      <c r="E1457" s="42">
        <v>1</v>
      </c>
      <c r="F1457" s="9"/>
      <c r="G1457" s="8">
        <f t="shared" si="54"/>
        <v>1.2521249999999999</v>
      </c>
      <c r="H1457" s="188">
        <v>1.1924999999999999</v>
      </c>
      <c r="I1457" s="19">
        <f t="shared" si="55"/>
        <v>0</v>
      </c>
      <c r="L1457" s="131"/>
      <c r="M1457" s="131"/>
      <c r="N1457" s="131"/>
    </row>
    <row r="1458" spans="1:14" hidden="1">
      <c r="A1458" s="100" t="s">
        <v>862</v>
      </c>
      <c r="B1458" s="101" t="s">
        <v>2424</v>
      </c>
      <c r="C1458" s="99" t="s">
        <v>2425</v>
      </c>
      <c r="D1458" s="38" t="s">
        <v>572</v>
      </c>
      <c r="E1458" s="42">
        <v>1</v>
      </c>
      <c r="F1458" s="9"/>
      <c r="G1458" s="8">
        <f t="shared" si="54"/>
        <v>0.18112499999999998</v>
      </c>
      <c r="H1458" s="188">
        <v>0.17249999999999999</v>
      </c>
      <c r="I1458" s="19">
        <f t="shared" si="55"/>
        <v>0</v>
      </c>
      <c r="L1458" s="131"/>
      <c r="M1458" s="131"/>
      <c r="N1458" s="131"/>
    </row>
    <row r="1459" spans="1:14" hidden="1">
      <c r="A1459" s="100" t="s">
        <v>862</v>
      </c>
      <c r="B1459" s="101" t="s">
        <v>2426</v>
      </c>
      <c r="C1459" s="99" t="s">
        <v>2427</v>
      </c>
      <c r="D1459" s="38" t="s">
        <v>572</v>
      </c>
      <c r="E1459" s="42">
        <v>1</v>
      </c>
      <c r="F1459" s="9"/>
      <c r="G1459" s="8">
        <f t="shared" si="54"/>
        <v>0.24150000000000002</v>
      </c>
      <c r="H1459" s="188">
        <v>0.23</v>
      </c>
      <c r="I1459" s="19">
        <f t="shared" si="55"/>
        <v>0</v>
      </c>
      <c r="L1459" s="131"/>
      <c r="M1459" s="131"/>
      <c r="N1459" s="131"/>
    </row>
    <row r="1460" spans="1:14" hidden="1">
      <c r="A1460" s="100" t="s">
        <v>862</v>
      </c>
      <c r="B1460" s="101" t="s">
        <v>2428</v>
      </c>
      <c r="C1460" s="99" t="s">
        <v>2429</v>
      </c>
      <c r="D1460" s="38" t="s">
        <v>572</v>
      </c>
      <c r="E1460" s="42">
        <v>1</v>
      </c>
      <c r="F1460" s="9"/>
      <c r="G1460" s="8">
        <f t="shared" si="54"/>
        <v>0.30607499999999999</v>
      </c>
      <c r="H1460" s="188">
        <v>0.29149999999999998</v>
      </c>
      <c r="I1460" s="19">
        <f t="shared" si="55"/>
        <v>0</v>
      </c>
      <c r="L1460" s="131"/>
      <c r="M1460" s="131"/>
      <c r="N1460" s="131"/>
    </row>
    <row r="1461" spans="1:14" hidden="1">
      <c r="A1461" s="100" t="s">
        <v>862</v>
      </c>
      <c r="B1461" s="101" t="s">
        <v>2430</v>
      </c>
      <c r="C1461" s="99" t="s">
        <v>2431</v>
      </c>
      <c r="D1461" s="38" t="s">
        <v>572</v>
      </c>
      <c r="E1461" s="42">
        <v>1</v>
      </c>
      <c r="F1461" s="9"/>
      <c r="G1461" s="8">
        <f t="shared" si="54"/>
        <v>3.2749500000000005</v>
      </c>
      <c r="H1461" s="188">
        <v>3.1190000000000002</v>
      </c>
      <c r="I1461" s="19">
        <f t="shared" si="55"/>
        <v>0</v>
      </c>
      <c r="L1461" s="131"/>
      <c r="M1461" s="131"/>
      <c r="N1461" s="131"/>
    </row>
    <row r="1462" spans="1:14" hidden="1">
      <c r="A1462" s="100" t="s">
        <v>862</v>
      </c>
      <c r="B1462" s="101" t="s">
        <v>2432</v>
      </c>
      <c r="C1462" s="99" t="s">
        <v>2433</v>
      </c>
      <c r="D1462" s="38" t="s">
        <v>572</v>
      </c>
      <c r="E1462" s="42">
        <v>1</v>
      </c>
      <c r="F1462" s="9"/>
      <c r="G1462" s="8">
        <f t="shared" si="54"/>
        <v>2.8664999999999998</v>
      </c>
      <c r="H1462" s="188">
        <v>2.73</v>
      </c>
      <c r="I1462" s="19">
        <f t="shared" si="55"/>
        <v>0</v>
      </c>
      <c r="L1462" s="131"/>
      <c r="M1462" s="131"/>
      <c r="N1462" s="131"/>
    </row>
    <row r="1463" spans="1:14" hidden="1">
      <c r="A1463" s="100" t="s">
        <v>862</v>
      </c>
      <c r="B1463" s="101" t="s">
        <v>2434</v>
      </c>
      <c r="C1463" s="99" t="s">
        <v>2435</v>
      </c>
      <c r="D1463" s="38"/>
      <c r="E1463" s="42">
        <v>1</v>
      </c>
      <c r="F1463" s="9"/>
      <c r="G1463" s="8">
        <f t="shared" si="54"/>
        <v>16.966949999999997</v>
      </c>
      <c r="H1463" s="188">
        <v>16.158999999999999</v>
      </c>
      <c r="I1463" s="19">
        <f t="shared" si="55"/>
        <v>0</v>
      </c>
      <c r="L1463" s="131"/>
      <c r="M1463" s="131"/>
      <c r="N1463" s="131"/>
    </row>
    <row r="1464" spans="1:14" hidden="1">
      <c r="A1464" s="100" t="s">
        <v>862</v>
      </c>
      <c r="B1464" s="101" t="s">
        <v>2436</v>
      </c>
      <c r="C1464" s="99" t="s">
        <v>2437</v>
      </c>
      <c r="D1464" s="38"/>
      <c r="E1464" s="42">
        <v>1</v>
      </c>
      <c r="F1464" s="9"/>
      <c r="G1464" s="8">
        <f t="shared" si="54"/>
        <v>1.031625</v>
      </c>
      <c r="H1464" s="188">
        <v>0.98250000000000004</v>
      </c>
      <c r="I1464" s="19">
        <f t="shared" si="55"/>
        <v>0</v>
      </c>
      <c r="L1464" s="131"/>
      <c r="M1464" s="131"/>
      <c r="N1464" s="131"/>
    </row>
    <row r="1465" spans="1:14" hidden="1">
      <c r="A1465" s="100" t="s">
        <v>862</v>
      </c>
      <c r="B1465" s="101" t="s">
        <v>2438</v>
      </c>
      <c r="C1465" s="99" t="s">
        <v>2439</v>
      </c>
      <c r="D1465" s="38" t="s">
        <v>572</v>
      </c>
      <c r="E1465" s="42">
        <v>1</v>
      </c>
      <c r="F1465" s="9"/>
      <c r="G1465" s="8">
        <f t="shared" si="54"/>
        <v>2.2170749999999999</v>
      </c>
      <c r="H1465" s="188">
        <v>2.1114999999999999</v>
      </c>
      <c r="I1465" s="19">
        <f t="shared" si="55"/>
        <v>0</v>
      </c>
      <c r="L1465" s="131"/>
      <c r="M1465" s="131"/>
      <c r="N1465" s="131"/>
    </row>
    <row r="1466" spans="1:14" hidden="1">
      <c r="A1466" s="100" t="s">
        <v>862</v>
      </c>
      <c r="B1466" s="101" t="s">
        <v>2440</v>
      </c>
      <c r="C1466" s="99" t="s">
        <v>2441</v>
      </c>
      <c r="D1466" s="38" t="s">
        <v>572</v>
      </c>
      <c r="E1466" s="42">
        <v>1</v>
      </c>
      <c r="F1466" s="9"/>
      <c r="G1466" s="8">
        <f t="shared" si="54"/>
        <v>0.53812499999999996</v>
      </c>
      <c r="H1466" s="188">
        <v>0.51249999999999996</v>
      </c>
      <c r="I1466" s="19">
        <f t="shared" si="55"/>
        <v>0</v>
      </c>
      <c r="L1466" s="131"/>
      <c r="M1466" s="131"/>
      <c r="N1466" s="131"/>
    </row>
    <row r="1467" spans="1:14" hidden="1">
      <c r="A1467" s="100" t="s">
        <v>862</v>
      </c>
      <c r="B1467" s="101" t="s">
        <v>2442</v>
      </c>
      <c r="C1467" s="99" t="s">
        <v>2443</v>
      </c>
      <c r="D1467" s="38" t="s">
        <v>572</v>
      </c>
      <c r="E1467" s="42">
        <v>1</v>
      </c>
      <c r="F1467" s="9"/>
      <c r="G1467" s="8">
        <f t="shared" si="54"/>
        <v>0.41737500000000005</v>
      </c>
      <c r="H1467" s="188">
        <v>0.39750000000000002</v>
      </c>
      <c r="I1467" s="19">
        <f t="shared" si="55"/>
        <v>0</v>
      </c>
      <c r="L1467" s="131"/>
      <c r="M1467" s="131"/>
      <c r="N1467" s="131"/>
    </row>
    <row r="1468" spans="1:14" hidden="1">
      <c r="A1468" s="100" t="s">
        <v>862</v>
      </c>
      <c r="B1468" s="101" t="s">
        <v>2444</v>
      </c>
      <c r="C1468" s="99" t="s">
        <v>2445</v>
      </c>
      <c r="D1468" s="38" t="s">
        <v>572</v>
      </c>
      <c r="E1468" s="42">
        <v>1</v>
      </c>
      <c r="F1468" s="9"/>
      <c r="G1468" s="8">
        <f t="shared" si="54"/>
        <v>0.89512500000000006</v>
      </c>
      <c r="H1468" s="188">
        <v>0.85250000000000004</v>
      </c>
      <c r="I1468" s="19">
        <f t="shared" si="55"/>
        <v>0</v>
      </c>
      <c r="L1468" s="131"/>
      <c r="M1468" s="131"/>
      <c r="N1468" s="131"/>
    </row>
    <row r="1469" spans="1:14" hidden="1">
      <c r="A1469" s="100" t="s">
        <v>862</v>
      </c>
      <c r="B1469" s="101" t="s">
        <v>2446</v>
      </c>
      <c r="C1469" s="99" t="s">
        <v>2447</v>
      </c>
      <c r="D1469" s="38" t="s">
        <v>572</v>
      </c>
      <c r="E1469" s="42">
        <v>1</v>
      </c>
      <c r="F1469" s="9"/>
      <c r="G1469" s="8">
        <f t="shared" si="54"/>
        <v>0.51082499999999997</v>
      </c>
      <c r="H1469" s="188">
        <v>0.48649999999999999</v>
      </c>
      <c r="I1469" s="19">
        <f t="shared" si="55"/>
        <v>0</v>
      </c>
      <c r="L1469" s="131"/>
      <c r="M1469" s="131"/>
      <c r="N1469" s="131"/>
    </row>
    <row r="1470" spans="1:14" hidden="1">
      <c r="A1470" s="100" t="s">
        <v>862</v>
      </c>
      <c r="B1470" s="101" t="s">
        <v>2448</v>
      </c>
      <c r="C1470" s="99" t="s">
        <v>2449</v>
      </c>
      <c r="D1470" s="38" t="s">
        <v>572</v>
      </c>
      <c r="E1470" s="42">
        <v>1</v>
      </c>
      <c r="F1470" s="9"/>
      <c r="G1470" s="8">
        <f t="shared" si="54"/>
        <v>0.97912500000000002</v>
      </c>
      <c r="H1470" s="188">
        <v>0.9325</v>
      </c>
      <c r="I1470" s="19">
        <f t="shared" si="55"/>
        <v>0</v>
      </c>
      <c r="L1470" s="131"/>
      <c r="M1470" s="131"/>
      <c r="N1470" s="131"/>
    </row>
    <row r="1471" spans="1:14">
      <c r="A1471" s="100" t="s">
        <v>862</v>
      </c>
      <c r="B1471" s="101" t="s">
        <v>2450</v>
      </c>
      <c r="C1471" s="99" t="s">
        <v>2451</v>
      </c>
      <c r="D1471" s="38" t="s">
        <v>572</v>
      </c>
      <c r="E1471" s="42">
        <v>1</v>
      </c>
      <c r="F1471" s="9">
        <v>183</v>
      </c>
      <c r="G1471" s="8">
        <f t="shared" si="54"/>
        <v>3.9600750000000002</v>
      </c>
      <c r="H1471" s="188">
        <v>3.7715000000000001</v>
      </c>
      <c r="I1471" s="19">
        <f t="shared" si="55"/>
        <v>724.69372500000009</v>
      </c>
      <c r="L1471" s="131"/>
      <c r="M1471" s="131"/>
      <c r="N1471" s="131"/>
    </row>
    <row r="1472" spans="1:14" hidden="1">
      <c r="A1472" s="100" t="s">
        <v>862</v>
      </c>
      <c r="B1472" s="101" t="s">
        <v>2452</v>
      </c>
      <c r="C1472" s="99" t="s">
        <v>2453</v>
      </c>
      <c r="D1472" s="38"/>
      <c r="E1472" s="42">
        <v>1</v>
      </c>
      <c r="F1472" s="9"/>
      <c r="G1472" s="8">
        <f t="shared" si="54"/>
        <v>1.5697500000000002</v>
      </c>
      <c r="H1472" s="188">
        <v>1.4950000000000001</v>
      </c>
      <c r="I1472" s="19">
        <f t="shared" si="55"/>
        <v>0</v>
      </c>
      <c r="L1472" s="131"/>
      <c r="M1472" s="131"/>
      <c r="N1472" s="131"/>
    </row>
    <row r="1473" spans="1:14" hidden="1">
      <c r="A1473" s="100" t="s">
        <v>862</v>
      </c>
      <c r="B1473" s="101" t="s">
        <v>2454</v>
      </c>
      <c r="C1473" s="99" t="s">
        <v>2455</v>
      </c>
      <c r="D1473" s="38" t="s">
        <v>945</v>
      </c>
      <c r="E1473" s="42">
        <v>1</v>
      </c>
      <c r="F1473" s="9"/>
      <c r="G1473" s="8">
        <f t="shared" si="54"/>
        <v>0.17325000000000002</v>
      </c>
      <c r="H1473" s="188">
        <v>0.16500000000000001</v>
      </c>
      <c r="I1473" s="19">
        <f t="shared" si="55"/>
        <v>0</v>
      </c>
      <c r="L1473" s="131"/>
      <c r="M1473" s="131"/>
      <c r="N1473" s="131"/>
    </row>
    <row r="1474" spans="1:14" hidden="1">
      <c r="A1474" s="100" t="s">
        <v>862</v>
      </c>
      <c r="B1474" s="101" t="s">
        <v>2456</v>
      </c>
      <c r="C1474" s="99" t="s">
        <v>2457</v>
      </c>
      <c r="D1474" s="38" t="s">
        <v>572</v>
      </c>
      <c r="E1474" s="42">
        <v>1</v>
      </c>
      <c r="F1474" s="9"/>
      <c r="G1474" s="8">
        <f t="shared" si="54"/>
        <v>3.2277</v>
      </c>
      <c r="H1474" s="188">
        <v>3.0739999999999998</v>
      </c>
      <c r="I1474" s="19">
        <f t="shared" si="55"/>
        <v>0</v>
      </c>
      <c r="L1474" s="131"/>
      <c r="M1474" s="131"/>
      <c r="N1474" s="131"/>
    </row>
    <row r="1475" spans="1:14">
      <c r="A1475" s="100" t="s">
        <v>862</v>
      </c>
      <c r="B1475" s="101" t="s">
        <v>2458</v>
      </c>
      <c r="C1475" s="99" t="s">
        <v>2459</v>
      </c>
      <c r="D1475" s="38" t="s">
        <v>572</v>
      </c>
      <c r="E1475" s="42">
        <v>1</v>
      </c>
      <c r="F1475" s="9">
        <f>390+20+15+8</f>
        <v>433</v>
      </c>
      <c r="G1475" s="8">
        <f t="shared" si="54"/>
        <v>3.2513249999999996</v>
      </c>
      <c r="H1475" s="188">
        <v>3.0964999999999998</v>
      </c>
      <c r="I1475" s="19">
        <f t="shared" si="55"/>
        <v>1407.8237249999997</v>
      </c>
      <c r="L1475" s="131"/>
      <c r="M1475" s="131"/>
      <c r="N1475" s="131"/>
    </row>
    <row r="1476" spans="1:14" hidden="1">
      <c r="A1476" s="100" t="s">
        <v>862</v>
      </c>
      <c r="B1476" s="101" t="s">
        <v>2460</v>
      </c>
      <c r="C1476" s="99" t="s">
        <v>2461</v>
      </c>
      <c r="D1476" s="38" t="s">
        <v>572</v>
      </c>
      <c r="E1476" s="42">
        <v>1</v>
      </c>
      <c r="F1476" s="9"/>
      <c r="G1476" s="8">
        <f t="shared" si="54"/>
        <v>5.2368749999999995</v>
      </c>
      <c r="H1476" s="188">
        <v>4.9874999999999998</v>
      </c>
      <c r="I1476" s="19">
        <f t="shared" si="55"/>
        <v>0</v>
      </c>
      <c r="L1476" s="131"/>
      <c r="M1476" s="131"/>
      <c r="N1476" s="131"/>
    </row>
    <row r="1477" spans="1:14" hidden="1">
      <c r="A1477" s="100" t="s">
        <v>862</v>
      </c>
      <c r="B1477" s="101" t="s">
        <v>2462</v>
      </c>
      <c r="C1477" s="99" t="s">
        <v>2463</v>
      </c>
      <c r="D1477" s="38" t="s">
        <v>572</v>
      </c>
      <c r="E1477" s="42">
        <v>1</v>
      </c>
      <c r="F1477" s="9"/>
      <c r="G1477" s="8">
        <f t="shared" si="54"/>
        <v>0.6825</v>
      </c>
      <c r="H1477" s="188">
        <v>0.65</v>
      </c>
      <c r="I1477" s="19">
        <f t="shared" si="55"/>
        <v>0</v>
      </c>
      <c r="L1477" s="131"/>
      <c r="M1477" s="131"/>
      <c r="N1477" s="131"/>
    </row>
    <row r="1478" spans="1:14" hidden="1">
      <c r="A1478" s="100" t="s">
        <v>862</v>
      </c>
      <c r="B1478" s="101" t="s">
        <v>2464</v>
      </c>
      <c r="C1478" s="99" t="s">
        <v>2465</v>
      </c>
      <c r="D1478" s="38" t="s">
        <v>572</v>
      </c>
      <c r="E1478" s="42">
        <v>1</v>
      </c>
      <c r="F1478" s="9"/>
      <c r="G1478" s="8">
        <f t="shared" si="54"/>
        <v>0.96495000000000009</v>
      </c>
      <c r="H1478" s="188">
        <v>0.91900000000000004</v>
      </c>
      <c r="I1478" s="19">
        <f t="shared" si="55"/>
        <v>0</v>
      </c>
      <c r="L1478" s="131"/>
      <c r="M1478" s="131"/>
      <c r="N1478" s="131"/>
    </row>
    <row r="1479" spans="1:14" hidden="1">
      <c r="A1479" s="100" t="s">
        <v>862</v>
      </c>
      <c r="B1479" s="101" t="s">
        <v>2466</v>
      </c>
      <c r="C1479" s="99" t="s">
        <v>2467</v>
      </c>
      <c r="D1479" s="38" t="s">
        <v>572</v>
      </c>
      <c r="E1479" s="42">
        <v>1</v>
      </c>
      <c r="F1479" s="9"/>
      <c r="G1479" s="8">
        <f t="shared" si="54"/>
        <v>3.2838750000000001</v>
      </c>
      <c r="H1479" s="188">
        <v>3.1274999999999999</v>
      </c>
      <c r="I1479" s="19">
        <f t="shared" si="55"/>
        <v>0</v>
      </c>
      <c r="L1479" s="131"/>
      <c r="M1479" s="131"/>
      <c r="N1479" s="131"/>
    </row>
    <row r="1480" spans="1:14" hidden="1">
      <c r="A1480" s="100" t="s">
        <v>862</v>
      </c>
      <c r="B1480" s="101" t="s">
        <v>2468</v>
      </c>
      <c r="C1480" s="99" t="s">
        <v>2469</v>
      </c>
      <c r="D1480" s="38" t="s">
        <v>572</v>
      </c>
      <c r="E1480" s="42">
        <v>1</v>
      </c>
      <c r="F1480" s="9"/>
      <c r="G1480" s="8">
        <f t="shared" si="54"/>
        <v>1.3193249999999999</v>
      </c>
      <c r="H1480" s="188">
        <v>1.2565</v>
      </c>
      <c r="I1480" s="19">
        <f t="shared" si="55"/>
        <v>0</v>
      </c>
      <c r="L1480" s="131"/>
      <c r="M1480" s="131"/>
      <c r="N1480" s="131"/>
    </row>
    <row r="1481" spans="1:14" hidden="1">
      <c r="A1481" s="100" t="s">
        <v>862</v>
      </c>
      <c r="B1481" s="101" t="s">
        <v>2470</v>
      </c>
      <c r="C1481" s="99" t="s">
        <v>2471</v>
      </c>
      <c r="D1481" s="38" t="s">
        <v>572</v>
      </c>
      <c r="E1481" s="42">
        <v>1</v>
      </c>
      <c r="F1481" s="9"/>
      <c r="G1481" s="8">
        <f t="shared" si="54"/>
        <v>2.4349499999999997</v>
      </c>
      <c r="H1481" s="188">
        <v>2.319</v>
      </c>
      <c r="I1481" s="19">
        <f t="shared" si="55"/>
        <v>0</v>
      </c>
      <c r="L1481" s="131"/>
      <c r="M1481" s="131"/>
      <c r="N1481" s="131"/>
    </row>
    <row r="1482" spans="1:14">
      <c r="A1482" s="100" t="s">
        <v>862</v>
      </c>
      <c r="B1482" s="101" t="s">
        <v>2472</v>
      </c>
      <c r="C1482" s="99" t="s">
        <v>2473</v>
      </c>
      <c r="D1482" s="38" t="s">
        <v>572</v>
      </c>
      <c r="E1482" s="42">
        <v>1</v>
      </c>
      <c r="F1482" s="9">
        <f>250+50+27</f>
        <v>327</v>
      </c>
      <c r="G1482" s="8">
        <f t="shared" si="54"/>
        <v>4.7722499999999997</v>
      </c>
      <c r="H1482" s="188">
        <v>4.5449999999999999</v>
      </c>
      <c r="I1482" s="19">
        <f t="shared" si="55"/>
        <v>1560.5257499999998</v>
      </c>
      <c r="L1482" s="131"/>
      <c r="M1482" s="131"/>
      <c r="N1482" s="131"/>
    </row>
    <row r="1483" spans="1:14" hidden="1">
      <c r="A1483" s="100" t="s">
        <v>862</v>
      </c>
      <c r="B1483" s="101" t="s">
        <v>2474</v>
      </c>
      <c r="C1483" s="99" t="s">
        <v>2475</v>
      </c>
      <c r="D1483" s="38" t="s">
        <v>572</v>
      </c>
      <c r="E1483" s="42">
        <v>1</v>
      </c>
      <c r="F1483" s="9"/>
      <c r="G1483" s="8">
        <f t="shared" si="54"/>
        <v>2.5095000000000001</v>
      </c>
      <c r="H1483" s="188">
        <v>2.39</v>
      </c>
      <c r="I1483" s="19">
        <f t="shared" si="55"/>
        <v>0</v>
      </c>
      <c r="L1483" s="131"/>
      <c r="M1483" s="131"/>
      <c r="N1483" s="131"/>
    </row>
    <row r="1484" spans="1:14" hidden="1">
      <c r="A1484" s="100" t="s">
        <v>862</v>
      </c>
      <c r="B1484" s="101" t="s">
        <v>2476</v>
      </c>
      <c r="C1484" s="99" t="s">
        <v>2477</v>
      </c>
      <c r="D1484" s="38" t="s">
        <v>572</v>
      </c>
      <c r="E1484" s="42">
        <v>1</v>
      </c>
      <c r="F1484" s="9"/>
      <c r="G1484" s="8">
        <f t="shared" si="54"/>
        <v>3.4282500000000002</v>
      </c>
      <c r="H1484" s="188">
        <v>3.2650000000000001</v>
      </c>
      <c r="I1484" s="19">
        <f t="shared" si="55"/>
        <v>0</v>
      </c>
      <c r="L1484" s="131"/>
      <c r="M1484" s="131"/>
      <c r="N1484" s="131"/>
    </row>
    <row r="1485" spans="1:14" hidden="1">
      <c r="A1485" s="100" t="s">
        <v>862</v>
      </c>
      <c r="B1485" s="101" t="s">
        <v>2478</v>
      </c>
      <c r="C1485" s="99" t="s">
        <v>2479</v>
      </c>
      <c r="D1485" s="38" t="s">
        <v>572</v>
      </c>
      <c r="E1485" s="42">
        <v>1</v>
      </c>
      <c r="F1485" s="9"/>
      <c r="G1485" s="8">
        <f t="shared" si="54"/>
        <v>0.75074999999999992</v>
      </c>
      <c r="H1485" s="188">
        <v>0.71499999999999997</v>
      </c>
      <c r="I1485" s="19">
        <f t="shared" si="55"/>
        <v>0</v>
      </c>
      <c r="L1485" s="131"/>
      <c r="M1485" s="131"/>
      <c r="N1485" s="131"/>
    </row>
    <row r="1486" spans="1:14">
      <c r="A1486" s="100" t="s">
        <v>862</v>
      </c>
      <c r="B1486" s="101" t="s">
        <v>2480</v>
      </c>
      <c r="C1486" s="99" t="s">
        <v>2481</v>
      </c>
      <c r="D1486" s="38" t="s">
        <v>572</v>
      </c>
      <c r="E1486" s="42">
        <v>1</v>
      </c>
      <c r="F1486" s="9">
        <v>44</v>
      </c>
      <c r="G1486" s="8">
        <f t="shared" si="54"/>
        <v>5.1019500000000004</v>
      </c>
      <c r="H1486" s="188">
        <v>4.859</v>
      </c>
      <c r="I1486" s="19">
        <f t="shared" si="55"/>
        <v>224.48580000000001</v>
      </c>
      <c r="L1486" s="131"/>
      <c r="M1486" s="131"/>
      <c r="N1486" s="131"/>
    </row>
    <row r="1487" spans="1:14" hidden="1">
      <c r="A1487" s="100" t="s">
        <v>862</v>
      </c>
      <c r="B1487" s="101" t="s">
        <v>2482</v>
      </c>
      <c r="C1487" s="99" t="s">
        <v>2483</v>
      </c>
      <c r="D1487" s="38" t="s">
        <v>572</v>
      </c>
      <c r="E1487" s="42">
        <v>1</v>
      </c>
      <c r="F1487" s="9"/>
      <c r="G1487" s="8">
        <f t="shared" si="54"/>
        <v>1.4332499999999999</v>
      </c>
      <c r="H1487" s="188">
        <v>1.365</v>
      </c>
      <c r="I1487" s="19">
        <f t="shared" si="55"/>
        <v>0</v>
      </c>
      <c r="L1487" s="131"/>
      <c r="M1487" s="131"/>
      <c r="N1487" s="131"/>
    </row>
    <row r="1488" spans="1:14" hidden="1">
      <c r="A1488" s="100" t="s">
        <v>862</v>
      </c>
      <c r="B1488" s="101" t="s">
        <v>2484</v>
      </c>
      <c r="C1488" s="99" t="s">
        <v>2485</v>
      </c>
      <c r="D1488" s="38" t="s">
        <v>572</v>
      </c>
      <c r="E1488" s="42">
        <v>1</v>
      </c>
      <c r="F1488" s="9"/>
      <c r="G1488" s="8">
        <f t="shared" si="54"/>
        <v>0.48720000000000002</v>
      </c>
      <c r="H1488" s="188">
        <v>0.46400000000000002</v>
      </c>
      <c r="I1488" s="19">
        <f t="shared" si="55"/>
        <v>0</v>
      </c>
      <c r="L1488" s="131"/>
      <c r="M1488" s="131"/>
      <c r="N1488" s="131"/>
    </row>
    <row r="1489" spans="1:14" hidden="1">
      <c r="A1489" s="100" t="s">
        <v>862</v>
      </c>
      <c r="B1489" s="101" t="s">
        <v>2486</v>
      </c>
      <c r="C1489" s="99" t="s">
        <v>2487</v>
      </c>
      <c r="D1489" s="38" t="s">
        <v>2488</v>
      </c>
      <c r="E1489" s="42">
        <v>1</v>
      </c>
      <c r="F1489" s="9"/>
      <c r="G1489" s="8">
        <f t="shared" si="54"/>
        <v>4.7145000000000001</v>
      </c>
      <c r="H1489" s="188">
        <v>4.49</v>
      </c>
      <c r="I1489" s="19">
        <f t="shared" si="55"/>
        <v>0</v>
      </c>
      <c r="L1489" s="131"/>
      <c r="M1489" s="131"/>
      <c r="N1489" s="131"/>
    </row>
    <row r="1490" spans="1:14">
      <c r="A1490" s="100" t="s">
        <v>862</v>
      </c>
      <c r="B1490" s="101" t="s">
        <v>2489</v>
      </c>
      <c r="C1490" s="99" t="s">
        <v>2490</v>
      </c>
      <c r="D1490" s="38" t="s">
        <v>2488</v>
      </c>
      <c r="E1490" s="42">
        <v>1</v>
      </c>
      <c r="F1490" s="9">
        <v>16</v>
      </c>
      <c r="G1490" s="8">
        <f t="shared" si="54"/>
        <v>5.0856749999999993</v>
      </c>
      <c r="H1490" s="188">
        <v>4.8434999999999997</v>
      </c>
      <c r="I1490" s="19">
        <f t="shared" si="55"/>
        <v>81.370799999999988</v>
      </c>
      <c r="L1490" s="131"/>
      <c r="M1490" s="131"/>
      <c r="N1490" s="131"/>
    </row>
    <row r="1491" spans="1:14">
      <c r="A1491" s="100" t="s">
        <v>862</v>
      </c>
      <c r="B1491" s="101" t="s">
        <v>2491</v>
      </c>
      <c r="C1491" s="99" t="s">
        <v>2492</v>
      </c>
      <c r="D1491" s="38" t="s">
        <v>2488</v>
      </c>
      <c r="E1491" s="42">
        <v>1</v>
      </c>
      <c r="F1491" s="9">
        <v>10</v>
      </c>
      <c r="G1491" s="8">
        <f t="shared" si="54"/>
        <v>10.0275</v>
      </c>
      <c r="H1491" s="188">
        <v>9.5500000000000007</v>
      </c>
      <c r="I1491" s="19">
        <f t="shared" si="55"/>
        <v>100.27500000000001</v>
      </c>
      <c r="L1491" s="131"/>
      <c r="M1491" s="131"/>
      <c r="N1491" s="131"/>
    </row>
    <row r="1492" spans="1:14">
      <c r="A1492" s="100" t="s">
        <v>862</v>
      </c>
      <c r="B1492" s="101" t="s">
        <v>2493</v>
      </c>
      <c r="C1492" s="99" t="s">
        <v>2494</v>
      </c>
      <c r="D1492" s="38" t="s">
        <v>2488</v>
      </c>
      <c r="E1492" s="42">
        <v>1</v>
      </c>
      <c r="F1492" s="9">
        <v>1</v>
      </c>
      <c r="G1492" s="8">
        <f t="shared" si="54"/>
        <v>48.744674999999994</v>
      </c>
      <c r="H1492" s="188">
        <v>46.423499999999997</v>
      </c>
      <c r="I1492" s="19">
        <f t="shared" si="55"/>
        <v>48.744674999999994</v>
      </c>
      <c r="L1492" s="131"/>
      <c r="M1492" s="131"/>
      <c r="N1492" s="131"/>
    </row>
    <row r="1493" spans="1:14">
      <c r="A1493" s="100" t="s">
        <v>862</v>
      </c>
      <c r="B1493" s="101" t="s">
        <v>2495</v>
      </c>
      <c r="C1493" s="99" t="s">
        <v>2496</v>
      </c>
      <c r="D1493" s="38" t="s">
        <v>2488</v>
      </c>
      <c r="E1493" s="42">
        <v>1</v>
      </c>
      <c r="F1493" s="9">
        <v>2</v>
      </c>
      <c r="G1493" s="8">
        <f t="shared" si="54"/>
        <v>44.795099999999998</v>
      </c>
      <c r="H1493" s="188">
        <v>42.661999999999999</v>
      </c>
      <c r="I1493" s="19">
        <f t="shared" si="55"/>
        <v>89.590199999999996</v>
      </c>
      <c r="L1493" s="131"/>
      <c r="M1493" s="131"/>
      <c r="N1493" s="131"/>
    </row>
    <row r="1494" spans="1:14">
      <c r="A1494" s="100" t="s">
        <v>862</v>
      </c>
      <c r="B1494" s="101" t="s">
        <v>2497</v>
      </c>
      <c r="C1494" s="99" t="s">
        <v>2498</v>
      </c>
      <c r="D1494" s="38" t="s">
        <v>2488</v>
      </c>
      <c r="E1494" s="42">
        <v>1</v>
      </c>
      <c r="F1494" s="9">
        <v>2</v>
      </c>
      <c r="G1494" s="8">
        <f t="shared" si="54"/>
        <v>10.650675</v>
      </c>
      <c r="H1494" s="188">
        <v>10.1435</v>
      </c>
      <c r="I1494" s="19">
        <f t="shared" si="55"/>
        <v>21.301349999999999</v>
      </c>
      <c r="L1494" s="131"/>
      <c r="M1494" s="131"/>
      <c r="N1494" s="131"/>
    </row>
    <row r="1495" spans="1:14">
      <c r="A1495" s="100" t="s">
        <v>862</v>
      </c>
      <c r="B1495" s="101" t="s">
        <v>2499</v>
      </c>
      <c r="C1495" s="99" t="s">
        <v>2500</v>
      </c>
      <c r="D1495" s="38" t="s">
        <v>2488</v>
      </c>
      <c r="E1495" s="42">
        <v>1</v>
      </c>
      <c r="F1495" s="9">
        <v>1.5</v>
      </c>
      <c r="G1495" s="8">
        <f t="shared" si="54"/>
        <v>18.05265</v>
      </c>
      <c r="H1495" s="188">
        <v>17.193000000000001</v>
      </c>
      <c r="I1495" s="19">
        <f t="shared" si="55"/>
        <v>27.078975</v>
      </c>
      <c r="L1495" s="131"/>
      <c r="M1495" s="131"/>
      <c r="N1495" s="131"/>
    </row>
    <row r="1496" spans="1:14">
      <c r="A1496" s="100" t="s">
        <v>862</v>
      </c>
      <c r="B1496" s="101" t="s">
        <v>2501</v>
      </c>
      <c r="C1496" s="99" t="s">
        <v>2502</v>
      </c>
      <c r="D1496" s="38" t="s">
        <v>2488</v>
      </c>
      <c r="E1496" s="42">
        <v>1</v>
      </c>
      <c r="F1496" s="9">
        <v>4</v>
      </c>
      <c r="G1496" s="8">
        <f t="shared" si="54"/>
        <v>50.415225</v>
      </c>
      <c r="H1496" s="188">
        <v>48.014499999999998</v>
      </c>
      <c r="I1496" s="19">
        <f t="shared" si="55"/>
        <v>201.6609</v>
      </c>
      <c r="L1496" s="131"/>
      <c r="M1496" s="131"/>
      <c r="N1496" s="131"/>
    </row>
    <row r="1497" spans="1:14" hidden="1">
      <c r="A1497" s="100" t="s">
        <v>862</v>
      </c>
      <c r="B1497" s="101" t="s">
        <v>2503</v>
      </c>
      <c r="C1497" s="99" t="s">
        <v>2504</v>
      </c>
      <c r="D1497" s="38" t="s">
        <v>2488</v>
      </c>
      <c r="E1497" s="42">
        <v>1</v>
      </c>
      <c r="F1497" s="9"/>
      <c r="G1497" s="8">
        <f t="shared" si="54"/>
        <v>49.639274999999998</v>
      </c>
      <c r="H1497" s="188">
        <v>47.275500000000001</v>
      </c>
      <c r="I1497" s="19">
        <f t="shared" si="55"/>
        <v>0</v>
      </c>
      <c r="L1497" s="131"/>
      <c r="M1497" s="131"/>
      <c r="N1497" s="131"/>
    </row>
    <row r="1498" spans="1:14">
      <c r="A1498" s="100" t="s">
        <v>862</v>
      </c>
      <c r="B1498" s="101" t="s">
        <v>2505</v>
      </c>
      <c r="C1498" s="99" t="s">
        <v>2506</v>
      </c>
      <c r="D1498" s="38" t="s">
        <v>2488</v>
      </c>
      <c r="E1498" s="42">
        <v>1</v>
      </c>
      <c r="F1498" s="9">
        <v>3</v>
      </c>
      <c r="G1498" s="8">
        <f t="shared" si="54"/>
        <v>11.5731</v>
      </c>
      <c r="H1498" s="188">
        <v>11.022</v>
      </c>
      <c r="I1498" s="19">
        <f t="shared" si="55"/>
        <v>34.719300000000004</v>
      </c>
      <c r="L1498" s="131"/>
      <c r="M1498" s="131"/>
      <c r="N1498" s="131"/>
    </row>
    <row r="1499" spans="1:14">
      <c r="A1499" s="100" t="s">
        <v>862</v>
      </c>
      <c r="B1499" s="101" t="s">
        <v>2507</v>
      </c>
      <c r="C1499" s="99" t="s">
        <v>2508</v>
      </c>
      <c r="D1499" s="38" t="s">
        <v>2488</v>
      </c>
      <c r="E1499" s="42">
        <v>1</v>
      </c>
      <c r="F1499" s="9">
        <v>1</v>
      </c>
      <c r="G1499" s="8">
        <f t="shared" si="54"/>
        <v>20.839874999999999</v>
      </c>
      <c r="H1499" s="188">
        <v>19.8475</v>
      </c>
      <c r="I1499" s="19">
        <f t="shared" si="55"/>
        <v>20.839874999999999</v>
      </c>
      <c r="L1499" s="131"/>
      <c r="M1499" s="131"/>
      <c r="N1499" s="131"/>
    </row>
    <row r="1500" spans="1:14">
      <c r="A1500" s="100" t="s">
        <v>862</v>
      </c>
      <c r="B1500" s="101" t="s">
        <v>2509</v>
      </c>
      <c r="C1500" s="99" t="s">
        <v>2510</v>
      </c>
      <c r="D1500" s="38" t="s">
        <v>2488</v>
      </c>
      <c r="E1500" s="42">
        <v>1</v>
      </c>
      <c r="F1500" s="9">
        <v>2</v>
      </c>
      <c r="G1500" s="8">
        <f t="shared" si="54"/>
        <v>30.816974999999999</v>
      </c>
      <c r="H1500" s="188">
        <v>29.349499999999999</v>
      </c>
      <c r="I1500" s="19">
        <f t="shared" si="55"/>
        <v>61.633949999999999</v>
      </c>
      <c r="L1500" s="131"/>
      <c r="M1500" s="131"/>
      <c r="N1500" s="131"/>
    </row>
    <row r="1501" spans="1:14">
      <c r="A1501" s="100" t="s">
        <v>862</v>
      </c>
      <c r="B1501" s="101" t="s">
        <v>2511</v>
      </c>
      <c r="C1501" s="99" t="s">
        <v>2512</v>
      </c>
      <c r="D1501" s="38" t="s">
        <v>2488</v>
      </c>
      <c r="E1501" s="42">
        <v>1</v>
      </c>
      <c r="F1501" s="9">
        <v>1</v>
      </c>
      <c r="G1501" s="8">
        <f t="shared" si="54"/>
        <v>80.429999999999993</v>
      </c>
      <c r="H1501" s="188">
        <v>76.599999999999994</v>
      </c>
      <c r="I1501" s="19">
        <f t="shared" si="55"/>
        <v>80.429999999999993</v>
      </c>
      <c r="L1501" s="131"/>
      <c r="M1501" s="131"/>
      <c r="N1501" s="131"/>
    </row>
    <row r="1502" spans="1:14" hidden="1">
      <c r="A1502" s="100" t="s">
        <v>862</v>
      </c>
      <c r="B1502" s="101" t="s">
        <v>2513</v>
      </c>
      <c r="C1502" s="99" t="s">
        <v>2514</v>
      </c>
      <c r="D1502" s="38" t="s">
        <v>2488</v>
      </c>
      <c r="E1502" s="42">
        <v>1</v>
      </c>
      <c r="F1502" s="9"/>
      <c r="G1502" s="8">
        <f t="shared" si="54"/>
        <v>72.555525000000003</v>
      </c>
      <c r="H1502" s="188">
        <v>69.100499999999997</v>
      </c>
      <c r="I1502" s="19">
        <f t="shared" si="55"/>
        <v>0</v>
      </c>
      <c r="L1502" s="131"/>
      <c r="M1502" s="131"/>
      <c r="N1502" s="131"/>
    </row>
    <row r="1503" spans="1:14">
      <c r="A1503" s="100" t="s">
        <v>862</v>
      </c>
      <c r="B1503" s="101" t="s">
        <v>2515</v>
      </c>
      <c r="C1503" s="99" t="s">
        <v>2516</v>
      </c>
      <c r="D1503" s="38" t="s">
        <v>2488</v>
      </c>
      <c r="E1503" s="42">
        <v>1</v>
      </c>
      <c r="F1503" s="9">
        <v>4.5</v>
      </c>
      <c r="G1503" s="8">
        <f t="shared" si="54"/>
        <v>16.502324999999999</v>
      </c>
      <c r="H1503" s="188">
        <v>15.7165</v>
      </c>
      <c r="I1503" s="19">
        <f t="shared" si="55"/>
        <v>74.260462499999988</v>
      </c>
      <c r="L1503" s="131"/>
      <c r="M1503" s="131"/>
      <c r="N1503" s="131"/>
    </row>
    <row r="1504" spans="1:14" hidden="1">
      <c r="A1504" s="100" t="s">
        <v>862</v>
      </c>
      <c r="B1504" s="101" t="s">
        <v>2517</v>
      </c>
      <c r="C1504" s="99" t="s">
        <v>2518</v>
      </c>
      <c r="D1504" s="38" t="s">
        <v>2488</v>
      </c>
      <c r="E1504" s="42">
        <v>1</v>
      </c>
      <c r="F1504" s="9"/>
      <c r="G1504" s="8">
        <f t="shared" si="54"/>
        <v>5.5786499999999997</v>
      </c>
      <c r="H1504" s="188">
        <v>5.3129999999999997</v>
      </c>
      <c r="I1504" s="19">
        <f t="shared" si="55"/>
        <v>0</v>
      </c>
      <c r="L1504" s="131"/>
      <c r="M1504" s="131"/>
      <c r="N1504" s="131"/>
    </row>
    <row r="1505" spans="1:14" hidden="1">
      <c r="A1505" s="100" t="s">
        <v>862</v>
      </c>
      <c r="B1505" s="101" t="s">
        <v>2519</v>
      </c>
      <c r="C1505" s="99" t="s">
        <v>2520</v>
      </c>
      <c r="D1505" s="38" t="s">
        <v>2488</v>
      </c>
      <c r="E1505" s="42">
        <v>1</v>
      </c>
      <c r="F1505" s="9"/>
      <c r="G1505" s="8">
        <f t="shared" si="54"/>
        <v>3.1904249999999998</v>
      </c>
      <c r="H1505" s="188">
        <v>3.0385</v>
      </c>
      <c r="I1505" s="19">
        <f t="shared" si="55"/>
        <v>0</v>
      </c>
      <c r="L1505" s="131"/>
      <c r="M1505" s="131"/>
      <c r="N1505" s="131"/>
    </row>
    <row r="1506" spans="1:14" hidden="1">
      <c r="A1506" s="100" t="s">
        <v>862</v>
      </c>
      <c r="B1506" s="101" t="s">
        <v>2521</v>
      </c>
      <c r="C1506" s="99" t="s">
        <v>2522</v>
      </c>
      <c r="D1506" s="38" t="s">
        <v>2488</v>
      </c>
      <c r="E1506" s="42">
        <v>1</v>
      </c>
      <c r="F1506" s="9"/>
      <c r="G1506" s="8">
        <f t="shared" si="54"/>
        <v>55.282499999999999</v>
      </c>
      <c r="H1506" s="188">
        <v>52.65</v>
      </c>
      <c r="I1506" s="19">
        <f t="shared" si="55"/>
        <v>0</v>
      </c>
      <c r="L1506" s="131"/>
      <c r="M1506" s="131"/>
      <c r="N1506" s="131"/>
    </row>
    <row r="1507" spans="1:14" hidden="1">
      <c r="A1507" s="100" t="s">
        <v>862</v>
      </c>
      <c r="B1507" s="101" t="s">
        <v>2523</v>
      </c>
      <c r="C1507" s="99" t="s">
        <v>2524</v>
      </c>
      <c r="D1507" s="38"/>
      <c r="E1507" s="42">
        <v>1</v>
      </c>
      <c r="F1507" s="9"/>
      <c r="G1507" s="8">
        <f t="shared" si="54"/>
        <v>3.7857750000000001</v>
      </c>
      <c r="H1507" s="188">
        <v>3.6055000000000001</v>
      </c>
      <c r="I1507" s="19">
        <f t="shared" si="55"/>
        <v>0</v>
      </c>
      <c r="L1507" s="131"/>
      <c r="M1507" s="131"/>
      <c r="N1507" s="131"/>
    </row>
    <row r="1508" spans="1:14" hidden="1">
      <c r="A1508" s="100" t="s">
        <v>862</v>
      </c>
      <c r="B1508" s="101" t="s">
        <v>2525</v>
      </c>
      <c r="C1508" s="99" t="s">
        <v>2526</v>
      </c>
      <c r="D1508" s="38"/>
      <c r="E1508" s="42">
        <v>1</v>
      </c>
      <c r="F1508" s="9"/>
      <c r="G1508" s="8">
        <f t="shared" si="54"/>
        <v>1.036875</v>
      </c>
      <c r="H1508" s="188">
        <v>0.98750000000000004</v>
      </c>
      <c r="I1508" s="19">
        <f t="shared" si="55"/>
        <v>0</v>
      </c>
      <c r="L1508" s="131"/>
      <c r="M1508" s="131"/>
      <c r="N1508" s="131"/>
    </row>
    <row r="1509" spans="1:14" hidden="1">
      <c r="A1509" s="100" t="s">
        <v>862</v>
      </c>
      <c r="B1509" s="101" t="s">
        <v>2527</v>
      </c>
      <c r="C1509" s="99" t="s">
        <v>2528</v>
      </c>
      <c r="D1509" s="38"/>
      <c r="E1509" s="42">
        <v>1</v>
      </c>
      <c r="F1509" s="9"/>
      <c r="G1509" s="8">
        <f t="shared" ref="G1509:G1572" si="56">H1509+(H1509*5%)</f>
        <v>0.352275</v>
      </c>
      <c r="H1509" s="188">
        <v>0.33550000000000002</v>
      </c>
      <c r="I1509" s="19">
        <f t="shared" si="55"/>
        <v>0</v>
      </c>
      <c r="L1509" s="131"/>
      <c r="M1509" s="131"/>
      <c r="N1509" s="131"/>
    </row>
    <row r="1510" spans="1:14" hidden="1">
      <c r="A1510" s="100" t="s">
        <v>862</v>
      </c>
      <c r="B1510" s="101" t="s">
        <v>2529</v>
      </c>
      <c r="C1510" s="99" t="s">
        <v>2530</v>
      </c>
      <c r="D1510" s="38"/>
      <c r="E1510" s="42">
        <v>1</v>
      </c>
      <c r="F1510" s="9"/>
      <c r="G1510" s="8">
        <f t="shared" si="56"/>
        <v>0.78854999999999997</v>
      </c>
      <c r="H1510" s="188">
        <v>0.751</v>
      </c>
      <c r="I1510" s="19">
        <f t="shared" ref="I1510:I1573" si="57">G1510*F1510</f>
        <v>0</v>
      </c>
      <c r="L1510" s="131"/>
      <c r="M1510" s="131"/>
      <c r="N1510" s="131"/>
    </row>
    <row r="1511" spans="1:14" hidden="1">
      <c r="A1511" s="100" t="s">
        <v>862</v>
      </c>
      <c r="B1511" s="101" t="s">
        <v>2531</v>
      </c>
      <c r="C1511" s="99" t="s">
        <v>2532</v>
      </c>
      <c r="D1511" s="38"/>
      <c r="E1511" s="42">
        <v>1</v>
      </c>
      <c r="F1511" s="9"/>
      <c r="G1511" s="8">
        <f t="shared" si="56"/>
        <v>0.43102499999999999</v>
      </c>
      <c r="H1511" s="188">
        <v>0.41049999999999998</v>
      </c>
      <c r="I1511" s="19">
        <f t="shared" si="57"/>
        <v>0</v>
      </c>
      <c r="L1511" s="131"/>
      <c r="M1511" s="131"/>
      <c r="N1511" s="131"/>
    </row>
    <row r="1512" spans="1:14" hidden="1">
      <c r="A1512" s="100" t="s">
        <v>862</v>
      </c>
      <c r="B1512" s="97" t="s">
        <v>2533</v>
      </c>
      <c r="C1512" s="98" t="s">
        <v>2534</v>
      </c>
      <c r="D1512" s="38" t="s">
        <v>945</v>
      </c>
      <c r="E1512" s="42">
        <v>1</v>
      </c>
      <c r="F1512" s="9"/>
      <c r="G1512" s="8">
        <f t="shared" si="56"/>
        <v>2.1944999999999997</v>
      </c>
      <c r="H1512" s="188">
        <v>2.09</v>
      </c>
      <c r="I1512" s="19">
        <f t="shared" si="57"/>
        <v>0</v>
      </c>
      <c r="L1512" s="131"/>
      <c r="M1512" s="131"/>
      <c r="N1512" s="131"/>
    </row>
    <row r="1513" spans="1:14" hidden="1">
      <c r="A1513" s="100" t="s">
        <v>862</v>
      </c>
      <c r="B1513" s="101" t="s">
        <v>2535</v>
      </c>
      <c r="C1513" s="99" t="s">
        <v>2536</v>
      </c>
      <c r="D1513" s="38"/>
      <c r="E1513" s="42">
        <v>1</v>
      </c>
      <c r="F1513" s="9"/>
      <c r="G1513" s="8">
        <f t="shared" si="56"/>
        <v>1.3692</v>
      </c>
      <c r="H1513" s="188">
        <v>1.304</v>
      </c>
      <c r="I1513" s="19">
        <f t="shared" si="57"/>
        <v>0</v>
      </c>
      <c r="L1513" s="131"/>
      <c r="M1513" s="131"/>
      <c r="N1513" s="131"/>
    </row>
    <row r="1514" spans="1:14" hidden="1">
      <c r="A1514" s="100" t="s">
        <v>862</v>
      </c>
      <c r="B1514" s="101" t="s">
        <v>2537</v>
      </c>
      <c r="C1514" s="99" t="s">
        <v>2538</v>
      </c>
      <c r="D1514" s="38"/>
      <c r="E1514" s="42">
        <v>1</v>
      </c>
      <c r="F1514" s="9"/>
      <c r="G1514" s="8">
        <f t="shared" si="56"/>
        <v>0.46829999999999999</v>
      </c>
      <c r="H1514" s="188">
        <v>0.44600000000000001</v>
      </c>
      <c r="I1514" s="19">
        <f t="shared" si="57"/>
        <v>0</v>
      </c>
      <c r="L1514" s="131"/>
      <c r="M1514" s="131"/>
      <c r="N1514" s="131"/>
    </row>
    <row r="1515" spans="1:14" hidden="1">
      <c r="A1515" s="100" t="s">
        <v>862</v>
      </c>
      <c r="B1515" s="101" t="s">
        <v>2539</v>
      </c>
      <c r="C1515" s="99" t="s">
        <v>2540</v>
      </c>
      <c r="D1515" s="38"/>
      <c r="E1515" s="42">
        <v>1</v>
      </c>
      <c r="F1515" s="9"/>
      <c r="G1515" s="8">
        <f t="shared" si="56"/>
        <v>0.53602499999999997</v>
      </c>
      <c r="H1515" s="188">
        <v>0.51049999999999995</v>
      </c>
      <c r="I1515" s="19">
        <f t="shared" si="57"/>
        <v>0</v>
      </c>
      <c r="L1515" s="131"/>
      <c r="M1515" s="131"/>
      <c r="N1515" s="131"/>
    </row>
    <row r="1516" spans="1:14" hidden="1">
      <c r="A1516" s="100" t="s">
        <v>862</v>
      </c>
      <c r="B1516" s="101" t="s">
        <v>2541</v>
      </c>
      <c r="C1516" s="99" t="s">
        <v>2542</v>
      </c>
      <c r="D1516" s="38"/>
      <c r="E1516" s="42">
        <v>1</v>
      </c>
      <c r="F1516" s="9"/>
      <c r="G1516" s="8">
        <f t="shared" si="56"/>
        <v>1.586025</v>
      </c>
      <c r="H1516" s="188">
        <v>1.5105</v>
      </c>
      <c r="I1516" s="19">
        <f t="shared" si="57"/>
        <v>0</v>
      </c>
      <c r="L1516" s="131"/>
      <c r="M1516" s="131"/>
      <c r="N1516" s="131"/>
    </row>
    <row r="1517" spans="1:14" hidden="1">
      <c r="A1517" s="100" t="s">
        <v>862</v>
      </c>
      <c r="B1517" s="101" t="s">
        <v>2543</v>
      </c>
      <c r="C1517" s="99" t="s">
        <v>2544</v>
      </c>
      <c r="D1517" s="38"/>
      <c r="E1517" s="42">
        <v>1</v>
      </c>
      <c r="F1517" s="9"/>
      <c r="G1517" s="8">
        <f t="shared" si="56"/>
        <v>1.5025500000000001</v>
      </c>
      <c r="H1517" s="188">
        <v>1.431</v>
      </c>
      <c r="I1517" s="19">
        <f t="shared" si="57"/>
        <v>0</v>
      </c>
      <c r="L1517" s="131"/>
      <c r="M1517" s="131"/>
      <c r="N1517" s="131"/>
    </row>
    <row r="1518" spans="1:14" hidden="1">
      <c r="A1518" s="100" t="s">
        <v>862</v>
      </c>
      <c r="B1518" s="101" t="s">
        <v>2545</v>
      </c>
      <c r="C1518" s="99" t="s">
        <v>2546</v>
      </c>
      <c r="D1518" s="38"/>
      <c r="E1518" s="42">
        <v>1</v>
      </c>
      <c r="F1518" s="9"/>
      <c r="G1518" s="8">
        <f t="shared" si="56"/>
        <v>0.58695000000000008</v>
      </c>
      <c r="H1518" s="188">
        <v>0.55900000000000005</v>
      </c>
      <c r="I1518" s="19">
        <f t="shared" si="57"/>
        <v>0</v>
      </c>
      <c r="L1518" s="131"/>
      <c r="M1518" s="131"/>
      <c r="N1518" s="131"/>
    </row>
    <row r="1519" spans="1:14">
      <c r="A1519" s="100" t="s">
        <v>862</v>
      </c>
      <c r="B1519" s="101" t="s">
        <v>2547</v>
      </c>
      <c r="C1519" s="99" t="s">
        <v>2548</v>
      </c>
      <c r="D1519" s="38" t="s">
        <v>2488</v>
      </c>
      <c r="E1519" s="42">
        <v>1</v>
      </c>
      <c r="F1519" s="9">
        <v>142</v>
      </c>
      <c r="G1519" s="8">
        <f t="shared" si="56"/>
        <v>4.1580000000000004</v>
      </c>
      <c r="H1519" s="188">
        <v>3.96</v>
      </c>
      <c r="I1519" s="19">
        <f t="shared" si="57"/>
        <v>590.43600000000004</v>
      </c>
      <c r="L1519" s="131"/>
      <c r="M1519" s="131"/>
      <c r="N1519" s="131"/>
    </row>
    <row r="1520" spans="1:14" hidden="1">
      <c r="A1520" s="100" t="s">
        <v>862</v>
      </c>
      <c r="B1520" s="101" t="s">
        <v>2549</v>
      </c>
      <c r="C1520" s="99" t="s">
        <v>2550</v>
      </c>
      <c r="D1520" s="38" t="s">
        <v>2488</v>
      </c>
      <c r="E1520" s="42">
        <v>1</v>
      </c>
      <c r="F1520" s="9"/>
      <c r="G1520" s="8">
        <f t="shared" si="56"/>
        <v>5.3497499999999993</v>
      </c>
      <c r="H1520" s="188">
        <v>5.0949999999999998</v>
      </c>
      <c r="I1520" s="19">
        <f t="shared" si="57"/>
        <v>0</v>
      </c>
      <c r="L1520" s="131"/>
      <c r="M1520" s="131"/>
      <c r="N1520" s="131"/>
    </row>
    <row r="1521" spans="1:14" hidden="1">
      <c r="A1521" s="100" t="s">
        <v>862</v>
      </c>
      <c r="B1521" s="97" t="s">
        <v>2551</v>
      </c>
      <c r="C1521" s="98" t="s">
        <v>2552</v>
      </c>
      <c r="D1521" s="38" t="s">
        <v>945</v>
      </c>
      <c r="E1521" s="42">
        <v>1</v>
      </c>
      <c r="F1521" s="9"/>
      <c r="G1521" s="8">
        <f t="shared" si="56"/>
        <v>1.5645</v>
      </c>
      <c r="H1521" s="188">
        <v>1.49</v>
      </c>
      <c r="I1521" s="19">
        <f t="shared" si="57"/>
        <v>0</v>
      </c>
      <c r="L1521" s="131"/>
      <c r="M1521" s="131"/>
      <c r="N1521" s="131"/>
    </row>
    <row r="1522" spans="1:14" hidden="1">
      <c r="A1522" s="100" t="s">
        <v>862</v>
      </c>
      <c r="B1522" s="101" t="s">
        <v>2553</v>
      </c>
      <c r="C1522" s="99" t="s">
        <v>2554</v>
      </c>
      <c r="D1522" s="38" t="s">
        <v>2488</v>
      </c>
      <c r="E1522" s="42">
        <v>1</v>
      </c>
      <c r="F1522" s="9"/>
      <c r="G1522" s="8">
        <f t="shared" si="56"/>
        <v>4.1842499999999996</v>
      </c>
      <c r="H1522" s="188">
        <v>3.9849999999999999</v>
      </c>
      <c r="I1522" s="19">
        <f t="shared" si="57"/>
        <v>0</v>
      </c>
      <c r="L1522" s="131"/>
      <c r="M1522" s="131"/>
      <c r="N1522" s="131"/>
    </row>
    <row r="1523" spans="1:14" hidden="1">
      <c r="A1523" s="100" t="s">
        <v>862</v>
      </c>
      <c r="B1523" s="101" t="s">
        <v>2555</v>
      </c>
      <c r="C1523" s="99" t="s">
        <v>2556</v>
      </c>
      <c r="D1523" s="38" t="s">
        <v>2488</v>
      </c>
      <c r="E1523" s="42">
        <v>1</v>
      </c>
      <c r="F1523" s="9"/>
      <c r="G1523" s="8">
        <f t="shared" si="56"/>
        <v>5.3707500000000001</v>
      </c>
      <c r="H1523" s="188">
        <v>5.1150000000000002</v>
      </c>
      <c r="I1523" s="19">
        <f t="shared" si="57"/>
        <v>0</v>
      </c>
      <c r="L1523" s="131"/>
      <c r="M1523" s="131"/>
      <c r="N1523" s="131"/>
    </row>
    <row r="1524" spans="1:14" hidden="1">
      <c r="A1524" s="100" t="s">
        <v>862</v>
      </c>
      <c r="B1524" s="101" t="s">
        <v>2557</v>
      </c>
      <c r="C1524" s="99" t="s">
        <v>2558</v>
      </c>
      <c r="D1524" s="38" t="s">
        <v>945</v>
      </c>
      <c r="E1524" s="42">
        <v>1</v>
      </c>
      <c r="F1524" s="9"/>
      <c r="G1524" s="8">
        <f t="shared" si="56"/>
        <v>2.16825</v>
      </c>
      <c r="H1524" s="188">
        <v>2.0649999999999999</v>
      </c>
      <c r="I1524" s="19">
        <f t="shared" si="57"/>
        <v>0</v>
      </c>
      <c r="L1524" s="131"/>
      <c r="M1524" s="131"/>
      <c r="N1524" s="131"/>
    </row>
    <row r="1525" spans="1:14" hidden="1">
      <c r="A1525" s="100" t="s">
        <v>862</v>
      </c>
      <c r="B1525" s="101" t="s">
        <v>2559</v>
      </c>
      <c r="C1525" s="99" t="s">
        <v>2560</v>
      </c>
      <c r="D1525" s="38" t="s">
        <v>945</v>
      </c>
      <c r="E1525" s="42">
        <v>1</v>
      </c>
      <c r="F1525" s="9"/>
      <c r="G1525" s="8">
        <f t="shared" si="56"/>
        <v>7.6124999999999998</v>
      </c>
      <c r="H1525" s="188">
        <v>7.25</v>
      </c>
      <c r="I1525" s="19">
        <f t="shared" si="57"/>
        <v>0</v>
      </c>
      <c r="L1525" s="131"/>
      <c r="M1525" s="131"/>
      <c r="N1525" s="131"/>
    </row>
    <row r="1526" spans="1:14">
      <c r="A1526" s="100" t="s">
        <v>862</v>
      </c>
      <c r="B1526" s="101" t="s">
        <v>2561</v>
      </c>
      <c r="C1526" s="99" t="s">
        <v>2562</v>
      </c>
      <c r="D1526" s="38" t="s">
        <v>945</v>
      </c>
      <c r="E1526" s="42">
        <v>1</v>
      </c>
      <c r="F1526" s="9">
        <v>13</v>
      </c>
      <c r="G1526" s="8">
        <f t="shared" si="56"/>
        <v>1.113</v>
      </c>
      <c r="H1526" s="188">
        <v>1.06</v>
      </c>
      <c r="I1526" s="19">
        <f t="shared" si="57"/>
        <v>14.468999999999999</v>
      </c>
      <c r="L1526" s="131"/>
      <c r="M1526" s="131"/>
      <c r="N1526" s="131"/>
    </row>
    <row r="1527" spans="1:14" hidden="1">
      <c r="A1527" s="100" t="s">
        <v>862</v>
      </c>
      <c r="B1527" s="101" t="s">
        <v>2563</v>
      </c>
      <c r="C1527" s="99" t="s">
        <v>2564</v>
      </c>
      <c r="D1527" s="38" t="s">
        <v>945</v>
      </c>
      <c r="E1527" s="42">
        <v>1</v>
      </c>
      <c r="F1527" s="9"/>
      <c r="G1527" s="8">
        <f t="shared" si="56"/>
        <v>1.365</v>
      </c>
      <c r="H1527" s="188">
        <v>1.3</v>
      </c>
      <c r="I1527" s="19">
        <f t="shared" si="57"/>
        <v>0</v>
      </c>
      <c r="L1527" s="131"/>
      <c r="M1527" s="131"/>
      <c r="N1527" s="131"/>
    </row>
    <row r="1528" spans="1:14" hidden="1">
      <c r="A1528" s="100" t="s">
        <v>862</v>
      </c>
      <c r="B1528" s="101" t="s">
        <v>2565</v>
      </c>
      <c r="C1528" s="99" t="s">
        <v>2566</v>
      </c>
      <c r="D1528" s="38"/>
      <c r="E1528" s="42">
        <v>1</v>
      </c>
      <c r="F1528" s="9"/>
      <c r="G1528" s="8">
        <f t="shared" si="56"/>
        <v>8.0902499999999993</v>
      </c>
      <c r="H1528" s="188">
        <v>7.7050000000000001</v>
      </c>
      <c r="I1528" s="19">
        <f t="shared" si="57"/>
        <v>0</v>
      </c>
      <c r="L1528" s="131"/>
      <c r="M1528" s="131"/>
      <c r="N1528" s="131"/>
    </row>
    <row r="1529" spans="1:14" hidden="1">
      <c r="A1529" s="100" t="s">
        <v>862</v>
      </c>
      <c r="B1529" s="101" t="s">
        <v>2567</v>
      </c>
      <c r="C1529" s="99" t="s">
        <v>2568</v>
      </c>
      <c r="D1529" s="38"/>
      <c r="E1529" s="42">
        <v>1</v>
      </c>
      <c r="F1529" s="9"/>
      <c r="G1529" s="8">
        <f t="shared" si="56"/>
        <v>8.0902499999999993</v>
      </c>
      <c r="H1529" s="188">
        <v>7.7050000000000001</v>
      </c>
      <c r="I1529" s="19">
        <f t="shared" si="57"/>
        <v>0</v>
      </c>
      <c r="L1529" s="131"/>
      <c r="M1529" s="131"/>
      <c r="N1529" s="131"/>
    </row>
    <row r="1530" spans="1:14" hidden="1">
      <c r="A1530" s="100" t="s">
        <v>862</v>
      </c>
      <c r="B1530" s="101" t="s">
        <v>2569</v>
      </c>
      <c r="C1530" s="99" t="s">
        <v>2570</v>
      </c>
      <c r="D1530" s="38"/>
      <c r="E1530" s="42">
        <v>1</v>
      </c>
      <c r="F1530" s="9"/>
      <c r="G1530" s="8">
        <f t="shared" si="56"/>
        <v>12.715499999999999</v>
      </c>
      <c r="H1530" s="188">
        <v>12.11</v>
      </c>
      <c r="I1530" s="19">
        <f t="shared" si="57"/>
        <v>0</v>
      </c>
      <c r="L1530" s="131"/>
      <c r="M1530" s="131"/>
      <c r="N1530" s="131"/>
    </row>
    <row r="1531" spans="1:14" hidden="1">
      <c r="A1531" s="100" t="s">
        <v>862</v>
      </c>
      <c r="B1531" s="101" t="s">
        <v>2571</v>
      </c>
      <c r="C1531" s="99" t="s">
        <v>2572</v>
      </c>
      <c r="D1531" s="38"/>
      <c r="E1531" s="42">
        <v>1</v>
      </c>
      <c r="F1531" s="9"/>
      <c r="G1531" s="8">
        <f t="shared" si="56"/>
        <v>12.716025</v>
      </c>
      <c r="H1531" s="188">
        <v>12.1105</v>
      </c>
      <c r="I1531" s="19">
        <f t="shared" si="57"/>
        <v>0</v>
      </c>
      <c r="L1531" s="131"/>
      <c r="M1531" s="131"/>
      <c r="N1531" s="131"/>
    </row>
    <row r="1532" spans="1:14" hidden="1">
      <c r="A1532" s="100" t="s">
        <v>862</v>
      </c>
      <c r="B1532" s="101" t="s">
        <v>2573</v>
      </c>
      <c r="C1532" s="99" t="s">
        <v>2574</v>
      </c>
      <c r="D1532" s="38"/>
      <c r="E1532" s="42">
        <v>1</v>
      </c>
      <c r="F1532" s="9"/>
      <c r="G1532" s="8">
        <f t="shared" si="56"/>
        <v>1.231125</v>
      </c>
      <c r="H1532" s="188">
        <v>1.1725000000000001</v>
      </c>
      <c r="I1532" s="19">
        <f t="shared" si="57"/>
        <v>0</v>
      </c>
      <c r="L1532" s="131"/>
      <c r="M1532" s="131"/>
      <c r="N1532" s="131"/>
    </row>
    <row r="1533" spans="1:14" hidden="1">
      <c r="A1533" s="100" t="s">
        <v>862</v>
      </c>
      <c r="B1533" s="101" t="s">
        <v>2575</v>
      </c>
      <c r="C1533" s="99" t="s">
        <v>2576</v>
      </c>
      <c r="D1533" s="38"/>
      <c r="E1533" s="42">
        <v>1</v>
      </c>
      <c r="F1533" s="9"/>
      <c r="G1533" s="8">
        <f t="shared" si="56"/>
        <v>1.46685</v>
      </c>
      <c r="H1533" s="188">
        <v>1.397</v>
      </c>
      <c r="I1533" s="19">
        <f t="shared" si="57"/>
        <v>0</v>
      </c>
      <c r="L1533" s="131"/>
      <c r="M1533" s="131"/>
      <c r="N1533" s="131"/>
    </row>
    <row r="1534" spans="1:14" hidden="1">
      <c r="A1534" s="100" t="s">
        <v>862</v>
      </c>
      <c r="B1534" s="101" t="s">
        <v>2577</v>
      </c>
      <c r="C1534" s="99" t="s">
        <v>2578</v>
      </c>
      <c r="D1534" s="38"/>
      <c r="E1534" s="42">
        <v>1</v>
      </c>
      <c r="F1534" s="9"/>
      <c r="G1534" s="8">
        <f t="shared" si="56"/>
        <v>7.5174750000000001</v>
      </c>
      <c r="H1534" s="188">
        <v>7.1595000000000004</v>
      </c>
      <c r="I1534" s="19">
        <f t="shared" si="57"/>
        <v>0</v>
      </c>
      <c r="L1534" s="131"/>
      <c r="M1534" s="131"/>
      <c r="N1534" s="131"/>
    </row>
    <row r="1535" spans="1:14" hidden="1">
      <c r="A1535" s="100" t="s">
        <v>862</v>
      </c>
      <c r="B1535" s="101" t="s">
        <v>2579</v>
      </c>
      <c r="C1535" s="99" t="s">
        <v>2580</v>
      </c>
      <c r="D1535" s="38"/>
      <c r="E1535" s="42">
        <v>1</v>
      </c>
      <c r="F1535" s="9"/>
      <c r="G1535" s="8">
        <f t="shared" si="56"/>
        <v>3.4020000000000001</v>
      </c>
      <c r="H1535" s="188">
        <v>3.24</v>
      </c>
      <c r="I1535" s="19">
        <f t="shared" si="57"/>
        <v>0</v>
      </c>
      <c r="L1535" s="131"/>
      <c r="M1535" s="131"/>
      <c r="N1535" s="131"/>
    </row>
    <row r="1536" spans="1:14">
      <c r="A1536" s="100" t="s">
        <v>862</v>
      </c>
      <c r="B1536" s="101" t="s">
        <v>2581</v>
      </c>
      <c r="C1536" s="99" t="s">
        <v>2582</v>
      </c>
      <c r="D1536" s="38" t="s">
        <v>945</v>
      </c>
      <c r="E1536" s="42">
        <v>1</v>
      </c>
      <c r="F1536" s="9">
        <v>8</v>
      </c>
      <c r="G1536" s="8">
        <f t="shared" si="56"/>
        <v>6.9089999999999998</v>
      </c>
      <c r="H1536" s="188">
        <v>6.58</v>
      </c>
      <c r="I1536" s="19">
        <f t="shared" si="57"/>
        <v>55.271999999999998</v>
      </c>
      <c r="L1536" s="131"/>
      <c r="M1536" s="131"/>
      <c r="N1536" s="131"/>
    </row>
    <row r="1537" spans="1:14" hidden="1">
      <c r="A1537" s="100" t="s">
        <v>862</v>
      </c>
      <c r="B1537" s="101" t="s">
        <v>2583</v>
      </c>
      <c r="C1537" s="99" t="s">
        <v>2584</v>
      </c>
      <c r="D1537" s="38" t="s">
        <v>945</v>
      </c>
      <c r="E1537" s="42">
        <v>1</v>
      </c>
      <c r="F1537" s="9"/>
      <c r="G1537" s="8">
        <f t="shared" si="56"/>
        <v>16.190999999999999</v>
      </c>
      <c r="H1537" s="188">
        <v>15.42</v>
      </c>
      <c r="I1537" s="19">
        <f t="shared" si="57"/>
        <v>0</v>
      </c>
      <c r="L1537" s="131"/>
      <c r="M1537" s="131"/>
      <c r="N1537" s="131"/>
    </row>
    <row r="1538" spans="1:14">
      <c r="A1538" s="100" t="s">
        <v>862</v>
      </c>
      <c r="B1538" s="101" t="s">
        <v>2585</v>
      </c>
      <c r="C1538" s="99" t="s">
        <v>2586</v>
      </c>
      <c r="D1538" s="38"/>
      <c r="E1538" s="42">
        <v>1</v>
      </c>
      <c r="F1538" s="9">
        <v>12</v>
      </c>
      <c r="G1538" s="8">
        <f t="shared" si="56"/>
        <v>10.08</v>
      </c>
      <c r="H1538" s="188">
        <v>9.6</v>
      </c>
      <c r="I1538" s="19">
        <f t="shared" si="57"/>
        <v>120.96000000000001</v>
      </c>
      <c r="L1538" s="131"/>
      <c r="M1538" s="131"/>
      <c r="N1538" s="131"/>
    </row>
    <row r="1539" spans="1:14">
      <c r="A1539" s="100" t="s">
        <v>862</v>
      </c>
      <c r="B1539" s="101" t="s">
        <v>2587</v>
      </c>
      <c r="C1539" s="99" t="s">
        <v>2588</v>
      </c>
      <c r="D1539" s="38"/>
      <c r="E1539" s="42">
        <v>1</v>
      </c>
      <c r="F1539" s="9">
        <v>12</v>
      </c>
      <c r="G1539" s="8">
        <f t="shared" si="56"/>
        <v>10.08</v>
      </c>
      <c r="H1539" s="188">
        <v>9.6</v>
      </c>
      <c r="I1539" s="19">
        <f t="shared" si="57"/>
        <v>120.96000000000001</v>
      </c>
      <c r="L1539" s="131"/>
      <c r="M1539" s="131"/>
      <c r="N1539" s="131"/>
    </row>
    <row r="1540" spans="1:14" hidden="1">
      <c r="A1540" s="100" t="s">
        <v>862</v>
      </c>
      <c r="B1540" s="101" t="s">
        <v>2589</v>
      </c>
      <c r="C1540" s="99" t="s">
        <v>2590</v>
      </c>
      <c r="D1540" s="38" t="s">
        <v>945</v>
      </c>
      <c r="E1540" s="42">
        <v>1</v>
      </c>
      <c r="F1540" s="9"/>
      <c r="G1540" s="8">
        <f t="shared" si="56"/>
        <v>10.36875</v>
      </c>
      <c r="H1540" s="188">
        <v>9.875</v>
      </c>
      <c r="I1540" s="19">
        <f t="shared" si="57"/>
        <v>0</v>
      </c>
      <c r="L1540" s="131"/>
      <c r="M1540" s="131"/>
      <c r="N1540" s="131"/>
    </row>
    <row r="1541" spans="1:14" hidden="1">
      <c r="A1541" s="100" t="s">
        <v>862</v>
      </c>
      <c r="B1541" s="101" t="s">
        <v>2591</v>
      </c>
      <c r="C1541" s="99" t="s">
        <v>2592</v>
      </c>
      <c r="D1541" s="38" t="s">
        <v>945</v>
      </c>
      <c r="E1541" s="42">
        <v>1</v>
      </c>
      <c r="F1541" s="9"/>
      <c r="G1541" s="8">
        <f t="shared" si="56"/>
        <v>19.829250000000002</v>
      </c>
      <c r="H1541" s="188">
        <v>18.885000000000002</v>
      </c>
      <c r="I1541" s="19">
        <f t="shared" si="57"/>
        <v>0</v>
      </c>
      <c r="L1541" s="131"/>
      <c r="M1541" s="131"/>
      <c r="N1541" s="131"/>
    </row>
    <row r="1542" spans="1:14" hidden="1">
      <c r="A1542" s="100" t="s">
        <v>862</v>
      </c>
      <c r="B1542" s="101" t="s">
        <v>2593</v>
      </c>
      <c r="C1542" s="99" t="s">
        <v>2594</v>
      </c>
      <c r="D1542" s="38"/>
      <c r="E1542" s="42">
        <v>1</v>
      </c>
      <c r="F1542" s="9"/>
      <c r="G1542" s="8">
        <f t="shared" si="56"/>
        <v>4.8237000000000005</v>
      </c>
      <c r="H1542" s="188">
        <v>4.5940000000000003</v>
      </c>
      <c r="I1542" s="19">
        <f t="shared" si="57"/>
        <v>0</v>
      </c>
      <c r="L1542" s="131"/>
      <c r="M1542" s="131"/>
      <c r="N1542" s="131"/>
    </row>
    <row r="1543" spans="1:14" hidden="1">
      <c r="A1543" s="100" t="s">
        <v>862</v>
      </c>
      <c r="B1543" s="101" t="s">
        <v>2595</v>
      </c>
      <c r="C1543" s="99" t="s">
        <v>2596</v>
      </c>
      <c r="D1543" s="38"/>
      <c r="E1543" s="42">
        <v>1</v>
      </c>
      <c r="F1543" s="9"/>
      <c r="G1543" s="8">
        <f t="shared" si="56"/>
        <v>4.8237000000000005</v>
      </c>
      <c r="H1543" s="188">
        <v>4.5940000000000003</v>
      </c>
      <c r="I1543" s="19">
        <f t="shared" si="57"/>
        <v>0</v>
      </c>
      <c r="L1543" s="131"/>
      <c r="M1543" s="131"/>
      <c r="N1543" s="131"/>
    </row>
    <row r="1544" spans="1:14" hidden="1">
      <c r="A1544" s="100" t="s">
        <v>862</v>
      </c>
      <c r="B1544" s="101" t="s">
        <v>2597</v>
      </c>
      <c r="C1544" s="99" t="s">
        <v>2598</v>
      </c>
      <c r="D1544" s="38"/>
      <c r="E1544" s="42">
        <v>1</v>
      </c>
      <c r="F1544" s="9"/>
      <c r="G1544" s="8">
        <f t="shared" si="56"/>
        <v>4.9706999999999999</v>
      </c>
      <c r="H1544" s="188">
        <v>4.734</v>
      </c>
      <c r="I1544" s="19">
        <f t="shared" si="57"/>
        <v>0</v>
      </c>
      <c r="L1544" s="131"/>
      <c r="M1544" s="131"/>
      <c r="N1544" s="131"/>
    </row>
    <row r="1545" spans="1:14" hidden="1">
      <c r="A1545" s="100" t="s">
        <v>862</v>
      </c>
      <c r="B1545" s="101" t="s">
        <v>2599</v>
      </c>
      <c r="C1545" s="99" t="s">
        <v>2600</v>
      </c>
      <c r="D1545" s="38"/>
      <c r="E1545" s="42">
        <v>1</v>
      </c>
      <c r="F1545" s="9"/>
      <c r="G1545" s="8">
        <f t="shared" si="56"/>
        <v>4.9706999999999999</v>
      </c>
      <c r="H1545" s="188">
        <v>4.734</v>
      </c>
      <c r="I1545" s="19">
        <f t="shared" si="57"/>
        <v>0</v>
      </c>
      <c r="L1545" s="131"/>
      <c r="M1545" s="131"/>
      <c r="N1545" s="131"/>
    </row>
    <row r="1546" spans="1:14" hidden="1">
      <c r="A1546" s="100" t="s">
        <v>862</v>
      </c>
      <c r="B1546" s="101" t="s">
        <v>2601</v>
      </c>
      <c r="C1546" s="99" t="s">
        <v>2602</v>
      </c>
      <c r="D1546" s="38"/>
      <c r="E1546" s="42">
        <v>1</v>
      </c>
      <c r="F1546" s="9"/>
      <c r="G1546" s="8">
        <f t="shared" si="56"/>
        <v>25.033574999999999</v>
      </c>
      <c r="H1546" s="188">
        <v>23.8415</v>
      </c>
      <c r="I1546" s="19">
        <f t="shared" si="57"/>
        <v>0</v>
      </c>
      <c r="L1546" s="131"/>
      <c r="M1546" s="131"/>
      <c r="N1546" s="131"/>
    </row>
    <row r="1547" spans="1:14" hidden="1">
      <c r="A1547" s="100" t="s">
        <v>862</v>
      </c>
      <c r="B1547" s="101" t="s">
        <v>2603</v>
      </c>
      <c r="C1547" s="99" t="s">
        <v>2604</v>
      </c>
      <c r="D1547" s="38"/>
      <c r="E1547" s="42">
        <v>1</v>
      </c>
      <c r="F1547" s="9"/>
      <c r="G1547" s="8">
        <f t="shared" si="56"/>
        <v>25.033574999999999</v>
      </c>
      <c r="H1547" s="188">
        <v>23.8415</v>
      </c>
      <c r="I1547" s="19">
        <f t="shared" si="57"/>
        <v>0</v>
      </c>
      <c r="L1547" s="131"/>
      <c r="M1547" s="131"/>
      <c r="N1547" s="131"/>
    </row>
    <row r="1548" spans="1:14" hidden="1">
      <c r="A1548" s="100" t="s">
        <v>862</v>
      </c>
      <c r="B1548" s="97" t="s">
        <v>2605</v>
      </c>
      <c r="C1548" s="98" t="s">
        <v>2606</v>
      </c>
      <c r="D1548" s="38" t="s">
        <v>572</v>
      </c>
      <c r="E1548" s="42">
        <v>1</v>
      </c>
      <c r="F1548" s="9"/>
      <c r="G1548" s="8">
        <f t="shared" si="56"/>
        <v>0.315</v>
      </c>
      <c r="H1548" s="188">
        <v>0.3</v>
      </c>
      <c r="I1548" s="19">
        <f t="shared" si="57"/>
        <v>0</v>
      </c>
      <c r="L1548" s="131"/>
      <c r="M1548" s="131"/>
      <c r="N1548" s="131"/>
    </row>
    <row r="1549" spans="1:14" hidden="1">
      <c r="A1549" s="100" t="s">
        <v>862</v>
      </c>
      <c r="B1549" s="101" t="s">
        <v>2607</v>
      </c>
      <c r="C1549" s="99" t="s">
        <v>2608</v>
      </c>
      <c r="D1549" s="38"/>
      <c r="E1549" s="42">
        <v>1</v>
      </c>
      <c r="F1549" s="9"/>
      <c r="G1549" s="8">
        <f t="shared" si="56"/>
        <v>0.82162499999999994</v>
      </c>
      <c r="H1549" s="188">
        <v>0.78249999999999997</v>
      </c>
      <c r="I1549" s="19">
        <f t="shared" si="57"/>
        <v>0</v>
      </c>
      <c r="L1549" s="131"/>
      <c r="M1549" s="131"/>
      <c r="N1549" s="131"/>
    </row>
    <row r="1550" spans="1:14" hidden="1">
      <c r="A1550" s="100" t="s">
        <v>862</v>
      </c>
      <c r="B1550" s="101" t="s">
        <v>2609</v>
      </c>
      <c r="C1550" s="99" t="s">
        <v>2610</v>
      </c>
      <c r="D1550" s="38"/>
      <c r="E1550" s="42">
        <v>1</v>
      </c>
      <c r="F1550" s="9"/>
      <c r="G1550" s="8">
        <f t="shared" si="56"/>
        <v>1.0216499999999999</v>
      </c>
      <c r="H1550" s="188">
        <v>0.97299999999999998</v>
      </c>
      <c r="I1550" s="19">
        <f t="shared" si="57"/>
        <v>0</v>
      </c>
      <c r="L1550" s="131"/>
      <c r="M1550" s="131"/>
      <c r="N1550" s="131"/>
    </row>
    <row r="1551" spans="1:14" hidden="1">
      <c r="A1551" s="100" t="s">
        <v>862</v>
      </c>
      <c r="B1551" s="101" t="s">
        <v>2611</v>
      </c>
      <c r="C1551" s="99" t="s">
        <v>2612</v>
      </c>
      <c r="D1551" s="38"/>
      <c r="E1551" s="42">
        <v>1</v>
      </c>
      <c r="F1551" s="9"/>
      <c r="G1551" s="8">
        <f t="shared" si="56"/>
        <v>1.231125</v>
      </c>
      <c r="H1551" s="188">
        <v>1.1725000000000001</v>
      </c>
      <c r="I1551" s="19">
        <f t="shared" si="57"/>
        <v>0</v>
      </c>
      <c r="L1551" s="131"/>
      <c r="M1551" s="131"/>
      <c r="N1551" s="131"/>
    </row>
    <row r="1552" spans="1:14" hidden="1">
      <c r="A1552" s="100" t="s">
        <v>862</v>
      </c>
      <c r="B1552" s="101" t="s">
        <v>2613</v>
      </c>
      <c r="C1552" s="99" t="s">
        <v>2614</v>
      </c>
      <c r="D1552" s="38"/>
      <c r="E1552" s="42">
        <v>1</v>
      </c>
      <c r="F1552" s="9"/>
      <c r="G1552" s="8">
        <f t="shared" si="56"/>
        <v>1.3881000000000001</v>
      </c>
      <c r="H1552" s="188">
        <v>1.3220000000000001</v>
      </c>
      <c r="I1552" s="19">
        <f t="shared" si="57"/>
        <v>0</v>
      </c>
      <c r="L1552" s="131"/>
      <c r="M1552" s="131"/>
      <c r="N1552" s="131"/>
    </row>
    <row r="1553" spans="1:14" hidden="1">
      <c r="A1553" s="100" t="s">
        <v>862</v>
      </c>
      <c r="B1553" s="101" t="s">
        <v>2615</v>
      </c>
      <c r="C1553" s="99" t="s">
        <v>2616</v>
      </c>
      <c r="D1553" s="38"/>
      <c r="E1553" s="42">
        <v>1</v>
      </c>
      <c r="F1553" s="9"/>
      <c r="G1553" s="8">
        <f t="shared" si="56"/>
        <v>1.5498000000000001</v>
      </c>
      <c r="H1553" s="188">
        <v>1.476</v>
      </c>
      <c r="I1553" s="19">
        <f t="shared" si="57"/>
        <v>0</v>
      </c>
      <c r="L1553" s="131"/>
      <c r="M1553" s="131"/>
      <c r="N1553" s="131"/>
    </row>
    <row r="1554" spans="1:14" hidden="1">
      <c r="A1554" s="100" t="s">
        <v>862</v>
      </c>
      <c r="B1554" s="101" t="s">
        <v>2617</v>
      </c>
      <c r="C1554" s="99" t="s">
        <v>2618</v>
      </c>
      <c r="D1554" s="38"/>
      <c r="E1554" s="42">
        <v>1</v>
      </c>
      <c r="F1554" s="9"/>
      <c r="G1554" s="8">
        <f t="shared" si="56"/>
        <v>1.8480000000000001</v>
      </c>
      <c r="H1554" s="188">
        <v>1.76</v>
      </c>
      <c r="I1554" s="19">
        <f t="shared" si="57"/>
        <v>0</v>
      </c>
      <c r="L1554" s="131"/>
      <c r="M1554" s="131"/>
      <c r="N1554" s="131"/>
    </row>
    <row r="1555" spans="1:14" hidden="1">
      <c r="A1555" s="100" t="s">
        <v>862</v>
      </c>
      <c r="B1555" s="101" t="s">
        <v>2619</v>
      </c>
      <c r="C1555" s="99" t="s">
        <v>2620</v>
      </c>
      <c r="D1555" s="38"/>
      <c r="E1555" s="42">
        <v>1</v>
      </c>
      <c r="F1555" s="9"/>
      <c r="G1555" s="8">
        <f t="shared" si="56"/>
        <v>3.2376749999999999</v>
      </c>
      <c r="H1555" s="188">
        <v>3.0834999999999999</v>
      </c>
      <c r="I1555" s="19">
        <f t="shared" si="57"/>
        <v>0</v>
      </c>
      <c r="L1555" s="131"/>
      <c r="M1555" s="131"/>
      <c r="N1555" s="131"/>
    </row>
    <row r="1556" spans="1:14" hidden="1">
      <c r="A1556" s="100" t="s">
        <v>862</v>
      </c>
      <c r="B1556" s="101" t="s">
        <v>2621</v>
      </c>
      <c r="C1556" s="99" t="s">
        <v>2622</v>
      </c>
      <c r="D1556" s="38" t="s">
        <v>2488</v>
      </c>
      <c r="E1556" s="42">
        <v>1</v>
      </c>
      <c r="F1556" s="9"/>
      <c r="G1556" s="8">
        <f t="shared" si="56"/>
        <v>33.048749999999998</v>
      </c>
      <c r="H1556" s="188">
        <v>31.475000000000001</v>
      </c>
      <c r="I1556" s="19">
        <f t="shared" si="57"/>
        <v>0</v>
      </c>
      <c r="L1556" s="131"/>
      <c r="M1556" s="131"/>
      <c r="N1556" s="131"/>
    </row>
    <row r="1557" spans="1:14" hidden="1">
      <c r="A1557" s="100" t="s">
        <v>862</v>
      </c>
      <c r="B1557" s="101" t="s">
        <v>2623</v>
      </c>
      <c r="C1557" s="99" t="s">
        <v>2624</v>
      </c>
      <c r="D1557" s="38" t="s">
        <v>945</v>
      </c>
      <c r="E1557" s="42">
        <v>1</v>
      </c>
      <c r="F1557" s="9"/>
      <c r="G1557" s="8">
        <f t="shared" si="56"/>
        <v>28.97475</v>
      </c>
      <c r="H1557" s="188">
        <v>27.594999999999999</v>
      </c>
      <c r="I1557" s="19">
        <f t="shared" si="57"/>
        <v>0</v>
      </c>
      <c r="L1557" s="131"/>
      <c r="M1557" s="131"/>
      <c r="N1557" s="131"/>
    </row>
    <row r="1558" spans="1:14" hidden="1">
      <c r="A1558" s="100" t="s">
        <v>862</v>
      </c>
      <c r="B1558" s="97" t="s">
        <v>2625</v>
      </c>
      <c r="C1558" s="98" t="s">
        <v>2626</v>
      </c>
      <c r="D1558" s="38" t="s">
        <v>2488</v>
      </c>
      <c r="E1558" s="42">
        <v>1</v>
      </c>
      <c r="F1558" s="9"/>
      <c r="G1558" s="8">
        <f t="shared" si="56"/>
        <v>32.718000000000004</v>
      </c>
      <c r="H1558" s="188">
        <v>31.16</v>
      </c>
      <c r="I1558" s="19">
        <f t="shared" si="57"/>
        <v>0</v>
      </c>
      <c r="L1558" s="131"/>
      <c r="M1558" s="131"/>
      <c r="N1558" s="131"/>
    </row>
    <row r="1559" spans="1:14" hidden="1">
      <c r="A1559" s="100" t="s">
        <v>862</v>
      </c>
      <c r="B1559" s="101" t="s">
        <v>2627</v>
      </c>
      <c r="C1559" s="99" t="s">
        <v>2628</v>
      </c>
      <c r="D1559" s="38"/>
      <c r="E1559" s="42">
        <v>1</v>
      </c>
      <c r="F1559" s="9"/>
      <c r="G1559" s="8">
        <f t="shared" si="56"/>
        <v>0.7297499999999999</v>
      </c>
      <c r="H1559" s="188">
        <v>0.69499999999999995</v>
      </c>
      <c r="I1559" s="19">
        <f t="shared" si="57"/>
        <v>0</v>
      </c>
      <c r="L1559" s="131"/>
      <c r="M1559" s="131"/>
      <c r="N1559" s="131"/>
    </row>
    <row r="1560" spans="1:14" hidden="1">
      <c r="A1560" s="100" t="s">
        <v>862</v>
      </c>
      <c r="B1560" s="101" t="s">
        <v>2629</v>
      </c>
      <c r="C1560" s="99" t="s">
        <v>2630</v>
      </c>
      <c r="D1560" s="38"/>
      <c r="E1560" s="42">
        <v>1</v>
      </c>
      <c r="F1560" s="9"/>
      <c r="G1560" s="8">
        <f t="shared" si="56"/>
        <v>0.66149999999999998</v>
      </c>
      <c r="H1560" s="188">
        <v>0.63</v>
      </c>
      <c r="I1560" s="19">
        <f t="shared" si="57"/>
        <v>0</v>
      </c>
      <c r="L1560" s="131"/>
      <c r="M1560" s="131"/>
      <c r="N1560" s="131"/>
    </row>
    <row r="1561" spans="1:14" hidden="1">
      <c r="A1561" s="100" t="s">
        <v>862</v>
      </c>
      <c r="B1561" s="97" t="s">
        <v>2631</v>
      </c>
      <c r="C1561" s="98" t="s">
        <v>2632</v>
      </c>
      <c r="D1561" s="38" t="s">
        <v>945</v>
      </c>
      <c r="E1561" s="42">
        <v>1</v>
      </c>
      <c r="F1561" s="9"/>
      <c r="G1561" s="8">
        <f t="shared" si="56"/>
        <v>1.8847499999999999</v>
      </c>
      <c r="H1561" s="188">
        <v>1.7949999999999999</v>
      </c>
      <c r="I1561" s="19">
        <f t="shared" si="57"/>
        <v>0</v>
      </c>
      <c r="L1561" s="131"/>
      <c r="M1561" s="131"/>
      <c r="N1561" s="131"/>
    </row>
    <row r="1562" spans="1:14">
      <c r="A1562" s="100" t="s">
        <v>862</v>
      </c>
      <c r="B1562" s="101" t="s">
        <v>2633</v>
      </c>
      <c r="C1562" s="99" t="s">
        <v>2634</v>
      </c>
      <c r="D1562" s="38"/>
      <c r="E1562" s="42">
        <v>1</v>
      </c>
      <c r="F1562" s="9">
        <v>150</v>
      </c>
      <c r="G1562" s="8">
        <f t="shared" si="56"/>
        <v>1.00275</v>
      </c>
      <c r="H1562" s="188">
        <v>0.95499999999999996</v>
      </c>
      <c r="I1562" s="19">
        <f t="shared" si="57"/>
        <v>150.41249999999999</v>
      </c>
      <c r="L1562" s="131"/>
      <c r="M1562" s="131"/>
      <c r="N1562" s="131"/>
    </row>
    <row r="1563" spans="1:14">
      <c r="A1563" s="100" t="s">
        <v>862</v>
      </c>
      <c r="B1563" s="101" t="s">
        <v>2635</v>
      </c>
      <c r="C1563" s="99" t="s">
        <v>2636</v>
      </c>
      <c r="D1563" s="38"/>
      <c r="E1563" s="42">
        <v>1</v>
      </c>
      <c r="F1563" s="9">
        <v>2</v>
      </c>
      <c r="G1563" s="8">
        <f t="shared" si="56"/>
        <v>0.97860000000000003</v>
      </c>
      <c r="H1563" s="188">
        <v>0.93200000000000005</v>
      </c>
      <c r="I1563" s="19">
        <f t="shared" si="57"/>
        <v>1.9572000000000001</v>
      </c>
      <c r="L1563" s="131"/>
      <c r="M1563" s="131"/>
      <c r="N1563" s="131"/>
    </row>
    <row r="1564" spans="1:14">
      <c r="A1564" s="100" t="s">
        <v>862</v>
      </c>
      <c r="B1564" s="101" t="s">
        <v>2637</v>
      </c>
      <c r="C1564" s="99" t="s">
        <v>2638</v>
      </c>
      <c r="D1564" s="38"/>
      <c r="E1564" s="42">
        <v>1</v>
      </c>
      <c r="F1564" s="9">
        <v>30</v>
      </c>
      <c r="G1564" s="8">
        <f t="shared" si="56"/>
        <v>0.97230000000000005</v>
      </c>
      <c r="H1564" s="188">
        <v>0.92600000000000005</v>
      </c>
      <c r="I1564" s="19">
        <f t="shared" si="57"/>
        <v>29.169</v>
      </c>
      <c r="L1564" s="131"/>
      <c r="M1564" s="131"/>
      <c r="N1564" s="131"/>
    </row>
    <row r="1565" spans="1:14" hidden="1">
      <c r="A1565" s="100" t="s">
        <v>862</v>
      </c>
      <c r="B1565" s="101" t="s">
        <v>2639</v>
      </c>
      <c r="C1565" s="99" t="s">
        <v>2640</v>
      </c>
      <c r="D1565" s="38"/>
      <c r="E1565" s="42">
        <v>1</v>
      </c>
      <c r="F1565" s="9"/>
      <c r="G1565" s="8">
        <f t="shared" si="56"/>
        <v>1.0479000000000001</v>
      </c>
      <c r="H1565" s="188">
        <v>0.998</v>
      </c>
      <c r="I1565" s="19">
        <f t="shared" si="57"/>
        <v>0</v>
      </c>
      <c r="L1565" s="131"/>
      <c r="M1565" s="131"/>
      <c r="N1565" s="131"/>
    </row>
    <row r="1566" spans="1:14" hidden="1">
      <c r="A1566" s="100" t="s">
        <v>862</v>
      </c>
      <c r="B1566" s="101" t="s">
        <v>2641</v>
      </c>
      <c r="C1566" s="99" t="s">
        <v>2642</v>
      </c>
      <c r="D1566" s="38"/>
      <c r="E1566" s="42">
        <v>1</v>
      </c>
      <c r="F1566" s="9"/>
      <c r="G1566" s="8">
        <f t="shared" si="56"/>
        <v>1.11405</v>
      </c>
      <c r="H1566" s="188">
        <v>1.0609999999999999</v>
      </c>
      <c r="I1566" s="19">
        <f t="shared" si="57"/>
        <v>0</v>
      </c>
      <c r="L1566" s="131"/>
      <c r="M1566" s="131"/>
      <c r="N1566" s="131"/>
    </row>
    <row r="1567" spans="1:14">
      <c r="A1567" s="100" t="s">
        <v>862</v>
      </c>
      <c r="B1567" s="101" t="s">
        <v>2643</v>
      </c>
      <c r="C1567" s="99" t="s">
        <v>2644</v>
      </c>
      <c r="D1567" s="38"/>
      <c r="E1567" s="42">
        <v>1</v>
      </c>
      <c r="F1567" s="9">
        <v>518</v>
      </c>
      <c r="G1567" s="8">
        <f t="shared" si="56"/>
        <v>0.91349999999999998</v>
      </c>
      <c r="H1567" s="188">
        <v>0.87</v>
      </c>
      <c r="I1567" s="19">
        <f t="shared" si="57"/>
        <v>473.19299999999998</v>
      </c>
      <c r="L1567" s="131"/>
      <c r="M1567" s="131"/>
      <c r="N1567" s="131"/>
    </row>
    <row r="1568" spans="1:14" hidden="1">
      <c r="A1568" s="100" t="s">
        <v>862</v>
      </c>
      <c r="B1568" s="101" t="s">
        <v>2645</v>
      </c>
      <c r="C1568" s="99" t="s">
        <v>2646</v>
      </c>
      <c r="D1568" s="38"/>
      <c r="E1568" s="42">
        <v>1</v>
      </c>
      <c r="F1568" s="9"/>
      <c r="G1568" s="8">
        <f t="shared" si="56"/>
        <v>0.95287499999999992</v>
      </c>
      <c r="H1568" s="188">
        <v>0.90749999999999997</v>
      </c>
      <c r="I1568" s="19">
        <f t="shared" si="57"/>
        <v>0</v>
      </c>
      <c r="L1568" s="131"/>
      <c r="M1568" s="131"/>
      <c r="N1568" s="131"/>
    </row>
    <row r="1569" spans="1:14" hidden="1">
      <c r="A1569" s="100" t="s">
        <v>862</v>
      </c>
      <c r="B1569" s="101" t="s">
        <v>2647</v>
      </c>
      <c r="C1569" s="99" t="s">
        <v>2648</v>
      </c>
      <c r="D1569" s="38"/>
      <c r="E1569" s="42">
        <v>1</v>
      </c>
      <c r="F1569" s="9"/>
      <c r="G1569" s="8">
        <f t="shared" si="56"/>
        <v>0.81532499999999997</v>
      </c>
      <c r="H1569" s="188">
        <v>0.77649999999999997</v>
      </c>
      <c r="I1569" s="19">
        <f t="shared" si="57"/>
        <v>0</v>
      </c>
      <c r="L1569" s="131"/>
      <c r="M1569" s="131"/>
      <c r="N1569" s="131"/>
    </row>
    <row r="1570" spans="1:14">
      <c r="A1570" s="100" t="s">
        <v>862</v>
      </c>
      <c r="B1570" s="101" t="s">
        <v>2649</v>
      </c>
      <c r="C1570" s="99" t="s">
        <v>2650</v>
      </c>
      <c r="D1570" s="38"/>
      <c r="E1570" s="42">
        <v>1</v>
      </c>
      <c r="F1570" s="9">
        <v>242</v>
      </c>
      <c r="G1570" s="8">
        <f t="shared" si="56"/>
        <v>0.39900000000000002</v>
      </c>
      <c r="H1570" s="188">
        <v>0.38</v>
      </c>
      <c r="I1570" s="19">
        <f t="shared" si="57"/>
        <v>96.558000000000007</v>
      </c>
      <c r="L1570" s="131"/>
      <c r="M1570" s="131"/>
      <c r="N1570" s="131"/>
    </row>
    <row r="1571" spans="1:14" hidden="1">
      <c r="A1571" s="100" t="s">
        <v>862</v>
      </c>
      <c r="B1571" s="101" t="s">
        <v>2651</v>
      </c>
      <c r="C1571" s="99" t="s">
        <v>2652</v>
      </c>
      <c r="D1571" s="38"/>
      <c r="E1571" s="42">
        <v>1</v>
      </c>
      <c r="F1571" s="9"/>
      <c r="G1571" s="8">
        <f t="shared" si="56"/>
        <v>0.41002500000000003</v>
      </c>
      <c r="H1571" s="188">
        <v>0.39050000000000001</v>
      </c>
      <c r="I1571" s="19">
        <f t="shared" si="57"/>
        <v>0</v>
      </c>
      <c r="L1571" s="131"/>
      <c r="M1571" s="131"/>
      <c r="N1571" s="131"/>
    </row>
    <row r="1572" spans="1:14">
      <c r="A1572" s="100" t="s">
        <v>862</v>
      </c>
      <c r="B1572" s="101" t="s">
        <v>2653</v>
      </c>
      <c r="C1572" s="99" t="s">
        <v>2654</v>
      </c>
      <c r="D1572" s="38"/>
      <c r="E1572" s="42">
        <v>1</v>
      </c>
      <c r="F1572" s="9">
        <v>8</v>
      </c>
      <c r="G1572" s="8">
        <f t="shared" si="56"/>
        <v>0.40634999999999999</v>
      </c>
      <c r="H1572" s="188">
        <v>0.38700000000000001</v>
      </c>
      <c r="I1572" s="19">
        <f t="shared" si="57"/>
        <v>3.2507999999999999</v>
      </c>
      <c r="L1572" s="131"/>
      <c r="M1572" s="131"/>
      <c r="N1572" s="131"/>
    </row>
    <row r="1573" spans="1:14" hidden="1">
      <c r="A1573" s="100" t="s">
        <v>862</v>
      </c>
      <c r="B1573" s="101" t="s">
        <v>2655</v>
      </c>
      <c r="C1573" s="99" t="s">
        <v>2656</v>
      </c>
      <c r="D1573" s="38"/>
      <c r="E1573" s="42">
        <v>1</v>
      </c>
      <c r="F1573" s="9"/>
      <c r="G1573" s="8">
        <f t="shared" ref="G1573:G1636" si="58">H1573+(H1573*5%)</f>
        <v>0.40845000000000004</v>
      </c>
      <c r="H1573" s="188">
        <v>0.38900000000000001</v>
      </c>
      <c r="I1573" s="19">
        <f t="shared" si="57"/>
        <v>0</v>
      </c>
      <c r="L1573" s="131"/>
      <c r="M1573" s="131"/>
      <c r="N1573" s="131"/>
    </row>
    <row r="1574" spans="1:14">
      <c r="A1574" s="100" t="s">
        <v>862</v>
      </c>
      <c r="B1574" s="101" t="s">
        <v>2657</v>
      </c>
      <c r="C1574" s="99" t="s">
        <v>2658</v>
      </c>
      <c r="D1574" s="38"/>
      <c r="E1574" s="42">
        <v>1</v>
      </c>
      <c r="F1574" s="9">
        <v>33</v>
      </c>
      <c r="G1574" s="8">
        <f t="shared" si="58"/>
        <v>0.40845000000000004</v>
      </c>
      <c r="H1574" s="188">
        <v>0.38900000000000001</v>
      </c>
      <c r="I1574" s="19">
        <f>G1574*F1574</f>
        <v>13.478850000000001</v>
      </c>
      <c r="L1574" s="131"/>
      <c r="M1574" s="131"/>
      <c r="N1574" s="131"/>
    </row>
    <row r="1575" spans="1:14">
      <c r="A1575" s="100" t="s">
        <v>862</v>
      </c>
      <c r="B1575" s="101" t="s">
        <v>2659</v>
      </c>
      <c r="C1575" s="99" t="s">
        <v>2660</v>
      </c>
      <c r="D1575" s="38"/>
      <c r="E1575" s="42">
        <v>1</v>
      </c>
      <c r="F1575" s="9">
        <v>12</v>
      </c>
      <c r="G1575" s="8">
        <f t="shared" si="58"/>
        <v>0.38114999999999999</v>
      </c>
      <c r="H1575" s="188">
        <v>0.36299999999999999</v>
      </c>
      <c r="I1575" s="19">
        <f>G1575*F1575</f>
        <v>4.5738000000000003</v>
      </c>
      <c r="L1575" s="131"/>
      <c r="M1575" s="131"/>
      <c r="N1575" s="131"/>
    </row>
    <row r="1576" spans="1:14">
      <c r="A1576" s="100" t="s">
        <v>862</v>
      </c>
      <c r="B1576" s="101" t="s">
        <v>2661</v>
      </c>
      <c r="C1576" s="99" t="s">
        <v>2662</v>
      </c>
      <c r="D1576" s="38"/>
      <c r="E1576" s="42">
        <v>1</v>
      </c>
      <c r="F1576" s="9">
        <v>224</v>
      </c>
      <c r="G1576" s="8">
        <f t="shared" si="58"/>
        <v>0.68145</v>
      </c>
      <c r="H1576" s="188">
        <v>0.64900000000000002</v>
      </c>
      <c r="I1576" s="19">
        <f t="shared" ref="I1576:I1638" si="59">G1576*F1576</f>
        <v>152.6448</v>
      </c>
      <c r="L1576" s="131"/>
      <c r="M1576" s="131"/>
      <c r="N1576" s="131"/>
    </row>
    <row r="1577" spans="1:14" hidden="1">
      <c r="A1577" s="100" t="s">
        <v>862</v>
      </c>
      <c r="B1577" s="101" t="s">
        <v>2663</v>
      </c>
      <c r="C1577" s="99" t="s">
        <v>2664</v>
      </c>
      <c r="D1577" s="38"/>
      <c r="E1577" s="42">
        <v>1</v>
      </c>
      <c r="F1577" s="9"/>
      <c r="G1577" s="8">
        <f t="shared" si="58"/>
        <v>9.0210749999999997</v>
      </c>
      <c r="H1577" s="188">
        <v>8.5914999999999999</v>
      </c>
      <c r="I1577" s="19">
        <f t="shared" si="59"/>
        <v>0</v>
      </c>
      <c r="L1577" s="131"/>
      <c r="M1577" s="131"/>
      <c r="N1577" s="131"/>
    </row>
    <row r="1578" spans="1:14">
      <c r="A1578" s="100" t="s">
        <v>862</v>
      </c>
      <c r="B1578" s="101" t="s">
        <v>2665</v>
      </c>
      <c r="C1578" s="99" t="s">
        <v>2666</v>
      </c>
      <c r="D1578" s="38"/>
      <c r="E1578" s="42">
        <v>1</v>
      </c>
      <c r="F1578" s="9">
        <f>(3*225)+127+310+655</f>
        <v>1767</v>
      </c>
      <c r="G1578" s="8">
        <f t="shared" si="58"/>
        <v>0.26827499999999999</v>
      </c>
      <c r="H1578" s="188">
        <v>0.2555</v>
      </c>
      <c r="I1578" s="19">
        <f t="shared" si="59"/>
        <v>474.04192499999999</v>
      </c>
      <c r="L1578" s="131"/>
      <c r="M1578" s="131"/>
      <c r="N1578" s="131"/>
    </row>
    <row r="1579" spans="1:14">
      <c r="A1579" s="100" t="s">
        <v>862</v>
      </c>
      <c r="B1579" s="101" t="s">
        <v>2667</v>
      </c>
      <c r="C1579" s="99" t="s">
        <v>2668</v>
      </c>
      <c r="D1579" s="38"/>
      <c r="E1579" s="42">
        <v>1</v>
      </c>
      <c r="F1579" s="9">
        <v>138</v>
      </c>
      <c r="G1579" s="8">
        <f t="shared" si="58"/>
        <v>0.64207500000000006</v>
      </c>
      <c r="H1579" s="188">
        <v>0.61150000000000004</v>
      </c>
      <c r="I1579" s="19">
        <f t="shared" si="59"/>
        <v>88.606350000000006</v>
      </c>
      <c r="L1579" s="131"/>
      <c r="M1579" s="131"/>
      <c r="N1579" s="131"/>
    </row>
    <row r="1580" spans="1:14">
      <c r="A1580" s="100" t="s">
        <v>862</v>
      </c>
      <c r="B1580" s="101" t="s">
        <v>2669</v>
      </c>
      <c r="C1580" s="99" t="s">
        <v>2670</v>
      </c>
      <c r="D1580" s="38"/>
      <c r="E1580" s="42">
        <v>1</v>
      </c>
      <c r="F1580" s="9">
        <f>215+1105</f>
        <v>1320</v>
      </c>
      <c r="G1580" s="8">
        <f t="shared" si="58"/>
        <v>0.38482499999999997</v>
      </c>
      <c r="H1580" s="188">
        <v>0.36649999999999999</v>
      </c>
      <c r="I1580" s="19">
        <f t="shared" si="59"/>
        <v>507.96899999999994</v>
      </c>
      <c r="L1580" s="131"/>
      <c r="M1580" s="131"/>
      <c r="N1580" s="131"/>
    </row>
    <row r="1581" spans="1:14" hidden="1">
      <c r="A1581" s="100" t="s">
        <v>862</v>
      </c>
      <c r="B1581" s="101" t="s">
        <v>2671</v>
      </c>
      <c r="C1581" s="99" t="s">
        <v>2672</v>
      </c>
      <c r="D1581" s="38"/>
      <c r="E1581" s="42">
        <v>1</v>
      </c>
      <c r="F1581" s="9"/>
      <c r="G1581" s="8">
        <f t="shared" si="58"/>
        <v>0.36382499999999995</v>
      </c>
      <c r="H1581" s="188">
        <v>0.34649999999999997</v>
      </c>
      <c r="I1581" s="19">
        <f t="shared" si="59"/>
        <v>0</v>
      </c>
      <c r="L1581" s="131"/>
      <c r="M1581" s="131"/>
      <c r="N1581" s="131"/>
    </row>
    <row r="1582" spans="1:14" hidden="1">
      <c r="A1582" s="100" t="s">
        <v>862</v>
      </c>
      <c r="B1582" s="101" t="s">
        <v>2673</v>
      </c>
      <c r="C1582" s="99" t="s">
        <v>2674</v>
      </c>
      <c r="D1582" s="38"/>
      <c r="E1582" s="42">
        <v>1</v>
      </c>
      <c r="F1582" s="9"/>
      <c r="G1582" s="8">
        <f t="shared" si="58"/>
        <v>5.3397749999999995</v>
      </c>
      <c r="H1582" s="188">
        <v>5.0854999999999997</v>
      </c>
      <c r="I1582" s="19">
        <f t="shared" si="59"/>
        <v>0</v>
      </c>
      <c r="L1582" s="131"/>
      <c r="M1582" s="131"/>
      <c r="N1582" s="131"/>
    </row>
    <row r="1583" spans="1:14" hidden="1">
      <c r="A1583" s="100" t="s">
        <v>862</v>
      </c>
      <c r="B1583" s="101" t="s">
        <v>2675</v>
      </c>
      <c r="C1583" s="99" t="s">
        <v>2676</v>
      </c>
      <c r="D1583" s="38"/>
      <c r="E1583" s="42">
        <v>1</v>
      </c>
      <c r="F1583" s="9"/>
      <c r="G1583" s="8">
        <f t="shared" si="58"/>
        <v>0.37012499999999998</v>
      </c>
      <c r="H1583" s="188">
        <v>0.35249999999999998</v>
      </c>
      <c r="I1583" s="19">
        <f t="shared" si="59"/>
        <v>0</v>
      </c>
      <c r="L1583" s="131"/>
      <c r="M1583" s="131"/>
      <c r="N1583" s="131"/>
    </row>
    <row r="1584" spans="1:14" hidden="1">
      <c r="A1584" s="100" t="s">
        <v>862</v>
      </c>
      <c r="B1584" s="101" t="s">
        <v>2677</v>
      </c>
      <c r="C1584" s="99" t="s">
        <v>2678</v>
      </c>
      <c r="D1584" s="38"/>
      <c r="E1584" s="42">
        <v>1</v>
      </c>
      <c r="F1584" s="9"/>
      <c r="G1584" s="8">
        <f t="shared" si="58"/>
        <v>0.32497500000000001</v>
      </c>
      <c r="H1584" s="188">
        <v>0.3095</v>
      </c>
      <c r="I1584" s="19">
        <f t="shared" si="59"/>
        <v>0</v>
      </c>
      <c r="L1584" s="131"/>
      <c r="M1584" s="131"/>
      <c r="N1584" s="131"/>
    </row>
    <row r="1585" spans="1:14" hidden="1">
      <c r="A1585" s="100" t="s">
        <v>862</v>
      </c>
      <c r="B1585" s="101" t="s">
        <v>2679</v>
      </c>
      <c r="C1585" s="99" t="s">
        <v>2680</v>
      </c>
      <c r="D1585" s="38"/>
      <c r="E1585" s="42">
        <v>1</v>
      </c>
      <c r="F1585" s="9"/>
      <c r="G1585" s="8">
        <f t="shared" si="58"/>
        <v>1.0148250000000001</v>
      </c>
      <c r="H1585" s="188">
        <v>0.96650000000000003</v>
      </c>
      <c r="I1585" s="19">
        <f t="shared" si="59"/>
        <v>0</v>
      </c>
      <c r="L1585" s="131"/>
      <c r="M1585" s="131"/>
      <c r="N1585" s="131"/>
    </row>
    <row r="1586" spans="1:14" hidden="1">
      <c r="A1586" s="100" t="s">
        <v>862</v>
      </c>
      <c r="B1586" s="101" t="s">
        <v>2681</v>
      </c>
      <c r="C1586" s="99" t="s">
        <v>2682</v>
      </c>
      <c r="D1586" s="38"/>
      <c r="E1586" s="42">
        <v>1</v>
      </c>
      <c r="F1586" s="9"/>
      <c r="G1586" s="8">
        <f t="shared" si="58"/>
        <v>1.145025</v>
      </c>
      <c r="H1586" s="188">
        <v>1.0905</v>
      </c>
      <c r="I1586" s="19">
        <f t="shared" si="59"/>
        <v>0</v>
      </c>
      <c r="L1586" s="131"/>
      <c r="M1586" s="131"/>
      <c r="N1586" s="131"/>
    </row>
    <row r="1587" spans="1:14" hidden="1">
      <c r="A1587" s="100" t="s">
        <v>862</v>
      </c>
      <c r="B1587" s="101" t="s">
        <v>2683</v>
      </c>
      <c r="C1587" s="99" t="s">
        <v>2684</v>
      </c>
      <c r="D1587" s="38"/>
      <c r="E1587" s="42">
        <v>1</v>
      </c>
      <c r="F1587" s="9"/>
      <c r="G1587" s="8">
        <f t="shared" si="58"/>
        <v>4.7024250000000007</v>
      </c>
      <c r="H1587" s="188">
        <v>4.4785000000000004</v>
      </c>
      <c r="I1587" s="19">
        <f t="shared" si="59"/>
        <v>0</v>
      </c>
      <c r="L1587" s="131"/>
      <c r="M1587" s="131"/>
      <c r="N1587" s="131"/>
    </row>
    <row r="1588" spans="1:14" hidden="1">
      <c r="A1588" s="100" t="s">
        <v>862</v>
      </c>
      <c r="B1588" s="101" t="s">
        <v>2685</v>
      </c>
      <c r="C1588" s="99" t="s">
        <v>2686</v>
      </c>
      <c r="D1588" s="38"/>
      <c r="E1588" s="42">
        <v>1</v>
      </c>
      <c r="F1588" s="9"/>
      <c r="G1588" s="8">
        <f t="shared" si="58"/>
        <v>5.59335</v>
      </c>
      <c r="H1588" s="188">
        <v>5.327</v>
      </c>
      <c r="I1588" s="19">
        <f t="shared" si="59"/>
        <v>0</v>
      </c>
      <c r="L1588" s="131"/>
      <c r="M1588" s="131"/>
      <c r="N1588" s="131"/>
    </row>
    <row r="1589" spans="1:14" hidden="1">
      <c r="A1589" s="100" t="s">
        <v>862</v>
      </c>
      <c r="B1589" s="101" t="s">
        <v>2687</v>
      </c>
      <c r="C1589" s="99" t="s">
        <v>2688</v>
      </c>
      <c r="D1589" s="38"/>
      <c r="E1589" s="42">
        <v>1</v>
      </c>
      <c r="F1589" s="9"/>
      <c r="G1589" s="8">
        <f t="shared" si="58"/>
        <v>9.0363000000000007</v>
      </c>
      <c r="H1589" s="188">
        <v>8.6059999999999999</v>
      </c>
      <c r="I1589" s="19">
        <f t="shared" si="59"/>
        <v>0</v>
      </c>
      <c r="L1589" s="131"/>
      <c r="M1589" s="131"/>
      <c r="N1589" s="131"/>
    </row>
    <row r="1590" spans="1:14" hidden="1">
      <c r="A1590" s="100" t="s">
        <v>862</v>
      </c>
      <c r="B1590" s="101" t="s">
        <v>2689</v>
      </c>
      <c r="C1590" s="99" t="s">
        <v>2690</v>
      </c>
      <c r="D1590" s="38"/>
      <c r="E1590" s="42">
        <v>1</v>
      </c>
      <c r="F1590" s="9"/>
      <c r="G1590" s="8">
        <f t="shared" si="58"/>
        <v>1.377075</v>
      </c>
      <c r="H1590" s="188">
        <v>1.3115000000000001</v>
      </c>
      <c r="I1590" s="19">
        <f t="shared" si="59"/>
        <v>0</v>
      </c>
      <c r="L1590" s="131"/>
      <c r="M1590" s="131"/>
      <c r="N1590" s="131"/>
    </row>
    <row r="1591" spans="1:14" hidden="1">
      <c r="A1591" s="100" t="s">
        <v>862</v>
      </c>
      <c r="B1591" s="101" t="s">
        <v>2691</v>
      </c>
      <c r="C1591" s="99" t="s">
        <v>2692</v>
      </c>
      <c r="D1591" s="38"/>
      <c r="E1591" s="42">
        <v>1</v>
      </c>
      <c r="F1591" s="9"/>
      <c r="G1591" s="8">
        <f t="shared" si="58"/>
        <v>0.35700000000000004</v>
      </c>
      <c r="H1591" s="188">
        <v>0.34</v>
      </c>
      <c r="I1591" s="19">
        <f t="shared" si="59"/>
        <v>0</v>
      </c>
      <c r="L1591" s="131"/>
      <c r="M1591" s="131"/>
      <c r="N1591" s="131"/>
    </row>
    <row r="1592" spans="1:14" hidden="1">
      <c r="A1592" s="100" t="s">
        <v>862</v>
      </c>
      <c r="B1592" s="101" t="s">
        <v>2693</v>
      </c>
      <c r="C1592" s="99" t="s">
        <v>2694</v>
      </c>
      <c r="D1592" s="38"/>
      <c r="E1592" s="42">
        <v>1</v>
      </c>
      <c r="F1592" s="9"/>
      <c r="G1592" s="8">
        <f t="shared" si="58"/>
        <v>0.39952500000000002</v>
      </c>
      <c r="H1592" s="188">
        <v>0.3805</v>
      </c>
      <c r="I1592" s="19">
        <f t="shared" si="59"/>
        <v>0</v>
      </c>
      <c r="L1592" s="131"/>
      <c r="M1592" s="131"/>
      <c r="N1592" s="131"/>
    </row>
    <row r="1593" spans="1:14" hidden="1">
      <c r="A1593" s="100" t="s">
        <v>862</v>
      </c>
      <c r="B1593" s="101" t="s">
        <v>2695</v>
      </c>
      <c r="C1593" s="99" t="s">
        <v>2696</v>
      </c>
      <c r="D1593" s="38"/>
      <c r="E1593" s="42">
        <v>1</v>
      </c>
      <c r="F1593" s="9"/>
      <c r="G1593" s="8">
        <f t="shared" si="58"/>
        <v>8.6415000000000006</v>
      </c>
      <c r="H1593" s="188">
        <v>8.23</v>
      </c>
      <c r="I1593" s="19">
        <f t="shared" si="59"/>
        <v>0</v>
      </c>
      <c r="L1593" s="131"/>
      <c r="M1593" s="131"/>
      <c r="N1593" s="131"/>
    </row>
    <row r="1594" spans="1:14" hidden="1">
      <c r="A1594" s="100" t="s">
        <v>862</v>
      </c>
      <c r="B1594" s="101" t="s">
        <v>2697</v>
      </c>
      <c r="C1594" s="99" t="s">
        <v>2698</v>
      </c>
      <c r="D1594" s="38"/>
      <c r="E1594" s="42">
        <v>1</v>
      </c>
      <c r="F1594" s="9"/>
      <c r="G1594" s="8">
        <f t="shared" si="58"/>
        <v>8.6415000000000006</v>
      </c>
      <c r="H1594" s="188">
        <v>8.23</v>
      </c>
      <c r="I1594" s="19">
        <f t="shared" si="59"/>
        <v>0</v>
      </c>
      <c r="L1594" s="131"/>
      <c r="M1594" s="131"/>
      <c r="N1594" s="131"/>
    </row>
    <row r="1595" spans="1:14" hidden="1">
      <c r="A1595" s="100" t="s">
        <v>862</v>
      </c>
      <c r="B1595" s="101" t="s">
        <v>2699</v>
      </c>
      <c r="C1595" s="99" t="s">
        <v>2700</v>
      </c>
      <c r="D1595" s="38"/>
      <c r="E1595" s="42">
        <v>1</v>
      </c>
      <c r="F1595" s="9"/>
      <c r="G1595" s="8">
        <f t="shared" si="58"/>
        <v>9.3161250000000013</v>
      </c>
      <c r="H1595" s="188">
        <v>8.8725000000000005</v>
      </c>
      <c r="I1595" s="19">
        <f t="shared" si="59"/>
        <v>0</v>
      </c>
      <c r="L1595" s="131"/>
      <c r="M1595" s="131"/>
      <c r="N1595" s="131"/>
    </row>
    <row r="1596" spans="1:14" hidden="1">
      <c r="A1596" s="100" t="s">
        <v>862</v>
      </c>
      <c r="B1596" s="101" t="s">
        <v>2701</v>
      </c>
      <c r="C1596" s="99" t="s">
        <v>2702</v>
      </c>
      <c r="D1596" s="38"/>
      <c r="E1596" s="42">
        <v>1</v>
      </c>
      <c r="F1596" s="9"/>
      <c r="G1596" s="8">
        <f t="shared" si="58"/>
        <v>9.3161250000000013</v>
      </c>
      <c r="H1596" s="188">
        <v>8.8725000000000005</v>
      </c>
      <c r="I1596" s="19">
        <f t="shared" si="59"/>
        <v>0</v>
      </c>
      <c r="L1596" s="131"/>
      <c r="M1596" s="131"/>
      <c r="N1596" s="131"/>
    </row>
    <row r="1597" spans="1:14" hidden="1">
      <c r="A1597" s="100" t="s">
        <v>862</v>
      </c>
      <c r="B1597" s="101" t="s">
        <v>2703</v>
      </c>
      <c r="C1597" s="99" t="s">
        <v>2704</v>
      </c>
      <c r="D1597" s="38"/>
      <c r="E1597" s="42">
        <v>1</v>
      </c>
      <c r="F1597" s="9"/>
      <c r="G1597" s="8">
        <f t="shared" si="58"/>
        <v>5.3397749999999995</v>
      </c>
      <c r="H1597" s="188">
        <v>5.0854999999999997</v>
      </c>
      <c r="I1597" s="19">
        <f t="shared" si="59"/>
        <v>0</v>
      </c>
      <c r="L1597" s="131"/>
      <c r="M1597" s="131"/>
      <c r="N1597" s="131"/>
    </row>
    <row r="1598" spans="1:14" hidden="1">
      <c r="A1598" s="100" t="s">
        <v>862</v>
      </c>
      <c r="B1598" s="101" t="s">
        <v>2705</v>
      </c>
      <c r="C1598" s="99" t="s">
        <v>2706</v>
      </c>
      <c r="D1598" s="38"/>
      <c r="E1598" s="42">
        <v>1</v>
      </c>
      <c r="F1598" s="9"/>
      <c r="G1598" s="8">
        <f t="shared" si="58"/>
        <v>1.0962000000000001</v>
      </c>
      <c r="H1598" s="188">
        <v>1.044</v>
      </c>
      <c r="I1598" s="19">
        <f t="shared" si="59"/>
        <v>0</v>
      </c>
      <c r="L1598" s="131"/>
      <c r="M1598" s="131"/>
      <c r="N1598" s="131"/>
    </row>
    <row r="1599" spans="1:14" hidden="1">
      <c r="A1599" s="100" t="s">
        <v>862</v>
      </c>
      <c r="B1599" s="101" t="s">
        <v>2707</v>
      </c>
      <c r="C1599" s="99" t="s">
        <v>2708</v>
      </c>
      <c r="D1599" s="38"/>
      <c r="E1599" s="42">
        <v>1</v>
      </c>
      <c r="F1599" s="9"/>
      <c r="G1599" s="8">
        <f t="shared" si="58"/>
        <v>5.273625</v>
      </c>
      <c r="H1599" s="188">
        <v>5.0225</v>
      </c>
      <c r="I1599" s="19">
        <f t="shared" si="59"/>
        <v>0</v>
      </c>
      <c r="L1599" s="131"/>
      <c r="M1599" s="131"/>
      <c r="N1599" s="131"/>
    </row>
    <row r="1600" spans="1:14">
      <c r="A1600" s="100" t="s">
        <v>862</v>
      </c>
      <c r="B1600" s="101" t="s">
        <v>2709</v>
      </c>
      <c r="C1600" s="99" t="s">
        <v>2710</v>
      </c>
      <c r="D1600" s="38"/>
      <c r="E1600" s="42">
        <v>1</v>
      </c>
      <c r="F1600" s="9">
        <v>6</v>
      </c>
      <c r="G1600" s="8">
        <f t="shared" si="58"/>
        <v>2.3357250000000001</v>
      </c>
      <c r="H1600" s="188">
        <v>2.2244999999999999</v>
      </c>
      <c r="I1600" s="19">
        <f t="shared" si="59"/>
        <v>14.01435</v>
      </c>
      <c r="L1600" s="131"/>
      <c r="M1600" s="131"/>
      <c r="N1600" s="131"/>
    </row>
    <row r="1601" spans="1:14">
      <c r="A1601" s="100" t="s">
        <v>862</v>
      </c>
      <c r="B1601" s="101" t="s">
        <v>2711</v>
      </c>
      <c r="C1601" s="99" t="s">
        <v>2712</v>
      </c>
      <c r="D1601" s="38"/>
      <c r="E1601" s="42">
        <v>1</v>
      </c>
      <c r="F1601" s="9">
        <v>1</v>
      </c>
      <c r="G1601" s="8">
        <f t="shared" si="58"/>
        <v>2.4958499999999999</v>
      </c>
      <c r="H1601" s="188">
        <v>2.3769999999999998</v>
      </c>
      <c r="I1601" s="19">
        <f t="shared" si="59"/>
        <v>2.4958499999999999</v>
      </c>
      <c r="L1601" s="131"/>
      <c r="M1601" s="131"/>
      <c r="N1601" s="131"/>
    </row>
    <row r="1602" spans="1:14">
      <c r="A1602" s="100" t="s">
        <v>862</v>
      </c>
      <c r="B1602" s="101" t="s">
        <v>2713</v>
      </c>
      <c r="C1602" s="99" t="s">
        <v>2714</v>
      </c>
      <c r="D1602" s="38"/>
      <c r="E1602" s="42">
        <v>1</v>
      </c>
      <c r="F1602" s="9">
        <v>3</v>
      </c>
      <c r="G1602" s="8">
        <f t="shared" si="58"/>
        <v>2.7394500000000002</v>
      </c>
      <c r="H1602" s="188">
        <v>2.609</v>
      </c>
      <c r="I1602" s="19">
        <f t="shared" si="59"/>
        <v>8.2183500000000009</v>
      </c>
      <c r="L1602" s="131"/>
      <c r="M1602" s="131"/>
      <c r="N1602" s="131"/>
    </row>
    <row r="1603" spans="1:14">
      <c r="A1603" s="100" t="s">
        <v>862</v>
      </c>
      <c r="B1603" s="101" t="s">
        <v>2715</v>
      </c>
      <c r="C1603" s="99" t="s">
        <v>2716</v>
      </c>
      <c r="D1603" s="38"/>
      <c r="E1603" s="42">
        <v>1</v>
      </c>
      <c r="F1603" s="9">
        <v>18</v>
      </c>
      <c r="G1603" s="8">
        <f t="shared" si="58"/>
        <v>3.528</v>
      </c>
      <c r="H1603" s="188">
        <v>3.36</v>
      </c>
      <c r="I1603" s="19">
        <f t="shared" si="59"/>
        <v>63.503999999999998</v>
      </c>
      <c r="L1603" s="131"/>
      <c r="M1603" s="131"/>
      <c r="N1603" s="131"/>
    </row>
    <row r="1604" spans="1:14" hidden="1">
      <c r="A1604" s="100" t="s">
        <v>862</v>
      </c>
      <c r="B1604" s="101" t="s">
        <v>2717</v>
      </c>
      <c r="C1604" s="99" t="s">
        <v>2718</v>
      </c>
      <c r="D1604" s="38"/>
      <c r="E1604" s="42">
        <v>1</v>
      </c>
      <c r="F1604" s="9"/>
      <c r="G1604" s="8">
        <f t="shared" si="58"/>
        <v>3.6807750000000001</v>
      </c>
      <c r="H1604" s="188">
        <v>3.5055000000000001</v>
      </c>
      <c r="I1604" s="19">
        <f t="shared" si="59"/>
        <v>0</v>
      </c>
      <c r="L1604" s="131"/>
      <c r="M1604" s="131"/>
      <c r="N1604" s="131"/>
    </row>
    <row r="1605" spans="1:14" hidden="1">
      <c r="A1605" s="100" t="s">
        <v>862</v>
      </c>
      <c r="B1605" s="101" t="s">
        <v>2719</v>
      </c>
      <c r="C1605" s="99" t="s">
        <v>2720</v>
      </c>
      <c r="D1605" s="38"/>
      <c r="E1605" s="42">
        <v>1</v>
      </c>
      <c r="F1605" s="9"/>
      <c r="G1605" s="8">
        <f t="shared" si="58"/>
        <v>1.21695</v>
      </c>
      <c r="H1605" s="188">
        <v>1.159</v>
      </c>
      <c r="I1605" s="19">
        <f t="shared" si="59"/>
        <v>0</v>
      </c>
      <c r="L1605" s="131"/>
      <c r="M1605" s="131"/>
      <c r="N1605" s="131"/>
    </row>
    <row r="1606" spans="1:14">
      <c r="A1606" s="100" t="s">
        <v>862</v>
      </c>
      <c r="B1606" s="101" t="s">
        <v>2721</v>
      </c>
      <c r="C1606" s="99" t="s">
        <v>2722</v>
      </c>
      <c r="D1606" s="38"/>
      <c r="E1606" s="42">
        <v>1</v>
      </c>
      <c r="F1606" s="9">
        <v>20</v>
      </c>
      <c r="G1606" s="8">
        <f t="shared" si="58"/>
        <v>2.6554500000000001</v>
      </c>
      <c r="H1606" s="188">
        <v>2.5289999999999999</v>
      </c>
      <c r="I1606" s="19">
        <f t="shared" si="59"/>
        <v>53.109000000000002</v>
      </c>
      <c r="L1606" s="131"/>
      <c r="M1606" s="131"/>
      <c r="N1606" s="131"/>
    </row>
    <row r="1607" spans="1:14">
      <c r="A1607" s="100" t="s">
        <v>862</v>
      </c>
      <c r="B1607" s="101" t="s">
        <v>2723</v>
      </c>
      <c r="C1607" s="99" t="s">
        <v>2724</v>
      </c>
      <c r="D1607" s="38"/>
      <c r="E1607" s="42">
        <v>1</v>
      </c>
      <c r="F1607" s="9">
        <v>20</v>
      </c>
      <c r="G1607" s="8">
        <f t="shared" si="58"/>
        <v>2.6554500000000001</v>
      </c>
      <c r="H1607" s="188">
        <v>2.5289999999999999</v>
      </c>
      <c r="I1607" s="19">
        <f t="shared" si="59"/>
        <v>53.109000000000002</v>
      </c>
      <c r="L1607" s="131"/>
      <c r="M1607" s="131"/>
      <c r="N1607" s="131"/>
    </row>
    <row r="1608" spans="1:14">
      <c r="A1608" s="100" t="s">
        <v>862</v>
      </c>
      <c r="B1608" s="101" t="s">
        <v>2725</v>
      </c>
      <c r="C1608" s="99" t="s">
        <v>2726</v>
      </c>
      <c r="D1608" s="38"/>
      <c r="E1608" s="42">
        <v>1</v>
      </c>
      <c r="F1608" s="9">
        <v>1</v>
      </c>
      <c r="G1608" s="8">
        <f t="shared" si="58"/>
        <v>3.3159000000000001</v>
      </c>
      <c r="H1608" s="188">
        <v>3.1579999999999999</v>
      </c>
      <c r="I1608" s="19">
        <f t="shared" si="59"/>
        <v>3.3159000000000001</v>
      </c>
      <c r="L1608" s="131"/>
      <c r="M1608" s="131"/>
      <c r="N1608" s="131"/>
    </row>
    <row r="1609" spans="1:14">
      <c r="A1609" s="100" t="s">
        <v>862</v>
      </c>
      <c r="B1609" s="101" t="s">
        <v>2727</v>
      </c>
      <c r="C1609" s="99" t="s">
        <v>2728</v>
      </c>
      <c r="D1609" s="38"/>
      <c r="E1609" s="42">
        <v>1</v>
      </c>
      <c r="F1609" s="9">
        <v>1</v>
      </c>
      <c r="G1609" s="8">
        <f t="shared" si="58"/>
        <v>3.3159000000000001</v>
      </c>
      <c r="H1609" s="188">
        <v>3.1579999999999999</v>
      </c>
      <c r="I1609" s="19">
        <f t="shared" si="59"/>
        <v>3.3159000000000001</v>
      </c>
      <c r="L1609" s="131"/>
      <c r="M1609" s="131"/>
      <c r="N1609" s="131"/>
    </row>
    <row r="1610" spans="1:14">
      <c r="A1610" s="100" t="s">
        <v>862</v>
      </c>
      <c r="B1610" s="101" t="s">
        <v>2729</v>
      </c>
      <c r="C1610" s="99" t="s">
        <v>2730</v>
      </c>
      <c r="D1610" s="38"/>
      <c r="E1610" s="42">
        <v>1</v>
      </c>
      <c r="F1610" s="9">
        <v>1</v>
      </c>
      <c r="G1610" s="8">
        <f t="shared" si="58"/>
        <v>4.9124249999999998</v>
      </c>
      <c r="H1610" s="188">
        <v>4.6784999999999997</v>
      </c>
      <c r="I1610" s="19">
        <f t="shared" si="59"/>
        <v>4.9124249999999998</v>
      </c>
      <c r="L1610" s="131"/>
      <c r="M1610" s="131"/>
      <c r="N1610" s="131"/>
    </row>
    <row r="1611" spans="1:14">
      <c r="A1611" s="100" t="s">
        <v>862</v>
      </c>
      <c r="B1611" s="101" t="s">
        <v>2731</v>
      </c>
      <c r="C1611" s="99" t="s">
        <v>2732</v>
      </c>
      <c r="D1611" s="38"/>
      <c r="E1611" s="42">
        <v>1</v>
      </c>
      <c r="F1611" s="9">
        <v>1</v>
      </c>
      <c r="G1611" s="8">
        <f t="shared" si="58"/>
        <v>4.9124249999999998</v>
      </c>
      <c r="H1611" s="188">
        <v>4.6784999999999997</v>
      </c>
      <c r="I1611" s="19">
        <f t="shared" si="59"/>
        <v>4.9124249999999998</v>
      </c>
      <c r="L1611" s="131"/>
      <c r="M1611" s="131"/>
      <c r="N1611" s="131"/>
    </row>
    <row r="1612" spans="1:14">
      <c r="A1612" s="100" t="s">
        <v>862</v>
      </c>
      <c r="B1612" s="101" t="s">
        <v>2733</v>
      </c>
      <c r="C1612" s="99" t="s">
        <v>2734</v>
      </c>
      <c r="D1612" s="38"/>
      <c r="E1612" s="42">
        <v>1</v>
      </c>
      <c r="F1612" s="9">
        <v>1</v>
      </c>
      <c r="G1612" s="8">
        <f t="shared" si="58"/>
        <v>6.1608749999999999</v>
      </c>
      <c r="H1612" s="188">
        <v>5.8674999999999997</v>
      </c>
      <c r="I1612" s="19">
        <f t="shared" si="59"/>
        <v>6.1608749999999999</v>
      </c>
      <c r="L1612" s="131"/>
      <c r="M1612" s="131"/>
      <c r="N1612" s="131"/>
    </row>
    <row r="1613" spans="1:14">
      <c r="A1613" s="100" t="s">
        <v>862</v>
      </c>
      <c r="B1613" s="101" t="s">
        <v>2735</v>
      </c>
      <c r="C1613" s="99" t="s">
        <v>2736</v>
      </c>
      <c r="D1613" s="38"/>
      <c r="E1613" s="42">
        <v>1</v>
      </c>
      <c r="F1613" s="9">
        <v>1</v>
      </c>
      <c r="G1613" s="8">
        <f t="shared" si="58"/>
        <v>6.1608749999999999</v>
      </c>
      <c r="H1613" s="188">
        <v>5.8674999999999997</v>
      </c>
      <c r="I1613" s="19">
        <f t="shared" si="59"/>
        <v>6.1608749999999999</v>
      </c>
      <c r="L1613" s="131"/>
      <c r="M1613" s="131"/>
      <c r="N1613" s="131"/>
    </row>
    <row r="1614" spans="1:14" hidden="1">
      <c r="A1614" s="100" t="s">
        <v>862</v>
      </c>
      <c r="B1614" s="101" t="s">
        <v>2737</v>
      </c>
      <c r="C1614" s="99" t="s">
        <v>2738</v>
      </c>
      <c r="D1614" s="38"/>
      <c r="E1614" s="42">
        <v>1</v>
      </c>
      <c r="F1614" s="9"/>
      <c r="G1614" s="8">
        <f t="shared" si="58"/>
        <v>8.2545750000000009</v>
      </c>
      <c r="H1614" s="188">
        <v>7.8615000000000004</v>
      </c>
      <c r="I1614" s="19">
        <f t="shared" si="59"/>
        <v>0</v>
      </c>
      <c r="L1614" s="131"/>
      <c r="M1614" s="131"/>
      <c r="N1614" s="131"/>
    </row>
    <row r="1615" spans="1:14" hidden="1">
      <c r="A1615" s="100" t="s">
        <v>862</v>
      </c>
      <c r="B1615" s="101" t="s">
        <v>2739</v>
      </c>
      <c r="C1615" s="99" t="s">
        <v>2740</v>
      </c>
      <c r="D1615" s="38"/>
      <c r="E1615" s="42">
        <v>1</v>
      </c>
      <c r="F1615" s="9"/>
      <c r="G1615" s="8">
        <f t="shared" si="58"/>
        <v>8.2545750000000009</v>
      </c>
      <c r="H1615" s="188">
        <v>7.8615000000000004</v>
      </c>
      <c r="I1615" s="19">
        <f t="shared" si="59"/>
        <v>0</v>
      </c>
      <c r="L1615" s="131"/>
      <c r="M1615" s="131"/>
      <c r="N1615" s="131"/>
    </row>
    <row r="1616" spans="1:14" hidden="1">
      <c r="A1616" s="100" t="s">
        <v>862</v>
      </c>
      <c r="B1616" s="101" t="s">
        <v>2741</v>
      </c>
      <c r="C1616" s="99" t="s">
        <v>2742</v>
      </c>
      <c r="D1616" s="38"/>
      <c r="E1616" s="42">
        <v>1</v>
      </c>
      <c r="F1616" s="9"/>
      <c r="G1616" s="8">
        <f t="shared" si="58"/>
        <v>4.4546250000000001</v>
      </c>
      <c r="H1616" s="188">
        <v>4.2424999999999997</v>
      </c>
      <c r="I1616" s="19">
        <f t="shared" si="59"/>
        <v>0</v>
      </c>
      <c r="L1616" s="131"/>
      <c r="M1616" s="131"/>
      <c r="N1616" s="131"/>
    </row>
    <row r="1617" spans="1:14" hidden="1">
      <c r="A1617" s="100" t="s">
        <v>862</v>
      </c>
      <c r="B1617" s="101" t="s">
        <v>2743</v>
      </c>
      <c r="C1617" s="99" t="s">
        <v>2744</v>
      </c>
      <c r="D1617" s="38"/>
      <c r="E1617" s="42">
        <v>1</v>
      </c>
      <c r="F1617" s="9"/>
      <c r="G1617" s="8">
        <f t="shared" si="58"/>
        <v>4.4546250000000001</v>
      </c>
      <c r="H1617" s="188">
        <v>4.2424999999999997</v>
      </c>
      <c r="I1617" s="19">
        <f t="shared" si="59"/>
        <v>0</v>
      </c>
      <c r="L1617" s="131"/>
      <c r="M1617" s="131"/>
      <c r="N1617" s="131"/>
    </row>
    <row r="1618" spans="1:14" hidden="1">
      <c r="A1618" s="100" t="s">
        <v>862</v>
      </c>
      <c r="B1618" s="101" t="s">
        <v>2745</v>
      </c>
      <c r="C1618" s="99" t="s">
        <v>2746</v>
      </c>
      <c r="D1618" s="38"/>
      <c r="E1618" s="42">
        <v>1</v>
      </c>
      <c r="F1618" s="9"/>
      <c r="G1618" s="8">
        <f t="shared" si="58"/>
        <v>7.5878249999999996</v>
      </c>
      <c r="H1618" s="188">
        <v>7.2264999999999997</v>
      </c>
      <c r="I1618" s="19">
        <f t="shared" si="59"/>
        <v>0</v>
      </c>
      <c r="L1618" s="131"/>
      <c r="M1618" s="131"/>
      <c r="N1618" s="131"/>
    </row>
    <row r="1619" spans="1:14" hidden="1">
      <c r="A1619" s="100" t="s">
        <v>862</v>
      </c>
      <c r="B1619" s="101" t="s">
        <v>2747</v>
      </c>
      <c r="C1619" s="99" t="s">
        <v>2748</v>
      </c>
      <c r="D1619" s="38"/>
      <c r="E1619" s="42">
        <v>1</v>
      </c>
      <c r="F1619" s="9"/>
      <c r="G1619" s="8">
        <f t="shared" si="58"/>
        <v>7.5878249999999996</v>
      </c>
      <c r="H1619" s="188">
        <v>7.2264999999999997</v>
      </c>
      <c r="I1619" s="19">
        <f t="shared" si="59"/>
        <v>0</v>
      </c>
      <c r="L1619" s="131"/>
      <c r="M1619" s="131"/>
      <c r="N1619" s="131"/>
    </row>
    <row r="1620" spans="1:14" hidden="1">
      <c r="A1620" s="100" t="s">
        <v>862</v>
      </c>
      <c r="B1620" s="101" t="s">
        <v>2749</v>
      </c>
      <c r="C1620" s="99" t="s">
        <v>2750</v>
      </c>
      <c r="D1620" s="38"/>
      <c r="E1620" s="42">
        <v>1</v>
      </c>
      <c r="F1620" s="9"/>
      <c r="G1620" s="8">
        <f t="shared" si="58"/>
        <v>5.6206499999999995</v>
      </c>
      <c r="H1620" s="188">
        <v>5.3529999999999998</v>
      </c>
      <c r="I1620" s="19">
        <f t="shared" si="59"/>
        <v>0</v>
      </c>
      <c r="L1620" s="131"/>
      <c r="M1620" s="131"/>
      <c r="N1620" s="131"/>
    </row>
    <row r="1621" spans="1:14" hidden="1">
      <c r="A1621" s="100" t="s">
        <v>862</v>
      </c>
      <c r="B1621" s="101" t="s">
        <v>2751</v>
      </c>
      <c r="C1621" s="99" t="s">
        <v>2752</v>
      </c>
      <c r="D1621" s="38"/>
      <c r="E1621" s="42">
        <v>1</v>
      </c>
      <c r="F1621" s="9"/>
      <c r="G1621" s="8">
        <f t="shared" si="58"/>
        <v>5.6206499999999995</v>
      </c>
      <c r="H1621" s="188">
        <v>5.3529999999999998</v>
      </c>
      <c r="I1621" s="19">
        <f t="shared" si="59"/>
        <v>0</v>
      </c>
      <c r="L1621" s="131"/>
      <c r="M1621" s="131"/>
      <c r="N1621" s="131"/>
    </row>
    <row r="1622" spans="1:14" hidden="1">
      <c r="A1622" s="100" t="s">
        <v>862</v>
      </c>
      <c r="B1622" s="101" t="s">
        <v>2753</v>
      </c>
      <c r="C1622" s="99" t="s">
        <v>2754</v>
      </c>
      <c r="D1622" s="38"/>
      <c r="E1622" s="42">
        <v>1</v>
      </c>
      <c r="F1622" s="9"/>
      <c r="G1622" s="8">
        <f t="shared" si="58"/>
        <v>16.721250000000001</v>
      </c>
      <c r="H1622" s="188">
        <v>15.925000000000001</v>
      </c>
      <c r="I1622" s="19">
        <f t="shared" si="59"/>
        <v>0</v>
      </c>
      <c r="L1622" s="131"/>
      <c r="M1622" s="131"/>
      <c r="N1622" s="131"/>
    </row>
    <row r="1623" spans="1:14" hidden="1">
      <c r="A1623" s="100" t="s">
        <v>862</v>
      </c>
      <c r="B1623" s="101" t="s">
        <v>2755</v>
      </c>
      <c r="C1623" s="99" t="s">
        <v>2756</v>
      </c>
      <c r="D1623" s="38"/>
      <c r="E1623" s="42">
        <v>1</v>
      </c>
      <c r="F1623" s="9"/>
      <c r="G1623" s="8">
        <f t="shared" si="58"/>
        <v>16.721250000000001</v>
      </c>
      <c r="H1623" s="188">
        <v>15.925000000000001</v>
      </c>
      <c r="I1623" s="19">
        <f t="shared" si="59"/>
        <v>0</v>
      </c>
      <c r="L1623" s="131"/>
      <c r="M1623" s="131"/>
      <c r="N1623" s="131"/>
    </row>
    <row r="1624" spans="1:14" hidden="1">
      <c r="A1624" s="100" t="s">
        <v>862</v>
      </c>
      <c r="B1624" s="101" t="s">
        <v>2757</v>
      </c>
      <c r="C1624" s="99" t="s">
        <v>2758</v>
      </c>
      <c r="D1624" s="38"/>
      <c r="E1624" s="42">
        <v>1</v>
      </c>
      <c r="F1624" s="9"/>
      <c r="G1624" s="8">
        <f t="shared" si="58"/>
        <v>2.9368500000000002</v>
      </c>
      <c r="H1624" s="188">
        <v>2.7970000000000002</v>
      </c>
      <c r="I1624" s="19">
        <f t="shared" si="59"/>
        <v>0</v>
      </c>
      <c r="L1624" s="131"/>
      <c r="M1624" s="131"/>
      <c r="N1624" s="131"/>
    </row>
    <row r="1625" spans="1:14" hidden="1">
      <c r="A1625" s="100" t="s">
        <v>862</v>
      </c>
      <c r="B1625" s="101" t="s">
        <v>2759</v>
      </c>
      <c r="C1625" s="99" t="s">
        <v>2760</v>
      </c>
      <c r="D1625" s="38"/>
      <c r="E1625" s="42">
        <v>1</v>
      </c>
      <c r="F1625" s="9"/>
      <c r="G1625" s="8">
        <f t="shared" si="58"/>
        <v>7.405125</v>
      </c>
      <c r="H1625" s="188">
        <v>7.0525000000000002</v>
      </c>
      <c r="I1625" s="19">
        <f t="shared" si="59"/>
        <v>0</v>
      </c>
      <c r="L1625" s="131"/>
      <c r="M1625" s="131"/>
      <c r="N1625" s="131"/>
    </row>
    <row r="1626" spans="1:14" hidden="1">
      <c r="A1626" s="100" t="s">
        <v>862</v>
      </c>
      <c r="B1626" s="101" t="s">
        <v>2761</v>
      </c>
      <c r="C1626" s="99" t="s">
        <v>2762</v>
      </c>
      <c r="D1626" s="38"/>
      <c r="E1626" s="42">
        <v>1</v>
      </c>
      <c r="F1626" s="9"/>
      <c r="G1626" s="8">
        <f t="shared" si="58"/>
        <v>1.9661250000000001</v>
      </c>
      <c r="H1626" s="188">
        <v>1.8725000000000001</v>
      </c>
      <c r="I1626" s="19">
        <f t="shared" si="59"/>
        <v>0</v>
      </c>
      <c r="L1626" s="131"/>
      <c r="M1626" s="131"/>
      <c r="N1626" s="131"/>
    </row>
    <row r="1627" spans="1:14" hidden="1">
      <c r="A1627" s="100" t="s">
        <v>862</v>
      </c>
      <c r="B1627" s="101" t="s">
        <v>2763</v>
      </c>
      <c r="C1627" s="99" t="s">
        <v>2764</v>
      </c>
      <c r="D1627" s="38"/>
      <c r="E1627" s="42">
        <v>1</v>
      </c>
      <c r="F1627" s="9"/>
      <c r="G1627" s="8">
        <f t="shared" si="58"/>
        <v>1.4936250000000002</v>
      </c>
      <c r="H1627" s="188">
        <v>1.4225000000000001</v>
      </c>
      <c r="I1627" s="19">
        <f t="shared" si="59"/>
        <v>0</v>
      </c>
      <c r="L1627" s="131"/>
      <c r="M1627" s="131"/>
      <c r="N1627" s="131"/>
    </row>
    <row r="1628" spans="1:14" hidden="1">
      <c r="A1628" s="100" t="s">
        <v>862</v>
      </c>
      <c r="B1628" s="101" t="s">
        <v>2765</v>
      </c>
      <c r="C1628" s="99" t="s">
        <v>2766</v>
      </c>
      <c r="D1628" s="38"/>
      <c r="E1628" s="42">
        <v>1</v>
      </c>
      <c r="F1628" s="9"/>
      <c r="G1628" s="8">
        <f t="shared" si="58"/>
        <v>1.8238500000000002</v>
      </c>
      <c r="H1628" s="188">
        <v>1.7370000000000001</v>
      </c>
      <c r="I1628" s="19">
        <f t="shared" si="59"/>
        <v>0</v>
      </c>
      <c r="L1628" s="131"/>
      <c r="M1628" s="131"/>
      <c r="N1628" s="131"/>
    </row>
    <row r="1629" spans="1:14" hidden="1">
      <c r="A1629" s="100" t="s">
        <v>862</v>
      </c>
      <c r="B1629" s="101" t="s">
        <v>2767</v>
      </c>
      <c r="C1629" s="99" t="s">
        <v>2768</v>
      </c>
      <c r="D1629" s="38"/>
      <c r="E1629" s="42">
        <v>1</v>
      </c>
      <c r="F1629" s="9"/>
      <c r="G1629" s="8">
        <f t="shared" si="58"/>
        <v>6.1125750000000005</v>
      </c>
      <c r="H1629" s="188">
        <v>5.8215000000000003</v>
      </c>
      <c r="I1629" s="19">
        <f t="shared" si="59"/>
        <v>0</v>
      </c>
      <c r="L1629" s="131"/>
      <c r="M1629" s="131"/>
      <c r="N1629" s="131"/>
    </row>
    <row r="1630" spans="1:14" hidden="1">
      <c r="A1630" s="100" t="s">
        <v>862</v>
      </c>
      <c r="B1630" s="101" t="s">
        <v>2769</v>
      </c>
      <c r="C1630" s="99" t="s">
        <v>2770</v>
      </c>
      <c r="D1630" s="38"/>
      <c r="E1630" s="42">
        <v>1</v>
      </c>
      <c r="F1630" s="9"/>
      <c r="G1630" s="8">
        <f t="shared" si="58"/>
        <v>6.1125750000000005</v>
      </c>
      <c r="H1630" s="188">
        <v>5.8215000000000003</v>
      </c>
      <c r="I1630" s="19">
        <f t="shared" si="59"/>
        <v>0</v>
      </c>
      <c r="L1630" s="131"/>
      <c r="M1630" s="131"/>
      <c r="N1630" s="131"/>
    </row>
    <row r="1631" spans="1:14" hidden="1">
      <c r="A1631" s="100" t="s">
        <v>862</v>
      </c>
      <c r="B1631" s="101" t="s">
        <v>2771</v>
      </c>
      <c r="C1631" s="99" t="s">
        <v>2772</v>
      </c>
      <c r="D1631" s="38"/>
      <c r="E1631" s="42">
        <v>1</v>
      </c>
      <c r="F1631" s="9"/>
      <c r="G1631" s="8">
        <f t="shared" si="58"/>
        <v>6.5661749999999994</v>
      </c>
      <c r="H1631" s="188">
        <v>6.2534999999999998</v>
      </c>
      <c r="I1631" s="19">
        <f t="shared" si="59"/>
        <v>0</v>
      </c>
      <c r="L1631" s="131"/>
      <c r="M1631" s="131"/>
      <c r="N1631" s="131"/>
    </row>
    <row r="1632" spans="1:14" hidden="1">
      <c r="A1632" s="100" t="s">
        <v>862</v>
      </c>
      <c r="B1632" s="101" t="s">
        <v>2773</v>
      </c>
      <c r="C1632" s="99" t="s">
        <v>2774</v>
      </c>
      <c r="D1632" s="38"/>
      <c r="E1632" s="42">
        <v>1</v>
      </c>
      <c r="F1632" s="9"/>
      <c r="G1632" s="8">
        <f t="shared" si="58"/>
        <v>5.3654999999999999</v>
      </c>
      <c r="H1632" s="188">
        <v>5.1100000000000003</v>
      </c>
      <c r="I1632" s="19">
        <f t="shared" si="59"/>
        <v>0</v>
      </c>
      <c r="L1632" s="131"/>
      <c r="M1632" s="131"/>
      <c r="N1632" s="131"/>
    </row>
    <row r="1633" spans="1:14" hidden="1">
      <c r="A1633" s="100" t="s">
        <v>862</v>
      </c>
      <c r="B1633" s="101" t="s">
        <v>2775</v>
      </c>
      <c r="C1633" s="99" t="s">
        <v>2776</v>
      </c>
      <c r="D1633" s="38"/>
      <c r="E1633" s="42">
        <v>1</v>
      </c>
      <c r="F1633" s="9"/>
      <c r="G1633" s="8">
        <f t="shared" si="58"/>
        <v>19.124175000000001</v>
      </c>
      <c r="H1633" s="188">
        <v>18.2135</v>
      </c>
      <c r="I1633" s="19">
        <f t="shared" si="59"/>
        <v>0</v>
      </c>
      <c r="L1633" s="131"/>
      <c r="M1633" s="131"/>
      <c r="N1633" s="131"/>
    </row>
    <row r="1634" spans="1:14" hidden="1">
      <c r="A1634" s="100" t="s">
        <v>862</v>
      </c>
      <c r="B1634" s="101" t="s">
        <v>2777</v>
      </c>
      <c r="C1634" s="99" t="s">
        <v>2778</v>
      </c>
      <c r="D1634" s="38"/>
      <c r="E1634" s="42">
        <v>1</v>
      </c>
      <c r="F1634" s="9"/>
      <c r="G1634" s="8">
        <f t="shared" si="58"/>
        <v>6.4354499999999994</v>
      </c>
      <c r="H1634" s="188">
        <v>6.1289999999999996</v>
      </c>
      <c r="I1634" s="19">
        <f t="shared" si="59"/>
        <v>0</v>
      </c>
      <c r="L1634" s="131"/>
      <c r="M1634" s="131"/>
      <c r="N1634" s="131"/>
    </row>
    <row r="1635" spans="1:14" hidden="1">
      <c r="A1635" s="100" t="s">
        <v>862</v>
      </c>
      <c r="B1635" s="101" t="s">
        <v>2779</v>
      </c>
      <c r="C1635" s="99" t="s">
        <v>2780</v>
      </c>
      <c r="D1635" s="38"/>
      <c r="E1635" s="42">
        <v>1</v>
      </c>
      <c r="F1635" s="9"/>
      <c r="G1635" s="8">
        <f t="shared" si="58"/>
        <v>5.423775</v>
      </c>
      <c r="H1635" s="188">
        <v>5.1654999999999998</v>
      </c>
      <c r="I1635" s="19">
        <f t="shared" si="59"/>
        <v>0</v>
      </c>
      <c r="L1635" s="131"/>
      <c r="M1635" s="131"/>
      <c r="N1635" s="131"/>
    </row>
    <row r="1636" spans="1:14" hidden="1">
      <c r="A1636" s="100" t="s">
        <v>862</v>
      </c>
      <c r="B1636" s="101" t="s">
        <v>2781</v>
      </c>
      <c r="C1636" s="99" t="s">
        <v>2782</v>
      </c>
      <c r="D1636" s="38"/>
      <c r="E1636" s="42">
        <v>1</v>
      </c>
      <c r="F1636" s="9"/>
      <c r="G1636" s="8">
        <f t="shared" si="58"/>
        <v>2.5011000000000001</v>
      </c>
      <c r="H1636" s="188">
        <v>2.3820000000000001</v>
      </c>
      <c r="I1636" s="19">
        <f t="shared" si="59"/>
        <v>0</v>
      </c>
      <c r="L1636" s="131"/>
      <c r="M1636" s="131"/>
      <c r="N1636" s="131"/>
    </row>
    <row r="1637" spans="1:14" hidden="1">
      <c r="A1637" s="100" t="s">
        <v>862</v>
      </c>
      <c r="B1637" s="101" t="s">
        <v>2783</v>
      </c>
      <c r="C1637" s="99" t="s">
        <v>2784</v>
      </c>
      <c r="D1637" s="38"/>
      <c r="E1637" s="42">
        <v>1</v>
      </c>
      <c r="F1637" s="9"/>
      <c r="G1637" s="8">
        <f t="shared" ref="G1637:G1700" si="60">H1637+(H1637*5%)</f>
        <v>4.6651499999999997</v>
      </c>
      <c r="H1637" s="188">
        <v>4.4429999999999996</v>
      </c>
      <c r="I1637" s="19">
        <f t="shared" si="59"/>
        <v>0</v>
      </c>
      <c r="L1637" s="131"/>
      <c r="M1637" s="131"/>
      <c r="N1637" s="131"/>
    </row>
    <row r="1638" spans="1:14" hidden="1">
      <c r="A1638" s="100" t="s">
        <v>862</v>
      </c>
      <c r="B1638" s="101" t="s">
        <v>2785</v>
      </c>
      <c r="C1638" s="99" t="s">
        <v>2786</v>
      </c>
      <c r="D1638" s="38"/>
      <c r="E1638" s="42">
        <v>1</v>
      </c>
      <c r="F1638" s="9"/>
      <c r="G1638" s="8">
        <f t="shared" si="60"/>
        <v>5.1786000000000003</v>
      </c>
      <c r="H1638" s="188">
        <v>4.9320000000000004</v>
      </c>
      <c r="I1638" s="19">
        <f t="shared" si="59"/>
        <v>0</v>
      </c>
      <c r="L1638" s="131"/>
      <c r="M1638" s="131"/>
      <c r="N1638" s="131"/>
    </row>
    <row r="1639" spans="1:14" hidden="1">
      <c r="A1639" s="100" t="s">
        <v>862</v>
      </c>
      <c r="B1639" s="101" t="s">
        <v>2787</v>
      </c>
      <c r="C1639" s="99" t="s">
        <v>2788</v>
      </c>
      <c r="D1639" s="38"/>
      <c r="E1639" s="42">
        <v>1</v>
      </c>
      <c r="F1639" s="9"/>
      <c r="G1639" s="8">
        <f t="shared" si="60"/>
        <v>5.1786000000000003</v>
      </c>
      <c r="H1639" s="188">
        <v>4.9320000000000004</v>
      </c>
      <c r="I1639" s="19">
        <f t="shared" ref="I1639:I1702" si="61">G1639*F1639</f>
        <v>0</v>
      </c>
      <c r="L1639" s="131"/>
      <c r="M1639" s="131"/>
      <c r="N1639" s="131"/>
    </row>
    <row r="1640" spans="1:14" hidden="1">
      <c r="A1640" s="100" t="s">
        <v>862</v>
      </c>
      <c r="B1640" s="101" t="s">
        <v>2789</v>
      </c>
      <c r="C1640" s="99" t="s">
        <v>2790</v>
      </c>
      <c r="D1640" s="38"/>
      <c r="E1640" s="42">
        <v>1</v>
      </c>
      <c r="F1640" s="9"/>
      <c r="G1640" s="8">
        <f t="shared" si="60"/>
        <v>3.3164250000000002</v>
      </c>
      <c r="H1640" s="188">
        <v>3.1585000000000001</v>
      </c>
      <c r="I1640" s="19">
        <f t="shared" si="61"/>
        <v>0</v>
      </c>
      <c r="L1640" s="131"/>
      <c r="M1640" s="131"/>
      <c r="N1640" s="131"/>
    </row>
    <row r="1641" spans="1:14" hidden="1">
      <c r="A1641" s="100" t="s">
        <v>862</v>
      </c>
      <c r="B1641" s="101" t="s">
        <v>2791</v>
      </c>
      <c r="C1641" s="99" t="s">
        <v>2792</v>
      </c>
      <c r="D1641" s="38"/>
      <c r="E1641" s="42">
        <v>1</v>
      </c>
      <c r="F1641" s="9"/>
      <c r="G1641" s="8">
        <f t="shared" si="60"/>
        <v>5.7329999999999997</v>
      </c>
      <c r="H1641" s="188">
        <v>5.46</v>
      </c>
      <c r="I1641" s="19">
        <f t="shared" si="61"/>
        <v>0</v>
      </c>
      <c r="L1641" s="131"/>
      <c r="M1641" s="131"/>
      <c r="N1641" s="131"/>
    </row>
    <row r="1642" spans="1:14" hidden="1">
      <c r="A1642" s="100" t="s">
        <v>862</v>
      </c>
      <c r="B1642" s="101" t="s">
        <v>2793</v>
      </c>
      <c r="C1642" s="99" t="s">
        <v>2794</v>
      </c>
      <c r="D1642" s="38"/>
      <c r="E1642" s="42">
        <v>1</v>
      </c>
      <c r="F1642" s="9"/>
      <c r="G1642" s="8">
        <f t="shared" si="60"/>
        <v>1.5455999999999999</v>
      </c>
      <c r="H1642" s="188">
        <v>1.472</v>
      </c>
      <c r="I1642" s="19">
        <f t="shared" si="61"/>
        <v>0</v>
      </c>
      <c r="L1642" s="131"/>
      <c r="M1642" s="131"/>
      <c r="N1642" s="131"/>
    </row>
    <row r="1643" spans="1:14" hidden="1">
      <c r="A1643" s="100" t="s">
        <v>862</v>
      </c>
      <c r="B1643" s="101" t="s">
        <v>2795</v>
      </c>
      <c r="C1643" s="99" t="s">
        <v>2796</v>
      </c>
      <c r="D1643" s="38"/>
      <c r="E1643" s="42">
        <v>1</v>
      </c>
      <c r="F1643" s="9"/>
      <c r="G1643" s="8">
        <f t="shared" si="60"/>
        <v>0.44362499999999999</v>
      </c>
      <c r="H1643" s="188">
        <v>0.42249999999999999</v>
      </c>
      <c r="I1643" s="19">
        <f t="shared" si="61"/>
        <v>0</v>
      </c>
      <c r="L1643" s="131"/>
      <c r="M1643" s="131"/>
      <c r="N1643" s="131"/>
    </row>
    <row r="1644" spans="1:14" hidden="1">
      <c r="A1644" s="100" t="s">
        <v>862</v>
      </c>
      <c r="B1644" s="101" t="s">
        <v>2797</v>
      </c>
      <c r="C1644" s="99" t="s">
        <v>2798</v>
      </c>
      <c r="D1644" s="38"/>
      <c r="E1644" s="42">
        <v>1</v>
      </c>
      <c r="F1644" s="9"/>
      <c r="G1644" s="8">
        <f t="shared" si="60"/>
        <v>9.9477000000000011</v>
      </c>
      <c r="H1644" s="188">
        <v>9.4740000000000002</v>
      </c>
      <c r="I1644" s="19">
        <f t="shared" si="61"/>
        <v>0</v>
      </c>
      <c r="L1644" s="131"/>
      <c r="M1644" s="131"/>
      <c r="N1644" s="131"/>
    </row>
    <row r="1645" spans="1:14" hidden="1">
      <c r="A1645" s="100" t="s">
        <v>862</v>
      </c>
      <c r="B1645" s="101" t="s">
        <v>2799</v>
      </c>
      <c r="C1645" s="99" t="s">
        <v>2800</v>
      </c>
      <c r="D1645" s="38"/>
      <c r="E1645" s="42">
        <v>1</v>
      </c>
      <c r="F1645" s="9"/>
      <c r="G1645" s="8">
        <f t="shared" si="60"/>
        <v>1.378125</v>
      </c>
      <c r="H1645" s="188">
        <v>1.3125</v>
      </c>
      <c r="I1645" s="19">
        <f t="shared" si="61"/>
        <v>0</v>
      </c>
      <c r="L1645" s="131"/>
      <c r="M1645" s="131"/>
      <c r="N1645" s="131"/>
    </row>
    <row r="1646" spans="1:14" hidden="1">
      <c r="A1646" s="100" t="s">
        <v>862</v>
      </c>
      <c r="B1646" s="101" t="s">
        <v>2801</v>
      </c>
      <c r="C1646" s="99" t="s">
        <v>2802</v>
      </c>
      <c r="D1646" s="38"/>
      <c r="E1646" s="42">
        <v>1</v>
      </c>
      <c r="F1646" s="9"/>
      <c r="G1646" s="8">
        <f t="shared" si="60"/>
        <v>1.082025</v>
      </c>
      <c r="H1646" s="188">
        <v>1.0305</v>
      </c>
      <c r="I1646" s="19">
        <f t="shared" si="61"/>
        <v>0</v>
      </c>
      <c r="L1646" s="131"/>
      <c r="M1646" s="131"/>
      <c r="N1646" s="131"/>
    </row>
    <row r="1647" spans="1:14" hidden="1">
      <c r="A1647" s="100" t="s">
        <v>862</v>
      </c>
      <c r="B1647" s="101" t="s">
        <v>2803</v>
      </c>
      <c r="C1647" s="99" t="s">
        <v>2804</v>
      </c>
      <c r="D1647" s="38"/>
      <c r="E1647" s="42">
        <v>1</v>
      </c>
      <c r="F1647" s="9"/>
      <c r="G1647" s="8">
        <f t="shared" si="60"/>
        <v>3.0633750000000002</v>
      </c>
      <c r="H1647" s="188">
        <v>2.9175</v>
      </c>
      <c r="I1647" s="19">
        <f t="shared" si="61"/>
        <v>0</v>
      </c>
      <c r="L1647" s="131"/>
      <c r="M1647" s="131"/>
      <c r="N1647" s="131"/>
    </row>
    <row r="1648" spans="1:14" hidden="1">
      <c r="A1648" s="100" t="s">
        <v>862</v>
      </c>
      <c r="B1648" s="101" t="s">
        <v>2805</v>
      </c>
      <c r="C1648" s="99" t="s">
        <v>2806</v>
      </c>
      <c r="D1648" s="38"/>
      <c r="E1648" s="42">
        <v>1</v>
      </c>
      <c r="F1648" s="9"/>
      <c r="G1648" s="8">
        <f t="shared" si="60"/>
        <v>0.56227499999999997</v>
      </c>
      <c r="H1648" s="188">
        <v>0.53549999999999998</v>
      </c>
      <c r="I1648" s="19">
        <f t="shared" si="61"/>
        <v>0</v>
      </c>
      <c r="L1648" s="131"/>
      <c r="M1648" s="131"/>
      <c r="N1648" s="131"/>
    </row>
    <row r="1649" spans="1:14" hidden="1">
      <c r="A1649" s="100" t="s">
        <v>862</v>
      </c>
      <c r="B1649" s="101" t="s">
        <v>2807</v>
      </c>
      <c r="C1649" s="99" t="s">
        <v>2808</v>
      </c>
      <c r="D1649" s="38"/>
      <c r="E1649" s="42">
        <v>1</v>
      </c>
      <c r="F1649" s="9"/>
      <c r="G1649" s="8">
        <f t="shared" si="60"/>
        <v>10.389749999999999</v>
      </c>
      <c r="H1649" s="188">
        <v>9.8949999999999996</v>
      </c>
      <c r="I1649" s="19">
        <f t="shared" si="61"/>
        <v>0</v>
      </c>
      <c r="L1649" s="131"/>
      <c r="M1649" s="131"/>
      <c r="N1649" s="131"/>
    </row>
    <row r="1650" spans="1:14" hidden="1">
      <c r="A1650" s="100" t="s">
        <v>862</v>
      </c>
      <c r="B1650" s="101" t="s">
        <v>2809</v>
      </c>
      <c r="C1650" s="99" t="s">
        <v>2810</v>
      </c>
      <c r="D1650" s="38"/>
      <c r="E1650" s="42">
        <v>1</v>
      </c>
      <c r="F1650" s="9"/>
      <c r="G1650" s="8">
        <f t="shared" si="60"/>
        <v>10.389749999999999</v>
      </c>
      <c r="H1650" s="188">
        <v>9.8949999999999996</v>
      </c>
      <c r="I1650" s="19">
        <f t="shared" si="61"/>
        <v>0</v>
      </c>
      <c r="L1650" s="131"/>
      <c r="M1650" s="131"/>
      <c r="N1650" s="131"/>
    </row>
    <row r="1651" spans="1:14" hidden="1">
      <c r="A1651" s="100" t="s">
        <v>862</v>
      </c>
      <c r="B1651" s="101" t="s">
        <v>2811</v>
      </c>
      <c r="C1651" s="99" t="s">
        <v>2812</v>
      </c>
      <c r="D1651" s="38"/>
      <c r="E1651" s="42">
        <v>1</v>
      </c>
      <c r="F1651" s="9"/>
      <c r="G1651" s="8">
        <f t="shared" si="60"/>
        <v>4.79115</v>
      </c>
      <c r="H1651" s="188">
        <v>4.5629999999999997</v>
      </c>
      <c r="I1651" s="19">
        <f t="shared" si="61"/>
        <v>0</v>
      </c>
      <c r="L1651" s="131"/>
      <c r="M1651" s="131"/>
      <c r="N1651" s="131"/>
    </row>
    <row r="1652" spans="1:14" hidden="1">
      <c r="A1652" s="100" t="s">
        <v>862</v>
      </c>
      <c r="B1652" s="101" t="s">
        <v>2813</v>
      </c>
      <c r="C1652" s="99" t="s">
        <v>2814</v>
      </c>
      <c r="D1652" s="38"/>
      <c r="E1652" s="42">
        <v>1</v>
      </c>
      <c r="F1652" s="9"/>
      <c r="G1652" s="8">
        <f t="shared" si="60"/>
        <v>2.9011499999999999</v>
      </c>
      <c r="H1652" s="188">
        <v>2.7629999999999999</v>
      </c>
      <c r="I1652" s="19">
        <f t="shared" si="61"/>
        <v>0</v>
      </c>
      <c r="L1652" s="131"/>
      <c r="M1652" s="131"/>
      <c r="N1652" s="131"/>
    </row>
    <row r="1653" spans="1:14" hidden="1">
      <c r="A1653" s="100" t="s">
        <v>862</v>
      </c>
      <c r="B1653" s="101" t="s">
        <v>2815</v>
      </c>
      <c r="C1653" s="99" t="s">
        <v>2816</v>
      </c>
      <c r="D1653" s="38"/>
      <c r="E1653" s="42">
        <v>1</v>
      </c>
      <c r="F1653" s="9"/>
      <c r="G1653" s="8">
        <f t="shared" si="60"/>
        <v>8.0036249999999995</v>
      </c>
      <c r="H1653" s="188">
        <v>7.6224999999999996</v>
      </c>
      <c r="I1653" s="19">
        <f t="shared" si="61"/>
        <v>0</v>
      </c>
      <c r="L1653" s="131"/>
      <c r="M1653" s="131"/>
      <c r="N1653" s="131"/>
    </row>
    <row r="1654" spans="1:14" hidden="1">
      <c r="A1654" s="100" t="s">
        <v>862</v>
      </c>
      <c r="B1654" s="101" t="s">
        <v>2817</v>
      </c>
      <c r="C1654" s="99" t="s">
        <v>2818</v>
      </c>
      <c r="D1654" s="38"/>
      <c r="E1654" s="42">
        <v>1</v>
      </c>
      <c r="F1654" s="9"/>
      <c r="G1654" s="8">
        <f t="shared" si="60"/>
        <v>1.1733749999999998</v>
      </c>
      <c r="H1654" s="188">
        <v>1.1174999999999999</v>
      </c>
      <c r="I1654" s="19">
        <f t="shared" si="61"/>
        <v>0</v>
      </c>
      <c r="L1654" s="131"/>
      <c r="M1654" s="131"/>
      <c r="N1654" s="131"/>
    </row>
    <row r="1655" spans="1:14" hidden="1">
      <c r="A1655" s="100" t="s">
        <v>862</v>
      </c>
      <c r="B1655" s="101" t="s">
        <v>2819</v>
      </c>
      <c r="C1655" s="99" t="s">
        <v>2820</v>
      </c>
      <c r="D1655" s="38"/>
      <c r="E1655" s="42">
        <v>1</v>
      </c>
      <c r="F1655" s="9"/>
      <c r="G1655" s="8">
        <f t="shared" si="60"/>
        <v>1.1733749999999998</v>
      </c>
      <c r="H1655" s="188">
        <v>1.1174999999999999</v>
      </c>
      <c r="I1655" s="19">
        <f t="shared" si="61"/>
        <v>0</v>
      </c>
      <c r="L1655" s="131"/>
      <c r="M1655" s="131"/>
      <c r="N1655" s="131"/>
    </row>
    <row r="1656" spans="1:14" hidden="1">
      <c r="A1656" s="100" t="s">
        <v>862</v>
      </c>
      <c r="B1656" s="101" t="s">
        <v>2821</v>
      </c>
      <c r="C1656" s="99" t="s">
        <v>2822</v>
      </c>
      <c r="D1656" s="38"/>
      <c r="E1656" s="42">
        <v>1</v>
      </c>
      <c r="F1656" s="9"/>
      <c r="G1656" s="8">
        <f t="shared" si="60"/>
        <v>1.6248750000000001</v>
      </c>
      <c r="H1656" s="188">
        <v>1.5475000000000001</v>
      </c>
      <c r="I1656" s="19">
        <f t="shared" si="61"/>
        <v>0</v>
      </c>
      <c r="L1656" s="131"/>
      <c r="M1656" s="131"/>
      <c r="N1656" s="131"/>
    </row>
    <row r="1657" spans="1:14" hidden="1">
      <c r="A1657" s="100" t="s">
        <v>862</v>
      </c>
      <c r="B1657" s="101" t="s">
        <v>2823</v>
      </c>
      <c r="C1657" s="99" t="s">
        <v>2824</v>
      </c>
      <c r="D1657" s="38"/>
      <c r="E1657" s="42">
        <v>1</v>
      </c>
      <c r="F1657" s="9"/>
      <c r="G1657" s="8">
        <f t="shared" si="60"/>
        <v>1.6248750000000001</v>
      </c>
      <c r="H1657" s="188">
        <v>1.5475000000000001</v>
      </c>
      <c r="I1657" s="19">
        <f t="shared" si="61"/>
        <v>0</v>
      </c>
      <c r="L1657" s="131"/>
      <c r="M1657" s="131"/>
      <c r="N1657" s="131"/>
    </row>
    <row r="1658" spans="1:14" hidden="1">
      <c r="A1658" s="100" t="s">
        <v>862</v>
      </c>
      <c r="B1658" s="101" t="s">
        <v>2825</v>
      </c>
      <c r="C1658" s="99" t="s">
        <v>2826</v>
      </c>
      <c r="D1658" s="38"/>
      <c r="E1658" s="42">
        <v>1</v>
      </c>
      <c r="F1658" s="9"/>
      <c r="G1658" s="8">
        <f t="shared" si="60"/>
        <v>2.5793250000000003</v>
      </c>
      <c r="H1658" s="188">
        <v>2.4565000000000001</v>
      </c>
      <c r="I1658" s="19">
        <f t="shared" si="61"/>
        <v>0</v>
      </c>
      <c r="L1658" s="131"/>
      <c r="M1658" s="131"/>
      <c r="N1658" s="131"/>
    </row>
    <row r="1659" spans="1:14" hidden="1">
      <c r="A1659" s="100" t="s">
        <v>862</v>
      </c>
      <c r="B1659" s="101" t="s">
        <v>2827</v>
      </c>
      <c r="C1659" s="99" t="s">
        <v>2828</v>
      </c>
      <c r="D1659" s="38"/>
      <c r="E1659" s="42">
        <v>1</v>
      </c>
      <c r="F1659" s="9"/>
      <c r="G1659" s="8">
        <f t="shared" si="60"/>
        <v>2.5688249999999999</v>
      </c>
      <c r="H1659" s="188">
        <v>2.4464999999999999</v>
      </c>
      <c r="I1659" s="19">
        <f t="shared" si="61"/>
        <v>0</v>
      </c>
      <c r="L1659" s="131"/>
      <c r="M1659" s="131"/>
      <c r="N1659" s="131"/>
    </row>
    <row r="1660" spans="1:14" hidden="1">
      <c r="A1660" s="100" t="s">
        <v>862</v>
      </c>
      <c r="B1660" s="101" t="s">
        <v>2829</v>
      </c>
      <c r="C1660" s="99" t="s">
        <v>2830</v>
      </c>
      <c r="D1660" s="38"/>
      <c r="E1660" s="42">
        <v>1</v>
      </c>
      <c r="F1660" s="9"/>
      <c r="G1660" s="8">
        <f t="shared" si="60"/>
        <v>1.036875</v>
      </c>
      <c r="H1660" s="188">
        <v>0.98750000000000004</v>
      </c>
      <c r="I1660" s="19">
        <f t="shared" si="61"/>
        <v>0</v>
      </c>
      <c r="L1660" s="131"/>
      <c r="M1660" s="131"/>
      <c r="N1660" s="131"/>
    </row>
    <row r="1661" spans="1:14" hidden="1">
      <c r="A1661" s="100" t="s">
        <v>862</v>
      </c>
      <c r="B1661" s="101" t="s">
        <v>2831</v>
      </c>
      <c r="C1661" s="99" t="s">
        <v>2832</v>
      </c>
      <c r="D1661" s="38"/>
      <c r="E1661" s="42">
        <v>1</v>
      </c>
      <c r="F1661" s="9"/>
      <c r="G1661" s="8">
        <f t="shared" si="60"/>
        <v>1.036875</v>
      </c>
      <c r="H1661" s="188">
        <v>0.98750000000000004</v>
      </c>
      <c r="I1661" s="19">
        <f t="shared" si="61"/>
        <v>0</v>
      </c>
      <c r="L1661" s="131"/>
      <c r="M1661" s="131"/>
      <c r="N1661" s="131"/>
    </row>
    <row r="1662" spans="1:14" hidden="1">
      <c r="A1662" s="100" t="s">
        <v>862</v>
      </c>
      <c r="B1662" s="101" t="s">
        <v>2833</v>
      </c>
      <c r="C1662" s="99" t="s">
        <v>2834</v>
      </c>
      <c r="D1662" s="38"/>
      <c r="E1662" s="42">
        <v>1</v>
      </c>
      <c r="F1662" s="9"/>
      <c r="G1662" s="8">
        <f t="shared" si="60"/>
        <v>1.40595</v>
      </c>
      <c r="H1662" s="188">
        <v>1.339</v>
      </c>
      <c r="I1662" s="19">
        <f t="shared" si="61"/>
        <v>0</v>
      </c>
      <c r="L1662" s="131"/>
      <c r="M1662" s="131"/>
      <c r="N1662" s="131"/>
    </row>
    <row r="1663" spans="1:14" hidden="1">
      <c r="A1663" s="100" t="s">
        <v>862</v>
      </c>
      <c r="B1663" s="101" t="s">
        <v>2835</v>
      </c>
      <c r="C1663" s="99" t="s">
        <v>2836</v>
      </c>
      <c r="D1663" s="38"/>
      <c r="E1663" s="42">
        <v>1</v>
      </c>
      <c r="F1663" s="9"/>
      <c r="G1663" s="8">
        <f t="shared" si="60"/>
        <v>1.40595</v>
      </c>
      <c r="H1663" s="188">
        <v>1.339</v>
      </c>
      <c r="I1663" s="19">
        <f t="shared" si="61"/>
        <v>0</v>
      </c>
      <c r="L1663" s="131"/>
      <c r="M1663" s="131"/>
      <c r="N1663" s="131"/>
    </row>
    <row r="1664" spans="1:14" hidden="1">
      <c r="A1664" s="100" t="s">
        <v>862</v>
      </c>
      <c r="B1664" s="101" t="s">
        <v>2837</v>
      </c>
      <c r="C1664" s="99" t="s">
        <v>2838</v>
      </c>
      <c r="D1664" s="38"/>
      <c r="E1664" s="42">
        <v>1</v>
      </c>
      <c r="F1664" s="9"/>
      <c r="G1664" s="8">
        <f t="shared" si="60"/>
        <v>6.9525750000000004</v>
      </c>
      <c r="H1664" s="188">
        <v>6.6215000000000002</v>
      </c>
      <c r="I1664" s="19">
        <f t="shared" si="61"/>
        <v>0</v>
      </c>
      <c r="L1664" s="131"/>
      <c r="M1664" s="131"/>
      <c r="N1664" s="131"/>
    </row>
    <row r="1665" spans="1:14" hidden="1">
      <c r="A1665" s="100" t="s">
        <v>862</v>
      </c>
      <c r="B1665" s="101" t="s">
        <v>2839</v>
      </c>
      <c r="C1665" s="99" t="s">
        <v>2840</v>
      </c>
      <c r="D1665" s="38"/>
      <c r="E1665" s="42">
        <v>1</v>
      </c>
      <c r="F1665" s="9"/>
      <c r="G1665" s="8">
        <f t="shared" si="60"/>
        <v>6.9525750000000004</v>
      </c>
      <c r="H1665" s="188">
        <v>6.6215000000000002</v>
      </c>
      <c r="I1665" s="19">
        <f t="shared" si="61"/>
        <v>0</v>
      </c>
      <c r="L1665" s="131"/>
      <c r="M1665" s="131"/>
      <c r="N1665" s="131"/>
    </row>
    <row r="1666" spans="1:14" hidden="1">
      <c r="A1666" s="100" t="s">
        <v>862</v>
      </c>
      <c r="B1666" s="101" t="s">
        <v>2841</v>
      </c>
      <c r="C1666" s="99" t="s">
        <v>2842</v>
      </c>
      <c r="D1666" s="38"/>
      <c r="E1666" s="42">
        <v>1</v>
      </c>
      <c r="F1666" s="9"/>
      <c r="G1666" s="8">
        <f t="shared" si="60"/>
        <v>1.62225</v>
      </c>
      <c r="H1666" s="188">
        <v>1.5449999999999999</v>
      </c>
      <c r="I1666" s="19">
        <f t="shared" si="61"/>
        <v>0</v>
      </c>
      <c r="L1666" s="131"/>
      <c r="M1666" s="131"/>
      <c r="N1666" s="131"/>
    </row>
    <row r="1667" spans="1:14" hidden="1">
      <c r="A1667" s="100" t="s">
        <v>862</v>
      </c>
      <c r="B1667" s="101" t="s">
        <v>2843</v>
      </c>
      <c r="C1667" s="99" t="s">
        <v>2844</v>
      </c>
      <c r="D1667" s="38"/>
      <c r="E1667" s="42">
        <v>1</v>
      </c>
      <c r="F1667" s="9"/>
      <c r="G1667" s="8">
        <f t="shared" si="60"/>
        <v>2.1803249999999998</v>
      </c>
      <c r="H1667" s="188">
        <v>2.0764999999999998</v>
      </c>
      <c r="I1667" s="19">
        <f t="shared" si="61"/>
        <v>0</v>
      </c>
      <c r="L1667" s="131"/>
      <c r="M1667" s="131"/>
      <c r="N1667" s="131"/>
    </row>
    <row r="1668" spans="1:14" hidden="1">
      <c r="A1668" s="100" t="s">
        <v>862</v>
      </c>
      <c r="B1668" s="101" t="s">
        <v>2845</v>
      </c>
      <c r="C1668" s="99" t="s">
        <v>2846</v>
      </c>
      <c r="D1668" s="38"/>
      <c r="E1668" s="42">
        <v>1</v>
      </c>
      <c r="F1668" s="9"/>
      <c r="G1668" s="8">
        <f t="shared" si="60"/>
        <v>1.3571249999999999</v>
      </c>
      <c r="H1668" s="188">
        <v>1.2925</v>
      </c>
      <c r="I1668" s="19">
        <f t="shared" si="61"/>
        <v>0</v>
      </c>
      <c r="L1668" s="131"/>
      <c r="M1668" s="131"/>
      <c r="N1668" s="131"/>
    </row>
    <row r="1669" spans="1:14" hidden="1">
      <c r="A1669" s="100" t="s">
        <v>862</v>
      </c>
      <c r="B1669" s="101" t="s">
        <v>2847</v>
      </c>
      <c r="C1669" s="99" t="s">
        <v>2848</v>
      </c>
      <c r="D1669" s="38"/>
      <c r="E1669" s="42">
        <v>1</v>
      </c>
      <c r="F1669" s="9"/>
      <c r="G1669" s="8">
        <f t="shared" si="60"/>
        <v>2.1944999999999997</v>
      </c>
      <c r="H1669" s="188">
        <v>2.09</v>
      </c>
      <c r="I1669" s="19">
        <f t="shared" si="61"/>
        <v>0</v>
      </c>
      <c r="L1669" s="131"/>
      <c r="M1669" s="131"/>
      <c r="N1669" s="131"/>
    </row>
    <row r="1670" spans="1:14" hidden="1">
      <c r="A1670" s="100" t="s">
        <v>862</v>
      </c>
      <c r="B1670" s="101" t="s">
        <v>2849</v>
      </c>
      <c r="C1670" s="99" t="s">
        <v>2850</v>
      </c>
      <c r="D1670" s="38"/>
      <c r="E1670" s="42">
        <v>1</v>
      </c>
      <c r="F1670" s="9"/>
      <c r="G1670" s="8">
        <f t="shared" si="60"/>
        <v>1.5697500000000002</v>
      </c>
      <c r="H1670" s="188">
        <v>1.4950000000000001</v>
      </c>
      <c r="I1670" s="19">
        <f t="shared" si="61"/>
        <v>0</v>
      </c>
      <c r="L1670" s="131"/>
      <c r="M1670" s="131"/>
      <c r="N1670" s="131"/>
    </row>
    <row r="1671" spans="1:14" hidden="1">
      <c r="A1671" s="100" t="s">
        <v>862</v>
      </c>
      <c r="B1671" s="101" t="s">
        <v>2851</v>
      </c>
      <c r="C1671" s="99" t="s">
        <v>2852</v>
      </c>
      <c r="D1671" s="38"/>
      <c r="E1671" s="42">
        <v>1</v>
      </c>
      <c r="F1671" s="9"/>
      <c r="G1671" s="8">
        <f t="shared" si="60"/>
        <v>2.3257499999999998</v>
      </c>
      <c r="H1671" s="188">
        <v>2.2149999999999999</v>
      </c>
      <c r="I1671" s="19">
        <f t="shared" si="61"/>
        <v>0</v>
      </c>
      <c r="L1671" s="131"/>
      <c r="M1671" s="131"/>
      <c r="N1671" s="131"/>
    </row>
    <row r="1672" spans="1:14" hidden="1">
      <c r="A1672" s="100" t="s">
        <v>862</v>
      </c>
      <c r="B1672" s="101" t="s">
        <v>2853</v>
      </c>
      <c r="C1672" s="99" t="s">
        <v>2854</v>
      </c>
      <c r="D1672" s="38"/>
      <c r="E1672" s="42">
        <v>1</v>
      </c>
      <c r="F1672" s="9"/>
      <c r="G1672" s="8">
        <f t="shared" si="60"/>
        <v>5.7592500000000006</v>
      </c>
      <c r="H1672" s="188">
        <v>5.4850000000000003</v>
      </c>
      <c r="I1672" s="19">
        <f t="shared" si="61"/>
        <v>0</v>
      </c>
      <c r="L1672" s="131"/>
      <c r="M1672" s="131"/>
      <c r="N1672" s="131"/>
    </row>
    <row r="1673" spans="1:14" hidden="1">
      <c r="A1673" s="100" t="s">
        <v>862</v>
      </c>
      <c r="B1673" s="101" t="s">
        <v>2855</v>
      </c>
      <c r="C1673" s="99" t="s">
        <v>2856</v>
      </c>
      <c r="D1673" s="38"/>
      <c r="E1673" s="42">
        <v>1</v>
      </c>
      <c r="F1673" s="9"/>
      <c r="G1673" s="8">
        <f t="shared" si="60"/>
        <v>9.1008750000000003</v>
      </c>
      <c r="H1673" s="188">
        <v>8.6675000000000004</v>
      </c>
      <c r="I1673" s="19">
        <f t="shared" si="61"/>
        <v>0</v>
      </c>
      <c r="L1673" s="131"/>
      <c r="M1673" s="131"/>
      <c r="N1673" s="131"/>
    </row>
    <row r="1674" spans="1:14" hidden="1">
      <c r="A1674" s="100" t="s">
        <v>862</v>
      </c>
      <c r="B1674" s="101" t="s">
        <v>2857</v>
      </c>
      <c r="C1674" s="99" t="s">
        <v>2858</v>
      </c>
      <c r="D1674" s="38"/>
      <c r="E1674" s="42">
        <v>1</v>
      </c>
      <c r="F1674" s="9"/>
      <c r="G1674" s="8">
        <f t="shared" si="60"/>
        <v>5.1870000000000003</v>
      </c>
      <c r="H1674" s="188">
        <v>4.9400000000000004</v>
      </c>
      <c r="I1674" s="19">
        <f t="shared" si="61"/>
        <v>0</v>
      </c>
      <c r="L1674" s="131"/>
      <c r="M1674" s="131"/>
      <c r="N1674" s="131"/>
    </row>
    <row r="1675" spans="1:14" hidden="1">
      <c r="A1675" s="100" t="s">
        <v>862</v>
      </c>
      <c r="B1675" s="101" t="s">
        <v>2859</v>
      </c>
      <c r="C1675" s="99" t="s">
        <v>2860</v>
      </c>
      <c r="D1675" s="38"/>
      <c r="E1675" s="42">
        <v>1</v>
      </c>
      <c r="F1675" s="9"/>
      <c r="G1675" s="8">
        <f t="shared" si="60"/>
        <v>7.7542499999999999</v>
      </c>
      <c r="H1675" s="188">
        <v>7.3849999999999998</v>
      </c>
      <c r="I1675" s="19">
        <f t="shared" si="61"/>
        <v>0</v>
      </c>
      <c r="L1675" s="131"/>
      <c r="M1675" s="131"/>
      <c r="N1675" s="131"/>
    </row>
    <row r="1676" spans="1:14" hidden="1">
      <c r="A1676" s="100" t="s">
        <v>862</v>
      </c>
      <c r="B1676" s="101" t="s">
        <v>2861</v>
      </c>
      <c r="C1676" s="99" t="s">
        <v>2862</v>
      </c>
      <c r="D1676" s="38"/>
      <c r="E1676" s="42">
        <v>1</v>
      </c>
      <c r="F1676" s="9"/>
      <c r="G1676" s="8">
        <f t="shared" si="60"/>
        <v>4.2131249999999998</v>
      </c>
      <c r="H1676" s="188">
        <v>4.0125000000000002</v>
      </c>
      <c r="I1676" s="19">
        <f t="shared" si="61"/>
        <v>0</v>
      </c>
      <c r="L1676" s="131"/>
      <c r="M1676" s="131"/>
      <c r="N1676" s="131"/>
    </row>
    <row r="1677" spans="1:14" hidden="1">
      <c r="A1677" s="100" t="s">
        <v>862</v>
      </c>
      <c r="B1677" s="101" t="s">
        <v>2863</v>
      </c>
      <c r="C1677" s="99" t="s">
        <v>2864</v>
      </c>
      <c r="D1677" s="38"/>
      <c r="E1677" s="42">
        <v>1</v>
      </c>
      <c r="F1677" s="9"/>
      <c r="G1677" s="8">
        <f t="shared" si="60"/>
        <v>6.2779499999999997</v>
      </c>
      <c r="H1677" s="188">
        <v>5.9790000000000001</v>
      </c>
      <c r="I1677" s="19">
        <f t="shared" si="61"/>
        <v>0</v>
      </c>
      <c r="L1677" s="131"/>
      <c r="M1677" s="131"/>
      <c r="N1677" s="131"/>
    </row>
    <row r="1678" spans="1:14" hidden="1">
      <c r="A1678" s="100" t="s">
        <v>862</v>
      </c>
      <c r="B1678" s="101" t="s">
        <v>2865</v>
      </c>
      <c r="C1678" s="99" t="s">
        <v>2866</v>
      </c>
      <c r="D1678" s="38"/>
      <c r="E1678" s="42">
        <v>1</v>
      </c>
      <c r="F1678" s="9"/>
      <c r="G1678" s="8">
        <f t="shared" si="60"/>
        <v>6.1792499999999997</v>
      </c>
      <c r="H1678" s="188">
        <v>5.8849999999999998</v>
      </c>
      <c r="I1678" s="19">
        <f t="shared" si="61"/>
        <v>0</v>
      </c>
      <c r="L1678" s="131"/>
      <c r="M1678" s="131"/>
      <c r="N1678" s="131"/>
    </row>
    <row r="1679" spans="1:14" hidden="1">
      <c r="A1679" s="100" t="s">
        <v>862</v>
      </c>
      <c r="B1679" s="101" t="s">
        <v>2867</v>
      </c>
      <c r="C1679" s="99" t="s">
        <v>2868</v>
      </c>
      <c r="D1679" s="38"/>
      <c r="E1679" s="42">
        <v>1</v>
      </c>
      <c r="F1679" s="9"/>
      <c r="G1679" s="8">
        <f t="shared" si="60"/>
        <v>6.1792499999999997</v>
      </c>
      <c r="H1679" s="188">
        <v>5.8849999999999998</v>
      </c>
      <c r="I1679" s="19">
        <f t="shared" si="61"/>
        <v>0</v>
      </c>
      <c r="L1679" s="131"/>
      <c r="M1679" s="131"/>
      <c r="N1679" s="131"/>
    </row>
    <row r="1680" spans="1:14" hidden="1">
      <c r="A1680" s="100" t="s">
        <v>862</v>
      </c>
      <c r="B1680" s="101" t="s">
        <v>2869</v>
      </c>
      <c r="C1680" s="99" t="s">
        <v>2870</v>
      </c>
      <c r="D1680" s="38"/>
      <c r="E1680" s="42">
        <v>1</v>
      </c>
      <c r="F1680" s="9"/>
      <c r="G1680" s="8">
        <f t="shared" si="60"/>
        <v>11.823</v>
      </c>
      <c r="H1680" s="188">
        <v>11.26</v>
      </c>
      <c r="I1680" s="19">
        <f t="shared" si="61"/>
        <v>0</v>
      </c>
      <c r="L1680" s="131"/>
      <c r="M1680" s="131"/>
      <c r="N1680" s="131"/>
    </row>
    <row r="1681" spans="1:14" hidden="1">
      <c r="A1681" s="100" t="s">
        <v>862</v>
      </c>
      <c r="B1681" s="101" t="s">
        <v>2871</v>
      </c>
      <c r="C1681" s="99" t="s">
        <v>2872</v>
      </c>
      <c r="D1681" s="38"/>
      <c r="E1681" s="42">
        <v>1</v>
      </c>
      <c r="F1681" s="9"/>
      <c r="G1681" s="8">
        <f t="shared" si="60"/>
        <v>11.823</v>
      </c>
      <c r="H1681" s="188">
        <v>11.26</v>
      </c>
      <c r="I1681" s="19">
        <f t="shared" si="61"/>
        <v>0</v>
      </c>
      <c r="L1681" s="131"/>
      <c r="M1681" s="131"/>
      <c r="N1681" s="131"/>
    </row>
    <row r="1682" spans="1:14" hidden="1">
      <c r="A1682" s="100" t="s">
        <v>862</v>
      </c>
      <c r="B1682" s="101" t="s">
        <v>2873</v>
      </c>
      <c r="C1682" s="99" t="s">
        <v>2874</v>
      </c>
      <c r="D1682" s="38"/>
      <c r="E1682" s="42">
        <v>1</v>
      </c>
      <c r="F1682" s="9"/>
      <c r="G1682" s="8">
        <f t="shared" si="60"/>
        <v>1.06575</v>
      </c>
      <c r="H1682" s="188">
        <v>1.0149999999999999</v>
      </c>
      <c r="I1682" s="19">
        <f t="shared" si="61"/>
        <v>0</v>
      </c>
      <c r="L1682" s="131"/>
      <c r="M1682" s="131"/>
      <c r="N1682" s="131"/>
    </row>
    <row r="1683" spans="1:14" hidden="1">
      <c r="A1683" s="100" t="s">
        <v>862</v>
      </c>
      <c r="B1683" s="97" t="s">
        <v>2875</v>
      </c>
      <c r="C1683" s="98" t="s">
        <v>2876</v>
      </c>
      <c r="D1683" s="38"/>
      <c r="E1683" s="42">
        <v>1</v>
      </c>
      <c r="F1683" s="9"/>
      <c r="G1683" s="8">
        <f t="shared" si="60"/>
        <v>1.06575</v>
      </c>
      <c r="H1683" s="188">
        <v>1.0149999999999999</v>
      </c>
      <c r="I1683" s="19">
        <f t="shared" si="61"/>
        <v>0</v>
      </c>
      <c r="L1683" s="131"/>
      <c r="M1683" s="131"/>
      <c r="N1683" s="131"/>
    </row>
    <row r="1684" spans="1:14" hidden="1">
      <c r="A1684" s="100" t="s">
        <v>862</v>
      </c>
      <c r="B1684" s="101" t="s">
        <v>2877</v>
      </c>
      <c r="C1684" s="99" t="s">
        <v>2878</v>
      </c>
      <c r="D1684" s="38" t="s">
        <v>992</v>
      </c>
      <c r="E1684" s="42">
        <v>1</v>
      </c>
      <c r="F1684" s="9"/>
      <c r="G1684" s="8">
        <f t="shared" si="60"/>
        <v>462.63</v>
      </c>
      <c r="H1684" s="188">
        <v>440.6</v>
      </c>
      <c r="I1684" s="19">
        <f t="shared" si="61"/>
        <v>0</v>
      </c>
      <c r="L1684" s="131"/>
      <c r="M1684" s="131"/>
      <c r="N1684" s="131"/>
    </row>
    <row r="1685" spans="1:14" hidden="1">
      <c r="A1685" s="100" t="s">
        <v>862</v>
      </c>
      <c r="B1685" s="101" t="s">
        <v>2879</v>
      </c>
      <c r="C1685" s="99" t="s">
        <v>2880</v>
      </c>
      <c r="D1685" s="38" t="s">
        <v>992</v>
      </c>
      <c r="E1685" s="42">
        <v>1</v>
      </c>
      <c r="F1685" s="9"/>
      <c r="G1685" s="8">
        <f t="shared" si="60"/>
        <v>462.63</v>
      </c>
      <c r="H1685" s="188">
        <v>440.6</v>
      </c>
      <c r="I1685" s="19">
        <f t="shared" si="61"/>
        <v>0</v>
      </c>
      <c r="L1685" s="131"/>
      <c r="M1685" s="131"/>
      <c r="N1685" s="131"/>
    </row>
    <row r="1686" spans="1:14" hidden="1">
      <c r="A1686" s="100" t="s">
        <v>862</v>
      </c>
      <c r="B1686" s="101" t="s">
        <v>2881</v>
      </c>
      <c r="C1686" s="99" t="s">
        <v>2882</v>
      </c>
      <c r="D1686" s="38"/>
      <c r="E1686" s="42">
        <v>1</v>
      </c>
      <c r="F1686" s="9"/>
      <c r="G1686" s="8">
        <f t="shared" si="60"/>
        <v>1.1864999999999999</v>
      </c>
      <c r="H1686" s="188">
        <v>1.1299999999999999</v>
      </c>
      <c r="I1686" s="19">
        <f t="shared" si="61"/>
        <v>0</v>
      </c>
      <c r="L1686" s="131"/>
      <c r="M1686" s="131"/>
      <c r="N1686" s="131"/>
    </row>
    <row r="1687" spans="1:14" hidden="1">
      <c r="A1687" s="100" t="s">
        <v>862</v>
      </c>
      <c r="B1687" s="101" t="s">
        <v>2883</v>
      </c>
      <c r="C1687" s="99" t="s">
        <v>2884</v>
      </c>
      <c r="D1687" s="38"/>
      <c r="E1687" s="42">
        <v>1</v>
      </c>
      <c r="F1687" s="9"/>
      <c r="G1687" s="8">
        <f t="shared" si="60"/>
        <v>1.1864999999999999</v>
      </c>
      <c r="H1687" s="188">
        <v>1.1299999999999999</v>
      </c>
      <c r="I1687" s="19">
        <f t="shared" si="61"/>
        <v>0</v>
      </c>
      <c r="L1687" s="131"/>
      <c r="M1687" s="131"/>
      <c r="N1687" s="131"/>
    </row>
    <row r="1688" spans="1:14" hidden="1">
      <c r="A1688" s="100" t="s">
        <v>862</v>
      </c>
      <c r="B1688" s="101" t="s">
        <v>2885</v>
      </c>
      <c r="C1688" s="99" t="s">
        <v>2886</v>
      </c>
      <c r="D1688" s="38"/>
      <c r="E1688" s="42">
        <v>1</v>
      </c>
      <c r="F1688" s="9"/>
      <c r="G1688" s="8">
        <f t="shared" si="60"/>
        <v>2.307375</v>
      </c>
      <c r="H1688" s="188">
        <v>2.1974999999999998</v>
      </c>
      <c r="I1688" s="19">
        <f t="shared" si="61"/>
        <v>0</v>
      </c>
      <c r="L1688" s="131"/>
      <c r="M1688" s="131"/>
      <c r="N1688" s="131"/>
    </row>
    <row r="1689" spans="1:14" hidden="1">
      <c r="A1689" s="100" t="s">
        <v>862</v>
      </c>
      <c r="B1689" s="101" t="s">
        <v>2887</v>
      </c>
      <c r="C1689" s="99" t="s">
        <v>2888</v>
      </c>
      <c r="D1689" s="38"/>
      <c r="E1689" s="42">
        <v>1</v>
      </c>
      <c r="F1689" s="9"/>
      <c r="G1689" s="8">
        <f t="shared" si="60"/>
        <v>2.307375</v>
      </c>
      <c r="H1689" s="188">
        <v>2.1974999999999998</v>
      </c>
      <c r="I1689" s="19">
        <f t="shared" si="61"/>
        <v>0</v>
      </c>
      <c r="L1689" s="131"/>
      <c r="M1689" s="131"/>
      <c r="N1689" s="131"/>
    </row>
    <row r="1690" spans="1:14" hidden="1">
      <c r="A1690" s="100" t="s">
        <v>862</v>
      </c>
      <c r="B1690" s="101" t="s">
        <v>2889</v>
      </c>
      <c r="C1690" s="99" t="s">
        <v>2890</v>
      </c>
      <c r="D1690" s="38"/>
      <c r="E1690" s="42">
        <v>1</v>
      </c>
      <c r="F1690" s="9"/>
      <c r="G1690" s="8">
        <f t="shared" si="60"/>
        <v>1.4332499999999999</v>
      </c>
      <c r="H1690" s="188">
        <v>1.365</v>
      </c>
      <c r="I1690" s="19">
        <f t="shared" si="61"/>
        <v>0</v>
      </c>
      <c r="L1690" s="131"/>
      <c r="M1690" s="131"/>
      <c r="N1690" s="131"/>
    </row>
    <row r="1691" spans="1:14" hidden="1">
      <c r="A1691" s="100" t="s">
        <v>862</v>
      </c>
      <c r="B1691" s="101" t="s">
        <v>2891</v>
      </c>
      <c r="C1691" s="99" t="s">
        <v>2892</v>
      </c>
      <c r="D1691" s="38"/>
      <c r="E1691" s="42">
        <v>1</v>
      </c>
      <c r="F1691" s="9"/>
      <c r="G1691" s="8">
        <f t="shared" si="60"/>
        <v>1.4332499999999999</v>
      </c>
      <c r="H1691" s="188">
        <v>1.365</v>
      </c>
      <c r="I1691" s="19">
        <f t="shared" si="61"/>
        <v>0</v>
      </c>
      <c r="L1691" s="131"/>
      <c r="M1691" s="131"/>
      <c r="N1691" s="131"/>
    </row>
    <row r="1692" spans="1:14" hidden="1">
      <c r="A1692" s="100" t="s">
        <v>862</v>
      </c>
      <c r="B1692" s="101" t="s">
        <v>2893</v>
      </c>
      <c r="C1692" s="99" t="s">
        <v>2894</v>
      </c>
      <c r="D1692" s="38"/>
      <c r="E1692" s="42">
        <v>1</v>
      </c>
      <c r="F1692" s="9"/>
      <c r="G1692" s="8">
        <f t="shared" si="60"/>
        <v>1.7745</v>
      </c>
      <c r="H1692" s="188">
        <v>1.69</v>
      </c>
      <c r="I1692" s="19">
        <f t="shared" si="61"/>
        <v>0</v>
      </c>
      <c r="L1692" s="131"/>
      <c r="M1692" s="131"/>
      <c r="N1692" s="131"/>
    </row>
    <row r="1693" spans="1:14" hidden="1">
      <c r="A1693" s="100" t="s">
        <v>862</v>
      </c>
      <c r="B1693" s="101" t="s">
        <v>2895</v>
      </c>
      <c r="C1693" s="99" t="s">
        <v>2896</v>
      </c>
      <c r="D1693" s="38"/>
      <c r="E1693" s="42">
        <v>1</v>
      </c>
      <c r="F1693" s="9"/>
      <c r="G1693" s="8">
        <f t="shared" si="60"/>
        <v>1.7745</v>
      </c>
      <c r="H1693" s="188">
        <v>1.69</v>
      </c>
      <c r="I1693" s="19">
        <f t="shared" si="61"/>
        <v>0</v>
      </c>
      <c r="L1693" s="131"/>
      <c r="M1693" s="131"/>
      <c r="N1693" s="131"/>
    </row>
    <row r="1694" spans="1:14" hidden="1">
      <c r="A1694" s="100" t="s">
        <v>862</v>
      </c>
      <c r="B1694" s="101" t="s">
        <v>2897</v>
      </c>
      <c r="C1694" s="99" t="s">
        <v>2898</v>
      </c>
      <c r="D1694" s="38"/>
      <c r="E1694" s="42">
        <v>1</v>
      </c>
      <c r="F1694" s="9"/>
      <c r="G1694" s="8">
        <f t="shared" si="60"/>
        <v>3.0990749999999996</v>
      </c>
      <c r="H1694" s="188">
        <v>2.9514999999999998</v>
      </c>
      <c r="I1694" s="19">
        <f t="shared" si="61"/>
        <v>0</v>
      </c>
      <c r="L1694" s="131"/>
      <c r="M1694" s="131"/>
      <c r="N1694" s="131"/>
    </row>
    <row r="1695" spans="1:14" hidden="1">
      <c r="A1695" s="100" t="s">
        <v>862</v>
      </c>
      <c r="B1695" s="101" t="s">
        <v>2899</v>
      </c>
      <c r="C1695" s="99" t="s">
        <v>2900</v>
      </c>
      <c r="D1695" s="38"/>
      <c r="E1695" s="42">
        <v>1</v>
      </c>
      <c r="F1695" s="9"/>
      <c r="G1695" s="8">
        <f t="shared" si="60"/>
        <v>3.0990749999999996</v>
      </c>
      <c r="H1695" s="188">
        <v>2.9514999999999998</v>
      </c>
      <c r="I1695" s="19">
        <f t="shared" si="61"/>
        <v>0</v>
      </c>
      <c r="L1695" s="131"/>
      <c r="M1695" s="131"/>
      <c r="N1695" s="131"/>
    </row>
    <row r="1696" spans="1:14" hidden="1">
      <c r="A1696" s="100" t="s">
        <v>862</v>
      </c>
      <c r="B1696" s="101" t="s">
        <v>2901</v>
      </c>
      <c r="C1696" s="99" t="s">
        <v>2902</v>
      </c>
      <c r="D1696" s="38"/>
      <c r="E1696" s="42">
        <v>1</v>
      </c>
      <c r="F1696" s="9"/>
      <c r="G1696" s="8">
        <f t="shared" si="60"/>
        <v>20.922825</v>
      </c>
      <c r="H1696" s="188">
        <v>19.926500000000001</v>
      </c>
      <c r="I1696" s="19">
        <f t="shared" si="61"/>
        <v>0</v>
      </c>
      <c r="L1696" s="131"/>
      <c r="M1696" s="131"/>
      <c r="N1696" s="131"/>
    </row>
    <row r="1697" spans="1:14" hidden="1">
      <c r="A1697" s="100" t="s">
        <v>862</v>
      </c>
      <c r="B1697" s="102" t="s">
        <v>2903</v>
      </c>
      <c r="C1697" s="103" t="s">
        <v>2904</v>
      </c>
      <c r="D1697" s="38"/>
      <c r="E1697" s="42">
        <v>1</v>
      </c>
      <c r="F1697" s="9"/>
      <c r="G1697" s="8">
        <f t="shared" si="60"/>
        <v>8.7822000000000013</v>
      </c>
      <c r="H1697" s="188">
        <v>8.3640000000000008</v>
      </c>
      <c r="I1697" s="19">
        <f t="shared" si="61"/>
        <v>0</v>
      </c>
      <c r="L1697" s="131"/>
      <c r="M1697" s="131"/>
      <c r="N1697" s="131"/>
    </row>
    <row r="1698" spans="1:14" hidden="1">
      <c r="A1698" s="100" t="s">
        <v>862</v>
      </c>
      <c r="B1698" s="101" t="s">
        <v>2905</v>
      </c>
      <c r="C1698" s="99" t="s">
        <v>2906</v>
      </c>
      <c r="D1698" s="38"/>
      <c r="E1698" s="42">
        <v>1</v>
      </c>
      <c r="F1698" s="9"/>
      <c r="G1698" s="8">
        <f t="shared" si="60"/>
        <v>8.7822000000000013</v>
      </c>
      <c r="H1698" s="188">
        <v>8.3640000000000008</v>
      </c>
      <c r="I1698" s="19">
        <f t="shared" si="61"/>
        <v>0</v>
      </c>
      <c r="L1698" s="131"/>
      <c r="M1698" s="131"/>
      <c r="N1698" s="131"/>
    </row>
    <row r="1699" spans="1:14" hidden="1">
      <c r="A1699" s="100" t="s">
        <v>862</v>
      </c>
      <c r="B1699" s="101" t="s">
        <v>2907</v>
      </c>
      <c r="C1699" s="99" t="s">
        <v>2908</v>
      </c>
      <c r="D1699" s="38"/>
      <c r="E1699" s="42">
        <v>1</v>
      </c>
      <c r="F1699" s="9"/>
      <c r="G1699" s="8">
        <f t="shared" si="60"/>
        <v>9.6253499999999992</v>
      </c>
      <c r="H1699" s="188">
        <v>9.1669999999999998</v>
      </c>
      <c r="I1699" s="19">
        <f t="shared" si="61"/>
        <v>0</v>
      </c>
      <c r="L1699" s="131"/>
      <c r="M1699" s="131"/>
      <c r="N1699" s="131"/>
    </row>
    <row r="1700" spans="1:14" hidden="1">
      <c r="A1700" s="100" t="s">
        <v>862</v>
      </c>
      <c r="B1700" s="101" t="s">
        <v>2909</v>
      </c>
      <c r="C1700" s="99" t="s">
        <v>2910</v>
      </c>
      <c r="D1700" s="38"/>
      <c r="E1700" s="42">
        <v>1</v>
      </c>
      <c r="F1700" s="9"/>
      <c r="G1700" s="8">
        <f t="shared" si="60"/>
        <v>9.6253499999999992</v>
      </c>
      <c r="H1700" s="188">
        <v>9.1669999999999998</v>
      </c>
      <c r="I1700" s="19">
        <f t="shared" si="61"/>
        <v>0</v>
      </c>
      <c r="L1700" s="131"/>
      <c r="M1700" s="131"/>
      <c r="N1700" s="131"/>
    </row>
    <row r="1701" spans="1:14" hidden="1">
      <c r="A1701" s="100" t="s">
        <v>862</v>
      </c>
      <c r="B1701" s="101" t="s">
        <v>2911</v>
      </c>
      <c r="C1701" s="99" t="s">
        <v>2912</v>
      </c>
      <c r="D1701" s="38"/>
      <c r="E1701" s="42">
        <v>1</v>
      </c>
      <c r="F1701" s="9"/>
      <c r="G1701" s="8">
        <f t="shared" ref="G1701:G1764" si="62">H1701+(H1701*5%)</f>
        <v>6.182925</v>
      </c>
      <c r="H1701" s="188">
        <v>5.8884999999999996</v>
      </c>
      <c r="I1701" s="19">
        <f t="shared" si="61"/>
        <v>0</v>
      </c>
      <c r="L1701" s="131"/>
      <c r="M1701" s="131"/>
      <c r="N1701" s="131"/>
    </row>
    <row r="1702" spans="1:14" hidden="1">
      <c r="A1702" s="100" t="s">
        <v>862</v>
      </c>
      <c r="B1702" s="101" t="s">
        <v>2913</v>
      </c>
      <c r="C1702" s="99" t="s">
        <v>2914</v>
      </c>
      <c r="D1702" s="38"/>
      <c r="E1702" s="42">
        <v>1</v>
      </c>
      <c r="F1702" s="9"/>
      <c r="G1702" s="8">
        <f t="shared" si="62"/>
        <v>6.182925</v>
      </c>
      <c r="H1702" s="188">
        <v>5.8884999999999996</v>
      </c>
      <c r="I1702" s="19">
        <f t="shared" si="61"/>
        <v>0</v>
      </c>
      <c r="L1702" s="131"/>
      <c r="M1702" s="131"/>
      <c r="N1702" s="131"/>
    </row>
    <row r="1703" spans="1:14" hidden="1">
      <c r="A1703" s="100" t="s">
        <v>862</v>
      </c>
      <c r="B1703" s="101" t="s">
        <v>2915</v>
      </c>
      <c r="C1703" s="99" t="s">
        <v>2916</v>
      </c>
      <c r="D1703" s="38"/>
      <c r="E1703" s="42">
        <v>1</v>
      </c>
      <c r="F1703" s="9"/>
      <c r="G1703" s="8">
        <f t="shared" si="62"/>
        <v>0.54705000000000004</v>
      </c>
      <c r="H1703" s="188">
        <v>0.52100000000000002</v>
      </c>
      <c r="I1703" s="19">
        <f t="shared" ref="I1703:I1766" si="63">G1703*F1703</f>
        <v>0</v>
      </c>
      <c r="L1703" s="131"/>
      <c r="M1703" s="131"/>
      <c r="N1703" s="131"/>
    </row>
    <row r="1704" spans="1:14" hidden="1">
      <c r="A1704" s="100" t="s">
        <v>862</v>
      </c>
      <c r="B1704" s="101" t="s">
        <v>2917</v>
      </c>
      <c r="C1704" s="99" t="s">
        <v>2918</v>
      </c>
      <c r="D1704" s="38"/>
      <c r="E1704" s="42">
        <v>1</v>
      </c>
      <c r="F1704" s="9"/>
      <c r="G1704" s="8">
        <f t="shared" si="62"/>
        <v>3.2319</v>
      </c>
      <c r="H1704" s="188">
        <v>3.0779999999999998</v>
      </c>
      <c r="I1704" s="19">
        <f t="shared" si="63"/>
        <v>0</v>
      </c>
      <c r="L1704" s="131"/>
      <c r="M1704" s="131"/>
      <c r="N1704" s="131"/>
    </row>
    <row r="1705" spans="1:14" hidden="1">
      <c r="A1705" s="100" t="s">
        <v>862</v>
      </c>
      <c r="B1705" s="101" t="s">
        <v>2919</v>
      </c>
      <c r="C1705" s="99" t="s">
        <v>2920</v>
      </c>
      <c r="D1705" s="38"/>
      <c r="E1705" s="42">
        <v>1</v>
      </c>
      <c r="F1705" s="9"/>
      <c r="G1705" s="8">
        <f t="shared" si="62"/>
        <v>3.2319</v>
      </c>
      <c r="H1705" s="188">
        <v>3.0779999999999998</v>
      </c>
      <c r="I1705" s="19">
        <f t="shared" si="63"/>
        <v>0</v>
      </c>
      <c r="L1705" s="131"/>
      <c r="M1705" s="131"/>
      <c r="N1705" s="131"/>
    </row>
    <row r="1706" spans="1:14" hidden="1">
      <c r="A1706" s="100" t="s">
        <v>862</v>
      </c>
      <c r="B1706" s="101" t="s">
        <v>2921</v>
      </c>
      <c r="C1706" s="99" t="s">
        <v>2922</v>
      </c>
      <c r="D1706" s="38"/>
      <c r="E1706" s="42">
        <v>1</v>
      </c>
      <c r="F1706" s="9"/>
      <c r="G1706" s="8">
        <f t="shared" si="62"/>
        <v>0.32655000000000001</v>
      </c>
      <c r="H1706" s="188">
        <v>0.311</v>
      </c>
      <c r="I1706" s="19">
        <f t="shared" si="63"/>
        <v>0</v>
      </c>
      <c r="L1706" s="131"/>
      <c r="M1706" s="131"/>
      <c r="N1706" s="131"/>
    </row>
    <row r="1707" spans="1:14" hidden="1">
      <c r="A1707" s="100" t="s">
        <v>862</v>
      </c>
      <c r="B1707" s="101" t="s">
        <v>2923</v>
      </c>
      <c r="C1707" s="99" t="s">
        <v>2924</v>
      </c>
      <c r="D1707" s="38"/>
      <c r="E1707" s="42">
        <v>1</v>
      </c>
      <c r="F1707" s="9"/>
      <c r="G1707" s="8">
        <f t="shared" si="62"/>
        <v>0.39637500000000003</v>
      </c>
      <c r="H1707" s="188">
        <v>0.3775</v>
      </c>
      <c r="I1707" s="19">
        <f t="shared" si="63"/>
        <v>0</v>
      </c>
      <c r="L1707" s="131"/>
      <c r="M1707" s="131"/>
      <c r="N1707" s="131"/>
    </row>
    <row r="1708" spans="1:14" hidden="1">
      <c r="A1708" s="100" t="s">
        <v>862</v>
      </c>
      <c r="B1708" s="101" t="s">
        <v>2925</v>
      </c>
      <c r="C1708" s="99" t="s">
        <v>2926</v>
      </c>
      <c r="D1708" s="38"/>
      <c r="E1708" s="42">
        <v>1</v>
      </c>
      <c r="F1708" s="9"/>
      <c r="G1708" s="8">
        <f t="shared" si="62"/>
        <v>0.48982500000000001</v>
      </c>
      <c r="H1708" s="188">
        <v>0.46650000000000003</v>
      </c>
      <c r="I1708" s="19">
        <f t="shared" si="63"/>
        <v>0</v>
      </c>
      <c r="L1708" s="131"/>
      <c r="M1708" s="131"/>
      <c r="N1708" s="131"/>
    </row>
    <row r="1709" spans="1:14" hidden="1">
      <c r="A1709" s="100" t="s">
        <v>862</v>
      </c>
      <c r="B1709" s="101" t="s">
        <v>2927</v>
      </c>
      <c r="C1709" s="99" t="s">
        <v>2928</v>
      </c>
      <c r="D1709" s="38"/>
      <c r="E1709" s="42">
        <v>1</v>
      </c>
      <c r="F1709" s="9"/>
      <c r="G1709" s="8">
        <f t="shared" si="62"/>
        <v>0.55964999999999998</v>
      </c>
      <c r="H1709" s="188">
        <v>0.53300000000000003</v>
      </c>
      <c r="I1709" s="19">
        <f t="shared" si="63"/>
        <v>0</v>
      </c>
      <c r="L1709" s="131"/>
      <c r="M1709" s="131"/>
      <c r="N1709" s="131"/>
    </row>
    <row r="1710" spans="1:14" hidden="1">
      <c r="A1710" s="100" t="s">
        <v>862</v>
      </c>
      <c r="B1710" s="101" t="s">
        <v>2929</v>
      </c>
      <c r="C1710" s="99" t="s">
        <v>2930</v>
      </c>
      <c r="D1710" s="38"/>
      <c r="E1710" s="42">
        <v>1</v>
      </c>
      <c r="F1710" s="9"/>
      <c r="G1710" s="8">
        <f t="shared" si="62"/>
        <v>0.63</v>
      </c>
      <c r="H1710" s="188">
        <v>0.6</v>
      </c>
      <c r="I1710" s="19">
        <f t="shared" si="63"/>
        <v>0</v>
      </c>
      <c r="L1710" s="131"/>
      <c r="M1710" s="131"/>
      <c r="N1710" s="131"/>
    </row>
    <row r="1711" spans="1:14" hidden="1">
      <c r="A1711" s="100" t="s">
        <v>862</v>
      </c>
      <c r="B1711" s="101" t="s">
        <v>2931</v>
      </c>
      <c r="C1711" s="99" t="s">
        <v>2932</v>
      </c>
      <c r="D1711" s="38"/>
      <c r="E1711" s="42">
        <v>1</v>
      </c>
      <c r="F1711" s="9"/>
      <c r="G1711" s="8">
        <f t="shared" si="62"/>
        <v>0.69982500000000003</v>
      </c>
      <c r="H1711" s="188">
        <v>0.66649999999999998</v>
      </c>
      <c r="I1711" s="19">
        <f t="shared" si="63"/>
        <v>0</v>
      </c>
      <c r="L1711" s="131"/>
      <c r="M1711" s="131"/>
      <c r="N1711" s="131"/>
    </row>
    <row r="1712" spans="1:14" hidden="1">
      <c r="A1712" s="100" t="s">
        <v>862</v>
      </c>
      <c r="B1712" s="101" t="s">
        <v>2933</v>
      </c>
      <c r="C1712" s="99" t="s">
        <v>2934</v>
      </c>
      <c r="D1712" s="38"/>
      <c r="E1712" s="42">
        <v>1</v>
      </c>
      <c r="F1712" s="9"/>
      <c r="G1712" s="8">
        <f t="shared" si="62"/>
        <v>0.76964999999999995</v>
      </c>
      <c r="H1712" s="188">
        <v>0.73299999999999998</v>
      </c>
      <c r="I1712" s="19">
        <f t="shared" si="63"/>
        <v>0</v>
      </c>
      <c r="L1712" s="131"/>
      <c r="M1712" s="131"/>
      <c r="N1712" s="131"/>
    </row>
    <row r="1713" spans="1:14" hidden="1">
      <c r="A1713" s="100" t="s">
        <v>862</v>
      </c>
      <c r="B1713" s="101" t="s">
        <v>2935</v>
      </c>
      <c r="C1713" s="99" t="s">
        <v>2936</v>
      </c>
      <c r="D1713" s="38"/>
      <c r="E1713" s="42">
        <v>1</v>
      </c>
      <c r="F1713" s="9"/>
      <c r="G1713" s="8">
        <f t="shared" si="62"/>
        <v>0.84000000000000008</v>
      </c>
      <c r="H1713" s="188">
        <v>0.8</v>
      </c>
      <c r="I1713" s="19">
        <f t="shared" si="63"/>
        <v>0</v>
      </c>
      <c r="L1713" s="131"/>
      <c r="M1713" s="131"/>
      <c r="N1713" s="131"/>
    </row>
    <row r="1714" spans="1:14" hidden="1">
      <c r="A1714" s="100" t="s">
        <v>862</v>
      </c>
      <c r="B1714" s="101" t="s">
        <v>2937</v>
      </c>
      <c r="C1714" s="99" t="s">
        <v>2938</v>
      </c>
      <c r="D1714" s="38"/>
      <c r="E1714" s="42">
        <v>1</v>
      </c>
      <c r="F1714" s="9"/>
      <c r="G1714" s="8">
        <f t="shared" si="62"/>
        <v>0.90982500000000011</v>
      </c>
      <c r="H1714" s="188">
        <v>0.86650000000000005</v>
      </c>
      <c r="I1714" s="19">
        <f t="shared" si="63"/>
        <v>0</v>
      </c>
      <c r="L1714" s="131"/>
      <c r="M1714" s="131"/>
      <c r="N1714" s="131"/>
    </row>
    <row r="1715" spans="1:14" hidden="1">
      <c r="A1715" s="100" t="s">
        <v>862</v>
      </c>
      <c r="B1715" s="101" t="s">
        <v>2939</v>
      </c>
      <c r="C1715" s="99" t="s">
        <v>2940</v>
      </c>
      <c r="D1715" s="38"/>
      <c r="E1715" s="42">
        <v>1</v>
      </c>
      <c r="F1715" s="9"/>
      <c r="G1715" s="8">
        <f t="shared" si="62"/>
        <v>0.97965000000000002</v>
      </c>
      <c r="H1715" s="188">
        <v>0.93300000000000005</v>
      </c>
      <c r="I1715" s="19">
        <f t="shared" si="63"/>
        <v>0</v>
      </c>
      <c r="L1715" s="131"/>
      <c r="M1715" s="131"/>
      <c r="N1715" s="131"/>
    </row>
    <row r="1716" spans="1:14" hidden="1">
      <c r="A1716" s="100" t="s">
        <v>862</v>
      </c>
      <c r="B1716" s="101" t="s">
        <v>2941</v>
      </c>
      <c r="C1716" s="99" t="s">
        <v>2942</v>
      </c>
      <c r="D1716" s="38"/>
      <c r="E1716" s="42">
        <v>1</v>
      </c>
      <c r="F1716" s="9"/>
      <c r="G1716" s="8">
        <f t="shared" si="62"/>
        <v>1.05</v>
      </c>
      <c r="H1716" s="188">
        <v>1</v>
      </c>
      <c r="I1716" s="19">
        <f t="shared" si="63"/>
        <v>0</v>
      </c>
      <c r="L1716" s="131"/>
      <c r="M1716" s="131"/>
      <c r="N1716" s="131"/>
    </row>
    <row r="1717" spans="1:14" hidden="1">
      <c r="A1717" s="100" t="s">
        <v>862</v>
      </c>
      <c r="B1717" s="101" t="s">
        <v>2943</v>
      </c>
      <c r="C1717" s="99" t="s">
        <v>2944</v>
      </c>
      <c r="D1717" s="38"/>
      <c r="E1717" s="42">
        <v>1</v>
      </c>
      <c r="F1717" s="9"/>
      <c r="G1717" s="8">
        <f t="shared" si="62"/>
        <v>1.1198250000000001</v>
      </c>
      <c r="H1717" s="188">
        <v>1.0665</v>
      </c>
      <c r="I1717" s="19">
        <f t="shared" si="63"/>
        <v>0</v>
      </c>
      <c r="L1717" s="131"/>
      <c r="M1717" s="131"/>
      <c r="N1717" s="131"/>
    </row>
    <row r="1718" spans="1:14" hidden="1">
      <c r="A1718" s="100" t="s">
        <v>862</v>
      </c>
      <c r="B1718" s="101" t="s">
        <v>2945</v>
      </c>
      <c r="C1718" s="99" t="s">
        <v>2946</v>
      </c>
      <c r="D1718" s="38"/>
      <c r="E1718" s="42">
        <v>1</v>
      </c>
      <c r="F1718" s="9"/>
      <c r="G1718" s="8">
        <f t="shared" si="62"/>
        <v>1.1896500000000001</v>
      </c>
      <c r="H1718" s="188">
        <v>1.133</v>
      </c>
      <c r="I1718" s="19">
        <f t="shared" si="63"/>
        <v>0</v>
      </c>
      <c r="L1718" s="131"/>
      <c r="M1718" s="131"/>
      <c r="N1718" s="131"/>
    </row>
    <row r="1719" spans="1:14" hidden="1">
      <c r="A1719" s="100" t="s">
        <v>862</v>
      </c>
      <c r="B1719" s="101" t="s">
        <v>2947</v>
      </c>
      <c r="C1719" s="99" t="s">
        <v>2948</v>
      </c>
      <c r="D1719" s="38"/>
      <c r="E1719" s="42">
        <v>1</v>
      </c>
      <c r="F1719" s="9"/>
      <c r="G1719" s="8">
        <f t="shared" si="62"/>
        <v>1.26</v>
      </c>
      <c r="H1719" s="188">
        <v>1.2</v>
      </c>
      <c r="I1719" s="19">
        <f t="shared" si="63"/>
        <v>0</v>
      </c>
      <c r="L1719" s="131"/>
      <c r="M1719" s="131"/>
      <c r="N1719" s="131"/>
    </row>
    <row r="1720" spans="1:14" hidden="1">
      <c r="A1720" s="100" t="s">
        <v>862</v>
      </c>
      <c r="B1720" s="101" t="s">
        <v>2949</v>
      </c>
      <c r="C1720" s="99" t="s">
        <v>2950</v>
      </c>
      <c r="D1720" s="38"/>
      <c r="E1720" s="42">
        <v>1</v>
      </c>
      <c r="F1720" s="9"/>
      <c r="G1720" s="8">
        <f t="shared" si="62"/>
        <v>1.329825</v>
      </c>
      <c r="H1720" s="188">
        <v>1.2665</v>
      </c>
      <c r="I1720" s="19">
        <f t="shared" si="63"/>
        <v>0</v>
      </c>
      <c r="L1720" s="131"/>
      <c r="M1720" s="131"/>
      <c r="N1720" s="131"/>
    </row>
    <row r="1721" spans="1:14" hidden="1">
      <c r="A1721" s="100" t="s">
        <v>862</v>
      </c>
      <c r="B1721" s="101" t="s">
        <v>2951</v>
      </c>
      <c r="C1721" s="99" t="s">
        <v>2952</v>
      </c>
      <c r="D1721" s="38"/>
      <c r="E1721" s="42">
        <v>1</v>
      </c>
      <c r="F1721" s="9"/>
      <c r="G1721" s="8">
        <f t="shared" si="62"/>
        <v>1.3996500000000001</v>
      </c>
      <c r="H1721" s="188">
        <v>1.333</v>
      </c>
      <c r="I1721" s="19">
        <f t="shared" si="63"/>
        <v>0</v>
      </c>
      <c r="L1721" s="131"/>
      <c r="M1721" s="131"/>
      <c r="N1721" s="131"/>
    </row>
    <row r="1722" spans="1:14" hidden="1">
      <c r="A1722" s="100" t="s">
        <v>862</v>
      </c>
      <c r="B1722" s="101" t="s">
        <v>2953</v>
      </c>
      <c r="C1722" s="99" t="s">
        <v>2954</v>
      </c>
      <c r="D1722" s="38"/>
      <c r="E1722" s="42">
        <v>1</v>
      </c>
      <c r="F1722" s="9"/>
      <c r="G1722" s="8">
        <f t="shared" si="62"/>
        <v>18.168675</v>
      </c>
      <c r="H1722" s="188">
        <v>17.3035</v>
      </c>
      <c r="I1722" s="19">
        <f t="shared" si="63"/>
        <v>0</v>
      </c>
      <c r="L1722" s="131"/>
      <c r="M1722" s="131"/>
      <c r="N1722" s="131"/>
    </row>
    <row r="1723" spans="1:14" hidden="1">
      <c r="A1723" s="100" t="s">
        <v>862</v>
      </c>
      <c r="B1723" s="101" t="s">
        <v>2955</v>
      </c>
      <c r="C1723" s="99" t="s">
        <v>2956</v>
      </c>
      <c r="D1723" s="38"/>
      <c r="E1723" s="42">
        <v>1</v>
      </c>
      <c r="F1723" s="9"/>
      <c r="G1723" s="8">
        <f t="shared" si="62"/>
        <v>8.8677749999999982</v>
      </c>
      <c r="H1723" s="188">
        <v>8.4454999999999991</v>
      </c>
      <c r="I1723" s="19">
        <f t="shared" si="63"/>
        <v>0</v>
      </c>
      <c r="L1723" s="131"/>
      <c r="M1723" s="131"/>
      <c r="N1723" s="131"/>
    </row>
    <row r="1724" spans="1:14" hidden="1">
      <c r="A1724" s="100" t="s">
        <v>862</v>
      </c>
      <c r="B1724" s="101" t="s">
        <v>2957</v>
      </c>
      <c r="C1724" s="99" t="s">
        <v>2958</v>
      </c>
      <c r="D1724" s="38"/>
      <c r="E1724" s="42">
        <v>1</v>
      </c>
      <c r="F1724" s="9"/>
      <c r="G1724" s="8">
        <f t="shared" si="62"/>
        <v>3.0350249999999996</v>
      </c>
      <c r="H1724" s="188">
        <v>2.8904999999999998</v>
      </c>
      <c r="I1724" s="19">
        <f t="shared" si="63"/>
        <v>0</v>
      </c>
      <c r="L1724" s="131"/>
      <c r="M1724" s="131"/>
      <c r="N1724" s="131"/>
    </row>
    <row r="1725" spans="1:14" hidden="1">
      <c r="A1725" s="100" t="s">
        <v>862</v>
      </c>
      <c r="B1725" s="101" t="s">
        <v>2959</v>
      </c>
      <c r="C1725" s="99" t="s">
        <v>2960</v>
      </c>
      <c r="D1725" s="38"/>
      <c r="E1725" s="42">
        <v>1</v>
      </c>
      <c r="F1725" s="9"/>
      <c r="G1725" s="8">
        <f t="shared" si="62"/>
        <v>0.94447499999999995</v>
      </c>
      <c r="H1725" s="188">
        <v>0.89949999999999997</v>
      </c>
      <c r="I1725" s="19">
        <f t="shared" si="63"/>
        <v>0</v>
      </c>
      <c r="L1725" s="131"/>
      <c r="M1725" s="131"/>
      <c r="N1725" s="131"/>
    </row>
    <row r="1726" spans="1:14" hidden="1">
      <c r="A1726" s="100" t="s">
        <v>862</v>
      </c>
      <c r="B1726" s="101" t="s">
        <v>2961</v>
      </c>
      <c r="C1726" s="99" t="s">
        <v>2962</v>
      </c>
      <c r="D1726" s="38"/>
      <c r="E1726" s="42">
        <v>1</v>
      </c>
      <c r="F1726" s="9"/>
      <c r="G1726" s="8">
        <f t="shared" si="62"/>
        <v>0.48457500000000003</v>
      </c>
      <c r="H1726" s="188">
        <v>0.46150000000000002</v>
      </c>
      <c r="I1726" s="19">
        <f t="shared" si="63"/>
        <v>0</v>
      </c>
      <c r="L1726" s="131"/>
      <c r="M1726" s="131"/>
      <c r="N1726" s="131"/>
    </row>
    <row r="1727" spans="1:14" hidden="1">
      <c r="A1727" s="100" t="s">
        <v>862</v>
      </c>
      <c r="B1727" s="101" t="s">
        <v>2963</v>
      </c>
      <c r="C1727" s="99" t="s">
        <v>2964</v>
      </c>
      <c r="D1727" s="38"/>
      <c r="E1727" s="42">
        <v>1</v>
      </c>
      <c r="F1727" s="9"/>
      <c r="G1727" s="8">
        <f t="shared" si="62"/>
        <v>0.46882499999999999</v>
      </c>
      <c r="H1727" s="188">
        <v>0.44650000000000001</v>
      </c>
      <c r="I1727" s="19">
        <f t="shared" si="63"/>
        <v>0</v>
      </c>
      <c r="L1727" s="131"/>
      <c r="M1727" s="131"/>
      <c r="N1727" s="131"/>
    </row>
    <row r="1728" spans="1:14" hidden="1">
      <c r="A1728" s="100" t="s">
        <v>862</v>
      </c>
      <c r="B1728" s="101" t="s">
        <v>2965</v>
      </c>
      <c r="C1728" s="99" t="s">
        <v>2966</v>
      </c>
      <c r="D1728" s="38"/>
      <c r="E1728" s="42">
        <v>1</v>
      </c>
      <c r="F1728" s="9"/>
      <c r="G1728" s="8">
        <f t="shared" si="62"/>
        <v>1.40385</v>
      </c>
      <c r="H1728" s="188">
        <v>1.337</v>
      </c>
      <c r="I1728" s="19">
        <f t="shared" si="63"/>
        <v>0</v>
      </c>
      <c r="L1728" s="131"/>
      <c r="M1728" s="131"/>
      <c r="N1728" s="131"/>
    </row>
    <row r="1729" spans="1:14" hidden="1">
      <c r="A1729" s="100" t="s">
        <v>862</v>
      </c>
      <c r="B1729" s="101" t="s">
        <v>2967</v>
      </c>
      <c r="C1729" s="99" t="s">
        <v>2968</v>
      </c>
      <c r="D1729" s="38"/>
      <c r="E1729" s="42">
        <v>1</v>
      </c>
      <c r="F1729" s="9"/>
      <c r="G1729" s="8">
        <f t="shared" si="62"/>
        <v>3.7479750000000003</v>
      </c>
      <c r="H1729" s="188">
        <v>3.5695000000000001</v>
      </c>
      <c r="I1729" s="19">
        <f t="shared" si="63"/>
        <v>0</v>
      </c>
      <c r="L1729" s="131"/>
      <c r="M1729" s="131"/>
      <c r="N1729" s="131"/>
    </row>
    <row r="1730" spans="1:14" hidden="1">
      <c r="A1730" s="100" t="s">
        <v>862</v>
      </c>
      <c r="B1730" s="101" t="s">
        <v>2969</v>
      </c>
      <c r="C1730" s="99" t="s">
        <v>2970</v>
      </c>
      <c r="D1730" s="38"/>
      <c r="E1730" s="42">
        <v>1</v>
      </c>
      <c r="F1730" s="9"/>
      <c r="G1730" s="8">
        <f t="shared" si="62"/>
        <v>1.9320000000000002</v>
      </c>
      <c r="H1730" s="188">
        <v>1.84</v>
      </c>
      <c r="I1730" s="19">
        <f t="shared" si="63"/>
        <v>0</v>
      </c>
      <c r="L1730" s="131"/>
      <c r="M1730" s="131"/>
      <c r="N1730" s="131"/>
    </row>
    <row r="1731" spans="1:14">
      <c r="A1731" s="100" t="s">
        <v>862</v>
      </c>
      <c r="B1731" s="101" t="s">
        <v>2971</v>
      </c>
      <c r="C1731" s="99" t="s">
        <v>2972</v>
      </c>
      <c r="D1731" s="38"/>
      <c r="E1731" s="42">
        <v>1</v>
      </c>
      <c r="F1731" s="9">
        <v>67</v>
      </c>
      <c r="G1731" s="8">
        <f t="shared" si="62"/>
        <v>1.5608249999999999</v>
      </c>
      <c r="H1731" s="188">
        <v>1.4864999999999999</v>
      </c>
      <c r="I1731" s="19">
        <f t="shared" si="63"/>
        <v>104.57527499999999</v>
      </c>
      <c r="L1731" s="131"/>
      <c r="M1731" s="131"/>
      <c r="N1731" s="131"/>
    </row>
    <row r="1732" spans="1:14">
      <c r="A1732" s="100" t="s">
        <v>862</v>
      </c>
      <c r="B1732" s="101" t="s">
        <v>2973</v>
      </c>
      <c r="C1732" s="99" t="s">
        <v>2974</v>
      </c>
      <c r="D1732" s="38"/>
      <c r="E1732" s="42">
        <v>1</v>
      </c>
      <c r="F1732" s="9">
        <v>65</v>
      </c>
      <c r="G1732" s="8">
        <f t="shared" si="62"/>
        <v>1.5608249999999999</v>
      </c>
      <c r="H1732" s="188">
        <v>1.4864999999999999</v>
      </c>
      <c r="I1732" s="19">
        <f t="shared" si="63"/>
        <v>101.45362499999999</v>
      </c>
      <c r="L1732" s="131"/>
      <c r="M1732" s="131"/>
      <c r="N1732" s="131"/>
    </row>
    <row r="1733" spans="1:14">
      <c r="A1733" s="100" t="s">
        <v>862</v>
      </c>
      <c r="B1733" s="101" t="s">
        <v>2975</v>
      </c>
      <c r="C1733" s="99" t="s">
        <v>2976</v>
      </c>
      <c r="D1733" s="38"/>
      <c r="E1733" s="42">
        <v>1</v>
      </c>
      <c r="F1733" s="9">
        <v>25</v>
      </c>
      <c r="G1733" s="8">
        <f t="shared" si="62"/>
        <v>1.6548</v>
      </c>
      <c r="H1733" s="188">
        <v>1.5760000000000001</v>
      </c>
      <c r="I1733" s="19">
        <f t="shared" si="63"/>
        <v>41.370000000000005</v>
      </c>
      <c r="L1733" s="131"/>
      <c r="M1733" s="131"/>
      <c r="N1733" s="131"/>
    </row>
    <row r="1734" spans="1:14" hidden="1">
      <c r="A1734" s="100" t="s">
        <v>862</v>
      </c>
      <c r="B1734" s="101" t="s">
        <v>2977</v>
      </c>
      <c r="C1734" s="99" t="s">
        <v>2978</v>
      </c>
      <c r="D1734" s="38"/>
      <c r="E1734" s="42">
        <v>1</v>
      </c>
      <c r="F1734" s="9"/>
      <c r="G1734" s="8">
        <f t="shared" si="62"/>
        <v>2.790375</v>
      </c>
      <c r="H1734" s="188">
        <v>2.6575000000000002</v>
      </c>
      <c r="I1734" s="19">
        <f t="shared" si="63"/>
        <v>0</v>
      </c>
      <c r="L1734" s="131"/>
      <c r="M1734" s="131"/>
      <c r="N1734" s="131"/>
    </row>
    <row r="1735" spans="1:14" hidden="1">
      <c r="A1735" s="100" t="s">
        <v>862</v>
      </c>
      <c r="B1735" s="101" t="s">
        <v>2979</v>
      </c>
      <c r="C1735" s="99" t="s">
        <v>2980</v>
      </c>
      <c r="D1735" s="38"/>
      <c r="E1735" s="42">
        <v>1</v>
      </c>
      <c r="F1735" s="9"/>
      <c r="G1735" s="8">
        <f t="shared" si="62"/>
        <v>2.790375</v>
      </c>
      <c r="H1735" s="188">
        <v>2.6575000000000002</v>
      </c>
      <c r="I1735" s="19">
        <f t="shared" si="63"/>
        <v>0</v>
      </c>
      <c r="L1735" s="131"/>
      <c r="M1735" s="131"/>
      <c r="N1735" s="131"/>
    </row>
    <row r="1736" spans="1:14" hidden="1">
      <c r="A1736" s="100" t="s">
        <v>862</v>
      </c>
      <c r="B1736" s="101" t="s">
        <v>2981</v>
      </c>
      <c r="C1736" s="99" t="s">
        <v>2982</v>
      </c>
      <c r="D1736" s="38"/>
      <c r="E1736" s="42">
        <v>1</v>
      </c>
      <c r="F1736" s="9"/>
      <c r="G1736" s="8">
        <f t="shared" si="62"/>
        <v>0.22785</v>
      </c>
      <c r="H1736" s="188">
        <v>0.217</v>
      </c>
      <c r="I1736" s="19">
        <f t="shared" si="63"/>
        <v>0</v>
      </c>
      <c r="L1736" s="131"/>
      <c r="M1736" s="131"/>
      <c r="N1736" s="131"/>
    </row>
    <row r="1737" spans="1:14" hidden="1">
      <c r="A1737" s="100" t="s">
        <v>862</v>
      </c>
      <c r="B1737" s="101" t="s">
        <v>2983</v>
      </c>
      <c r="C1737" s="99" t="s">
        <v>2984</v>
      </c>
      <c r="D1737" s="38"/>
      <c r="E1737" s="42">
        <v>1</v>
      </c>
      <c r="F1737" s="9"/>
      <c r="G1737" s="8">
        <f t="shared" si="62"/>
        <v>64.530900000000003</v>
      </c>
      <c r="H1737" s="188">
        <v>61.457999999999998</v>
      </c>
      <c r="I1737" s="19">
        <f t="shared" si="63"/>
        <v>0</v>
      </c>
      <c r="L1737" s="131"/>
      <c r="M1737" s="131"/>
      <c r="N1737" s="131"/>
    </row>
    <row r="1738" spans="1:14" hidden="1">
      <c r="A1738" s="100" t="s">
        <v>862</v>
      </c>
      <c r="B1738" s="101" t="s">
        <v>2985</v>
      </c>
      <c r="C1738" s="99" t="s">
        <v>2986</v>
      </c>
      <c r="D1738" s="38"/>
      <c r="E1738" s="42">
        <v>1</v>
      </c>
      <c r="F1738" s="9"/>
      <c r="G1738" s="8">
        <f t="shared" si="62"/>
        <v>0.66412499999999997</v>
      </c>
      <c r="H1738" s="188">
        <v>0.63249999999999995</v>
      </c>
      <c r="I1738" s="19">
        <f t="shared" si="63"/>
        <v>0</v>
      </c>
      <c r="L1738" s="131"/>
      <c r="M1738" s="131"/>
      <c r="N1738" s="131"/>
    </row>
    <row r="1739" spans="1:14" hidden="1">
      <c r="A1739" s="100" t="s">
        <v>862</v>
      </c>
      <c r="B1739" s="101" t="s">
        <v>2987</v>
      </c>
      <c r="C1739" s="99" t="s">
        <v>2988</v>
      </c>
      <c r="D1739" s="38"/>
      <c r="E1739" s="42">
        <v>1</v>
      </c>
      <c r="F1739" s="9"/>
      <c r="G1739" s="8">
        <f t="shared" si="62"/>
        <v>0.16012499999999999</v>
      </c>
      <c r="H1739" s="188">
        <v>0.1525</v>
      </c>
      <c r="I1739" s="19">
        <f t="shared" si="63"/>
        <v>0</v>
      </c>
      <c r="L1739" s="131"/>
      <c r="M1739" s="131"/>
      <c r="N1739" s="131"/>
    </row>
    <row r="1740" spans="1:14" hidden="1">
      <c r="A1740" s="100" t="s">
        <v>862</v>
      </c>
      <c r="B1740" s="101" t="s">
        <v>2989</v>
      </c>
      <c r="C1740" s="99" t="s">
        <v>2990</v>
      </c>
      <c r="D1740" s="38"/>
      <c r="E1740" s="42">
        <v>1</v>
      </c>
      <c r="F1740" s="9"/>
      <c r="G1740" s="8">
        <f t="shared" si="62"/>
        <v>6.5115750000000006</v>
      </c>
      <c r="H1740" s="188">
        <v>6.2015000000000002</v>
      </c>
      <c r="I1740" s="19">
        <f t="shared" si="63"/>
        <v>0</v>
      </c>
      <c r="L1740" s="131"/>
      <c r="M1740" s="131"/>
      <c r="N1740" s="131"/>
    </row>
    <row r="1741" spans="1:14" hidden="1">
      <c r="A1741" s="100" t="s">
        <v>862</v>
      </c>
      <c r="B1741" s="101" t="s">
        <v>2991</v>
      </c>
      <c r="C1741" s="99" t="s">
        <v>2992</v>
      </c>
      <c r="D1741" s="38"/>
      <c r="E1741" s="42">
        <v>1</v>
      </c>
      <c r="F1741" s="9"/>
      <c r="G1741" s="8">
        <f t="shared" si="62"/>
        <v>2.3037000000000001</v>
      </c>
      <c r="H1741" s="188">
        <v>2.194</v>
      </c>
      <c r="I1741" s="19">
        <f t="shared" si="63"/>
        <v>0</v>
      </c>
      <c r="L1741" s="131"/>
      <c r="M1741" s="131"/>
      <c r="N1741" s="131"/>
    </row>
    <row r="1742" spans="1:14" hidden="1">
      <c r="A1742" s="100" t="s">
        <v>862</v>
      </c>
      <c r="B1742" s="101" t="s">
        <v>2993</v>
      </c>
      <c r="C1742" s="99" t="s">
        <v>2994</v>
      </c>
      <c r="D1742" s="38"/>
      <c r="E1742" s="42">
        <v>1</v>
      </c>
      <c r="F1742" s="9"/>
      <c r="G1742" s="8">
        <f t="shared" si="62"/>
        <v>1.3419000000000001</v>
      </c>
      <c r="H1742" s="188">
        <v>1.278</v>
      </c>
      <c r="I1742" s="19">
        <f t="shared" si="63"/>
        <v>0</v>
      </c>
      <c r="L1742" s="131"/>
      <c r="M1742" s="131"/>
      <c r="N1742" s="131"/>
    </row>
    <row r="1743" spans="1:14" hidden="1">
      <c r="A1743" s="100" t="s">
        <v>862</v>
      </c>
      <c r="B1743" s="101" t="s">
        <v>2995</v>
      </c>
      <c r="C1743" s="99" t="s">
        <v>2996</v>
      </c>
      <c r="D1743" s="38"/>
      <c r="E1743" s="42">
        <v>1</v>
      </c>
      <c r="F1743" s="9"/>
      <c r="G1743" s="8">
        <f t="shared" si="62"/>
        <v>0.10185</v>
      </c>
      <c r="H1743" s="188">
        <v>9.7000000000000003E-2</v>
      </c>
      <c r="I1743" s="19">
        <f t="shared" si="63"/>
        <v>0</v>
      </c>
      <c r="L1743" s="131"/>
      <c r="M1743" s="131"/>
      <c r="N1743" s="131"/>
    </row>
    <row r="1744" spans="1:14" hidden="1">
      <c r="A1744" s="100" t="s">
        <v>862</v>
      </c>
      <c r="B1744" s="101" t="s">
        <v>2997</v>
      </c>
      <c r="C1744" s="99" t="s">
        <v>2998</v>
      </c>
      <c r="D1744" s="38"/>
      <c r="E1744" s="42">
        <v>1</v>
      </c>
      <c r="F1744" s="9"/>
      <c r="G1744" s="8">
        <f t="shared" si="62"/>
        <v>0.113925</v>
      </c>
      <c r="H1744" s="188">
        <v>0.1085</v>
      </c>
      <c r="I1744" s="19">
        <f t="shared" si="63"/>
        <v>0</v>
      </c>
      <c r="L1744" s="131"/>
      <c r="M1744" s="131"/>
      <c r="N1744" s="131"/>
    </row>
    <row r="1745" spans="1:14" hidden="1">
      <c r="A1745" s="100" t="s">
        <v>862</v>
      </c>
      <c r="B1745" s="101" t="s">
        <v>2999</v>
      </c>
      <c r="C1745" s="99" t="s">
        <v>3000</v>
      </c>
      <c r="D1745" s="38"/>
      <c r="E1745" s="42">
        <v>1</v>
      </c>
      <c r="F1745" s="9"/>
      <c r="G1745" s="8">
        <f t="shared" si="62"/>
        <v>0.1113</v>
      </c>
      <c r="H1745" s="188">
        <v>0.106</v>
      </c>
      <c r="I1745" s="19">
        <f t="shared" si="63"/>
        <v>0</v>
      </c>
      <c r="L1745" s="131"/>
      <c r="M1745" s="131"/>
      <c r="N1745" s="131"/>
    </row>
    <row r="1746" spans="1:14" hidden="1">
      <c r="A1746" s="100" t="s">
        <v>862</v>
      </c>
      <c r="B1746" s="101" t="s">
        <v>3001</v>
      </c>
      <c r="C1746" s="99" t="s">
        <v>3002</v>
      </c>
      <c r="D1746" s="38"/>
      <c r="E1746" s="42">
        <v>1</v>
      </c>
      <c r="F1746" s="9"/>
      <c r="G1746" s="8">
        <f t="shared" si="62"/>
        <v>2.3682750000000001</v>
      </c>
      <c r="H1746" s="188">
        <v>2.2555000000000001</v>
      </c>
      <c r="I1746" s="19">
        <f t="shared" si="63"/>
        <v>0</v>
      </c>
      <c r="L1746" s="131"/>
      <c r="M1746" s="131"/>
      <c r="N1746" s="131"/>
    </row>
    <row r="1747" spans="1:14" hidden="1">
      <c r="A1747" s="100" t="s">
        <v>862</v>
      </c>
      <c r="B1747" s="101" t="s">
        <v>3003</v>
      </c>
      <c r="C1747" s="99" t="s">
        <v>3004</v>
      </c>
      <c r="D1747" s="38"/>
      <c r="E1747" s="42">
        <v>1</v>
      </c>
      <c r="F1747" s="9"/>
      <c r="G1747" s="8">
        <f t="shared" si="62"/>
        <v>2.0921249999999998</v>
      </c>
      <c r="H1747" s="188">
        <v>1.9924999999999999</v>
      </c>
      <c r="I1747" s="19">
        <f t="shared" si="63"/>
        <v>0</v>
      </c>
      <c r="L1747" s="131"/>
      <c r="M1747" s="131"/>
      <c r="N1747" s="131"/>
    </row>
    <row r="1748" spans="1:14" hidden="1">
      <c r="A1748" s="100" t="s">
        <v>862</v>
      </c>
      <c r="B1748" s="101" t="s">
        <v>3005</v>
      </c>
      <c r="C1748" s="99" t="s">
        <v>3006</v>
      </c>
      <c r="D1748" s="38"/>
      <c r="E1748" s="42">
        <v>1</v>
      </c>
      <c r="F1748" s="9"/>
      <c r="G1748" s="8">
        <f t="shared" si="62"/>
        <v>0.38062499999999999</v>
      </c>
      <c r="H1748" s="188">
        <v>0.36249999999999999</v>
      </c>
      <c r="I1748" s="19">
        <f t="shared" si="63"/>
        <v>0</v>
      </c>
      <c r="L1748" s="131"/>
      <c r="M1748" s="131"/>
      <c r="N1748" s="131"/>
    </row>
    <row r="1749" spans="1:14" hidden="1">
      <c r="A1749" s="100" t="s">
        <v>862</v>
      </c>
      <c r="B1749" s="101" t="s">
        <v>3007</v>
      </c>
      <c r="C1749" s="99" t="s">
        <v>3008</v>
      </c>
      <c r="D1749" s="38"/>
      <c r="E1749" s="42">
        <v>1</v>
      </c>
      <c r="F1749" s="9"/>
      <c r="G1749" s="8">
        <f t="shared" si="62"/>
        <v>0.505575</v>
      </c>
      <c r="H1749" s="188">
        <v>0.48149999999999998</v>
      </c>
      <c r="I1749" s="19">
        <f t="shared" si="63"/>
        <v>0</v>
      </c>
      <c r="L1749" s="131"/>
      <c r="M1749" s="131"/>
      <c r="N1749" s="131"/>
    </row>
    <row r="1750" spans="1:14" hidden="1">
      <c r="A1750" s="100" t="s">
        <v>862</v>
      </c>
      <c r="B1750" s="101" t="s">
        <v>3009</v>
      </c>
      <c r="C1750" s="99" t="s">
        <v>3010</v>
      </c>
      <c r="D1750" s="38"/>
      <c r="E1750" s="42">
        <v>1</v>
      </c>
      <c r="F1750" s="9"/>
      <c r="G1750" s="8">
        <f t="shared" si="62"/>
        <v>5.6175000000000003E-2</v>
      </c>
      <c r="H1750" s="188">
        <v>5.3499999999999999E-2</v>
      </c>
      <c r="I1750" s="19">
        <f t="shared" si="63"/>
        <v>0</v>
      </c>
      <c r="L1750" s="131"/>
      <c r="M1750" s="131"/>
      <c r="N1750" s="131"/>
    </row>
    <row r="1751" spans="1:14" hidden="1">
      <c r="A1751" s="100" t="s">
        <v>862</v>
      </c>
      <c r="B1751" s="101" t="s">
        <v>3011</v>
      </c>
      <c r="C1751" s="99" t="s">
        <v>3012</v>
      </c>
      <c r="D1751" s="38"/>
      <c r="E1751" s="42">
        <v>1</v>
      </c>
      <c r="F1751" s="9"/>
      <c r="G1751" s="8">
        <f t="shared" si="62"/>
        <v>0.61214999999999997</v>
      </c>
      <c r="H1751" s="188">
        <v>0.58299999999999996</v>
      </c>
      <c r="I1751" s="19">
        <f t="shared" si="63"/>
        <v>0</v>
      </c>
      <c r="L1751" s="131"/>
      <c r="M1751" s="131"/>
      <c r="N1751" s="131"/>
    </row>
    <row r="1752" spans="1:14" hidden="1">
      <c r="A1752" s="100" t="s">
        <v>862</v>
      </c>
      <c r="B1752" s="101" t="s">
        <v>3013</v>
      </c>
      <c r="C1752" s="99" t="s">
        <v>3014</v>
      </c>
      <c r="D1752" s="38" t="s">
        <v>945</v>
      </c>
      <c r="E1752" s="42">
        <v>1</v>
      </c>
      <c r="F1752" s="9"/>
      <c r="G1752" s="8">
        <f t="shared" si="62"/>
        <v>10.856999999999999</v>
      </c>
      <c r="H1752" s="188">
        <v>10.34</v>
      </c>
      <c r="I1752" s="19">
        <f t="shared" si="63"/>
        <v>0</v>
      </c>
      <c r="L1752" s="131"/>
      <c r="M1752" s="131"/>
      <c r="N1752" s="131"/>
    </row>
    <row r="1753" spans="1:14" hidden="1">
      <c r="A1753" s="100" t="s">
        <v>862</v>
      </c>
      <c r="B1753" s="101" t="s">
        <v>3015</v>
      </c>
      <c r="C1753" s="99" t="s">
        <v>3016</v>
      </c>
      <c r="D1753" s="38" t="s">
        <v>945</v>
      </c>
      <c r="E1753" s="42">
        <v>1</v>
      </c>
      <c r="F1753" s="9"/>
      <c r="G1753" s="8">
        <f t="shared" si="62"/>
        <v>0.51449999999999996</v>
      </c>
      <c r="H1753" s="188">
        <v>0.49</v>
      </c>
      <c r="I1753" s="19">
        <f t="shared" si="63"/>
        <v>0</v>
      </c>
      <c r="L1753" s="131"/>
      <c r="M1753" s="131"/>
      <c r="N1753" s="131"/>
    </row>
    <row r="1754" spans="1:14" hidden="1">
      <c r="A1754" s="100" t="s">
        <v>862</v>
      </c>
      <c r="B1754" s="101" t="s">
        <v>3017</v>
      </c>
      <c r="C1754" s="99" t="s">
        <v>3018</v>
      </c>
      <c r="D1754" s="38" t="s">
        <v>945</v>
      </c>
      <c r="E1754" s="42">
        <v>1</v>
      </c>
      <c r="F1754" s="9"/>
      <c r="G1754" s="8">
        <f t="shared" si="62"/>
        <v>275.67750000000001</v>
      </c>
      <c r="H1754" s="188">
        <v>262.55</v>
      </c>
      <c r="I1754" s="19">
        <f t="shared" si="63"/>
        <v>0</v>
      </c>
      <c r="L1754" s="131"/>
      <c r="M1754" s="131"/>
      <c r="N1754" s="131"/>
    </row>
    <row r="1755" spans="1:14">
      <c r="A1755" s="100" t="s">
        <v>862</v>
      </c>
      <c r="B1755" s="97" t="s">
        <v>3019</v>
      </c>
      <c r="C1755" s="98" t="s">
        <v>3020</v>
      </c>
      <c r="D1755" s="38" t="s">
        <v>2488</v>
      </c>
      <c r="E1755" s="42">
        <v>1</v>
      </c>
      <c r="F1755" s="9">
        <v>1</v>
      </c>
      <c r="G1755" s="8">
        <f t="shared" si="62"/>
        <v>68.748750000000001</v>
      </c>
      <c r="H1755" s="188">
        <v>65.474999999999994</v>
      </c>
      <c r="I1755" s="19">
        <f t="shared" si="63"/>
        <v>68.748750000000001</v>
      </c>
      <c r="L1755" s="131"/>
      <c r="M1755" s="131"/>
      <c r="N1755" s="131"/>
    </row>
    <row r="1756" spans="1:14" hidden="1">
      <c r="A1756" s="100" t="s">
        <v>862</v>
      </c>
      <c r="B1756" s="101" t="s">
        <v>3021</v>
      </c>
      <c r="C1756" s="99" t="s">
        <v>3022</v>
      </c>
      <c r="D1756" s="38"/>
      <c r="E1756" s="42">
        <v>1</v>
      </c>
      <c r="F1756" s="9"/>
      <c r="G1756" s="8">
        <f t="shared" si="62"/>
        <v>0.44624999999999998</v>
      </c>
      <c r="H1756" s="188">
        <v>0.42499999999999999</v>
      </c>
      <c r="I1756" s="19">
        <f t="shared" si="63"/>
        <v>0</v>
      </c>
      <c r="L1756" s="131"/>
      <c r="M1756" s="131"/>
      <c r="N1756" s="131"/>
    </row>
    <row r="1757" spans="1:14" hidden="1">
      <c r="A1757" s="100" t="s">
        <v>862</v>
      </c>
      <c r="B1757" s="101" t="s">
        <v>3023</v>
      </c>
      <c r="C1757" s="99" t="s">
        <v>3024</v>
      </c>
      <c r="D1757" s="38"/>
      <c r="E1757" s="42">
        <v>1</v>
      </c>
      <c r="F1757" s="9"/>
      <c r="G1757" s="8">
        <f t="shared" si="62"/>
        <v>0.46987499999999999</v>
      </c>
      <c r="H1757" s="188">
        <v>0.44750000000000001</v>
      </c>
      <c r="I1757" s="19">
        <f t="shared" si="63"/>
        <v>0</v>
      </c>
      <c r="L1757" s="131"/>
      <c r="M1757" s="131"/>
      <c r="N1757" s="131"/>
    </row>
    <row r="1758" spans="1:14">
      <c r="A1758" s="100" t="s">
        <v>862</v>
      </c>
      <c r="B1758" s="101" t="s">
        <v>3025</v>
      </c>
      <c r="C1758" s="99" t="s">
        <v>3026</v>
      </c>
      <c r="D1758" s="38"/>
      <c r="E1758" s="42">
        <v>1</v>
      </c>
      <c r="F1758" s="9">
        <v>10</v>
      </c>
      <c r="G1758" s="8">
        <f t="shared" si="62"/>
        <v>1.490475</v>
      </c>
      <c r="H1758" s="188">
        <v>1.4195</v>
      </c>
      <c r="I1758" s="19">
        <f t="shared" si="63"/>
        <v>14.90475</v>
      </c>
      <c r="L1758" s="131"/>
      <c r="M1758" s="131"/>
      <c r="N1758" s="131"/>
    </row>
    <row r="1759" spans="1:14" hidden="1">
      <c r="A1759" s="100" t="s">
        <v>862</v>
      </c>
      <c r="B1759" s="101" t="s">
        <v>3027</v>
      </c>
      <c r="C1759" s="99" t="s">
        <v>3028</v>
      </c>
      <c r="D1759" s="38"/>
      <c r="E1759" s="42">
        <v>1</v>
      </c>
      <c r="F1759" s="9"/>
      <c r="G1759" s="8">
        <f t="shared" si="62"/>
        <v>0.50767499999999999</v>
      </c>
      <c r="H1759" s="188">
        <v>0.48349999999999999</v>
      </c>
      <c r="I1759" s="19">
        <f t="shared" si="63"/>
        <v>0</v>
      </c>
      <c r="L1759" s="131"/>
      <c r="M1759" s="131"/>
      <c r="N1759" s="131"/>
    </row>
    <row r="1760" spans="1:14" hidden="1">
      <c r="A1760" s="100" t="s">
        <v>862</v>
      </c>
      <c r="B1760" s="101" t="s">
        <v>3029</v>
      </c>
      <c r="C1760" s="99" t="s">
        <v>3030</v>
      </c>
      <c r="D1760" s="38"/>
      <c r="E1760" s="42">
        <v>1</v>
      </c>
      <c r="F1760" s="9"/>
      <c r="G1760" s="8">
        <f t="shared" si="62"/>
        <v>1.6411499999999999</v>
      </c>
      <c r="H1760" s="188">
        <v>1.5629999999999999</v>
      </c>
      <c r="I1760" s="19">
        <f t="shared" si="63"/>
        <v>0</v>
      </c>
      <c r="L1760" s="131"/>
      <c r="M1760" s="131"/>
      <c r="N1760" s="131"/>
    </row>
    <row r="1761" spans="1:14" hidden="1">
      <c r="A1761" s="100" t="s">
        <v>862</v>
      </c>
      <c r="B1761" s="101" t="s">
        <v>3031</v>
      </c>
      <c r="C1761" s="99" t="s">
        <v>3032</v>
      </c>
      <c r="D1761" s="38"/>
      <c r="E1761" s="42">
        <v>1</v>
      </c>
      <c r="F1761" s="9"/>
      <c r="G1761" s="8">
        <f t="shared" si="62"/>
        <v>9.5912249999999997</v>
      </c>
      <c r="H1761" s="188">
        <v>9.1344999999999992</v>
      </c>
      <c r="I1761" s="19">
        <f t="shared" si="63"/>
        <v>0</v>
      </c>
      <c r="L1761" s="131"/>
      <c r="M1761" s="131"/>
      <c r="N1761" s="131"/>
    </row>
    <row r="1762" spans="1:14" hidden="1">
      <c r="A1762" s="100" t="s">
        <v>862</v>
      </c>
      <c r="B1762" s="97" t="s">
        <v>3033</v>
      </c>
      <c r="C1762" s="98" t="s">
        <v>3034</v>
      </c>
      <c r="D1762" s="38" t="s">
        <v>572</v>
      </c>
      <c r="E1762" s="42">
        <v>1</v>
      </c>
      <c r="F1762" s="9"/>
      <c r="G1762" s="8">
        <f t="shared" si="62"/>
        <v>1.1445000000000001</v>
      </c>
      <c r="H1762" s="188">
        <v>1.0900000000000001</v>
      </c>
      <c r="I1762" s="19">
        <f t="shared" si="63"/>
        <v>0</v>
      </c>
      <c r="L1762" s="131"/>
      <c r="M1762" s="131"/>
      <c r="N1762" s="131"/>
    </row>
    <row r="1763" spans="1:14" hidden="1">
      <c r="A1763" s="100" t="s">
        <v>862</v>
      </c>
      <c r="B1763" s="101" t="s">
        <v>3035</v>
      </c>
      <c r="C1763" s="99" t="s">
        <v>3036</v>
      </c>
      <c r="D1763" s="38"/>
      <c r="E1763" s="42">
        <v>1</v>
      </c>
      <c r="F1763" s="9"/>
      <c r="G1763" s="8">
        <f t="shared" si="62"/>
        <v>10.083674999999999</v>
      </c>
      <c r="H1763" s="188">
        <v>9.6035000000000004</v>
      </c>
      <c r="I1763" s="19">
        <f t="shared" si="63"/>
        <v>0</v>
      </c>
      <c r="L1763" s="131"/>
      <c r="M1763" s="131"/>
      <c r="N1763" s="131"/>
    </row>
    <row r="1764" spans="1:14" hidden="1">
      <c r="A1764" s="100" t="s">
        <v>862</v>
      </c>
      <c r="B1764" s="101" t="s">
        <v>3037</v>
      </c>
      <c r="C1764" s="99" t="s">
        <v>3038</v>
      </c>
      <c r="D1764" s="38"/>
      <c r="E1764" s="42">
        <v>1</v>
      </c>
      <c r="F1764" s="9"/>
      <c r="G1764" s="8">
        <f t="shared" si="62"/>
        <v>3.2046000000000001</v>
      </c>
      <c r="H1764" s="188">
        <v>3.052</v>
      </c>
      <c r="I1764" s="19">
        <f t="shared" si="63"/>
        <v>0</v>
      </c>
      <c r="L1764" s="131"/>
      <c r="M1764" s="131"/>
      <c r="N1764" s="131"/>
    </row>
    <row r="1765" spans="1:14" hidden="1">
      <c r="A1765" s="100" t="s">
        <v>862</v>
      </c>
      <c r="B1765" s="101" t="s">
        <v>3039</v>
      </c>
      <c r="C1765" s="99" t="s">
        <v>3040</v>
      </c>
      <c r="D1765" s="38"/>
      <c r="E1765" s="42">
        <v>1</v>
      </c>
      <c r="F1765" s="9"/>
      <c r="G1765" s="8">
        <f t="shared" ref="G1765:G1828" si="64">H1765+(H1765*5%)</f>
        <v>1.0510499999999998</v>
      </c>
      <c r="H1765" s="188">
        <v>1.0009999999999999</v>
      </c>
      <c r="I1765" s="19">
        <f t="shared" si="63"/>
        <v>0</v>
      </c>
      <c r="L1765" s="131"/>
      <c r="M1765" s="131"/>
      <c r="N1765" s="131"/>
    </row>
    <row r="1766" spans="1:14" hidden="1">
      <c r="A1766" s="100" t="s">
        <v>862</v>
      </c>
      <c r="B1766" s="101" t="s">
        <v>3041</v>
      </c>
      <c r="C1766" s="99" t="s">
        <v>3042</v>
      </c>
      <c r="D1766" s="38"/>
      <c r="E1766" s="42">
        <v>1</v>
      </c>
      <c r="F1766" s="9"/>
      <c r="G1766" s="8">
        <f t="shared" si="64"/>
        <v>0.53602499999999997</v>
      </c>
      <c r="H1766" s="188">
        <v>0.51049999999999995</v>
      </c>
      <c r="I1766" s="19">
        <f t="shared" si="63"/>
        <v>0</v>
      </c>
      <c r="L1766" s="131"/>
      <c r="M1766" s="131"/>
      <c r="N1766" s="131"/>
    </row>
    <row r="1767" spans="1:14" hidden="1">
      <c r="A1767" s="100" t="s">
        <v>862</v>
      </c>
      <c r="B1767" s="101" t="s">
        <v>3043</v>
      </c>
      <c r="C1767" s="99" t="s">
        <v>3044</v>
      </c>
      <c r="D1767" s="38"/>
      <c r="E1767" s="42">
        <v>1</v>
      </c>
      <c r="F1767" s="9"/>
      <c r="G1767" s="8">
        <f t="shared" si="64"/>
        <v>2.7672750000000002</v>
      </c>
      <c r="H1767" s="188">
        <v>2.6355</v>
      </c>
      <c r="I1767" s="19">
        <f t="shared" ref="I1767:I1830" si="65">G1767*F1767</f>
        <v>0</v>
      </c>
      <c r="L1767" s="131"/>
      <c r="M1767" s="131"/>
      <c r="N1767" s="131"/>
    </row>
    <row r="1768" spans="1:14" hidden="1">
      <c r="A1768" s="100" t="s">
        <v>862</v>
      </c>
      <c r="B1768" s="101" t="s">
        <v>3045</v>
      </c>
      <c r="C1768" s="99" t="s">
        <v>3046</v>
      </c>
      <c r="D1768" s="38"/>
      <c r="E1768" s="42">
        <v>1</v>
      </c>
      <c r="F1768" s="9"/>
      <c r="G1768" s="8">
        <f t="shared" si="64"/>
        <v>2.3661749999999997</v>
      </c>
      <c r="H1768" s="188">
        <v>2.2534999999999998</v>
      </c>
      <c r="I1768" s="19">
        <f t="shared" si="65"/>
        <v>0</v>
      </c>
      <c r="L1768" s="131"/>
      <c r="M1768" s="131"/>
      <c r="N1768" s="131"/>
    </row>
    <row r="1769" spans="1:14" hidden="1">
      <c r="A1769" s="100" t="s">
        <v>862</v>
      </c>
      <c r="B1769" s="101" t="s">
        <v>3047</v>
      </c>
      <c r="C1769" s="99" t="s">
        <v>3048</v>
      </c>
      <c r="D1769" s="38"/>
      <c r="E1769" s="42">
        <v>1</v>
      </c>
      <c r="F1769" s="9"/>
      <c r="G1769" s="8">
        <f t="shared" si="64"/>
        <v>9.8174999999999998E-2</v>
      </c>
      <c r="H1769" s="188">
        <v>9.35E-2</v>
      </c>
      <c r="I1769" s="19">
        <f t="shared" si="65"/>
        <v>0</v>
      </c>
      <c r="L1769" s="131"/>
      <c r="M1769" s="131"/>
      <c r="N1769" s="131"/>
    </row>
    <row r="1770" spans="1:14" hidden="1">
      <c r="A1770" s="100" t="s">
        <v>862</v>
      </c>
      <c r="B1770" s="101" t="s">
        <v>3049</v>
      </c>
      <c r="C1770" s="99" t="s">
        <v>3050</v>
      </c>
      <c r="D1770" s="38"/>
      <c r="E1770" s="42">
        <v>1</v>
      </c>
      <c r="F1770" s="9"/>
      <c r="G1770" s="8">
        <f t="shared" si="64"/>
        <v>0.26302500000000001</v>
      </c>
      <c r="H1770" s="188">
        <v>0.2505</v>
      </c>
      <c r="I1770" s="19">
        <f t="shared" si="65"/>
        <v>0</v>
      </c>
      <c r="L1770" s="131"/>
      <c r="M1770" s="131"/>
      <c r="N1770" s="131"/>
    </row>
    <row r="1771" spans="1:14" hidden="1">
      <c r="A1771" s="100" t="s">
        <v>862</v>
      </c>
      <c r="B1771" s="101" t="s">
        <v>3051</v>
      </c>
      <c r="C1771" s="99" t="s">
        <v>3052</v>
      </c>
      <c r="D1771" s="38"/>
      <c r="E1771" s="42">
        <v>1</v>
      </c>
      <c r="F1771" s="9"/>
      <c r="G1771" s="8">
        <f t="shared" si="64"/>
        <v>7.0875000000000007E-2</v>
      </c>
      <c r="H1771" s="188">
        <v>6.7500000000000004E-2</v>
      </c>
      <c r="I1771" s="19">
        <f t="shared" si="65"/>
        <v>0</v>
      </c>
      <c r="L1771" s="131"/>
      <c r="M1771" s="131"/>
      <c r="N1771" s="131"/>
    </row>
    <row r="1772" spans="1:14" hidden="1">
      <c r="A1772" s="100" t="s">
        <v>862</v>
      </c>
      <c r="B1772" s="101" t="s">
        <v>3053</v>
      </c>
      <c r="C1772" s="99" t="s">
        <v>3054</v>
      </c>
      <c r="D1772" s="38"/>
      <c r="E1772" s="42">
        <v>1</v>
      </c>
      <c r="F1772" s="9"/>
      <c r="G1772" s="8">
        <f t="shared" si="64"/>
        <v>8.0324999999999994E-2</v>
      </c>
      <c r="H1772" s="188">
        <v>7.6499999999999999E-2</v>
      </c>
      <c r="I1772" s="19">
        <f t="shared" si="65"/>
        <v>0</v>
      </c>
      <c r="L1772" s="131"/>
      <c r="M1772" s="131"/>
      <c r="N1772" s="131"/>
    </row>
    <row r="1773" spans="1:14" hidden="1">
      <c r="A1773" s="100" t="s">
        <v>862</v>
      </c>
      <c r="B1773" s="101" t="s">
        <v>3055</v>
      </c>
      <c r="C1773" s="99" t="s">
        <v>3056</v>
      </c>
      <c r="D1773" s="38"/>
      <c r="E1773" s="42">
        <v>1</v>
      </c>
      <c r="F1773" s="9"/>
      <c r="G1773" s="8">
        <f t="shared" si="64"/>
        <v>0.13387499999999999</v>
      </c>
      <c r="H1773" s="188">
        <v>0.1275</v>
      </c>
      <c r="I1773" s="19">
        <f t="shared" si="65"/>
        <v>0</v>
      </c>
      <c r="L1773" s="131"/>
      <c r="M1773" s="131"/>
      <c r="N1773" s="131"/>
    </row>
    <row r="1774" spans="1:14" hidden="1">
      <c r="A1774" s="100" t="s">
        <v>862</v>
      </c>
      <c r="B1774" s="101" t="s">
        <v>3057</v>
      </c>
      <c r="C1774" s="99" t="s">
        <v>3058</v>
      </c>
      <c r="D1774" s="38"/>
      <c r="E1774" s="42">
        <v>1</v>
      </c>
      <c r="F1774" s="9"/>
      <c r="G1774" s="8">
        <f t="shared" si="64"/>
        <v>0.10815</v>
      </c>
      <c r="H1774" s="188">
        <v>0.10299999999999999</v>
      </c>
      <c r="I1774" s="19">
        <f t="shared" si="65"/>
        <v>0</v>
      </c>
      <c r="L1774" s="131"/>
      <c r="M1774" s="131"/>
      <c r="N1774" s="131"/>
    </row>
    <row r="1775" spans="1:14" hidden="1">
      <c r="A1775" s="100" t="s">
        <v>862</v>
      </c>
      <c r="B1775" s="101" t="s">
        <v>3059</v>
      </c>
      <c r="C1775" s="99" t="s">
        <v>3060</v>
      </c>
      <c r="D1775" s="38"/>
      <c r="E1775" s="42">
        <v>1</v>
      </c>
      <c r="F1775" s="9"/>
      <c r="G1775" s="8">
        <f t="shared" si="64"/>
        <v>6.7725000000000007E-2</v>
      </c>
      <c r="H1775" s="188">
        <v>6.4500000000000002E-2</v>
      </c>
      <c r="I1775" s="19">
        <f t="shared" si="65"/>
        <v>0</v>
      </c>
      <c r="L1775" s="131"/>
      <c r="M1775" s="131"/>
      <c r="N1775" s="131"/>
    </row>
    <row r="1776" spans="1:14" hidden="1">
      <c r="A1776" s="100" t="s">
        <v>862</v>
      </c>
      <c r="B1776" s="101" t="s">
        <v>3061</v>
      </c>
      <c r="C1776" s="99" t="s">
        <v>3062</v>
      </c>
      <c r="D1776" s="38"/>
      <c r="E1776" s="42">
        <v>1</v>
      </c>
      <c r="F1776" s="9"/>
      <c r="G1776" s="8">
        <f t="shared" si="64"/>
        <v>7.2450000000000001E-2</v>
      </c>
      <c r="H1776" s="188">
        <v>6.9000000000000006E-2</v>
      </c>
      <c r="I1776" s="19">
        <f t="shared" si="65"/>
        <v>0</v>
      </c>
      <c r="L1776" s="131"/>
      <c r="M1776" s="131"/>
      <c r="N1776" s="131"/>
    </row>
    <row r="1777" spans="1:14" hidden="1">
      <c r="A1777" s="100" t="s">
        <v>862</v>
      </c>
      <c r="B1777" s="101" t="s">
        <v>3063</v>
      </c>
      <c r="C1777" s="99" t="s">
        <v>3064</v>
      </c>
      <c r="D1777" s="38"/>
      <c r="E1777" s="42">
        <v>1</v>
      </c>
      <c r="F1777" s="9"/>
      <c r="G1777" s="8">
        <f t="shared" si="64"/>
        <v>0.116025</v>
      </c>
      <c r="H1777" s="188">
        <v>0.1105</v>
      </c>
      <c r="I1777" s="19">
        <f t="shared" si="65"/>
        <v>0</v>
      </c>
      <c r="L1777" s="131"/>
      <c r="M1777" s="131"/>
      <c r="N1777" s="131"/>
    </row>
    <row r="1778" spans="1:14" hidden="1">
      <c r="A1778" s="100" t="s">
        <v>862</v>
      </c>
      <c r="B1778" s="101" t="s">
        <v>3065</v>
      </c>
      <c r="C1778" s="99" t="s">
        <v>3066</v>
      </c>
      <c r="D1778" s="38"/>
      <c r="E1778" s="42">
        <v>1</v>
      </c>
      <c r="F1778" s="9"/>
      <c r="G1778" s="8">
        <f t="shared" si="64"/>
        <v>0.13335</v>
      </c>
      <c r="H1778" s="188">
        <v>0.127</v>
      </c>
      <c r="I1778" s="19">
        <f t="shared" si="65"/>
        <v>0</v>
      </c>
      <c r="L1778" s="131"/>
      <c r="M1778" s="131"/>
      <c r="N1778" s="131"/>
    </row>
    <row r="1779" spans="1:14" hidden="1">
      <c r="A1779" s="100" t="s">
        <v>862</v>
      </c>
      <c r="B1779" s="97" t="s">
        <v>3067</v>
      </c>
      <c r="C1779" s="98" t="s">
        <v>3068</v>
      </c>
      <c r="D1779" s="38" t="s">
        <v>572</v>
      </c>
      <c r="E1779" s="42">
        <v>1</v>
      </c>
      <c r="F1779" s="9"/>
      <c r="G1779" s="8">
        <f t="shared" si="64"/>
        <v>0.63524999999999998</v>
      </c>
      <c r="H1779" s="188">
        <v>0.60499999999999998</v>
      </c>
      <c r="I1779" s="19">
        <f t="shared" si="65"/>
        <v>0</v>
      </c>
      <c r="L1779" s="131"/>
      <c r="M1779" s="131"/>
      <c r="N1779" s="131"/>
    </row>
    <row r="1780" spans="1:14" hidden="1">
      <c r="A1780" s="100" t="s">
        <v>862</v>
      </c>
      <c r="B1780" s="101" t="s">
        <v>3069</v>
      </c>
      <c r="C1780" s="99" t="s">
        <v>3070</v>
      </c>
      <c r="D1780" s="38"/>
      <c r="E1780" s="42">
        <v>1</v>
      </c>
      <c r="F1780" s="9"/>
      <c r="G1780" s="8">
        <f t="shared" si="64"/>
        <v>0.20527500000000001</v>
      </c>
      <c r="H1780" s="188">
        <v>0.19550000000000001</v>
      </c>
      <c r="I1780" s="19">
        <f t="shared" si="65"/>
        <v>0</v>
      </c>
      <c r="L1780" s="131"/>
      <c r="M1780" s="131"/>
      <c r="N1780" s="131"/>
    </row>
    <row r="1781" spans="1:14" hidden="1">
      <c r="A1781" s="100" t="s">
        <v>862</v>
      </c>
      <c r="B1781" s="101" t="s">
        <v>3071</v>
      </c>
      <c r="C1781" s="99" t="s">
        <v>3072</v>
      </c>
      <c r="D1781" s="38"/>
      <c r="E1781" s="42">
        <v>1</v>
      </c>
      <c r="F1781" s="9"/>
      <c r="G1781" s="8">
        <f t="shared" si="64"/>
        <v>0.15014999999999998</v>
      </c>
      <c r="H1781" s="188">
        <v>0.14299999999999999</v>
      </c>
      <c r="I1781" s="19">
        <f t="shared" si="65"/>
        <v>0</v>
      </c>
      <c r="L1781" s="131"/>
      <c r="M1781" s="131"/>
      <c r="N1781" s="131"/>
    </row>
    <row r="1782" spans="1:14" hidden="1">
      <c r="A1782" s="100" t="s">
        <v>862</v>
      </c>
      <c r="B1782" s="101" t="s">
        <v>3073</v>
      </c>
      <c r="C1782" s="99" t="s">
        <v>3074</v>
      </c>
      <c r="D1782" s="38"/>
      <c r="E1782" s="42">
        <v>1</v>
      </c>
      <c r="F1782" s="9"/>
      <c r="G1782" s="8">
        <f t="shared" si="64"/>
        <v>0.183225</v>
      </c>
      <c r="H1782" s="188">
        <v>0.17449999999999999</v>
      </c>
      <c r="I1782" s="19">
        <f t="shared" si="65"/>
        <v>0</v>
      </c>
      <c r="L1782" s="131"/>
      <c r="M1782" s="131"/>
      <c r="N1782" s="131"/>
    </row>
    <row r="1783" spans="1:14" hidden="1">
      <c r="A1783" s="100" t="s">
        <v>862</v>
      </c>
      <c r="B1783" s="101" t="s">
        <v>3075</v>
      </c>
      <c r="C1783" s="99" t="s">
        <v>3076</v>
      </c>
      <c r="D1783" s="38"/>
      <c r="E1783" s="42">
        <v>1</v>
      </c>
      <c r="F1783" s="9"/>
      <c r="G1783" s="8">
        <f t="shared" si="64"/>
        <v>8.7675000000000003E-2</v>
      </c>
      <c r="H1783" s="188">
        <v>8.3500000000000005E-2</v>
      </c>
      <c r="I1783" s="19">
        <f t="shared" si="65"/>
        <v>0</v>
      </c>
      <c r="L1783" s="131"/>
      <c r="M1783" s="131"/>
      <c r="N1783" s="131"/>
    </row>
    <row r="1784" spans="1:14" hidden="1">
      <c r="A1784" s="100" t="s">
        <v>862</v>
      </c>
      <c r="B1784" s="101" t="s">
        <v>3077</v>
      </c>
      <c r="C1784" s="99" t="s">
        <v>3078</v>
      </c>
      <c r="D1784" s="38"/>
      <c r="E1784" s="42">
        <v>1</v>
      </c>
      <c r="F1784" s="9"/>
      <c r="G1784" s="8">
        <f t="shared" si="64"/>
        <v>0.14595000000000002</v>
      </c>
      <c r="H1784" s="188">
        <v>0.13900000000000001</v>
      </c>
      <c r="I1784" s="19">
        <f t="shared" si="65"/>
        <v>0</v>
      </c>
      <c r="L1784" s="131"/>
      <c r="M1784" s="131"/>
      <c r="N1784" s="131"/>
    </row>
    <row r="1785" spans="1:14" hidden="1">
      <c r="A1785" s="100" t="s">
        <v>862</v>
      </c>
      <c r="B1785" s="101" t="s">
        <v>3079</v>
      </c>
      <c r="C1785" s="99" t="s">
        <v>3080</v>
      </c>
      <c r="D1785" s="38"/>
      <c r="E1785" s="42">
        <v>1</v>
      </c>
      <c r="F1785" s="9"/>
      <c r="G1785" s="8">
        <f t="shared" si="64"/>
        <v>2.5772249999999999</v>
      </c>
      <c r="H1785" s="188">
        <v>2.4544999999999999</v>
      </c>
      <c r="I1785" s="19">
        <f t="shared" si="65"/>
        <v>0</v>
      </c>
      <c r="L1785" s="131"/>
      <c r="M1785" s="131"/>
      <c r="N1785" s="131"/>
    </row>
    <row r="1786" spans="1:14" hidden="1">
      <c r="A1786" s="100" t="s">
        <v>862</v>
      </c>
      <c r="B1786" s="101" t="s">
        <v>3081</v>
      </c>
      <c r="C1786" s="99" t="s">
        <v>3082</v>
      </c>
      <c r="D1786" s="38"/>
      <c r="E1786" s="42">
        <v>1</v>
      </c>
      <c r="F1786" s="9"/>
      <c r="G1786" s="8">
        <f t="shared" si="64"/>
        <v>2.68065</v>
      </c>
      <c r="H1786" s="188">
        <v>2.5529999999999999</v>
      </c>
      <c r="I1786" s="19">
        <f t="shared" si="65"/>
        <v>0</v>
      </c>
      <c r="L1786" s="131"/>
      <c r="M1786" s="131"/>
      <c r="N1786" s="131"/>
    </row>
    <row r="1787" spans="1:14" hidden="1">
      <c r="A1787" s="100" t="s">
        <v>862</v>
      </c>
      <c r="B1787" s="101" t="s">
        <v>3083</v>
      </c>
      <c r="C1787" s="99" t="s">
        <v>3084</v>
      </c>
      <c r="D1787" s="38"/>
      <c r="E1787" s="42">
        <v>1</v>
      </c>
      <c r="F1787" s="9"/>
      <c r="G1787" s="8">
        <f t="shared" si="64"/>
        <v>3.4859999999999998</v>
      </c>
      <c r="H1787" s="188">
        <v>3.32</v>
      </c>
      <c r="I1787" s="19">
        <f t="shared" si="65"/>
        <v>0</v>
      </c>
      <c r="L1787" s="131"/>
      <c r="M1787" s="131"/>
      <c r="N1787" s="131"/>
    </row>
    <row r="1788" spans="1:14" hidden="1">
      <c r="A1788" s="100" t="s">
        <v>862</v>
      </c>
      <c r="B1788" s="101" t="s">
        <v>3085</v>
      </c>
      <c r="C1788" s="99" t="s">
        <v>3086</v>
      </c>
      <c r="D1788" s="38"/>
      <c r="E1788" s="42">
        <v>1</v>
      </c>
      <c r="F1788" s="9"/>
      <c r="G1788" s="8">
        <f t="shared" si="64"/>
        <v>2.9930249999999998</v>
      </c>
      <c r="H1788" s="188">
        <v>2.8504999999999998</v>
      </c>
      <c r="I1788" s="19">
        <f t="shared" si="65"/>
        <v>0</v>
      </c>
      <c r="L1788" s="131"/>
      <c r="M1788" s="131"/>
      <c r="N1788" s="131"/>
    </row>
    <row r="1789" spans="1:14" hidden="1">
      <c r="A1789" s="100" t="s">
        <v>862</v>
      </c>
      <c r="B1789" s="101" t="s">
        <v>3087</v>
      </c>
      <c r="C1789" s="99" t="s">
        <v>3088</v>
      </c>
      <c r="D1789" s="38"/>
      <c r="E1789" s="42">
        <v>1</v>
      </c>
      <c r="F1789" s="9"/>
      <c r="G1789" s="8">
        <f t="shared" si="64"/>
        <v>2.8087499999999999</v>
      </c>
      <c r="H1789" s="188">
        <v>2.6749999999999998</v>
      </c>
      <c r="I1789" s="19">
        <f t="shared" si="65"/>
        <v>0</v>
      </c>
      <c r="L1789" s="131"/>
      <c r="M1789" s="131"/>
      <c r="N1789" s="131"/>
    </row>
    <row r="1790" spans="1:14" hidden="1">
      <c r="A1790" s="100" t="s">
        <v>862</v>
      </c>
      <c r="B1790" s="101" t="s">
        <v>3089</v>
      </c>
      <c r="C1790" s="99" t="s">
        <v>3090</v>
      </c>
      <c r="D1790" s="38"/>
      <c r="E1790" s="42">
        <v>1</v>
      </c>
      <c r="F1790" s="9"/>
      <c r="G1790" s="8">
        <f t="shared" si="64"/>
        <v>2.8392000000000004</v>
      </c>
      <c r="H1790" s="188">
        <v>2.7040000000000002</v>
      </c>
      <c r="I1790" s="19">
        <f t="shared" si="65"/>
        <v>0</v>
      </c>
      <c r="L1790" s="131"/>
      <c r="M1790" s="131"/>
      <c r="N1790" s="131"/>
    </row>
    <row r="1791" spans="1:14" hidden="1">
      <c r="A1791" s="100" t="s">
        <v>862</v>
      </c>
      <c r="B1791" s="97" t="s">
        <v>3091</v>
      </c>
      <c r="C1791" s="98" t="s">
        <v>3092</v>
      </c>
      <c r="D1791" s="38" t="s">
        <v>572</v>
      </c>
      <c r="E1791" s="42">
        <v>1</v>
      </c>
      <c r="F1791" s="9"/>
      <c r="G1791" s="8">
        <f t="shared" si="64"/>
        <v>1.8794999999999999</v>
      </c>
      <c r="H1791" s="188">
        <v>1.79</v>
      </c>
      <c r="I1791" s="19">
        <f t="shared" si="65"/>
        <v>0</v>
      </c>
      <c r="L1791" s="131"/>
      <c r="M1791" s="131"/>
      <c r="N1791" s="131"/>
    </row>
    <row r="1792" spans="1:14" hidden="1">
      <c r="A1792" s="100" t="s">
        <v>862</v>
      </c>
      <c r="B1792" s="101" t="s">
        <v>3093</v>
      </c>
      <c r="C1792" s="99" t="s">
        <v>3094</v>
      </c>
      <c r="D1792" s="38" t="s">
        <v>945</v>
      </c>
      <c r="E1792" s="42">
        <v>1</v>
      </c>
      <c r="F1792" s="9"/>
      <c r="G1792" s="8">
        <f t="shared" si="64"/>
        <v>22.323</v>
      </c>
      <c r="H1792" s="188">
        <v>21.26</v>
      </c>
      <c r="I1792" s="19">
        <f t="shared" si="65"/>
        <v>0</v>
      </c>
      <c r="L1792" s="131"/>
      <c r="M1792" s="131"/>
      <c r="N1792" s="131"/>
    </row>
    <row r="1793" spans="1:14" hidden="1">
      <c r="A1793" s="100" t="s">
        <v>862</v>
      </c>
      <c r="B1793" s="101" t="s">
        <v>3095</v>
      </c>
      <c r="C1793" s="99" t="s">
        <v>3096</v>
      </c>
      <c r="D1793" s="38" t="s">
        <v>945</v>
      </c>
      <c r="E1793" s="42">
        <v>1</v>
      </c>
      <c r="F1793" s="9"/>
      <c r="G1793" s="8">
        <f t="shared" si="64"/>
        <v>29.906625000000002</v>
      </c>
      <c r="H1793" s="188">
        <v>28.482500000000002</v>
      </c>
      <c r="I1793" s="19">
        <f t="shared" si="65"/>
        <v>0</v>
      </c>
      <c r="L1793" s="131"/>
      <c r="M1793" s="131"/>
      <c r="N1793" s="131"/>
    </row>
    <row r="1794" spans="1:14" hidden="1">
      <c r="A1794" s="100" t="s">
        <v>862</v>
      </c>
      <c r="B1794" s="101" t="s">
        <v>3097</v>
      </c>
      <c r="C1794" s="99" t="s">
        <v>3098</v>
      </c>
      <c r="D1794" s="38" t="s">
        <v>945</v>
      </c>
      <c r="E1794" s="42">
        <v>1</v>
      </c>
      <c r="F1794" s="9"/>
      <c r="G1794" s="8">
        <f t="shared" si="64"/>
        <v>37.490249999999996</v>
      </c>
      <c r="H1794" s="188">
        <v>35.704999999999998</v>
      </c>
      <c r="I1794" s="19">
        <f t="shared" si="65"/>
        <v>0</v>
      </c>
      <c r="L1794" s="131"/>
      <c r="M1794" s="131"/>
      <c r="N1794" s="131"/>
    </row>
    <row r="1795" spans="1:14" hidden="1">
      <c r="A1795" s="100" t="s">
        <v>862</v>
      </c>
      <c r="B1795" s="101" t="s">
        <v>3099</v>
      </c>
      <c r="C1795" s="99" t="s">
        <v>3100</v>
      </c>
      <c r="D1795" s="38" t="s">
        <v>945</v>
      </c>
      <c r="E1795" s="42">
        <v>1</v>
      </c>
      <c r="F1795" s="9"/>
      <c r="G1795" s="8">
        <f t="shared" si="64"/>
        <v>45.197250000000004</v>
      </c>
      <c r="H1795" s="188">
        <v>43.045000000000002</v>
      </c>
      <c r="I1795" s="19">
        <f t="shared" si="65"/>
        <v>0</v>
      </c>
      <c r="L1795" s="131"/>
      <c r="M1795" s="131"/>
      <c r="N1795" s="131"/>
    </row>
    <row r="1796" spans="1:14" hidden="1">
      <c r="A1796" s="100" t="s">
        <v>862</v>
      </c>
      <c r="B1796" s="101" t="s">
        <v>3101</v>
      </c>
      <c r="C1796" s="99" t="s">
        <v>3102</v>
      </c>
      <c r="D1796" s="38" t="s">
        <v>945</v>
      </c>
      <c r="E1796" s="42">
        <v>1</v>
      </c>
      <c r="F1796" s="9"/>
      <c r="G1796" s="8">
        <f t="shared" si="64"/>
        <v>52.780874999999995</v>
      </c>
      <c r="H1796" s="188">
        <v>50.267499999999998</v>
      </c>
      <c r="I1796" s="19">
        <f t="shared" si="65"/>
        <v>0</v>
      </c>
      <c r="L1796" s="131"/>
      <c r="M1796" s="131"/>
      <c r="N1796" s="131"/>
    </row>
    <row r="1797" spans="1:14" hidden="1">
      <c r="A1797" s="100" t="s">
        <v>862</v>
      </c>
      <c r="B1797" s="101" t="s">
        <v>3103</v>
      </c>
      <c r="C1797" s="99" t="s">
        <v>3104</v>
      </c>
      <c r="D1797" s="38" t="s">
        <v>945</v>
      </c>
      <c r="E1797" s="42">
        <v>1</v>
      </c>
      <c r="F1797" s="9"/>
      <c r="G1797" s="8">
        <f t="shared" si="64"/>
        <v>60.3645</v>
      </c>
      <c r="H1797" s="188">
        <v>57.49</v>
      </c>
      <c r="I1797" s="19">
        <f t="shared" si="65"/>
        <v>0</v>
      </c>
      <c r="L1797" s="131"/>
      <c r="M1797" s="131"/>
      <c r="N1797" s="131"/>
    </row>
    <row r="1798" spans="1:14" hidden="1">
      <c r="A1798" s="100" t="s">
        <v>862</v>
      </c>
      <c r="B1798" s="101" t="s">
        <v>3105</v>
      </c>
      <c r="C1798" s="99" t="s">
        <v>3106</v>
      </c>
      <c r="D1798" s="38" t="s">
        <v>945</v>
      </c>
      <c r="E1798" s="42">
        <v>1</v>
      </c>
      <c r="F1798" s="9"/>
      <c r="G1798" s="8">
        <f t="shared" si="64"/>
        <v>75.90187499999999</v>
      </c>
      <c r="H1798" s="188">
        <v>72.287499999999994</v>
      </c>
      <c r="I1798" s="19">
        <f t="shared" si="65"/>
        <v>0</v>
      </c>
      <c r="L1798" s="131"/>
      <c r="M1798" s="131"/>
      <c r="N1798" s="131"/>
    </row>
    <row r="1799" spans="1:14" hidden="1">
      <c r="A1799" s="100" t="s">
        <v>862</v>
      </c>
      <c r="B1799" s="101" t="s">
        <v>3107</v>
      </c>
      <c r="C1799" s="99" t="s">
        <v>3108</v>
      </c>
      <c r="D1799" s="38"/>
      <c r="E1799" s="42">
        <v>1</v>
      </c>
      <c r="F1799" s="9"/>
      <c r="G1799" s="8">
        <f t="shared" si="64"/>
        <v>0.208425</v>
      </c>
      <c r="H1799" s="188">
        <v>0.19850000000000001</v>
      </c>
      <c r="I1799" s="19">
        <f t="shared" si="65"/>
        <v>0</v>
      </c>
      <c r="L1799" s="131"/>
      <c r="M1799" s="131"/>
      <c r="N1799" s="131"/>
    </row>
    <row r="1800" spans="1:14" hidden="1">
      <c r="A1800" s="100" t="s">
        <v>862</v>
      </c>
      <c r="B1800" s="101" t="s">
        <v>3109</v>
      </c>
      <c r="C1800" s="99" t="s">
        <v>3110</v>
      </c>
      <c r="D1800" s="38"/>
      <c r="E1800" s="42">
        <v>1</v>
      </c>
      <c r="F1800" s="9"/>
      <c r="G1800" s="8">
        <f t="shared" si="64"/>
        <v>4.355925</v>
      </c>
      <c r="H1800" s="188">
        <v>4.1485000000000003</v>
      </c>
      <c r="I1800" s="19">
        <f t="shared" si="65"/>
        <v>0</v>
      </c>
      <c r="L1800" s="131"/>
      <c r="M1800" s="131"/>
      <c r="N1800" s="131"/>
    </row>
    <row r="1801" spans="1:14" hidden="1">
      <c r="A1801" s="100" t="s">
        <v>862</v>
      </c>
      <c r="B1801" s="101" t="s">
        <v>3111</v>
      </c>
      <c r="C1801" s="99" t="s">
        <v>3112</v>
      </c>
      <c r="D1801" s="38"/>
      <c r="E1801" s="42">
        <v>1</v>
      </c>
      <c r="F1801" s="9"/>
      <c r="G1801" s="8">
        <f t="shared" si="64"/>
        <v>4.452</v>
      </c>
      <c r="H1801" s="188">
        <v>4.24</v>
      </c>
      <c r="I1801" s="19">
        <f t="shared" si="65"/>
        <v>0</v>
      </c>
      <c r="L1801" s="131"/>
      <c r="M1801" s="131"/>
      <c r="N1801" s="131"/>
    </row>
    <row r="1802" spans="1:14" hidden="1">
      <c r="A1802" s="100" t="s">
        <v>862</v>
      </c>
      <c r="B1802" s="101" t="s">
        <v>3113</v>
      </c>
      <c r="C1802" s="99" t="s">
        <v>3114</v>
      </c>
      <c r="D1802" s="38"/>
      <c r="E1802" s="42">
        <v>1</v>
      </c>
      <c r="F1802" s="9"/>
      <c r="G1802" s="8">
        <f t="shared" si="64"/>
        <v>15.995699999999999</v>
      </c>
      <c r="H1802" s="188">
        <v>15.234</v>
      </c>
      <c r="I1802" s="19">
        <f t="shared" si="65"/>
        <v>0</v>
      </c>
      <c r="L1802" s="131"/>
      <c r="M1802" s="131"/>
      <c r="N1802" s="131"/>
    </row>
    <row r="1803" spans="1:14" hidden="1">
      <c r="A1803" s="100" t="s">
        <v>862</v>
      </c>
      <c r="B1803" s="101" t="s">
        <v>3115</v>
      </c>
      <c r="C1803" s="99" t="s">
        <v>3116</v>
      </c>
      <c r="D1803" s="38"/>
      <c r="E1803" s="42">
        <v>1</v>
      </c>
      <c r="F1803" s="9"/>
      <c r="G1803" s="8">
        <f t="shared" si="64"/>
        <v>2.1525000000000002E-2</v>
      </c>
      <c r="H1803" s="188">
        <v>2.0500000000000001E-2</v>
      </c>
      <c r="I1803" s="19">
        <f t="shared" si="65"/>
        <v>0</v>
      </c>
      <c r="L1803" s="131"/>
      <c r="M1803" s="131"/>
      <c r="N1803" s="131"/>
    </row>
    <row r="1804" spans="1:14" hidden="1">
      <c r="A1804" s="100" t="s">
        <v>862</v>
      </c>
      <c r="B1804" s="101" t="s">
        <v>3117</v>
      </c>
      <c r="C1804" s="99" t="s">
        <v>3118</v>
      </c>
      <c r="D1804" s="38"/>
      <c r="E1804" s="42">
        <v>1</v>
      </c>
      <c r="F1804" s="9"/>
      <c r="G1804" s="8">
        <f t="shared" si="64"/>
        <v>3.9899999999999998E-2</v>
      </c>
      <c r="H1804" s="188">
        <v>3.7999999999999999E-2</v>
      </c>
      <c r="I1804" s="19">
        <f t="shared" si="65"/>
        <v>0</v>
      </c>
      <c r="L1804" s="131"/>
      <c r="M1804" s="131"/>
      <c r="N1804" s="131"/>
    </row>
    <row r="1805" spans="1:14" hidden="1">
      <c r="A1805" s="100" t="s">
        <v>862</v>
      </c>
      <c r="B1805" s="101" t="s">
        <v>3119</v>
      </c>
      <c r="C1805" s="99" t="s">
        <v>3120</v>
      </c>
      <c r="D1805" s="38" t="s">
        <v>945</v>
      </c>
      <c r="E1805" s="42">
        <v>1</v>
      </c>
      <c r="F1805" s="9"/>
      <c r="G1805" s="8">
        <f t="shared" si="64"/>
        <v>9.3240000000000016</v>
      </c>
      <c r="H1805" s="188">
        <v>8.8800000000000008</v>
      </c>
      <c r="I1805" s="19">
        <f t="shared" si="65"/>
        <v>0</v>
      </c>
      <c r="L1805" s="131"/>
      <c r="M1805" s="131"/>
      <c r="N1805" s="131"/>
    </row>
    <row r="1806" spans="1:14" hidden="1">
      <c r="A1806" s="100" t="s">
        <v>862</v>
      </c>
      <c r="B1806" s="101" t="s">
        <v>3121</v>
      </c>
      <c r="C1806" s="99" t="s">
        <v>3122</v>
      </c>
      <c r="D1806" s="38"/>
      <c r="E1806" s="42">
        <v>1</v>
      </c>
      <c r="F1806" s="9"/>
      <c r="G1806" s="8">
        <f t="shared" si="64"/>
        <v>16.668749999999999</v>
      </c>
      <c r="H1806" s="188">
        <v>15.875</v>
      </c>
      <c r="I1806" s="19">
        <f t="shared" si="65"/>
        <v>0</v>
      </c>
      <c r="L1806" s="131"/>
      <c r="M1806" s="131"/>
      <c r="N1806" s="131"/>
    </row>
    <row r="1807" spans="1:14" hidden="1">
      <c r="A1807" s="100" t="s">
        <v>862</v>
      </c>
      <c r="B1807" s="101" t="s">
        <v>3123</v>
      </c>
      <c r="C1807" s="99" t="s">
        <v>3124</v>
      </c>
      <c r="D1807" s="38" t="s">
        <v>572</v>
      </c>
      <c r="E1807" s="42">
        <v>1</v>
      </c>
      <c r="F1807" s="9"/>
      <c r="G1807" s="8">
        <f t="shared" si="64"/>
        <v>0.69825000000000004</v>
      </c>
      <c r="H1807" s="188">
        <v>0.66500000000000004</v>
      </c>
      <c r="I1807" s="19">
        <f t="shared" si="65"/>
        <v>0</v>
      </c>
      <c r="L1807" s="131"/>
      <c r="M1807" s="131"/>
      <c r="N1807" s="131"/>
    </row>
    <row r="1808" spans="1:14" hidden="1">
      <c r="A1808" s="100" t="s">
        <v>862</v>
      </c>
      <c r="B1808" s="101" t="s">
        <v>3125</v>
      </c>
      <c r="C1808" s="99" t="s">
        <v>3126</v>
      </c>
      <c r="D1808" s="38" t="s">
        <v>572</v>
      </c>
      <c r="E1808" s="42">
        <v>1</v>
      </c>
      <c r="F1808" s="9"/>
      <c r="G1808" s="8">
        <f t="shared" si="64"/>
        <v>0.8347500000000001</v>
      </c>
      <c r="H1808" s="188">
        <v>0.79500000000000004</v>
      </c>
      <c r="I1808" s="19">
        <f t="shared" si="65"/>
        <v>0</v>
      </c>
      <c r="L1808" s="131"/>
      <c r="M1808" s="131"/>
      <c r="N1808" s="131"/>
    </row>
    <row r="1809" spans="1:14" hidden="1">
      <c r="A1809" s="100" t="s">
        <v>862</v>
      </c>
      <c r="B1809" s="101" t="s">
        <v>3127</v>
      </c>
      <c r="C1809" s="99" t="s">
        <v>3128</v>
      </c>
      <c r="D1809" s="38" t="s">
        <v>945</v>
      </c>
      <c r="E1809" s="42">
        <v>1</v>
      </c>
      <c r="F1809" s="9"/>
      <c r="G1809" s="8">
        <f t="shared" si="64"/>
        <v>11.8818</v>
      </c>
      <c r="H1809" s="188">
        <v>11.316000000000001</v>
      </c>
      <c r="I1809" s="19">
        <f t="shared" si="65"/>
        <v>0</v>
      </c>
      <c r="L1809" s="131"/>
      <c r="M1809" s="131"/>
      <c r="N1809" s="131"/>
    </row>
    <row r="1810" spans="1:14" hidden="1">
      <c r="A1810" s="100" t="s">
        <v>862</v>
      </c>
      <c r="B1810" s="101" t="s">
        <v>3129</v>
      </c>
      <c r="C1810" s="99" t="s">
        <v>3130</v>
      </c>
      <c r="D1810" s="38" t="s">
        <v>945</v>
      </c>
      <c r="E1810" s="42">
        <v>1</v>
      </c>
      <c r="F1810" s="9"/>
      <c r="G1810" s="8">
        <f t="shared" si="64"/>
        <v>15.2523</v>
      </c>
      <c r="H1810" s="188">
        <v>14.526</v>
      </c>
      <c r="I1810" s="19">
        <f t="shared" si="65"/>
        <v>0</v>
      </c>
      <c r="L1810" s="131"/>
      <c r="M1810" s="131"/>
      <c r="N1810" s="131"/>
    </row>
    <row r="1811" spans="1:14" hidden="1">
      <c r="A1811" s="100" t="s">
        <v>862</v>
      </c>
      <c r="B1811" s="101" t="s">
        <v>3131</v>
      </c>
      <c r="C1811" s="99" t="s">
        <v>3132</v>
      </c>
      <c r="D1811" s="38" t="s">
        <v>945</v>
      </c>
      <c r="E1811" s="42">
        <v>1</v>
      </c>
      <c r="F1811" s="9"/>
      <c r="G1811" s="8">
        <f t="shared" si="64"/>
        <v>18.622800000000002</v>
      </c>
      <c r="H1811" s="188">
        <v>17.736000000000001</v>
      </c>
      <c r="I1811" s="19">
        <f t="shared" si="65"/>
        <v>0</v>
      </c>
      <c r="L1811" s="131"/>
      <c r="M1811" s="131"/>
      <c r="N1811" s="131"/>
    </row>
    <row r="1812" spans="1:14" hidden="1">
      <c r="A1812" s="100" t="s">
        <v>862</v>
      </c>
      <c r="B1812" s="101" t="s">
        <v>3133</v>
      </c>
      <c r="C1812" s="99" t="s">
        <v>3134</v>
      </c>
      <c r="D1812" s="38" t="s">
        <v>945</v>
      </c>
      <c r="E1812" s="42">
        <v>1</v>
      </c>
      <c r="F1812" s="9"/>
      <c r="G1812" s="8">
        <f t="shared" si="64"/>
        <v>22.116675000000001</v>
      </c>
      <c r="H1812" s="188">
        <v>21.063500000000001</v>
      </c>
      <c r="I1812" s="19">
        <f t="shared" si="65"/>
        <v>0</v>
      </c>
      <c r="L1812" s="131"/>
      <c r="M1812" s="131"/>
      <c r="N1812" s="131"/>
    </row>
    <row r="1813" spans="1:14" hidden="1">
      <c r="A1813" s="100" t="s">
        <v>862</v>
      </c>
      <c r="B1813" s="101" t="s">
        <v>3135</v>
      </c>
      <c r="C1813" s="99" t="s">
        <v>3136</v>
      </c>
      <c r="D1813" s="38" t="s">
        <v>945</v>
      </c>
      <c r="E1813" s="42">
        <v>1</v>
      </c>
      <c r="F1813" s="9"/>
      <c r="G1813" s="8">
        <f t="shared" si="64"/>
        <v>25.487174999999997</v>
      </c>
      <c r="H1813" s="188">
        <v>24.273499999999999</v>
      </c>
      <c r="I1813" s="19">
        <f t="shared" si="65"/>
        <v>0</v>
      </c>
      <c r="L1813" s="131"/>
      <c r="M1813" s="131"/>
      <c r="N1813" s="131"/>
    </row>
    <row r="1814" spans="1:14" hidden="1">
      <c r="A1814" s="100" t="s">
        <v>862</v>
      </c>
      <c r="B1814" s="101" t="s">
        <v>3137</v>
      </c>
      <c r="C1814" s="99" t="s">
        <v>3138</v>
      </c>
      <c r="D1814" s="38" t="s">
        <v>945</v>
      </c>
      <c r="E1814" s="42">
        <v>1</v>
      </c>
      <c r="F1814" s="9"/>
      <c r="G1814" s="8">
        <f t="shared" si="64"/>
        <v>28.857675</v>
      </c>
      <c r="H1814" s="188">
        <v>27.483499999999999</v>
      </c>
      <c r="I1814" s="19">
        <f t="shared" si="65"/>
        <v>0</v>
      </c>
      <c r="L1814" s="131"/>
      <c r="M1814" s="131"/>
      <c r="N1814" s="131"/>
    </row>
    <row r="1815" spans="1:14" hidden="1">
      <c r="A1815" s="100" t="s">
        <v>862</v>
      </c>
      <c r="B1815" s="101" t="s">
        <v>3139</v>
      </c>
      <c r="C1815" s="99" t="s">
        <v>3140</v>
      </c>
      <c r="D1815" s="38" t="s">
        <v>945</v>
      </c>
      <c r="E1815" s="42">
        <v>1</v>
      </c>
      <c r="F1815" s="9"/>
      <c r="G1815" s="8">
        <f t="shared" si="64"/>
        <v>35.968274999999998</v>
      </c>
      <c r="H1815" s="188">
        <v>34.255499999999998</v>
      </c>
      <c r="I1815" s="19">
        <f t="shared" si="65"/>
        <v>0</v>
      </c>
      <c r="L1815" s="131"/>
      <c r="M1815" s="131"/>
      <c r="N1815" s="131"/>
    </row>
    <row r="1816" spans="1:14" hidden="1">
      <c r="A1816" s="100" t="s">
        <v>862</v>
      </c>
      <c r="B1816" s="97" t="s">
        <v>3141</v>
      </c>
      <c r="C1816" s="98" t="s">
        <v>3142</v>
      </c>
      <c r="D1816" s="38" t="s">
        <v>572</v>
      </c>
      <c r="E1816" s="42">
        <v>1</v>
      </c>
      <c r="F1816" s="9"/>
      <c r="G1816" s="8">
        <f t="shared" si="64"/>
        <v>1.30725</v>
      </c>
      <c r="H1816" s="188">
        <v>1.2450000000000001</v>
      </c>
      <c r="I1816" s="19">
        <f t="shared" si="65"/>
        <v>0</v>
      </c>
      <c r="L1816" s="131"/>
      <c r="M1816" s="131"/>
      <c r="N1816" s="131"/>
    </row>
    <row r="1817" spans="1:14" hidden="1">
      <c r="A1817" s="100" t="s">
        <v>862</v>
      </c>
      <c r="B1817" s="101" t="s">
        <v>3143</v>
      </c>
      <c r="C1817" s="99" t="s">
        <v>3144</v>
      </c>
      <c r="D1817" s="38" t="s">
        <v>945</v>
      </c>
      <c r="E1817" s="42">
        <v>1</v>
      </c>
      <c r="F1817" s="9"/>
      <c r="G1817" s="8">
        <f t="shared" si="64"/>
        <v>16.496549999999999</v>
      </c>
      <c r="H1817" s="188">
        <v>15.711</v>
      </c>
      <c r="I1817" s="19">
        <f t="shared" si="65"/>
        <v>0</v>
      </c>
      <c r="L1817" s="131"/>
      <c r="M1817" s="131"/>
      <c r="N1817" s="131"/>
    </row>
    <row r="1818" spans="1:14" hidden="1">
      <c r="A1818" s="100" t="s">
        <v>862</v>
      </c>
      <c r="B1818" s="101" t="s">
        <v>3145</v>
      </c>
      <c r="C1818" s="99" t="s">
        <v>3146</v>
      </c>
      <c r="D1818" s="38" t="s">
        <v>945</v>
      </c>
      <c r="E1818" s="42">
        <v>1</v>
      </c>
      <c r="F1818" s="9"/>
      <c r="G1818" s="8">
        <f t="shared" si="64"/>
        <v>21.776999999999997</v>
      </c>
      <c r="H1818" s="188">
        <v>20.74</v>
      </c>
      <c r="I1818" s="19">
        <f t="shared" si="65"/>
        <v>0</v>
      </c>
      <c r="L1818" s="131"/>
      <c r="M1818" s="131"/>
      <c r="N1818" s="131"/>
    </row>
    <row r="1819" spans="1:14" hidden="1">
      <c r="A1819" s="100" t="s">
        <v>862</v>
      </c>
      <c r="B1819" s="101" t="s">
        <v>3147</v>
      </c>
      <c r="C1819" s="99" t="s">
        <v>3148</v>
      </c>
      <c r="D1819" s="38" t="s">
        <v>945</v>
      </c>
      <c r="E1819" s="42">
        <v>1</v>
      </c>
      <c r="F1819" s="9"/>
      <c r="G1819" s="8">
        <f t="shared" si="64"/>
        <v>27.057449999999999</v>
      </c>
      <c r="H1819" s="188">
        <v>25.768999999999998</v>
      </c>
      <c r="I1819" s="19">
        <f t="shared" si="65"/>
        <v>0</v>
      </c>
      <c r="L1819" s="131"/>
      <c r="M1819" s="131"/>
      <c r="N1819" s="131"/>
    </row>
    <row r="1820" spans="1:14" hidden="1">
      <c r="A1820" s="100" t="s">
        <v>862</v>
      </c>
      <c r="B1820" s="101" t="s">
        <v>3149</v>
      </c>
      <c r="C1820" s="99" t="s">
        <v>3150</v>
      </c>
      <c r="D1820" s="38" t="s">
        <v>945</v>
      </c>
      <c r="E1820" s="42">
        <v>1</v>
      </c>
      <c r="F1820" s="9"/>
      <c r="G1820" s="8">
        <f t="shared" si="64"/>
        <v>32.461275000000001</v>
      </c>
      <c r="H1820" s="188">
        <v>30.915500000000002</v>
      </c>
      <c r="I1820" s="19">
        <f t="shared" si="65"/>
        <v>0</v>
      </c>
      <c r="L1820" s="131"/>
      <c r="M1820" s="131"/>
      <c r="N1820" s="131"/>
    </row>
    <row r="1821" spans="1:14" hidden="1">
      <c r="A1821" s="100" t="s">
        <v>862</v>
      </c>
      <c r="B1821" s="101" t="s">
        <v>3151</v>
      </c>
      <c r="C1821" s="99" t="s">
        <v>3152</v>
      </c>
      <c r="D1821" s="38" t="s">
        <v>945</v>
      </c>
      <c r="E1821" s="42">
        <v>1</v>
      </c>
      <c r="F1821" s="9"/>
      <c r="G1821" s="8">
        <f t="shared" si="64"/>
        <v>37.741724999999995</v>
      </c>
      <c r="H1821" s="188">
        <v>35.944499999999998</v>
      </c>
      <c r="I1821" s="19">
        <f t="shared" si="65"/>
        <v>0</v>
      </c>
      <c r="L1821" s="131"/>
      <c r="M1821" s="131"/>
      <c r="N1821" s="131"/>
    </row>
    <row r="1822" spans="1:14" hidden="1">
      <c r="A1822" s="100" t="s">
        <v>862</v>
      </c>
      <c r="B1822" s="101" t="s">
        <v>3153</v>
      </c>
      <c r="C1822" s="99" t="s">
        <v>3154</v>
      </c>
      <c r="D1822" s="38" t="s">
        <v>945</v>
      </c>
      <c r="E1822" s="42">
        <v>1</v>
      </c>
      <c r="F1822" s="9"/>
      <c r="G1822" s="8">
        <f t="shared" si="64"/>
        <v>43.022175000000004</v>
      </c>
      <c r="H1822" s="188">
        <v>40.973500000000001</v>
      </c>
      <c r="I1822" s="19">
        <f t="shared" si="65"/>
        <v>0</v>
      </c>
      <c r="L1822" s="131"/>
      <c r="M1822" s="131"/>
      <c r="N1822" s="131"/>
    </row>
    <row r="1823" spans="1:14" hidden="1">
      <c r="A1823" s="100" t="s">
        <v>862</v>
      </c>
      <c r="B1823" s="101" t="s">
        <v>3155</v>
      </c>
      <c r="C1823" s="99" t="s">
        <v>3156</v>
      </c>
      <c r="D1823" s="38" t="s">
        <v>945</v>
      </c>
      <c r="E1823" s="42">
        <v>1</v>
      </c>
      <c r="F1823" s="9"/>
      <c r="G1823" s="8">
        <f t="shared" si="64"/>
        <v>53.952674999999999</v>
      </c>
      <c r="H1823" s="188">
        <v>51.383499999999998</v>
      </c>
      <c r="I1823" s="19">
        <f t="shared" si="65"/>
        <v>0</v>
      </c>
      <c r="L1823" s="131"/>
      <c r="M1823" s="131"/>
      <c r="N1823" s="131"/>
    </row>
    <row r="1824" spans="1:14" hidden="1">
      <c r="A1824" s="100" t="s">
        <v>862</v>
      </c>
      <c r="B1824" s="101" t="s">
        <v>3157</v>
      </c>
      <c r="C1824" s="99" t="s">
        <v>3158</v>
      </c>
      <c r="D1824" s="38"/>
      <c r="E1824" s="42">
        <v>1</v>
      </c>
      <c r="F1824" s="9"/>
      <c r="G1824" s="8">
        <f t="shared" si="64"/>
        <v>0.97650000000000003</v>
      </c>
      <c r="H1824" s="188">
        <v>0.93</v>
      </c>
      <c r="I1824" s="19">
        <f t="shared" si="65"/>
        <v>0</v>
      </c>
      <c r="L1824" s="131"/>
      <c r="M1824" s="131"/>
      <c r="N1824" s="131"/>
    </row>
    <row r="1825" spans="1:14" hidden="1">
      <c r="A1825" s="100" t="s">
        <v>862</v>
      </c>
      <c r="B1825" s="101" t="s">
        <v>3159</v>
      </c>
      <c r="C1825" s="99" t="s">
        <v>3160</v>
      </c>
      <c r="D1825" s="38"/>
      <c r="E1825" s="42">
        <v>1</v>
      </c>
      <c r="F1825" s="9"/>
      <c r="G1825" s="8">
        <f t="shared" si="64"/>
        <v>4.9192499999999999</v>
      </c>
      <c r="H1825" s="188">
        <v>4.6849999999999996</v>
      </c>
      <c r="I1825" s="19">
        <f t="shared" si="65"/>
        <v>0</v>
      </c>
      <c r="L1825" s="131"/>
      <c r="M1825" s="131"/>
      <c r="N1825" s="131"/>
    </row>
    <row r="1826" spans="1:14" hidden="1">
      <c r="A1826" s="100" t="s">
        <v>862</v>
      </c>
      <c r="B1826" s="101" t="s">
        <v>3161</v>
      </c>
      <c r="C1826" s="99" t="s">
        <v>3162</v>
      </c>
      <c r="D1826" s="38"/>
      <c r="E1826" s="42">
        <v>1</v>
      </c>
      <c r="F1826" s="9"/>
      <c r="G1826" s="8">
        <f t="shared" si="64"/>
        <v>2.7824999999999998</v>
      </c>
      <c r="H1826" s="188">
        <v>2.65</v>
      </c>
      <c r="I1826" s="19">
        <f t="shared" si="65"/>
        <v>0</v>
      </c>
      <c r="L1826" s="131"/>
      <c r="M1826" s="131"/>
      <c r="N1826" s="131"/>
    </row>
    <row r="1827" spans="1:14" hidden="1">
      <c r="A1827" s="100" t="s">
        <v>862</v>
      </c>
      <c r="B1827" s="101" t="s">
        <v>3163</v>
      </c>
      <c r="C1827" s="99" t="s">
        <v>3164</v>
      </c>
      <c r="D1827" s="38"/>
      <c r="E1827" s="42">
        <v>1</v>
      </c>
      <c r="F1827" s="9"/>
      <c r="G1827" s="8">
        <f t="shared" si="64"/>
        <v>0.392175</v>
      </c>
      <c r="H1827" s="188">
        <v>0.3735</v>
      </c>
      <c r="I1827" s="19">
        <f t="shared" si="65"/>
        <v>0</v>
      </c>
      <c r="L1827" s="131"/>
      <c r="M1827" s="131"/>
      <c r="N1827" s="131"/>
    </row>
    <row r="1828" spans="1:14" hidden="1">
      <c r="A1828" s="100" t="s">
        <v>862</v>
      </c>
      <c r="B1828" s="101" t="s">
        <v>3165</v>
      </c>
      <c r="C1828" s="99" t="s">
        <v>3166</v>
      </c>
      <c r="D1828" s="38"/>
      <c r="E1828" s="42">
        <v>1</v>
      </c>
      <c r="F1828" s="9"/>
      <c r="G1828" s="8">
        <f t="shared" si="64"/>
        <v>6.3E-3</v>
      </c>
      <c r="H1828" s="188">
        <v>6.0000000000000001E-3</v>
      </c>
      <c r="I1828" s="19">
        <f t="shared" si="65"/>
        <v>0</v>
      </c>
      <c r="L1828" s="131"/>
      <c r="M1828" s="131"/>
      <c r="N1828" s="131"/>
    </row>
    <row r="1829" spans="1:14" hidden="1">
      <c r="A1829" s="100" t="s">
        <v>862</v>
      </c>
      <c r="B1829" s="97" t="s">
        <v>3167</v>
      </c>
      <c r="C1829" s="98" t="s">
        <v>3168</v>
      </c>
      <c r="D1829" s="38"/>
      <c r="E1829" s="42">
        <v>1</v>
      </c>
      <c r="F1829" s="9"/>
      <c r="G1829" s="8">
        <f t="shared" ref="G1829:G1892" si="66">H1829+(H1829*5%)</f>
        <v>3.15E-2</v>
      </c>
      <c r="H1829" s="188">
        <v>0.03</v>
      </c>
      <c r="I1829" s="19">
        <f t="shared" si="65"/>
        <v>0</v>
      </c>
      <c r="L1829" s="131"/>
      <c r="M1829" s="131"/>
      <c r="N1829" s="131"/>
    </row>
    <row r="1830" spans="1:14" hidden="1">
      <c r="A1830" s="100" t="s">
        <v>862</v>
      </c>
      <c r="B1830" s="101" t="s">
        <v>3169</v>
      </c>
      <c r="C1830" s="99" t="s">
        <v>3170</v>
      </c>
      <c r="D1830" s="38"/>
      <c r="E1830" s="42">
        <v>1</v>
      </c>
      <c r="F1830" s="9"/>
      <c r="G1830" s="8">
        <f t="shared" si="66"/>
        <v>0.66674999999999995</v>
      </c>
      <c r="H1830" s="188">
        <v>0.63500000000000001</v>
      </c>
      <c r="I1830" s="19">
        <f t="shared" si="65"/>
        <v>0</v>
      </c>
      <c r="L1830" s="131"/>
      <c r="M1830" s="131"/>
      <c r="N1830" s="131"/>
    </row>
    <row r="1831" spans="1:14" hidden="1">
      <c r="A1831" s="100" t="s">
        <v>862</v>
      </c>
      <c r="B1831" s="101" t="s">
        <v>3171</v>
      </c>
      <c r="C1831" s="99" t="s">
        <v>3172</v>
      </c>
      <c r="D1831" s="38"/>
      <c r="E1831" s="42">
        <v>1</v>
      </c>
      <c r="F1831" s="9"/>
      <c r="G1831" s="8">
        <f t="shared" si="66"/>
        <v>1.554</v>
      </c>
      <c r="H1831" s="188">
        <v>1.48</v>
      </c>
      <c r="I1831" s="19">
        <f t="shared" ref="I1831:I1894" si="67">G1831*F1831</f>
        <v>0</v>
      </c>
      <c r="L1831" s="131"/>
      <c r="M1831" s="131"/>
      <c r="N1831" s="131"/>
    </row>
    <row r="1832" spans="1:14" hidden="1">
      <c r="A1832" s="100" t="s">
        <v>862</v>
      </c>
      <c r="B1832" s="101" t="s">
        <v>3173</v>
      </c>
      <c r="C1832" s="99" t="s">
        <v>3174</v>
      </c>
      <c r="D1832" s="38"/>
      <c r="E1832" s="42">
        <v>1</v>
      </c>
      <c r="F1832" s="9"/>
      <c r="G1832" s="8">
        <f t="shared" si="66"/>
        <v>2.6250000000000002E-2</v>
      </c>
      <c r="H1832" s="188">
        <v>2.5000000000000001E-2</v>
      </c>
      <c r="I1832" s="19">
        <f t="shared" si="67"/>
        <v>0</v>
      </c>
      <c r="L1832" s="131"/>
      <c r="M1832" s="131"/>
      <c r="N1832" s="131"/>
    </row>
    <row r="1833" spans="1:14" hidden="1">
      <c r="A1833" s="100" t="s">
        <v>862</v>
      </c>
      <c r="B1833" s="97" t="s">
        <v>3175</v>
      </c>
      <c r="C1833" s="98" t="s">
        <v>3176</v>
      </c>
      <c r="D1833" s="38"/>
      <c r="E1833" s="42">
        <v>1</v>
      </c>
      <c r="F1833" s="9"/>
      <c r="G1833" s="8">
        <f t="shared" si="66"/>
        <v>2.1000000000000001E-2</v>
      </c>
      <c r="H1833" s="188">
        <v>0.02</v>
      </c>
      <c r="I1833" s="19">
        <f t="shared" si="67"/>
        <v>0</v>
      </c>
      <c r="L1833" s="131"/>
      <c r="M1833" s="131"/>
      <c r="N1833" s="131"/>
    </row>
    <row r="1834" spans="1:14">
      <c r="A1834" s="100" t="s">
        <v>862</v>
      </c>
      <c r="B1834" s="101" t="s">
        <v>3177</v>
      </c>
      <c r="C1834" s="99" t="s">
        <v>3178</v>
      </c>
      <c r="D1834" s="38"/>
      <c r="E1834" s="42">
        <v>1</v>
      </c>
      <c r="F1834" s="9">
        <v>1</v>
      </c>
      <c r="G1834" s="8">
        <f t="shared" si="66"/>
        <v>31.892699999999998</v>
      </c>
      <c r="H1834" s="188">
        <v>30.373999999999999</v>
      </c>
      <c r="I1834" s="19">
        <f t="shared" si="67"/>
        <v>31.892699999999998</v>
      </c>
      <c r="L1834" s="131"/>
      <c r="M1834" s="131"/>
      <c r="N1834" s="131"/>
    </row>
    <row r="1835" spans="1:14" hidden="1">
      <c r="A1835" s="100" t="s">
        <v>862</v>
      </c>
      <c r="B1835" s="101" t="s">
        <v>3179</v>
      </c>
      <c r="C1835" s="99" t="s">
        <v>3180</v>
      </c>
      <c r="D1835" s="38"/>
      <c r="E1835" s="42">
        <v>1</v>
      </c>
      <c r="F1835" s="9"/>
      <c r="G1835" s="8">
        <f t="shared" si="66"/>
        <v>0.40057500000000001</v>
      </c>
      <c r="H1835" s="188">
        <v>0.38150000000000001</v>
      </c>
      <c r="I1835" s="19">
        <f t="shared" si="67"/>
        <v>0</v>
      </c>
      <c r="L1835" s="131"/>
      <c r="M1835" s="131"/>
      <c r="N1835" s="131"/>
    </row>
    <row r="1836" spans="1:14" hidden="1">
      <c r="A1836" s="100" t="s">
        <v>862</v>
      </c>
      <c r="B1836" s="101" t="s">
        <v>3181</v>
      </c>
      <c r="C1836" s="99" t="s">
        <v>3182</v>
      </c>
      <c r="D1836" s="38"/>
      <c r="E1836" s="42">
        <v>1</v>
      </c>
      <c r="F1836" s="9"/>
      <c r="G1836" s="8">
        <f t="shared" si="66"/>
        <v>8.9932499999999997</v>
      </c>
      <c r="H1836" s="188">
        <v>8.5649999999999995</v>
      </c>
      <c r="I1836" s="19">
        <f t="shared" si="67"/>
        <v>0</v>
      </c>
      <c r="L1836" s="131"/>
      <c r="M1836" s="131"/>
      <c r="N1836" s="131"/>
    </row>
    <row r="1837" spans="1:14" hidden="1">
      <c r="A1837" s="100" t="s">
        <v>862</v>
      </c>
      <c r="B1837" s="101" t="s">
        <v>3183</v>
      </c>
      <c r="C1837" s="99" t="s">
        <v>3184</v>
      </c>
      <c r="D1837" s="38"/>
      <c r="E1837" s="42">
        <v>1</v>
      </c>
      <c r="F1837" s="9"/>
      <c r="G1837" s="8">
        <f t="shared" si="66"/>
        <v>8.9932499999999997</v>
      </c>
      <c r="H1837" s="188">
        <v>8.5649999999999995</v>
      </c>
      <c r="I1837" s="19">
        <f t="shared" si="67"/>
        <v>0</v>
      </c>
      <c r="L1837" s="131"/>
      <c r="M1837" s="131"/>
      <c r="N1837" s="131"/>
    </row>
    <row r="1838" spans="1:14" hidden="1">
      <c r="A1838" s="100" t="s">
        <v>862</v>
      </c>
      <c r="B1838" s="101" t="s">
        <v>3185</v>
      </c>
      <c r="C1838" s="99" t="s">
        <v>3186</v>
      </c>
      <c r="D1838" s="38"/>
      <c r="E1838" s="42">
        <v>1</v>
      </c>
      <c r="F1838" s="9"/>
      <c r="G1838" s="8">
        <f t="shared" si="66"/>
        <v>1.2075</v>
      </c>
      <c r="H1838" s="188">
        <v>1.1499999999999999</v>
      </c>
      <c r="I1838" s="19">
        <f t="shared" si="67"/>
        <v>0</v>
      </c>
      <c r="L1838" s="131"/>
      <c r="M1838" s="131"/>
      <c r="N1838" s="131"/>
    </row>
    <row r="1839" spans="1:14" hidden="1">
      <c r="A1839" s="100" t="s">
        <v>862</v>
      </c>
      <c r="B1839" s="101" t="s">
        <v>3187</v>
      </c>
      <c r="C1839" s="99" t="s">
        <v>3188</v>
      </c>
      <c r="D1839" s="38"/>
      <c r="E1839" s="42">
        <v>1</v>
      </c>
      <c r="F1839" s="9"/>
      <c r="G1839" s="8">
        <f t="shared" si="66"/>
        <v>1.6799999999999999E-2</v>
      </c>
      <c r="H1839" s="188">
        <v>1.6E-2</v>
      </c>
      <c r="I1839" s="19">
        <f t="shared" si="67"/>
        <v>0</v>
      </c>
      <c r="L1839" s="131"/>
      <c r="M1839" s="131"/>
      <c r="N1839" s="131"/>
    </row>
    <row r="1840" spans="1:14" hidden="1">
      <c r="A1840" s="100" t="s">
        <v>862</v>
      </c>
      <c r="B1840" s="101" t="s">
        <v>3189</v>
      </c>
      <c r="C1840" s="99" t="s">
        <v>3190</v>
      </c>
      <c r="D1840" s="38"/>
      <c r="E1840" s="42">
        <v>1</v>
      </c>
      <c r="F1840" s="9"/>
      <c r="G1840" s="8">
        <f t="shared" si="66"/>
        <v>6.3E-2</v>
      </c>
      <c r="H1840" s="188">
        <v>0.06</v>
      </c>
      <c r="I1840" s="19">
        <f t="shared" si="67"/>
        <v>0</v>
      </c>
      <c r="L1840" s="131"/>
      <c r="M1840" s="131"/>
      <c r="N1840" s="131"/>
    </row>
    <row r="1841" spans="1:14" hidden="1">
      <c r="A1841" s="100" t="s">
        <v>862</v>
      </c>
      <c r="B1841" s="101" t="s">
        <v>3191</v>
      </c>
      <c r="C1841" s="99" t="s">
        <v>3192</v>
      </c>
      <c r="D1841" s="38"/>
      <c r="E1841" s="42">
        <v>1</v>
      </c>
      <c r="F1841" s="9"/>
      <c r="G1841" s="8">
        <f t="shared" si="66"/>
        <v>4.0582500000000001</v>
      </c>
      <c r="H1841" s="188">
        <v>3.8650000000000002</v>
      </c>
      <c r="I1841" s="19">
        <f t="shared" si="67"/>
        <v>0</v>
      </c>
      <c r="L1841" s="131"/>
      <c r="M1841" s="131"/>
      <c r="N1841" s="131"/>
    </row>
    <row r="1842" spans="1:14" hidden="1">
      <c r="A1842" s="100" t="s">
        <v>862</v>
      </c>
      <c r="B1842" s="101" t="s">
        <v>3193</v>
      </c>
      <c r="C1842" s="99" t="s">
        <v>3194</v>
      </c>
      <c r="D1842" s="38"/>
      <c r="E1842" s="42">
        <v>1</v>
      </c>
      <c r="F1842" s="9"/>
      <c r="G1842" s="8">
        <f t="shared" si="66"/>
        <v>4.0425000000000004</v>
      </c>
      <c r="H1842" s="188">
        <v>3.85</v>
      </c>
      <c r="I1842" s="19">
        <f t="shared" si="67"/>
        <v>0</v>
      </c>
      <c r="L1842" s="131"/>
      <c r="M1842" s="131"/>
      <c r="N1842" s="131"/>
    </row>
    <row r="1843" spans="1:14" hidden="1">
      <c r="A1843" s="100" t="s">
        <v>862</v>
      </c>
      <c r="B1843" s="97" t="s">
        <v>3195</v>
      </c>
      <c r="C1843" s="98" t="s">
        <v>3196</v>
      </c>
      <c r="D1843" s="38" t="s">
        <v>572</v>
      </c>
      <c r="E1843" s="42">
        <v>1</v>
      </c>
      <c r="F1843" s="9"/>
      <c r="G1843" s="8">
        <f t="shared" si="66"/>
        <v>0.23625000000000002</v>
      </c>
      <c r="H1843" s="188">
        <v>0.22500000000000001</v>
      </c>
      <c r="I1843" s="19">
        <f t="shared" si="67"/>
        <v>0</v>
      </c>
      <c r="L1843" s="131"/>
      <c r="M1843" s="131"/>
      <c r="N1843" s="131"/>
    </row>
    <row r="1844" spans="1:14" hidden="1">
      <c r="A1844" s="100" t="s">
        <v>862</v>
      </c>
      <c r="B1844" s="101" t="s">
        <v>3197</v>
      </c>
      <c r="C1844" s="99" t="s">
        <v>3198</v>
      </c>
      <c r="D1844" s="38" t="s">
        <v>945</v>
      </c>
      <c r="E1844" s="42">
        <v>1</v>
      </c>
      <c r="F1844" s="9"/>
      <c r="G1844" s="8">
        <f t="shared" si="66"/>
        <v>6.1319999999999997</v>
      </c>
      <c r="H1844" s="188">
        <v>5.84</v>
      </c>
      <c r="I1844" s="19">
        <f t="shared" si="67"/>
        <v>0</v>
      </c>
      <c r="L1844" s="131"/>
      <c r="M1844" s="131"/>
      <c r="N1844" s="131"/>
    </row>
    <row r="1845" spans="1:14" hidden="1">
      <c r="A1845" s="100" t="s">
        <v>862</v>
      </c>
      <c r="B1845" s="101" t="s">
        <v>3199</v>
      </c>
      <c r="C1845" s="99" t="s">
        <v>3200</v>
      </c>
      <c r="D1845" s="38" t="s">
        <v>945</v>
      </c>
      <c r="E1845" s="42">
        <v>1</v>
      </c>
      <c r="F1845" s="9"/>
      <c r="G1845" s="8">
        <f t="shared" si="66"/>
        <v>6.6081750000000001</v>
      </c>
      <c r="H1845" s="188">
        <v>6.2934999999999999</v>
      </c>
      <c r="I1845" s="19">
        <f t="shared" si="67"/>
        <v>0</v>
      </c>
      <c r="L1845" s="131"/>
      <c r="M1845" s="131"/>
      <c r="N1845" s="131"/>
    </row>
    <row r="1846" spans="1:14" hidden="1">
      <c r="A1846" s="100" t="s">
        <v>862</v>
      </c>
      <c r="B1846" s="101" t="s">
        <v>3201</v>
      </c>
      <c r="C1846" s="99" t="s">
        <v>3202</v>
      </c>
      <c r="D1846" s="38" t="s">
        <v>945</v>
      </c>
      <c r="E1846" s="42">
        <v>1</v>
      </c>
      <c r="F1846" s="9"/>
      <c r="G1846" s="8">
        <f t="shared" si="66"/>
        <v>7.0853999999999999</v>
      </c>
      <c r="H1846" s="188">
        <v>6.7480000000000002</v>
      </c>
      <c r="I1846" s="19">
        <f t="shared" si="67"/>
        <v>0</v>
      </c>
      <c r="L1846" s="131"/>
      <c r="M1846" s="131"/>
      <c r="N1846" s="131"/>
    </row>
    <row r="1847" spans="1:14" hidden="1">
      <c r="A1847" s="100" t="s">
        <v>862</v>
      </c>
      <c r="B1847" s="101" t="s">
        <v>3203</v>
      </c>
      <c r="C1847" s="99" t="s">
        <v>3204</v>
      </c>
      <c r="D1847" s="38" t="s">
        <v>945</v>
      </c>
      <c r="E1847" s="42">
        <v>1</v>
      </c>
      <c r="F1847" s="9"/>
      <c r="G1847" s="8">
        <f t="shared" si="66"/>
        <v>7.5631500000000003</v>
      </c>
      <c r="H1847" s="188">
        <v>7.2030000000000003</v>
      </c>
      <c r="I1847" s="19">
        <f t="shared" si="67"/>
        <v>0</v>
      </c>
      <c r="L1847" s="131"/>
      <c r="M1847" s="131"/>
      <c r="N1847" s="131"/>
    </row>
    <row r="1848" spans="1:14" hidden="1">
      <c r="A1848" s="100" t="s">
        <v>862</v>
      </c>
      <c r="B1848" s="101" t="s">
        <v>3205</v>
      </c>
      <c r="C1848" s="99" t="s">
        <v>3206</v>
      </c>
      <c r="D1848" s="38" t="s">
        <v>945</v>
      </c>
      <c r="E1848" s="42">
        <v>1</v>
      </c>
      <c r="F1848" s="9"/>
      <c r="G1848" s="8">
        <f t="shared" si="66"/>
        <v>8.0403749999999992</v>
      </c>
      <c r="H1848" s="188">
        <v>7.6574999999999998</v>
      </c>
      <c r="I1848" s="19">
        <f t="shared" si="67"/>
        <v>0</v>
      </c>
      <c r="L1848" s="131"/>
      <c r="M1848" s="131"/>
      <c r="N1848" s="131"/>
    </row>
    <row r="1849" spans="1:14" hidden="1">
      <c r="A1849" s="100" t="s">
        <v>862</v>
      </c>
      <c r="B1849" s="101" t="s">
        <v>3207</v>
      </c>
      <c r="C1849" s="99" t="s">
        <v>3208</v>
      </c>
      <c r="D1849" s="38" t="s">
        <v>945</v>
      </c>
      <c r="E1849" s="42">
        <v>1</v>
      </c>
      <c r="F1849" s="9"/>
      <c r="G1849" s="8">
        <f t="shared" si="66"/>
        <v>8.5181250000000013</v>
      </c>
      <c r="H1849" s="188">
        <v>8.1125000000000007</v>
      </c>
      <c r="I1849" s="19">
        <f t="shared" si="67"/>
        <v>0</v>
      </c>
      <c r="L1849" s="131"/>
      <c r="M1849" s="131"/>
      <c r="N1849" s="131"/>
    </row>
    <row r="1850" spans="1:14" hidden="1">
      <c r="A1850" s="100" t="s">
        <v>862</v>
      </c>
      <c r="B1850" s="97" t="s">
        <v>3209</v>
      </c>
      <c r="C1850" s="98" t="s">
        <v>3210</v>
      </c>
      <c r="D1850" s="38" t="s">
        <v>572</v>
      </c>
      <c r="E1850" s="42">
        <v>1</v>
      </c>
      <c r="F1850" s="9"/>
      <c r="G1850" s="8">
        <f t="shared" si="66"/>
        <v>0.39374999999999999</v>
      </c>
      <c r="H1850" s="188">
        <v>0.375</v>
      </c>
      <c r="I1850" s="19">
        <f t="shared" si="67"/>
        <v>0</v>
      </c>
      <c r="L1850" s="131"/>
      <c r="M1850" s="131"/>
      <c r="N1850" s="131"/>
    </row>
    <row r="1851" spans="1:14" hidden="1">
      <c r="A1851" s="100" t="s">
        <v>862</v>
      </c>
      <c r="B1851" s="101" t="s">
        <v>3211</v>
      </c>
      <c r="C1851" s="99" t="s">
        <v>3212</v>
      </c>
      <c r="D1851" s="38" t="s">
        <v>945</v>
      </c>
      <c r="E1851" s="42">
        <v>1</v>
      </c>
      <c r="F1851" s="9"/>
      <c r="G1851" s="8">
        <f t="shared" si="66"/>
        <v>2.6964000000000001</v>
      </c>
      <c r="H1851" s="188">
        <v>2.5680000000000001</v>
      </c>
      <c r="I1851" s="19">
        <f t="shared" si="67"/>
        <v>0</v>
      </c>
      <c r="L1851" s="131"/>
      <c r="M1851" s="131"/>
      <c r="N1851" s="131"/>
    </row>
    <row r="1852" spans="1:14" hidden="1">
      <c r="A1852" s="100" t="s">
        <v>862</v>
      </c>
      <c r="B1852" s="101" t="s">
        <v>3213</v>
      </c>
      <c r="C1852" s="99" t="s">
        <v>3214</v>
      </c>
      <c r="D1852" s="38" t="s">
        <v>945</v>
      </c>
      <c r="E1852" s="42">
        <v>1</v>
      </c>
      <c r="F1852" s="9"/>
      <c r="G1852" s="8">
        <f t="shared" si="66"/>
        <v>2.9956500000000004</v>
      </c>
      <c r="H1852" s="188">
        <v>2.8530000000000002</v>
      </c>
      <c r="I1852" s="19">
        <f t="shared" si="67"/>
        <v>0</v>
      </c>
      <c r="L1852" s="131"/>
      <c r="M1852" s="131"/>
      <c r="N1852" s="131"/>
    </row>
    <row r="1853" spans="1:14" hidden="1">
      <c r="A1853" s="100" t="s">
        <v>862</v>
      </c>
      <c r="B1853" s="101" t="s">
        <v>3215</v>
      </c>
      <c r="C1853" s="99" t="s">
        <v>3216</v>
      </c>
      <c r="D1853" s="38" t="s">
        <v>945</v>
      </c>
      <c r="E1853" s="42">
        <v>1</v>
      </c>
      <c r="F1853" s="9"/>
      <c r="G1853" s="8">
        <f t="shared" si="66"/>
        <v>3.4602750000000002</v>
      </c>
      <c r="H1853" s="188">
        <v>3.2955000000000001</v>
      </c>
      <c r="I1853" s="19">
        <f t="shared" si="67"/>
        <v>0</v>
      </c>
      <c r="L1853" s="131"/>
      <c r="M1853" s="131"/>
      <c r="N1853" s="131"/>
    </row>
    <row r="1854" spans="1:14" hidden="1">
      <c r="A1854" s="100" t="s">
        <v>862</v>
      </c>
      <c r="B1854" s="101" t="s">
        <v>3217</v>
      </c>
      <c r="C1854" s="99" t="s">
        <v>3218</v>
      </c>
      <c r="D1854" s="38" t="s">
        <v>945</v>
      </c>
      <c r="E1854" s="42">
        <v>1</v>
      </c>
      <c r="F1854" s="9"/>
      <c r="G1854" s="8">
        <f t="shared" si="66"/>
        <v>3.9674250000000004</v>
      </c>
      <c r="H1854" s="188">
        <v>3.7785000000000002</v>
      </c>
      <c r="I1854" s="19">
        <f t="shared" si="67"/>
        <v>0</v>
      </c>
      <c r="L1854" s="131"/>
      <c r="M1854" s="131"/>
      <c r="N1854" s="131"/>
    </row>
    <row r="1855" spans="1:14" hidden="1">
      <c r="A1855" s="100" t="s">
        <v>862</v>
      </c>
      <c r="B1855" s="101" t="s">
        <v>3219</v>
      </c>
      <c r="C1855" s="99" t="s">
        <v>3220</v>
      </c>
      <c r="D1855" s="38" t="s">
        <v>945</v>
      </c>
      <c r="E1855" s="42">
        <v>1</v>
      </c>
      <c r="F1855" s="9"/>
      <c r="G1855" s="8">
        <f t="shared" si="66"/>
        <v>4.4446499999999993</v>
      </c>
      <c r="H1855" s="188">
        <v>4.2329999999999997</v>
      </c>
      <c r="I1855" s="19">
        <f t="shared" si="67"/>
        <v>0</v>
      </c>
      <c r="L1855" s="131"/>
      <c r="M1855" s="131"/>
      <c r="N1855" s="131"/>
    </row>
    <row r="1856" spans="1:14" hidden="1">
      <c r="A1856" s="100" t="s">
        <v>862</v>
      </c>
      <c r="B1856" s="101" t="s">
        <v>3221</v>
      </c>
      <c r="C1856" s="99" t="s">
        <v>3222</v>
      </c>
      <c r="D1856" s="38" t="s">
        <v>945</v>
      </c>
      <c r="E1856" s="42">
        <v>1</v>
      </c>
      <c r="F1856" s="9"/>
      <c r="G1856" s="8">
        <f t="shared" si="66"/>
        <v>4.8945750000000006</v>
      </c>
      <c r="H1856" s="188">
        <v>4.6615000000000002</v>
      </c>
      <c r="I1856" s="19">
        <f t="shared" si="67"/>
        <v>0</v>
      </c>
      <c r="L1856" s="131"/>
      <c r="M1856" s="131"/>
      <c r="N1856" s="131"/>
    </row>
    <row r="1857" spans="1:14" hidden="1">
      <c r="A1857" s="100" t="s">
        <v>862</v>
      </c>
      <c r="B1857" s="101" t="s">
        <v>3223</v>
      </c>
      <c r="C1857" s="99" t="s">
        <v>3224</v>
      </c>
      <c r="D1857" s="38" t="s">
        <v>945</v>
      </c>
      <c r="E1857" s="42">
        <v>1</v>
      </c>
      <c r="F1857" s="9"/>
      <c r="G1857" s="8">
        <f t="shared" si="66"/>
        <v>5.3896499999999996</v>
      </c>
      <c r="H1857" s="188">
        <v>5.133</v>
      </c>
      <c r="I1857" s="19">
        <f t="shared" si="67"/>
        <v>0</v>
      </c>
      <c r="L1857" s="131"/>
      <c r="M1857" s="131"/>
      <c r="N1857" s="131"/>
    </row>
    <row r="1858" spans="1:14" hidden="1">
      <c r="A1858" s="100" t="s">
        <v>862</v>
      </c>
      <c r="B1858" s="101" t="s">
        <v>3225</v>
      </c>
      <c r="C1858" s="99" t="s">
        <v>3226</v>
      </c>
      <c r="D1858" s="38" t="s">
        <v>945</v>
      </c>
      <c r="E1858" s="42">
        <v>1</v>
      </c>
      <c r="F1858" s="9"/>
      <c r="G1858" s="8">
        <f t="shared" si="66"/>
        <v>5.8810500000000001</v>
      </c>
      <c r="H1858" s="188">
        <v>5.601</v>
      </c>
      <c r="I1858" s="19">
        <f t="shared" si="67"/>
        <v>0</v>
      </c>
      <c r="L1858" s="131"/>
      <c r="M1858" s="131"/>
      <c r="N1858" s="131"/>
    </row>
    <row r="1859" spans="1:14" hidden="1">
      <c r="A1859" s="100" t="s">
        <v>862</v>
      </c>
      <c r="B1859" s="101" t="s">
        <v>3227</v>
      </c>
      <c r="C1859" s="99" t="s">
        <v>3228</v>
      </c>
      <c r="D1859" s="38" t="s">
        <v>945</v>
      </c>
      <c r="E1859" s="42">
        <v>1</v>
      </c>
      <c r="F1859" s="9"/>
      <c r="G1859" s="8">
        <f t="shared" si="66"/>
        <v>6.3315000000000001</v>
      </c>
      <c r="H1859" s="188">
        <v>6.03</v>
      </c>
      <c r="I1859" s="19">
        <f t="shared" si="67"/>
        <v>0</v>
      </c>
      <c r="L1859" s="131"/>
      <c r="M1859" s="131"/>
      <c r="N1859" s="131"/>
    </row>
    <row r="1860" spans="1:14" hidden="1">
      <c r="A1860" s="100" t="s">
        <v>862</v>
      </c>
      <c r="B1860" s="101" t="s">
        <v>3229</v>
      </c>
      <c r="C1860" s="99" t="s">
        <v>3230</v>
      </c>
      <c r="D1860" s="38" t="s">
        <v>945</v>
      </c>
      <c r="E1860" s="42">
        <v>1</v>
      </c>
      <c r="F1860" s="9"/>
      <c r="G1860" s="8">
        <f t="shared" si="66"/>
        <v>7.2759749999999999</v>
      </c>
      <c r="H1860" s="188">
        <v>6.9295</v>
      </c>
      <c r="I1860" s="19">
        <f t="shared" si="67"/>
        <v>0</v>
      </c>
      <c r="L1860" s="131"/>
      <c r="M1860" s="131"/>
      <c r="N1860" s="131"/>
    </row>
    <row r="1861" spans="1:14" hidden="1">
      <c r="A1861" s="100" t="s">
        <v>862</v>
      </c>
      <c r="B1861" s="101" t="s">
        <v>3231</v>
      </c>
      <c r="C1861" s="99" t="s">
        <v>3232</v>
      </c>
      <c r="D1861" s="38" t="s">
        <v>945</v>
      </c>
      <c r="E1861" s="42">
        <v>1</v>
      </c>
      <c r="F1861" s="9"/>
      <c r="G1861" s="8">
        <f t="shared" si="66"/>
        <v>18.936225</v>
      </c>
      <c r="H1861" s="188">
        <v>18.034500000000001</v>
      </c>
      <c r="I1861" s="19">
        <f t="shared" si="67"/>
        <v>0</v>
      </c>
      <c r="L1861" s="131"/>
      <c r="M1861" s="131"/>
      <c r="N1861" s="131"/>
    </row>
    <row r="1862" spans="1:14" hidden="1">
      <c r="A1862" s="100" t="s">
        <v>862</v>
      </c>
      <c r="B1862" s="97" t="s">
        <v>3233</v>
      </c>
      <c r="C1862" s="98" t="s">
        <v>3234</v>
      </c>
      <c r="D1862" s="38" t="s">
        <v>572</v>
      </c>
      <c r="E1862" s="42">
        <v>1</v>
      </c>
      <c r="F1862" s="9"/>
      <c r="G1862" s="8">
        <f t="shared" si="66"/>
        <v>0.49874999999999997</v>
      </c>
      <c r="H1862" s="188">
        <v>0.47499999999999998</v>
      </c>
      <c r="I1862" s="19">
        <f t="shared" si="67"/>
        <v>0</v>
      </c>
      <c r="L1862" s="131"/>
      <c r="M1862" s="131"/>
      <c r="N1862" s="131"/>
    </row>
    <row r="1863" spans="1:14" hidden="1">
      <c r="A1863" s="100" t="s">
        <v>862</v>
      </c>
      <c r="B1863" s="101" t="s">
        <v>3235</v>
      </c>
      <c r="C1863" s="99" t="s">
        <v>3236</v>
      </c>
      <c r="D1863" s="38" t="s">
        <v>945</v>
      </c>
      <c r="E1863" s="42">
        <v>1</v>
      </c>
      <c r="F1863" s="9"/>
      <c r="G1863" s="8">
        <f t="shared" si="66"/>
        <v>5.3508000000000004</v>
      </c>
      <c r="H1863" s="188">
        <v>5.0960000000000001</v>
      </c>
      <c r="I1863" s="19">
        <f t="shared" si="67"/>
        <v>0</v>
      </c>
      <c r="L1863" s="131"/>
      <c r="M1863" s="131"/>
      <c r="N1863" s="131"/>
    </row>
    <row r="1864" spans="1:14" hidden="1">
      <c r="A1864" s="100" t="s">
        <v>862</v>
      </c>
      <c r="B1864" s="101" t="s">
        <v>3237</v>
      </c>
      <c r="C1864" s="99" t="s">
        <v>3238</v>
      </c>
      <c r="D1864" s="38" t="s">
        <v>945</v>
      </c>
      <c r="E1864" s="42">
        <v>1</v>
      </c>
      <c r="F1864" s="9"/>
      <c r="G1864" s="8">
        <f t="shared" si="66"/>
        <v>6.1582500000000007</v>
      </c>
      <c r="H1864" s="188">
        <v>5.8650000000000002</v>
      </c>
      <c r="I1864" s="19">
        <f t="shared" si="67"/>
        <v>0</v>
      </c>
      <c r="L1864" s="131"/>
      <c r="M1864" s="131"/>
      <c r="N1864" s="131"/>
    </row>
    <row r="1865" spans="1:14" hidden="1">
      <c r="A1865" s="100" t="s">
        <v>862</v>
      </c>
      <c r="B1865" s="101" t="s">
        <v>3239</v>
      </c>
      <c r="C1865" s="99" t="s">
        <v>3240</v>
      </c>
      <c r="D1865" s="38" t="s">
        <v>945</v>
      </c>
      <c r="E1865" s="42">
        <v>1</v>
      </c>
      <c r="F1865" s="9"/>
      <c r="G1865" s="8">
        <f t="shared" si="66"/>
        <v>6.8701500000000006</v>
      </c>
      <c r="H1865" s="188">
        <v>6.5430000000000001</v>
      </c>
      <c r="I1865" s="19">
        <f t="shared" si="67"/>
        <v>0</v>
      </c>
      <c r="L1865" s="131"/>
      <c r="M1865" s="131"/>
      <c r="N1865" s="131"/>
    </row>
    <row r="1866" spans="1:14" hidden="1">
      <c r="A1866" s="100" t="s">
        <v>862</v>
      </c>
      <c r="B1866" s="101" t="s">
        <v>3241</v>
      </c>
      <c r="C1866" s="99" t="s">
        <v>3242</v>
      </c>
      <c r="D1866" s="38" t="s">
        <v>945</v>
      </c>
      <c r="E1866" s="42">
        <v>1</v>
      </c>
      <c r="F1866" s="9"/>
      <c r="G1866" s="8">
        <f t="shared" si="66"/>
        <v>7.5820499999999997</v>
      </c>
      <c r="H1866" s="188">
        <v>7.2210000000000001</v>
      </c>
      <c r="I1866" s="19">
        <f t="shared" si="67"/>
        <v>0</v>
      </c>
      <c r="L1866" s="131"/>
      <c r="M1866" s="131"/>
      <c r="N1866" s="131"/>
    </row>
    <row r="1867" spans="1:14" hidden="1">
      <c r="A1867" s="100" t="s">
        <v>862</v>
      </c>
      <c r="B1867" s="101" t="s">
        <v>3243</v>
      </c>
      <c r="C1867" s="99" t="s">
        <v>3244</v>
      </c>
      <c r="D1867" s="38" t="s">
        <v>945</v>
      </c>
      <c r="E1867" s="42">
        <v>1</v>
      </c>
      <c r="F1867" s="9"/>
      <c r="G1867" s="8">
        <f t="shared" si="66"/>
        <v>8.3947500000000002</v>
      </c>
      <c r="H1867" s="188">
        <v>7.9950000000000001</v>
      </c>
      <c r="I1867" s="19">
        <f t="shared" si="67"/>
        <v>0</v>
      </c>
      <c r="L1867" s="131"/>
      <c r="M1867" s="131"/>
      <c r="N1867" s="131"/>
    </row>
    <row r="1868" spans="1:14" hidden="1">
      <c r="A1868" s="100" t="s">
        <v>862</v>
      </c>
      <c r="B1868" s="101" t="s">
        <v>3245</v>
      </c>
      <c r="C1868" s="99" t="s">
        <v>3246</v>
      </c>
      <c r="D1868" s="38" t="s">
        <v>945</v>
      </c>
      <c r="E1868" s="42">
        <v>1</v>
      </c>
      <c r="F1868" s="9"/>
      <c r="G1868" s="8">
        <f t="shared" si="66"/>
        <v>8.5790250000000015</v>
      </c>
      <c r="H1868" s="188">
        <v>8.1705000000000005</v>
      </c>
      <c r="I1868" s="19">
        <f t="shared" si="67"/>
        <v>0</v>
      </c>
      <c r="L1868" s="131"/>
      <c r="M1868" s="131"/>
      <c r="N1868" s="131"/>
    </row>
    <row r="1869" spans="1:14" hidden="1">
      <c r="A1869" s="100" t="s">
        <v>862</v>
      </c>
      <c r="B1869" s="101" t="s">
        <v>3247</v>
      </c>
      <c r="C1869" s="99" t="s">
        <v>3248</v>
      </c>
      <c r="D1869" s="38" t="s">
        <v>945</v>
      </c>
      <c r="E1869" s="42">
        <v>1</v>
      </c>
      <c r="F1869" s="9"/>
      <c r="G1869" s="8">
        <f t="shared" si="66"/>
        <v>9.2462999999999997</v>
      </c>
      <c r="H1869" s="188">
        <v>8.8059999999999992</v>
      </c>
      <c r="I1869" s="19">
        <f t="shared" si="67"/>
        <v>0</v>
      </c>
      <c r="L1869" s="131"/>
      <c r="M1869" s="131"/>
      <c r="N1869" s="131"/>
    </row>
    <row r="1870" spans="1:14" hidden="1">
      <c r="A1870" s="100" t="s">
        <v>862</v>
      </c>
      <c r="B1870" s="101" t="s">
        <v>3249</v>
      </c>
      <c r="C1870" s="99" t="s">
        <v>3250</v>
      </c>
      <c r="D1870" s="38" t="s">
        <v>945</v>
      </c>
      <c r="E1870" s="42">
        <v>1</v>
      </c>
      <c r="F1870" s="9"/>
      <c r="G1870" s="8">
        <f t="shared" si="66"/>
        <v>22.882649999999998</v>
      </c>
      <c r="H1870" s="188">
        <v>21.792999999999999</v>
      </c>
      <c r="I1870" s="19">
        <f t="shared" si="67"/>
        <v>0</v>
      </c>
      <c r="L1870" s="131"/>
      <c r="M1870" s="131"/>
      <c r="N1870" s="131"/>
    </row>
    <row r="1871" spans="1:14" hidden="1">
      <c r="A1871" s="100" t="s">
        <v>862</v>
      </c>
      <c r="B1871" s="97" t="s">
        <v>3251</v>
      </c>
      <c r="C1871" s="98" t="s">
        <v>3252</v>
      </c>
      <c r="D1871" s="38" t="s">
        <v>572</v>
      </c>
      <c r="E1871" s="42">
        <v>1</v>
      </c>
      <c r="F1871" s="9"/>
      <c r="G1871" s="8">
        <f t="shared" si="66"/>
        <v>0.66674999999999995</v>
      </c>
      <c r="H1871" s="188">
        <v>0.63500000000000001</v>
      </c>
      <c r="I1871" s="19">
        <f t="shared" si="67"/>
        <v>0</v>
      </c>
      <c r="L1871" s="131"/>
      <c r="M1871" s="131"/>
      <c r="N1871" s="131"/>
    </row>
    <row r="1872" spans="1:14" hidden="1">
      <c r="A1872" s="100" t="s">
        <v>862</v>
      </c>
      <c r="B1872" s="101" t="s">
        <v>3253</v>
      </c>
      <c r="C1872" s="99" t="s">
        <v>3254</v>
      </c>
      <c r="D1872" s="38" t="s">
        <v>945</v>
      </c>
      <c r="E1872" s="42">
        <v>1</v>
      </c>
      <c r="F1872" s="9"/>
      <c r="G1872" s="8">
        <f t="shared" si="66"/>
        <v>1.3455750000000002</v>
      </c>
      <c r="H1872" s="188">
        <v>1.2815000000000001</v>
      </c>
      <c r="I1872" s="19">
        <f t="shared" si="67"/>
        <v>0</v>
      </c>
      <c r="L1872" s="131"/>
      <c r="M1872" s="131"/>
      <c r="N1872" s="131"/>
    </row>
    <row r="1873" spans="1:14" hidden="1">
      <c r="A1873" s="100" t="s">
        <v>862</v>
      </c>
      <c r="B1873" s="101" t="s">
        <v>3255</v>
      </c>
      <c r="C1873" s="99" t="s">
        <v>3256</v>
      </c>
      <c r="D1873" s="38" t="s">
        <v>945</v>
      </c>
      <c r="E1873" s="42">
        <v>1</v>
      </c>
      <c r="F1873" s="9"/>
      <c r="G1873" s="8">
        <f t="shared" si="66"/>
        <v>9.8521499999999982</v>
      </c>
      <c r="H1873" s="188">
        <v>9.3829999999999991</v>
      </c>
      <c r="I1873" s="19">
        <f t="shared" si="67"/>
        <v>0</v>
      </c>
      <c r="L1873" s="131"/>
      <c r="M1873" s="131"/>
      <c r="N1873" s="131"/>
    </row>
    <row r="1874" spans="1:14" hidden="1">
      <c r="A1874" s="100" t="s">
        <v>862</v>
      </c>
      <c r="B1874" s="101" t="s">
        <v>3257</v>
      </c>
      <c r="C1874" s="99" t="s">
        <v>3258</v>
      </c>
      <c r="D1874" s="38" t="s">
        <v>945</v>
      </c>
      <c r="E1874" s="42">
        <v>1</v>
      </c>
      <c r="F1874" s="9"/>
      <c r="G1874" s="8">
        <f t="shared" si="66"/>
        <v>12.540149999999999</v>
      </c>
      <c r="H1874" s="188">
        <v>11.943</v>
      </c>
      <c r="I1874" s="19">
        <f t="shared" si="67"/>
        <v>0</v>
      </c>
      <c r="L1874" s="131"/>
      <c r="M1874" s="131"/>
      <c r="N1874" s="131"/>
    </row>
    <row r="1875" spans="1:14" hidden="1">
      <c r="A1875" s="100" t="s">
        <v>862</v>
      </c>
      <c r="B1875" s="101" t="s">
        <v>3259</v>
      </c>
      <c r="C1875" s="99" t="s">
        <v>3260</v>
      </c>
      <c r="D1875" s="38" t="s">
        <v>945</v>
      </c>
      <c r="E1875" s="42">
        <v>1</v>
      </c>
      <c r="F1875" s="9"/>
      <c r="G1875" s="8">
        <f t="shared" si="66"/>
        <v>15.228149999999999</v>
      </c>
      <c r="H1875" s="188">
        <v>14.503</v>
      </c>
      <c r="I1875" s="19">
        <f t="shared" si="67"/>
        <v>0</v>
      </c>
      <c r="L1875" s="131"/>
      <c r="M1875" s="131"/>
      <c r="N1875" s="131"/>
    </row>
    <row r="1876" spans="1:14" hidden="1">
      <c r="A1876" s="100" t="s">
        <v>862</v>
      </c>
      <c r="B1876" s="101" t="s">
        <v>3261</v>
      </c>
      <c r="C1876" s="99" t="s">
        <v>3262</v>
      </c>
      <c r="D1876" s="38" t="s">
        <v>945</v>
      </c>
      <c r="E1876" s="42">
        <v>1</v>
      </c>
      <c r="F1876" s="9"/>
      <c r="G1876" s="8">
        <f t="shared" si="66"/>
        <v>18.039524999999998</v>
      </c>
      <c r="H1876" s="188">
        <v>17.180499999999999</v>
      </c>
      <c r="I1876" s="19">
        <f t="shared" si="67"/>
        <v>0</v>
      </c>
      <c r="L1876" s="131"/>
      <c r="M1876" s="131"/>
      <c r="N1876" s="131"/>
    </row>
    <row r="1877" spans="1:14" hidden="1">
      <c r="A1877" s="100" t="s">
        <v>862</v>
      </c>
      <c r="B1877" s="101" t="s">
        <v>3263</v>
      </c>
      <c r="C1877" s="99" t="s">
        <v>3264</v>
      </c>
      <c r="D1877" s="38" t="s">
        <v>945</v>
      </c>
      <c r="E1877" s="42">
        <v>1</v>
      </c>
      <c r="F1877" s="9"/>
      <c r="G1877" s="8">
        <f t="shared" si="66"/>
        <v>20.727525</v>
      </c>
      <c r="H1877" s="188">
        <v>19.740500000000001</v>
      </c>
      <c r="I1877" s="19">
        <f t="shared" si="67"/>
        <v>0</v>
      </c>
      <c r="L1877" s="131"/>
      <c r="M1877" s="131"/>
      <c r="N1877" s="131"/>
    </row>
    <row r="1878" spans="1:14" hidden="1">
      <c r="A1878" s="100" t="s">
        <v>862</v>
      </c>
      <c r="B1878" s="101" t="s">
        <v>3265</v>
      </c>
      <c r="C1878" s="99" t="s">
        <v>3266</v>
      </c>
      <c r="D1878" s="38" t="s">
        <v>945</v>
      </c>
      <c r="E1878" s="42">
        <v>1</v>
      </c>
      <c r="F1878" s="9"/>
      <c r="G1878" s="8">
        <f t="shared" si="66"/>
        <v>23.415524999999999</v>
      </c>
      <c r="H1878" s="188">
        <v>22.3005</v>
      </c>
      <c r="I1878" s="19">
        <f t="shared" si="67"/>
        <v>0</v>
      </c>
      <c r="L1878" s="131"/>
      <c r="M1878" s="131"/>
      <c r="N1878" s="131"/>
    </row>
    <row r="1879" spans="1:14" hidden="1">
      <c r="A1879" s="100" t="s">
        <v>862</v>
      </c>
      <c r="B1879" s="101" t="s">
        <v>3267</v>
      </c>
      <c r="C1879" s="99" t="s">
        <v>3268</v>
      </c>
      <c r="D1879" s="38" t="s">
        <v>945</v>
      </c>
      <c r="E1879" s="42">
        <v>1</v>
      </c>
      <c r="F1879" s="9"/>
      <c r="G1879" s="8">
        <f t="shared" si="66"/>
        <v>29.161650000000002</v>
      </c>
      <c r="H1879" s="188">
        <v>27.773</v>
      </c>
      <c r="I1879" s="19">
        <f t="shared" si="67"/>
        <v>0</v>
      </c>
      <c r="L1879" s="131"/>
      <c r="M1879" s="131"/>
      <c r="N1879" s="131"/>
    </row>
    <row r="1880" spans="1:14" hidden="1">
      <c r="A1880" s="100" t="s">
        <v>862</v>
      </c>
      <c r="B1880" s="101" t="s">
        <v>3269</v>
      </c>
      <c r="C1880" s="99" t="s">
        <v>3270</v>
      </c>
      <c r="D1880" s="38"/>
      <c r="E1880" s="42">
        <v>1</v>
      </c>
      <c r="F1880" s="9"/>
      <c r="G1880" s="8">
        <f t="shared" si="66"/>
        <v>2.4013499999999999</v>
      </c>
      <c r="H1880" s="188">
        <v>2.2869999999999999</v>
      </c>
      <c r="I1880" s="19">
        <f t="shared" si="67"/>
        <v>0</v>
      </c>
      <c r="L1880" s="131"/>
      <c r="M1880" s="131"/>
      <c r="N1880" s="131"/>
    </row>
    <row r="1881" spans="1:14" hidden="1">
      <c r="A1881" s="100" t="s">
        <v>862</v>
      </c>
      <c r="B1881" s="101" t="s">
        <v>3271</v>
      </c>
      <c r="C1881" s="99" t="s">
        <v>3272</v>
      </c>
      <c r="D1881" s="38"/>
      <c r="E1881" s="42">
        <v>1</v>
      </c>
      <c r="F1881" s="9"/>
      <c r="G1881" s="8">
        <f t="shared" si="66"/>
        <v>11.751075</v>
      </c>
      <c r="H1881" s="188">
        <v>11.1915</v>
      </c>
      <c r="I1881" s="19">
        <f t="shared" si="67"/>
        <v>0</v>
      </c>
      <c r="L1881" s="131"/>
      <c r="M1881" s="131"/>
      <c r="N1881" s="131"/>
    </row>
    <row r="1882" spans="1:14" hidden="1">
      <c r="A1882" s="100" t="s">
        <v>862</v>
      </c>
      <c r="B1882" s="101" t="s">
        <v>3273</v>
      </c>
      <c r="C1882" s="99" t="s">
        <v>3274</v>
      </c>
      <c r="D1882" s="38"/>
      <c r="E1882" s="42">
        <v>1</v>
      </c>
      <c r="F1882" s="9"/>
      <c r="G1882" s="8">
        <f t="shared" si="66"/>
        <v>0.53129999999999999</v>
      </c>
      <c r="H1882" s="188">
        <v>0.50600000000000001</v>
      </c>
      <c r="I1882" s="19">
        <f t="shared" si="67"/>
        <v>0</v>
      </c>
      <c r="L1882" s="131"/>
      <c r="M1882" s="131"/>
      <c r="N1882" s="131"/>
    </row>
    <row r="1883" spans="1:14" hidden="1">
      <c r="A1883" s="100" t="s">
        <v>862</v>
      </c>
      <c r="B1883" s="101" t="s">
        <v>3275</v>
      </c>
      <c r="C1883" s="99" t="s">
        <v>3276</v>
      </c>
      <c r="D1883" s="38"/>
      <c r="E1883" s="42">
        <v>1</v>
      </c>
      <c r="F1883" s="9"/>
      <c r="G1883" s="8">
        <f t="shared" si="66"/>
        <v>5.8091249999999999</v>
      </c>
      <c r="H1883" s="188">
        <v>5.5324999999999998</v>
      </c>
      <c r="I1883" s="19">
        <f t="shared" si="67"/>
        <v>0</v>
      </c>
      <c r="L1883" s="131"/>
      <c r="M1883" s="131"/>
      <c r="N1883" s="131"/>
    </row>
    <row r="1884" spans="1:14" hidden="1">
      <c r="A1884" s="100" t="s">
        <v>862</v>
      </c>
      <c r="B1884" s="101" t="s">
        <v>3277</v>
      </c>
      <c r="C1884" s="99" t="s">
        <v>3278</v>
      </c>
      <c r="D1884" s="38"/>
      <c r="E1884" s="42">
        <v>1</v>
      </c>
      <c r="F1884" s="9"/>
      <c r="G1884" s="8">
        <f t="shared" si="66"/>
        <v>36.674925000000002</v>
      </c>
      <c r="H1884" s="188">
        <v>34.9285</v>
      </c>
      <c r="I1884" s="19">
        <f t="shared" si="67"/>
        <v>0</v>
      </c>
      <c r="L1884" s="131"/>
      <c r="M1884" s="131"/>
      <c r="N1884" s="131"/>
    </row>
    <row r="1885" spans="1:14" hidden="1">
      <c r="A1885" s="100" t="s">
        <v>862</v>
      </c>
      <c r="B1885" s="101" t="s">
        <v>3279</v>
      </c>
      <c r="C1885" s="99" t="s">
        <v>3280</v>
      </c>
      <c r="D1885" s="38"/>
      <c r="E1885" s="42">
        <v>1</v>
      </c>
      <c r="F1885" s="9"/>
      <c r="G1885" s="8">
        <f t="shared" si="66"/>
        <v>9.8174999999999998E-2</v>
      </c>
      <c r="H1885" s="188">
        <v>9.35E-2</v>
      </c>
      <c r="I1885" s="19">
        <f t="shared" si="67"/>
        <v>0</v>
      </c>
      <c r="L1885" s="131"/>
      <c r="M1885" s="131"/>
      <c r="N1885" s="131"/>
    </row>
    <row r="1886" spans="1:14" hidden="1">
      <c r="A1886" s="100" t="s">
        <v>862</v>
      </c>
      <c r="B1886" s="101" t="s">
        <v>3281</v>
      </c>
      <c r="C1886" s="99" t="s">
        <v>3282</v>
      </c>
      <c r="D1886" s="38"/>
      <c r="E1886" s="42">
        <v>1</v>
      </c>
      <c r="F1886" s="9"/>
      <c r="G1886" s="8">
        <f t="shared" si="66"/>
        <v>0.13335</v>
      </c>
      <c r="H1886" s="188">
        <v>0.127</v>
      </c>
      <c r="I1886" s="19">
        <f t="shared" si="67"/>
        <v>0</v>
      </c>
      <c r="L1886" s="131"/>
      <c r="M1886" s="131"/>
      <c r="N1886" s="131"/>
    </row>
    <row r="1887" spans="1:14" hidden="1">
      <c r="A1887" s="100" t="s">
        <v>862</v>
      </c>
      <c r="B1887" s="101" t="s">
        <v>3283</v>
      </c>
      <c r="C1887" s="99" t="s">
        <v>3284</v>
      </c>
      <c r="D1887" s="38"/>
      <c r="E1887" s="42">
        <v>1</v>
      </c>
      <c r="F1887" s="9"/>
      <c r="G1887" s="8">
        <f t="shared" si="66"/>
        <v>0.14804999999999999</v>
      </c>
      <c r="H1887" s="188">
        <v>0.14099999999999999</v>
      </c>
      <c r="I1887" s="19">
        <f t="shared" si="67"/>
        <v>0</v>
      </c>
      <c r="L1887" s="131"/>
      <c r="M1887" s="131"/>
      <c r="N1887" s="131"/>
    </row>
    <row r="1888" spans="1:14" hidden="1">
      <c r="A1888" s="100" t="s">
        <v>862</v>
      </c>
      <c r="B1888" s="101" t="s">
        <v>3285</v>
      </c>
      <c r="C1888" s="99" t="s">
        <v>3286</v>
      </c>
      <c r="D1888" s="38"/>
      <c r="E1888" s="42">
        <v>1</v>
      </c>
      <c r="F1888" s="9"/>
      <c r="G1888" s="8">
        <f t="shared" si="66"/>
        <v>11.482799999999999</v>
      </c>
      <c r="H1888" s="188">
        <v>10.936</v>
      </c>
      <c r="I1888" s="19">
        <f t="shared" si="67"/>
        <v>0</v>
      </c>
      <c r="L1888" s="131"/>
      <c r="M1888" s="131"/>
      <c r="N1888" s="131"/>
    </row>
    <row r="1889" spans="1:14" hidden="1">
      <c r="A1889" s="100" t="s">
        <v>862</v>
      </c>
      <c r="B1889" s="101" t="s">
        <v>3287</v>
      </c>
      <c r="C1889" s="99" t="s">
        <v>3288</v>
      </c>
      <c r="D1889" s="38"/>
      <c r="E1889" s="42">
        <v>1</v>
      </c>
      <c r="F1889" s="9"/>
      <c r="G1889" s="8">
        <f t="shared" si="66"/>
        <v>4.2719250000000004</v>
      </c>
      <c r="H1889" s="188">
        <v>4.0685000000000002</v>
      </c>
      <c r="I1889" s="19">
        <f t="shared" si="67"/>
        <v>0</v>
      </c>
      <c r="L1889" s="131"/>
      <c r="M1889" s="131"/>
      <c r="N1889" s="131"/>
    </row>
    <row r="1890" spans="1:14" hidden="1">
      <c r="A1890" s="100" t="s">
        <v>862</v>
      </c>
      <c r="B1890" s="101" t="s">
        <v>3289</v>
      </c>
      <c r="C1890" s="99" t="s">
        <v>3290</v>
      </c>
      <c r="D1890" s="38"/>
      <c r="E1890" s="42">
        <v>1</v>
      </c>
      <c r="F1890" s="9"/>
      <c r="G1890" s="8">
        <f t="shared" si="66"/>
        <v>13.254149999999999</v>
      </c>
      <c r="H1890" s="188">
        <v>12.622999999999999</v>
      </c>
      <c r="I1890" s="19">
        <f t="shared" si="67"/>
        <v>0</v>
      </c>
      <c r="L1890" s="131"/>
      <c r="M1890" s="131"/>
      <c r="N1890" s="131"/>
    </row>
    <row r="1891" spans="1:14" hidden="1">
      <c r="A1891" s="100" t="s">
        <v>862</v>
      </c>
      <c r="B1891" s="101" t="s">
        <v>3291</v>
      </c>
      <c r="C1891" s="99" t="s">
        <v>3292</v>
      </c>
      <c r="D1891" s="38"/>
      <c r="E1891" s="42">
        <v>1</v>
      </c>
      <c r="F1891" s="9"/>
      <c r="G1891" s="8">
        <f t="shared" si="66"/>
        <v>0.24937499999999999</v>
      </c>
      <c r="H1891" s="188">
        <v>0.23749999999999999</v>
      </c>
      <c r="I1891" s="19">
        <f t="shared" si="67"/>
        <v>0</v>
      </c>
      <c r="L1891" s="131"/>
      <c r="M1891" s="131"/>
      <c r="N1891" s="131"/>
    </row>
    <row r="1892" spans="1:14" hidden="1">
      <c r="A1892" s="100" t="s">
        <v>862</v>
      </c>
      <c r="B1892" s="101" t="s">
        <v>3293</v>
      </c>
      <c r="C1892" s="99" t="s">
        <v>3294</v>
      </c>
      <c r="D1892" s="38"/>
      <c r="E1892" s="42">
        <v>1</v>
      </c>
      <c r="F1892" s="9"/>
      <c r="G1892" s="8">
        <f t="shared" si="66"/>
        <v>6.6564750000000004</v>
      </c>
      <c r="H1892" s="188">
        <v>6.3395000000000001</v>
      </c>
      <c r="I1892" s="19">
        <f t="shared" si="67"/>
        <v>0</v>
      </c>
      <c r="L1892" s="131"/>
      <c r="M1892" s="131"/>
      <c r="N1892" s="131"/>
    </row>
    <row r="1893" spans="1:14" hidden="1">
      <c r="A1893" s="100" t="s">
        <v>862</v>
      </c>
      <c r="B1893" s="101" t="s">
        <v>3295</v>
      </c>
      <c r="C1893" s="99" t="s">
        <v>3296</v>
      </c>
      <c r="D1893" s="38"/>
      <c r="E1893" s="42">
        <v>1</v>
      </c>
      <c r="F1893" s="9"/>
      <c r="G1893" s="8">
        <f t="shared" ref="G1893:G1956" si="68">H1893+(H1893*5%)</f>
        <v>11.8146</v>
      </c>
      <c r="H1893" s="188">
        <v>11.252000000000001</v>
      </c>
      <c r="I1893" s="19">
        <f t="shared" si="67"/>
        <v>0</v>
      </c>
      <c r="L1893" s="131"/>
      <c r="M1893" s="131"/>
      <c r="N1893" s="131"/>
    </row>
    <row r="1894" spans="1:14" hidden="1">
      <c r="A1894" s="100" t="s">
        <v>862</v>
      </c>
      <c r="B1894" s="101" t="s">
        <v>3297</v>
      </c>
      <c r="C1894" s="99" t="s">
        <v>3298</v>
      </c>
      <c r="D1894" s="38"/>
      <c r="E1894" s="42">
        <v>1</v>
      </c>
      <c r="F1894" s="9"/>
      <c r="G1894" s="8">
        <f t="shared" si="68"/>
        <v>1.0032749999999999</v>
      </c>
      <c r="H1894" s="188">
        <v>0.95550000000000002</v>
      </c>
      <c r="I1894" s="19">
        <f t="shared" si="67"/>
        <v>0</v>
      </c>
      <c r="L1894" s="131"/>
      <c r="M1894" s="131"/>
      <c r="N1894" s="131"/>
    </row>
    <row r="1895" spans="1:14" hidden="1">
      <c r="A1895" s="100" t="s">
        <v>862</v>
      </c>
      <c r="B1895" s="101" t="s">
        <v>3299</v>
      </c>
      <c r="C1895" s="99" t="s">
        <v>3300</v>
      </c>
      <c r="D1895" s="38"/>
      <c r="E1895" s="42">
        <v>1</v>
      </c>
      <c r="F1895" s="9"/>
      <c r="G1895" s="8">
        <f t="shared" si="68"/>
        <v>3.802575</v>
      </c>
      <c r="H1895" s="188">
        <v>3.6215000000000002</v>
      </c>
      <c r="I1895" s="19">
        <f t="shared" ref="I1895:I1958" si="69">G1895*F1895</f>
        <v>0</v>
      </c>
      <c r="L1895" s="131"/>
      <c r="M1895" s="131"/>
      <c r="N1895" s="131"/>
    </row>
    <row r="1896" spans="1:14" hidden="1">
      <c r="A1896" s="100" t="s">
        <v>862</v>
      </c>
      <c r="B1896" s="101" t="s">
        <v>3301</v>
      </c>
      <c r="C1896" s="99" t="s">
        <v>3302</v>
      </c>
      <c r="D1896" s="38"/>
      <c r="E1896" s="42">
        <v>1</v>
      </c>
      <c r="F1896" s="9"/>
      <c r="G1896" s="8">
        <f t="shared" si="68"/>
        <v>5.0967000000000002</v>
      </c>
      <c r="H1896" s="188">
        <v>4.8540000000000001</v>
      </c>
      <c r="I1896" s="19">
        <f t="shared" si="69"/>
        <v>0</v>
      </c>
      <c r="L1896" s="131"/>
      <c r="M1896" s="131"/>
      <c r="N1896" s="131"/>
    </row>
    <row r="1897" spans="1:14" hidden="1">
      <c r="A1897" s="100" t="s">
        <v>862</v>
      </c>
      <c r="B1897" s="101" t="s">
        <v>3303</v>
      </c>
      <c r="C1897" s="99" t="s">
        <v>3304</v>
      </c>
      <c r="D1897" s="38"/>
      <c r="E1897" s="42">
        <v>1</v>
      </c>
      <c r="F1897" s="9"/>
      <c r="G1897" s="8">
        <f t="shared" si="68"/>
        <v>150.95325</v>
      </c>
      <c r="H1897" s="188">
        <v>143.76499999999999</v>
      </c>
      <c r="I1897" s="19">
        <f t="shared" si="69"/>
        <v>0</v>
      </c>
      <c r="L1897" s="131"/>
      <c r="M1897" s="131"/>
      <c r="N1897" s="131"/>
    </row>
    <row r="1898" spans="1:14">
      <c r="A1898" s="100" t="s">
        <v>862</v>
      </c>
      <c r="B1898" s="101" t="s">
        <v>3305</v>
      </c>
      <c r="C1898" s="99" t="s">
        <v>3306</v>
      </c>
      <c r="D1898" s="38"/>
      <c r="E1898" s="42">
        <v>1</v>
      </c>
      <c r="F1898" s="9">
        <v>26</v>
      </c>
      <c r="G1898" s="8">
        <f t="shared" si="68"/>
        <v>2.4753750000000001</v>
      </c>
      <c r="H1898" s="188">
        <v>2.3574999999999999</v>
      </c>
      <c r="I1898" s="19">
        <f t="shared" si="69"/>
        <v>64.359750000000005</v>
      </c>
      <c r="L1898" s="131"/>
      <c r="M1898" s="131"/>
      <c r="N1898" s="131"/>
    </row>
    <row r="1899" spans="1:14">
      <c r="A1899" s="100" t="s">
        <v>862</v>
      </c>
      <c r="B1899" s="101" t="s">
        <v>3307</v>
      </c>
      <c r="C1899" s="99" t="s">
        <v>3308</v>
      </c>
      <c r="D1899" s="38"/>
      <c r="E1899" s="42">
        <v>1</v>
      </c>
      <c r="F1899" s="9">
        <v>18</v>
      </c>
      <c r="G1899" s="8">
        <f t="shared" si="68"/>
        <v>2.0769000000000002</v>
      </c>
      <c r="H1899" s="188">
        <v>1.978</v>
      </c>
      <c r="I1899" s="19">
        <f t="shared" si="69"/>
        <v>37.384200000000007</v>
      </c>
      <c r="L1899" s="131"/>
      <c r="M1899" s="131"/>
      <c r="N1899" s="131"/>
    </row>
    <row r="1900" spans="1:14">
      <c r="A1900" s="100" t="s">
        <v>862</v>
      </c>
      <c r="B1900" s="101" t="s">
        <v>3309</v>
      </c>
      <c r="C1900" s="99" t="s">
        <v>3310</v>
      </c>
      <c r="D1900" s="38"/>
      <c r="E1900" s="42">
        <v>1</v>
      </c>
      <c r="F1900" s="9">
        <v>20</v>
      </c>
      <c r="G1900" s="8">
        <f t="shared" si="68"/>
        <v>2.0769000000000002</v>
      </c>
      <c r="H1900" s="188">
        <v>1.978</v>
      </c>
      <c r="I1900" s="19">
        <f t="shared" si="69"/>
        <v>41.538000000000004</v>
      </c>
      <c r="L1900" s="131"/>
      <c r="M1900" s="131"/>
      <c r="N1900" s="131"/>
    </row>
    <row r="1901" spans="1:14" hidden="1">
      <c r="A1901" s="100" t="s">
        <v>862</v>
      </c>
      <c r="B1901" s="101" t="s">
        <v>3311</v>
      </c>
      <c r="C1901" s="99" t="s">
        <v>3312</v>
      </c>
      <c r="D1901" s="38"/>
      <c r="E1901" s="42">
        <v>1</v>
      </c>
      <c r="F1901" s="9"/>
      <c r="G1901" s="8">
        <f t="shared" si="68"/>
        <v>12.13275</v>
      </c>
      <c r="H1901" s="188">
        <v>11.555</v>
      </c>
      <c r="I1901" s="19">
        <f t="shared" si="69"/>
        <v>0</v>
      </c>
      <c r="L1901" s="131"/>
      <c r="M1901" s="131"/>
      <c r="N1901" s="131"/>
    </row>
    <row r="1902" spans="1:14" hidden="1">
      <c r="A1902" s="100" t="s">
        <v>862</v>
      </c>
      <c r="B1902" s="101" t="s">
        <v>3313</v>
      </c>
      <c r="C1902" s="99" t="s">
        <v>3314</v>
      </c>
      <c r="D1902" s="38"/>
      <c r="E1902" s="42">
        <v>1</v>
      </c>
      <c r="F1902" s="9"/>
      <c r="G1902" s="8">
        <f t="shared" si="68"/>
        <v>16.663499999999999</v>
      </c>
      <c r="H1902" s="188">
        <v>15.87</v>
      </c>
      <c r="I1902" s="19">
        <f t="shared" si="69"/>
        <v>0</v>
      </c>
      <c r="L1902" s="131"/>
      <c r="M1902" s="131"/>
      <c r="N1902" s="131"/>
    </row>
    <row r="1903" spans="1:14">
      <c r="A1903" s="100" t="s">
        <v>862</v>
      </c>
      <c r="B1903" s="101" t="s">
        <v>3315</v>
      </c>
      <c r="C1903" s="99" t="s">
        <v>3316</v>
      </c>
      <c r="D1903" s="38"/>
      <c r="E1903" s="42">
        <v>1</v>
      </c>
      <c r="F1903" s="9">
        <v>156</v>
      </c>
      <c r="G1903" s="8">
        <f t="shared" si="68"/>
        <v>0.94132499999999997</v>
      </c>
      <c r="H1903" s="188">
        <v>0.89649999999999996</v>
      </c>
      <c r="I1903" s="19">
        <f t="shared" si="69"/>
        <v>146.8467</v>
      </c>
      <c r="L1903" s="131"/>
      <c r="M1903" s="131"/>
      <c r="N1903" s="131"/>
    </row>
    <row r="1904" spans="1:14" hidden="1">
      <c r="A1904" s="100" t="s">
        <v>862</v>
      </c>
      <c r="B1904" s="101" t="s">
        <v>3317</v>
      </c>
      <c r="C1904" s="99" t="s">
        <v>3318</v>
      </c>
      <c r="D1904" s="38"/>
      <c r="E1904" s="42">
        <v>1</v>
      </c>
      <c r="F1904" s="9"/>
      <c r="G1904" s="8">
        <f t="shared" si="68"/>
        <v>0.43312499999999998</v>
      </c>
      <c r="H1904" s="188">
        <v>0.41249999999999998</v>
      </c>
      <c r="I1904" s="19">
        <f t="shared" si="69"/>
        <v>0</v>
      </c>
      <c r="L1904" s="131"/>
      <c r="M1904" s="131"/>
      <c r="N1904" s="131"/>
    </row>
    <row r="1905" spans="1:14" hidden="1">
      <c r="A1905" s="100" t="s">
        <v>862</v>
      </c>
      <c r="B1905" s="101" t="s">
        <v>3319</v>
      </c>
      <c r="C1905" s="99" t="s">
        <v>3320</v>
      </c>
      <c r="D1905" s="38"/>
      <c r="E1905" s="42">
        <v>1</v>
      </c>
      <c r="F1905" s="9"/>
      <c r="G1905" s="8">
        <f t="shared" si="68"/>
        <v>0.30449999999999999</v>
      </c>
      <c r="H1905" s="188">
        <v>0.28999999999999998</v>
      </c>
      <c r="I1905" s="19">
        <f t="shared" si="69"/>
        <v>0</v>
      </c>
      <c r="L1905" s="131"/>
      <c r="M1905" s="131"/>
      <c r="N1905" s="131"/>
    </row>
    <row r="1906" spans="1:14" hidden="1">
      <c r="A1906" s="100" t="s">
        <v>862</v>
      </c>
      <c r="B1906" s="101" t="s">
        <v>3321</v>
      </c>
      <c r="C1906" s="99" t="s">
        <v>3322</v>
      </c>
      <c r="D1906" s="38"/>
      <c r="E1906" s="42">
        <v>1</v>
      </c>
      <c r="F1906" s="9"/>
      <c r="G1906" s="8">
        <f t="shared" si="68"/>
        <v>0.64312500000000006</v>
      </c>
      <c r="H1906" s="188">
        <v>0.61250000000000004</v>
      </c>
      <c r="I1906" s="19">
        <f t="shared" si="69"/>
        <v>0</v>
      </c>
      <c r="L1906" s="131"/>
      <c r="M1906" s="131"/>
      <c r="N1906" s="131"/>
    </row>
    <row r="1907" spans="1:14" hidden="1">
      <c r="A1907" s="100" t="s">
        <v>862</v>
      </c>
      <c r="B1907" s="101" t="s">
        <v>3323</v>
      </c>
      <c r="C1907" s="99" t="s">
        <v>3324</v>
      </c>
      <c r="D1907" s="38"/>
      <c r="E1907" s="42">
        <v>1</v>
      </c>
      <c r="F1907" s="9"/>
      <c r="G1907" s="8">
        <f t="shared" si="68"/>
        <v>6.6743249999999996</v>
      </c>
      <c r="H1907" s="188">
        <v>6.3564999999999996</v>
      </c>
      <c r="I1907" s="19">
        <f t="shared" si="69"/>
        <v>0</v>
      </c>
      <c r="L1907" s="131"/>
      <c r="M1907" s="131"/>
      <c r="N1907" s="131"/>
    </row>
    <row r="1908" spans="1:14" hidden="1">
      <c r="A1908" s="100" t="s">
        <v>862</v>
      </c>
      <c r="B1908" s="101" t="s">
        <v>3325</v>
      </c>
      <c r="C1908" s="99" t="s">
        <v>3326</v>
      </c>
      <c r="D1908" s="38"/>
      <c r="E1908" s="42">
        <v>1</v>
      </c>
      <c r="F1908" s="9"/>
      <c r="G1908" s="8">
        <f t="shared" si="68"/>
        <v>2.4171</v>
      </c>
      <c r="H1908" s="188">
        <v>2.302</v>
      </c>
      <c r="I1908" s="19">
        <f t="shared" si="69"/>
        <v>0</v>
      </c>
      <c r="L1908" s="131"/>
      <c r="M1908" s="131"/>
      <c r="N1908" s="131"/>
    </row>
    <row r="1909" spans="1:14" hidden="1">
      <c r="A1909" s="100" t="s">
        <v>862</v>
      </c>
      <c r="B1909" s="101" t="s">
        <v>3327</v>
      </c>
      <c r="C1909" s="99" t="s">
        <v>3328</v>
      </c>
      <c r="D1909" s="38"/>
      <c r="E1909" s="42">
        <v>1</v>
      </c>
      <c r="F1909" s="9"/>
      <c r="G1909" s="8">
        <f t="shared" si="68"/>
        <v>0.88514999999999999</v>
      </c>
      <c r="H1909" s="188">
        <v>0.84299999999999997</v>
      </c>
      <c r="I1909" s="19">
        <f t="shared" si="69"/>
        <v>0</v>
      </c>
      <c r="L1909" s="131"/>
      <c r="M1909" s="131"/>
      <c r="N1909" s="131"/>
    </row>
    <row r="1910" spans="1:14" hidden="1">
      <c r="A1910" s="100" t="s">
        <v>862</v>
      </c>
      <c r="B1910" s="101" t="s">
        <v>3329</v>
      </c>
      <c r="C1910" s="99" t="s">
        <v>3330</v>
      </c>
      <c r="D1910" s="38"/>
      <c r="E1910" s="42">
        <v>1</v>
      </c>
      <c r="F1910" s="9"/>
      <c r="G1910" s="8">
        <f t="shared" si="68"/>
        <v>1.742475</v>
      </c>
      <c r="H1910" s="188">
        <v>1.6595</v>
      </c>
      <c r="I1910" s="19">
        <f t="shared" si="69"/>
        <v>0</v>
      </c>
      <c r="L1910" s="131"/>
      <c r="M1910" s="131"/>
      <c r="N1910" s="131"/>
    </row>
    <row r="1911" spans="1:14" hidden="1">
      <c r="A1911" s="100" t="s">
        <v>862</v>
      </c>
      <c r="B1911" s="101" t="s">
        <v>3331</v>
      </c>
      <c r="C1911" s="99" t="s">
        <v>3332</v>
      </c>
      <c r="D1911" s="38" t="s">
        <v>945</v>
      </c>
      <c r="E1911" s="42">
        <v>1</v>
      </c>
      <c r="F1911" s="9"/>
      <c r="G1911" s="8">
        <f t="shared" si="68"/>
        <v>8.3228249999999999</v>
      </c>
      <c r="H1911" s="188">
        <v>7.9264999999999999</v>
      </c>
      <c r="I1911" s="19">
        <f t="shared" si="69"/>
        <v>0</v>
      </c>
      <c r="L1911" s="131"/>
      <c r="M1911" s="131"/>
      <c r="N1911" s="131"/>
    </row>
    <row r="1912" spans="1:14" hidden="1">
      <c r="A1912" s="100" t="s">
        <v>862</v>
      </c>
      <c r="B1912" s="101" t="s">
        <v>3333</v>
      </c>
      <c r="C1912" s="99" t="s">
        <v>3334</v>
      </c>
      <c r="D1912" s="38" t="s">
        <v>945</v>
      </c>
      <c r="E1912" s="42">
        <v>1</v>
      </c>
      <c r="F1912" s="9"/>
      <c r="G1912" s="8">
        <f t="shared" si="68"/>
        <v>13.17855</v>
      </c>
      <c r="H1912" s="188">
        <v>12.551</v>
      </c>
      <c r="I1912" s="19">
        <f t="shared" si="69"/>
        <v>0</v>
      </c>
      <c r="L1912" s="131"/>
      <c r="M1912" s="131"/>
      <c r="N1912" s="131"/>
    </row>
    <row r="1913" spans="1:14" hidden="1">
      <c r="A1913" s="100" t="s">
        <v>862</v>
      </c>
      <c r="B1913" s="101" t="s">
        <v>3335</v>
      </c>
      <c r="C1913" s="99" t="s">
        <v>3336</v>
      </c>
      <c r="D1913" s="38" t="s">
        <v>945</v>
      </c>
      <c r="E1913" s="42">
        <v>1</v>
      </c>
      <c r="F1913" s="9"/>
      <c r="G1913" s="8">
        <f t="shared" si="68"/>
        <v>15.0465</v>
      </c>
      <c r="H1913" s="188">
        <v>14.33</v>
      </c>
      <c r="I1913" s="19">
        <f t="shared" si="69"/>
        <v>0</v>
      </c>
      <c r="L1913" s="131"/>
      <c r="M1913" s="131"/>
      <c r="N1913" s="131"/>
    </row>
    <row r="1914" spans="1:14" hidden="1">
      <c r="A1914" s="100" t="s">
        <v>862</v>
      </c>
      <c r="B1914" s="101" t="s">
        <v>3337</v>
      </c>
      <c r="C1914" s="99" t="s">
        <v>3338</v>
      </c>
      <c r="D1914" s="38" t="s">
        <v>945</v>
      </c>
      <c r="E1914" s="42">
        <v>1</v>
      </c>
      <c r="F1914" s="9"/>
      <c r="G1914" s="8">
        <f t="shared" si="68"/>
        <v>15.980475</v>
      </c>
      <c r="H1914" s="188">
        <v>15.2195</v>
      </c>
      <c r="I1914" s="19">
        <f t="shared" si="69"/>
        <v>0</v>
      </c>
      <c r="L1914" s="131"/>
      <c r="M1914" s="131"/>
      <c r="N1914" s="131"/>
    </row>
    <row r="1915" spans="1:14" hidden="1">
      <c r="A1915" s="100" t="s">
        <v>862</v>
      </c>
      <c r="B1915" s="101" t="s">
        <v>3339</v>
      </c>
      <c r="C1915" s="99" t="s">
        <v>3340</v>
      </c>
      <c r="D1915" s="38" t="s">
        <v>945</v>
      </c>
      <c r="E1915" s="42">
        <v>1</v>
      </c>
      <c r="F1915" s="9"/>
      <c r="G1915" s="8">
        <f t="shared" si="68"/>
        <v>16.914450000000002</v>
      </c>
      <c r="H1915" s="188">
        <v>16.109000000000002</v>
      </c>
      <c r="I1915" s="19">
        <f t="shared" si="69"/>
        <v>0</v>
      </c>
      <c r="L1915" s="131"/>
      <c r="M1915" s="131"/>
      <c r="N1915" s="131"/>
    </row>
    <row r="1916" spans="1:14" hidden="1">
      <c r="A1916" s="100" t="s">
        <v>862</v>
      </c>
      <c r="B1916" s="101" t="s">
        <v>3341</v>
      </c>
      <c r="C1916" s="99" t="s">
        <v>3342</v>
      </c>
      <c r="D1916" s="38" t="s">
        <v>945</v>
      </c>
      <c r="E1916" s="42">
        <v>1</v>
      </c>
      <c r="F1916" s="9"/>
      <c r="G1916" s="8">
        <f t="shared" si="68"/>
        <v>20.649825</v>
      </c>
      <c r="H1916" s="188">
        <v>19.666499999999999</v>
      </c>
      <c r="I1916" s="19">
        <f t="shared" si="69"/>
        <v>0</v>
      </c>
      <c r="L1916" s="131"/>
      <c r="M1916" s="131"/>
      <c r="N1916" s="131"/>
    </row>
    <row r="1917" spans="1:14" hidden="1">
      <c r="A1917" s="100" t="s">
        <v>862</v>
      </c>
      <c r="B1917" s="101" t="s">
        <v>3343</v>
      </c>
      <c r="C1917" s="99" t="s">
        <v>3344</v>
      </c>
      <c r="D1917" s="38" t="s">
        <v>945</v>
      </c>
      <c r="E1917" s="42">
        <v>1</v>
      </c>
      <c r="F1917" s="9"/>
      <c r="G1917" s="8">
        <f t="shared" si="68"/>
        <v>13.17855</v>
      </c>
      <c r="H1917" s="188">
        <v>12.551</v>
      </c>
      <c r="I1917" s="19">
        <f t="shared" si="69"/>
        <v>0</v>
      </c>
      <c r="L1917" s="131"/>
      <c r="M1917" s="131"/>
      <c r="N1917" s="131"/>
    </row>
    <row r="1918" spans="1:14" hidden="1">
      <c r="A1918" s="100" t="s">
        <v>862</v>
      </c>
      <c r="B1918" s="101" t="s">
        <v>3345</v>
      </c>
      <c r="C1918" s="99" t="s">
        <v>3346</v>
      </c>
      <c r="D1918" s="38" t="s">
        <v>945</v>
      </c>
      <c r="E1918" s="42">
        <v>1</v>
      </c>
      <c r="F1918" s="9"/>
      <c r="G1918" s="8">
        <f t="shared" si="68"/>
        <v>13.17855</v>
      </c>
      <c r="H1918" s="188">
        <v>12.551</v>
      </c>
      <c r="I1918" s="19">
        <f t="shared" si="69"/>
        <v>0</v>
      </c>
      <c r="L1918" s="131"/>
      <c r="M1918" s="131"/>
      <c r="N1918" s="131"/>
    </row>
    <row r="1919" spans="1:14" hidden="1">
      <c r="A1919" s="100" t="s">
        <v>862</v>
      </c>
      <c r="B1919" s="101" t="s">
        <v>3347</v>
      </c>
      <c r="C1919" s="99" t="s">
        <v>3348</v>
      </c>
      <c r="D1919" s="38"/>
      <c r="E1919" s="42">
        <v>1</v>
      </c>
      <c r="F1919" s="9"/>
      <c r="G1919" s="8">
        <f t="shared" si="68"/>
        <v>2.508975</v>
      </c>
      <c r="H1919" s="188">
        <v>2.3895</v>
      </c>
      <c r="I1919" s="19">
        <f t="shared" si="69"/>
        <v>0</v>
      </c>
      <c r="L1919" s="131"/>
      <c r="M1919" s="131"/>
      <c r="N1919" s="131"/>
    </row>
    <row r="1920" spans="1:14" hidden="1">
      <c r="A1920" s="100" t="s">
        <v>862</v>
      </c>
      <c r="B1920" s="101" t="s">
        <v>3349</v>
      </c>
      <c r="C1920" s="99" t="s">
        <v>3350</v>
      </c>
      <c r="D1920" s="38"/>
      <c r="E1920" s="42">
        <v>1</v>
      </c>
      <c r="F1920" s="9"/>
      <c r="G1920" s="8">
        <f t="shared" si="68"/>
        <v>0.30029999999999996</v>
      </c>
      <c r="H1920" s="188">
        <v>0.28599999999999998</v>
      </c>
      <c r="I1920" s="19">
        <f t="shared" si="69"/>
        <v>0</v>
      </c>
      <c r="L1920" s="131"/>
      <c r="M1920" s="131"/>
      <c r="N1920" s="131"/>
    </row>
    <row r="1921" spans="1:14" hidden="1">
      <c r="A1921" s="100" t="s">
        <v>862</v>
      </c>
      <c r="B1921" s="101" t="s">
        <v>3351</v>
      </c>
      <c r="C1921" s="99" t="s">
        <v>3352</v>
      </c>
      <c r="D1921" s="38"/>
      <c r="E1921" s="42">
        <v>1</v>
      </c>
      <c r="F1921" s="9"/>
      <c r="G1921" s="8">
        <f t="shared" si="68"/>
        <v>1.1434500000000001</v>
      </c>
      <c r="H1921" s="188">
        <v>1.089</v>
      </c>
      <c r="I1921" s="19">
        <f t="shared" si="69"/>
        <v>0</v>
      </c>
      <c r="L1921" s="131"/>
      <c r="M1921" s="131"/>
      <c r="N1921" s="131"/>
    </row>
    <row r="1922" spans="1:14" hidden="1">
      <c r="A1922" s="100" t="s">
        <v>862</v>
      </c>
      <c r="B1922" s="101" t="s">
        <v>3353</v>
      </c>
      <c r="C1922" s="99" t="s">
        <v>3354</v>
      </c>
      <c r="D1922" s="38"/>
      <c r="E1922" s="42">
        <v>1</v>
      </c>
      <c r="F1922" s="9"/>
      <c r="G1922" s="8">
        <f t="shared" si="68"/>
        <v>0.35175000000000001</v>
      </c>
      <c r="H1922" s="188">
        <v>0.33500000000000002</v>
      </c>
      <c r="I1922" s="19">
        <f t="shared" si="69"/>
        <v>0</v>
      </c>
      <c r="L1922" s="131"/>
      <c r="M1922" s="131"/>
      <c r="N1922" s="131"/>
    </row>
    <row r="1923" spans="1:14" hidden="1">
      <c r="A1923" s="100" t="s">
        <v>862</v>
      </c>
      <c r="B1923" s="101" t="s">
        <v>3355</v>
      </c>
      <c r="C1923" s="99" t="s">
        <v>3356</v>
      </c>
      <c r="D1923" s="38"/>
      <c r="E1923" s="42">
        <v>1</v>
      </c>
      <c r="F1923" s="9"/>
      <c r="G1923" s="8">
        <f t="shared" si="68"/>
        <v>0.17535000000000001</v>
      </c>
      <c r="H1923" s="188">
        <v>0.16700000000000001</v>
      </c>
      <c r="I1923" s="19">
        <f t="shared" si="69"/>
        <v>0</v>
      </c>
      <c r="L1923" s="131"/>
      <c r="M1923" s="131"/>
      <c r="N1923" s="131"/>
    </row>
    <row r="1924" spans="1:14" hidden="1">
      <c r="A1924" s="100" t="s">
        <v>862</v>
      </c>
      <c r="B1924" s="101" t="s">
        <v>3357</v>
      </c>
      <c r="C1924" s="99" t="s">
        <v>3358</v>
      </c>
      <c r="D1924" s="38"/>
      <c r="E1924" s="42">
        <v>1</v>
      </c>
      <c r="F1924" s="9"/>
      <c r="G1924" s="8">
        <f t="shared" si="68"/>
        <v>0.51082499999999997</v>
      </c>
      <c r="H1924" s="188">
        <v>0.48649999999999999</v>
      </c>
      <c r="I1924" s="19">
        <f t="shared" si="69"/>
        <v>0</v>
      </c>
      <c r="L1924" s="131"/>
      <c r="M1924" s="131"/>
      <c r="N1924" s="131"/>
    </row>
    <row r="1925" spans="1:14" hidden="1">
      <c r="A1925" s="100" t="s">
        <v>862</v>
      </c>
      <c r="B1925" s="101" t="s">
        <v>3359</v>
      </c>
      <c r="C1925" s="99" t="s">
        <v>3360</v>
      </c>
      <c r="D1925" s="38"/>
      <c r="E1925" s="42">
        <v>1</v>
      </c>
      <c r="F1925" s="9"/>
      <c r="G1925" s="8">
        <f t="shared" si="68"/>
        <v>0.66780000000000006</v>
      </c>
      <c r="H1925" s="188">
        <v>0.63600000000000001</v>
      </c>
      <c r="I1925" s="19">
        <f t="shared" si="69"/>
        <v>0</v>
      </c>
      <c r="L1925" s="131"/>
      <c r="M1925" s="131"/>
      <c r="N1925" s="131"/>
    </row>
    <row r="1926" spans="1:14" hidden="1">
      <c r="A1926" s="100" t="s">
        <v>862</v>
      </c>
      <c r="B1926" s="101" t="s">
        <v>3361</v>
      </c>
      <c r="C1926" s="99" t="s">
        <v>3362</v>
      </c>
      <c r="D1926" s="38"/>
      <c r="E1926" s="42">
        <v>1</v>
      </c>
      <c r="F1926" s="9"/>
      <c r="G1926" s="8">
        <f t="shared" si="68"/>
        <v>0.23520000000000002</v>
      </c>
      <c r="H1926" s="188">
        <v>0.224</v>
      </c>
      <c r="I1926" s="19">
        <f t="shared" si="69"/>
        <v>0</v>
      </c>
      <c r="L1926" s="131"/>
      <c r="M1926" s="131"/>
      <c r="N1926" s="131"/>
    </row>
    <row r="1927" spans="1:14" hidden="1">
      <c r="A1927" s="100" t="s">
        <v>862</v>
      </c>
      <c r="B1927" s="101" t="s">
        <v>3363</v>
      </c>
      <c r="C1927" s="99" t="s">
        <v>3364</v>
      </c>
      <c r="D1927" s="38"/>
      <c r="E1927" s="42">
        <v>1</v>
      </c>
      <c r="F1927" s="9"/>
      <c r="G1927" s="8">
        <f t="shared" si="68"/>
        <v>0.25042500000000001</v>
      </c>
      <c r="H1927" s="188">
        <v>0.23849999999999999</v>
      </c>
      <c r="I1927" s="19">
        <f t="shared" si="69"/>
        <v>0</v>
      </c>
      <c r="L1927" s="131"/>
      <c r="M1927" s="131"/>
      <c r="N1927" s="131"/>
    </row>
    <row r="1928" spans="1:14" hidden="1">
      <c r="A1928" s="100" t="s">
        <v>862</v>
      </c>
      <c r="B1928" s="101" t="s">
        <v>3365</v>
      </c>
      <c r="C1928" s="99" t="s">
        <v>3366</v>
      </c>
      <c r="D1928" s="38"/>
      <c r="E1928" s="42">
        <v>1</v>
      </c>
      <c r="F1928" s="9"/>
      <c r="G1928" s="8">
        <f t="shared" si="68"/>
        <v>0.59062499999999996</v>
      </c>
      <c r="H1928" s="188">
        <v>0.5625</v>
      </c>
      <c r="I1928" s="19">
        <f t="shared" si="69"/>
        <v>0</v>
      </c>
      <c r="L1928" s="131"/>
      <c r="M1928" s="131"/>
      <c r="N1928" s="131"/>
    </row>
    <row r="1929" spans="1:14" hidden="1">
      <c r="A1929" s="100" t="s">
        <v>862</v>
      </c>
      <c r="B1929" s="101" t="s">
        <v>3367</v>
      </c>
      <c r="C1929" s="99" t="s">
        <v>3368</v>
      </c>
      <c r="D1929" s="38"/>
      <c r="E1929" s="42">
        <v>1</v>
      </c>
      <c r="F1929" s="9"/>
      <c r="G1929" s="8">
        <f t="shared" si="68"/>
        <v>0.87097500000000005</v>
      </c>
      <c r="H1929" s="188">
        <v>0.82950000000000002</v>
      </c>
      <c r="I1929" s="19">
        <f t="shared" si="69"/>
        <v>0</v>
      </c>
      <c r="L1929" s="131"/>
      <c r="M1929" s="131"/>
      <c r="N1929" s="131"/>
    </row>
    <row r="1930" spans="1:14" hidden="1">
      <c r="A1930" s="100" t="s">
        <v>862</v>
      </c>
      <c r="B1930" s="101" t="s">
        <v>3369</v>
      </c>
      <c r="C1930" s="99" t="s">
        <v>3370</v>
      </c>
      <c r="D1930" s="38"/>
      <c r="E1930" s="42">
        <v>1</v>
      </c>
      <c r="F1930" s="9"/>
      <c r="G1930" s="8">
        <f t="shared" si="68"/>
        <v>0.64522500000000005</v>
      </c>
      <c r="H1930" s="188">
        <v>0.61450000000000005</v>
      </c>
      <c r="I1930" s="19">
        <f t="shared" si="69"/>
        <v>0</v>
      </c>
      <c r="L1930" s="131"/>
      <c r="M1930" s="131"/>
      <c r="N1930" s="131"/>
    </row>
    <row r="1931" spans="1:14" hidden="1">
      <c r="A1931" s="100" t="s">
        <v>862</v>
      </c>
      <c r="B1931" s="101" t="s">
        <v>3371</v>
      </c>
      <c r="C1931" s="99" t="s">
        <v>3372</v>
      </c>
      <c r="D1931" s="38"/>
      <c r="E1931" s="42">
        <v>1</v>
      </c>
      <c r="F1931" s="9"/>
      <c r="G1931" s="8">
        <f t="shared" si="68"/>
        <v>1.7766</v>
      </c>
      <c r="H1931" s="188">
        <v>1.6919999999999999</v>
      </c>
      <c r="I1931" s="19">
        <f t="shared" si="69"/>
        <v>0</v>
      </c>
      <c r="L1931" s="131"/>
      <c r="M1931" s="131"/>
      <c r="N1931" s="131"/>
    </row>
    <row r="1932" spans="1:14" hidden="1">
      <c r="A1932" s="100" t="s">
        <v>862</v>
      </c>
      <c r="B1932" s="101" t="s">
        <v>3373</v>
      </c>
      <c r="C1932" s="99" t="s">
        <v>3374</v>
      </c>
      <c r="D1932" s="38"/>
      <c r="E1932" s="42">
        <v>1</v>
      </c>
      <c r="F1932" s="9"/>
      <c r="G1932" s="8">
        <f t="shared" si="68"/>
        <v>0.67882500000000001</v>
      </c>
      <c r="H1932" s="188">
        <v>0.64649999999999996</v>
      </c>
      <c r="I1932" s="19">
        <f t="shared" si="69"/>
        <v>0</v>
      </c>
      <c r="L1932" s="131"/>
      <c r="M1932" s="131"/>
      <c r="N1932" s="131"/>
    </row>
    <row r="1933" spans="1:14" hidden="1">
      <c r="A1933" s="100" t="s">
        <v>862</v>
      </c>
      <c r="B1933" s="101" t="s">
        <v>3375</v>
      </c>
      <c r="C1933" s="99" t="s">
        <v>3376</v>
      </c>
      <c r="D1933" s="38"/>
      <c r="E1933" s="42">
        <v>1</v>
      </c>
      <c r="F1933" s="9"/>
      <c r="G1933" s="8">
        <f t="shared" si="68"/>
        <v>0.1134</v>
      </c>
      <c r="H1933" s="188">
        <v>0.108</v>
      </c>
      <c r="I1933" s="19">
        <f t="shared" si="69"/>
        <v>0</v>
      </c>
      <c r="L1933" s="131"/>
      <c r="M1933" s="131"/>
      <c r="N1933" s="131"/>
    </row>
    <row r="1934" spans="1:14" hidden="1">
      <c r="A1934" s="100" t="s">
        <v>862</v>
      </c>
      <c r="B1934" s="101" t="s">
        <v>3377</v>
      </c>
      <c r="C1934" s="99" t="s">
        <v>3378</v>
      </c>
      <c r="D1934" s="38"/>
      <c r="E1934" s="42">
        <v>1</v>
      </c>
      <c r="F1934" s="9"/>
      <c r="G1934" s="8">
        <f t="shared" si="68"/>
        <v>0.32550000000000001</v>
      </c>
      <c r="H1934" s="188">
        <v>0.31</v>
      </c>
      <c r="I1934" s="19">
        <f t="shared" si="69"/>
        <v>0</v>
      </c>
      <c r="L1934" s="131"/>
      <c r="M1934" s="131"/>
      <c r="N1934" s="131"/>
    </row>
    <row r="1935" spans="1:14" hidden="1">
      <c r="A1935" s="100" t="s">
        <v>862</v>
      </c>
      <c r="B1935" s="101" t="s">
        <v>3379</v>
      </c>
      <c r="C1935" s="99" t="s">
        <v>3380</v>
      </c>
      <c r="D1935" s="38"/>
      <c r="E1935" s="42">
        <v>1</v>
      </c>
      <c r="F1935" s="9"/>
      <c r="G1935" s="8">
        <f t="shared" si="68"/>
        <v>0.44940000000000002</v>
      </c>
      <c r="H1935" s="188">
        <v>0.42799999999999999</v>
      </c>
      <c r="I1935" s="19">
        <f t="shared" si="69"/>
        <v>0</v>
      </c>
      <c r="L1935" s="131"/>
      <c r="M1935" s="131"/>
      <c r="N1935" s="131"/>
    </row>
    <row r="1936" spans="1:14" hidden="1">
      <c r="A1936" s="100" t="s">
        <v>862</v>
      </c>
      <c r="B1936" s="101" t="s">
        <v>3381</v>
      </c>
      <c r="C1936" s="99" t="s">
        <v>3382</v>
      </c>
      <c r="D1936" s="38"/>
      <c r="E1936" s="42">
        <v>1</v>
      </c>
      <c r="F1936" s="9"/>
      <c r="G1936" s="8">
        <f t="shared" si="68"/>
        <v>0.61529999999999996</v>
      </c>
      <c r="H1936" s="188">
        <v>0.58599999999999997</v>
      </c>
      <c r="I1936" s="19">
        <f t="shared" si="69"/>
        <v>0</v>
      </c>
      <c r="L1936" s="131"/>
      <c r="M1936" s="131"/>
      <c r="N1936" s="131"/>
    </row>
    <row r="1937" spans="1:14" hidden="1">
      <c r="A1937" s="100" t="s">
        <v>862</v>
      </c>
      <c r="B1937" s="101" t="s">
        <v>3383</v>
      </c>
      <c r="C1937" s="99" t="s">
        <v>3384</v>
      </c>
      <c r="D1937" s="38"/>
      <c r="E1937" s="42">
        <v>1</v>
      </c>
      <c r="F1937" s="9"/>
      <c r="G1937" s="8">
        <f t="shared" si="68"/>
        <v>0.86677500000000007</v>
      </c>
      <c r="H1937" s="188">
        <v>0.82550000000000001</v>
      </c>
      <c r="I1937" s="19">
        <f t="shared" si="69"/>
        <v>0</v>
      </c>
      <c r="L1937" s="131"/>
      <c r="M1937" s="131"/>
      <c r="N1937" s="131"/>
    </row>
    <row r="1938" spans="1:14" hidden="1">
      <c r="A1938" s="100" t="s">
        <v>862</v>
      </c>
      <c r="B1938" s="101" t="s">
        <v>3385</v>
      </c>
      <c r="C1938" s="99" t="s">
        <v>3386</v>
      </c>
      <c r="D1938" s="38"/>
      <c r="E1938" s="42">
        <v>1</v>
      </c>
      <c r="F1938" s="9"/>
      <c r="G1938" s="8">
        <f t="shared" si="68"/>
        <v>0.41055000000000003</v>
      </c>
      <c r="H1938" s="188">
        <v>0.39100000000000001</v>
      </c>
      <c r="I1938" s="19">
        <f t="shared" si="69"/>
        <v>0</v>
      </c>
      <c r="L1938" s="131"/>
      <c r="M1938" s="131"/>
      <c r="N1938" s="131"/>
    </row>
    <row r="1939" spans="1:14" hidden="1">
      <c r="A1939" s="100" t="s">
        <v>862</v>
      </c>
      <c r="B1939" s="101" t="s">
        <v>3387</v>
      </c>
      <c r="C1939" s="99" t="s">
        <v>3388</v>
      </c>
      <c r="D1939" s="38"/>
      <c r="E1939" s="42">
        <v>1</v>
      </c>
      <c r="F1939" s="9"/>
      <c r="G1939" s="8">
        <f t="shared" si="68"/>
        <v>0.51712499999999995</v>
      </c>
      <c r="H1939" s="188">
        <v>0.49249999999999999</v>
      </c>
      <c r="I1939" s="19">
        <f t="shared" si="69"/>
        <v>0</v>
      </c>
      <c r="L1939" s="131"/>
      <c r="M1939" s="131"/>
      <c r="N1939" s="131"/>
    </row>
    <row r="1940" spans="1:14" hidden="1">
      <c r="A1940" s="100" t="s">
        <v>862</v>
      </c>
      <c r="B1940" s="101" t="s">
        <v>3389</v>
      </c>
      <c r="C1940" s="99" t="s">
        <v>3390</v>
      </c>
      <c r="D1940" s="38"/>
      <c r="E1940" s="42">
        <v>1</v>
      </c>
      <c r="F1940" s="9"/>
      <c r="G1940" s="8">
        <f t="shared" si="68"/>
        <v>0.57277500000000003</v>
      </c>
      <c r="H1940" s="188">
        <v>0.54549999999999998</v>
      </c>
      <c r="I1940" s="19">
        <f t="shared" si="69"/>
        <v>0</v>
      </c>
      <c r="L1940" s="131"/>
      <c r="M1940" s="131"/>
      <c r="N1940" s="131"/>
    </row>
    <row r="1941" spans="1:14" hidden="1">
      <c r="A1941" s="100" t="s">
        <v>862</v>
      </c>
      <c r="B1941" s="101" t="s">
        <v>3391</v>
      </c>
      <c r="C1941" s="99" t="s">
        <v>3392</v>
      </c>
      <c r="D1941" s="38"/>
      <c r="E1941" s="42">
        <v>1</v>
      </c>
      <c r="F1941" s="9"/>
      <c r="G1941" s="8">
        <f t="shared" si="68"/>
        <v>1.2216750000000001</v>
      </c>
      <c r="H1941" s="188">
        <v>1.1635</v>
      </c>
      <c r="I1941" s="19">
        <f t="shared" si="69"/>
        <v>0</v>
      </c>
      <c r="L1941" s="131"/>
      <c r="M1941" s="131"/>
      <c r="N1941" s="131"/>
    </row>
    <row r="1942" spans="1:14" hidden="1">
      <c r="A1942" s="100" t="s">
        <v>862</v>
      </c>
      <c r="B1942" s="101" t="s">
        <v>3393</v>
      </c>
      <c r="C1942" s="99" t="s">
        <v>3394</v>
      </c>
      <c r="D1942" s="38"/>
      <c r="E1942" s="42">
        <v>1</v>
      </c>
      <c r="F1942" s="9"/>
      <c r="G1942" s="8">
        <f t="shared" si="68"/>
        <v>1.2216750000000001</v>
      </c>
      <c r="H1942" s="188">
        <v>1.1635</v>
      </c>
      <c r="I1942" s="19">
        <f t="shared" si="69"/>
        <v>0</v>
      </c>
      <c r="L1942" s="131"/>
      <c r="M1942" s="131"/>
      <c r="N1942" s="131"/>
    </row>
    <row r="1943" spans="1:14" hidden="1">
      <c r="A1943" s="100" t="s">
        <v>862</v>
      </c>
      <c r="B1943" s="101" t="s">
        <v>3395</v>
      </c>
      <c r="C1943" s="99" t="s">
        <v>3396</v>
      </c>
      <c r="D1943" s="38"/>
      <c r="E1943" s="42">
        <v>1</v>
      </c>
      <c r="F1943" s="9"/>
      <c r="G1943" s="8">
        <f t="shared" si="68"/>
        <v>0.46462500000000001</v>
      </c>
      <c r="H1943" s="188">
        <v>0.4425</v>
      </c>
      <c r="I1943" s="19">
        <f t="shared" si="69"/>
        <v>0</v>
      </c>
      <c r="L1943" s="131"/>
      <c r="M1943" s="131"/>
      <c r="N1943" s="131"/>
    </row>
    <row r="1944" spans="1:14" hidden="1">
      <c r="A1944" s="100" t="s">
        <v>862</v>
      </c>
      <c r="B1944" s="101" t="s">
        <v>3397</v>
      </c>
      <c r="C1944" s="99" t="s">
        <v>3398</v>
      </c>
      <c r="D1944" s="38"/>
      <c r="E1944" s="42">
        <v>1</v>
      </c>
      <c r="F1944" s="9"/>
      <c r="G1944" s="8">
        <f t="shared" si="68"/>
        <v>0.46462500000000001</v>
      </c>
      <c r="H1944" s="188">
        <v>0.4425</v>
      </c>
      <c r="I1944" s="19">
        <f t="shared" si="69"/>
        <v>0</v>
      </c>
      <c r="L1944" s="131"/>
      <c r="M1944" s="131"/>
      <c r="N1944" s="131"/>
    </row>
    <row r="1945" spans="1:14" hidden="1">
      <c r="A1945" s="100" t="s">
        <v>862</v>
      </c>
      <c r="B1945" s="101" t="s">
        <v>3399</v>
      </c>
      <c r="C1945" s="99" t="s">
        <v>3400</v>
      </c>
      <c r="D1945" s="38"/>
      <c r="E1945" s="42">
        <v>1</v>
      </c>
      <c r="F1945" s="9"/>
      <c r="G1945" s="8">
        <f t="shared" si="68"/>
        <v>0.46462500000000001</v>
      </c>
      <c r="H1945" s="188">
        <v>0.4425</v>
      </c>
      <c r="I1945" s="19">
        <f t="shared" si="69"/>
        <v>0</v>
      </c>
      <c r="L1945" s="131"/>
      <c r="M1945" s="131"/>
      <c r="N1945" s="131"/>
    </row>
    <row r="1946" spans="1:14" hidden="1">
      <c r="A1946" s="100" t="s">
        <v>862</v>
      </c>
      <c r="B1946" s="101" t="s">
        <v>3401</v>
      </c>
      <c r="C1946" s="99" t="s">
        <v>3402</v>
      </c>
      <c r="D1946" s="38"/>
      <c r="E1946" s="42">
        <v>1</v>
      </c>
      <c r="F1946" s="9"/>
      <c r="G1946" s="8">
        <f t="shared" si="68"/>
        <v>0.46462500000000001</v>
      </c>
      <c r="H1946" s="188">
        <v>0.4425</v>
      </c>
      <c r="I1946" s="19">
        <f t="shared" si="69"/>
        <v>0</v>
      </c>
      <c r="L1946" s="131"/>
      <c r="M1946" s="131"/>
      <c r="N1946" s="131"/>
    </row>
    <row r="1947" spans="1:14" hidden="1">
      <c r="A1947" s="100" t="s">
        <v>862</v>
      </c>
      <c r="B1947" s="101" t="s">
        <v>3403</v>
      </c>
      <c r="C1947" s="99" t="s">
        <v>3404</v>
      </c>
      <c r="D1947" s="38"/>
      <c r="E1947" s="42">
        <v>1</v>
      </c>
      <c r="F1947" s="9"/>
      <c r="G1947" s="8">
        <f t="shared" si="68"/>
        <v>9.4268999999999998</v>
      </c>
      <c r="H1947" s="188">
        <v>8.9779999999999998</v>
      </c>
      <c r="I1947" s="19">
        <f t="shared" si="69"/>
        <v>0</v>
      </c>
      <c r="L1947" s="131"/>
      <c r="M1947" s="131"/>
      <c r="N1947" s="131"/>
    </row>
    <row r="1948" spans="1:14" hidden="1">
      <c r="A1948" s="100" t="s">
        <v>862</v>
      </c>
      <c r="B1948" s="101" t="s">
        <v>3405</v>
      </c>
      <c r="C1948" s="99" t="s">
        <v>3406</v>
      </c>
      <c r="D1948" s="38"/>
      <c r="E1948" s="42">
        <v>1</v>
      </c>
      <c r="F1948" s="9"/>
      <c r="G1948" s="8">
        <f t="shared" si="68"/>
        <v>10.052174999999998</v>
      </c>
      <c r="H1948" s="188">
        <v>9.5734999999999992</v>
      </c>
      <c r="I1948" s="19">
        <f t="shared" si="69"/>
        <v>0</v>
      </c>
      <c r="L1948" s="131"/>
      <c r="M1948" s="131"/>
      <c r="N1948" s="131"/>
    </row>
    <row r="1949" spans="1:14" hidden="1">
      <c r="A1949" s="100" t="s">
        <v>862</v>
      </c>
      <c r="B1949" s="101" t="s">
        <v>3407</v>
      </c>
      <c r="C1949" s="99" t="s">
        <v>3408</v>
      </c>
      <c r="D1949" s="38"/>
      <c r="E1949" s="42">
        <v>1</v>
      </c>
      <c r="F1949" s="9"/>
      <c r="G1949" s="8">
        <f t="shared" si="68"/>
        <v>11.302199999999999</v>
      </c>
      <c r="H1949" s="188">
        <v>10.763999999999999</v>
      </c>
      <c r="I1949" s="19">
        <f t="shared" si="69"/>
        <v>0</v>
      </c>
      <c r="L1949" s="131"/>
      <c r="M1949" s="131"/>
      <c r="N1949" s="131"/>
    </row>
    <row r="1950" spans="1:14" hidden="1">
      <c r="A1950" s="100" t="s">
        <v>862</v>
      </c>
      <c r="B1950" s="101" t="s">
        <v>3409</v>
      </c>
      <c r="C1950" s="99" t="s">
        <v>3410</v>
      </c>
      <c r="D1950" s="38"/>
      <c r="E1950" s="42">
        <v>1</v>
      </c>
      <c r="F1950" s="9"/>
      <c r="G1950" s="8">
        <f t="shared" si="68"/>
        <v>11.92695</v>
      </c>
      <c r="H1950" s="188">
        <v>11.359</v>
      </c>
      <c r="I1950" s="19">
        <f t="shared" si="69"/>
        <v>0</v>
      </c>
      <c r="L1950" s="131"/>
      <c r="M1950" s="131"/>
      <c r="N1950" s="131"/>
    </row>
    <row r="1951" spans="1:14" hidden="1">
      <c r="A1951" s="100" t="s">
        <v>862</v>
      </c>
      <c r="B1951" s="101" t="s">
        <v>3411</v>
      </c>
      <c r="C1951" s="99" t="s">
        <v>3412</v>
      </c>
      <c r="D1951" s="38"/>
      <c r="E1951" s="42">
        <v>1</v>
      </c>
      <c r="F1951" s="9"/>
      <c r="G1951" s="8">
        <f t="shared" si="68"/>
        <v>13.801725000000001</v>
      </c>
      <c r="H1951" s="188">
        <v>13.144500000000001</v>
      </c>
      <c r="I1951" s="19">
        <f t="shared" si="69"/>
        <v>0</v>
      </c>
      <c r="L1951" s="131"/>
      <c r="M1951" s="131"/>
      <c r="N1951" s="131"/>
    </row>
    <row r="1952" spans="1:14" hidden="1">
      <c r="A1952" s="100" t="s">
        <v>862</v>
      </c>
      <c r="B1952" s="101" t="s">
        <v>3413</v>
      </c>
      <c r="C1952" s="99" t="s">
        <v>3414</v>
      </c>
      <c r="D1952" s="38"/>
      <c r="E1952" s="42">
        <v>1</v>
      </c>
      <c r="F1952" s="9"/>
      <c r="G1952" s="8">
        <f t="shared" si="68"/>
        <v>15.926399999999999</v>
      </c>
      <c r="H1952" s="188">
        <v>15.167999999999999</v>
      </c>
      <c r="I1952" s="19">
        <f t="shared" si="69"/>
        <v>0</v>
      </c>
      <c r="L1952" s="131"/>
      <c r="M1952" s="131"/>
      <c r="N1952" s="131"/>
    </row>
    <row r="1953" spans="1:14" hidden="1">
      <c r="A1953" s="100" t="s">
        <v>862</v>
      </c>
      <c r="B1953" s="101" t="s">
        <v>3415</v>
      </c>
      <c r="C1953" s="99" t="s">
        <v>3416</v>
      </c>
      <c r="D1953" s="38"/>
      <c r="E1953" s="42">
        <v>1</v>
      </c>
      <c r="F1953" s="9"/>
      <c r="G1953" s="8">
        <f t="shared" si="68"/>
        <v>6.088425</v>
      </c>
      <c r="H1953" s="188">
        <v>5.7984999999999998</v>
      </c>
      <c r="I1953" s="19">
        <f t="shared" si="69"/>
        <v>0</v>
      </c>
      <c r="L1953" s="131"/>
      <c r="M1953" s="131"/>
      <c r="N1953" s="131"/>
    </row>
    <row r="1954" spans="1:14" hidden="1">
      <c r="A1954" s="100" t="s">
        <v>862</v>
      </c>
      <c r="B1954" s="101" t="s">
        <v>3417</v>
      </c>
      <c r="C1954" s="99" t="s">
        <v>3418</v>
      </c>
      <c r="D1954" s="38"/>
      <c r="E1954" s="42">
        <v>1</v>
      </c>
      <c r="F1954" s="9"/>
      <c r="G1954" s="8">
        <f t="shared" si="68"/>
        <v>2.759925</v>
      </c>
      <c r="H1954" s="188">
        <v>2.6284999999999998</v>
      </c>
      <c r="I1954" s="19">
        <f t="shared" si="69"/>
        <v>0</v>
      </c>
      <c r="L1954" s="131"/>
      <c r="M1954" s="131"/>
      <c r="N1954" s="131"/>
    </row>
    <row r="1955" spans="1:14" hidden="1">
      <c r="A1955" s="100" t="s">
        <v>862</v>
      </c>
      <c r="B1955" s="101" t="s">
        <v>3419</v>
      </c>
      <c r="C1955" s="99" t="s">
        <v>3420</v>
      </c>
      <c r="D1955" s="38"/>
      <c r="E1955" s="42">
        <v>1</v>
      </c>
      <c r="F1955" s="9"/>
      <c r="G1955" s="8">
        <f t="shared" si="68"/>
        <v>19.822950000000002</v>
      </c>
      <c r="H1955" s="188">
        <v>18.879000000000001</v>
      </c>
      <c r="I1955" s="19">
        <f t="shared" si="69"/>
        <v>0</v>
      </c>
      <c r="L1955" s="131"/>
      <c r="M1955" s="131"/>
      <c r="N1955" s="131"/>
    </row>
    <row r="1956" spans="1:14" hidden="1">
      <c r="A1956" s="100" t="s">
        <v>862</v>
      </c>
      <c r="B1956" s="101" t="s">
        <v>3421</v>
      </c>
      <c r="C1956" s="99" t="s">
        <v>3422</v>
      </c>
      <c r="D1956" s="38"/>
      <c r="E1956" s="42">
        <v>1</v>
      </c>
      <c r="F1956" s="9"/>
      <c r="G1956" s="8">
        <f t="shared" si="68"/>
        <v>22.46895</v>
      </c>
      <c r="H1956" s="188">
        <v>21.399000000000001</v>
      </c>
      <c r="I1956" s="19">
        <f t="shared" si="69"/>
        <v>0</v>
      </c>
      <c r="L1956" s="131"/>
      <c r="M1956" s="131"/>
      <c r="N1956" s="131"/>
    </row>
    <row r="1957" spans="1:14" hidden="1">
      <c r="A1957" s="100" t="s">
        <v>862</v>
      </c>
      <c r="B1957" s="101" t="s">
        <v>3423</v>
      </c>
      <c r="C1957" s="99" t="s">
        <v>3424</v>
      </c>
      <c r="D1957" s="38"/>
      <c r="E1957" s="42">
        <v>1</v>
      </c>
      <c r="F1957" s="9"/>
      <c r="G1957" s="8">
        <f t="shared" ref="G1957:G2020" si="70">H1957+(H1957*5%)</f>
        <v>25.114425000000001</v>
      </c>
      <c r="H1957" s="188">
        <v>23.918500000000002</v>
      </c>
      <c r="I1957" s="19">
        <f t="shared" si="69"/>
        <v>0</v>
      </c>
      <c r="L1957" s="131"/>
      <c r="M1957" s="131"/>
      <c r="N1957" s="131"/>
    </row>
    <row r="1958" spans="1:14" hidden="1">
      <c r="A1958" s="100" t="s">
        <v>862</v>
      </c>
      <c r="B1958" s="101" t="s">
        <v>3425</v>
      </c>
      <c r="C1958" s="99" t="s">
        <v>3426</v>
      </c>
      <c r="D1958" s="38"/>
      <c r="E1958" s="42">
        <v>1</v>
      </c>
      <c r="F1958" s="9"/>
      <c r="G1958" s="8">
        <f t="shared" si="70"/>
        <v>27.760425000000001</v>
      </c>
      <c r="H1958" s="188">
        <v>26.438500000000001</v>
      </c>
      <c r="I1958" s="19">
        <f t="shared" si="69"/>
        <v>0</v>
      </c>
      <c r="L1958" s="131"/>
      <c r="M1958" s="131"/>
      <c r="N1958" s="131"/>
    </row>
    <row r="1959" spans="1:14" hidden="1">
      <c r="A1959" s="100" t="s">
        <v>862</v>
      </c>
      <c r="B1959" s="101" t="s">
        <v>3427</v>
      </c>
      <c r="C1959" s="99" t="s">
        <v>3428</v>
      </c>
      <c r="D1959" s="38"/>
      <c r="E1959" s="42">
        <v>1</v>
      </c>
      <c r="F1959" s="9"/>
      <c r="G1959" s="8">
        <f t="shared" si="70"/>
        <v>30.405899999999999</v>
      </c>
      <c r="H1959" s="188">
        <v>28.957999999999998</v>
      </c>
      <c r="I1959" s="19">
        <f t="shared" ref="I1959:I2022" si="71">G1959*F1959</f>
        <v>0</v>
      </c>
      <c r="L1959" s="131"/>
      <c r="M1959" s="131"/>
      <c r="N1959" s="131"/>
    </row>
    <row r="1960" spans="1:14" hidden="1">
      <c r="A1960" s="100" t="s">
        <v>862</v>
      </c>
      <c r="B1960" s="101" t="s">
        <v>3429</v>
      </c>
      <c r="C1960" s="99" t="s">
        <v>3430</v>
      </c>
      <c r="D1960" s="38"/>
      <c r="E1960" s="42">
        <v>1</v>
      </c>
      <c r="F1960" s="9"/>
      <c r="G1960" s="8">
        <f t="shared" si="70"/>
        <v>32.258099999999999</v>
      </c>
      <c r="H1960" s="188">
        <v>30.722000000000001</v>
      </c>
      <c r="I1960" s="19">
        <f t="shared" si="71"/>
        <v>0</v>
      </c>
      <c r="L1960" s="131"/>
      <c r="M1960" s="131"/>
      <c r="N1960" s="131"/>
    </row>
    <row r="1961" spans="1:14" hidden="1">
      <c r="A1961" s="100" t="s">
        <v>862</v>
      </c>
      <c r="B1961" s="101" t="s">
        <v>3431</v>
      </c>
      <c r="C1961" s="99" t="s">
        <v>3432</v>
      </c>
      <c r="D1961" s="38"/>
      <c r="E1961" s="42">
        <v>1</v>
      </c>
      <c r="F1961" s="9"/>
      <c r="G1961" s="8">
        <f t="shared" si="70"/>
        <v>40.830824999999997</v>
      </c>
      <c r="H1961" s="188">
        <v>38.886499999999998</v>
      </c>
      <c r="I1961" s="19">
        <f t="shared" si="71"/>
        <v>0</v>
      </c>
      <c r="L1961" s="131"/>
      <c r="M1961" s="131"/>
      <c r="N1961" s="131"/>
    </row>
    <row r="1962" spans="1:14" hidden="1">
      <c r="A1962" s="100" t="s">
        <v>862</v>
      </c>
      <c r="B1962" s="101" t="s">
        <v>3433</v>
      </c>
      <c r="C1962" s="99" t="s">
        <v>3434</v>
      </c>
      <c r="D1962" s="38"/>
      <c r="E1962" s="42">
        <v>1</v>
      </c>
      <c r="F1962" s="9"/>
      <c r="G1962" s="8">
        <f t="shared" si="70"/>
        <v>52.298400000000001</v>
      </c>
      <c r="H1962" s="188">
        <v>49.808</v>
      </c>
      <c r="I1962" s="19">
        <f t="shared" si="71"/>
        <v>0</v>
      </c>
      <c r="L1962" s="131"/>
      <c r="M1962" s="131"/>
      <c r="N1962" s="131"/>
    </row>
    <row r="1963" spans="1:14" hidden="1">
      <c r="A1963" s="100" t="s">
        <v>862</v>
      </c>
      <c r="B1963" s="101" t="s">
        <v>3435</v>
      </c>
      <c r="C1963" s="99" t="s">
        <v>3436</v>
      </c>
      <c r="D1963" s="38"/>
      <c r="E1963" s="42">
        <v>1</v>
      </c>
      <c r="F1963" s="9"/>
      <c r="G1963" s="8">
        <f t="shared" si="70"/>
        <v>8.0324999999999994E-2</v>
      </c>
      <c r="H1963" s="188">
        <v>7.6499999999999999E-2</v>
      </c>
      <c r="I1963" s="19">
        <f t="shared" si="71"/>
        <v>0</v>
      </c>
      <c r="L1963" s="131"/>
      <c r="M1963" s="131"/>
      <c r="N1963" s="131"/>
    </row>
    <row r="1964" spans="1:14" hidden="1">
      <c r="A1964" s="100" t="s">
        <v>862</v>
      </c>
      <c r="B1964" s="101" t="s">
        <v>3437</v>
      </c>
      <c r="C1964" s="99" t="s">
        <v>3438</v>
      </c>
      <c r="D1964" s="38"/>
      <c r="E1964" s="42">
        <v>1</v>
      </c>
      <c r="F1964" s="9"/>
      <c r="G1964" s="8">
        <f t="shared" si="70"/>
        <v>8.0324999999999994E-2</v>
      </c>
      <c r="H1964" s="188">
        <v>7.6499999999999999E-2</v>
      </c>
      <c r="I1964" s="19">
        <f t="shared" si="71"/>
        <v>0</v>
      </c>
      <c r="L1964" s="131"/>
      <c r="M1964" s="131"/>
      <c r="N1964" s="131"/>
    </row>
    <row r="1965" spans="1:14" hidden="1">
      <c r="A1965" s="100" t="s">
        <v>862</v>
      </c>
      <c r="B1965" s="101" t="s">
        <v>3439</v>
      </c>
      <c r="C1965" s="99" t="s">
        <v>3440</v>
      </c>
      <c r="D1965" s="38"/>
      <c r="E1965" s="42">
        <v>1</v>
      </c>
      <c r="F1965" s="9"/>
      <c r="G1965" s="8">
        <f t="shared" si="70"/>
        <v>10.225950000000001</v>
      </c>
      <c r="H1965" s="188">
        <v>9.7390000000000008</v>
      </c>
      <c r="I1965" s="19">
        <f t="shared" si="71"/>
        <v>0</v>
      </c>
      <c r="L1965" s="131"/>
      <c r="M1965" s="131"/>
      <c r="N1965" s="131"/>
    </row>
    <row r="1966" spans="1:14" hidden="1">
      <c r="A1966" s="100" t="s">
        <v>862</v>
      </c>
      <c r="B1966" s="101" t="s">
        <v>3441</v>
      </c>
      <c r="C1966" s="99" t="s">
        <v>3442</v>
      </c>
      <c r="D1966" s="38"/>
      <c r="E1966" s="42">
        <v>1</v>
      </c>
      <c r="F1966" s="9"/>
      <c r="G1966" s="8">
        <f t="shared" si="70"/>
        <v>2.0616750000000001</v>
      </c>
      <c r="H1966" s="188">
        <v>1.9635</v>
      </c>
      <c r="I1966" s="19">
        <f t="shared" si="71"/>
        <v>0</v>
      </c>
      <c r="L1966" s="131"/>
      <c r="M1966" s="131"/>
      <c r="N1966" s="131"/>
    </row>
    <row r="1967" spans="1:14" hidden="1">
      <c r="A1967" s="100" t="s">
        <v>862</v>
      </c>
      <c r="B1967" s="101" t="s">
        <v>3443</v>
      </c>
      <c r="C1967" s="99" t="s">
        <v>3444</v>
      </c>
      <c r="D1967" s="38"/>
      <c r="E1967" s="42">
        <v>1</v>
      </c>
      <c r="F1967" s="9"/>
      <c r="G1967" s="8">
        <f t="shared" si="70"/>
        <v>2.1892499999999999</v>
      </c>
      <c r="H1967" s="188">
        <v>2.085</v>
      </c>
      <c r="I1967" s="19">
        <f t="shared" si="71"/>
        <v>0</v>
      </c>
      <c r="L1967" s="131"/>
      <c r="M1967" s="131"/>
      <c r="N1967" s="131"/>
    </row>
    <row r="1968" spans="1:14" hidden="1">
      <c r="A1968" s="100" t="s">
        <v>862</v>
      </c>
      <c r="B1968" s="101" t="s">
        <v>3445</v>
      </c>
      <c r="C1968" s="99" t="s">
        <v>3446</v>
      </c>
      <c r="D1968" s="38"/>
      <c r="E1968" s="42">
        <v>1</v>
      </c>
      <c r="F1968" s="9"/>
      <c r="G1968" s="8">
        <f t="shared" si="70"/>
        <v>2.3205</v>
      </c>
      <c r="H1968" s="188">
        <v>2.21</v>
      </c>
      <c r="I1968" s="19">
        <f t="shared" si="71"/>
        <v>0</v>
      </c>
      <c r="L1968" s="131"/>
      <c r="M1968" s="131"/>
      <c r="N1968" s="131"/>
    </row>
    <row r="1969" spans="1:14" hidden="1">
      <c r="A1969" s="100" t="s">
        <v>862</v>
      </c>
      <c r="B1969" s="101" t="s">
        <v>3447</v>
      </c>
      <c r="C1969" s="99" t="s">
        <v>3448</v>
      </c>
      <c r="D1969" s="38"/>
      <c r="E1969" s="42">
        <v>1</v>
      </c>
      <c r="F1969" s="9"/>
      <c r="G1969" s="8">
        <f t="shared" si="70"/>
        <v>2.4464999999999999</v>
      </c>
      <c r="H1969" s="188">
        <v>2.33</v>
      </c>
      <c r="I1969" s="19">
        <f t="shared" si="71"/>
        <v>0</v>
      </c>
      <c r="L1969" s="131"/>
      <c r="M1969" s="131"/>
      <c r="N1969" s="131"/>
    </row>
    <row r="1970" spans="1:14">
      <c r="A1970" s="100" t="s">
        <v>862</v>
      </c>
      <c r="B1970" s="101" t="s">
        <v>3449</v>
      </c>
      <c r="C1970" s="99" t="s">
        <v>3450</v>
      </c>
      <c r="D1970" s="38"/>
      <c r="E1970" s="42">
        <v>1</v>
      </c>
      <c r="F1970" s="9">
        <v>50</v>
      </c>
      <c r="G1970" s="8">
        <f t="shared" si="70"/>
        <v>2.5725000000000002</v>
      </c>
      <c r="H1970" s="188">
        <v>2.4500000000000002</v>
      </c>
      <c r="I1970" s="19">
        <f t="shared" si="71"/>
        <v>128.625</v>
      </c>
      <c r="L1970" s="131"/>
      <c r="M1970" s="131"/>
      <c r="N1970" s="131"/>
    </row>
    <row r="1971" spans="1:14" hidden="1">
      <c r="A1971" s="100" t="s">
        <v>862</v>
      </c>
      <c r="B1971" s="101" t="s">
        <v>3451</v>
      </c>
      <c r="C1971" s="99" t="s">
        <v>3452</v>
      </c>
      <c r="D1971" s="38"/>
      <c r="E1971" s="42">
        <v>1</v>
      </c>
      <c r="F1971" s="9"/>
      <c r="G1971" s="8">
        <f t="shared" si="70"/>
        <v>2.8297499999999998</v>
      </c>
      <c r="H1971" s="188">
        <v>2.6949999999999998</v>
      </c>
      <c r="I1971" s="19">
        <f t="shared" si="71"/>
        <v>0</v>
      </c>
      <c r="L1971" s="131"/>
      <c r="M1971" s="131"/>
      <c r="N1971" s="131"/>
    </row>
    <row r="1972" spans="1:14">
      <c r="A1972" s="100" t="s">
        <v>862</v>
      </c>
      <c r="B1972" s="101" t="s">
        <v>3453</v>
      </c>
      <c r="C1972" s="99" t="s">
        <v>3454</v>
      </c>
      <c r="D1972" s="38"/>
      <c r="E1972" s="42">
        <v>1</v>
      </c>
      <c r="F1972" s="9">
        <v>50</v>
      </c>
      <c r="G1972" s="8">
        <f t="shared" si="70"/>
        <v>3.0869999999999997</v>
      </c>
      <c r="H1972" s="188">
        <v>2.94</v>
      </c>
      <c r="I1972" s="19">
        <f t="shared" si="71"/>
        <v>154.35</v>
      </c>
      <c r="L1972" s="131"/>
      <c r="M1972" s="131"/>
      <c r="N1972" s="131"/>
    </row>
    <row r="1973" spans="1:14" hidden="1">
      <c r="A1973" s="100" t="s">
        <v>862</v>
      </c>
      <c r="B1973" s="101" t="s">
        <v>3455</v>
      </c>
      <c r="C1973" s="99" t="s">
        <v>3456</v>
      </c>
      <c r="D1973" s="38"/>
      <c r="E1973" s="42">
        <v>1</v>
      </c>
      <c r="F1973" s="9"/>
      <c r="G1973" s="8">
        <f t="shared" si="70"/>
        <v>3.2287500000000002</v>
      </c>
      <c r="H1973" s="188">
        <v>3.0750000000000002</v>
      </c>
      <c r="I1973" s="19">
        <f t="shared" si="71"/>
        <v>0</v>
      </c>
      <c r="L1973" s="131"/>
      <c r="M1973" s="131"/>
      <c r="N1973" s="131"/>
    </row>
    <row r="1974" spans="1:14" hidden="1">
      <c r="A1974" s="100" t="s">
        <v>862</v>
      </c>
      <c r="B1974" s="101" t="s">
        <v>3457</v>
      </c>
      <c r="C1974" s="99" t="s">
        <v>3458</v>
      </c>
      <c r="D1974" s="38"/>
      <c r="E1974" s="42">
        <v>1</v>
      </c>
      <c r="F1974" s="9"/>
      <c r="G1974" s="8">
        <f t="shared" si="70"/>
        <v>3.7537500000000001</v>
      </c>
      <c r="H1974" s="188">
        <v>3.5750000000000002</v>
      </c>
      <c r="I1974" s="19">
        <f t="shared" si="71"/>
        <v>0</v>
      </c>
      <c r="L1974" s="131"/>
      <c r="M1974" s="131"/>
      <c r="N1974" s="131"/>
    </row>
    <row r="1975" spans="1:14" hidden="1">
      <c r="A1975" s="100" t="s">
        <v>862</v>
      </c>
      <c r="B1975" s="101" t="s">
        <v>3459</v>
      </c>
      <c r="C1975" s="99" t="s">
        <v>3460</v>
      </c>
      <c r="D1975" s="38" t="s">
        <v>1117</v>
      </c>
      <c r="E1975" s="42">
        <v>1</v>
      </c>
      <c r="F1975" s="9"/>
      <c r="G1975" s="8">
        <f t="shared" si="70"/>
        <v>416.40375</v>
      </c>
      <c r="H1975" s="188">
        <v>396.57499999999999</v>
      </c>
      <c r="I1975" s="19">
        <f t="shared" si="71"/>
        <v>0</v>
      </c>
      <c r="L1975" s="131"/>
      <c r="M1975" s="131"/>
      <c r="N1975" s="131"/>
    </row>
    <row r="1976" spans="1:14" hidden="1">
      <c r="A1976" s="100" t="s">
        <v>862</v>
      </c>
      <c r="B1976" s="101" t="s">
        <v>3461</v>
      </c>
      <c r="C1976" s="99" t="s">
        <v>3462</v>
      </c>
      <c r="D1976" s="38"/>
      <c r="E1976" s="42">
        <v>1</v>
      </c>
      <c r="F1976" s="9"/>
      <c r="G1976" s="8">
        <f t="shared" si="70"/>
        <v>4.3680000000000003</v>
      </c>
      <c r="H1976" s="188">
        <v>4.16</v>
      </c>
      <c r="I1976" s="19">
        <f t="shared" si="71"/>
        <v>0</v>
      </c>
      <c r="L1976" s="131"/>
      <c r="M1976" s="131"/>
      <c r="N1976" s="131"/>
    </row>
    <row r="1977" spans="1:14" hidden="1">
      <c r="A1977" s="100" t="s">
        <v>862</v>
      </c>
      <c r="B1977" s="101" t="s">
        <v>3463</v>
      </c>
      <c r="C1977" s="99" t="s">
        <v>3464</v>
      </c>
      <c r="D1977" s="38"/>
      <c r="E1977" s="42">
        <v>1</v>
      </c>
      <c r="F1977" s="9"/>
      <c r="G1977" s="8">
        <f t="shared" si="70"/>
        <v>5.1922500000000005</v>
      </c>
      <c r="H1977" s="188">
        <v>4.9450000000000003</v>
      </c>
      <c r="I1977" s="19">
        <f t="shared" si="71"/>
        <v>0</v>
      </c>
      <c r="L1977" s="131"/>
      <c r="M1977" s="131"/>
      <c r="N1977" s="131"/>
    </row>
    <row r="1978" spans="1:14" hidden="1">
      <c r="A1978" s="100" t="s">
        <v>862</v>
      </c>
      <c r="B1978" s="101" t="s">
        <v>3465</v>
      </c>
      <c r="C1978" s="99" t="s">
        <v>3466</v>
      </c>
      <c r="D1978" s="38"/>
      <c r="E1978" s="42">
        <v>1</v>
      </c>
      <c r="F1978" s="9"/>
      <c r="G1978" s="8">
        <f t="shared" si="70"/>
        <v>6.1530000000000005</v>
      </c>
      <c r="H1978" s="188">
        <v>5.86</v>
      </c>
      <c r="I1978" s="19">
        <f t="shared" si="71"/>
        <v>0</v>
      </c>
      <c r="L1978" s="131"/>
      <c r="M1978" s="131"/>
      <c r="N1978" s="131"/>
    </row>
    <row r="1979" spans="1:14" hidden="1">
      <c r="A1979" s="100" t="s">
        <v>862</v>
      </c>
      <c r="B1979" s="101" t="s">
        <v>3467</v>
      </c>
      <c r="C1979" s="99" t="s">
        <v>3468</v>
      </c>
      <c r="D1979" s="38" t="s">
        <v>1117</v>
      </c>
      <c r="E1979" s="42">
        <v>1</v>
      </c>
      <c r="F1979" s="9"/>
      <c r="G1979" s="8">
        <f t="shared" si="70"/>
        <v>672.81375000000003</v>
      </c>
      <c r="H1979" s="188">
        <v>640.77499999999998</v>
      </c>
      <c r="I1979" s="19">
        <f t="shared" si="71"/>
        <v>0</v>
      </c>
      <c r="L1979" s="131"/>
      <c r="M1979" s="131"/>
      <c r="N1979" s="131"/>
    </row>
    <row r="1980" spans="1:14" hidden="1">
      <c r="A1980" s="100" t="s">
        <v>862</v>
      </c>
      <c r="B1980" s="101" t="s">
        <v>3469</v>
      </c>
      <c r="C1980" s="99" t="s">
        <v>3470</v>
      </c>
      <c r="D1980" s="38"/>
      <c r="E1980" s="42">
        <v>1</v>
      </c>
      <c r="F1980" s="9"/>
      <c r="G1980" s="8">
        <f t="shared" si="70"/>
        <v>36.041250000000005</v>
      </c>
      <c r="H1980" s="188">
        <v>34.325000000000003</v>
      </c>
      <c r="I1980" s="19">
        <f t="shared" si="71"/>
        <v>0</v>
      </c>
      <c r="L1980" s="131"/>
      <c r="M1980" s="131"/>
      <c r="N1980" s="131"/>
    </row>
    <row r="1981" spans="1:14" hidden="1">
      <c r="A1981" s="100" t="s">
        <v>862</v>
      </c>
      <c r="B1981" s="101" t="s">
        <v>3471</v>
      </c>
      <c r="C1981" s="99" t="s">
        <v>3472</v>
      </c>
      <c r="D1981" s="38"/>
      <c r="E1981" s="42">
        <v>1</v>
      </c>
      <c r="F1981" s="9"/>
      <c r="G1981" s="8">
        <f t="shared" si="70"/>
        <v>7.6660500000000003</v>
      </c>
      <c r="H1981" s="188">
        <v>7.3010000000000002</v>
      </c>
      <c r="I1981" s="19">
        <f t="shared" si="71"/>
        <v>0</v>
      </c>
      <c r="L1981" s="131"/>
      <c r="M1981" s="131"/>
      <c r="N1981" s="131"/>
    </row>
    <row r="1982" spans="1:14" hidden="1">
      <c r="A1982" s="100" t="s">
        <v>862</v>
      </c>
      <c r="B1982" s="101" t="s">
        <v>3473</v>
      </c>
      <c r="C1982" s="99" t="s">
        <v>3474</v>
      </c>
      <c r="D1982" s="38"/>
      <c r="E1982" s="42">
        <v>1</v>
      </c>
      <c r="F1982" s="9"/>
      <c r="G1982" s="8">
        <f t="shared" si="70"/>
        <v>64.203825000000009</v>
      </c>
      <c r="H1982" s="188">
        <v>61.146500000000003</v>
      </c>
      <c r="I1982" s="19">
        <f t="shared" si="71"/>
        <v>0</v>
      </c>
      <c r="L1982" s="131"/>
      <c r="M1982" s="131"/>
      <c r="N1982" s="131"/>
    </row>
    <row r="1983" spans="1:14" hidden="1">
      <c r="A1983" s="100" t="s">
        <v>862</v>
      </c>
      <c r="B1983" s="101" t="s">
        <v>3475</v>
      </c>
      <c r="C1983" s="99" t="s">
        <v>3476</v>
      </c>
      <c r="D1983" s="38"/>
      <c r="E1983" s="42">
        <v>1</v>
      </c>
      <c r="F1983" s="9"/>
      <c r="G1983" s="8">
        <f t="shared" si="70"/>
        <v>75.625200000000007</v>
      </c>
      <c r="H1983" s="188">
        <v>72.024000000000001</v>
      </c>
      <c r="I1983" s="19">
        <f t="shared" si="71"/>
        <v>0</v>
      </c>
      <c r="L1983" s="131"/>
      <c r="M1983" s="131"/>
      <c r="N1983" s="131"/>
    </row>
    <row r="1984" spans="1:14" hidden="1">
      <c r="A1984" s="100" t="s">
        <v>862</v>
      </c>
      <c r="B1984" s="101" t="s">
        <v>3477</v>
      </c>
      <c r="C1984" s="99" t="s">
        <v>3478</v>
      </c>
      <c r="D1984" s="38"/>
      <c r="E1984" s="42">
        <v>1</v>
      </c>
      <c r="F1984" s="9"/>
      <c r="G1984" s="8">
        <f t="shared" si="70"/>
        <v>14.591850000000001</v>
      </c>
      <c r="H1984" s="188">
        <v>13.897</v>
      </c>
      <c r="I1984" s="19">
        <f t="shared" si="71"/>
        <v>0</v>
      </c>
      <c r="L1984" s="131"/>
      <c r="M1984" s="131"/>
      <c r="N1984" s="131"/>
    </row>
    <row r="1985" spans="1:14" hidden="1">
      <c r="A1985" s="100" t="s">
        <v>862</v>
      </c>
      <c r="B1985" s="101" t="s">
        <v>3479</v>
      </c>
      <c r="C1985" s="99" t="s">
        <v>3480</v>
      </c>
      <c r="D1985" s="38"/>
      <c r="E1985" s="42">
        <v>1</v>
      </c>
      <c r="F1985" s="9"/>
      <c r="G1985" s="8">
        <f t="shared" si="70"/>
        <v>17.997</v>
      </c>
      <c r="H1985" s="188">
        <v>17.14</v>
      </c>
      <c r="I1985" s="19">
        <f t="shared" si="71"/>
        <v>0</v>
      </c>
      <c r="L1985" s="131"/>
      <c r="M1985" s="131"/>
      <c r="N1985" s="131"/>
    </row>
    <row r="1986" spans="1:14" hidden="1">
      <c r="A1986" s="100" t="s">
        <v>862</v>
      </c>
      <c r="B1986" s="101" t="s">
        <v>3481</v>
      </c>
      <c r="C1986" s="99" t="s">
        <v>3482</v>
      </c>
      <c r="D1986" s="38"/>
      <c r="E1986" s="42">
        <v>1</v>
      </c>
      <c r="F1986" s="9"/>
      <c r="G1986" s="8">
        <f t="shared" si="70"/>
        <v>21.402675000000002</v>
      </c>
      <c r="H1986" s="188">
        <v>20.383500000000002</v>
      </c>
      <c r="I1986" s="19">
        <f t="shared" si="71"/>
        <v>0</v>
      </c>
      <c r="L1986" s="131"/>
      <c r="M1986" s="131"/>
      <c r="N1986" s="131"/>
    </row>
    <row r="1987" spans="1:14" hidden="1">
      <c r="A1987" s="100" t="s">
        <v>862</v>
      </c>
      <c r="B1987" s="101" t="s">
        <v>3483</v>
      </c>
      <c r="C1987" s="99" t="s">
        <v>3484</v>
      </c>
      <c r="D1987" s="38"/>
      <c r="E1987" s="42">
        <v>1</v>
      </c>
      <c r="F1987" s="9"/>
      <c r="G1987" s="8">
        <f t="shared" si="70"/>
        <v>24.808349999999997</v>
      </c>
      <c r="H1987" s="188">
        <v>23.626999999999999</v>
      </c>
      <c r="I1987" s="19">
        <f t="shared" si="71"/>
        <v>0</v>
      </c>
      <c r="L1987" s="131"/>
      <c r="M1987" s="131"/>
      <c r="N1987" s="131"/>
    </row>
    <row r="1988" spans="1:14" hidden="1">
      <c r="A1988" s="100" t="s">
        <v>862</v>
      </c>
      <c r="B1988" s="101" t="s">
        <v>3485</v>
      </c>
      <c r="C1988" s="99" t="s">
        <v>3486</v>
      </c>
      <c r="D1988" s="38"/>
      <c r="E1988" s="42">
        <v>1</v>
      </c>
      <c r="F1988" s="9"/>
      <c r="G1988" s="8">
        <f t="shared" si="70"/>
        <v>28.2135</v>
      </c>
      <c r="H1988" s="188">
        <v>26.87</v>
      </c>
      <c r="I1988" s="19">
        <f t="shared" si="71"/>
        <v>0</v>
      </c>
      <c r="L1988" s="131"/>
      <c r="M1988" s="131"/>
      <c r="N1988" s="131"/>
    </row>
    <row r="1989" spans="1:14" hidden="1">
      <c r="A1989" s="100" t="s">
        <v>862</v>
      </c>
      <c r="B1989" s="101" t="s">
        <v>3487</v>
      </c>
      <c r="C1989" s="99" t="s">
        <v>3488</v>
      </c>
      <c r="D1989" s="38"/>
      <c r="E1989" s="42">
        <v>1</v>
      </c>
      <c r="F1989" s="9"/>
      <c r="G1989" s="8">
        <f t="shared" si="70"/>
        <v>0.21577499999999999</v>
      </c>
      <c r="H1989" s="188">
        <v>0.20549999999999999</v>
      </c>
      <c r="I1989" s="19">
        <f t="shared" si="71"/>
        <v>0</v>
      </c>
      <c r="L1989" s="131"/>
      <c r="M1989" s="131"/>
      <c r="N1989" s="131"/>
    </row>
    <row r="1990" spans="1:14" hidden="1">
      <c r="A1990" s="100" t="s">
        <v>862</v>
      </c>
      <c r="B1990" s="101" t="s">
        <v>3489</v>
      </c>
      <c r="C1990" s="99" t="s">
        <v>3490</v>
      </c>
      <c r="D1990" s="38"/>
      <c r="E1990" s="42">
        <v>1</v>
      </c>
      <c r="F1990" s="9"/>
      <c r="G1990" s="8">
        <f t="shared" si="70"/>
        <v>3.3704999999999998</v>
      </c>
      <c r="H1990" s="188">
        <v>3.21</v>
      </c>
      <c r="I1990" s="19">
        <f t="shared" si="71"/>
        <v>0</v>
      </c>
      <c r="L1990" s="131"/>
      <c r="M1990" s="131"/>
      <c r="N1990" s="131"/>
    </row>
    <row r="1991" spans="1:14" hidden="1">
      <c r="A1991" s="100" t="s">
        <v>862</v>
      </c>
      <c r="B1991" s="101" t="s">
        <v>3491</v>
      </c>
      <c r="C1991" s="99" t="s">
        <v>3492</v>
      </c>
      <c r="D1991" s="38"/>
      <c r="E1991" s="42">
        <v>1</v>
      </c>
      <c r="F1991" s="9"/>
      <c r="G1991" s="8">
        <f t="shared" si="70"/>
        <v>36.404024999999997</v>
      </c>
      <c r="H1991" s="188">
        <v>34.670499999999997</v>
      </c>
      <c r="I1991" s="19">
        <f t="shared" si="71"/>
        <v>0</v>
      </c>
      <c r="L1991" s="131"/>
      <c r="M1991" s="131"/>
      <c r="N1991" s="131"/>
    </row>
    <row r="1992" spans="1:14" hidden="1">
      <c r="A1992" s="100" t="s">
        <v>862</v>
      </c>
      <c r="B1992" s="101" t="s">
        <v>3493</v>
      </c>
      <c r="C1992" s="99" t="s">
        <v>3494</v>
      </c>
      <c r="D1992" s="38"/>
      <c r="E1992" s="42">
        <v>1</v>
      </c>
      <c r="F1992" s="9"/>
      <c r="G1992" s="8">
        <f t="shared" si="70"/>
        <v>40.573049999999995</v>
      </c>
      <c r="H1992" s="188">
        <v>38.640999999999998</v>
      </c>
      <c r="I1992" s="19">
        <f t="shared" si="71"/>
        <v>0</v>
      </c>
      <c r="L1992" s="131"/>
      <c r="M1992" s="131"/>
      <c r="N1992" s="131"/>
    </row>
    <row r="1993" spans="1:14" hidden="1">
      <c r="A1993" s="100" t="s">
        <v>862</v>
      </c>
      <c r="B1993" s="101" t="s">
        <v>3495</v>
      </c>
      <c r="C1993" s="99" t="s">
        <v>3496</v>
      </c>
      <c r="D1993" s="38"/>
      <c r="E1993" s="42">
        <v>1</v>
      </c>
      <c r="F1993" s="9"/>
      <c r="G1993" s="8">
        <f t="shared" si="70"/>
        <v>44.741549999999997</v>
      </c>
      <c r="H1993" s="188">
        <v>42.610999999999997</v>
      </c>
      <c r="I1993" s="19">
        <f t="shared" si="71"/>
        <v>0</v>
      </c>
      <c r="L1993" s="131"/>
      <c r="M1993" s="131"/>
      <c r="N1993" s="131"/>
    </row>
    <row r="1994" spans="1:14" hidden="1">
      <c r="A1994" s="100" t="s">
        <v>862</v>
      </c>
      <c r="B1994" s="101" t="s">
        <v>3497</v>
      </c>
      <c r="C1994" s="99" t="s">
        <v>3498</v>
      </c>
      <c r="D1994" s="38"/>
      <c r="E1994" s="42">
        <v>1</v>
      </c>
      <c r="F1994" s="9"/>
      <c r="G1994" s="8">
        <f t="shared" si="70"/>
        <v>0.26774999999999999</v>
      </c>
      <c r="H1994" s="188">
        <v>0.255</v>
      </c>
      <c r="I1994" s="19">
        <f t="shared" si="71"/>
        <v>0</v>
      </c>
      <c r="L1994" s="131"/>
      <c r="M1994" s="131"/>
      <c r="N1994" s="131"/>
    </row>
    <row r="1995" spans="1:14" hidden="1">
      <c r="A1995" s="100" t="s">
        <v>862</v>
      </c>
      <c r="B1995" s="101" t="s">
        <v>3499</v>
      </c>
      <c r="C1995" s="99" t="s">
        <v>3500</v>
      </c>
      <c r="D1995" s="38"/>
      <c r="E1995" s="42">
        <v>1</v>
      </c>
      <c r="F1995" s="9"/>
      <c r="G1995" s="8">
        <f t="shared" si="70"/>
        <v>0.55859999999999999</v>
      </c>
      <c r="H1995" s="188">
        <v>0.53200000000000003</v>
      </c>
      <c r="I1995" s="19">
        <f t="shared" si="71"/>
        <v>0</v>
      </c>
      <c r="L1995" s="131"/>
      <c r="M1995" s="131"/>
      <c r="N1995" s="131"/>
    </row>
    <row r="1996" spans="1:14" hidden="1">
      <c r="A1996" s="100" t="s">
        <v>862</v>
      </c>
      <c r="B1996" s="101" t="s">
        <v>3501</v>
      </c>
      <c r="C1996" s="99" t="s">
        <v>3502</v>
      </c>
      <c r="D1996" s="38"/>
      <c r="E1996" s="42">
        <v>1</v>
      </c>
      <c r="F1996" s="9"/>
      <c r="G1996" s="8">
        <f t="shared" si="70"/>
        <v>12.967499999999999</v>
      </c>
      <c r="H1996" s="188">
        <v>12.35</v>
      </c>
      <c r="I1996" s="19">
        <f t="shared" si="71"/>
        <v>0</v>
      </c>
      <c r="L1996" s="131"/>
      <c r="M1996" s="131"/>
      <c r="N1996" s="131"/>
    </row>
    <row r="1997" spans="1:14" hidden="1">
      <c r="A1997" s="100" t="s">
        <v>862</v>
      </c>
      <c r="B1997" s="101" t="s">
        <v>3503</v>
      </c>
      <c r="C1997" s="99" t="s">
        <v>3504</v>
      </c>
      <c r="D1997" s="38"/>
      <c r="E1997" s="42">
        <v>1</v>
      </c>
      <c r="F1997" s="9"/>
      <c r="G1997" s="8">
        <f t="shared" si="70"/>
        <v>49.121625000000002</v>
      </c>
      <c r="H1997" s="188">
        <v>46.782499999999999</v>
      </c>
      <c r="I1997" s="19">
        <f t="shared" si="71"/>
        <v>0</v>
      </c>
      <c r="L1997" s="131"/>
      <c r="M1997" s="131"/>
      <c r="N1997" s="131"/>
    </row>
    <row r="1998" spans="1:14" hidden="1">
      <c r="A1998" s="100" t="s">
        <v>862</v>
      </c>
      <c r="B1998" s="101" t="s">
        <v>3505</v>
      </c>
      <c r="C1998" s="99" t="s">
        <v>3506</v>
      </c>
      <c r="D1998" s="38"/>
      <c r="E1998" s="42">
        <v>1</v>
      </c>
      <c r="F1998" s="9"/>
      <c r="G1998" s="8">
        <f t="shared" si="70"/>
        <v>66.589950000000002</v>
      </c>
      <c r="H1998" s="188">
        <v>63.418999999999997</v>
      </c>
      <c r="I1998" s="19">
        <f t="shared" si="71"/>
        <v>0</v>
      </c>
      <c r="L1998" s="131"/>
      <c r="M1998" s="131"/>
      <c r="N1998" s="131"/>
    </row>
    <row r="1999" spans="1:14" hidden="1">
      <c r="A1999" s="100" t="s">
        <v>862</v>
      </c>
      <c r="B1999" s="101" t="s">
        <v>3507</v>
      </c>
      <c r="C1999" s="99" t="s">
        <v>3508</v>
      </c>
      <c r="D1999" s="38"/>
      <c r="E1999" s="42">
        <v>1</v>
      </c>
      <c r="F1999" s="9"/>
      <c r="G1999" s="8">
        <f t="shared" si="70"/>
        <v>10.32255</v>
      </c>
      <c r="H1999" s="188">
        <v>9.8309999999999995</v>
      </c>
      <c r="I1999" s="19">
        <f t="shared" si="71"/>
        <v>0</v>
      </c>
      <c r="L1999" s="131"/>
      <c r="M1999" s="131"/>
      <c r="N1999" s="131"/>
    </row>
    <row r="2000" spans="1:14" hidden="1">
      <c r="A2000" s="100" t="s">
        <v>862</v>
      </c>
      <c r="B2000" s="101" t="s">
        <v>3509</v>
      </c>
      <c r="C2000" s="99" t="s">
        <v>3510</v>
      </c>
      <c r="D2000" s="38"/>
      <c r="E2000" s="42">
        <v>1</v>
      </c>
      <c r="F2000" s="9"/>
      <c r="G2000" s="8">
        <f t="shared" si="70"/>
        <v>11.987324999999998</v>
      </c>
      <c r="H2000" s="188">
        <v>11.416499999999999</v>
      </c>
      <c r="I2000" s="19">
        <f t="shared" si="71"/>
        <v>0</v>
      </c>
      <c r="L2000" s="131"/>
      <c r="M2000" s="131"/>
      <c r="N2000" s="131"/>
    </row>
    <row r="2001" spans="1:14" hidden="1">
      <c r="A2001" s="100" t="s">
        <v>862</v>
      </c>
      <c r="B2001" s="101" t="s">
        <v>3511</v>
      </c>
      <c r="C2001" s="99" t="s">
        <v>3512</v>
      </c>
      <c r="D2001" s="38"/>
      <c r="E2001" s="42">
        <v>1</v>
      </c>
      <c r="F2001" s="9"/>
      <c r="G2001" s="8">
        <f t="shared" si="70"/>
        <v>13.652100000000001</v>
      </c>
      <c r="H2001" s="188">
        <v>13.002000000000001</v>
      </c>
      <c r="I2001" s="19">
        <f t="shared" si="71"/>
        <v>0</v>
      </c>
      <c r="L2001" s="131"/>
      <c r="M2001" s="131"/>
      <c r="N2001" s="131"/>
    </row>
    <row r="2002" spans="1:14" hidden="1">
      <c r="A2002" s="100" t="s">
        <v>862</v>
      </c>
      <c r="B2002" s="101" t="s">
        <v>3513</v>
      </c>
      <c r="C2002" s="99" t="s">
        <v>3514</v>
      </c>
      <c r="D2002" s="38"/>
      <c r="E2002" s="42">
        <v>1</v>
      </c>
      <c r="F2002" s="9"/>
      <c r="G2002" s="8">
        <f t="shared" si="70"/>
        <v>15.316875</v>
      </c>
      <c r="H2002" s="188">
        <v>14.5875</v>
      </c>
      <c r="I2002" s="19">
        <f t="shared" si="71"/>
        <v>0</v>
      </c>
      <c r="L2002" s="131"/>
      <c r="M2002" s="131"/>
      <c r="N2002" s="131"/>
    </row>
    <row r="2003" spans="1:14" hidden="1">
      <c r="A2003" s="100" t="s">
        <v>862</v>
      </c>
      <c r="B2003" s="101" t="s">
        <v>3515</v>
      </c>
      <c r="C2003" s="99" t="s">
        <v>3516</v>
      </c>
      <c r="D2003" s="38"/>
      <c r="E2003" s="42">
        <v>1</v>
      </c>
      <c r="F2003" s="9"/>
      <c r="G2003" s="8">
        <f t="shared" si="70"/>
        <v>16.981649999999998</v>
      </c>
      <c r="H2003" s="188">
        <v>16.172999999999998</v>
      </c>
      <c r="I2003" s="19">
        <f t="shared" si="71"/>
        <v>0</v>
      </c>
      <c r="L2003" s="131"/>
      <c r="M2003" s="131"/>
      <c r="N2003" s="131"/>
    </row>
    <row r="2004" spans="1:14" hidden="1">
      <c r="A2004" s="100" t="s">
        <v>862</v>
      </c>
      <c r="B2004" s="101" t="s">
        <v>3517</v>
      </c>
      <c r="C2004" s="99" t="s">
        <v>3518</v>
      </c>
      <c r="D2004" s="38"/>
      <c r="E2004" s="42">
        <v>1</v>
      </c>
      <c r="F2004" s="9"/>
      <c r="G2004" s="8">
        <f t="shared" si="70"/>
        <v>18.64695</v>
      </c>
      <c r="H2004" s="188">
        <v>17.759</v>
      </c>
      <c r="I2004" s="19">
        <f t="shared" si="71"/>
        <v>0</v>
      </c>
      <c r="L2004" s="131"/>
      <c r="M2004" s="131"/>
      <c r="N2004" s="131"/>
    </row>
    <row r="2005" spans="1:14">
      <c r="A2005" s="100" t="s">
        <v>862</v>
      </c>
      <c r="B2005" s="101" t="s">
        <v>3519</v>
      </c>
      <c r="C2005" s="99" t="s">
        <v>3520</v>
      </c>
      <c r="D2005" s="38"/>
      <c r="E2005" s="42">
        <v>1</v>
      </c>
      <c r="F2005" s="9">
        <v>25</v>
      </c>
      <c r="G2005" s="8">
        <f t="shared" si="70"/>
        <v>20.311724999999999</v>
      </c>
      <c r="H2005" s="188">
        <v>19.3445</v>
      </c>
      <c r="I2005" s="19">
        <f t="shared" si="71"/>
        <v>507.79312499999997</v>
      </c>
      <c r="L2005" s="131"/>
      <c r="M2005" s="131"/>
      <c r="N2005" s="131"/>
    </row>
    <row r="2006" spans="1:14" hidden="1">
      <c r="A2006" s="100" t="s">
        <v>862</v>
      </c>
      <c r="B2006" s="101" t="s">
        <v>3521</v>
      </c>
      <c r="C2006" s="99" t="s">
        <v>3522</v>
      </c>
      <c r="D2006" s="38"/>
      <c r="E2006" s="42">
        <v>1</v>
      </c>
      <c r="F2006" s="9"/>
      <c r="G2006" s="8">
        <f t="shared" si="70"/>
        <v>21.976500000000001</v>
      </c>
      <c r="H2006" s="188">
        <v>20.93</v>
      </c>
      <c r="I2006" s="19">
        <f t="shared" si="71"/>
        <v>0</v>
      </c>
      <c r="L2006" s="131"/>
      <c r="M2006" s="131"/>
      <c r="N2006" s="131"/>
    </row>
    <row r="2007" spans="1:14" hidden="1">
      <c r="A2007" s="100" t="s">
        <v>862</v>
      </c>
      <c r="B2007" s="101" t="s">
        <v>3523</v>
      </c>
      <c r="C2007" s="99" t="s">
        <v>3524</v>
      </c>
      <c r="D2007" s="38"/>
      <c r="E2007" s="42">
        <v>1</v>
      </c>
      <c r="F2007" s="9"/>
      <c r="G2007" s="8">
        <f t="shared" si="70"/>
        <v>23.641275</v>
      </c>
      <c r="H2007" s="188">
        <v>22.515499999999999</v>
      </c>
      <c r="I2007" s="19">
        <f t="shared" si="71"/>
        <v>0</v>
      </c>
      <c r="L2007" s="131"/>
      <c r="M2007" s="131"/>
      <c r="N2007" s="131"/>
    </row>
    <row r="2008" spans="1:14" hidden="1">
      <c r="A2008" s="100" t="s">
        <v>862</v>
      </c>
      <c r="B2008" s="101" t="s">
        <v>3525</v>
      </c>
      <c r="C2008" s="99" t="s">
        <v>3526</v>
      </c>
      <c r="D2008" s="38"/>
      <c r="E2008" s="42">
        <v>1</v>
      </c>
      <c r="F2008" s="9"/>
      <c r="G2008" s="8">
        <f t="shared" si="70"/>
        <v>7.9248750000000001</v>
      </c>
      <c r="H2008" s="188">
        <v>7.5475000000000003</v>
      </c>
      <c r="I2008" s="19">
        <f t="shared" si="71"/>
        <v>0</v>
      </c>
      <c r="L2008" s="131"/>
      <c r="M2008" s="131"/>
      <c r="N2008" s="131"/>
    </row>
    <row r="2009" spans="1:14" hidden="1">
      <c r="A2009" s="100" t="s">
        <v>862</v>
      </c>
      <c r="B2009" s="101" t="s">
        <v>3527</v>
      </c>
      <c r="C2009" s="99" t="s">
        <v>3528</v>
      </c>
      <c r="D2009" s="38"/>
      <c r="E2009" s="42">
        <v>1</v>
      </c>
      <c r="F2009" s="9"/>
      <c r="G2009" s="8">
        <f t="shared" si="70"/>
        <v>9.5896499999999989</v>
      </c>
      <c r="H2009" s="188">
        <v>9.1329999999999991</v>
      </c>
      <c r="I2009" s="19">
        <f t="shared" si="71"/>
        <v>0</v>
      </c>
      <c r="L2009" s="131"/>
      <c r="M2009" s="131"/>
      <c r="N2009" s="131"/>
    </row>
    <row r="2010" spans="1:14" hidden="1">
      <c r="A2010" s="100" t="s">
        <v>862</v>
      </c>
      <c r="B2010" s="101" t="s">
        <v>3529</v>
      </c>
      <c r="C2010" s="99" t="s">
        <v>3530</v>
      </c>
      <c r="D2010" s="38"/>
      <c r="E2010" s="42">
        <v>1</v>
      </c>
      <c r="F2010" s="9"/>
      <c r="G2010" s="8">
        <f t="shared" si="70"/>
        <v>11.254425000000001</v>
      </c>
      <c r="H2010" s="188">
        <v>10.718500000000001</v>
      </c>
      <c r="I2010" s="19">
        <f t="shared" si="71"/>
        <v>0</v>
      </c>
      <c r="L2010" s="131"/>
      <c r="M2010" s="131"/>
      <c r="N2010" s="131"/>
    </row>
    <row r="2011" spans="1:14" hidden="1">
      <c r="A2011" s="100" t="s">
        <v>862</v>
      </c>
      <c r="B2011" s="101" t="s">
        <v>3531</v>
      </c>
      <c r="C2011" s="99" t="s">
        <v>3532</v>
      </c>
      <c r="D2011" s="38"/>
      <c r="E2011" s="42">
        <v>1</v>
      </c>
      <c r="F2011" s="9"/>
      <c r="G2011" s="8">
        <f t="shared" si="70"/>
        <v>12.919725000000001</v>
      </c>
      <c r="H2011" s="188">
        <v>12.304500000000001</v>
      </c>
      <c r="I2011" s="19">
        <f t="shared" si="71"/>
        <v>0</v>
      </c>
      <c r="L2011" s="131"/>
      <c r="M2011" s="131"/>
      <c r="N2011" s="131"/>
    </row>
    <row r="2012" spans="1:14" hidden="1">
      <c r="A2012" s="100" t="s">
        <v>862</v>
      </c>
      <c r="B2012" s="101" t="s">
        <v>3533</v>
      </c>
      <c r="C2012" s="99" t="s">
        <v>3534</v>
      </c>
      <c r="D2012" s="38"/>
      <c r="E2012" s="42">
        <v>1</v>
      </c>
      <c r="F2012" s="9"/>
      <c r="G2012" s="8">
        <f t="shared" si="70"/>
        <v>14.5845</v>
      </c>
      <c r="H2012" s="188">
        <v>13.89</v>
      </c>
      <c r="I2012" s="19">
        <f t="shared" si="71"/>
        <v>0</v>
      </c>
      <c r="L2012" s="131"/>
      <c r="M2012" s="131"/>
      <c r="N2012" s="131"/>
    </row>
    <row r="2013" spans="1:14" hidden="1">
      <c r="A2013" s="100" t="s">
        <v>862</v>
      </c>
      <c r="B2013" s="101" t="s">
        <v>3535</v>
      </c>
      <c r="C2013" s="99" t="s">
        <v>3536</v>
      </c>
      <c r="D2013" s="38"/>
      <c r="E2013" s="42">
        <v>1</v>
      </c>
      <c r="F2013" s="9"/>
      <c r="G2013" s="8">
        <f t="shared" si="70"/>
        <v>16.249275000000001</v>
      </c>
      <c r="H2013" s="188">
        <v>15.4755</v>
      </c>
      <c r="I2013" s="19">
        <f t="shared" si="71"/>
        <v>0</v>
      </c>
      <c r="L2013" s="131"/>
      <c r="M2013" s="131"/>
      <c r="N2013" s="131"/>
    </row>
    <row r="2014" spans="1:14" hidden="1">
      <c r="A2014" s="100" t="s">
        <v>862</v>
      </c>
      <c r="B2014" s="101" t="s">
        <v>3537</v>
      </c>
      <c r="C2014" s="99" t="s">
        <v>3538</v>
      </c>
      <c r="D2014" s="38"/>
      <c r="E2014" s="42">
        <v>1</v>
      </c>
      <c r="F2014" s="9"/>
      <c r="G2014" s="8">
        <f t="shared" si="70"/>
        <v>17.91405</v>
      </c>
      <c r="H2014" s="188">
        <v>17.061</v>
      </c>
      <c r="I2014" s="19">
        <f t="shared" si="71"/>
        <v>0</v>
      </c>
      <c r="L2014" s="131"/>
      <c r="M2014" s="131"/>
      <c r="N2014" s="131"/>
    </row>
    <row r="2015" spans="1:14" hidden="1">
      <c r="A2015" s="100" t="s">
        <v>862</v>
      </c>
      <c r="B2015" s="101" t="s">
        <v>3539</v>
      </c>
      <c r="C2015" s="99" t="s">
        <v>3540</v>
      </c>
      <c r="D2015" s="38"/>
      <c r="E2015" s="42">
        <v>1</v>
      </c>
      <c r="F2015" s="9"/>
      <c r="G2015" s="8">
        <f t="shared" si="70"/>
        <v>19.578824999999998</v>
      </c>
      <c r="H2015" s="188">
        <v>18.6465</v>
      </c>
      <c r="I2015" s="19">
        <f t="shared" si="71"/>
        <v>0</v>
      </c>
      <c r="L2015" s="131"/>
      <c r="M2015" s="131"/>
      <c r="N2015" s="131"/>
    </row>
    <row r="2016" spans="1:14" hidden="1">
      <c r="A2016" s="100" t="s">
        <v>862</v>
      </c>
      <c r="B2016" s="101" t="s">
        <v>3541</v>
      </c>
      <c r="C2016" s="99" t="s">
        <v>3542</v>
      </c>
      <c r="D2016" s="38"/>
      <c r="E2016" s="42">
        <v>1</v>
      </c>
      <c r="F2016" s="9"/>
      <c r="G2016" s="8">
        <f t="shared" si="70"/>
        <v>21.244125</v>
      </c>
      <c r="H2016" s="188">
        <v>20.232500000000002</v>
      </c>
      <c r="I2016" s="19">
        <f t="shared" si="71"/>
        <v>0</v>
      </c>
      <c r="L2016" s="131"/>
      <c r="M2016" s="131"/>
      <c r="N2016" s="131"/>
    </row>
    <row r="2017" spans="1:14" hidden="1">
      <c r="A2017" s="100" t="s">
        <v>862</v>
      </c>
      <c r="B2017" s="101" t="s">
        <v>3543</v>
      </c>
      <c r="C2017" s="99" t="s">
        <v>3544</v>
      </c>
      <c r="D2017" s="38"/>
      <c r="E2017" s="42">
        <v>1</v>
      </c>
      <c r="F2017" s="9"/>
      <c r="G2017" s="8">
        <f t="shared" si="70"/>
        <v>22.908900000000003</v>
      </c>
      <c r="H2017" s="188">
        <v>21.818000000000001</v>
      </c>
      <c r="I2017" s="19">
        <f t="shared" si="71"/>
        <v>0</v>
      </c>
      <c r="L2017" s="131"/>
      <c r="M2017" s="131"/>
      <c r="N2017" s="131"/>
    </row>
    <row r="2018" spans="1:14" hidden="1">
      <c r="A2018" s="100" t="s">
        <v>862</v>
      </c>
      <c r="B2018" s="101" t="s">
        <v>3545</v>
      </c>
      <c r="C2018" s="99" t="s">
        <v>3546</v>
      </c>
      <c r="D2018" s="38"/>
      <c r="E2018" s="42">
        <v>1</v>
      </c>
      <c r="F2018" s="9"/>
      <c r="G2018" s="8">
        <f t="shared" si="70"/>
        <v>24.573675000000001</v>
      </c>
      <c r="H2018" s="188">
        <v>23.403500000000001</v>
      </c>
      <c r="I2018" s="19">
        <f t="shared" si="71"/>
        <v>0</v>
      </c>
      <c r="L2018" s="131"/>
      <c r="M2018" s="131"/>
      <c r="N2018" s="131"/>
    </row>
    <row r="2019" spans="1:14" hidden="1">
      <c r="A2019" s="100" t="s">
        <v>862</v>
      </c>
      <c r="B2019" s="101" t="s">
        <v>3547</v>
      </c>
      <c r="C2019" s="99" t="s">
        <v>3548</v>
      </c>
      <c r="D2019" s="38"/>
      <c r="E2019" s="42">
        <v>1</v>
      </c>
      <c r="F2019" s="9"/>
      <c r="G2019" s="8">
        <f t="shared" si="70"/>
        <v>26.23845</v>
      </c>
      <c r="H2019" s="188">
        <v>24.989000000000001</v>
      </c>
      <c r="I2019" s="19">
        <f t="shared" si="71"/>
        <v>0</v>
      </c>
      <c r="L2019" s="131"/>
      <c r="M2019" s="131"/>
      <c r="N2019" s="131"/>
    </row>
    <row r="2020" spans="1:14" hidden="1">
      <c r="A2020" s="100" t="s">
        <v>862</v>
      </c>
      <c r="B2020" s="101" t="s">
        <v>3549</v>
      </c>
      <c r="C2020" s="99" t="s">
        <v>3550</v>
      </c>
      <c r="D2020" s="38"/>
      <c r="E2020" s="42">
        <v>1</v>
      </c>
      <c r="F2020" s="9"/>
      <c r="G2020" s="8">
        <f t="shared" si="70"/>
        <v>27.903749999999999</v>
      </c>
      <c r="H2020" s="188">
        <v>26.574999999999999</v>
      </c>
      <c r="I2020" s="19">
        <f t="shared" si="71"/>
        <v>0</v>
      </c>
      <c r="L2020" s="131"/>
      <c r="M2020" s="131"/>
      <c r="N2020" s="131"/>
    </row>
    <row r="2021" spans="1:14" hidden="1">
      <c r="A2021" s="100" t="s">
        <v>862</v>
      </c>
      <c r="B2021" s="101" t="s">
        <v>3551</v>
      </c>
      <c r="C2021" s="99" t="s">
        <v>3552</v>
      </c>
      <c r="D2021" s="38"/>
      <c r="E2021" s="42">
        <v>1</v>
      </c>
      <c r="F2021" s="9"/>
      <c r="G2021" s="8">
        <f t="shared" ref="G2021:G2084" si="72">H2021+(H2021*5%)</f>
        <v>29.568524999999998</v>
      </c>
      <c r="H2021" s="188">
        <v>28.160499999999999</v>
      </c>
      <c r="I2021" s="19">
        <f t="shared" si="71"/>
        <v>0</v>
      </c>
      <c r="L2021" s="131"/>
      <c r="M2021" s="131"/>
      <c r="N2021" s="131"/>
    </row>
    <row r="2022" spans="1:14" hidden="1">
      <c r="A2022" s="100" t="s">
        <v>862</v>
      </c>
      <c r="B2022" s="101" t="s">
        <v>3553</v>
      </c>
      <c r="C2022" s="99" t="s">
        <v>3554</v>
      </c>
      <c r="D2022" s="38"/>
      <c r="E2022" s="42">
        <v>1</v>
      </c>
      <c r="F2022" s="9"/>
      <c r="G2022" s="8">
        <f t="shared" si="72"/>
        <v>6.4008000000000003</v>
      </c>
      <c r="H2022" s="188">
        <v>6.0960000000000001</v>
      </c>
      <c r="I2022" s="19">
        <f t="shared" si="71"/>
        <v>0</v>
      </c>
      <c r="L2022" s="131"/>
      <c r="M2022" s="131"/>
      <c r="N2022" s="131"/>
    </row>
    <row r="2023" spans="1:14" hidden="1">
      <c r="A2023" s="100" t="s">
        <v>862</v>
      </c>
      <c r="B2023" s="101" t="s">
        <v>3555</v>
      </c>
      <c r="C2023" s="99" t="s">
        <v>3556</v>
      </c>
      <c r="D2023" s="38"/>
      <c r="E2023" s="42">
        <v>1</v>
      </c>
      <c r="F2023" s="9"/>
      <c r="G2023" s="8">
        <f t="shared" si="72"/>
        <v>7.7453250000000002</v>
      </c>
      <c r="H2023" s="188">
        <v>7.3765000000000001</v>
      </c>
      <c r="I2023" s="19">
        <f t="shared" ref="I2023:I2086" si="73">G2023*F2023</f>
        <v>0</v>
      </c>
      <c r="L2023" s="131"/>
      <c r="M2023" s="131"/>
      <c r="N2023" s="131"/>
    </row>
    <row r="2024" spans="1:14" hidden="1">
      <c r="A2024" s="100" t="s">
        <v>862</v>
      </c>
      <c r="B2024" s="101" t="s">
        <v>3557</v>
      </c>
      <c r="C2024" s="99" t="s">
        <v>3558</v>
      </c>
      <c r="D2024" s="38"/>
      <c r="E2024" s="42">
        <v>1</v>
      </c>
      <c r="F2024" s="9"/>
      <c r="G2024" s="8">
        <f t="shared" si="72"/>
        <v>9.0898500000000002</v>
      </c>
      <c r="H2024" s="188">
        <v>8.657</v>
      </c>
      <c r="I2024" s="19">
        <f t="shared" si="73"/>
        <v>0</v>
      </c>
      <c r="L2024" s="131"/>
      <c r="M2024" s="131"/>
      <c r="N2024" s="131"/>
    </row>
    <row r="2025" spans="1:14" hidden="1">
      <c r="A2025" s="100" t="s">
        <v>862</v>
      </c>
      <c r="B2025" s="101" t="s">
        <v>3559</v>
      </c>
      <c r="C2025" s="99" t="s">
        <v>3560</v>
      </c>
      <c r="D2025" s="38"/>
      <c r="E2025" s="42">
        <v>1</v>
      </c>
      <c r="F2025" s="9"/>
      <c r="G2025" s="8">
        <f t="shared" si="72"/>
        <v>10.434900000000001</v>
      </c>
      <c r="H2025" s="188">
        <v>9.9380000000000006</v>
      </c>
      <c r="I2025" s="19">
        <f t="shared" si="73"/>
        <v>0</v>
      </c>
      <c r="L2025" s="131"/>
      <c r="M2025" s="131"/>
      <c r="N2025" s="131"/>
    </row>
    <row r="2026" spans="1:14" hidden="1">
      <c r="A2026" s="100" t="s">
        <v>862</v>
      </c>
      <c r="B2026" s="101" t="s">
        <v>3561</v>
      </c>
      <c r="C2026" s="99" t="s">
        <v>3562</v>
      </c>
      <c r="D2026" s="38"/>
      <c r="E2026" s="42">
        <v>1</v>
      </c>
      <c r="F2026" s="9"/>
      <c r="G2026" s="8">
        <f t="shared" si="72"/>
        <v>11.779425</v>
      </c>
      <c r="H2026" s="188">
        <v>11.218500000000001</v>
      </c>
      <c r="I2026" s="19">
        <f t="shared" si="73"/>
        <v>0</v>
      </c>
      <c r="L2026" s="131"/>
      <c r="M2026" s="131"/>
      <c r="N2026" s="131"/>
    </row>
    <row r="2027" spans="1:14" hidden="1">
      <c r="A2027" s="100" t="s">
        <v>862</v>
      </c>
      <c r="B2027" s="101" t="s">
        <v>3563</v>
      </c>
      <c r="C2027" s="99" t="s">
        <v>3564</v>
      </c>
      <c r="D2027" s="38"/>
      <c r="E2027" s="42">
        <v>1</v>
      </c>
      <c r="F2027" s="9"/>
      <c r="G2027" s="8">
        <f t="shared" si="72"/>
        <v>13.123950000000001</v>
      </c>
      <c r="H2027" s="188">
        <v>12.499000000000001</v>
      </c>
      <c r="I2027" s="19">
        <f t="shared" si="73"/>
        <v>0</v>
      </c>
      <c r="L2027" s="131"/>
      <c r="M2027" s="131"/>
      <c r="N2027" s="131"/>
    </row>
    <row r="2028" spans="1:14" hidden="1">
      <c r="A2028" s="100" t="s">
        <v>862</v>
      </c>
      <c r="B2028" s="101" t="s">
        <v>3565</v>
      </c>
      <c r="C2028" s="99" t="s">
        <v>3566</v>
      </c>
      <c r="D2028" s="38"/>
      <c r="E2028" s="42">
        <v>1</v>
      </c>
      <c r="F2028" s="9"/>
      <c r="G2028" s="8">
        <f t="shared" si="72"/>
        <v>14.468999999999999</v>
      </c>
      <c r="H2028" s="188">
        <v>13.78</v>
      </c>
      <c r="I2028" s="19">
        <f t="shared" si="73"/>
        <v>0</v>
      </c>
      <c r="L2028" s="131"/>
      <c r="M2028" s="131"/>
      <c r="N2028" s="131"/>
    </row>
    <row r="2029" spans="1:14" hidden="1">
      <c r="A2029" s="100" t="s">
        <v>862</v>
      </c>
      <c r="B2029" s="101" t="s">
        <v>3567</v>
      </c>
      <c r="C2029" s="99" t="s">
        <v>3568</v>
      </c>
      <c r="D2029" s="38"/>
      <c r="E2029" s="42">
        <v>1</v>
      </c>
      <c r="F2029" s="9"/>
      <c r="G2029" s="8">
        <f t="shared" si="72"/>
        <v>15.813524999999998</v>
      </c>
      <c r="H2029" s="188">
        <v>15.060499999999999</v>
      </c>
      <c r="I2029" s="19">
        <f t="shared" si="73"/>
        <v>0</v>
      </c>
      <c r="L2029" s="131"/>
      <c r="M2029" s="131"/>
      <c r="N2029" s="131"/>
    </row>
    <row r="2030" spans="1:14" hidden="1">
      <c r="A2030" s="100" t="s">
        <v>862</v>
      </c>
      <c r="B2030" s="101" t="s">
        <v>3569</v>
      </c>
      <c r="C2030" s="99" t="s">
        <v>3570</v>
      </c>
      <c r="D2030" s="38"/>
      <c r="E2030" s="42">
        <v>1</v>
      </c>
      <c r="F2030" s="9"/>
      <c r="G2030" s="8">
        <f t="shared" si="72"/>
        <v>17.158050000000003</v>
      </c>
      <c r="H2030" s="188">
        <v>16.341000000000001</v>
      </c>
      <c r="I2030" s="19">
        <f t="shared" si="73"/>
        <v>0</v>
      </c>
      <c r="L2030" s="131"/>
      <c r="M2030" s="131"/>
      <c r="N2030" s="131"/>
    </row>
    <row r="2031" spans="1:14" hidden="1">
      <c r="A2031" s="100" t="s">
        <v>862</v>
      </c>
      <c r="B2031" s="101" t="s">
        <v>3571</v>
      </c>
      <c r="C2031" s="99" t="s">
        <v>3572</v>
      </c>
      <c r="D2031" s="38"/>
      <c r="E2031" s="42">
        <v>1</v>
      </c>
      <c r="F2031" s="9"/>
      <c r="G2031" s="8">
        <f t="shared" si="72"/>
        <v>18.5031</v>
      </c>
      <c r="H2031" s="188">
        <v>17.622</v>
      </c>
      <c r="I2031" s="19">
        <f t="shared" si="73"/>
        <v>0</v>
      </c>
      <c r="L2031" s="131"/>
      <c r="M2031" s="131"/>
      <c r="N2031" s="131"/>
    </row>
    <row r="2032" spans="1:14" hidden="1">
      <c r="A2032" s="100" t="s">
        <v>862</v>
      </c>
      <c r="B2032" s="101" t="s">
        <v>3573</v>
      </c>
      <c r="C2032" s="99" t="s">
        <v>3574</v>
      </c>
      <c r="D2032" s="38"/>
      <c r="E2032" s="42">
        <v>1</v>
      </c>
      <c r="F2032" s="9"/>
      <c r="G2032" s="8">
        <f t="shared" si="72"/>
        <v>19.847625000000001</v>
      </c>
      <c r="H2032" s="188">
        <v>18.9025</v>
      </c>
      <c r="I2032" s="19">
        <f t="shared" si="73"/>
        <v>0</v>
      </c>
      <c r="L2032" s="131"/>
      <c r="M2032" s="131"/>
      <c r="N2032" s="131"/>
    </row>
    <row r="2033" spans="1:14" hidden="1">
      <c r="A2033" s="100" t="s">
        <v>862</v>
      </c>
      <c r="B2033" s="101" t="s">
        <v>3575</v>
      </c>
      <c r="C2033" s="99" t="s">
        <v>3576</v>
      </c>
      <c r="D2033" s="38"/>
      <c r="E2033" s="42">
        <v>1</v>
      </c>
      <c r="F2033" s="9"/>
      <c r="G2033" s="8">
        <f t="shared" si="72"/>
        <v>21.192149999999998</v>
      </c>
      <c r="H2033" s="188">
        <v>20.183</v>
      </c>
      <c r="I2033" s="19">
        <f t="shared" si="73"/>
        <v>0</v>
      </c>
      <c r="L2033" s="131"/>
      <c r="M2033" s="131"/>
      <c r="N2033" s="131"/>
    </row>
    <row r="2034" spans="1:14" hidden="1">
      <c r="A2034" s="100" t="s">
        <v>862</v>
      </c>
      <c r="B2034" s="101" t="s">
        <v>3577</v>
      </c>
      <c r="C2034" s="99" t="s">
        <v>3578</v>
      </c>
      <c r="D2034" s="38"/>
      <c r="E2034" s="42">
        <v>1</v>
      </c>
      <c r="F2034" s="9"/>
      <c r="G2034" s="8">
        <f t="shared" si="72"/>
        <v>22.537199999999999</v>
      </c>
      <c r="H2034" s="188">
        <v>21.463999999999999</v>
      </c>
      <c r="I2034" s="19">
        <f t="shared" si="73"/>
        <v>0</v>
      </c>
      <c r="L2034" s="131"/>
      <c r="M2034" s="131"/>
      <c r="N2034" s="131"/>
    </row>
    <row r="2035" spans="1:14" hidden="1">
      <c r="A2035" s="100" t="s">
        <v>862</v>
      </c>
      <c r="B2035" s="101" t="s">
        <v>3579</v>
      </c>
      <c r="C2035" s="99" t="s">
        <v>3580</v>
      </c>
      <c r="D2035" s="38"/>
      <c r="E2035" s="42">
        <v>1</v>
      </c>
      <c r="F2035" s="9"/>
      <c r="G2035" s="8">
        <f t="shared" si="72"/>
        <v>23.881724999999999</v>
      </c>
      <c r="H2035" s="188">
        <v>22.744499999999999</v>
      </c>
      <c r="I2035" s="19">
        <f t="shared" si="73"/>
        <v>0</v>
      </c>
      <c r="L2035" s="131"/>
      <c r="M2035" s="131"/>
      <c r="N2035" s="131"/>
    </row>
    <row r="2036" spans="1:14" hidden="1">
      <c r="A2036" s="100" t="s">
        <v>862</v>
      </c>
      <c r="B2036" s="101" t="s">
        <v>3581</v>
      </c>
      <c r="C2036" s="99" t="s">
        <v>3582</v>
      </c>
      <c r="D2036" s="38"/>
      <c r="E2036" s="42">
        <v>1</v>
      </c>
      <c r="F2036" s="9"/>
      <c r="G2036" s="8">
        <f t="shared" si="72"/>
        <v>6.1393500000000003</v>
      </c>
      <c r="H2036" s="188">
        <v>5.8470000000000004</v>
      </c>
      <c r="I2036" s="19">
        <f t="shared" si="73"/>
        <v>0</v>
      </c>
      <c r="L2036" s="131"/>
      <c r="M2036" s="131"/>
      <c r="N2036" s="131"/>
    </row>
    <row r="2037" spans="1:14" hidden="1">
      <c r="A2037" s="100" t="s">
        <v>862</v>
      </c>
      <c r="B2037" s="101" t="s">
        <v>3583</v>
      </c>
      <c r="C2037" s="99" t="s">
        <v>3584</v>
      </c>
      <c r="D2037" s="38"/>
      <c r="E2037" s="42">
        <v>1</v>
      </c>
      <c r="F2037" s="9"/>
      <c r="G2037" s="8">
        <f t="shared" si="72"/>
        <v>6.5393999999999997</v>
      </c>
      <c r="H2037" s="188">
        <v>6.2279999999999998</v>
      </c>
      <c r="I2037" s="19">
        <f t="shared" si="73"/>
        <v>0</v>
      </c>
      <c r="L2037" s="131"/>
      <c r="M2037" s="131"/>
      <c r="N2037" s="131"/>
    </row>
    <row r="2038" spans="1:14" hidden="1">
      <c r="A2038" s="100" t="s">
        <v>862</v>
      </c>
      <c r="B2038" s="101" t="s">
        <v>3585</v>
      </c>
      <c r="C2038" s="99" t="s">
        <v>3586</v>
      </c>
      <c r="D2038" s="38"/>
      <c r="E2038" s="42">
        <v>1</v>
      </c>
      <c r="F2038" s="9"/>
      <c r="G2038" s="8">
        <f t="shared" si="72"/>
        <v>7.2229499999999991</v>
      </c>
      <c r="H2038" s="188">
        <v>6.8789999999999996</v>
      </c>
      <c r="I2038" s="19">
        <f t="shared" si="73"/>
        <v>0</v>
      </c>
      <c r="L2038" s="131"/>
      <c r="M2038" s="131"/>
      <c r="N2038" s="131"/>
    </row>
    <row r="2039" spans="1:14" hidden="1">
      <c r="A2039" s="100" t="s">
        <v>862</v>
      </c>
      <c r="B2039" s="101" t="s">
        <v>3587</v>
      </c>
      <c r="C2039" s="99" t="s">
        <v>3588</v>
      </c>
      <c r="D2039" s="38"/>
      <c r="E2039" s="42">
        <v>1</v>
      </c>
      <c r="F2039" s="9"/>
      <c r="G2039" s="8">
        <f t="shared" si="72"/>
        <v>7.9059749999999998</v>
      </c>
      <c r="H2039" s="188">
        <v>7.5294999999999996</v>
      </c>
      <c r="I2039" s="19">
        <f t="shared" si="73"/>
        <v>0</v>
      </c>
      <c r="L2039" s="131"/>
      <c r="M2039" s="131"/>
      <c r="N2039" s="131"/>
    </row>
    <row r="2040" spans="1:14" hidden="1">
      <c r="A2040" s="100" t="s">
        <v>862</v>
      </c>
      <c r="B2040" s="101" t="s">
        <v>3589</v>
      </c>
      <c r="C2040" s="99" t="s">
        <v>3590</v>
      </c>
      <c r="D2040" s="38"/>
      <c r="E2040" s="42">
        <v>1</v>
      </c>
      <c r="F2040" s="9"/>
      <c r="G2040" s="8">
        <f t="shared" si="72"/>
        <v>8.5890000000000004</v>
      </c>
      <c r="H2040" s="188">
        <v>8.18</v>
      </c>
      <c r="I2040" s="19">
        <f t="shared" si="73"/>
        <v>0</v>
      </c>
      <c r="L2040" s="131"/>
      <c r="M2040" s="131"/>
      <c r="N2040" s="131"/>
    </row>
    <row r="2041" spans="1:14" hidden="1">
      <c r="A2041" s="100" t="s">
        <v>862</v>
      </c>
      <c r="B2041" s="101" t="s">
        <v>3591</v>
      </c>
      <c r="C2041" s="99" t="s">
        <v>3592</v>
      </c>
      <c r="D2041" s="38"/>
      <c r="E2041" s="42">
        <v>1</v>
      </c>
      <c r="F2041" s="9"/>
      <c r="G2041" s="8">
        <f t="shared" si="72"/>
        <v>9.272549999999999</v>
      </c>
      <c r="H2041" s="188">
        <v>8.8309999999999995</v>
      </c>
      <c r="I2041" s="19">
        <f t="shared" si="73"/>
        <v>0</v>
      </c>
      <c r="L2041" s="131"/>
      <c r="M2041" s="131"/>
      <c r="N2041" s="131"/>
    </row>
    <row r="2042" spans="1:14" hidden="1">
      <c r="A2042" s="100" t="s">
        <v>862</v>
      </c>
      <c r="B2042" s="101" t="s">
        <v>3593</v>
      </c>
      <c r="C2042" s="99" t="s">
        <v>3594</v>
      </c>
      <c r="D2042" s="38"/>
      <c r="E2042" s="42">
        <v>1</v>
      </c>
      <c r="F2042" s="9"/>
      <c r="G2042" s="8">
        <f t="shared" si="72"/>
        <v>10.6386</v>
      </c>
      <c r="H2042" s="188">
        <v>10.132</v>
      </c>
      <c r="I2042" s="19">
        <f t="shared" si="73"/>
        <v>0</v>
      </c>
      <c r="L2042" s="131"/>
      <c r="M2042" s="131"/>
      <c r="N2042" s="131"/>
    </row>
    <row r="2043" spans="1:14" hidden="1">
      <c r="A2043" s="100" t="s">
        <v>862</v>
      </c>
      <c r="B2043" s="101" t="s">
        <v>3595</v>
      </c>
      <c r="C2043" s="99" t="s">
        <v>3596</v>
      </c>
      <c r="D2043" s="38"/>
      <c r="E2043" s="42">
        <v>1</v>
      </c>
      <c r="F2043" s="9"/>
      <c r="G2043" s="8">
        <f t="shared" si="72"/>
        <v>11.322149999999999</v>
      </c>
      <c r="H2043" s="188">
        <v>10.782999999999999</v>
      </c>
      <c r="I2043" s="19">
        <f t="shared" si="73"/>
        <v>0</v>
      </c>
      <c r="L2043" s="131"/>
      <c r="M2043" s="131"/>
      <c r="N2043" s="131"/>
    </row>
    <row r="2044" spans="1:14" hidden="1">
      <c r="A2044" s="100" t="s">
        <v>862</v>
      </c>
      <c r="B2044" s="101" t="s">
        <v>3597</v>
      </c>
      <c r="C2044" s="99" t="s">
        <v>3598</v>
      </c>
      <c r="D2044" s="38"/>
      <c r="E2044" s="42">
        <v>1</v>
      </c>
      <c r="F2044" s="9"/>
      <c r="G2044" s="8">
        <f t="shared" si="72"/>
        <v>11.995725</v>
      </c>
      <c r="H2044" s="188">
        <v>11.4245</v>
      </c>
      <c r="I2044" s="19">
        <f t="shared" si="73"/>
        <v>0</v>
      </c>
      <c r="L2044" s="131"/>
      <c r="M2044" s="131"/>
      <c r="N2044" s="131"/>
    </row>
    <row r="2045" spans="1:14" hidden="1">
      <c r="A2045" s="100" t="s">
        <v>862</v>
      </c>
      <c r="B2045" s="101" t="s">
        <v>3599</v>
      </c>
      <c r="C2045" s="99" t="s">
        <v>3600</v>
      </c>
      <c r="D2045" s="38"/>
      <c r="E2045" s="42">
        <v>1</v>
      </c>
      <c r="F2045" s="9"/>
      <c r="G2045" s="8">
        <f t="shared" si="72"/>
        <v>12.688725</v>
      </c>
      <c r="H2045" s="188">
        <v>12.0845</v>
      </c>
      <c r="I2045" s="19">
        <f t="shared" si="73"/>
        <v>0</v>
      </c>
      <c r="L2045" s="131"/>
      <c r="M2045" s="131"/>
      <c r="N2045" s="131"/>
    </row>
    <row r="2046" spans="1:14" hidden="1">
      <c r="A2046" s="100" t="s">
        <v>862</v>
      </c>
      <c r="B2046" s="101" t="s">
        <v>3601</v>
      </c>
      <c r="C2046" s="99" t="s">
        <v>3602</v>
      </c>
      <c r="D2046" s="38"/>
      <c r="E2046" s="42">
        <v>1</v>
      </c>
      <c r="F2046" s="9"/>
      <c r="G2046" s="8">
        <f t="shared" si="72"/>
        <v>13.371749999999999</v>
      </c>
      <c r="H2046" s="188">
        <v>12.734999999999999</v>
      </c>
      <c r="I2046" s="19">
        <f t="shared" si="73"/>
        <v>0</v>
      </c>
      <c r="L2046" s="131"/>
      <c r="M2046" s="131"/>
      <c r="N2046" s="131"/>
    </row>
    <row r="2047" spans="1:14">
      <c r="A2047" s="100" t="s">
        <v>862</v>
      </c>
      <c r="B2047" s="101" t="s">
        <v>3603</v>
      </c>
      <c r="C2047" s="99" t="s">
        <v>3604</v>
      </c>
      <c r="D2047" s="38"/>
      <c r="E2047" s="42">
        <v>1</v>
      </c>
      <c r="F2047" s="9">
        <v>10</v>
      </c>
      <c r="G2047" s="8">
        <f t="shared" si="72"/>
        <v>14.054775000000001</v>
      </c>
      <c r="H2047" s="188">
        <v>13.3855</v>
      </c>
      <c r="I2047" s="19">
        <f t="shared" si="73"/>
        <v>140.54775000000001</v>
      </c>
      <c r="L2047" s="131"/>
      <c r="M2047" s="131"/>
      <c r="N2047" s="131"/>
    </row>
    <row r="2048" spans="1:14" hidden="1">
      <c r="A2048" s="100" t="s">
        <v>862</v>
      </c>
      <c r="B2048" s="101" t="s">
        <v>3605</v>
      </c>
      <c r="C2048" s="99" t="s">
        <v>3606</v>
      </c>
      <c r="D2048" s="38"/>
      <c r="E2048" s="42">
        <v>1</v>
      </c>
      <c r="F2048" s="9"/>
      <c r="G2048" s="8">
        <f t="shared" si="72"/>
        <v>4.3139250000000002</v>
      </c>
      <c r="H2048" s="188">
        <v>4.1085000000000003</v>
      </c>
      <c r="I2048" s="19">
        <f t="shared" si="73"/>
        <v>0</v>
      </c>
      <c r="L2048" s="131"/>
      <c r="M2048" s="131"/>
      <c r="N2048" s="131"/>
    </row>
    <row r="2049" spans="1:14" hidden="1">
      <c r="A2049" s="100" t="s">
        <v>862</v>
      </c>
      <c r="B2049" s="101" t="s">
        <v>3607</v>
      </c>
      <c r="C2049" s="99" t="s">
        <v>3608</v>
      </c>
      <c r="D2049" s="38"/>
      <c r="E2049" s="42">
        <v>1</v>
      </c>
      <c r="F2049" s="9"/>
      <c r="G2049" s="8">
        <f t="shared" si="72"/>
        <v>5.2899000000000003</v>
      </c>
      <c r="H2049" s="188">
        <v>5.0380000000000003</v>
      </c>
      <c r="I2049" s="19">
        <f t="shared" si="73"/>
        <v>0</v>
      </c>
      <c r="L2049" s="131"/>
      <c r="M2049" s="131"/>
      <c r="N2049" s="131"/>
    </row>
    <row r="2050" spans="1:14" hidden="1">
      <c r="A2050" s="100" t="s">
        <v>862</v>
      </c>
      <c r="B2050" s="101" t="s">
        <v>3609</v>
      </c>
      <c r="C2050" s="99" t="s">
        <v>3610</v>
      </c>
      <c r="D2050" s="38"/>
      <c r="E2050" s="42">
        <v>1</v>
      </c>
      <c r="F2050" s="9"/>
      <c r="G2050" s="8">
        <f t="shared" si="72"/>
        <v>6.2464499999999994</v>
      </c>
      <c r="H2050" s="188">
        <v>5.9489999999999998</v>
      </c>
      <c r="I2050" s="19">
        <f t="shared" si="73"/>
        <v>0</v>
      </c>
      <c r="L2050" s="131"/>
      <c r="M2050" s="131"/>
      <c r="N2050" s="131"/>
    </row>
    <row r="2051" spans="1:14" hidden="1">
      <c r="A2051" s="100" t="s">
        <v>862</v>
      </c>
      <c r="B2051" s="101" t="s">
        <v>3611</v>
      </c>
      <c r="C2051" s="99" t="s">
        <v>3612</v>
      </c>
      <c r="D2051" s="38"/>
      <c r="E2051" s="42">
        <v>1</v>
      </c>
      <c r="F2051" s="9"/>
      <c r="G2051" s="8">
        <f t="shared" si="72"/>
        <v>7.2229499999999991</v>
      </c>
      <c r="H2051" s="188">
        <v>6.8789999999999996</v>
      </c>
      <c r="I2051" s="19">
        <f t="shared" si="73"/>
        <v>0</v>
      </c>
      <c r="L2051" s="131"/>
      <c r="M2051" s="131"/>
      <c r="N2051" s="131"/>
    </row>
    <row r="2052" spans="1:14" hidden="1">
      <c r="A2052" s="100" t="s">
        <v>862</v>
      </c>
      <c r="B2052" s="101" t="s">
        <v>3613</v>
      </c>
      <c r="C2052" s="99" t="s">
        <v>3614</v>
      </c>
      <c r="D2052" s="38"/>
      <c r="E2052" s="42">
        <v>1</v>
      </c>
      <c r="F2052" s="9"/>
      <c r="G2052" s="8">
        <f t="shared" si="72"/>
        <v>8.1989250000000009</v>
      </c>
      <c r="H2052" s="188">
        <v>7.8085000000000004</v>
      </c>
      <c r="I2052" s="19">
        <f t="shared" si="73"/>
        <v>0</v>
      </c>
      <c r="L2052" s="131"/>
      <c r="M2052" s="131"/>
      <c r="N2052" s="131"/>
    </row>
    <row r="2053" spans="1:14" hidden="1">
      <c r="A2053" s="100" t="s">
        <v>862</v>
      </c>
      <c r="B2053" s="101" t="s">
        <v>3615</v>
      </c>
      <c r="C2053" s="99" t="s">
        <v>3616</v>
      </c>
      <c r="D2053" s="38"/>
      <c r="E2053" s="42">
        <v>1</v>
      </c>
      <c r="F2053" s="9"/>
      <c r="G2053" s="8">
        <f t="shared" si="72"/>
        <v>9.1748999999999992</v>
      </c>
      <c r="H2053" s="188">
        <v>8.7379999999999995</v>
      </c>
      <c r="I2053" s="19">
        <f t="shared" si="73"/>
        <v>0</v>
      </c>
      <c r="L2053" s="131"/>
      <c r="M2053" s="131"/>
      <c r="N2053" s="131"/>
    </row>
    <row r="2054" spans="1:14" hidden="1">
      <c r="A2054" s="100" t="s">
        <v>862</v>
      </c>
      <c r="B2054" s="101" t="s">
        <v>3617</v>
      </c>
      <c r="C2054" s="99" t="s">
        <v>3618</v>
      </c>
      <c r="D2054" s="38"/>
      <c r="E2054" s="42">
        <v>1</v>
      </c>
      <c r="F2054" s="9"/>
      <c r="G2054" s="8">
        <f t="shared" si="72"/>
        <v>10.150875000000001</v>
      </c>
      <c r="H2054" s="188">
        <v>9.6675000000000004</v>
      </c>
      <c r="I2054" s="19">
        <f t="shared" si="73"/>
        <v>0</v>
      </c>
      <c r="L2054" s="131"/>
      <c r="M2054" s="131"/>
      <c r="N2054" s="131"/>
    </row>
    <row r="2055" spans="1:14" hidden="1">
      <c r="A2055" s="100" t="s">
        <v>862</v>
      </c>
      <c r="B2055" s="101" t="s">
        <v>3619</v>
      </c>
      <c r="C2055" s="99" t="s">
        <v>3620</v>
      </c>
      <c r="D2055" s="38"/>
      <c r="E2055" s="42">
        <v>1</v>
      </c>
      <c r="F2055" s="9"/>
      <c r="G2055" s="8">
        <f t="shared" si="72"/>
        <v>11.126849999999999</v>
      </c>
      <c r="H2055" s="188">
        <v>10.597</v>
      </c>
      <c r="I2055" s="19">
        <f t="shared" si="73"/>
        <v>0</v>
      </c>
      <c r="L2055" s="131"/>
      <c r="M2055" s="131"/>
      <c r="N2055" s="131"/>
    </row>
    <row r="2056" spans="1:14" hidden="1">
      <c r="A2056" s="100" t="s">
        <v>862</v>
      </c>
      <c r="B2056" s="101" t="s">
        <v>3621</v>
      </c>
      <c r="C2056" s="99" t="s">
        <v>3622</v>
      </c>
      <c r="D2056" s="38"/>
      <c r="E2056" s="42">
        <v>1</v>
      </c>
      <c r="F2056" s="9"/>
      <c r="G2056" s="8">
        <f t="shared" si="72"/>
        <v>12.102825000000001</v>
      </c>
      <c r="H2056" s="188">
        <v>11.5265</v>
      </c>
      <c r="I2056" s="19">
        <f t="shared" si="73"/>
        <v>0</v>
      </c>
      <c r="L2056" s="131"/>
      <c r="M2056" s="131"/>
      <c r="N2056" s="131"/>
    </row>
    <row r="2057" spans="1:14" hidden="1">
      <c r="A2057" s="100" t="s">
        <v>862</v>
      </c>
      <c r="B2057" s="101" t="s">
        <v>3623</v>
      </c>
      <c r="C2057" s="99" t="s">
        <v>3624</v>
      </c>
      <c r="D2057" s="38"/>
      <c r="E2057" s="42">
        <v>1</v>
      </c>
      <c r="F2057" s="9"/>
      <c r="G2057" s="8">
        <f t="shared" si="72"/>
        <v>13.078799999999999</v>
      </c>
      <c r="H2057" s="188">
        <v>12.456</v>
      </c>
      <c r="I2057" s="19">
        <f t="shared" si="73"/>
        <v>0</v>
      </c>
      <c r="L2057" s="131"/>
      <c r="M2057" s="131"/>
      <c r="N2057" s="131"/>
    </row>
    <row r="2058" spans="1:14" hidden="1">
      <c r="A2058" s="100" t="s">
        <v>862</v>
      </c>
      <c r="B2058" s="101" t="s">
        <v>3625</v>
      </c>
      <c r="C2058" s="99" t="s">
        <v>3626</v>
      </c>
      <c r="D2058" s="38"/>
      <c r="E2058" s="42">
        <v>1</v>
      </c>
      <c r="F2058" s="9"/>
      <c r="G2058" s="8">
        <f t="shared" si="72"/>
        <v>14.054775000000001</v>
      </c>
      <c r="H2058" s="188">
        <v>13.3855</v>
      </c>
      <c r="I2058" s="19">
        <f t="shared" si="73"/>
        <v>0</v>
      </c>
      <c r="L2058" s="131"/>
      <c r="M2058" s="131"/>
      <c r="N2058" s="131"/>
    </row>
    <row r="2059" spans="1:14" hidden="1">
      <c r="A2059" s="100" t="s">
        <v>862</v>
      </c>
      <c r="B2059" s="101" t="s">
        <v>3627</v>
      </c>
      <c r="C2059" s="99" t="s">
        <v>3628</v>
      </c>
      <c r="D2059" s="38"/>
      <c r="E2059" s="42">
        <v>1</v>
      </c>
      <c r="F2059" s="9"/>
      <c r="G2059" s="8">
        <f t="shared" si="72"/>
        <v>15.031275000000001</v>
      </c>
      <c r="H2059" s="188">
        <v>14.3155</v>
      </c>
      <c r="I2059" s="19">
        <f t="shared" si="73"/>
        <v>0</v>
      </c>
      <c r="L2059" s="131"/>
      <c r="M2059" s="131"/>
      <c r="N2059" s="131"/>
    </row>
    <row r="2060" spans="1:14" hidden="1">
      <c r="A2060" s="100" t="s">
        <v>862</v>
      </c>
      <c r="B2060" s="101" t="s">
        <v>3629</v>
      </c>
      <c r="C2060" s="99" t="s">
        <v>3630</v>
      </c>
      <c r="D2060" s="38"/>
      <c r="E2060" s="42">
        <v>1</v>
      </c>
      <c r="F2060" s="9"/>
      <c r="G2060" s="8">
        <f t="shared" si="72"/>
        <v>16.007249999999999</v>
      </c>
      <c r="H2060" s="188">
        <v>15.244999999999999</v>
      </c>
      <c r="I2060" s="19">
        <f t="shared" si="73"/>
        <v>0</v>
      </c>
      <c r="L2060" s="131"/>
      <c r="M2060" s="131"/>
      <c r="N2060" s="131"/>
    </row>
    <row r="2061" spans="1:14" hidden="1">
      <c r="A2061" s="100" t="s">
        <v>862</v>
      </c>
      <c r="B2061" s="101" t="s">
        <v>3631</v>
      </c>
      <c r="C2061" s="99" t="s">
        <v>3632</v>
      </c>
      <c r="D2061" s="38"/>
      <c r="E2061" s="42">
        <v>1</v>
      </c>
      <c r="F2061" s="9"/>
      <c r="G2061" s="8">
        <f t="shared" si="72"/>
        <v>16.983224999999997</v>
      </c>
      <c r="H2061" s="188">
        <v>16.174499999999998</v>
      </c>
      <c r="I2061" s="19">
        <f t="shared" si="73"/>
        <v>0</v>
      </c>
      <c r="L2061" s="131"/>
      <c r="M2061" s="131"/>
      <c r="N2061" s="131"/>
    </row>
    <row r="2062" spans="1:14" hidden="1">
      <c r="A2062" s="100" t="s">
        <v>862</v>
      </c>
      <c r="B2062" s="101" t="s">
        <v>3633</v>
      </c>
      <c r="C2062" s="99" t="s">
        <v>3634</v>
      </c>
      <c r="D2062" s="38"/>
      <c r="E2062" s="42">
        <v>1</v>
      </c>
      <c r="F2062" s="9"/>
      <c r="G2062" s="8">
        <f t="shared" si="72"/>
        <v>17.959199999999999</v>
      </c>
      <c r="H2062" s="188">
        <v>17.103999999999999</v>
      </c>
      <c r="I2062" s="19">
        <f t="shared" si="73"/>
        <v>0</v>
      </c>
      <c r="L2062" s="131"/>
      <c r="M2062" s="131"/>
      <c r="N2062" s="131"/>
    </row>
    <row r="2063" spans="1:14" hidden="1">
      <c r="A2063" s="100" t="s">
        <v>862</v>
      </c>
      <c r="B2063" s="101" t="s">
        <v>3635</v>
      </c>
      <c r="C2063" s="99" t="s">
        <v>3636</v>
      </c>
      <c r="D2063" s="38"/>
      <c r="E2063" s="42">
        <v>1</v>
      </c>
      <c r="F2063" s="9"/>
      <c r="G2063" s="8">
        <f t="shared" si="72"/>
        <v>3.7490250000000001</v>
      </c>
      <c r="H2063" s="188">
        <v>3.5705</v>
      </c>
      <c r="I2063" s="19">
        <f t="shared" si="73"/>
        <v>0</v>
      </c>
      <c r="L2063" s="131"/>
      <c r="M2063" s="131"/>
      <c r="N2063" s="131"/>
    </row>
    <row r="2064" spans="1:14" hidden="1">
      <c r="A2064" s="100" t="s">
        <v>862</v>
      </c>
      <c r="B2064" s="101" t="s">
        <v>3637</v>
      </c>
      <c r="C2064" s="99" t="s">
        <v>3638</v>
      </c>
      <c r="D2064" s="38"/>
      <c r="E2064" s="42">
        <v>1</v>
      </c>
      <c r="F2064" s="9"/>
      <c r="G2064" s="8">
        <f t="shared" si="72"/>
        <v>4.5974249999999994</v>
      </c>
      <c r="H2064" s="188">
        <v>4.3784999999999998</v>
      </c>
      <c r="I2064" s="19">
        <f t="shared" si="73"/>
        <v>0</v>
      </c>
      <c r="L2064" s="131"/>
      <c r="M2064" s="131"/>
      <c r="N2064" s="131"/>
    </row>
    <row r="2065" spans="1:14" hidden="1">
      <c r="A2065" s="100" t="s">
        <v>862</v>
      </c>
      <c r="B2065" s="101" t="s">
        <v>3639</v>
      </c>
      <c r="C2065" s="99" t="s">
        <v>3640</v>
      </c>
      <c r="D2065" s="38"/>
      <c r="E2065" s="42">
        <v>1</v>
      </c>
      <c r="F2065" s="9"/>
      <c r="G2065" s="8">
        <f t="shared" si="72"/>
        <v>5.4284999999999997</v>
      </c>
      <c r="H2065" s="188">
        <v>5.17</v>
      </c>
      <c r="I2065" s="19">
        <f t="shared" si="73"/>
        <v>0</v>
      </c>
      <c r="L2065" s="131"/>
      <c r="M2065" s="131"/>
      <c r="N2065" s="131"/>
    </row>
    <row r="2066" spans="1:14" hidden="1">
      <c r="A2066" s="100" t="s">
        <v>862</v>
      </c>
      <c r="B2066" s="101" t="s">
        <v>3641</v>
      </c>
      <c r="C2066" s="99" t="s">
        <v>3642</v>
      </c>
      <c r="D2066" s="38"/>
      <c r="E2066" s="42">
        <v>1</v>
      </c>
      <c r="F2066" s="9"/>
      <c r="G2066" s="8">
        <f t="shared" si="72"/>
        <v>6.2768999999999995</v>
      </c>
      <c r="H2066" s="188">
        <v>5.9779999999999998</v>
      </c>
      <c r="I2066" s="19">
        <f t="shared" si="73"/>
        <v>0</v>
      </c>
      <c r="L2066" s="131"/>
      <c r="M2066" s="131"/>
      <c r="N2066" s="131"/>
    </row>
    <row r="2067" spans="1:14" hidden="1">
      <c r="A2067" s="100" t="s">
        <v>862</v>
      </c>
      <c r="B2067" s="101" t="s">
        <v>3643</v>
      </c>
      <c r="C2067" s="99" t="s">
        <v>3644</v>
      </c>
      <c r="D2067" s="38"/>
      <c r="E2067" s="42">
        <v>1</v>
      </c>
      <c r="F2067" s="9"/>
      <c r="G2067" s="8">
        <f t="shared" si="72"/>
        <v>7.1252999999999993</v>
      </c>
      <c r="H2067" s="188">
        <v>6.7859999999999996</v>
      </c>
      <c r="I2067" s="19">
        <f t="shared" si="73"/>
        <v>0</v>
      </c>
      <c r="L2067" s="131"/>
      <c r="M2067" s="131"/>
      <c r="N2067" s="131"/>
    </row>
    <row r="2068" spans="1:14" hidden="1">
      <c r="A2068" s="100" t="s">
        <v>862</v>
      </c>
      <c r="B2068" s="101" t="s">
        <v>3645</v>
      </c>
      <c r="C2068" s="99" t="s">
        <v>3646</v>
      </c>
      <c r="D2068" s="38"/>
      <c r="E2068" s="42">
        <v>1</v>
      </c>
      <c r="F2068" s="9"/>
      <c r="G2068" s="8">
        <f t="shared" si="72"/>
        <v>7.9737</v>
      </c>
      <c r="H2068" s="188">
        <v>7.5940000000000003</v>
      </c>
      <c r="I2068" s="19">
        <f t="shared" si="73"/>
        <v>0</v>
      </c>
      <c r="L2068" s="131"/>
      <c r="M2068" s="131"/>
      <c r="N2068" s="131"/>
    </row>
    <row r="2069" spans="1:14" hidden="1">
      <c r="A2069" s="100" t="s">
        <v>862</v>
      </c>
      <c r="B2069" s="101" t="s">
        <v>3647</v>
      </c>
      <c r="C2069" s="99" t="s">
        <v>3648</v>
      </c>
      <c r="D2069" s="38"/>
      <c r="E2069" s="42">
        <v>1</v>
      </c>
      <c r="F2069" s="9"/>
      <c r="G2069" s="8">
        <f t="shared" si="72"/>
        <v>8.8215750000000011</v>
      </c>
      <c r="H2069" s="188">
        <v>8.4015000000000004</v>
      </c>
      <c r="I2069" s="19">
        <f t="shared" si="73"/>
        <v>0</v>
      </c>
      <c r="L2069" s="131"/>
      <c r="M2069" s="131"/>
      <c r="N2069" s="131"/>
    </row>
    <row r="2070" spans="1:14" hidden="1">
      <c r="A2070" s="100" t="s">
        <v>862</v>
      </c>
      <c r="B2070" s="101" t="s">
        <v>3649</v>
      </c>
      <c r="C2070" s="99" t="s">
        <v>3650</v>
      </c>
      <c r="D2070" s="38"/>
      <c r="E2070" s="42">
        <v>1</v>
      </c>
      <c r="F2070" s="9"/>
      <c r="G2070" s="8">
        <f t="shared" si="72"/>
        <v>9.6699750000000009</v>
      </c>
      <c r="H2070" s="188">
        <v>9.2095000000000002</v>
      </c>
      <c r="I2070" s="19">
        <f t="shared" si="73"/>
        <v>0</v>
      </c>
      <c r="L2070" s="131"/>
      <c r="M2070" s="131"/>
      <c r="N2070" s="131"/>
    </row>
    <row r="2071" spans="1:14" hidden="1">
      <c r="A2071" s="100" t="s">
        <v>862</v>
      </c>
      <c r="B2071" s="101" t="s">
        <v>3651</v>
      </c>
      <c r="C2071" s="99" t="s">
        <v>3652</v>
      </c>
      <c r="D2071" s="38"/>
      <c r="E2071" s="42">
        <v>1</v>
      </c>
      <c r="F2071" s="9"/>
      <c r="G2071" s="8">
        <f t="shared" si="72"/>
        <v>10.518375000000001</v>
      </c>
      <c r="H2071" s="188">
        <v>10.0175</v>
      </c>
      <c r="I2071" s="19">
        <f t="shared" si="73"/>
        <v>0</v>
      </c>
      <c r="L2071" s="131"/>
      <c r="M2071" s="131"/>
      <c r="N2071" s="131"/>
    </row>
    <row r="2072" spans="1:14" hidden="1">
      <c r="A2072" s="100" t="s">
        <v>862</v>
      </c>
      <c r="B2072" s="101" t="s">
        <v>3653</v>
      </c>
      <c r="C2072" s="99" t="s">
        <v>3654</v>
      </c>
      <c r="D2072" s="38"/>
      <c r="E2072" s="42">
        <v>1</v>
      </c>
      <c r="F2072" s="9"/>
      <c r="G2072" s="8">
        <f t="shared" si="72"/>
        <v>11.366249999999999</v>
      </c>
      <c r="H2072" s="188">
        <v>10.824999999999999</v>
      </c>
      <c r="I2072" s="19">
        <f t="shared" si="73"/>
        <v>0</v>
      </c>
      <c r="L2072" s="131"/>
      <c r="M2072" s="131"/>
      <c r="N2072" s="131"/>
    </row>
    <row r="2073" spans="1:14" hidden="1">
      <c r="A2073" s="100" t="s">
        <v>862</v>
      </c>
      <c r="B2073" s="101" t="s">
        <v>3655</v>
      </c>
      <c r="C2073" s="99" t="s">
        <v>3656</v>
      </c>
      <c r="D2073" s="38"/>
      <c r="E2073" s="42">
        <v>1</v>
      </c>
      <c r="F2073" s="9"/>
      <c r="G2073" s="8">
        <f t="shared" si="72"/>
        <v>12.214649999999999</v>
      </c>
      <c r="H2073" s="188">
        <v>11.632999999999999</v>
      </c>
      <c r="I2073" s="19">
        <f t="shared" si="73"/>
        <v>0</v>
      </c>
      <c r="L2073" s="131"/>
      <c r="M2073" s="131"/>
      <c r="N2073" s="131"/>
    </row>
    <row r="2074" spans="1:14" hidden="1">
      <c r="A2074" s="100" t="s">
        <v>862</v>
      </c>
      <c r="B2074" s="102" t="s">
        <v>3657</v>
      </c>
      <c r="C2074" s="103" t="s">
        <v>3658</v>
      </c>
      <c r="D2074" s="38"/>
      <c r="E2074" s="42">
        <v>1</v>
      </c>
      <c r="F2074" s="9"/>
      <c r="G2074" s="8">
        <f t="shared" si="72"/>
        <v>13.06305</v>
      </c>
      <c r="H2074" s="188">
        <v>12.441000000000001</v>
      </c>
      <c r="I2074" s="19">
        <f t="shared" si="73"/>
        <v>0</v>
      </c>
      <c r="L2074" s="131"/>
      <c r="M2074" s="131"/>
      <c r="N2074" s="131"/>
    </row>
    <row r="2075" spans="1:14" hidden="1">
      <c r="A2075" s="100" t="s">
        <v>862</v>
      </c>
      <c r="B2075" s="101" t="s">
        <v>3659</v>
      </c>
      <c r="C2075" s="99" t="s">
        <v>3660</v>
      </c>
      <c r="D2075" s="38"/>
      <c r="E2075" s="42">
        <v>1</v>
      </c>
      <c r="F2075" s="9"/>
      <c r="G2075" s="8">
        <f t="shared" si="72"/>
        <v>13.910925000000001</v>
      </c>
      <c r="H2075" s="188">
        <v>13.2485</v>
      </c>
      <c r="I2075" s="19">
        <f t="shared" si="73"/>
        <v>0</v>
      </c>
      <c r="L2075" s="131"/>
      <c r="M2075" s="131"/>
      <c r="N2075" s="131"/>
    </row>
    <row r="2076" spans="1:14" hidden="1">
      <c r="A2076" s="100" t="s">
        <v>862</v>
      </c>
      <c r="B2076" s="101" t="s">
        <v>3661</v>
      </c>
      <c r="C2076" s="99" t="s">
        <v>3662</v>
      </c>
      <c r="D2076" s="38"/>
      <c r="E2076" s="42">
        <v>1</v>
      </c>
      <c r="F2076" s="9"/>
      <c r="G2076" s="8">
        <f t="shared" si="72"/>
        <v>14.759325</v>
      </c>
      <c r="H2076" s="188">
        <v>14.0565</v>
      </c>
      <c r="I2076" s="19">
        <f t="shared" si="73"/>
        <v>0</v>
      </c>
      <c r="L2076" s="131"/>
      <c r="M2076" s="131"/>
      <c r="N2076" s="131"/>
    </row>
    <row r="2077" spans="1:14" hidden="1">
      <c r="A2077" s="100" t="s">
        <v>862</v>
      </c>
      <c r="B2077" s="101" t="s">
        <v>3663</v>
      </c>
      <c r="C2077" s="99" t="s">
        <v>3664</v>
      </c>
      <c r="D2077" s="38"/>
      <c r="E2077" s="42">
        <v>1</v>
      </c>
      <c r="F2077" s="9"/>
      <c r="G2077" s="8">
        <f t="shared" si="72"/>
        <v>15.607725</v>
      </c>
      <c r="H2077" s="188">
        <v>14.8645</v>
      </c>
      <c r="I2077" s="19">
        <f t="shared" si="73"/>
        <v>0</v>
      </c>
      <c r="L2077" s="131"/>
      <c r="M2077" s="131"/>
      <c r="N2077" s="131"/>
    </row>
    <row r="2078" spans="1:14" hidden="1">
      <c r="A2078" s="100" t="s">
        <v>862</v>
      </c>
      <c r="B2078" s="101" t="s">
        <v>3665</v>
      </c>
      <c r="C2078" s="99" t="s">
        <v>3666</v>
      </c>
      <c r="D2078" s="38"/>
      <c r="E2078" s="42">
        <v>1</v>
      </c>
      <c r="F2078" s="9"/>
      <c r="G2078" s="8">
        <f t="shared" si="72"/>
        <v>9.1497000000000011</v>
      </c>
      <c r="H2078" s="188">
        <v>8.7140000000000004</v>
      </c>
      <c r="I2078" s="19">
        <f t="shared" si="73"/>
        <v>0</v>
      </c>
      <c r="L2078" s="131"/>
      <c r="M2078" s="131"/>
      <c r="N2078" s="131"/>
    </row>
    <row r="2079" spans="1:14" hidden="1">
      <c r="A2079" s="100" t="s">
        <v>862</v>
      </c>
      <c r="B2079" s="101" t="s">
        <v>3667</v>
      </c>
      <c r="C2079" s="99" t="s">
        <v>3668</v>
      </c>
      <c r="D2079" s="38"/>
      <c r="E2079" s="42">
        <v>1</v>
      </c>
      <c r="F2079" s="9"/>
      <c r="G2079" s="8">
        <f t="shared" si="72"/>
        <v>11.2812</v>
      </c>
      <c r="H2079" s="188">
        <v>10.744</v>
      </c>
      <c r="I2079" s="19">
        <f t="shared" si="73"/>
        <v>0</v>
      </c>
      <c r="L2079" s="131"/>
      <c r="M2079" s="131"/>
      <c r="N2079" s="131"/>
    </row>
    <row r="2080" spans="1:14" hidden="1">
      <c r="A2080" s="100" t="s">
        <v>862</v>
      </c>
      <c r="B2080" s="101" t="s">
        <v>3669</v>
      </c>
      <c r="C2080" s="99" t="s">
        <v>3670</v>
      </c>
      <c r="D2080" s="38"/>
      <c r="E2080" s="42">
        <v>1</v>
      </c>
      <c r="F2080" s="9"/>
      <c r="G2080" s="8">
        <f t="shared" si="72"/>
        <v>14.381325</v>
      </c>
      <c r="H2080" s="188">
        <v>13.6965</v>
      </c>
      <c r="I2080" s="19">
        <f t="shared" si="73"/>
        <v>0</v>
      </c>
      <c r="L2080" s="131"/>
      <c r="M2080" s="131"/>
      <c r="N2080" s="131"/>
    </row>
    <row r="2081" spans="1:14" hidden="1">
      <c r="A2081" s="100" t="s">
        <v>862</v>
      </c>
      <c r="B2081" s="101" t="s">
        <v>3671</v>
      </c>
      <c r="C2081" s="99" t="s">
        <v>3672</v>
      </c>
      <c r="D2081" s="38"/>
      <c r="E2081" s="42">
        <v>1</v>
      </c>
      <c r="F2081" s="9"/>
      <c r="G2081" s="8">
        <f t="shared" si="72"/>
        <v>4.4819250000000004</v>
      </c>
      <c r="H2081" s="188">
        <v>4.2685000000000004</v>
      </c>
      <c r="I2081" s="19">
        <f t="shared" si="73"/>
        <v>0</v>
      </c>
      <c r="L2081" s="131"/>
      <c r="M2081" s="131"/>
      <c r="N2081" s="131"/>
    </row>
    <row r="2082" spans="1:14" hidden="1">
      <c r="A2082" s="100" t="s">
        <v>862</v>
      </c>
      <c r="B2082" s="101" t="s">
        <v>3673</v>
      </c>
      <c r="C2082" s="99" t="s">
        <v>3674</v>
      </c>
      <c r="D2082" s="38"/>
      <c r="E2082" s="42">
        <v>1</v>
      </c>
      <c r="F2082" s="9"/>
      <c r="G2082" s="8">
        <f t="shared" si="72"/>
        <v>5.3355750000000004</v>
      </c>
      <c r="H2082" s="188">
        <v>5.0815000000000001</v>
      </c>
      <c r="I2082" s="19">
        <f t="shared" si="73"/>
        <v>0</v>
      </c>
      <c r="L2082" s="131"/>
      <c r="M2082" s="131"/>
      <c r="N2082" s="131"/>
    </row>
    <row r="2083" spans="1:14" hidden="1">
      <c r="A2083" s="100" t="s">
        <v>862</v>
      </c>
      <c r="B2083" s="101" t="s">
        <v>3675</v>
      </c>
      <c r="C2083" s="99" t="s">
        <v>3676</v>
      </c>
      <c r="D2083" s="38"/>
      <c r="E2083" s="42">
        <v>1</v>
      </c>
      <c r="F2083" s="9"/>
      <c r="G2083" s="8">
        <f t="shared" si="72"/>
        <v>5.6831249999999995</v>
      </c>
      <c r="H2083" s="188">
        <v>5.4124999999999996</v>
      </c>
      <c r="I2083" s="19">
        <f t="shared" si="73"/>
        <v>0</v>
      </c>
      <c r="L2083" s="131"/>
      <c r="M2083" s="131"/>
      <c r="N2083" s="131"/>
    </row>
    <row r="2084" spans="1:14" hidden="1">
      <c r="A2084" s="100" t="s">
        <v>862</v>
      </c>
      <c r="B2084" s="101" t="s">
        <v>3677</v>
      </c>
      <c r="C2084" s="99" t="s">
        <v>3678</v>
      </c>
      <c r="D2084" s="38"/>
      <c r="E2084" s="42">
        <v>1</v>
      </c>
      <c r="F2084" s="9"/>
      <c r="G2084" s="8">
        <f t="shared" si="72"/>
        <v>5.6033249999999999</v>
      </c>
      <c r="H2084" s="188">
        <v>5.3365</v>
      </c>
      <c r="I2084" s="19">
        <f t="shared" si="73"/>
        <v>0</v>
      </c>
      <c r="L2084" s="131"/>
      <c r="M2084" s="131"/>
      <c r="N2084" s="131"/>
    </row>
    <row r="2085" spans="1:14" hidden="1">
      <c r="A2085" s="100" t="s">
        <v>862</v>
      </c>
      <c r="B2085" s="101" t="s">
        <v>3679</v>
      </c>
      <c r="C2085" s="99" t="s">
        <v>3680</v>
      </c>
      <c r="D2085" s="38"/>
      <c r="E2085" s="42">
        <v>1</v>
      </c>
      <c r="F2085" s="9"/>
      <c r="G2085" s="8">
        <f t="shared" ref="G2085:G2148" si="74">H2085+(H2085*5%)</f>
        <v>6.2569499999999998</v>
      </c>
      <c r="H2085" s="188">
        <v>5.9589999999999996</v>
      </c>
      <c r="I2085" s="19">
        <f t="shared" si="73"/>
        <v>0</v>
      </c>
      <c r="L2085" s="131"/>
      <c r="M2085" s="131"/>
      <c r="N2085" s="131"/>
    </row>
    <row r="2086" spans="1:14" hidden="1">
      <c r="A2086" s="100" t="s">
        <v>862</v>
      </c>
      <c r="B2086" s="101" t="s">
        <v>3681</v>
      </c>
      <c r="C2086" s="99" t="s">
        <v>3682</v>
      </c>
      <c r="D2086" s="38"/>
      <c r="E2086" s="42">
        <v>1</v>
      </c>
      <c r="F2086" s="9"/>
      <c r="G2086" s="8">
        <f t="shared" si="74"/>
        <v>6.9111000000000002</v>
      </c>
      <c r="H2086" s="188">
        <v>6.5819999999999999</v>
      </c>
      <c r="I2086" s="19">
        <f t="shared" si="73"/>
        <v>0</v>
      </c>
      <c r="L2086" s="131"/>
      <c r="M2086" s="131"/>
      <c r="N2086" s="131"/>
    </row>
    <row r="2087" spans="1:14" hidden="1">
      <c r="A2087" s="100" t="s">
        <v>862</v>
      </c>
      <c r="B2087" s="101" t="s">
        <v>3683</v>
      </c>
      <c r="C2087" s="99" t="s">
        <v>3684</v>
      </c>
      <c r="D2087" s="38"/>
      <c r="E2087" s="42">
        <v>1</v>
      </c>
      <c r="F2087" s="9"/>
      <c r="G2087" s="8">
        <f t="shared" si="74"/>
        <v>7.5647250000000001</v>
      </c>
      <c r="H2087" s="188">
        <v>7.2045000000000003</v>
      </c>
      <c r="I2087" s="19">
        <f t="shared" ref="I2087:I2150" si="75">G2087*F2087</f>
        <v>0</v>
      </c>
      <c r="L2087" s="131"/>
      <c r="M2087" s="131"/>
      <c r="N2087" s="131"/>
    </row>
    <row r="2088" spans="1:14" hidden="1">
      <c r="A2088" s="100" t="s">
        <v>862</v>
      </c>
      <c r="B2088" s="101" t="s">
        <v>3685</v>
      </c>
      <c r="C2088" s="99" t="s">
        <v>3686</v>
      </c>
      <c r="D2088" s="38"/>
      <c r="E2088" s="42">
        <v>1</v>
      </c>
      <c r="F2088" s="9"/>
      <c r="G2088" s="8">
        <f t="shared" si="74"/>
        <v>8.2183499999999992</v>
      </c>
      <c r="H2088" s="188">
        <v>7.827</v>
      </c>
      <c r="I2088" s="19">
        <f t="shared" si="75"/>
        <v>0</v>
      </c>
      <c r="L2088" s="131"/>
      <c r="M2088" s="131"/>
      <c r="N2088" s="131"/>
    </row>
    <row r="2089" spans="1:14" hidden="1">
      <c r="A2089" s="100" t="s">
        <v>862</v>
      </c>
      <c r="B2089" s="101" t="s">
        <v>3687</v>
      </c>
      <c r="C2089" s="99" t="s">
        <v>3688</v>
      </c>
      <c r="D2089" s="38"/>
      <c r="E2089" s="42">
        <v>1</v>
      </c>
      <c r="F2089" s="9"/>
      <c r="G2089" s="8">
        <f t="shared" si="74"/>
        <v>8.8719750000000008</v>
      </c>
      <c r="H2089" s="188">
        <v>8.4495000000000005</v>
      </c>
      <c r="I2089" s="19">
        <f t="shared" si="75"/>
        <v>0</v>
      </c>
      <c r="L2089" s="131"/>
      <c r="M2089" s="131"/>
      <c r="N2089" s="131"/>
    </row>
    <row r="2090" spans="1:14" hidden="1">
      <c r="A2090" s="100" t="s">
        <v>862</v>
      </c>
      <c r="B2090" s="101" t="s">
        <v>3689</v>
      </c>
      <c r="C2090" s="99" t="s">
        <v>3690</v>
      </c>
      <c r="D2090" s="38"/>
      <c r="E2090" s="42">
        <v>1</v>
      </c>
      <c r="F2090" s="9"/>
      <c r="G2090" s="8">
        <f t="shared" si="74"/>
        <v>9.5261250000000004</v>
      </c>
      <c r="H2090" s="188">
        <v>9.0724999999999998</v>
      </c>
      <c r="I2090" s="19">
        <f t="shared" si="75"/>
        <v>0</v>
      </c>
      <c r="L2090" s="131"/>
      <c r="M2090" s="131"/>
      <c r="N2090" s="131"/>
    </row>
    <row r="2091" spans="1:14" hidden="1">
      <c r="A2091" s="100" t="s">
        <v>862</v>
      </c>
      <c r="B2091" s="101" t="s">
        <v>3691</v>
      </c>
      <c r="C2091" s="99" t="s">
        <v>3692</v>
      </c>
      <c r="D2091" s="38"/>
      <c r="E2091" s="42">
        <v>1</v>
      </c>
      <c r="F2091" s="9"/>
      <c r="G2091" s="8">
        <f t="shared" si="74"/>
        <v>10.17975</v>
      </c>
      <c r="H2091" s="188">
        <v>9.6950000000000003</v>
      </c>
      <c r="I2091" s="19">
        <f t="shared" si="75"/>
        <v>0</v>
      </c>
      <c r="L2091" s="131"/>
      <c r="M2091" s="131"/>
      <c r="N2091" s="131"/>
    </row>
    <row r="2092" spans="1:14" hidden="1">
      <c r="A2092" s="100" t="s">
        <v>862</v>
      </c>
      <c r="B2092" s="101" t="s">
        <v>3693</v>
      </c>
      <c r="C2092" s="99" t="s">
        <v>3694</v>
      </c>
      <c r="D2092" s="38"/>
      <c r="E2092" s="42">
        <v>1</v>
      </c>
      <c r="F2092" s="9"/>
      <c r="G2092" s="8">
        <f t="shared" si="74"/>
        <v>10.833375</v>
      </c>
      <c r="H2092" s="188">
        <v>10.317500000000001</v>
      </c>
      <c r="I2092" s="19">
        <f t="shared" si="75"/>
        <v>0</v>
      </c>
      <c r="L2092" s="131"/>
      <c r="M2092" s="131"/>
      <c r="N2092" s="131"/>
    </row>
    <row r="2093" spans="1:14" hidden="1">
      <c r="A2093" s="100" t="s">
        <v>862</v>
      </c>
      <c r="B2093" s="101" t="s">
        <v>3695</v>
      </c>
      <c r="C2093" s="99" t="s">
        <v>3696</v>
      </c>
      <c r="D2093" s="38"/>
      <c r="E2093" s="42">
        <v>1</v>
      </c>
      <c r="F2093" s="9"/>
      <c r="G2093" s="8">
        <f t="shared" si="74"/>
        <v>11.487</v>
      </c>
      <c r="H2093" s="188">
        <v>10.94</v>
      </c>
      <c r="I2093" s="19">
        <f t="shared" si="75"/>
        <v>0</v>
      </c>
      <c r="L2093" s="131"/>
      <c r="M2093" s="131"/>
      <c r="N2093" s="131"/>
    </row>
    <row r="2094" spans="1:14" hidden="1">
      <c r="A2094" s="100" t="s">
        <v>862</v>
      </c>
      <c r="B2094" s="101" t="s">
        <v>3697</v>
      </c>
      <c r="C2094" s="99" t="s">
        <v>3698</v>
      </c>
      <c r="D2094" s="38"/>
      <c r="E2094" s="42">
        <v>1</v>
      </c>
      <c r="F2094" s="9"/>
      <c r="G2094" s="8">
        <f t="shared" si="74"/>
        <v>12.140625</v>
      </c>
      <c r="H2094" s="188">
        <v>11.5625</v>
      </c>
      <c r="I2094" s="19">
        <f t="shared" si="75"/>
        <v>0</v>
      </c>
      <c r="L2094" s="131"/>
      <c r="M2094" s="131"/>
      <c r="N2094" s="131"/>
    </row>
    <row r="2095" spans="1:14" hidden="1">
      <c r="A2095" s="100" t="s">
        <v>862</v>
      </c>
      <c r="B2095" s="101" t="s">
        <v>3699</v>
      </c>
      <c r="C2095" s="99" t="s">
        <v>3700</v>
      </c>
      <c r="D2095" s="38"/>
      <c r="E2095" s="42">
        <v>1</v>
      </c>
      <c r="F2095" s="9"/>
      <c r="G2095" s="8">
        <f t="shared" si="74"/>
        <v>12.794775</v>
      </c>
      <c r="H2095" s="188">
        <v>12.185499999999999</v>
      </c>
      <c r="I2095" s="19">
        <f t="shared" si="75"/>
        <v>0</v>
      </c>
      <c r="L2095" s="131"/>
      <c r="M2095" s="131"/>
      <c r="N2095" s="131"/>
    </row>
    <row r="2096" spans="1:14" hidden="1">
      <c r="A2096" s="100" t="s">
        <v>862</v>
      </c>
      <c r="B2096" s="101" t="s">
        <v>3701</v>
      </c>
      <c r="C2096" s="99" t="s">
        <v>3702</v>
      </c>
      <c r="D2096" s="38"/>
      <c r="E2096" s="42">
        <v>1</v>
      </c>
      <c r="F2096" s="9"/>
      <c r="G2096" s="8">
        <f t="shared" si="74"/>
        <v>13.448399999999999</v>
      </c>
      <c r="H2096" s="188">
        <v>12.808</v>
      </c>
      <c r="I2096" s="19">
        <f t="shared" si="75"/>
        <v>0</v>
      </c>
      <c r="L2096" s="131"/>
      <c r="M2096" s="131"/>
      <c r="N2096" s="131"/>
    </row>
    <row r="2097" spans="1:14" hidden="1">
      <c r="A2097" s="100" t="s">
        <v>862</v>
      </c>
      <c r="B2097" s="97" t="s">
        <v>3703</v>
      </c>
      <c r="C2097" s="98" t="s">
        <v>3704</v>
      </c>
      <c r="D2097" s="38" t="s">
        <v>945</v>
      </c>
      <c r="E2097" s="42">
        <v>1</v>
      </c>
      <c r="F2097" s="9"/>
      <c r="G2097" s="8">
        <f t="shared" si="74"/>
        <v>19.7925</v>
      </c>
      <c r="H2097" s="188">
        <v>18.850000000000001</v>
      </c>
      <c r="I2097" s="19">
        <f t="shared" si="75"/>
        <v>0</v>
      </c>
      <c r="L2097" s="131"/>
      <c r="M2097" s="131"/>
      <c r="N2097" s="131"/>
    </row>
    <row r="2098" spans="1:14" hidden="1">
      <c r="A2098" s="100" t="s">
        <v>862</v>
      </c>
      <c r="B2098" s="101" t="s">
        <v>3705</v>
      </c>
      <c r="C2098" s="99" t="s">
        <v>3706</v>
      </c>
      <c r="D2098" s="38"/>
      <c r="E2098" s="42">
        <v>1</v>
      </c>
      <c r="F2098" s="9"/>
      <c r="G2098" s="8">
        <f t="shared" si="74"/>
        <v>2.7830250000000003</v>
      </c>
      <c r="H2098" s="188">
        <v>2.6505000000000001</v>
      </c>
      <c r="I2098" s="19">
        <f t="shared" si="75"/>
        <v>0</v>
      </c>
      <c r="L2098" s="131"/>
      <c r="M2098" s="131"/>
      <c r="N2098" s="131"/>
    </row>
    <row r="2099" spans="1:14" hidden="1">
      <c r="A2099" s="100" t="s">
        <v>862</v>
      </c>
      <c r="B2099" s="101" t="s">
        <v>3707</v>
      </c>
      <c r="C2099" s="99" t="s">
        <v>3708</v>
      </c>
      <c r="D2099" s="38"/>
      <c r="E2099" s="42">
        <v>1</v>
      </c>
      <c r="F2099" s="9"/>
      <c r="G2099" s="8">
        <f t="shared" si="74"/>
        <v>3.7170000000000001</v>
      </c>
      <c r="H2099" s="188">
        <v>3.54</v>
      </c>
      <c r="I2099" s="19">
        <f t="shared" si="75"/>
        <v>0</v>
      </c>
      <c r="L2099" s="131"/>
      <c r="M2099" s="131"/>
      <c r="N2099" s="131"/>
    </row>
    <row r="2100" spans="1:14" hidden="1">
      <c r="A2100" s="100" t="s">
        <v>862</v>
      </c>
      <c r="B2100" s="101" t="s">
        <v>3709</v>
      </c>
      <c r="C2100" s="99" t="s">
        <v>3710</v>
      </c>
      <c r="D2100" s="38"/>
      <c r="E2100" s="42">
        <v>1</v>
      </c>
      <c r="F2100" s="9"/>
      <c r="G2100" s="8">
        <f t="shared" si="74"/>
        <v>4.6509749999999999</v>
      </c>
      <c r="H2100" s="188">
        <v>4.4295</v>
      </c>
      <c r="I2100" s="19">
        <f t="shared" si="75"/>
        <v>0</v>
      </c>
      <c r="L2100" s="131"/>
      <c r="M2100" s="131"/>
      <c r="N2100" s="131"/>
    </row>
    <row r="2101" spans="1:14" hidden="1">
      <c r="A2101" s="100" t="s">
        <v>862</v>
      </c>
      <c r="B2101" s="101" t="s">
        <v>3711</v>
      </c>
      <c r="C2101" s="99" t="s">
        <v>3712</v>
      </c>
      <c r="D2101" s="38"/>
      <c r="E2101" s="42">
        <v>1</v>
      </c>
      <c r="F2101" s="9"/>
      <c r="G2101" s="8">
        <f t="shared" si="74"/>
        <v>5.5849500000000001</v>
      </c>
      <c r="H2101" s="188">
        <v>5.319</v>
      </c>
      <c r="I2101" s="19">
        <f t="shared" si="75"/>
        <v>0</v>
      </c>
      <c r="L2101" s="131"/>
      <c r="M2101" s="131"/>
      <c r="N2101" s="131"/>
    </row>
    <row r="2102" spans="1:14" hidden="1">
      <c r="A2102" s="100" t="s">
        <v>862</v>
      </c>
      <c r="B2102" s="101" t="s">
        <v>3713</v>
      </c>
      <c r="C2102" s="99" t="s">
        <v>3714</v>
      </c>
      <c r="D2102" s="38"/>
      <c r="E2102" s="42">
        <v>1</v>
      </c>
      <c r="F2102" s="9"/>
      <c r="G2102" s="8">
        <f t="shared" si="74"/>
        <v>6.5189250000000003</v>
      </c>
      <c r="H2102" s="188">
        <v>6.2084999999999999</v>
      </c>
      <c r="I2102" s="19">
        <f t="shared" si="75"/>
        <v>0</v>
      </c>
      <c r="L2102" s="131"/>
      <c r="M2102" s="131"/>
      <c r="N2102" s="131"/>
    </row>
    <row r="2103" spans="1:14" hidden="1">
      <c r="A2103" s="100" t="s">
        <v>862</v>
      </c>
      <c r="B2103" s="101" t="s">
        <v>3715</v>
      </c>
      <c r="C2103" s="99" t="s">
        <v>3716</v>
      </c>
      <c r="D2103" s="38"/>
      <c r="E2103" s="42">
        <v>1</v>
      </c>
      <c r="F2103" s="9"/>
      <c r="G2103" s="8">
        <f t="shared" si="74"/>
        <v>7.452375</v>
      </c>
      <c r="H2103" s="188">
        <v>7.0975000000000001</v>
      </c>
      <c r="I2103" s="19">
        <f t="shared" si="75"/>
        <v>0</v>
      </c>
      <c r="L2103" s="131"/>
      <c r="M2103" s="131"/>
      <c r="N2103" s="131"/>
    </row>
    <row r="2104" spans="1:14" hidden="1">
      <c r="A2104" s="100" t="s">
        <v>862</v>
      </c>
      <c r="B2104" s="101" t="s">
        <v>3717</v>
      </c>
      <c r="C2104" s="99" t="s">
        <v>3718</v>
      </c>
      <c r="D2104" s="38"/>
      <c r="E2104" s="42">
        <v>1</v>
      </c>
      <c r="F2104" s="9"/>
      <c r="G2104" s="8">
        <f t="shared" si="74"/>
        <v>8.3863500000000002</v>
      </c>
      <c r="H2104" s="188">
        <v>7.9870000000000001</v>
      </c>
      <c r="I2104" s="19">
        <f t="shared" si="75"/>
        <v>0</v>
      </c>
      <c r="L2104" s="131"/>
      <c r="M2104" s="131"/>
      <c r="N2104" s="131"/>
    </row>
    <row r="2105" spans="1:14" hidden="1">
      <c r="A2105" s="100" t="s">
        <v>862</v>
      </c>
      <c r="B2105" s="101" t="s">
        <v>3719</v>
      </c>
      <c r="C2105" s="99" t="s">
        <v>3720</v>
      </c>
      <c r="D2105" s="38"/>
      <c r="E2105" s="42">
        <v>1</v>
      </c>
      <c r="F2105" s="9"/>
      <c r="G2105" s="8">
        <f t="shared" si="74"/>
        <v>9.3203250000000004</v>
      </c>
      <c r="H2105" s="188">
        <v>8.8765000000000001</v>
      </c>
      <c r="I2105" s="19">
        <f t="shared" si="75"/>
        <v>0</v>
      </c>
      <c r="L2105" s="131"/>
      <c r="M2105" s="131"/>
      <c r="N2105" s="131"/>
    </row>
    <row r="2106" spans="1:14" hidden="1">
      <c r="A2106" s="100" t="s">
        <v>862</v>
      </c>
      <c r="B2106" s="101" t="s">
        <v>3721</v>
      </c>
      <c r="C2106" s="99" t="s">
        <v>3722</v>
      </c>
      <c r="D2106" s="38"/>
      <c r="E2106" s="42">
        <v>1</v>
      </c>
      <c r="F2106" s="9"/>
      <c r="G2106" s="8">
        <f t="shared" si="74"/>
        <v>10.254300000000001</v>
      </c>
      <c r="H2106" s="188">
        <v>9.766</v>
      </c>
      <c r="I2106" s="19">
        <f t="shared" si="75"/>
        <v>0</v>
      </c>
      <c r="L2106" s="131"/>
      <c r="M2106" s="131"/>
      <c r="N2106" s="131"/>
    </row>
    <row r="2107" spans="1:14" hidden="1">
      <c r="A2107" s="100" t="s">
        <v>862</v>
      </c>
      <c r="B2107" s="101" t="s">
        <v>3723</v>
      </c>
      <c r="C2107" s="99" t="s">
        <v>3724</v>
      </c>
      <c r="D2107" s="38"/>
      <c r="E2107" s="42">
        <v>1</v>
      </c>
      <c r="F2107" s="9"/>
      <c r="G2107" s="8">
        <f t="shared" si="74"/>
        <v>11.188275000000001</v>
      </c>
      <c r="H2107" s="188">
        <v>10.6555</v>
      </c>
      <c r="I2107" s="19">
        <f t="shared" si="75"/>
        <v>0</v>
      </c>
      <c r="L2107" s="131"/>
      <c r="M2107" s="131"/>
      <c r="N2107" s="131"/>
    </row>
    <row r="2108" spans="1:14" hidden="1">
      <c r="A2108" s="100" t="s">
        <v>862</v>
      </c>
      <c r="B2108" s="101" t="s">
        <v>3725</v>
      </c>
      <c r="C2108" s="99" t="s">
        <v>3726</v>
      </c>
      <c r="D2108" s="38"/>
      <c r="E2108" s="42">
        <v>1</v>
      </c>
      <c r="F2108" s="9"/>
      <c r="G2108" s="8">
        <f t="shared" si="74"/>
        <v>12.122249999999999</v>
      </c>
      <c r="H2108" s="188">
        <v>11.545</v>
      </c>
      <c r="I2108" s="19">
        <f t="shared" si="75"/>
        <v>0</v>
      </c>
      <c r="L2108" s="131"/>
      <c r="M2108" s="131"/>
      <c r="N2108" s="131"/>
    </row>
    <row r="2109" spans="1:14" hidden="1">
      <c r="A2109" s="100" t="s">
        <v>862</v>
      </c>
      <c r="B2109" s="101" t="s">
        <v>3727</v>
      </c>
      <c r="C2109" s="99" t="s">
        <v>3728</v>
      </c>
      <c r="D2109" s="38"/>
      <c r="E2109" s="42">
        <v>1</v>
      </c>
      <c r="F2109" s="9"/>
      <c r="G2109" s="8">
        <f t="shared" si="74"/>
        <v>13.056225</v>
      </c>
      <c r="H2109" s="188">
        <v>12.4345</v>
      </c>
      <c r="I2109" s="19">
        <f t="shared" si="75"/>
        <v>0</v>
      </c>
      <c r="L2109" s="131"/>
      <c r="M2109" s="131"/>
      <c r="N2109" s="131"/>
    </row>
    <row r="2110" spans="1:14" hidden="1">
      <c r="A2110" s="100" t="s">
        <v>862</v>
      </c>
      <c r="B2110" s="101" t="s">
        <v>3729</v>
      </c>
      <c r="C2110" s="99" t="s">
        <v>3730</v>
      </c>
      <c r="D2110" s="38"/>
      <c r="E2110" s="42">
        <v>1</v>
      </c>
      <c r="F2110" s="9"/>
      <c r="G2110" s="8">
        <f t="shared" si="74"/>
        <v>13.9902</v>
      </c>
      <c r="H2110" s="188">
        <v>13.324</v>
      </c>
      <c r="I2110" s="19">
        <f t="shared" si="75"/>
        <v>0</v>
      </c>
      <c r="L2110" s="131"/>
      <c r="M2110" s="131"/>
      <c r="N2110" s="131"/>
    </row>
    <row r="2111" spans="1:14" hidden="1">
      <c r="A2111" s="100" t="s">
        <v>862</v>
      </c>
      <c r="B2111" s="101" t="s">
        <v>3731</v>
      </c>
      <c r="C2111" s="99" t="s">
        <v>3732</v>
      </c>
      <c r="D2111" s="38"/>
      <c r="E2111" s="42">
        <v>1</v>
      </c>
      <c r="F2111" s="9"/>
      <c r="G2111" s="8">
        <f t="shared" si="74"/>
        <v>14.923649999999999</v>
      </c>
      <c r="H2111" s="188">
        <v>14.212999999999999</v>
      </c>
      <c r="I2111" s="19">
        <f t="shared" si="75"/>
        <v>0</v>
      </c>
      <c r="L2111" s="131"/>
      <c r="M2111" s="131"/>
      <c r="N2111" s="131"/>
    </row>
    <row r="2112" spans="1:14" hidden="1">
      <c r="A2112" s="100" t="s">
        <v>862</v>
      </c>
      <c r="B2112" s="101" t="s">
        <v>3733</v>
      </c>
      <c r="C2112" s="99" t="s">
        <v>3734</v>
      </c>
      <c r="D2112" s="38"/>
      <c r="E2112" s="42">
        <v>1</v>
      </c>
      <c r="F2112" s="9"/>
      <c r="G2112" s="8">
        <f t="shared" si="74"/>
        <v>15.857624999999999</v>
      </c>
      <c r="H2112" s="188">
        <v>15.102499999999999</v>
      </c>
      <c r="I2112" s="19">
        <f t="shared" si="75"/>
        <v>0</v>
      </c>
      <c r="L2112" s="131"/>
      <c r="M2112" s="131"/>
      <c r="N2112" s="131"/>
    </row>
    <row r="2113" spans="1:14" hidden="1">
      <c r="A2113" s="100" t="s">
        <v>862</v>
      </c>
      <c r="B2113" s="101" t="s">
        <v>3735</v>
      </c>
      <c r="C2113" s="99" t="s">
        <v>3736</v>
      </c>
      <c r="D2113" s="38"/>
      <c r="E2113" s="42">
        <v>1</v>
      </c>
      <c r="F2113" s="9"/>
      <c r="G2113" s="8">
        <f t="shared" si="74"/>
        <v>6.3435750000000004</v>
      </c>
      <c r="H2113" s="188">
        <v>6.0415000000000001</v>
      </c>
      <c r="I2113" s="19">
        <f t="shared" si="75"/>
        <v>0</v>
      </c>
      <c r="L2113" s="131"/>
      <c r="M2113" s="131"/>
      <c r="N2113" s="131"/>
    </row>
    <row r="2114" spans="1:14" hidden="1">
      <c r="A2114" s="100" t="s">
        <v>862</v>
      </c>
      <c r="B2114" s="101" t="s">
        <v>3737</v>
      </c>
      <c r="C2114" s="99" t="s">
        <v>3738</v>
      </c>
      <c r="D2114" s="38"/>
      <c r="E2114" s="42">
        <v>1</v>
      </c>
      <c r="F2114" s="9"/>
      <c r="G2114" s="8">
        <f t="shared" si="74"/>
        <v>2.3666999999999998</v>
      </c>
      <c r="H2114" s="188">
        <v>2.254</v>
      </c>
      <c r="I2114" s="19">
        <f t="shared" si="75"/>
        <v>0</v>
      </c>
      <c r="L2114" s="131"/>
      <c r="M2114" s="131"/>
      <c r="N2114" s="131"/>
    </row>
    <row r="2115" spans="1:14" hidden="1">
      <c r="A2115" s="100" t="s">
        <v>862</v>
      </c>
      <c r="B2115" s="101" t="s">
        <v>3739</v>
      </c>
      <c r="C2115" s="99" t="s">
        <v>3740</v>
      </c>
      <c r="D2115" s="38"/>
      <c r="E2115" s="42">
        <v>1</v>
      </c>
      <c r="F2115" s="9"/>
      <c r="G2115" s="8">
        <f t="shared" si="74"/>
        <v>3.161025</v>
      </c>
      <c r="H2115" s="188">
        <v>3.0105</v>
      </c>
      <c r="I2115" s="19">
        <f t="shared" si="75"/>
        <v>0</v>
      </c>
      <c r="L2115" s="131"/>
      <c r="M2115" s="131"/>
      <c r="N2115" s="131"/>
    </row>
    <row r="2116" spans="1:14" hidden="1">
      <c r="A2116" s="100" t="s">
        <v>862</v>
      </c>
      <c r="B2116" s="101" t="s">
        <v>3741</v>
      </c>
      <c r="C2116" s="99" t="s">
        <v>3742</v>
      </c>
      <c r="D2116" s="38"/>
      <c r="E2116" s="42">
        <v>1</v>
      </c>
      <c r="F2116" s="9"/>
      <c r="G2116" s="8">
        <f t="shared" si="74"/>
        <v>3.954825</v>
      </c>
      <c r="H2116" s="188">
        <v>3.7665000000000002</v>
      </c>
      <c r="I2116" s="19">
        <f t="shared" si="75"/>
        <v>0</v>
      </c>
      <c r="L2116" s="131"/>
      <c r="M2116" s="131"/>
      <c r="N2116" s="131"/>
    </row>
    <row r="2117" spans="1:14" hidden="1">
      <c r="A2117" s="100" t="s">
        <v>862</v>
      </c>
      <c r="B2117" s="101" t="s">
        <v>3743</v>
      </c>
      <c r="C2117" s="99" t="s">
        <v>3744</v>
      </c>
      <c r="D2117" s="38"/>
      <c r="E2117" s="42">
        <v>1</v>
      </c>
      <c r="F2117" s="9"/>
      <c r="G2117" s="8">
        <f t="shared" si="74"/>
        <v>4.7491499999999993</v>
      </c>
      <c r="H2117" s="188">
        <v>4.5229999999999997</v>
      </c>
      <c r="I2117" s="19">
        <f t="shared" si="75"/>
        <v>0</v>
      </c>
      <c r="L2117" s="131"/>
      <c r="M2117" s="131"/>
      <c r="N2117" s="131"/>
    </row>
    <row r="2118" spans="1:14" hidden="1">
      <c r="A2118" s="100" t="s">
        <v>862</v>
      </c>
      <c r="B2118" s="101" t="s">
        <v>3745</v>
      </c>
      <c r="C2118" s="99" t="s">
        <v>3746</v>
      </c>
      <c r="D2118" s="38"/>
      <c r="E2118" s="42">
        <v>1</v>
      </c>
      <c r="F2118" s="9"/>
      <c r="G2118" s="8">
        <f t="shared" si="74"/>
        <v>5.5434749999999999</v>
      </c>
      <c r="H2118" s="188">
        <v>5.2794999999999996</v>
      </c>
      <c r="I2118" s="19">
        <f t="shared" si="75"/>
        <v>0</v>
      </c>
      <c r="L2118" s="131"/>
      <c r="M2118" s="131"/>
      <c r="N2118" s="131"/>
    </row>
    <row r="2119" spans="1:14" hidden="1">
      <c r="A2119" s="100" t="s">
        <v>862</v>
      </c>
      <c r="B2119" s="101" t="s">
        <v>3747</v>
      </c>
      <c r="C2119" s="99" t="s">
        <v>3748</v>
      </c>
      <c r="D2119" s="38"/>
      <c r="E2119" s="42">
        <v>1</v>
      </c>
      <c r="F2119" s="9"/>
      <c r="G2119" s="8">
        <f t="shared" si="74"/>
        <v>6.337275</v>
      </c>
      <c r="H2119" s="188">
        <v>6.0354999999999999</v>
      </c>
      <c r="I2119" s="19">
        <f t="shared" si="75"/>
        <v>0</v>
      </c>
      <c r="L2119" s="131"/>
      <c r="M2119" s="131"/>
      <c r="N2119" s="131"/>
    </row>
    <row r="2120" spans="1:14" hidden="1">
      <c r="A2120" s="100" t="s">
        <v>862</v>
      </c>
      <c r="B2120" s="101" t="s">
        <v>3749</v>
      </c>
      <c r="C2120" s="99" t="s">
        <v>3750</v>
      </c>
      <c r="D2120" s="38"/>
      <c r="E2120" s="42">
        <v>1</v>
      </c>
      <c r="F2120" s="9"/>
      <c r="G2120" s="8">
        <f t="shared" si="74"/>
        <v>7.1315999999999997</v>
      </c>
      <c r="H2120" s="188">
        <v>6.7919999999999998</v>
      </c>
      <c r="I2120" s="19">
        <f t="shared" si="75"/>
        <v>0</v>
      </c>
      <c r="L2120" s="131"/>
      <c r="M2120" s="131"/>
      <c r="N2120" s="131"/>
    </row>
    <row r="2121" spans="1:14" hidden="1">
      <c r="A2121" s="100" t="s">
        <v>862</v>
      </c>
      <c r="B2121" s="101" t="s">
        <v>3751</v>
      </c>
      <c r="C2121" s="99" t="s">
        <v>3752</v>
      </c>
      <c r="D2121" s="38"/>
      <c r="E2121" s="42">
        <v>1</v>
      </c>
      <c r="F2121" s="9"/>
      <c r="G2121" s="8">
        <f t="shared" si="74"/>
        <v>7.9259249999999994</v>
      </c>
      <c r="H2121" s="188">
        <v>7.5484999999999998</v>
      </c>
      <c r="I2121" s="19">
        <f t="shared" si="75"/>
        <v>0</v>
      </c>
      <c r="L2121" s="131"/>
      <c r="M2121" s="131"/>
      <c r="N2121" s="131"/>
    </row>
    <row r="2122" spans="1:14" hidden="1">
      <c r="A2122" s="100" t="s">
        <v>862</v>
      </c>
      <c r="B2122" s="101" t="s">
        <v>3753</v>
      </c>
      <c r="C2122" s="99" t="s">
        <v>3754</v>
      </c>
      <c r="D2122" s="38"/>
      <c r="E2122" s="42">
        <v>1</v>
      </c>
      <c r="F2122" s="9"/>
      <c r="G2122" s="8">
        <f t="shared" si="74"/>
        <v>8.7202500000000001</v>
      </c>
      <c r="H2122" s="188">
        <v>8.3049999999999997</v>
      </c>
      <c r="I2122" s="19">
        <f t="shared" si="75"/>
        <v>0</v>
      </c>
      <c r="L2122" s="131"/>
      <c r="M2122" s="131"/>
      <c r="N2122" s="131"/>
    </row>
    <row r="2123" spans="1:14" hidden="1">
      <c r="A2123" s="100" t="s">
        <v>862</v>
      </c>
      <c r="B2123" s="101" t="s">
        <v>3755</v>
      </c>
      <c r="C2123" s="99" t="s">
        <v>3756</v>
      </c>
      <c r="D2123" s="38"/>
      <c r="E2123" s="42">
        <v>1</v>
      </c>
      <c r="F2123" s="9"/>
      <c r="G2123" s="8">
        <f t="shared" si="74"/>
        <v>9.5140499999999992</v>
      </c>
      <c r="H2123" s="188">
        <v>9.0609999999999999</v>
      </c>
      <c r="I2123" s="19">
        <f t="shared" si="75"/>
        <v>0</v>
      </c>
      <c r="L2123" s="131"/>
      <c r="M2123" s="131"/>
      <c r="N2123" s="131"/>
    </row>
    <row r="2124" spans="1:14" hidden="1">
      <c r="A2124" s="100" t="s">
        <v>862</v>
      </c>
      <c r="B2124" s="101" t="s">
        <v>3757</v>
      </c>
      <c r="C2124" s="99" t="s">
        <v>3758</v>
      </c>
      <c r="D2124" s="38"/>
      <c r="E2124" s="42">
        <v>1</v>
      </c>
      <c r="F2124" s="9"/>
      <c r="G2124" s="8">
        <f t="shared" si="74"/>
        <v>10.308375000000002</v>
      </c>
      <c r="H2124" s="188">
        <v>9.8175000000000008</v>
      </c>
      <c r="I2124" s="19">
        <f t="shared" si="75"/>
        <v>0</v>
      </c>
      <c r="L2124" s="131"/>
      <c r="M2124" s="131"/>
      <c r="N2124" s="131"/>
    </row>
    <row r="2125" spans="1:14" hidden="1">
      <c r="A2125" s="100" t="s">
        <v>862</v>
      </c>
      <c r="B2125" s="101" t="s">
        <v>3759</v>
      </c>
      <c r="C2125" s="99" t="s">
        <v>3760</v>
      </c>
      <c r="D2125" s="38"/>
      <c r="E2125" s="42">
        <v>1</v>
      </c>
      <c r="F2125" s="9"/>
      <c r="G2125" s="8">
        <f t="shared" si="74"/>
        <v>11.1027</v>
      </c>
      <c r="H2125" s="188">
        <v>10.574</v>
      </c>
      <c r="I2125" s="19">
        <f t="shared" si="75"/>
        <v>0</v>
      </c>
      <c r="L2125" s="131"/>
      <c r="M2125" s="131"/>
      <c r="N2125" s="131"/>
    </row>
    <row r="2126" spans="1:14" hidden="1">
      <c r="A2126" s="100" t="s">
        <v>862</v>
      </c>
      <c r="B2126" s="101" t="s">
        <v>3761</v>
      </c>
      <c r="C2126" s="99" t="s">
        <v>3762</v>
      </c>
      <c r="D2126" s="38"/>
      <c r="E2126" s="42">
        <v>1</v>
      </c>
      <c r="F2126" s="9"/>
      <c r="G2126" s="8">
        <f t="shared" si="74"/>
        <v>11.8965</v>
      </c>
      <c r="H2126" s="188">
        <v>11.33</v>
      </c>
      <c r="I2126" s="19">
        <f t="shared" si="75"/>
        <v>0</v>
      </c>
      <c r="L2126" s="131"/>
      <c r="M2126" s="131"/>
      <c r="N2126" s="131"/>
    </row>
    <row r="2127" spans="1:14" hidden="1">
      <c r="A2127" s="100" t="s">
        <v>862</v>
      </c>
      <c r="B2127" s="101" t="s">
        <v>3763</v>
      </c>
      <c r="C2127" s="99" t="s">
        <v>3764</v>
      </c>
      <c r="D2127" s="38"/>
      <c r="E2127" s="42">
        <v>1</v>
      </c>
      <c r="F2127" s="9"/>
      <c r="G2127" s="8">
        <f t="shared" si="74"/>
        <v>12.690824999999998</v>
      </c>
      <c r="H2127" s="188">
        <v>12.086499999999999</v>
      </c>
      <c r="I2127" s="19">
        <f t="shared" si="75"/>
        <v>0</v>
      </c>
      <c r="L2127" s="131"/>
      <c r="M2127" s="131"/>
      <c r="N2127" s="131"/>
    </row>
    <row r="2128" spans="1:14" hidden="1">
      <c r="A2128" s="100" t="s">
        <v>862</v>
      </c>
      <c r="B2128" s="101" t="s">
        <v>3765</v>
      </c>
      <c r="C2128" s="99" t="s">
        <v>3766</v>
      </c>
      <c r="D2128" s="38"/>
      <c r="E2128" s="42">
        <v>1</v>
      </c>
      <c r="F2128" s="9"/>
      <c r="G2128" s="8">
        <f t="shared" si="74"/>
        <v>13.485150000000001</v>
      </c>
      <c r="H2128" s="188">
        <v>12.843</v>
      </c>
      <c r="I2128" s="19">
        <f t="shared" si="75"/>
        <v>0</v>
      </c>
      <c r="L2128" s="131"/>
      <c r="M2128" s="131"/>
      <c r="N2128" s="131"/>
    </row>
    <row r="2129" spans="1:14" hidden="1">
      <c r="A2129" s="100" t="s">
        <v>862</v>
      </c>
      <c r="B2129" s="101" t="s">
        <v>3767</v>
      </c>
      <c r="C2129" s="99" t="s">
        <v>3768</v>
      </c>
      <c r="D2129" s="38"/>
      <c r="E2129" s="42">
        <v>1</v>
      </c>
      <c r="F2129" s="9"/>
      <c r="G2129" s="8">
        <f t="shared" si="74"/>
        <v>4.1469750000000003</v>
      </c>
      <c r="H2129" s="188">
        <v>3.9495</v>
      </c>
      <c r="I2129" s="19">
        <f t="shared" si="75"/>
        <v>0</v>
      </c>
      <c r="L2129" s="131"/>
      <c r="M2129" s="131"/>
      <c r="N2129" s="131"/>
    </row>
    <row r="2130" spans="1:14" hidden="1">
      <c r="A2130" s="100" t="s">
        <v>862</v>
      </c>
      <c r="B2130" s="101" t="s">
        <v>3769</v>
      </c>
      <c r="C2130" s="99" t="s">
        <v>3770</v>
      </c>
      <c r="D2130" s="38"/>
      <c r="E2130" s="42">
        <v>1</v>
      </c>
      <c r="F2130" s="9"/>
      <c r="G2130" s="8">
        <f t="shared" si="74"/>
        <v>4.3443750000000003</v>
      </c>
      <c r="H2130" s="188">
        <v>4.1375000000000002</v>
      </c>
      <c r="I2130" s="19">
        <f t="shared" si="75"/>
        <v>0</v>
      </c>
      <c r="L2130" s="131"/>
      <c r="M2130" s="131"/>
      <c r="N2130" s="131"/>
    </row>
    <row r="2131" spans="1:14" hidden="1">
      <c r="A2131" s="100" t="s">
        <v>862</v>
      </c>
      <c r="B2131" s="101" t="s">
        <v>3771</v>
      </c>
      <c r="C2131" s="99" t="s">
        <v>3772</v>
      </c>
      <c r="D2131" s="38"/>
      <c r="E2131" s="42">
        <v>1</v>
      </c>
      <c r="F2131" s="9"/>
      <c r="G2131" s="8">
        <f t="shared" si="74"/>
        <v>4.5417749999999995</v>
      </c>
      <c r="H2131" s="188">
        <v>4.3254999999999999</v>
      </c>
      <c r="I2131" s="19">
        <f t="shared" si="75"/>
        <v>0</v>
      </c>
      <c r="L2131" s="131"/>
      <c r="M2131" s="131"/>
      <c r="N2131" s="131"/>
    </row>
    <row r="2132" spans="1:14" hidden="1">
      <c r="A2132" s="100" t="s">
        <v>862</v>
      </c>
      <c r="B2132" s="101" t="s">
        <v>3773</v>
      </c>
      <c r="C2132" s="99" t="s">
        <v>3774</v>
      </c>
      <c r="D2132" s="38"/>
      <c r="E2132" s="42">
        <v>1</v>
      </c>
      <c r="F2132" s="9"/>
      <c r="G2132" s="8">
        <f t="shared" si="74"/>
        <v>4.7397</v>
      </c>
      <c r="H2132" s="188">
        <v>4.5140000000000002</v>
      </c>
      <c r="I2132" s="19">
        <f t="shared" si="75"/>
        <v>0</v>
      </c>
      <c r="L2132" s="131"/>
      <c r="M2132" s="131"/>
      <c r="N2132" s="131"/>
    </row>
    <row r="2133" spans="1:14" hidden="1">
      <c r="A2133" s="100" t="s">
        <v>862</v>
      </c>
      <c r="B2133" s="101" t="s">
        <v>3775</v>
      </c>
      <c r="C2133" s="99" t="s">
        <v>3776</v>
      </c>
      <c r="D2133" s="38"/>
      <c r="E2133" s="42">
        <v>1</v>
      </c>
      <c r="F2133" s="9"/>
      <c r="G2133" s="8">
        <f t="shared" si="74"/>
        <v>4.9371</v>
      </c>
      <c r="H2133" s="188">
        <v>4.702</v>
      </c>
      <c r="I2133" s="19">
        <f t="shared" si="75"/>
        <v>0</v>
      </c>
      <c r="L2133" s="131"/>
      <c r="M2133" s="131"/>
      <c r="N2133" s="131"/>
    </row>
    <row r="2134" spans="1:14" hidden="1">
      <c r="A2134" s="100" t="s">
        <v>862</v>
      </c>
      <c r="B2134" s="101" t="s">
        <v>3777</v>
      </c>
      <c r="C2134" s="99" t="s">
        <v>3778</v>
      </c>
      <c r="D2134" s="38"/>
      <c r="E2134" s="42">
        <v>1</v>
      </c>
      <c r="F2134" s="9"/>
      <c r="G2134" s="8">
        <f t="shared" si="74"/>
        <v>5.1345000000000001</v>
      </c>
      <c r="H2134" s="188">
        <v>4.8899999999999997</v>
      </c>
      <c r="I2134" s="19">
        <f t="shared" si="75"/>
        <v>0</v>
      </c>
      <c r="L2134" s="131"/>
      <c r="M2134" s="131"/>
      <c r="N2134" s="131"/>
    </row>
    <row r="2135" spans="1:14" hidden="1">
      <c r="A2135" s="100" t="s">
        <v>862</v>
      </c>
      <c r="B2135" s="101" t="s">
        <v>3779</v>
      </c>
      <c r="C2135" s="99" t="s">
        <v>3780</v>
      </c>
      <c r="D2135" s="38"/>
      <c r="E2135" s="42">
        <v>1</v>
      </c>
      <c r="F2135" s="9"/>
      <c r="G2135" s="8">
        <f t="shared" si="74"/>
        <v>5.3319000000000001</v>
      </c>
      <c r="H2135" s="188">
        <v>5.0780000000000003</v>
      </c>
      <c r="I2135" s="19">
        <f t="shared" si="75"/>
        <v>0</v>
      </c>
      <c r="L2135" s="131"/>
      <c r="M2135" s="131"/>
      <c r="N2135" s="131"/>
    </row>
    <row r="2136" spans="1:14" hidden="1">
      <c r="A2136" s="100" t="s">
        <v>862</v>
      </c>
      <c r="B2136" s="101" t="s">
        <v>3781</v>
      </c>
      <c r="C2136" s="99" t="s">
        <v>3782</v>
      </c>
      <c r="D2136" s="38"/>
      <c r="E2136" s="42">
        <v>1</v>
      </c>
      <c r="F2136" s="9"/>
      <c r="G2136" s="8">
        <f t="shared" si="74"/>
        <v>5.7267000000000001</v>
      </c>
      <c r="H2136" s="188">
        <v>5.4539999999999997</v>
      </c>
      <c r="I2136" s="19">
        <f t="shared" si="75"/>
        <v>0</v>
      </c>
      <c r="L2136" s="131"/>
      <c r="M2136" s="131"/>
      <c r="N2136" s="131"/>
    </row>
    <row r="2137" spans="1:14" hidden="1">
      <c r="A2137" s="100" t="s">
        <v>862</v>
      </c>
      <c r="B2137" s="101" t="s">
        <v>3783</v>
      </c>
      <c r="C2137" s="99" t="s">
        <v>3784</v>
      </c>
      <c r="D2137" s="38"/>
      <c r="E2137" s="42">
        <v>1</v>
      </c>
      <c r="F2137" s="9"/>
      <c r="G2137" s="8">
        <f t="shared" si="74"/>
        <v>6.1220249999999998</v>
      </c>
      <c r="H2137" s="188">
        <v>5.8304999999999998</v>
      </c>
      <c r="I2137" s="19">
        <f t="shared" si="75"/>
        <v>0</v>
      </c>
      <c r="L2137" s="131"/>
      <c r="M2137" s="131"/>
      <c r="N2137" s="131"/>
    </row>
    <row r="2138" spans="1:14" hidden="1">
      <c r="A2138" s="100" t="s">
        <v>862</v>
      </c>
      <c r="B2138" s="101" t="s">
        <v>3785</v>
      </c>
      <c r="C2138" s="99" t="s">
        <v>3786</v>
      </c>
      <c r="D2138" s="38"/>
      <c r="E2138" s="42">
        <v>1</v>
      </c>
      <c r="F2138" s="9"/>
      <c r="G2138" s="8">
        <f t="shared" si="74"/>
        <v>6.5168249999999999</v>
      </c>
      <c r="H2138" s="188">
        <v>6.2065000000000001</v>
      </c>
      <c r="I2138" s="19">
        <f t="shared" si="75"/>
        <v>0</v>
      </c>
      <c r="L2138" s="131"/>
      <c r="M2138" s="131"/>
      <c r="N2138" s="131"/>
    </row>
    <row r="2139" spans="1:14" hidden="1">
      <c r="A2139" s="100" t="s">
        <v>862</v>
      </c>
      <c r="B2139" s="101" t="s">
        <v>3787</v>
      </c>
      <c r="C2139" s="99" t="s">
        <v>3788</v>
      </c>
      <c r="D2139" s="38"/>
      <c r="E2139" s="42">
        <v>1</v>
      </c>
      <c r="F2139" s="9"/>
      <c r="G2139" s="8">
        <f t="shared" si="74"/>
        <v>4.1469750000000003</v>
      </c>
      <c r="H2139" s="188">
        <v>3.9495</v>
      </c>
      <c r="I2139" s="19">
        <f t="shared" si="75"/>
        <v>0</v>
      </c>
      <c r="L2139" s="131"/>
      <c r="M2139" s="131"/>
      <c r="N2139" s="131"/>
    </row>
    <row r="2140" spans="1:14" hidden="1">
      <c r="A2140" s="100" t="s">
        <v>862</v>
      </c>
      <c r="B2140" s="101" t="s">
        <v>3789</v>
      </c>
      <c r="C2140" s="99" t="s">
        <v>3790</v>
      </c>
      <c r="D2140" s="38"/>
      <c r="E2140" s="42">
        <v>1</v>
      </c>
      <c r="F2140" s="9"/>
      <c r="G2140" s="8">
        <f t="shared" si="74"/>
        <v>4.3443750000000003</v>
      </c>
      <c r="H2140" s="188">
        <v>4.1375000000000002</v>
      </c>
      <c r="I2140" s="19">
        <f t="shared" si="75"/>
        <v>0</v>
      </c>
      <c r="L2140" s="131"/>
      <c r="M2140" s="131"/>
      <c r="N2140" s="131"/>
    </row>
    <row r="2141" spans="1:14" hidden="1">
      <c r="A2141" s="100" t="s">
        <v>862</v>
      </c>
      <c r="B2141" s="101" t="s">
        <v>3791</v>
      </c>
      <c r="C2141" s="99" t="s">
        <v>3792</v>
      </c>
      <c r="D2141" s="38"/>
      <c r="E2141" s="42">
        <v>1</v>
      </c>
      <c r="F2141" s="9"/>
      <c r="G2141" s="8">
        <f t="shared" si="74"/>
        <v>4.5417749999999995</v>
      </c>
      <c r="H2141" s="188">
        <v>4.3254999999999999</v>
      </c>
      <c r="I2141" s="19">
        <f t="shared" si="75"/>
        <v>0</v>
      </c>
      <c r="L2141" s="131"/>
      <c r="M2141" s="131"/>
      <c r="N2141" s="131"/>
    </row>
    <row r="2142" spans="1:14" hidden="1">
      <c r="A2142" s="100" t="s">
        <v>862</v>
      </c>
      <c r="B2142" s="101" t="s">
        <v>3793</v>
      </c>
      <c r="C2142" s="99" t="s">
        <v>3794</v>
      </c>
      <c r="D2142" s="38"/>
      <c r="E2142" s="42">
        <v>1</v>
      </c>
      <c r="F2142" s="9"/>
      <c r="G2142" s="8">
        <f t="shared" si="74"/>
        <v>4.7397</v>
      </c>
      <c r="H2142" s="188">
        <v>4.5140000000000002</v>
      </c>
      <c r="I2142" s="19">
        <f t="shared" si="75"/>
        <v>0</v>
      </c>
      <c r="L2142" s="131"/>
      <c r="M2142" s="131"/>
      <c r="N2142" s="131"/>
    </row>
    <row r="2143" spans="1:14" hidden="1">
      <c r="A2143" s="100" t="s">
        <v>862</v>
      </c>
      <c r="B2143" s="101" t="s">
        <v>3795</v>
      </c>
      <c r="C2143" s="99" t="s">
        <v>3796</v>
      </c>
      <c r="D2143" s="38"/>
      <c r="E2143" s="42">
        <v>1</v>
      </c>
      <c r="F2143" s="9"/>
      <c r="G2143" s="8">
        <f t="shared" si="74"/>
        <v>4.9371</v>
      </c>
      <c r="H2143" s="188">
        <v>4.702</v>
      </c>
      <c r="I2143" s="19">
        <f t="shared" si="75"/>
        <v>0</v>
      </c>
      <c r="L2143" s="131"/>
      <c r="M2143" s="131"/>
      <c r="N2143" s="131"/>
    </row>
    <row r="2144" spans="1:14" hidden="1">
      <c r="A2144" s="100" t="s">
        <v>862</v>
      </c>
      <c r="B2144" s="101" t="s">
        <v>3797</v>
      </c>
      <c r="C2144" s="99" t="s">
        <v>3798</v>
      </c>
      <c r="D2144" s="38"/>
      <c r="E2144" s="42">
        <v>1</v>
      </c>
      <c r="F2144" s="9"/>
      <c r="G2144" s="8">
        <f t="shared" si="74"/>
        <v>5.1345000000000001</v>
      </c>
      <c r="H2144" s="188">
        <v>4.8899999999999997</v>
      </c>
      <c r="I2144" s="19">
        <f t="shared" si="75"/>
        <v>0</v>
      </c>
      <c r="L2144" s="131"/>
      <c r="M2144" s="131"/>
      <c r="N2144" s="131"/>
    </row>
    <row r="2145" spans="1:14" hidden="1">
      <c r="A2145" s="100" t="s">
        <v>862</v>
      </c>
      <c r="B2145" s="101" t="s">
        <v>3799</v>
      </c>
      <c r="C2145" s="99" t="s">
        <v>3800</v>
      </c>
      <c r="D2145" s="38"/>
      <c r="E2145" s="42">
        <v>1</v>
      </c>
      <c r="F2145" s="9"/>
      <c r="G2145" s="8">
        <f t="shared" si="74"/>
        <v>5.3319000000000001</v>
      </c>
      <c r="H2145" s="188">
        <v>5.0780000000000003</v>
      </c>
      <c r="I2145" s="19">
        <f t="shared" si="75"/>
        <v>0</v>
      </c>
      <c r="L2145" s="131"/>
      <c r="M2145" s="131"/>
      <c r="N2145" s="131"/>
    </row>
    <row r="2146" spans="1:14" hidden="1">
      <c r="A2146" s="100" t="s">
        <v>862</v>
      </c>
      <c r="B2146" s="101" t="s">
        <v>3801</v>
      </c>
      <c r="C2146" s="99" t="s">
        <v>3802</v>
      </c>
      <c r="D2146" s="38"/>
      <c r="E2146" s="42">
        <v>1</v>
      </c>
      <c r="F2146" s="9"/>
      <c r="G2146" s="8">
        <f t="shared" si="74"/>
        <v>5.7267000000000001</v>
      </c>
      <c r="H2146" s="188">
        <v>5.4539999999999997</v>
      </c>
      <c r="I2146" s="19">
        <f t="shared" si="75"/>
        <v>0</v>
      </c>
      <c r="L2146" s="131"/>
      <c r="M2146" s="131"/>
      <c r="N2146" s="131"/>
    </row>
    <row r="2147" spans="1:14" hidden="1">
      <c r="A2147" s="100" t="s">
        <v>862</v>
      </c>
      <c r="B2147" s="101" t="s">
        <v>3803</v>
      </c>
      <c r="C2147" s="99" t="s">
        <v>3804</v>
      </c>
      <c r="D2147" s="38"/>
      <c r="E2147" s="42">
        <v>1</v>
      </c>
      <c r="F2147" s="9"/>
      <c r="G2147" s="8">
        <f t="shared" si="74"/>
        <v>6.1220249999999998</v>
      </c>
      <c r="H2147" s="188">
        <v>5.8304999999999998</v>
      </c>
      <c r="I2147" s="19">
        <f t="shared" si="75"/>
        <v>0</v>
      </c>
      <c r="L2147" s="131"/>
      <c r="M2147" s="131"/>
      <c r="N2147" s="131"/>
    </row>
    <row r="2148" spans="1:14" hidden="1">
      <c r="A2148" s="100" t="s">
        <v>862</v>
      </c>
      <c r="B2148" s="101" t="s">
        <v>3805</v>
      </c>
      <c r="C2148" s="99" t="s">
        <v>3806</v>
      </c>
      <c r="D2148" s="38"/>
      <c r="E2148" s="42">
        <v>1</v>
      </c>
      <c r="F2148" s="9"/>
      <c r="G2148" s="8">
        <f t="shared" si="74"/>
        <v>6.5168249999999999</v>
      </c>
      <c r="H2148" s="188">
        <v>6.2065000000000001</v>
      </c>
      <c r="I2148" s="19">
        <f t="shared" si="75"/>
        <v>0</v>
      </c>
      <c r="L2148" s="131"/>
      <c r="M2148" s="131"/>
      <c r="N2148" s="131"/>
    </row>
    <row r="2149" spans="1:14" hidden="1">
      <c r="A2149" s="100" t="s">
        <v>862</v>
      </c>
      <c r="B2149" s="101" t="s">
        <v>3807</v>
      </c>
      <c r="C2149" s="99" t="s">
        <v>3808</v>
      </c>
      <c r="D2149" s="38"/>
      <c r="E2149" s="42">
        <v>1</v>
      </c>
      <c r="F2149" s="9"/>
      <c r="G2149" s="8">
        <f t="shared" ref="G2149:G2212" si="76">H2149+(H2149*5%)</f>
        <v>3.2277</v>
      </c>
      <c r="H2149" s="188">
        <v>3.0739999999999998</v>
      </c>
      <c r="I2149" s="19">
        <f t="shared" si="75"/>
        <v>0</v>
      </c>
      <c r="L2149" s="131"/>
      <c r="M2149" s="131"/>
      <c r="N2149" s="131"/>
    </row>
    <row r="2150" spans="1:14" hidden="1">
      <c r="A2150" s="100" t="s">
        <v>862</v>
      </c>
      <c r="B2150" s="101" t="s">
        <v>3809</v>
      </c>
      <c r="C2150" s="99" t="s">
        <v>3810</v>
      </c>
      <c r="D2150" s="38"/>
      <c r="E2150" s="42">
        <v>1</v>
      </c>
      <c r="F2150" s="9"/>
      <c r="G2150" s="8">
        <f t="shared" si="76"/>
        <v>3.4251</v>
      </c>
      <c r="H2150" s="188">
        <v>3.262</v>
      </c>
      <c r="I2150" s="19">
        <f t="shared" si="75"/>
        <v>0</v>
      </c>
      <c r="L2150" s="131"/>
      <c r="M2150" s="131"/>
      <c r="N2150" s="131"/>
    </row>
    <row r="2151" spans="1:14" hidden="1">
      <c r="A2151" s="100" t="s">
        <v>862</v>
      </c>
      <c r="B2151" s="101" t="s">
        <v>3811</v>
      </c>
      <c r="C2151" s="99" t="s">
        <v>3812</v>
      </c>
      <c r="D2151" s="38"/>
      <c r="E2151" s="42">
        <v>1</v>
      </c>
      <c r="F2151" s="9"/>
      <c r="G2151" s="8">
        <f t="shared" si="76"/>
        <v>3.6225000000000001</v>
      </c>
      <c r="H2151" s="188">
        <v>3.45</v>
      </c>
      <c r="I2151" s="19">
        <f t="shared" ref="I2151:I2214" si="77">G2151*F2151</f>
        <v>0</v>
      </c>
      <c r="L2151" s="131"/>
      <c r="M2151" s="131"/>
      <c r="N2151" s="131"/>
    </row>
    <row r="2152" spans="1:14" hidden="1">
      <c r="A2152" s="100" t="s">
        <v>862</v>
      </c>
      <c r="B2152" s="101" t="s">
        <v>3813</v>
      </c>
      <c r="C2152" s="99" t="s">
        <v>3814</v>
      </c>
      <c r="D2152" s="38"/>
      <c r="E2152" s="42">
        <v>1</v>
      </c>
      <c r="F2152" s="9"/>
      <c r="G2152" s="8">
        <f t="shared" si="76"/>
        <v>3.8204250000000002</v>
      </c>
      <c r="H2152" s="188">
        <v>3.6385000000000001</v>
      </c>
      <c r="I2152" s="19">
        <f t="shared" si="77"/>
        <v>0</v>
      </c>
      <c r="L2152" s="131"/>
      <c r="M2152" s="131"/>
      <c r="N2152" s="131"/>
    </row>
    <row r="2153" spans="1:14" hidden="1">
      <c r="A2153" s="100" t="s">
        <v>862</v>
      </c>
      <c r="B2153" s="101" t="s">
        <v>3815</v>
      </c>
      <c r="C2153" s="99" t="s">
        <v>3816</v>
      </c>
      <c r="D2153" s="38"/>
      <c r="E2153" s="42">
        <v>1</v>
      </c>
      <c r="F2153" s="9"/>
      <c r="G2153" s="8">
        <f t="shared" si="76"/>
        <v>4.0178250000000002</v>
      </c>
      <c r="H2153" s="188">
        <v>3.8264999999999998</v>
      </c>
      <c r="I2153" s="19">
        <f t="shared" si="77"/>
        <v>0</v>
      </c>
      <c r="L2153" s="131"/>
      <c r="M2153" s="131"/>
      <c r="N2153" s="131"/>
    </row>
    <row r="2154" spans="1:14" hidden="1">
      <c r="A2154" s="100" t="s">
        <v>862</v>
      </c>
      <c r="B2154" s="101" t="s">
        <v>3817</v>
      </c>
      <c r="C2154" s="99" t="s">
        <v>3818</v>
      </c>
      <c r="D2154" s="38"/>
      <c r="E2154" s="42">
        <v>1</v>
      </c>
      <c r="F2154" s="9"/>
      <c r="G2154" s="8">
        <f t="shared" si="76"/>
        <v>4.2152250000000002</v>
      </c>
      <c r="H2154" s="188">
        <v>4.0145</v>
      </c>
      <c r="I2154" s="19">
        <f t="shared" si="77"/>
        <v>0</v>
      </c>
      <c r="L2154" s="131"/>
      <c r="M2154" s="131"/>
      <c r="N2154" s="131"/>
    </row>
    <row r="2155" spans="1:14" hidden="1">
      <c r="A2155" s="100" t="s">
        <v>862</v>
      </c>
      <c r="B2155" s="101" t="s">
        <v>3819</v>
      </c>
      <c r="C2155" s="99" t="s">
        <v>3820</v>
      </c>
      <c r="D2155" s="38"/>
      <c r="E2155" s="42">
        <v>1</v>
      </c>
      <c r="F2155" s="9"/>
      <c r="G2155" s="8">
        <f t="shared" si="76"/>
        <v>4.4126249999999994</v>
      </c>
      <c r="H2155" s="188">
        <v>4.2024999999999997</v>
      </c>
      <c r="I2155" s="19">
        <f t="shared" si="77"/>
        <v>0</v>
      </c>
      <c r="L2155" s="131"/>
      <c r="M2155" s="131"/>
      <c r="N2155" s="131"/>
    </row>
    <row r="2156" spans="1:14" hidden="1">
      <c r="A2156" s="100" t="s">
        <v>862</v>
      </c>
      <c r="B2156" s="101" t="s">
        <v>3821</v>
      </c>
      <c r="C2156" s="99" t="s">
        <v>3822</v>
      </c>
      <c r="D2156" s="38"/>
      <c r="E2156" s="42">
        <v>1</v>
      </c>
      <c r="F2156" s="9"/>
      <c r="G2156" s="8">
        <f t="shared" si="76"/>
        <v>4.8074250000000003</v>
      </c>
      <c r="H2156" s="188">
        <v>4.5785</v>
      </c>
      <c r="I2156" s="19">
        <f t="shared" si="77"/>
        <v>0</v>
      </c>
      <c r="L2156" s="131"/>
      <c r="M2156" s="131"/>
      <c r="N2156" s="131"/>
    </row>
    <row r="2157" spans="1:14" hidden="1">
      <c r="A2157" s="100" t="s">
        <v>862</v>
      </c>
      <c r="B2157" s="101" t="s">
        <v>3823</v>
      </c>
      <c r="C2157" s="99" t="s">
        <v>3824</v>
      </c>
      <c r="D2157" s="38"/>
      <c r="E2157" s="42">
        <v>1</v>
      </c>
      <c r="F2157" s="9"/>
      <c r="G2157" s="8">
        <f t="shared" si="76"/>
        <v>5.20275</v>
      </c>
      <c r="H2157" s="188">
        <v>4.9550000000000001</v>
      </c>
      <c r="I2157" s="19">
        <f t="shared" si="77"/>
        <v>0</v>
      </c>
      <c r="L2157" s="131"/>
      <c r="M2157" s="131"/>
      <c r="N2157" s="131"/>
    </row>
    <row r="2158" spans="1:14" hidden="1">
      <c r="A2158" s="100" t="s">
        <v>862</v>
      </c>
      <c r="B2158" s="101" t="s">
        <v>3825</v>
      </c>
      <c r="C2158" s="99" t="s">
        <v>3826</v>
      </c>
      <c r="D2158" s="38"/>
      <c r="E2158" s="42">
        <v>1</v>
      </c>
      <c r="F2158" s="9"/>
      <c r="G2158" s="8">
        <f t="shared" si="76"/>
        <v>5.59755</v>
      </c>
      <c r="H2158" s="188">
        <v>5.3310000000000004</v>
      </c>
      <c r="I2158" s="19">
        <f t="shared" si="77"/>
        <v>0</v>
      </c>
      <c r="L2158" s="131"/>
      <c r="M2158" s="131"/>
      <c r="N2158" s="131"/>
    </row>
    <row r="2159" spans="1:14" hidden="1">
      <c r="A2159" s="100" t="s">
        <v>862</v>
      </c>
      <c r="B2159" s="101" t="s">
        <v>3827</v>
      </c>
      <c r="C2159" s="99" t="s">
        <v>3828</v>
      </c>
      <c r="D2159" s="38"/>
      <c r="E2159" s="42">
        <v>1</v>
      </c>
      <c r="F2159" s="9"/>
      <c r="G2159" s="8">
        <f t="shared" si="76"/>
        <v>3.2277</v>
      </c>
      <c r="H2159" s="188">
        <v>3.0739999999999998</v>
      </c>
      <c r="I2159" s="19">
        <f t="shared" si="77"/>
        <v>0</v>
      </c>
      <c r="L2159" s="131"/>
      <c r="M2159" s="131"/>
      <c r="N2159" s="131"/>
    </row>
    <row r="2160" spans="1:14" hidden="1">
      <c r="A2160" s="100" t="s">
        <v>862</v>
      </c>
      <c r="B2160" s="101" t="s">
        <v>3829</v>
      </c>
      <c r="C2160" s="99" t="s">
        <v>3830</v>
      </c>
      <c r="D2160" s="38"/>
      <c r="E2160" s="42">
        <v>1</v>
      </c>
      <c r="F2160" s="9"/>
      <c r="G2160" s="8">
        <f t="shared" si="76"/>
        <v>3.4251</v>
      </c>
      <c r="H2160" s="188">
        <v>3.262</v>
      </c>
      <c r="I2160" s="19">
        <f t="shared" si="77"/>
        <v>0</v>
      </c>
      <c r="L2160" s="131"/>
      <c r="M2160" s="131"/>
      <c r="N2160" s="131"/>
    </row>
    <row r="2161" spans="1:14" hidden="1">
      <c r="A2161" s="100" t="s">
        <v>862</v>
      </c>
      <c r="B2161" s="101" t="s">
        <v>3831</v>
      </c>
      <c r="C2161" s="99" t="s">
        <v>3832</v>
      </c>
      <c r="D2161" s="38"/>
      <c r="E2161" s="42">
        <v>1</v>
      </c>
      <c r="F2161" s="9"/>
      <c r="G2161" s="8">
        <f t="shared" si="76"/>
        <v>3.6225000000000001</v>
      </c>
      <c r="H2161" s="188">
        <v>3.45</v>
      </c>
      <c r="I2161" s="19">
        <f t="shared" si="77"/>
        <v>0</v>
      </c>
      <c r="L2161" s="131"/>
      <c r="M2161" s="131"/>
      <c r="N2161" s="131"/>
    </row>
    <row r="2162" spans="1:14" hidden="1">
      <c r="A2162" s="100" t="s">
        <v>862</v>
      </c>
      <c r="B2162" s="101" t="s">
        <v>3833</v>
      </c>
      <c r="C2162" s="99" t="s">
        <v>3834</v>
      </c>
      <c r="D2162" s="38"/>
      <c r="E2162" s="42">
        <v>1</v>
      </c>
      <c r="F2162" s="9"/>
      <c r="G2162" s="8">
        <f t="shared" si="76"/>
        <v>3.8204250000000002</v>
      </c>
      <c r="H2162" s="188">
        <v>3.6385000000000001</v>
      </c>
      <c r="I2162" s="19">
        <f t="shared" si="77"/>
        <v>0</v>
      </c>
      <c r="L2162" s="131"/>
      <c r="M2162" s="131"/>
      <c r="N2162" s="131"/>
    </row>
    <row r="2163" spans="1:14" hidden="1">
      <c r="A2163" s="100" t="s">
        <v>862</v>
      </c>
      <c r="B2163" s="101" t="s">
        <v>3835</v>
      </c>
      <c r="C2163" s="99" t="s">
        <v>3836</v>
      </c>
      <c r="D2163" s="38"/>
      <c r="E2163" s="42">
        <v>1</v>
      </c>
      <c r="F2163" s="9"/>
      <c r="G2163" s="8">
        <f t="shared" si="76"/>
        <v>4.0178250000000002</v>
      </c>
      <c r="H2163" s="188">
        <v>3.8264999999999998</v>
      </c>
      <c r="I2163" s="19">
        <f t="shared" si="77"/>
        <v>0</v>
      </c>
      <c r="L2163" s="131"/>
      <c r="M2163" s="131"/>
      <c r="N2163" s="131"/>
    </row>
    <row r="2164" spans="1:14" hidden="1">
      <c r="A2164" s="100" t="s">
        <v>862</v>
      </c>
      <c r="B2164" s="101" t="s">
        <v>3837</v>
      </c>
      <c r="C2164" s="99" t="s">
        <v>3838</v>
      </c>
      <c r="D2164" s="38"/>
      <c r="E2164" s="42">
        <v>1</v>
      </c>
      <c r="F2164" s="9"/>
      <c r="G2164" s="8">
        <f t="shared" si="76"/>
        <v>4.2152250000000002</v>
      </c>
      <c r="H2164" s="188">
        <v>4.0145</v>
      </c>
      <c r="I2164" s="19">
        <f t="shared" si="77"/>
        <v>0</v>
      </c>
      <c r="L2164" s="131"/>
      <c r="M2164" s="131"/>
      <c r="N2164" s="131"/>
    </row>
    <row r="2165" spans="1:14" hidden="1">
      <c r="A2165" s="100" t="s">
        <v>862</v>
      </c>
      <c r="B2165" s="101" t="s">
        <v>3839</v>
      </c>
      <c r="C2165" s="99" t="s">
        <v>3840</v>
      </c>
      <c r="D2165" s="38"/>
      <c r="E2165" s="42">
        <v>1</v>
      </c>
      <c r="F2165" s="9"/>
      <c r="G2165" s="8">
        <f t="shared" si="76"/>
        <v>4.4126249999999994</v>
      </c>
      <c r="H2165" s="188">
        <v>4.2024999999999997</v>
      </c>
      <c r="I2165" s="19">
        <f t="shared" si="77"/>
        <v>0</v>
      </c>
      <c r="L2165" s="131"/>
      <c r="M2165" s="131"/>
      <c r="N2165" s="131"/>
    </row>
    <row r="2166" spans="1:14" hidden="1">
      <c r="A2166" s="100" t="s">
        <v>862</v>
      </c>
      <c r="B2166" s="101" t="s">
        <v>3841</v>
      </c>
      <c r="C2166" s="99" t="s">
        <v>3842</v>
      </c>
      <c r="D2166" s="38"/>
      <c r="E2166" s="42">
        <v>1</v>
      </c>
      <c r="F2166" s="9"/>
      <c r="G2166" s="8">
        <f t="shared" si="76"/>
        <v>4.8074250000000003</v>
      </c>
      <c r="H2166" s="188">
        <v>4.5785</v>
      </c>
      <c r="I2166" s="19">
        <f t="shared" si="77"/>
        <v>0</v>
      </c>
      <c r="L2166" s="131"/>
      <c r="M2166" s="131"/>
      <c r="N2166" s="131"/>
    </row>
    <row r="2167" spans="1:14" hidden="1">
      <c r="A2167" s="100" t="s">
        <v>862</v>
      </c>
      <c r="B2167" s="101" t="s">
        <v>3843</v>
      </c>
      <c r="C2167" s="99" t="s">
        <v>3844</v>
      </c>
      <c r="D2167" s="38"/>
      <c r="E2167" s="42">
        <v>1</v>
      </c>
      <c r="F2167" s="9"/>
      <c r="G2167" s="8">
        <f t="shared" si="76"/>
        <v>5.20275</v>
      </c>
      <c r="H2167" s="188">
        <v>4.9550000000000001</v>
      </c>
      <c r="I2167" s="19">
        <f t="shared" si="77"/>
        <v>0</v>
      </c>
      <c r="L2167" s="131"/>
      <c r="M2167" s="131"/>
      <c r="N2167" s="131"/>
    </row>
    <row r="2168" spans="1:14" hidden="1">
      <c r="A2168" s="100" t="s">
        <v>862</v>
      </c>
      <c r="B2168" s="101" t="s">
        <v>3845</v>
      </c>
      <c r="C2168" s="99" t="s">
        <v>3846</v>
      </c>
      <c r="D2168" s="38"/>
      <c r="E2168" s="42">
        <v>1</v>
      </c>
      <c r="F2168" s="9"/>
      <c r="G2168" s="8">
        <f t="shared" si="76"/>
        <v>5.59755</v>
      </c>
      <c r="H2168" s="188">
        <v>5.3310000000000004</v>
      </c>
      <c r="I2168" s="19">
        <f t="shared" si="77"/>
        <v>0</v>
      </c>
      <c r="L2168" s="131"/>
      <c r="M2168" s="131"/>
      <c r="N2168" s="131"/>
    </row>
    <row r="2169" spans="1:14" hidden="1">
      <c r="A2169" s="100" t="s">
        <v>862</v>
      </c>
      <c r="B2169" s="101" t="s">
        <v>3847</v>
      </c>
      <c r="C2169" s="99" t="s">
        <v>3848</v>
      </c>
      <c r="D2169" s="38"/>
      <c r="E2169" s="42">
        <v>1</v>
      </c>
      <c r="F2169" s="9"/>
      <c r="G2169" s="8">
        <f t="shared" si="76"/>
        <v>5.7938999999999998</v>
      </c>
      <c r="H2169" s="188">
        <v>5.5179999999999998</v>
      </c>
      <c r="I2169" s="19">
        <f t="shared" si="77"/>
        <v>0</v>
      </c>
      <c r="L2169" s="131"/>
      <c r="M2169" s="131"/>
      <c r="N2169" s="131"/>
    </row>
    <row r="2170" spans="1:14" hidden="1">
      <c r="A2170" s="100" t="s">
        <v>862</v>
      </c>
      <c r="B2170" s="101" t="s">
        <v>3849</v>
      </c>
      <c r="C2170" s="99" t="s">
        <v>3850</v>
      </c>
      <c r="D2170" s="38"/>
      <c r="E2170" s="42">
        <v>1</v>
      </c>
      <c r="F2170" s="9"/>
      <c r="G2170" s="8">
        <f t="shared" si="76"/>
        <v>6.1293750000000005</v>
      </c>
      <c r="H2170" s="188">
        <v>5.8375000000000004</v>
      </c>
      <c r="I2170" s="19">
        <f t="shared" si="77"/>
        <v>0</v>
      </c>
      <c r="L2170" s="131"/>
      <c r="M2170" s="131"/>
      <c r="N2170" s="131"/>
    </row>
    <row r="2171" spans="1:14" hidden="1">
      <c r="A2171" s="100" t="s">
        <v>862</v>
      </c>
      <c r="B2171" s="101" t="s">
        <v>3851</v>
      </c>
      <c r="C2171" s="99" t="s">
        <v>3852</v>
      </c>
      <c r="D2171" s="38"/>
      <c r="E2171" s="42">
        <v>1</v>
      </c>
      <c r="F2171" s="9"/>
      <c r="G2171" s="8">
        <f t="shared" si="76"/>
        <v>6.4643250000000005</v>
      </c>
      <c r="H2171" s="188">
        <v>6.1565000000000003</v>
      </c>
      <c r="I2171" s="19">
        <f t="shared" si="77"/>
        <v>0</v>
      </c>
      <c r="L2171" s="131"/>
      <c r="M2171" s="131"/>
      <c r="N2171" s="131"/>
    </row>
    <row r="2172" spans="1:14" hidden="1">
      <c r="A2172" s="100" t="s">
        <v>862</v>
      </c>
      <c r="B2172" s="101" t="s">
        <v>3853</v>
      </c>
      <c r="C2172" s="99" t="s">
        <v>3854</v>
      </c>
      <c r="D2172" s="38"/>
      <c r="E2172" s="42">
        <v>1</v>
      </c>
      <c r="F2172" s="9"/>
      <c r="G2172" s="8">
        <f t="shared" si="76"/>
        <v>6.7992750000000006</v>
      </c>
      <c r="H2172" s="188">
        <v>6.4755000000000003</v>
      </c>
      <c r="I2172" s="19">
        <f t="shared" si="77"/>
        <v>0</v>
      </c>
      <c r="L2172" s="131"/>
      <c r="M2172" s="131"/>
      <c r="N2172" s="131"/>
    </row>
    <row r="2173" spans="1:14" hidden="1">
      <c r="A2173" s="100" t="s">
        <v>862</v>
      </c>
      <c r="B2173" s="101" t="s">
        <v>3855</v>
      </c>
      <c r="C2173" s="99" t="s">
        <v>3856</v>
      </c>
      <c r="D2173" s="38"/>
      <c r="E2173" s="42">
        <v>1</v>
      </c>
      <c r="F2173" s="9"/>
      <c r="G2173" s="8">
        <f t="shared" si="76"/>
        <v>7.1347500000000004</v>
      </c>
      <c r="H2173" s="188">
        <v>6.7949999999999999</v>
      </c>
      <c r="I2173" s="19">
        <f t="shared" si="77"/>
        <v>0</v>
      </c>
      <c r="L2173" s="131"/>
      <c r="M2173" s="131"/>
      <c r="N2173" s="131"/>
    </row>
    <row r="2174" spans="1:14" hidden="1">
      <c r="A2174" s="100" t="s">
        <v>862</v>
      </c>
      <c r="B2174" s="101" t="s">
        <v>3857</v>
      </c>
      <c r="C2174" s="99" t="s">
        <v>3858</v>
      </c>
      <c r="D2174" s="38"/>
      <c r="E2174" s="42">
        <v>1</v>
      </c>
      <c r="F2174" s="9"/>
      <c r="G2174" s="8">
        <f t="shared" si="76"/>
        <v>7.8046499999999996</v>
      </c>
      <c r="H2174" s="188">
        <v>7.4329999999999998</v>
      </c>
      <c r="I2174" s="19">
        <f t="shared" si="77"/>
        <v>0</v>
      </c>
      <c r="L2174" s="131"/>
      <c r="M2174" s="131"/>
      <c r="N2174" s="131"/>
    </row>
    <row r="2175" spans="1:14" hidden="1">
      <c r="A2175" s="100" t="s">
        <v>862</v>
      </c>
      <c r="B2175" s="101" t="s">
        <v>3859</v>
      </c>
      <c r="C2175" s="99" t="s">
        <v>3860</v>
      </c>
      <c r="D2175" s="38"/>
      <c r="E2175" s="42">
        <v>1</v>
      </c>
      <c r="F2175" s="9"/>
      <c r="G2175" s="8">
        <f t="shared" si="76"/>
        <v>8.4750750000000004</v>
      </c>
      <c r="H2175" s="188">
        <v>8.0715000000000003</v>
      </c>
      <c r="I2175" s="19">
        <f t="shared" si="77"/>
        <v>0</v>
      </c>
      <c r="L2175" s="131"/>
      <c r="M2175" s="131"/>
      <c r="N2175" s="131"/>
    </row>
    <row r="2176" spans="1:14" hidden="1">
      <c r="A2176" s="100" t="s">
        <v>862</v>
      </c>
      <c r="B2176" s="101" t="s">
        <v>3861</v>
      </c>
      <c r="C2176" s="99" t="s">
        <v>3862</v>
      </c>
      <c r="D2176" s="38"/>
      <c r="E2176" s="42">
        <v>1</v>
      </c>
      <c r="F2176" s="9"/>
      <c r="G2176" s="8">
        <f t="shared" si="76"/>
        <v>5.7938999999999998</v>
      </c>
      <c r="H2176" s="188">
        <v>5.5179999999999998</v>
      </c>
      <c r="I2176" s="19">
        <f t="shared" si="77"/>
        <v>0</v>
      </c>
      <c r="L2176" s="131"/>
      <c r="M2176" s="131"/>
      <c r="N2176" s="131"/>
    </row>
    <row r="2177" spans="1:14" hidden="1">
      <c r="A2177" s="100" t="s">
        <v>862</v>
      </c>
      <c r="B2177" s="101" t="s">
        <v>3863</v>
      </c>
      <c r="C2177" s="99" t="s">
        <v>3864</v>
      </c>
      <c r="D2177" s="38"/>
      <c r="E2177" s="42">
        <v>1</v>
      </c>
      <c r="F2177" s="9"/>
      <c r="G2177" s="8">
        <f t="shared" si="76"/>
        <v>6.1293750000000005</v>
      </c>
      <c r="H2177" s="188">
        <v>5.8375000000000004</v>
      </c>
      <c r="I2177" s="19">
        <f t="shared" si="77"/>
        <v>0</v>
      </c>
      <c r="L2177" s="131"/>
      <c r="M2177" s="131"/>
      <c r="N2177" s="131"/>
    </row>
    <row r="2178" spans="1:14" hidden="1">
      <c r="A2178" s="100" t="s">
        <v>862</v>
      </c>
      <c r="B2178" s="101" t="s">
        <v>3865</v>
      </c>
      <c r="C2178" s="99" t="s">
        <v>3866</v>
      </c>
      <c r="D2178" s="38"/>
      <c r="E2178" s="42">
        <v>1</v>
      </c>
      <c r="F2178" s="9"/>
      <c r="G2178" s="8">
        <f t="shared" si="76"/>
        <v>6.4643250000000005</v>
      </c>
      <c r="H2178" s="188">
        <v>6.1565000000000003</v>
      </c>
      <c r="I2178" s="19">
        <f t="shared" si="77"/>
        <v>0</v>
      </c>
      <c r="L2178" s="131"/>
      <c r="M2178" s="131"/>
      <c r="N2178" s="131"/>
    </row>
    <row r="2179" spans="1:14" hidden="1">
      <c r="A2179" s="100" t="s">
        <v>862</v>
      </c>
      <c r="B2179" s="101" t="s">
        <v>3867</v>
      </c>
      <c r="C2179" s="99" t="s">
        <v>3868</v>
      </c>
      <c r="D2179" s="38"/>
      <c r="E2179" s="42">
        <v>1</v>
      </c>
      <c r="F2179" s="9"/>
      <c r="G2179" s="8">
        <f t="shared" si="76"/>
        <v>6.7992750000000006</v>
      </c>
      <c r="H2179" s="188">
        <v>6.4755000000000003</v>
      </c>
      <c r="I2179" s="19">
        <f t="shared" si="77"/>
        <v>0</v>
      </c>
      <c r="L2179" s="131"/>
      <c r="M2179" s="131"/>
      <c r="N2179" s="131"/>
    </row>
    <row r="2180" spans="1:14" hidden="1">
      <c r="A2180" s="100" t="s">
        <v>862</v>
      </c>
      <c r="B2180" s="101" t="s">
        <v>3869</v>
      </c>
      <c r="C2180" s="99" t="s">
        <v>3870</v>
      </c>
      <c r="D2180" s="38"/>
      <c r="E2180" s="42">
        <v>1</v>
      </c>
      <c r="F2180" s="9"/>
      <c r="G2180" s="8">
        <f t="shared" si="76"/>
        <v>7.1347500000000004</v>
      </c>
      <c r="H2180" s="188">
        <v>6.7949999999999999</v>
      </c>
      <c r="I2180" s="19">
        <f t="shared" si="77"/>
        <v>0</v>
      </c>
      <c r="L2180" s="131"/>
      <c r="M2180" s="131"/>
      <c r="N2180" s="131"/>
    </row>
    <row r="2181" spans="1:14" hidden="1">
      <c r="A2181" s="100" t="s">
        <v>862</v>
      </c>
      <c r="B2181" s="101" t="s">
        <v>3871</v>
      </c>
      <c r="C2181" s="99" t="s">
        <v>3872</v>
      </c>
      <c r="D2181" s="38"/>
      <c r="E2181" s="42">
        <v>1</v>
      </c>
      <c r="F2181" s="9"/>
      <c r="G2181" s="8">
        <f t="shared" si="76"/>
        <v>7.8046499999999996</v>
      </c>
      <c r="H2181" s="188">
        <v>7.4329999999999998</v>
      </c>
      <c r="I2181" s="19">
        <f t="shared" si="77"/>
        <v>0</v>
      </c>
      <c r="L2181" s="131"/>
      <c r="M2181" s="131"/>
      <c r="N2181" s="131"/>
    </row>
    <row r="2182" spans="1:14" hidden="1">
      <c r="A2182" s="100" t="s">
        <v>862</v>
      </c>
      <c r="B2182" s="101" t="s">
        <v>3873</v>
      </c>
      <c r="C2182" s="99" t="s">
        <v>3874</v>
      </c>
      <c r="D2182" s="38"/>
      <c r="E2182" s="42">
        <v>1</v>
      </c>
      <c r="F2182" s="9"/>
      <c r="G2182" s="8">
        <f t="shared" si="76"/>
        <v>8.4750750000000004</v>
      </c>
      <c r="H2182" s="188">
        <v>8.0715000000000003</v>
      </c>
      <c r="I2182" s="19">
        <f t="shared" si="77"/>
        <v>0</v>
      </c>
      <c r="L2182" s="131"/>
      <c r="M2182" s="131"/>
      <c r="N2182" s="131"/>
    </row>
    <row r="2183" spans="1:14" hidden="1">
      <c r="A2183" s="100" t="s">
        <v>862</v>
      </c>
      <c r="B2183" s="101" t="s">
        <v>3875</v>
      </c>
      <c r="C2183" s="99" t="s">
        <v>3876</v>
      </c>
      <c r="D2183" s="38"/>
      <c r="E2183" s="42">
        <v>1</v>
      </c>
      <c r="F2183" s="9"/>
      <c r="G2183" s="8">
        <f t="shared" si="76"/>
        <v>2.399775</v>
      </c>
      <c r="H2183" s="188">
        <v>2.2854999999999999</v>
      </c>
      <c r="I2183" s="19">
        <f t="shared" si="77"/>
        <v>0</v>
      </c>
      <c r="L2183" s="131"/>
      <c r="M2183" s="131"/>
      <c r="N2183" s="131"/>
    </row>
    <row r="2184" spans="1:14" hidden="1">
      <c r="A2184" s="100" t="s">
        <v>862</v>
      </c>
      <c r="B2184" s="101" t="s">
        <v>3877</v>
      </c>
      <c r="C2184" s="99" t="s">
        <v>3878</v>
      </c>
      <c r="D2184" s="38"/>
      <c r="E2184" s="42">
        <v>1</v>
      </c>
      <c r="F2184" s="9"/>
      <c r="G2184" s="8">
        <f t="shared" si="76"/>
        <v>2.597175</v>
      </c>
      <c r="H2184" s="188">
        <v>2.4735</v>
      </c>
      <c r="I2184" s="19">
        <f t="shared" si="77"/>
        <v>0</v>
      </c>
      <c r="L2184" s="131"/>
      <c r="M2184" s="131"/>
      <c r="N2184" s="131"/>
    </row>
    <row r="2185" spans="1:14" hidden="1">
      <c r="A2185" s="100" t="s">
        <v>862</v>
      </c>
      <c r="B2185" s="101" t="s">
        <v>3879</v>
      </c>
      <c r="C2185" s="99" t="s">
        <v>3880</v>
      </c>
      <c r="D2185" s="38"/>
      <c r="E2185" s="42">
        <v>1</v>
      </c>
      <c r="F2185" s="9"/>
      <c r="G2185" s="8">
        <f t="shared" si="76"/>
        <v>2.794575</v>
      </c>
      <c r="H2185" s="188">
        <v>2.6615000000000002</v>
      </c>
      <c r="I2185" s="19">
        <f t="shared" si="77"/>
        <v>0</v>
      </c>
      <c r="L2185" s="131"/>
      <c r="M2185" s="131"/>
      <c r="N2185" s="131"/>
    </row>
    <row r="2186" spans="1:14" hidden="1">
      <c r="A2186" s="100" t="s">
        <v>862</v>
      </c>
      <c r="B2186" s="101" t="s">
        <v>3881</v>
      </c>
      <c r="C2186" s="99" t="s">
        <v>3882</v>
      </c>
      <c r="D2186" s="38"/>
      <c r="E2186" s="42">
        <v>1</v>
      </c>
      <c r="F2186" s="9"/>
      <c r="G2186" s="8">
        <f t="shared" si="76"/>
        <v>2.9925000000000002</v>
      </c>
      <c r="H2186" s="188">
        <v>2.85</v>
      </c>
      <c r="I2186" s="19">
        <f t="shared" si="77"/>
        <v>0</v>
      </c>
      <c r="L2186" s="131"/>
      <c r="M2186" s="131"/>
      <c r="N2186" s="131"/>
    </row>
    <row r="2187" spans="1:14" hidden="1">
      <c r="A2187" s="100" t="s">
        <v>862</v>
      </c>
      <c r="B2187" s="101" t="s">
        <v>3883</v>
      </c>
      <c r="C2187" s="99" t="s">
        <v>3884</v>
      </c>
      <c r="D2187" s="38"/>
      <c r="E2187" s="42">
        <v>1</v>
      </c>
      <c r="F2187" s="9"/>
      <c r="G2187" s="8">
        <f t="shared" si="76"/>
        <v>3.1898999999999997</v>
      </c>
      <c r="H2187" s="188">
        <v>3.0379999999999998</v>
      </c>
      <c r="I2187" s="19">
        <f t="shared" si="77"/>
        <v>0</v>
      </c>
      <c r="L2187" s="131"/>
      <c r="M2187" s="131"/>
      <c r="N2187" s="131"/>
    </row>
    <row r="2188" spans="1:14" hidden="1">
      <c r="A2188" s="100" t="s">
        <v>862</v>
      </c>
      <c r="B2188" s="101" t="s">
        <v>3885</v>
      </c>
      <c r="C2188" s="99" t="s">
        <v>3886</v>
      </c>
      <c r="D2188" s="38"/>
      <c r="E2188" s="42">
        <v>1</v>
      </c>
      <c r="F2188" s="9"/>
      <c r="G2188" s="8">
        <f t="shared" si="76"/>
        <v>3.5847000000000002</v>
      </c>
      <c r="H2188" s="188">
        <v>3.4140000000000001</v>
      </c>
      <c r="I2188" s="19">
        <f t="shared" si="77"/>
        <v>0</v>
      </c>
      <c r="L2188" s="131"/>
      <c r="M2188" s="131"/>
      <c r="N2188" s="131"/>
    </row>
    <row r="2189" spans="1:14" hidden="1">
      <c r="A2189" s="100" t="s">
        <v>862</v>
      </c>
      <c r="B2189" s="101" t="s">
        <v>3887</v>
      </c>
      <c r="C2189" s="99" t="s">
        <v>3888</v>
      </c>
      <c r="D2189" s="38"/>
      <c r="E2189" s="42">
        <v>1</v>
      </c>
      <c r="F2189" s="9"/>
      <c r="G2189" s="8">
        <f t="shared" si="76"/>
        <v>3.9794999999999998</v>
      </c>
      <c r="H2189" s="188">
        <v>3.79</v>
      </c>
      <c r="I2189" s="19">
        <f t="shared" si="77"/>
        <v>0</v>
      </c>
      <c r="L2189" s="131"/>
      <c r="M2189" s="131"/>
      <c r="N2189" s="131"/>
    </row>
    <row r="2190" spans="1:14" hidden="1">
      <c r="A2190" s="100" t="s">
        <v>862</v>
      </c>
      <c r="B2190" s="101" t="s">
        <v>3889</v>
      </c>
      <c r="C2190" s="99" t="s">
        <v>3890</v>
      </c>
      <c r="D2190" s="38"/>
      <c r="E2190" s="42">
        <v>1</v>
      </c>
      <c r="F2190" s="9"/>
      <c r="G2190" s="8">
        <f t="shared" si="76"/>
        <v>2.399775</v>
      </c>
      <c r="H2190" s="188">
        <v>2.2854999999999999</v>
      </c>
      <c r="I2190" s="19">
        <f t="shared" si="77"/>
        <v>0</v>
      </c>
      <c r="L2190" s="131"/>
      <c r="M2190" s="131"/>
      <c r="N2190" s="131"/>
    </row>
    <row r="2191" spans="1:14" hidden="1">
      <c r="A2191" s="100" t="s">
        <v>862</v>
      </c>
      <c r="B2191" s="101" t="s">
        <v>3891</v>
      </c>
      <c r="C2191" s="99" t="s">
        <v>3892</v>
      </c>
      <c r="D2191" s="38"/>
      <c r="E2191" s="42">
        <v>1</v>
      </c>
      <c r="F2191" s="9"/>
      <c r="G2191" s="8">
        <f t="shared" si="76"/>
        <v>2.597175</v>
      </c>
      <c r="H2191" s="188">
        <v>2.4735</v>
      </c>
      <c r="I2191" s="19">
        <f t="shared" si="77"/>
        <v>0</v>
      </c>
      <c r="L2191" s="131"/>
      <c r="M2191" s="131"/>
      <c r="N2191" s="131"/>
    </row>
    <row r="2192" spans="1:14" hidden="1">
      <c r="A2192" s="100" t="s">
        <v>862</v>
      </c>
      <c r="B2192" s="101" t="s">
        <v>3893</v>
      </c>
      <c r="C2192" s="99" t="s">
        <v>3894</v>
      </c>
      <c r="D2192" s="38"/>
      <c r="E2192" s="42">
        <v>1</v>
      </c>
      <c r="F2192" s="9"/>
      <c r="G2192" s="8">
        <f t="shared" si="76"/>
        <v>2.794575</v>
      </c>
      <c r="H2192" s="188">
        <v>2.6615000000000002</v>
      </c>
      <c r="I2192" s="19">
        <f t="shared" si="77"/>
        <v>0</v>
      </c>
      <c r="L2192" s="131"/>
      <c r="M2192" s="131"/>
      <c r="N2192" s="131"/>
    </row>
    <row r="2193" spans="1:14" hidden="1">
      <c r="A2193" s="100" t="s">
        <v>862</v>
      </c>
      <c r="B2193" s="101" t="s">
        <v>3895</v>
      </c>
      <c r="C2193" s="99" t="s">
        <v>3896</v>
      </c>
      <c r="D2193" s="38"/>
      <c r="E2193" s="42">
        <v>1</v>
      </c>
      <c r="F2193" s="9"/>
      <c r="G2193" s="8">
        <f t="shared" si="76"/>
        <v>2.9925000000000002</v>
      </c>
      <c r="H2193" s="188">
        <v>2.85</v>
      </c>
      <c r="I2193" s="19">
        <f t="shared" si="77"/>
        <v>0</v>
      </c>
      <c r="L2193" s="131"/>
      <c r="M2193" s="131"/>
      <c r="N2193" s="131"/>
    </row>
    <row r="2194" spans="1:14" hidden="1">
      <c r="A2194" s="100" t="s">
        <v>862</v>
      </c>
      <c r="B2194" s="101" t="s">
        <v>3897</v>
      </c>
      <c r="C2194" s="99" t="s">
        <v>3898</v>
      </c>
      <c r="D2194" s="38"/>
      <c r="E2194" s="42">
        <v>1</v>
      </c>
      <c r="F2194" s="9"/>
      <c r="G2194" s="8">
        <f t="shared" si="76"/>
        <v>3.1898999999999997</v>
      </c>
      <c r="H2194" s="188">
        <v>3.0379999999999998</v>
      </c>
      <c r="I2194" s="19">
        <f t="shared" si="77"/>
        <v>0</v>
      </c>
      <c r="L2194" s="131"/>
      <c r="M2194" s="131"/>
      <c r="N2194" s="131"/>
    </row>
    <row r="2195" spans="1:14" hidden="1">
      <c r="A2195" s="100" t="s">
        <v>862</v>
      </c>
      <c r="B2195" s="101" t="s">
        <v>3899</v>
      </c>
      <c r="C2195" s="99" t="s">
        <v>3900</v>
      </c>
      <c r="D2195" s="38"/>
      <c r="E2195" s="42">
        <v>1</v>
      </c>
      <c r="F2195" s="9"/>
      <c r="G2195" s="8">
        <f t="shared" si="76"/>
        <v>3.5847000000000002</v>
      </c>
      <c r="H2195" s="188">
        <v>3.4140000000000001</v>
      </c>
      <c r="I2195" s="19">
        <f t="shared" si="77"/>
        <v>0</v>
      </c>
      <c r="L2195" s="131"/>
      <c r="M2195" s="131"/>
      <c r="N2195" s="131"/>
    </row>
    <row r="2196" spans="1:14" hidden="1">
      <c r="A2196" s="100" t="s">
        <v>862</v>
      </c>
      <c r="B2196" s="101" t="s">
        <v>3901</v>
      </c>
      <c r="C2196" s="99" t="s">
        <v>3902</v>
      </c>
      <c r="D2196" s="38"/>
      <c r="E2196" s="42">
        <v>1</v>
      </c>
      <c r="F2196" s="9"/>
      <c r="G2196" s="8">
        <f t="shared" si="76"/>
        <v>3.9794999999999998</v>
      </c>
      <c r="H2196" s="188">
        <v>3.79</v>
      </c>
      <c r="I2196" s="19">
        <f t="shared" si="77"/>
        <v>0</v>
      </c>
      <c r="L2196" s="131"/>
      <c r="M2196" s="131"/>
      <c r="N2196" s="131"/>
    </row>
    <row r="2197" spans="1:14" hidden="1">
      <c r="A2197" s="100" t="s">
        <v>862</v>
      </c>
      <c r="B2197" s="101" t="s">
        <v>3903</v>
      </c>
      <c r="C2197" s="99" t="s">
        <v>3904</v>
      </c>
      <c r="D2197" s="38"/>
      <c r="E2197" s="42">
        <v>1</v>
      </c>
      <c r="F2197" s="9"/>
      <c r="G2197" s="8">
        <f t="shared" si="76"/>
        <v>3.3878250000000003</v>
      </c>
      <c r="H2197" s="188">
        <v>3.2265000000000001</v>
      </c>
      <c r="I2197" s="19">
        <f t="shared" si="77"/>
        <v>0</v>
      </c>
      <c r="L2197" s="131"/>
      <c r="M2197" s="131"/>
      <c r="N2197" s="131"/>
    </row>
    <row r="2198" spans="1:14" hidden="1">
      <c r="A2198" s="100" t="s">
        <v>862</v>
      </c>
      <c r="B2198" s="101" t="s">
        <v>3905</v>
      </c>
      <c r="C2198" s="99" t="s">
        <v>3906</v>
      </c>
      <c r="D2198" s="38"/>
      <c r="E2198" s="42">
        <v>1</v>
      </c>
      <c r="F2198" s="9"/>
      <c r="G2198" s="8">
        <f t="shared" si="76"/>
        <v>3.3878250000000003</v>
      </c>
      <c r="H2198" s="188">
        <v>3.2265000000000001</v>
      </c>
      <c r="I2198" s="19">
        <f t="shared" si="77"/>
        <v>0</v>
      </c>
      <c r="L2198" s="131"/>
      <c r="M2198" s="131"/>
      <c r="N2198" s="131"/>
    </row>
    <row r="2199" spans="1:14" hidden="1">
      <c r="A2199" s="100" t="s">
        <v>862</v>
      </c>
      <c r="B2199" s="101" t="s">
        <v>3907</v>
      </c>
      <c r="C2199" s="99" t="s">
        <v>3908</v>
      </c>
      <c r="D2199" s="38"/>
      <c r="E2199" s="42">
        <v>1</v>
      </c>
      <c r="F2199" s="9"/>
      <c r="G2199" s="8">
        <f t="shared" si="76"/>
        <v>3.3878250000000003</v>
      </c>
      <c r="H2199" s="188">
        <v>3.2265000000000001</v>
      </c>
      <c r="I2199" s="19">
        <f t="shared" si="77"/>
        <v>0</v>
      </c>
      <c r="L2199" s="131"/>
      <c r="M2199" s="131"/>
      <c r="N2199" s="131"/>
    </row>
    <row r="2200" spans="1:14" hidden="1">
      <c r="A2200" s="100" t="s">
        <v>862</v>
      </c>
      <c r="B2200" s="101" t="s">
        <v>3909</v>
      </c>
      <c r="C2200" s="99" t="s">
        <v>3910</v>
      </c>
      <c r="D2200" s="38"/>
      <c r="E2200" s="42">
        <v>1</v>
      </c>
      <c r="F2200" s="9"/>
      <c r="G2200" s="8">
        <f t="shared" si="76"/>
        <v>3.3878250000000003</v>
      </c>
      <c r="H2200" s="188">
        <v>3.2265000000000001</v>
      </c>
      <c r="I2200" s="19">
        <f t="shared" si="77"/>
        <v>0</v>
      </c>
      <c r="L2200" s="131"/>
      <c r="M2200" s="131"/>
      <c r="N2200" s="131"/>
    </row>
    <row r="2201" spans="1:14" hidden="1">
      <c r="A2201" s="100" t="s">
        <v>862</v>
      </c>
      <c r="B2201" s="101" t="s">
        <v>3911</v>
      </c>
      <c r="C2201" s="99" t="s">
        <v>3912</v>
      </c>
      <c r="D2201" s="38"/>
      <c r="E2201" s="42">
        <v>1</v>
      </c>
      <c r="F2201" s="9"/>
      <c r="G2201" s="8">
        <f t="shared" si="76"/>
        <v>3.3878250000000003</v>
      </c>
      <c r="H2201" s="188">
        <v>3.2265000000000001</v>
      </c>
      <c r="I2201" s="19">
        <f t="shared" si="77"/>
        <v>0</v>
      </c>
      <c r="L2201" s="131"/>
      <c r="M2201" s="131"/>
      <c r="N2201" s="131"/>
    </row>
    <row r="2202" spans="1:14" hidden="1">
      <c r="A2202" s="100" t="s">
        <v>862</v>
      </c>
      <c r="B2202" s="101" t="s">
        <v>3913</v>
      </c>
      <c r="C2202" s="99" t="s">
        <v>3914</v>
      </c>
      <c r="D2202" s="38"/>
      <c r="E2202" s="42">
        <v>1</v>
      </c>
      <c r="F2202" s="9"/>
      <c r="G2202" s="8">
        <f t="shared" si="76"/>
        <v>3.3878250000000003</v>
      </c>
      <c r="H2202" s="188">
        <v>3.2265000000000001</v>
      </c>
      <c r="I2202" s="19">
        <f t="shared" si="77"/>
        <v>0</v>
      </c>
      <c r="L2202" s="131"/>
      <c r="M2202" s="131"/>
      <c r="N2202" s="131"/>
    </row>
    <row r="2203" spans="1:14" hidden="1">
      <c r="A2203" s="100" t="s">
        <v>862</v>
      </c>
      <c r="B2203" s="101" t="s">
        <v>3915</v>
      </c>
      <c r="C2203" s="99" t="s">
        <v>3916</v>
      </c>
      <c r="D2203" s="38"/>
      <c r="E2203" s="42">
        <v>1</v>
      </c>
      <c r="F2203" s="9"/>
      <c r="G2203" s="8">
        <f t="shared" si="76"/>
        <v>3.3878250000000003</v>
      </c>
      <c r="H2203" s="188">
        <v>3.2265000000000001</v>
      </c>
      <c r="I2203" s="19">
        <f t="shared" si="77"/>
        <v>0</v>
      </c>
      <c r="L2203" s="131"/>
      <c r="M2203" s="131"/>
      <c r="N2203" s="131"/>
    </row>
    <row r="2204" spans="1:14" hidden="1">
      <c r="A2204" s="100" t="s">
        <v>862</v>
      </c>
      <c r="B2204" s="101" t="s">
        <v>3917</v>
      </c>
      <c r="C2204" s="99" t="s">
        <v>3918</v>
      </c>
      <c r="D2204" s="38"/>
      <c r="E2204" s="42">
        <v>1</v>
      </c>
      <c r="F2204" s="9"/>
      <c r="G2204" s="8">
        <f t="shared" si="76"/>
        <v>3.3878250000000003</v>
      </c>
      <c r="H2204" s="188">
        <v>3.2265000000000001</v>
      </c>
      <c r="I2204" s="19">
        <f t="shared" si="77"/>
        <v>0</v>
      </c>
      <c r="L2204" s="131"/>
      <c r="M2204" s="131"/>
      <c r="N2204" s="131"/>
    </row>
    <row r="2205" spans="1:14" hidden="1">
      <c r="A2205" s="100" t="s">
        <v>862</v>
      </c>
      <c r="B2205" s="101" t="s">
        <v>3919</v>
      </c>
      <c r="C2205" s="99" t="s">
        <v>3920</v>
      </c>
      <c r="D2205" s="38"/>
      <c r="E2205" s="42">
        <v>1</v>
      </c>
      <c r="F2205" s="9"/>
      <c r="G2205" s="8">
        <f t="shared" si="76"/>
        <v>3.3878250000000003</v>
      </c>
      <c r="H2205" s="188">
        <v>3.2265000000000001</v>
      </c>
      <c r="I2205" s="19">
        <f t="shared" si="77"/>
        <v>0</v>
      </c>
      <c r="L2205" s="131"/>
      <c r="M2205" s="131"/>
      <c r="N2205" s="131"/>
    </row>
    <row r="2206" spans="1:14" hidden="1">
      <c r="A2206" s="100" t="s">
        <v>862</v>
      </c>
      <c r="B2206" s="101" t="s">
        <v>3921</v>
      </c>
      <c r="C2206" s="99" t="s">
        <v>3922</v>
      </c>
      <c r="D2206" s="38"/>
      <c r="E2206" s="42">
        <v>1</v>
      </c>
      <c r="F2206" s="9"/>
      <c r="G2206" s="8">
        <f t="shared" si="76"/>
        <v>3.3878250000000003</v>
      </c>
      <c r="H2206" s="188">
        <v>3.2265000000000001</v>
      </c>
      <c r="I2206" s="19">
        <f t="shared" si="77"/>
        <v>0</v>
      </c>
      <c r="L2206" s="131"/>
      <c r="M2206" s="131"/>
      <c r="N2206" s="131"/>
    </row>
    <row r="2207" spans="1:14" hidden="1">
      <c r="A2207" s="100" t="s">
        <v>862</v>
      </c>
      <c r="B2207" s="101" t="s">
        <v>3923</v>
      </c>
      <c r="C2207" s="99" t="s">
        <v>3924</v>
      </c>
      <c r="D2207" s="38"/>
      <c r="E2207" s="42">
        <v>1</v>
      </c>
      <c r="F2207" s="9"/>
      <c r="G2207" s="8">
        <f t="shared" si="76"/>
        <v>3.3878250000000003</v>
      </c>
      <c r="H2207" s="188">
        <v>3.2265000000000001</v>
      </c>
      <c r="I2207" s="19">
        <f t="shared" si="77"/>
        <v>0</v>
      </c>
      <c r="L2207" s="131"/>
      <c r="M2207" s="131"/>
      <c r="N2207" s="131"/>
    </row>
    <row r="2208" spans="1:14" hidden="1">
      <c r="A2208" s="100" t="s">
        <v>862</v>
      </c>
      <c r="B2208" s="101" t="s">
        <v>3925</v>
      </c>
      <c r="C2208" s="99" t="s">
        <v>3926</v>
      </c>
      <c r="D2208" s="38"/>
      <c r="E2208" s="42">
        <v>1</v>
      </c>
      <c r="F2208" s="9"/>
      <c r="G2208" s="8">
        <f t="shared" si="76"/>
        <v>3.3878250000000003</v>
      </c>
      <c r="H2208" s="188">
        <v>3.2265000000000001</v>
      </c>
      <c r="I2208" s="19">
        <f t="shared" si="77"/>
        <v>0</v>
      </c>
      <c r="L2208" s="131"/>
      <c r="M2208" s="131"/>
      <c r="N2208" s="131"/>
    </row>
    <row r="2209" spans="1:14" hidden="1">
      <c r="A2209" s="100" t="s">
        <v>862</v>
      </c>
      <c r="B2209" s="101" t="s">
        <v>3927</v>
      </c>
      <c r="C2209" s="99" t="s">
        <v>3928</v>
      </c>
      <c r="D2209" s="38"/>
      <c r="E2209" s="42">
        <v>1</v>
      </c>
      <c r="F2209" s="9"/>
      <c r="G2209" s="8">
        <f t="shared" si="76"/>
        <v>3.3878250000000003</v>
      </c>
      <c r="H2209" s="188">
        <v>3.2265000000000001</v>
      </c>
      <c r="I2209" s="19">
        <f t="shared" si="77"/>
        <v>0</v>
      </c>
      <c r="L2209" s="131"/>
      <c r="M2209" s="131"/>
      <c r="N2209" s="131"/>
    </row>
    <row r="2210" spans="1:14" hidden="1">
      <c r="A2210" s="100" t="s">
        <v>862</v>
      </c>
      <c r="B2210" s="101" t="s">
        <v>3929</v>
      </c>
      <c r="C2210" s="99" t="s">
        <v>3930</v>
      </c>
      <c r="D2210" s="38"/>
      <c r="E2210" s="42">
        <v>1</v>
      </c>
      <c r="F2210" s="9"/>
      <c r="G2210" s="8">
        <f t="shared" si="76"/>
        <v>3.3878250000000003</v>
      </c>
      <c r="H2210" s="188">
        <v>3.2265000000000001</v>
      </c>
      <c r="I2210" s="19">
        <f t="shared" si="77"/>
        <v>0</v>
      </c>
      <c r="L2210" s="131"/>
      <c r="M2210" s="131"/>
      <c r="N2210" s="131"/>
    </row>
    <row r="2211" spans="1:14" hidden="1">
      <c r="A2211" s="100" t="s">
        <v>862</v>
      </c>
      <c r="B2211" s="101" t="s">
        <v>3931</v>
      </c>
      <c r="C2211" s="99" t="s">
        <v>3932</v>
      </c>
      <c r="D2211" s="38"/>
      <c r="E2211" s="42">
        <v>1</v>
      </c>
      <c r="F2211" s="9"/>
      <c r="G2211" s="8">
        <f t="shared" si="76"/>
        <v>3.3878250000000003</v>
      </c>
      <c r="H2211" s="188">
        <v>3.2265000000000001</v>
      </c>
      <c r="I2211" s="19">
        <f t="shared" si="77"/>
        <v>0</v>
      </c>
      <c r="L2211" s="131"/>
      <c r="M2211" s="131"/>
      <c r="N2211" s="131"/>
    </row>
    <row r="2212" spans="1:14" hidden="1">
      <c r="A2212" s="100" t="s">
        <v>862</v>
      </c>
      <c r="B2212" s="101" t="s">
        <v>3933</v>
      </c>
      <c r="C2212" s="99" t="s">
        <v>3934</v>
      </c>
      <c r="D2212" s="38"/>
      <c r="E2212" s="42">
        <v>1</v>
      </c>
      <c r="F2212" s="9"/>
      <c r="G2212" s="8">
        <f t="shared" si="76"/>
        <v>3.3878250000000003</v>
      </c>
      <c r="H2212" s="188">
        <v>3.2265000000000001</v>
      </c>
      <c r="I2212" s="19">
        <f t="shared" si="77"/>
        <v>0</v>
      </c>
      <c r="L2212" s="131"/>
      <c r="M2212" s="131"/>
      <c r="N2212" s="131"/>
    </row>
    <row r="2213" spans="1:14" hidden="1">
      <c r="A2213" s="100" t="s">
        <v>862</v>
      </c>
      <c r="B2213" s="101" t="s">
        <v>3935</v>
      </c>
      <c r="C2213" s="99" t="s">
        <v>3936</v>
      </c>
      <c r="D2213" s="38"/>
      <c r="E2213" s="42">
        <v>1</v>
      </c>
      <c r="F2213" s="9"/>
      <c r="G2213" s="8">
        <f t="shared" ref="G2213:G2276" si="78">H2213+(H2213*5%)</f>
        <v>3.3878250000000003</v>
      </c>
      <c r="H2213" s="188">
        <v>3.2265000000000001</v>
      </c>
      <c r="I2213" s="19">
        <f t="shared" si="77"/>
        <v>0</v>
      </c>
      <c r="L2213" s="131"/>
      <c r="M2213" s="131"/>
      <c r="N2213" s="131"/>
    </row>
    <row r="2214" spans="1:14" hidden="1">
      <c r="A2214" s="100" t="s">
        <v>862</v>
      </c>
      <c r="B2214" s="101" t="s">
        <v>3937</v>
      </c>
      <c r="C2214" s="99" t="s">
        <v>3938</v>
      </c>
      <c r="D2214" s="38"/>
      <c r="E2214" s="42">
        <v>1</v>
      </c>
      <c r="F2214" s="9"/>
      <c r="G2214" s="8">
        <f t="shared" si="78"/>
        <v>3.3878250000000003</v>
      </c>
      <c r="H2214" s="188">
        <v>3.2265000000000001</v>
      </c>
      <c r="I2214" s="19">
        <f t="shared" si="77"/>
        <v>0</v>
      </c>
      <c r="L2214" s="131"/>
      <c r="M2214" s="131"/>
      <c r="N2214" s="131"/>
    </row>
    <row r="2215" spans="1:14" hidden="1">
      <c r="A2215" s="100" t="s">
        <v>862</v>
      </c>
      <c r="B2215" s="101" t="s">
        <v>3939</v>
      </c>
      <c r="C2215" s="99" t="s">
        <v>3940</v>
      </c>
      <c r="D2215" s="38"/>
      <c r="E2215" s="42">
        <v>1</v>
      </c>
      <c r="F2215" s="9"/>
      <c r="G2215" s="8">
        <f t="shared" si="78"/>
        <v>3.3878250000000003</v>
      </c>
      <c r="H2215" s="188">
        <v>3.2265000000000001</v>
      </c>
      <c r="I2215" s="19">
        <f t="shared" ref="I2215:I2278" si="79">G2215*F2215</f>
        <v>0</v>
      </c>
      <c r="L2215" s="131"/>
      <c r="M2215" s="131"/>
      <c r="N2215" s="131"/>
    </row>
    <row r="2216" spans="1:14" hidden="1">
      <c r="A2216" s="100" t="s">
        <v>862</v>
      </c>
      <c r="B2216" s="101" t="s">
        <v>3941</v>
      </c>
      <c r="C2216" s="99" t="s">
        <v>3942</v>
      </c>
      <c r="D2216" s="38"/>
      <c r="E2216" s="42">
        <v>1</v>
      </c>
      <c r="F2216" s="9"/>
      <c r="G2216" s="8">
        <f t="shared" si="78"/>
        <v>3.3878250000000003</v>
      </c>
      <c r="H2216" s="188">
        <v>3.2265000000000001</v>
      </c>
      <c r="I2216" s="19">
        <f t="shared" si="79"/>
        <v>0</v>
      </c>
      <c r="L2216" s="131"/>
      <c r="M2216" s="131"/>
      <c r="N2216" s="131"/>
    </row>
    <row r="2217" spans="1:14" hidden="1">
      <c r="A2217" s="100" t="s">
        <v>862</v>
      </c>
      <c r="B2217" s="101" t="s">
        <v>3943</v>
      </c>
      <c r="C2217" s="99" t="s">
        <v>3944</v>
      </c>
      <c r="D2217" s="38"/>
      <c r="E2217" s="42">
        <v>1</v>
      </c>
      <c r="F2217" s="9"/>
      <c r="G2217" s="8">
        <f t="shared" si="78"/>
        <v>3.3878250000000003</v>
      </c>
      <c r="H2217" s="188">
        <v>3.2265000000000001</v>
      </c>
      <c r="I2217" s="19">
        <f t="shared" si="79"/>
        <v>0</v>
      </c>
      <c r="L2217" s="131"/>
      <c r="M2217" s="131"/>
      <c r="N2217" s="131"/>
    </row>
    <row r="2218" spans="1:14" hidden="1">
      <c r="A2218" s="100" t="s">
        <v>862</v>
      </c>
      <c r="B2218" s="101" t="s">
        <v>3945</v>
      </c>
      <c r="C2218" s="99" t="s">
        <v>3946</v>
      </c>
      <c r="D2218" s="38"/>
      <c r="E2218" s="42">
        <v>1</v>
      </c>
      <c r="F2218" s="9"/>
      <c r="G2218" s="8">
        <f t="shared" si="78"/>
        <v>3.3878250000000003</v>
      </c>
      <c r="H2218" s="188">
        <v>3.2265000000000001</v>
      </c>
      <c r="I2218" s="19">
        <f t="shared" si="79"/>
        <v>0</v>
      </c>
      <c r="L2218" s="131"/>
      <c r="M2218" s="131"/>
      <c r="N2218" s="131"/>
    </row>
    <row r="2219" spans="1:14" hidden="1">
      <c r="A2219" s="100" t="s">
        <v>862</v>
      </c>
      <c r="B2219" s="101" t="s">
        <v>3947</v>
      </c>
      <c r="C2219" s="99" t="s">
        <v>3948</v>
      </c>
      <c r="D2219" s="38"/>
      <c r="E2219" s="42">
        <v>1</v>
      </c>
      <c r="F2219" s="9"/>
      <c r="G2219" s="8">
        <f t="shared" si="78"/>
        <v>3.3878250000000003</v>
      </c>
      <c r="H2219" s="188">
        <v>3.2265000000000001</v>
      </c>
      <c r="I2219" s="19">
        <f t="shared" si="79"/>
        <v>0</v>
      </c>
      <c r="L2219" s="131"/>
      <c r="M2219" s="131"/>
      <c r="N2219" s="131"/>
    </row>
    <row r="2220" spans="1:14" hidden="1">
      <c r="A2220" s="100" t="s">
        <v>862</v>
      </c>
      <c r="B2220" s="101" t="s">
        <v>3949</v>
      </c>
      <c r="C2220" s="99" t="s">
        <v>3950</v>
      </c>
      <c r="D2220" s="38"/>
      <c r="E2220" s="42">
        <v>1</v>
      </c>
      <c r="F2220" s="9"/>
      <c r="G2220" s="8">
        <f t="shared" si="78"/>
        <v>3.3878250000000003</v>
      </c>
      <c r="H2220" s="188">
        <v>3.2265000000000001</v>
      </c>
      <c r="I2220" s="19">
        <f t="shared" si="79"/>
        <v>0</v>
      </c>
      <c r="L2220" s="131"/>
      <c r="M2220" s="131"/>
      <c r="N2220" s="131"/>
    </row>
    <row r="2221" spans="1:14" hidden="1">
      <c r="A2221" s="100" t="s">
        <v>862</v>
      </c>
      <c r="B2221" s="101" t="s">
        <v>3951</v>
      </c>
      <c r="C2221" s="99" t="s">
        <v>3952</v>
      </c>
      <c r="D2221" s="38"/>
      <c r="E2221" s="42">
        <v>1</v>
      </c>
      <c r="F2221" s="9"/>
      <c r="G2221" s="8">
        <f t="shared" si="78"/>
        <v>3.3878250000000003</v>
      </c>
      <c r="H2221" s="188">
        <v>3.2265000000000001</v>
      </c>
      <c r="I2221" s="19">
        <f t="shared" si="79"/>
        <v>0</v>
      </c>
      <c r="L2221" s="131"/>
      <c r="M2221" s="131"/>
      <c r="N2221" s="131"/>
    </row>
    <row r="2222" spans="1:14" hidden="1">
      <c r="A2222" s="100" t="s">
        <v>862</v>
      </c>
      <c r="B2222" s="101" t="s">
        <v>3953</v>
      </c>
      <c r="C2222" s="99" t="s">
        <v>3954</v>
      </c>
      <c r="D2222" s="38"/>
      <c r="E2222" s="42">
        <v>1</v>
      </c>
      <c r="F2222" s="9"/>
      <c r="G2222" s="8">
        <f t="shared" si="78"/>
        <v>3.3878250000000003</v>
      </c>
      <c r="H2222" s="188">
        <v>3.2265000000000001</v>
      </c>
      <c r="I2222" s="19">
        <f t="shared" si="79"/>
        <v>0</v>
      </c>
      <c r="L2222" s="131"/>
      <c r="M2222" s="131"/>
      <c r="N2222" s="131"/>
    </row>
    <row r="2223" spans="1:14" hidden="1">
      <c r="A2223" s="100" t="s">
        <v>862</v>
      </c>
      <c r="B2223" s="101" t="s">
        <v>3955</v>
      </c>
      <c r="C2223" s="99" t="s">
        <v>3956</v>
      </c>
      <c r="D2223" s="38"/>
      <c r="E2223" s="42">
        <v>1</v>
      </c>
      <c r="F2223" s="9"/>
      <c r="G2223" s="8">
        <f t="shared" si="78"/>
        <v>3.3878250000000003</v>
      </c>
      <c r="H2223" s="188">
        <v>3.2265000000000001</v>
      </c>
      <c r="I2223" s="19">
        <f t="shared" si="79"/>
        <v>0</v>
      </c>
      <c r="L2223" s="131"/>
      <c r="M2223" s="131"/>
      <c r="N2223" s="131"/>
    </row>
    <row r="2224" spans="1:14" hidden="1">
      <c r="A2224" s="100" t="s">
        <v>862</v>
      </c>
      <c r="B2224" s="101" t="s">
        <v>3957</v>
      </c>
      <c r="C2224" s="99" t="s">
        <v>3958</v>
      </c>
      <c r="D2224" s="38"/>
      <c r="E2224" s="42">
        <v>1</v>
      </c>
      <c r="F2224" s="9"/>
      <c r="G2224" s="8">
        <f t="shared" si="78"/>
        <v>3.3878250000000003</v>
      </c>
      <c r="H2224" s="188">
        <v>3.2265000000000001</v>
      </c>
      <c r="I2224" s="19">
        <f t="shared" si="79"/>
        <v>0</v>
      </c>
      <c r="L2224" s="131"/>
      <c r="M2224" s="131"/>
      <c r="N2224" s="131"/>
    </row>
    <row r="2225" spans="1:14" hidden="1">
      <c r="A2225" s="100" t="s">
        <v>862</v>
      </c>
      <c r="B2225" s="101" t="s">
        <v>3959</v>
      </c>
      <c r="C2225" s="99" t="s">
        <v>3960</v>
      </c>
      <c r="D2225" s="38"/>
      <c r="E2225" s="42">
        <v>1</v>
      </c>
      <c r="F2225" s="9"/>
      <c r="G2225" s="8">
        <f t="shared" si="78"/>
        <v>3.3878250000000003</v>
      </c>
      <c r="H2225" s="188">
        <v>3.2265000000000001</v>
      </c>
      <c r="I2225" s="19">
        <f t="shared" si="79"/>
        <v>0</v>
      </c>
      <c r="L2225" s="131"/>
      <c r="M2225" s="131"/>
      <c r="N2225" s="131"/>
    </row>
    <row r="2226" spans="1:14" hidden="1">
      <c r="A2226" s="100" t="s">
        <v>862</v>
      </c>
      <c r="B2226" s="101" t="s">
        <v>3961</v>
      </c>
      <c r="C2226" s="99" t="s">
        <v>3962</v>
      </c>
      <c r="D2226" s="38"/>
      <c r="E2226" s="42">
        <v>1</v>
      </c>
      <c r="F2226" s="9"/>
      <c r="G2226" s="8">
        <f t="shared" si="78"/>
        <v>3.3878250000000003</v>
      </c>
      <c r="H2226" s="188">
        <v>3.2265000000000001</v>
      </c>
      <c r="I2226" s="19">
        <f t="shared" si="79"/>
        <v>0</v>
      </c>
      <c r="L2226" s="131"/>
      <c r="M2226" s="131"/>
      <c r="N2226" s="131"/>
    </row>
    <row r="2227" spans="1:14" hidden="1">
      <c r="A2227" s="100" t="s">
        <v>862</v>
      </c>
      <c r="B2227" s="101" t="s">
        <v>3963</v>
      </c>
      <c r="C2227" s="99" t="s">
        <v>3964</v>
      </c>
      <c r="D2227" s="38"/>
      <c r="E2227" s="42">
        <v>1</v>
      </c>
      <c r="F2227" s="9"/>
      <c r="G2227" s="8">
        <f t="shared" si="78"/>
        <v>3.3878250000000003</v>
      </c>
      <c r="H2227" s="188">
        <v>3.2265000000000001</v>
      </c>
      <c r="I2227" s="19">
        <f t="shared" si="79"/>
        <v>0</v>
      </c>
      <c r="L2227" s="131"/>
      <c r="M2227" s="131"/>
      <c r="N2227" s="131"/>
    </row>
    <row r="2228" spans="1:14" hidden="1">
      <c r="A2228" s="100" t="s">
        <v>862</v>
      </c>
      <c r="B2228" s="101" t="s">
        <v>3965</v>
      </c>
      <c r="C2228" s="99" t="s">
        <v>3966</v>
      </c>
      <c r="D2228" s="38"/>
      <c r="E2228" s="42">
        <v>1</v>
      </c>
      <c r="F2228" s="9"/>
      <c r="G2228" s="8">
        <f t="shared" si="78"/>
        <v>3.3878250000000003</v>
      </c>
      <c r="H2228" s="188">
        <v>3.2265000000000001</v>
      </c>
      <c r="I2228" s="19">
        <f t="shared" si="79"/>
        <v>0</v>
      </c>
      <c r="L2228" s="131"/>
      <c r="M2228" s="131"/>
      <c r="N2228" s="131"/>
    </row>
    <row r="2229" spans="1:14" hidden="1">
      <c r="A2229" s="100" t="s">
        <v>862</v>
      </c>
      <c r="B2229" s="101" t="s">
        <v>3967</v>
      </c>
      <c r="C2229" s="99" t="s">
        <v>3968</v>
      </c>
      <c r="D2229" s="38"/>
      <c r="E2229" s="42">
        <v>1</v>
      </c>
      <c r="F2229" s="9"/>
      <c r="G2229" s="8">
        <f t="shared" si="78"/>
        <v>2.0133749999999999</v>
      </c>
      <c r="H2229" s="188">
        <v>1.9175</v>
      </c>
      <c r="I2229" s="19">
        <f t="shared" si="79"/>
        <v>0</v>
      </c>
      <c r="L2229" s="131"/>
      <c r="M2229" s="131"/>
      <c r="N2229" s="131"/>
    </row>
    <row r="2230" spans="1:14" hidden="1">
      <c r="A2230" s="100" t="s">
        <v>862</v>
      </c>
      <c r="B2230" s="101" t="s">
        <v>3969</v>
      </c>
      <c r="C2230" s="99" t="s">
        <v>3970</v>
      </c>
      <c r="D2230" s="38"/>
      <c r="E2230" s="42">
        <v>1</v>
      </c>
      <c r="F2230" s="9"/>
      <c r="G2230" s="8">
        <f t="shared" si="78"/>
        <v>2.0133749999999999</v>
      </c>
      <c r="H2230" s="188">
        <v>1.9175</v>
      </c>
      <c r="I2230" s="19">
        <f t="shared" si="79"/>
        <v>0</v>
      </c>
      <c r="L2230" s="131"/>
      <c r="M2230" s="131"/>
      <c r="N2230" s="131"/>
    </row>
    <row r="2231" spans="1:14" hidden="1">
      <c r="A2231" s="100" t="s">
        <v>862</v>
      </c>
      <c r="B2231" s="101" t="s">
        <v>3971</v>
      </c>
      <c r="C2231" s="99" t="s">
        <v>3972</v>
      </c>
      <c r="D2231" s="38"/>
      <c r="E2231" s="42">
        <v>1</v>
      </c>
      <c r="F2231" s="9"/>
      <c r="G2231" s="8">
        <f t="shared" si="78"/>
        <v>2.0133749999999999</v>
      </c>
      <c r="H2231" s="188">
        <v>1.9175</v>
      </c>
      <c r="I2231" s="19">
        <f t="shared" si="79"/>
        <v>0</v>
      </c>
      <c r="L2231" s="131"/>
      <c r="M2231" s="131"/>
      <c r="N2231" s="131"/>
    </row>
    <row r="2232" spans="1:14" hidden="1">
      <c r="A2232" s="100" t="s">
        <v>862</v>
      </c>
      <c r="B2232" s="101" t="s">
        <v>3973</v>
      </c>
      <c r="C2232" s="99" t="s">
        <v>3974</v>
      </c>
      <c r="D2232" s="38"/>
      <c r="E2232" s="42">
        <v>1</v>
      </c>
      <c r="F2232" s="9"/>
      <c r="G2232" s="8">
        <f t="shared" si="78"/>
        <v>3.2418749999999998</v>
      </c>
      <c r="H2232" s="188">
        <v>3.0874999999999999</v>
      </c>
      <c r="I2232" s="19">
        <f t="shared" si="79"/>
        <v>0</v>
      </c>
      <c r="L2232" s="131"/>
      <c r="M2232" s="131"/>
      <c r="N2232" s="131"/>
    </row>
    <row r="2233" spans="1:14" hidden="1">
      <c r="A2233" s="100" t="s">
        <v>862</v>
      </c>
      <c r="B2233" s="101" t="s">
        <v>3975</v>
      </c>
      <c r="C2233" s="99" t="s">
        <v>3976</v>
      </c>
      <c r="D2233" s="38"/>
      <c r="E2233" s="42">
        <v>1</v>
      </c>
      <c r="F2233" s="9"/>
      <c r="G2233" s="8">
        <f t="shared" si="78"/>
        <v>3.2418749999999998</v>
      </c>
      <c r="H2233" s="188">
        <v>3.0874999999999999</v>
      </c>
      <c r="I2233" s="19">
        <f t="shared" si="79"/>
        <v>0</v>
      </c>
      <c r="L2233" s="131"/>
      <c r="M2233" s="131"/>
      <c r="N2233" s="131"/>
    </row>
    <row r="2234" spans="1:14" hidden="1">
      <c r="A2234" s="100" t="s">
        <v>862</v>
      </c>
      <c r="B2234" s="101" t="s">
        <v>3977</v>
      </c>
      <c r="C2234" s="99" t="s">
        <v>3978</v>
      </c>
      <c r="D2234" s="38"/>
      <c r="E2234" s="42">
        <v>1</v>
      </c>
      <c r="F2234" s="9"/>
      <c r="G2234" s="8">
        <f t="shared" si="78"/>
        <v>3.2418749999999998</v>
      </c>
      <c r="H2234" s="188">
        <v>3.0874999999999999</v>
      </c>
      <c r="I2234" s="19">
        <f t="shared" si="79"/>
        <v>0</v>
      </c>
      <c r="L2234" s="131"/>
      <c r="M2234" s="131"/>
      <c r="N2234" s="131"/>
    </row>
    <row r="2235" spans="1:14" hidden="1">
      <c r="A2235" s="100" t="s">
        <v>862</v>
      </c>
      <c r="B2235" s="101" t="s">
        <v>3979</v>
      </c>
      <c r="C2235" s="99" t="s">
        <v>3980</v>
      </c>
      <c r="D2235" s="38"/>
      <c r="E2235" s="42">
        <v>1</v>
      </c>
      <c r="F2235" s="9"/>
      <c r="G2235" s="8">
        <f t="shared" si="78"/>
        <v>3.2418749999999998</v>
      </c>
      <c r="H2235" s="188">
        <v>3.0874999999999999</v>
      </c>
      <c r="I2235" s="19">
        <f t="shared" si="79"/>
        <v>0</v>
      </c>
      <c r="L2235" s="131"/>
      <c r="M2235" s="131"/>
      <c r="N2235" s="131"/>
    </row>
    <row r="2236" spans="1:14" hidden="1">
      <c r="A2236" s="100" t="s">
        <v>862</v>
      </c>
      <c r="B2236" s="101" t="s">
        <v>3981</v>
      </c>
      <c r="C2236" s="99" t="s">
        <v>3982</v>
      </c>
      <c r="D2236" s="38"/>
      <c r="E2236" s="42">
        <v>1</v>
      </c>
      <c r="F2236" s="9"/>
      <c r="G2236" s="8">
        <f t="shared" si="78"/>
        <v>0.80587500000000001</v>
      </c>
      <c r="H2236" s="188">
        <v>0.76749999999999996</v>
      </c>
      <c r="I2236" s="19">
        <f t="shared" si="79"/>
        <v>0</v>
      </c>
      <c r="L2236" s="131"/>
      <c r="M2236" s="131"/>
      <c r="N2236" s="131"/>
    </row>
    <row r="2237" spans="1:14" hidden="1">
      <c r="A2237" s="100" t="s">
        <v>862</v>
      </c>
      <c r="B2237" s="101" t="s">
        <v>3983</v>
      </c>
      <c r="C2237" s="99" t="s">
        <v>3984</v>
      </c>
      <c r="D2237" s="38"/>
      <c r="E2237" s="42">
        <v>1</v>
      </c>
      <c r="F2237" s="9"/>
      <c r="G2237" s="8">
        <f t="shared" si="78"/>
        <v>0.80587500000000001</v>
      </c>
      <c r="H2237" s="188">
        <v>0.76749999999999996</v>
      </c>
      <c r="I2237" s="19">
        <f t="shared" si="79"/>
        <v>0</v>
      </c>
      <c r="L2237" s="131"/>
      <c r="M2237" s="131"/>
      <c r="N2237" s="131"/>
    </row>
    <row r="2238" spans="1:14" hidden="1">
      <c r="A2238" s="100" t="s">
        <v>862</v>
      </c>
      <c r="B2238" s="101" t="s">
        <v>3985</v>
      </c>
      <c r="C2238" s="99" t="s">
        <v>3986</v>
      </c>
      <c r="D2238" s="38"/>
      <c r="E2238" s="42">
        <v>1</v>
      </c>
      <c r="F2238" s="9"/>
      <c r="G2238" s="8">
        <f t="shared" si="78"/>
        <v>0.80587500000000001</v>
      </c>
      <c r="H2238" s="188">
        <v>0.76749999999999996</v>
      </c>
      <c r="I2238" s="19">
        <f t="shared" si="79"/>
        <v>0</v>
      </c>
      <c r="L2238" s="131"/>
      <c r="M2238" s="131"/>
      <c r="N2238" s="131"/>
    </row>
    <row r="2239" spans="1:14" hidden="1">
      <c r="A2239" s="100" t="s">
        <v>862</v>
      </c>
      <c r="B2239" s="101" t="s">
        <v>3987</v>
      </c>
      <c r="C2239" s="99" t="s">
        <v>3988</v>
      </c>
      <c r="D2239" s="38"/>
      <c r="E2239" s="42">
        <v>1</v>
      </c>
      <c r="F2239" s="9"/>
      <c r="G2239" s="8">
        <f t="shared" si="78"/>
        <v>0.94762499999999994</v>
      </c>
      <c r="H2239" s="188">
        <v>0.90249999999999997</v>
      </c>
      <c r="I2239" s="19">
        <f t="shared" si="79"/>
        <v>0</v>
      </c>
      <c r="L2239" s="131"/>
      <c r="M2239" s="131"/>
      <c r="N2239" s="131"/>
    </row>
    <row r="2240" spans="1:14" hidden="1">
      <c r="A2240" s="100" t="s">
        <v>862</v>
      </c>
      <c r="B2240" s="101" t="s">
        <v>3989</v>
      </c>
      <c r="C2240" s="99" t="s">
        <v>3990</v>
      </c>
      <c r="D2240" s="38"/>
      <c r="E2240" s="42">
        <v>1</v>
      </c>
      <c r="F2240" s="9"/>
      <c r="G2240" s="8">
        <f t="shared" si="78"/>
        <v>0.67882500000000001</v>
      </c>
      <c r="H2240" s="188">
        <v>0.64649999999999996</v>
      </c>
      <c r="I2240" s="19">
        <f t="shared" si="79"/>
        <v>0</v>
      </c>
      <c r="L2240" s="131"/>
      <c r="M2240" s="131"/>
      <c r="N2240" s="131"/>
    </row>
    <row r="2241" spans="1:14" hidden="1">
      <c r="A2241" s="100" t="s">
        <v>862</v>
      </c>
      <c r="B2241" s="101" t="s">
        <v>3991</v>
      </c>
      <c r="C2241" s="99" t="s">
        <v>3992</v>
      </c>
      <c r="D2241" s="38"/>
      <c r="E2241" s="42">
        <v>1</v>
      </c>
      <c r="F2241" s="9"/>
      <c r="G2241" s="8">
        <f t="shared" si="78"/>
        <v>0.67882500000000001</v>
      </c>
      <c r="H2241" s="188">
        <v>0.64649999999999996</v>
      </c>
      <c r="I2241" s="19">
        <f t="shared" si="79"/>
        <v>0</v>
      </c>
      <c r="L2241" s="131"/>
      <c r="M2241" s="131"/>
      <c r="N2241" s="131"/>
    </row>
    <row r="2242" spans="1:14" hidden="1">
      <c r="A2242" s="100" t="s">
        <v>862</v>
      </c>
      <c r="B2242" s="101" t="s">
        <v>3993</v>
      </c>
      <c r="C2242" s="99" t="s">
        <v>3994</v>
      </c>
      <c r="D2242" s="38"/>
      <c r="E2242" s="42">
        <v>1</v>
      </c>
      <c r="F2242" s="9"/>
      <c r="G2242" s="8">
        <f t="shared" si="78"/>
        <v>0.67882500000000001</v>
      </c>
      <c r="H2242" s="188">
        <v>0.64649999999999996</v>
      </c>
      <c r="I2242" s="19">
        <f t="shared" si="79"/>
        <v>0</v>
      </c>
      <c r="L2242" s="131"/>
      <c r="M2242" s="131"/>
      <c r="N2242" s="131"/>
    </row>
    <row r="2243" spans="1:14" hidden="1">
      <c r="A2243" s="100" t="s">
        <v>862</v>
      </c>
      <c r="B2243" s="101" t="s">
        <v>3995</v>
      </c>
      <c r="C2243" s="99" t="s">
        <v>3996</v>
      </c>
      <c r="D2243" s="38"/>
      <c r="E2243" s="42">
        <v>1</v>
      </c>
      <c r="F2243" s="9"/>
      <c r="G2243" s="8">
        <f t="shared" si="78"/>
        <v>1.008</v>
      </c>
      <c r="H2243" s="188">
        <v>0.96</v>
      </c>
      <c r="I2243" s="19">
        <f t="shared" si="79"/>
        <v>0</v>
      </c>
      <c r="L2243" s="131"/>
      <c r="M2243" s="131"/>
      <c r="N2243" s="131"/>
    </row>
    <row r="2244" spans="1:14" hidden="1">
      <c r="A2244" s="100" t="s">
        <v>862</v>
      </c>
      <c r="B2244" s="101" t="s">
        <v>3997</v>
      </c>
      <c r="C2244" s="99" t="s">
        <v>3998</v>
      </c>
      <c r="D2244" s="38"/>
      <c r="E2244" s="42">
        <v>1</v>
      </c>
      <c r="F2244" s="9"/>
      <c r="G2244" s="8">
        <f t="shared" si="78"/>
        <v>1.218</v>
      </c>
      <c r="H2244" s="188">
        <v>1.1599999999999999</v>
      </c>
      <c r="I2244" s="19">
        <f t="shared" si="79"/>
        <v>0</v>
      </c>
      <c r="L2244" s="131"/>
      <c r="M2244" s="131"/>
      <c r="N2244" s="131"/>
    </row>
    <row r="2245" spans="1:14" hidden="1">
      <c r="A2245" s="100" t="s">
        <v>862</v>
      </c>
      <c r="B2245" s="101" t="s">
        <v>3999</v>
      </c>
      <c r="C2245" s="99" t="s">
        <v>4000</v>
      </c>
      <c r="D2245" s="38"/>
      <c r="E2245" s="42">
        <v>1</v>
      </c>
      <c r="F2245" s="9"/>
      <c r="G2245" s="8">
        <f t="shared" si="78"/>
        <v>1.218</v>
      </c>
      <c r="H2245" s="188">
        <v>1.1599999999999999</v>
      </c>
      <c r="I2245" s="19">
        <f t="shared" si="79"/>
        <v>0</v>
      </c>
      <c r="L2245" s="131"/>
      <c r="M2245" s="131"/>
      <c r="N2245" s="131"/>
    </row>
    <row r="2246" spans="1:14" hidden="1">
      <c r="A2246" s="100" t="s">
        <v>862</v>
      </c>
      <c r="B2246" s="101" t="s">
        <v>4001</v>
      </c>
      <c r="C2246" s="99" t="s">
        <v>4002</v>
      </c>
      <c r="D2246" s="38"/>
      <c r="E2246" s="42">
        <v>1</v>
      </c>
      <c r="F2246" s="9"/>
      <c r="G2246" s="8">
        <f t="shared" si="78"/>
        <v>1.218</v>
      </c>
      <c r="H2246" s="188">
        <v>1.1599999999999999</v>
      </c>
      <c r="I2246" s="19">
        <f t="shared" si="79"/>
        <v>0</v>
      </c>
      <c r="L2246" s="131"/>
      <c r="M2246" s="131"/>
      <c r="N2246" s="131"/>
    </row>
    <row r="2247" spans="1:14" hidden="1">
      <c r="A2247" s="100" t="s">
        <v>862</v>
      </c>
      <c r="B2247" s="101" t="s">
        <v>4003</v>
      </c>
      <c r="C2247" s="99" t="s">
        <v>4004</v>
      </c>
      <c r="D2247" s="38"/>
      <c r="E2247" s="42">
        <v>1</v>
      </c>
      <c r="F2247" s="9"/>
      <c r="G2247" s="8">
        <f t="shared" si="78"/>
        <v>1.218</v>
      </c>
      <c r="H2247" s="188">
        <v>1.1599999999999999</v>
      </c>
      <c r="I2247" s="19">
        <f t="shared" si="79"/>
        <v>0</v>
      </c>
      <c r="L2247" s="131"/>
      <c r="M2247" s="131"/>
      <c r="N2247" s="131"/>
    </row>
    <row r="2248" spans="1:14" hidden="1">
      <c r="A2248" s="100" t="s">
        <v>862</v>
      </c>
      <c r="B2248" s="101" t="s">
        <v>4005</v>
      </c>
      <c r="C2248" s="99" t="s">
        <v>4006</v>
      </c>
      <c r="D2248" s="38"/>
      <c r="E2248" s="42">
        <v>1</v>
      </c>
      <c r="F2248" s="9"/>
      <c r="G2248" s="8">
        <f t="shared" si="78"/>
        <v>0.32024999999999998</v>
      </c>
      <c r="H2248" s="188">
        <v>0.30499999999999999</v>
      </c>
      <c r="I2248" s="19">
        <f t="shared" si="79"/>
        <v>0</v>
      </c>
      <c r="L2248" s="131"/>
      <c r="M2248" s="131"/>
      <c r="N2248" s="131"/>
    </row>
    <row r="2249" spans="1:14" hidden="1">
      <c r="A2249" s="100" t="s">
        <v>862</v>
      </c>
      <c r="B2249" s="101" t="s">
        <v>4007</v>
      </c>
      <c r="C2249" s="99" t="s">
        <v>4008</v>
      </c>
      <c r="D2249" s="38"/>
      <c r="E2249" s="42">
        <v>1</v>
      </c>
      <c r="F2249" s="9"/>
      <c r="G2249" s="8">
        <f t="shared" si="78"/>
        <v>1.218</v>
      </c>
      <c r="H2249" s="188">
        <v>1.1599999999999999</v>
      </c>
      <c r="I2249" s="19">
        <f t="shared" si="79"/>
        <v>0</v>
      </c>
      <c r="L2249" s="131"/>
      <c r="M2249" s="131"/>
      <c r="N2249" s="131"/>
    </row>
    <row r="2250" spans="1:14" hidden="1">
      <c r="A2250" s="100" t="s">
        <v>862</v>
      </c>
      <c r="B2250" s="101" t="s">
        <v>4009</v>
      </c>
      <c r="C2250" s="99" t="s">
        <v>4010</v>
      </c>
      <c r="D2250" s="38"/>
      <c r="E2250" s="42">
        <v>1</v>
      </c>
      <c r="F2250" s="9"/>
      <c r="G2250" s="8">
        <f t="shared" si="78"/>
        <v>0.26774999999999999</v>
      </c>
      <c r="H2250" s="188">
        <v>0.255</v>
      </c>
      <c r="I2250" s="19">
        <f t="shared" si="79"/>
        <v>0</v>
      </c>
      <c r="L2250" s="131"/>
      <c r="M2250" s="131"/>
      <c r="N2250" s="131"/>
    </row>
    <row r="2251" spans="1:14" hidden="1">
      <c r="A2251" s="100" t="s">
        <v>862</v>
      </c>
      <c r="B2251" s="101" t="s">
        <v>4011</v>
      </c>
      <c r="C2251" s="99" t="s">
        <v>4012</v>
      </c>
      <c r="D2251" s="38"/>
      <c r="E2251" s="42">
        <v>1</v>
      </c>
      <c r="F2251" s="9"/>
      <c r="G2251" s="8">
        <f t="shared" si="78"/>
        <v>0.316575</v>
      </c>
      <c r="H2251" s="188">
        <v>0.30149999999999999</v>
      </c>
      <c r="I2251" s="19">
        <f t="shared" si="79"/>
        <v>0</v>
      </c>
      <c r="L2251" s="131"/>
      <c r="M2251" s="131"/>
      <c r="N2251" s="131"/>
    </row>
    <row r="2252" spans="1:14" hidden="1">
      <c r="A2252" s="100" t="s">
        <v>862</v>
      </c>
      <c r="B2252" s="101" t="s">
        <v>4013</v>
      </c>
      <c r="C2252" s="99" t="s">
        <v>4014</v>
      </c>
      <c r="D2252" s="38"/>
      <c r="E2252" s="42">
        <v>1</v>
      </c>
      <c r="F2252" s="9"/>
      <c r="G2252" s="8">
        <f t="shared" si="78"/>
        <v>0.27195000000000003</v>
      </c>
      <c r="H2252" s="188">
        <v>0.25900000000000001</v>
      </c>
      <c r="I2252" s="19">
        <f t="shared" si="79"/>
        <v>0</v>
      </c>
      <c r="L2252" s="131"/>
      <c r="M2252" s="131"/>
      <c r="N2252" s="131"/>
    </row>
    <row r="2253" spans="1:14" hidden="1">
      <c r="A2253" s="100" t="s">
        <v>862</v>
      </c>
      <c r="B2253" s="101" t="s">
        <v>4015</v>
      </c>
      <c r="C2253" s="99" t="s">
        <v>4016</v>
      </c>
      <c r="D2253" s="38"/>
      <c r="E2253" s="42">
        <v>1</v>
      </c>
      <c r="F2253" s="9"/>
      <c r="G2253" s="8">
        <f t="shared" si="78"/>
        <v>0.27195000000000003</v>
      </c>
      <c r="H2253" s="188">
        <v>0.25900000000000001</v>
      </c>
      <c r="I2253" s="19">
        <f t="shared" si="79"/>
        <v>0</v>
      </c>
      <c r="L2253" s="131"/>
      <c r="M2253" s="131"/>
      <c r="N2253" s="131"/>
    </row>
    <row r="2254" spans="1:14" hidden="1">
      <c r="A2254" s="100" t="s">
        <v>862</v>
      </c>
      <c r="B2254" s="101" t="s">
        <v>4017</v>
      </c>
      <c r="C2254" s="99" t="s">
        <v>4018</v>
      </c>
      <c r="D2254" s="38"/>
      <c r="E2254" s="42">
        <v>1</v>
      </c>
      <c r="F2254" s="9"/>
      <c r="G2254" s="8">
        <f t="shared" si="78"/>
        <v>11.614575</v>
      </c>
      <c r="H2254" s="188">
        <v>11.061500000000001</v>
      </c>
      <c r="I2254" s="19">
        <f t="shared" si="79"/>
        <v>0</v>
      </c>
      <c r="L2254" s="131"/>
      <c r="M2254" s="131"/>
      <c r="N2254" s="131"/>
    </row>
    <row r="2255" spans="1:14" hidden="1">
      <c r="A2255" s="100" t="s">
        <v>862</v>
      </c>
      <c r="B2255" s="101" t="s">
        <v>4019</v>
      </c>
      <c r="C2255" s="99" t="s">
        <v>4020</v>
      </c>
      <c r="D2255" s="38"/>
      <c r="E2255" s="42">
        <v>1</v>
      </c>
      <c r="F2255" s="9"/>
      <c r="G2255" s="8">
        <f t="shared" si="78"/>
        <v>1.488375</v>
      </c>
      <c r="H2255" s="188">
        <v>1.4175</v>
      </c>
      <c r="I2255" s="19">
        <f t="shared" si="79"/>
        <v>0</v>
      </c>
      <c r="L2255" s="131"/>
      <c r="M2255" s="131"/>
      <c r="N2255" s="131"/>
    </row>
    <row r="2256" spans="1:14" hidden="1">
      <c r="A2256" s="100" t="s">
        <v>862</v>
      </c>
      <c r="B2256" s="101" t="s">
        <v>4021</v>
      </c>
      <c r="C2256" s="99" t="s">
        <v>4022</v>
      </c>
      <c r="D2256" s="38"/>
      <c r="E2256" s="42">
        <v>1</v>
      </c>
      <c r="F2256" s="9"/>
      <c r="G2256" s="8">
        <f t="shared" si="78"/>
        <v>1.9598250000000002</v>
      </c>
      <c r="H2256" s="188">
        <v>1.8665</v>
      </c>
      <c r="I2256" s="19">
        <f t="shared" si="79"/>
        <v>0</v>
      </c>
      <c r="L2256" s="131"/>
      <c r="M2256" s="131"/>
      <c r="N2256" s="131"/>
    </row>
    <row r="2257" spans="1:14" hidden="1">
      <c r="A2257" s="100" t="s">
        <v>862</v>
      </c>
      <c r="B2257" s="101" t="s">
        <v>4023</v>
      </c>
      <c r="C2257" s="99" t="s">
        <v>4024</v>
      </c>
      <c r="D2257" s="38"/>
      <c r="E2257" s="42">
        <v>1</v>
      </c>
      <c r="F2257" s="9"/>
      <c r="G2257" s="8">
        <f t="shared" si="78"/>
        <v>0.63</v>
      </c>
      <c r="H2257" s="188">
        <v>0.6</v>
      </c>
      <c r="I2257" s="19">
        <f t="shared" si="79"/>
        <v>0</v>
      </c>
      <c r="L2257" s="131"/>
      <c r="M2257" s="131"/>
      <c r="N2257" s="131"/>
    </row>
    <row r="2258" spans="1:14" hidden="1">
      <c r="A2258" s="100" t="s">
        <v>862</v>
      </c>
      <c r="B2258" s="101" t="s">
        <v>4025</v>
      </c>
      <c r="C2258" s="99" t="s">
        <v>4026</v>
      </c>
      <c r="D2258" s="38"/>
      <c r="E2258" s="42">
        <v>1</v>
      </c>
      <c r="F2258" s="9"/>
      <c r="G2258" s="8">
        <f t="shared" si="78"/>
        <v>1.3482000000000001</v>
      </c>
      <c r="H2258" s="188">
        <v>1.284</v>
      </c>
      <c r="I2258" s="19">
        <f t="shared" si="79"/>
        <v>0</v>
      </c>
      <c r="L2258" s="131"/>
      <c r="M2258" s="131"/>
      <c r="N2258" s="131"/>
    </row>
    <row r="2259" spans="1:14" hidden="1">
      <c r="A2259" s="100" t="s">
        <v>862</v>
      </c>
      <c r="B2259" s="101" t="s">
        <v>4027</v>
      </c>
      <c r="C2259" s="99" t="s">
        <v>4028</v>
      </c>
      <c r="D2259" s="38"/>
      <c r="E2259" s="42">
        <v>1</v>
      </c>
      <c r="F2259" s="9"/>
      <c r="G2259" s="8">
        <f t="shared" si="78"/>
        <v>3.4429499999999997</v>
      </c>
      <c r="H2259" s="188">
        <v>3.2789999999999999</v>
      </c>
      <c r="I2259" s="19">
        <f t="shared" si="79"/>
        <v>0</v>
      </c>
      <c r="L2259" s="131"/>
      <c r="M2259" s="131"/>
      <c r="N2259" s="131"/>
    </row>
    <row r="2260" spans="1:14" hidden="1">
      <c r="A2260" s="100" t="s">
        <v>862</v>
      </c>
      <c r="B2260" s="101" t="s">
        <v>4029</v>
      </c>
      <c r="C2260" s="99" t="s">
        <v>4028</v>
      </c>
      <c r="D2260" s="38"/>
      <c r="E2260" s="42">
        <v>1</v>
      </c>
      <c r="F2260" s="9"/>
      <c r="G2260" s="8">
        <f t="shared" si="78"/>
        <v>3.6172499999999999</v>
      </c>
      <c r="H2260" s="188">
        <v>3.4449999999999998</v>
      </c>
      <c r="I2260" s="19">
        <f t="shared" si="79"/>
        <v>0</v>
      </c>
      <c r="L2260" s="131"/>
      <c r="M2260" s="131"/>
      <c r="N2260" s="131"/>
    </row>
    <row r="2261" spans="1:14" hidden="1">
      <c r="A2261" s="100" t="s">
        <v>862</v>
      </c>
      <c r="B2261" s="101" t="s">
        <v>4030</v>
      </c>
      <c r="C2261" s="99" t="s">
        <v>4031</v>
      </c>
      <c r="D2261" s="38"/>
      <c r="E2261" s="42">
        <v>1</v>
      </c>
      <c r="F2261" s="9"/>
      <c r="G2261" s="8">
        <f t="shared" si="78"/>
        <v>3.9663749999999998</v>
      </c>
      <c r="H2261" s="188">
        <v>3.7774999999999999</v>
      </c>
      <c r="I2261" s="19">
        <f t="shared" si="79"/>
        <v>0</v>
      </c>
      <c r="L2261" s="131"/>
      <c r="M2261" s="131"/>
      <c r="N2261" s="131"/>
    </row>
    <row r="2262" spans="1:14" hidden="1">
      <c r="A2262" s="100" t="s">
        <v>862</v>
      </c>
      <c r="B2262" s="101" t="s">
        <v>4032</v>
      </c>
      <c r="C2262" s="99" t="s">
        <v>4033</v>
      </c>
      <c r="D2262" s="38"/>
      <c r="E2262" s="42">
        <v>1</v>
      </c>
      <c r="F2262" s="9"/>
      <c r="G2262" s="8">
        <f t="shared" si="78"/>
        <v>4.3155000000000001</v>
      </c>
      <c r="H2262" s="188">
        <v>4.1100000000000003</v>
      </c>
      <c r="I2262" s="19">
        <f t="shared" si="79"/>
        <v>0</v>
      </c>
      <c r="L2262" s="131"/>
      <c r="M2262" s="131"/>
      <c r="N2262" s="131"/>
    </row>
    <row r="2263" spans="1:14" hidden="1">
      <c r="A2263" s="100" t="s">
        <v>862</v>
      </c>
      <c r="B2263" s="101" t="s">
        <v>4034</v>
      </c>
      <c r="C2263" s="99" t="s">
        <v>4035</v>
      </c>
      <c r="D2263" s="38"/>
      <c r="E2263" s="42">
        <v>1</v>
      </c>
      <c r="F2263" s="9"/>
      <c r="G2263" s="8">
        <f t="shared" si="78"/>
        <v>4.664625</v>
      </c>
      <c r="H2263" s="188">
        <v>4.4424999999999999</v>
      </c>
      <c r="I2263" s="19">
        <f t="shared" si="79"/>
        <v>0</v>
      </c>
      <c r="L2263" s="131"/>
      <c r="M2263" s="131"/>
      <c r="N2263" s="131"/>
    </row>
    <row r="2264" spans="1:14" hidden="1">
      <c r="A2264" s="100" t="s">
        <v>862</v>
      </c>
      <c r="B2264" s="101" t="s">
        <v>4036</v>
      </c>
      <c r="C2264" s="99" t="s">
        <v>4037</v>
      </c>
      <c r="D2264" s="38"/>
      <c r="E2264" s="42">
        <v>1</v>
      </c>
      <c r="F2264" s="9"/>
      <c r="G2264" s="8">
        <f t="shared" si="78"/>
        <v>5.0137499999999999</v>
      </c>
      <c r="H2264" s="188">
        <v>4.7750000000000004</v>
      </c>
      <c r="I2264" s="19">
        <f t="shared" si="79"/>
        <v>0</v>
      </c>
      <c r="L2264" s="131"/>
      <c r="M2264" s="131"/>
      <c r="N2264" s="131"/>
    </row>
    <row r="2265" spans="1:14" hidden="1">
      <c r="A2265" s="100" t="s">
        <v>862</v>
      </c>
      <c r="B2265" s="101" t="s">
        <v>4038</v>
      </c>
      <c r="C2265" s="99" t="s">
        <v>4039</v>
      </c>
      <c r="D2265" s="38"/>
      <c r="E2265" s="42">
        <v>1</v>
      </c>
      <c r="F2265" s="9"/>
      <c r="G2265" s="8">
        <f t="shared" si="78"/>
        <v>5.3628749999999998</v>
      </c>
      <c r="H2265" s="188">
        <v>5.1074999999999999</v>
      </c>
      <c r="I2265" s="19">
        <f t="shared" si="79"/>
        <v>0</v>
      </c>
      <c r="L2265" s="131"/>
      <c r="M2265" s="131"/>
      <c r="N2265" s="131"/>
    </row>
    <row r="2266" spans="1:14" hidden="1">
      <c r="A2266" s="100" t="s">
        <v>862</v>
      </c>
      <c r="B2266" s="101" t="s">
        <v>4040</v>
      </c>
      <c r="C2266" s="99" t="s">
        <v>4041</v>
      </c>
      <c r="D2266" s="38"/>
      <c r="E2266" s="42">
        <v>1</v>
      </c>
      <c r="F2266" s="9"/>
      <c r="G2266" s="8">
        <f t="shared" si="78"/>
        <v>5.7120000000000006</v>
      </c>
      <c r="H2266" s="188">
        <v>5.44</v>
      </c>
      <c r="I2266" s="19">
        <f t="shared" si="79"/>
        <v>0</v>
      </c>
      <c r="L2266" s="131"/>
      <c r="M2266" s="131"/>
      <c r="N2266" s="131"/>
    </row>
    <row r="2267" spans="1:14" hidden="1">
      <c r="A2267" s="100" t="s">
        <v>862</v>
      </c>
      <c r="B2267" s="101" t="s">
        <v>4042</v>
      </c>
      <c r="C2267" s="99" t="s">
        <v>4043</v>
      </c>
      <c r="D2267" s="38"/>
      <c r="E2267" s="42">
        <v>1</v>
      </c>
      <c r="F2267" s="9"/>
      <c r="G2267" s="8">
        <f t="shared" si="78"/>
        <v>6.0611249999999997</v>
      </c>
      <c r="H2267" s="188">
        <v>5.7725</v>
      </c>
      <c r="I2267" s="19">
        <f t="shared" si="79"/>
        <v>0</v>
      </c>
      <c r="L2267" s="131"/>
      <c r="M2267" s="131"/>
      <c r="N2267" s="131"/>
    </row>
    <row r="2268" spans="1:14" hidden="1">
      <c r="A2268" s="100" t="s">
        <v>862</v>
      </c>
      <c r="B2268" s="101" t="s">
        <v>4044</v>
      </c>
      <c r="C2268" s="99" t="s">
        <v>4045</v>
      </c>
      <c r="D2268" s="38"/>
      <c r="E2268" s="42">
        <v>1</v>
      </c>
      <c r="F2268" s="9"/>
      <c r="G2268" s="8">
        <f t="shared" si="78"/>
        <v>6.4102500000000004</v>
      </c>
      <c r="H2268" s="188">
        <v>6.1050000000000004</v>
      </c>
      <c r="I2268" s="19">
        <f t="shared" si="79"/>
        <v>0</v>
      </c>
      <c r="L2268" s="131"/>
      <c r="M2268" s="131"/>
      <c r="N2268" s="131"/>
    </row>
    <row r="2269" spans="1:14" hidden="1">
      <c r="A2269" s="100" t="s">
        <v>862</v>
      </c>
      <c r="B2269" s="101" t="s">
        <v>4046</v>
      </c>
      <c r="C2269" s="99" t="s">
        <v>4047</v>
      </c>
      <c r="D2269" s="38"/>
      <c r="E2269" s="42">
        <v>1</v>
      </c>
      <c r="F2269" s="9"/>
      <c r="G2269" s="8">
        <f t="shared" si="78"/>
        <v>6.7593750000000004</v>
      </c>
      <c r="H2269" s="188">
        <v>6.4375</v>
      </c>
      <c r="I2269" s="19">
        <f t="shared" si="79"/>
        <v>0</v>
      </c>
      <c r="L2269" s="131"/>
      <c r="M2269" s="131"/>
      <c r="N2269" s="131"/>
    </row>
    <row r="2270" spans="1:14" hidden="1">
      <c r="A2270" s="100" t="s">
        <v>862</v>
      </c>
      <c r="B2270" s="101" t="s">
        <v>4048</v>
      </c>
      <c r="C2270" s="99" t="s">
        <v>4049</v>
      </c>
      <c r="D2270" s="38"/>
      <c r="E2270" s="42">
        <v>1</v>
      </c>
      <c r="F2270" s="9"/>
      <c r="G2270" s="8">
        <f t="shared" si="78"/>
        <v>7.1084999999999994</v>
      </c>
      <c r="H2270" s="188">
        <v>6.77</v>
      </c>
      <c r="I2270" s="19">
        <f t="shared" si="79"/>
        <v>0</v>
      </c>
      <c r="L2270" s="131"/>
      <c r="M2270" s="131"/>
      <c r="N2270" s="131"/>
    </row>
    <row r="2271" spans="1:14" hidden="1">
      <c r="A2271" s="100" t="s">
        <v>862</v>
      </c>
      <c r="B2271" s="101" t="s">
        <v>4050</v>
      </c>
      <c r="C2271" s="99" t="s">
        <v>4051</v>
      </c>
      <c r="D2271" s="38"/>
      <c r="E2271" s="42">
        <v>1</v>
      </c>
      <c r="F2271" s="9"/>
      <c r="G2271" s="8">
        <f t="shared" si="78"/>
        <v>7.4576250000000002</v>
      </c>
      <c r="H2271" s="188">
        <v>7.1025</v>
      </c>
      <c r="I2271" s="19">
        <f t="shared" si="79"/>
        <v>0</v>
      </c>
      <c r="L2271" s="131"/>
      <c r="M2271" s="131"/>
      <c r="N2271" s="131"/>
    </row>
    <row r="2272" spans="1:14" hidden="1">
      <c r="A2272" s="100" t="s">
        <v>862</v>
      </c>
      <c r="B2272" s="101" t="s">
        <v>4052</v>
      </c>
      <c r="C2272" s="99" t="s">
        <v>4053</v>
      </c>
      <c r="D2272" s="38"/>
      <c r="E2272" s="42">
        <v>1</v>
      </c>
      <c r="F2272" s="9"/>
      <c r="G2272" s="8">
        <f t="shared" si="78"/>
        <v>7.8067499999999992</v>
      </c>
      <c r="H2272" s="188">
        <v>7.4349999999999996</v>
      </c>
      <c r="I2272" s="19">
        <f t="shared" si="79"/>
        <v>0</v>
      </c>
      <c r="L2272" s="131"/>
      <c r="M2272" s="131"/>
      <c r="N2272" s="131"/>
    </row>
    <row r="2273" spans="1:14" hidden="1">
      <c r="A2273" s="100" t="s">
        <v>862</v>
      </c>
      <c r="B2273" s="101" t="s">
        <v>4054</v>
      </c>
      <c r="C2273" s="99" t="s">
        <v>4055</v>
      </c>
      <c r="D2273" s="38"/>
      <c r="E2273" s="42">
        <v>1</v>
      </c>
      <c r="F2273" s="9"/>
      <c r="G2273" s="8">
        <f t="shared" si="78"/>
        <v>8.155875</v>
      </c>
      <c r="H2273" s="188">
        <v>7.7675000000000001</v>
      </c>
      <c r="I2273" s="19">
        <f t="shared" si="79"/>
        <v>0</v>
      </c>
      <c r="L2273" s="131"/>
      <c r="M2273" s="131"/>
      <c r="N2273" s="131"/>
    </row>
    <row r="2274" spans="1:14" hidden="1">
      <c r="A2274" s="100" t="s">
        <v>862</v>
      </c>
      <c r="B2274" s="101" t="s">
        <v>4056</v>
      </c>
      <c r="C2274" s="99" t="s">
        <v>4057</v>
      </c>
      <c r="D2274" s="38"/>
      <c r="E2274" s="42">
        <v>1</v>
      </c>
      <c r="F2274" s="9"/>
      <c r="G2274" s="8">
        <f t="shared" si="78"/>
        <v>8.504999999999999</v>
      </c>
      <c r="H2274" s="188">
        <v>8.1</v>
      </c>
      <c r="I2274" s="19">
        <f t="shared" si="79"/>
        <v>0</v>
      </c>
      <c r="L2274" s="131"/>
      <c r="M2274" s="131"/>
      <c r="N2274" s="131"/>
    </row>
    <row r="2275" spans="1:14" hidden="1">
      <c r="A2275" s="100" t="s">
        <v>862</v>
      </c>
      <c r="B2275" s="101" t="s">
        <v>4058</v>
      </c>
      <c r="C2275" s="99" t="s">
        <v>4059</v>
      </c>
      <c r="D2275" s="38"/>
      <c r="E2275" s="42">
        <v>1</v>
      </c>
      <c r="F2275" s="9"/>
      <c r="G2275" s="8">
        <f t="shared" si="78"/>
        <v>7.2450000000000001E-2</v>
      </c>
      <c r="H2275" s="188">
        <v>6.9000000000000006E-2</v>
      </c>
      <c r="I2275" s="19">
        <f t="shared" si="79"/>
        <v>0</v>
      </c>
      <c r="L2275" s="131"/>
      <c r="M2275" s="131"/>
      <c r="N2275" s="131"/>
    </row>
    <row r="2276" spans="1:14" hidden="1">
      <c r="A2276" s="100" t="s">
        <v>862</v>
      </c>
      <c r="B2276" s="101" t="s">
        <v>4060</v>
      </c>
      <c r="C2276" s="99" t="s">
        <v>4061</v>
      </c>
      <c r="D2276" s="38"/>
      <c r="E2276" s="42">
        <v>1</v>
      </c>
      <c r="F2276" s="9"/>
      <c r="G2276" s="8">
        <f t="shared" si="78"/>
        <v>13.159125000000001</v>
      </c>
      <c r="H2276" s="188">
        <v>12.532500000000001</v>
      </c>
      <c r="I2276" s="19">
        <f t="shared" si="79"/>
        <v>0</v>
      </c>
      <c r="L2276" s="131"/>
      <c r="M2276" s="131"/>
      <c r="N2276" s="131"/>
    </row>
    <row r="2277" spans="1:14" hidden="1">
      <c r="A2277" s="100" t="s">
        <v>862</v>
      </c>
      <c r="B2277" s="101" t="s">
        <v>4062</v>
      </c>
      <c r="C2277" s="99" t="s">
        <v>4063</v>
      </c>
      <c r="D2277" s="38"/>
      <c r="E2277" s="42">
        <v>1</v>
      </c>
      <c r="F2277" s="9"/>
      <c r="G2277" s="8">
        <f t="shared" ref="G2277:G2340" si="80">H2277+(H2277*5%)</f>
        <v>0.11445</v>
      </c>
      <c r="H2277" s="188">
        <v>0.109</v>
      </c>
      <c r="I2277" s="19">
        <f t="shared" si="79"/>
        <v>0</v>
      </c>
      <c r="L2277" s="131"/>
      <c r="M2277" s="131"/>
      <c r="N2277" s="131"/>
    </row>
    <row r="2278" spans="1:14" hidden="1">
      <c r="A2278" s="100" t="s">
        <v>862</v>
      </c>
      <c r="B2278" s="101" t="s">
        <v>4064</v>
      </c>
      <c r="C2278" s="99" t="s">
        <v>4065</v>
      </c>
      <c r="D2278" s="38"/>
      <c r="E2278" s="42">
        <v>1</v>
      </c>
      <c r="F2278" s="9"/>
      <c r="G2278" s="8">
        <f t="shared" si="80"/>
        <v>0.12757499999999999</v>
      </c>
      <c r="H2278" s="188">
        <v>0.1215</v>
      </c>
      <c r="I2278" s="19">
        <f t="shared" si="79"/>
        <v>0</v>
      </c>
      <c r="L2278" s="131"/>
      <c r="M2278" s="131"/>
      <c r="N2278" s="131"/>
    </row>
    <row r="2279" spans="1:14" hidden="1">
      <c r="A2279" s="100" t="s">
        <v>862</v>
      </c>
      <c r="B2279" s="101" t="s">
        <v>4066</v>
      </c>
      <c r="C2279" s="99" t="s">
        <v>4067</v>
      </c>
      <c r="D2279" s="38"/>
      <c r="E2279" s="42">
        <v>1</v>
      </c>
      <c r="F2279" s="9"/>
      <c r="G2279" s="8">
        <f t="shared" si="80"/>
        <v>42.227325</v>
      </c>
      <c r="H2279" s="188">
        <v>40.216500000000003</v>
      </c>
      <c r="I2279" s="19">
        <f t="shared" ref="I2279:I2342" si="81">G2279*F2279</f>
        <v>0</v>
      </c>
      <c r="L2279" s="131"/>
      <c r="M2279" s="131"/>
      <c r="N2279" s="131"/>
    </row>
    <row r="2280" spans="1:14" hidden="1">
      <c r="A2280" s="100" t="s">
        <v>862</v>
      </c>
      <c r="B2280" s="101" t="s">
        <v>4068</v>
      </c>
      <c r="C2280" s="99" t="s">
        <v>4069</v>
      </c>
      <c r="D2280" s="38"/>
      <c r="E2280" s="42">
        <v>1</v>
      </c>
      <c r="F2280" s="9"/>
      <c r="G2280" s="8">
        <f t="shared" si="80"/>
        <v>42.227325</v>
      </c>
      <c r="H2280" s="188">
        <v>40.216500000000003</v>
      </c>
      <c r="I2280" s="19">
        <f t="shared" si="81"/>
        <v>0</v>
      </c>
      <c r="L2280" s="131"/>
      <c r="M2280" s="131"/>
      <c r="N2280" s="131"/>
    </row>
    <row r="2281" spans="1:14" hidden="1">
      <c r="A2281" s="100" t="s">
        <v>862</v>
      </c>
      <c r="B2281" s="101" t="s">
        <v>4070</v>
      </c>
      <c r="C2281" s="99" t="s">
        <v>4071</v>
      </c>
      <c r="D2281" s="38"/>
      <c r="E2281" s="42">
        <v>1</v>
      </c>
      <c r="F2281" s="9"/>
      <c r="G2281" s="8">
        <f t="shared" si="80"/>
        <v>229.55625000000001</v>
      </c>
      <c r="H2281" s="188">
        <v>218.625</v>
      </c>
      <c r="I2281" s="19">
        <f t="shared" si="81"/>
        <v>0</v>
      </c>
      <c r="L2281" s="131"/>
      <c r="M2281" s="131"/>
      <c r="N2281" s="131"/>
    </row>
    <row r="2282" spans="1:14" hidden="1">
      <c r="A2282" s="100" t="s">
        <v>862</v>
      </c>
      <c r="B2282" s="101" t="s">
        <v>4072</v>
      </c>
      <c r="C2282" s="99" t="s">
        <v>4073</v>
      </c>
      <c r="D2282" s="38"/>
      <c r="E2282" s="42">
        <v>1</v>
      </c>
      <c r="F2282" s="9"/>
      <c r="G2282" s="8">
        <f t="shared" si="80"/>
        <v>36.436575000000005</v>
      </c>
      <c r="H2282" s="188">
        <v>34.701500000000003</v>
      </c>
      <c r="I2282" s="19">
        <f t="shared" si="81"/>
        <v>0</v>
      </c>
      <c r="L2282" s="131"/>
      <c r="M2282" s="131"/>
      <c r="N2282" s="131"/>
    </row>
    <row r="2283" spans="1:14" hidden="1">
      <c r="A2283" s="100" t="s">
        <v>862</v>
      </c>
      <c r="B2283" s="101" t="s">
        <v>4074</v>
      </c>
      <c r="C2283" s="99" t="s">
        <v>4075</v>
      </c>
      <c r="D2283" s="38"/>
      <c r="E2283" s="42">
        <v>1</v>
      </c>
      <c r="F2283" s="9"/>
      <c r="G2283" s="8">
        <f t="shared" si="80"/>
        <v>25.823700000000002</v>
      </c>
      <c r="H2283" s="188">
        <v>24.594000000000001</v>
      </c>
      <c r="I2283" s="19">
        <f t="shared" si="81"/>
        <v>0</v>
      </c>
      <c r="L2283" s="131"/>
      <c r="M2283" s="131"/>
      <c r="N2283" s="131"/>
    </row>
    <row r="2284" spans="1:14" hidden="1">
      <c r="A2284" s="100" t="s">
        <v>862</v>
      </c>
      <c r="B2284" s="101" t="s">
        <v>4076</v>
      </c>
      <c r="C2284" s="99" t="s">
        <v>4077</v>
      </c>
      <c r="D2284" s="38"/>
      <c r="E2284" s="42">
        <v>1</v>
      </c>
      <c r="F2284" s="9"/>
      <c r="G2284" s="8">
        <f t="shared" si="80"/>
        <v>13.399575</v>
      </c>
      <c r="H2284" s="188">
        <v>12.7615</v>
      </c>
      <c r="I2284" s="19">
        <f t="shared" si="81"/>
        <v>0</v>
      </c>
      <c r="L2284" s="131"/>
      <c r="M2284" s="131"/>
      <c r="N2284" s="131"/>
    </row>
    <row r="2285" spans="1:14" hidden="1">
      <c r="A2285" s="100" t="s">
        <v>862</v>
      </c>
      <c r="B2285" s="101" t="s">
        <v>4078</v>
      </c>
      <c r="C2285" s="99" t="s">
        <v>4079</v>
      </c>
      <c r="D2285" s="38"/>
      <c r="E2285" s="42">
        <v>1</v>
      </c>
      <c r="F2285" s="9"/>
      <c r="G2285" s="8">
        <f t="shared" si="80"/>
        <v>14.218575</v>
      </c>
      <c r="H2285" s="188">
        <v>13.541499999999999</v>
      </c>
      <c r="I2285" s="19">
        <f t="shared" si="81"/>
        <v>0</v>
      </c>
      <c r="L2285" s="131"/>
      <c r="M2285" s="131"/>
      <c r="N2285" s="131"/>
    </row>
    <row r="2286" spans="1:14" hidden="1">
      <c r="A2286" s="100" t="s">
        <v>862</v>
      </c>
      <c r="B2286" s="101" t="s">
        <v>4080</v>
      </c>
      <c r="C2286" s="99" t="s">
        <v>4081</v>
      </c>
      <c r="D2286" s="38"/>
      <c r="E2286" s="42">
        <v>1</v>
      </c>
      <c r="F2286" s="9"/>
      <c r="G2286" s="8">
        <f t="shared" si="80"/>
        <v>30.607499999999998</v>
      </c>
      <c r="H2286" s="188">
        <v>29.15</v>
      </c>
      <c r="I2286" s="19">
        <f t="shared" si="81"/>
        <v>0</v>
      </c>
      <c r="L2286" s="131"/>
      <c r="M2286" s="131"/>
      <c r="N2286" s="131"/>
    </row>
    <row r="2287" spans="1:14" hidden="1">
      <c r="A2287" s="100" t="s">
        <v>862</v>
      </c>
      <c r="B2287" s="101" t="s">
        <v>4082</v>
      </c>
      <c r="C2287" s="99" t="s">
        <v>4083</v>
      </c>
      <c r="D2287" s="38"/>
      <c r="E2287" s="42">
        <v>1</v>
      </c>
      <c r="F2287" s="9"/>
      <c r="G2287" s="8">
        <f t="shared" si="80"/>
        <v>30.607499999999998</v>
      </c>
      <c r="H2287" s="188">
        <v>29.15</v>
      </c>
      <c r="I2287" s="19">
        <f t="shared" si="81"/>
        <v>0</v>
      </c>
      <c r="L2287" s="131"/>
      <c r="M2287" s="131"/>
      <c r="N2287" s="131"/>
    </row>
    <row r="2288" spans="1:14" hidden="1">
      <c r="A2288" s="100" t="s">
        <v>862</v>
      </c>
      <c r="B2288" s="101" t="s">
        <v>4084</v>
      </c>
      <c r="C2288" s="99" t="s">
        <v>4085</v>
      </c>
      <c r="D2288" s="38"/>
      <c r="E2288" s="42">
        <v>1</v>
      </c>
      <c r="F2288" s="9"/>
      <c r="G2288" s="8">
        <f t="shared" si="80"/>
        <v>30.607499999999998</v>
      </c>
      <c r="H2288" s="188">
        <v>29.15</v>
      </c>
      <c r="I2288" s="19">
        <f t="shared" si="81"/>
        <v>0</v>
      </c>
      <c r="L2288" s="131"/>
      <c r="M2288" s="131"/>
      <c r="N2288" s="131"/>
    </row>
    <row r="2289" spans="1:14" hidden="1">
      <c r="A2289" s="100" t="s">
        <v>862</v>
      </c>
      <c r="B2289" s="101" t="s">
        <v>4086</v>
      </c>
      <c r="C2289" s="99" t="s">
        <v>4087</v>
      </c>
      <c r="D2289" s="38"/>
      <c r="E2289" s="42">
        <v>1</v>
      </c>
      <c r="F2289" s="9"/>
      <c r="G2289" s="8">
        <f t="shared" si="80"/>
        <v>115.47375</v>
      </c>
      <c r="H2289" s="188">
        <v>109.97499999999999</v>
      </c>
      <c r="I2289" s="19">
        <f t="shared" si="81"/>
        <v>0</v>
      </c>
      <c r="L2289" s="131"/>
      <c r="M2289" s="131"/>
      <c r="N2289" s="131"/>
    </row>
    <row r="2290" spans="1:14" hidden="1">
      <c r="A2290" s="100" t="s">
        <v>862</v>
      </c>
      <c r="B2290" s="101" t="s">
        <v>4088</v>
      </c>
      <c r="C2290" s="99" t="s">
        <v>4089</v>
      </c>
      <c r="D2290" s="38"/>
      <c r="E2290" s="42">
        <v>1</v>
      </c>
      <c r="F2290" s="9"/>
      <c r="G2290" s="8">
        <f t="shared" si="80"/>
        <v>15.289575000000001</v>
      </c>
      <c r="H2290" s="188">
        <v>14.561500000000001</v>
      </c>
      <c r="I2290" s="19">
        <f t="shared" si="81"/>
        <v>0</v>
      </c>
      <c r="L2290" s="131"/>
      <c r="M2290" s="131"/>
      <c r="N2290" s="131"/>
    </row>
    <row r="2291" spans="1:14">
      <c r="A2291" s="100" t="s">
        <v>862</v>
      </c>
      <c r="B2291" s="101" t="s">
        <v>4090</v>
      </c>
      <c r="C2291" s="99" t="s">
        <v>4091</v>
      </c>
      <c r="D2291" s="38"/>
      <c r="E2291" s="42">
        <v>1</v>
      </c>
      <c r="F2291" s="9">
        <v>25</v>
      </c>
      <c r="G2291" s="8">
        <f t="shared" si="80"/>
        <v>59.823750000000004</v>
      </c>
      <c r="H2291" s="188">
        <v>56.975000000000001</v>
      </c>
      <c r="I2291" s="19">
        <f t="shared" si="81"/>
        <v>1495.59375</v>
      </c>
      <c r="L2291" s="131"/>
      <c r="M2291" s="131"/>
      <c r="N2291" s="131"/>
    </row>
    <row r="2292" spans="1:14" hidden="1">
      <c r="A2292" s="100" t="s">
        <v>862</v>
      </c>
      <c r="B2292" s="101" t="s">
        <v>4092</v>
      </c>
      <c r="C2292" s="99" t="s">
        <v>4093</v>
      </c>
      <c r="D2292" s="38"/>
      <c r="E2292" s="42">
        <v>1</v>
      </c>
      <c r="F2292" s="9"/>
      <c r="G2292" s="8">
        <f t="shared" si="80"/>
        <v>19.477499999999999</v>
      </c>
      <c r="H2292" s="188">
        <v>18.55</v>
      </c>
      <c r="I2292" s="19">
        <f t="shared" si="81"/>
        <v>0</v>
      </c>
      <c r="L2292" s="131"/>
      <c r="M2292" s="131"/>
      <c r="N2292" s="131"/>
    </row>
    <row r="2293" spans="1:14" hidden="1">
      <c r="A2293" s="100" t="s">
        <v>862</v>
      </c>
      <c r="B2293" s="101" t="s">
        <v>4094</v>
      </c>
      <c r="C2293" s="99" t="s">
        <v>4095</v>
      </c>
      <c r="D2293" s="38"/>
      <c r="E2293" s="42">
        <v>1</v>
      </c>
      <c r="F2293" s="9"/>
      <c r="G2293" s="8">
        <f t="shared" si="80"/>
        <v>6.9562499999999998</v>
      </c>
      <c r="H2293" s="188">
        <v>6.625</v>
      </c>
      <c r="I2293" s="19">
        <f t="shared" si="81"/>
        <v>0</v>
      </c>
      <c r="L2293" s="131"/>
      <c r="M2293" s="131"/>
      <c r="N2293" s="131"/>
    </row>
    <row r="2294" spans="1:14" hidden="1">
      <c r="A2294" s="100" t="s">
        <v>862</v>
      </c>
      <c r="B2294" s="101" t="s">
        <v>4096</v>
      </c>
      <c r="C2294" s="99" t="s">
        <v>4097</v>
      </c>
      <c r="D2294" s="38"/>
      <c r="E2294" s="42">
        <v>1</v>
      </c>
      <c r="F2294" s="9"/>
      <c r="G2294" s="8">
        <f t="shared" si="80"/>
        <v>46.480874999999997</v>
      </c>
      <c r="H2294" s="188">
        <v>44.267499999999998</v>
      </c>
      <c r="I2294" s="19">
        <f t="shared" si="81"/>
        <v>0</v>
      </c>
      <c r="L2294" s="131"/>
      <c r="M2294" s="131"/>
      <c r="N2294" s="131"/>
    </row>
    <row r="2295" spans="1:14" hidden="1">
      <c r="A2295" s="100" t="s">
        <v>862</v>
      </c>
      <c r="B2295" s="101" t="s">
        <v>4098</v>
      </c>
      <c r="C2295" s="99" t="s">
        <v>4099</v>
      </c>
      <c r="D2295" s="38"/>
      <c r="E2295" s="42">
        <v>1</v>
      </c>
      <c r="F2295" s="9"/>
      <c r="G2295" s="8">
        <f t="shared" si="80"/>
        <v>9.6836249999999993</v>
      </c>
      <c r="H2295" s="188">
        <v>9.2225000000000001</v>
      </c>
      <c r="I2295" s="19">
        <f t="shared" si="81"/>
        <v>0</v>
      </c>
      <c r="L2295" s="131"/>
      <c r="M2295" s="131"/>
      <c r="N2295" s="131"/>
    </row>
    <row r="2296" spans="1:14" hidden="1">
      <c r="A2296" s="100" t="s">
        <v>862</v>
      </c>
      <c r="B2296" s="101" t="s">
        <v>4100</v>
      </c>
      <c r="C2296" s="99" t="s">
        <v>4101</v>
      </c>
      <c r="D2296" s="38"/>
      <c r="E2296" s="42">
        <v>1</v>
      </c>
      <c r="F2296" s="9"/>
      <c r="G2296" s="8">
        <f t="shared" si="80"/>
        <v>226.77375000000001</v>
      </c>
      <c r="H2296" s="188">
        <v>215.97499999999999</v>
      </c>
      <c r="I2296" s="19">
        <f t="shared" si="81"/>
        <v>0</v>
      </c>
      <c r="L2296" s="131"/>
      <c r="M2296" s="131"/>
      <c r="N2296" s="131"/>
    </row>
    <row r="2297" spans="1:14" hidden="1">
      <c r="A2297" s="100" t="s">
        <v>862</v>
      </c>
      <c r="B2297" s="101" t="s">
        <v>4102</v>
      </c>
      <c r="C2297" s="99" t="s">
        <v>4103</v>
      </c>
      <c r="D2297" s="38"/>
      <c r="E2297" s="42">
        <v>1</v>
      </c>
      <c r="F2297" s="9"/>
      <c r="G2297" s="8">
        <f t="shared" si="80"/>
        <v>27.411825</v>
      </c>
      <c r="H2297" s="188">
        <v>26.1065</v>
      </c>
      <c r="I2297" s="19">
        <f t="shared" si="81"/>
        <v>0</v>
      </c>
      <c r="L2297" s="131"/>
      <c r="M2297" s="131"/>
      <c r="N2297" s="131"/>
    </row>
    <row r="2298" spans="1:14" hidden="1">
      <c r="A2298" s="100" t="s">
        <v>862</v>
      </c>
      <c r="B2298" s="101" t="s">
        <v>4104</v>
      </c>
      <c r="C2298" s="99" t="s">
        <v>4105</v>
      </c>
      <c r="D2298" s="38"/>
      <c r="E2298" s="42">
        <v>1</v>
      </c>
      <c r="F2298" s="9"/>
      <c r="G2298" s="8">
        <f t="shared" si="80"/>
        <v>21.007874999999999</v>
      </c>
      <c r="H2298" s="188">
        <v>20.0075</v>
      </c>
      <c r="I2298" s="19">
        <f t="shared" si="81"/>
        <v>0</v>
      </c>
      <c r="L2298" s="131"/>
      <c r="M2298" s="131"/>
      <c r="N2298" s="131"/>
    </row>
    <row r="2299" spans="1:14" hidden="1">
      <c r="A2299" s="100" t="s">
        <v>862</v>
      </c>
      <c r="B2299" s="97" t="s">
        <v>4106</v>
      </c>
      <c r="C2299" s="98" t="s">
        <v>4107</v>
      </c>
      <c r="D2299" s="38" t="s">
        <v>572</v>
      </c>
      <c r="E2299" s="42">
        <v>1</v>
      </c>
      <c r="F2299" s="9"/>
      <c r="G2299" s="8">
        <f t="shared" si="80"/>
        <v>1.05</v>
      </c>
      <c r="H2299" s="188">
        <v>1</v>
      </c>
      <c r="I2299" s="19">
        <f t="shared" si="81"/>
        <v>0</v>
      </c>
      <c r="L2299" s="131"/>
      <c r="M2299" s="131"/>
      <c r="N2299" s="131"/>
    </row>
    <row r="2300" spans="1:14" hidden="1">
      <c r="A2300" s="100" t="s">
        <v>862</v>
      </c>
      <c r="B2300" s="101" t="s">
        <v>4108</v>
      </c>
      <c r="C2300" s="99" t="s">
        <v>4109</v>
      </c>
      <c r="D2300" s="38"/>
      <c r="E2300" s="42">
        <v>1</v>
      </c>
      <c r="F2300" s="9"/>
      <c r="G2300" s="8">
        <f t="shared" si="80"/>
        <v>4.6845749999999997</v>
      </c>
      <c r="H2300" s="188">
        <v>4.4615</v>
      </c>
      <c r="I2300" s="19">
        <f t="shared" si="81"/>
        <v>0</v>
      </c>
      <c r="L2300" s="131"/>
      <c r="M2300" s="131"/>
      <c r="N2300" s="131"/>
    </row>
    <row r="2301" spans="1:14" hidden="1">
      <c r="A2301" s="100" t="s">
        <v>862</v>
      </c>
      <c r="B2301" s="101" t="s">
        <v>4110</v>
      </c>
      <c r="C2301" s="99" t="s">
        <v>4111</v>
      </c>
      <c r="D2301" s="38"/>
      <c r="E2301" s="42">
        <v>1</v>
      </c>
      <c r="F2301" s="9"/>
      <c r="G2301" s="8">
        <f t="shared" si="80"/>
        <v>6.21495</v>
      </c>
      <c r="H2301" s="188">
        <v>5.9189999999999996</v>
      </c>
      <c r="I2301" s="19">
        <f t="shared" si="81"/>
        <v>0</v>
      </c>
      <c r="L2301" s="131"/>
      <c r="M2301" s="131"/>
      <c r="N2301" s="131"/>
    </row>
    <row r="2302" spans="1:14" hidden="1">
      <c r="A2302" s="100" t="s">
        <v>862</v>
      </c>
      <c r="B2302" s="101" t="s">
        <v>4112</v>
      </c>
      <c r="C2302" s="99" t="s">
        <v>4113</v>
      </c>
      <c r="D2302" s="38"/>
      <c r="E2302" s="42">
        <v>1</v>
      </c>
      <c r="F2302" s="9"/>
      <c r="G2302" s="8">
        <f t="shared" si="80"/>
        <v>8.2230749999999997</v>
      </c>
      <c r="H2302" s="188">
        <v>7.8315000000000001</v>
      </c>
      <c r="I2302" s="19">
        <f t="shared" si="81"/>
        <v>0</v>
      </c>
      <c r="L2302" s="131"/>
      <c r="M2302" s="131"/>
      <c r="N2302" s="131"/>
    </row>
    <row r="2303" spans="1:14" hidden="1">
      <c r="A2303" s="100" t="s">
        <v>862</v>
      </c>
      <c r="B2303" s="101" t="s">
        <v>4114</v>
      </c>
      <c r="C2303" s="99" t="s">
        <v>4115</v>
      </c>
      <c r="D2303" s="38"/>
      <c r="E2303" s="42">
        <v>1</v>
      </c>
      <c r="F2303" s="9"/>
      <c r="G2303" s="8">
        <f t="shared" si="80"/>
        <v>10.231199999999999</v>
      </c>
      <c r="H2303" s="188">
        <v>9.7439999999999998</v>
      </c>
      <c r="I2303" s="19">
        <f t="shared" si="81"/>
        <v>0</v>
      </c>
      <c r="L2303" s="131"/>
      <c r="M2303" s="131"/>
      <c r="N2303" s="131"/>
    </row>
    <row r="2304" spans="1:14" hidden="1">
      <c r="A2304" s="100" t="s">
        <v>862</v>
      </c>
      <c r="B2304" s="101" t="s">
        <v>4116</v>
      </c>
      <c r="C2304" s="99" t="s">
        <v>4117</v>
      </c>
      <c r="D2304" s="38"/>
      <c r="E2304" s="42">
        <v>1</v>
      </c>
      <c r="F2304" s="9"/>
      <c r="G2304" s="8">
        <f t="shared" si="80"/>
        <v>12.239324999999999</v>
      </c>
      <c r="H2304" s="188">
        <v>11.656499999999999</v>
      </c>
      <c r="I2304" s="19">
        <f t="shared" si="81"/>
        <v>0</v>
      </c>
      <c r="L2304" s="131"/>
      <c r="M2304" s="131"/>
      <c r="N2304" s="131"/>
    </row>
    <row r="2305" spans="1:14" hidden="1">
      <c r="A2305" s="100" t="s">
        <v>862</v>
      </c>
      <c r="B2305" s="101" t="s">
        <v>4118</v>
      </c>
      <c r="C2305" s="99" t="s">
        <v>4119</v>
      </c>
      <c r="D2305" s="38"/>
      <c r="E2305" s="42">
        <v>1</v>
      </c>
      <c r="F2305" s="9"/>
      <c r="G2305" s="8">
        <f t="shared" si="80"/>
        <v>14.5152</v>
      </c>
      <c r="H2305" s="188">
        <v>13.824</v>
      </c>
      <c r="I2305" s="19">
        <f t="shared" si="81"/>
        <v>0</v>
      </c>
      <c r="L2305" s="131"/>
      <c r="M2305" s="131"/>
      <c r="N2305" s="131"/>
    </row>
    <row r="2306" spans="1:14" hidden="1">
      <c r="A2306" s="100" t="s">
        <v>862</v>
      </c>
      <c r="B2306" s="101" t="s">
        <v>4120</v>
      </c>
      <c r="C2306" s="99" t="s">
        <v>4121</v>
      </c>
      <c r="D2306" s="38"/>
      <c r="E2306" s="42">
        <v>1</v>
      </c>
      <c r="F2306" s="9"/>
      <c r="G2306" s="8">
        <f t="shared" si="80"/>
        <v>16.453499999999998</v>
      </c>
      <c r="H2306" s="188">
        <v>15.67</v>
      </c>
      <c r="I2306" s="19">
        <f t="shared" si="81"/>
        <v>0</v>
      </c>
      <c r="L2306" s="131"/>
      <c r="M2306" s="131"/>
      <c r="N2306" s="131"/>
    </row>
    <row r="2307" spans="1:14" hidden="1">
      <c r="A2307" s="100" t="s">
        <v>862</v>
      </c>
      <c r="B2307" s="101" t="s">
        <v>4122</v>
      </c>
      <c r="C2307" s="99" t="s">
        <v>4123</v>
      </c>
      <c r="D2307" s="38"/>
      <c r="E2307" s="42">
        <v>1</v>
      </c>
      <c r="F2307" s="9"/>
      <c r="G2307" s="8">
        <f t="shared" si="80"/>
        <v>18.44745</v>
      </c>
      <c r="H2307" s="188">
        <v>17.568999999999999</v>
      </c>
      <c r="I2307" s="19">
        <f t="shared" si="81"/>
        <v>0</v>
      </c>
      <c r="L2307" s="131"/>
      <c r="M2307" s="131"/>
      <c r="N2307" s="131"/>
    </row>
    <row r="2308" spans="1:14" hidden="1">
      <c r="A2308" s="100" t="s">
        <v>862</v>
      </c>
      <c r="B2308" s="101" t="s">
        <v>4124</v>
      </c>
      <c r="C2308" s="99" t="s">
        <v>4125</v>
      </c>
      <c r="D2308" s="38"/>
      <c r="E2308" s="42">
        <v>1</v>
      </c>
      <c r="F2308" s="9"/>
      <c r="G2308" s="8">
        <f t="shared" si="80"/>
        <v>20.455575</v>
      </c>
      <c r="H2308" s="188">
        <v>19.4815</v>
      </c>
      <c r="I2308" s="19">
        <f t="shared" si="81"/>
        <v>0</v>
      </c>
      <c r="L2308" s="131"/>
      <c r="M2308" s="131"/>
      <c r="N2308" s="131"/>
    </row>
    <row r="2309" spans="1:14" hidden="1">
      <c r="A2309" s="100" t="s">
        <v>862</v>
      </c>
      <c r="B2309" s="101" t="s">
        <v>4126</v>
      </c>
      <c r="C2309" s="99" t="s">
        <v>4127</v>
      </c>
      <c r="D2309" s="38"/>
      <c r="E2309" s="42">
        <v>1</v>
      </c>
      <c r="F2309" s="9"/>
      <c r="G2309" s="8">
        <f t="shared" si="80"/>
        <v>22.351875</v>
      </c>
      <c r="H2309" s="188">
        <v>21.287500000000001</v>
      </c>
      <c r="I2309" s="19">
        <f t="shared" si="81"/>
        <v>0</v>
      </c>
      <c r="L2309" s="131"/>
      <c r="M2309" s="131"/>
      <c r="N2309" s="131"/>
    </row>
    <row r="2310" spans="1:14" hidden="1">
      <c r="A2310" s="100" t="s">
        <v>862</v>
      </c>
      <c r="B2310" s="101" t="s">
        <v>4128</v>
      </c>
      <c r="C2310" s="99" t="s">
        <v>4129</v>
      </c>
      <c r="D2310" s="38"/>
      <c r="E2310" s="42">
        <v>1</v>
      </c>
      <c r="F2310" s="9"/>
      <c r="G2310" s="8">
        <f t="shared" si="80"/>
        <v>24.345824999999998</v>
      </c>
      <c r="H2310" s="188">
        <v>23.186499999999999</v>
      </c>
      <c r="I2310" s="19">
        <f t="shared" si="81"/>
        <v>0</v>
      </c>
      <c r="L2310" s="131"/>
      <c r="M2310" s="131"/>
      <c r="N2310" s="131"/>
    </row>
    <row r="2311" spans="1:14" hidden="1">
      <c r="A2311" s="100" t="s">
        <v>862</v>
      </c>
      <c r="B2311" s="101" t="s">
        <v>4130</v>
      </c>
      <c r="C2311" s="99" t="s">
        <v>4131</v>
      </c>
      <c r="D2311" s="38"/>
      <c r="E2311" s="42">
        <v>1</v>
      </c>
      <c r="F2311" s="9"/>
      <c r="G2311" s="8">
        <f t="shared" si="80"/>
        <v>26.33925</v>
      </c>
      <c r="H2311" s="188">
        <v>25.085000000000001</v>
      </c>
      <c r="I2311" s="19">
        <f t="shared" si="81"/>
        <v>0</v>
      </c>
      <c r="L2311" s="131"/>
      <c r="M2311" s="131"/>
      <c r="N2311" s="131"/>
    </row>
    <row r="2312" spans="1:14" hidden="1">
      <c r="A2312" s="100" t="s">
        <v>862</v>
      </c>
      <c r="B2312" s="101" t="s">
        <v>4132</v>
      </c>
      <c r="C2312" s="99" t="s">
        <v>4133</v>
      </c>
      <c r="D2312" s="38"/>
      <c r="E2312" s="42">
        <v>1</v>
      </c>
      <c r="F2312" s="9"/>
      <c r="G2312" s="8">
        <f t="shared" si="80"/>
        <v>28.194075000000002</v>
      </c>
      <c r="H2312" s="188">
        <v>26.851500000000001</v>
      </c>
      <c r="I2312" s="19">
        <f t="shared" si="81"/>
        <v>0</v>
      </c>
      <c r="L2312" s="131"/>
      <c r="M2312" s="131"/>
      <c r="N2312" s="131"/>
    </row>
    <row r="2313" spans="1:14" hidden="1">
      <c r="A2313" s="100" t="s">
        <v>862</v>
      </c>
      <c r="B2313" s="101" t="s">
        <v>4134</v>
      </c>
      <c r="C2313" s="99" t="s">
        <v>4135</v>
      </c>
      <c r="D2313" s="38"/>
      <c r="E2313" s="42">
        <v>1</v>
      </c>
      <c r="F2313" s="9"/>
      <c r="G2313" s="8">
        <f t="shared" si="80"/>
        <v>30.173324999999998</v>
      </c>
      <c r="H2313" s="188">
        <v>28.736499999999999</v>
      </c>
      <c r="I2313" s="19">
        <f t="shared" si="81"/>
        <v>0</v>
      </c>
      <c r="L2313" s="131"/>
      <c r="M2313" s="131"/>
      <c r="N2313" s="131"/>
    </row>
    <row r="2314" spans="1:14" hidden="1">
      <c r="A2314" s="100" t="s">
        <v>862</v>
      </c>
      <c r="B2314" s="101" t="s">
        <v>4136</v>
      </c>
      <c r="C2314" s="99" t="s">
        <v>4137</v>
      </c>
      <c r="D2314" s="38"/>
      <c r="E2314" s="42">
        <v>1</v>
      </c>
      <c r="F2314" s="9"/>
      <c r="G2314" s="8">
        <f t="shared" si="80"/>
        <v>32.139450000000004</v>
      </c>
      <c r="H2314" s="188">
        <v>30.609000000000002</v>
      </c>
      <c r="I2314" s="19">
        <f t="shared" si="81"/>
        <v>0</v>
      </c>
      <c r="L2314" s="131"/>
      <c r="M2314" s="131"/>
      <c r="N2314" s="131"/>
    </row>
    <row r="2315" spans="1:14" hidden="1">
      <c r="A2315" s="100" t="s">
        <v>862</v>
      </c>
      <c r="B2315" s="101" t="s">
        <v>4138</v>
      </c>
      <c r="C2315" s="99" t="s">
        <v>4139</v>
      </c>
      <c r="D2315" s="38"/>
      <c r="E2315" s="42">
        <v>1</v>
      </c>
      <c r="F2315" s="9"/>
      <c r="G2315" s="8">
        <f t="shared" si="80"/>
        <v>34.134450000000001</v>
      </c>
      <c r="H2315" s="188">
        <v>32.509</v>
      </c>
      <c r="I2315" s="19">
        <f t="shared" si="81"/>
        <v>0</v>
      </c>
      <c r="L2315" s="131"/>
      <c r="M2315" s="131"/>
      <c r="N2315" s="131"/>
    </row>
    <row r="2316" spans="1:14" hidden="1">
      <c r="A2316" s="100" t="s">
        <v>862</v>
      </c>
      <c r="B2316" s="101" t="s">
        <v>4140</v>
      </c>
      <c r="C2316" s="99" t="s">
        <v>4141</v>
      </c>
      <c r="D2316" s="38"/>
      <c r="E2316" s="42">
        <v>1</v>
      </c>
      <c r="F2316" s="9"/>
      <c r="G2316" s="8">
        <f t="shared" si="80"/>
        <v>15.767325000000001</v>
      </c>
      <c r="H2316" s="188">
        <v>15.016500000000001</v>
      </c>
      <c r="I2316" s="19">
        <f t="shared" si="81"/>
        <v>0</v>
      </c>
      <c r="L2316" s="131"/>
      <c r="M2316" s="131"/>
      <c r="N2316" s="131"/>
    </row>
    <row r="2317" spans="1:14" hidden="1">
      <c r="A2317" s="100" t="s">
        <v>862</v>
      </c>
      <c r="B2317" s="101" t="s">
        <v>4142</v>
      </c>
      <c r="C2317" s="99" t="s">
        <v>4143</v>
      </c>
      <c r="D2317" s="38"/>
      <c r="E2317" s="42">
        <v>1</v>
      </c>
      <c r="F2317" s="9"/>
      <c r="G2317" s="8">
        <f t="shared" si="80"/>
        <v>15.767325000000001</v>
      </c>
      <c r="H2317" s="188">
        <v>15.016500000000001</v>
      </c>
      <c r="I2317" s="19">
        <f t="shared" si="81"/>
        <v>0</v>
      </c>
      <c r="L2317" s="131"/>
      <c r="M2317" s="131"/>
      <c r="N2317" s="131"/>
    </row>
    <row r="2318" spans="1:14" hidden="1">
      <c r="A2318" s="100" t="s">
        <v>862</v>
      </c>
      <c r="B2318" s="101" t="s">
        <v>4144</v>
      </c>
      <c r="C2318" s="99" t="s">
        <v>4145</v>
      </c>
      <c r="D2318" s="38"/>
      <c r="E2318" s="42">
        <v>1</v>
      </c>
      <c r="F2318" s="9"/>
      <c r="G2318" s="8">
        <f t="shared" si="80"/>
        <v>24.193574999999999</v>
      </c>
      <c r="H2318" s="188">
        <v>23.041499999999999</v>
      </c>
      <c r="I2318" s="19">
        <f t="shared" si="81"/>
        <v>0</v>
      </c>
      <c r="L2318" s="131"/>
      <c r="M2318" s="131"/>
      <c r="N2318" s="131"/>
    </row>
    <row r="2319" spans="1:14" hidden="1">
      <c r="A2319" s="100" t="s">
        <v>862</v>
      </c>
      <c r="B2319" s="101" t="s">
        <v>4146</v>
      </c>
      <c r="C2319" s="99" t="s">
        <v>4147</v>
      </c>
      <c r="D2319" s="38"/>
      <c r="E2319" s="42">
        <v>1</v>
      </c>
      <c r="F2319" s="9"/>
      <c r="G2319" s="8">
        <f t="shared" si="80"/>
        <v>7.0497000000000005</v>
      </c>
      <c r="H2319" s="188">
        <v>6.7140000000000004</v>
      </c>
      <c r="I2319" s="19">
        <f t="shared" si="81"/>
        <v>0</v>
      </c>
      <c r="L2319" s="131"/>
      <c r="M2319" s="131"/>
      <c r="N2319" s="131"/>
    </row>
    <row r="2320" spans="1:14" hidden="1">
      <c r="A2320" s="100" t="s">
        <v>862</v>
      </c>
      <c r="B2320" s="101" t="s">
        <v>4148</v>
      </c>
      <c r="C2320" s="99" t="s">
        <v>4149</v>
      </c>
      <c r="D2320" s="38"/>
      <c r="E2320" s="42">
        <v>1</v>
      </c>
      <c r="F2320" s="9"/>
      <c r="G2320" s="8">
        <f t="shared" si="80"/>
        <v>0.28612500000000002</v>
      </c>
      <c r="H2320" s="188">
        <v>0.27250000000000002</v>
      </c>
      <c r="I2320" s="19">
        <f t="shared" si="81"/>
        <v>0</v>
      </c>
      <c r="L2320" s="131"/>
      <c r="M2320" s="131"/>
      <c r="N2320" s="131"/>
    </row>
    <row r="2321" spans="1:14" hidden="1">
      <c r="A2321" s="100" t="s">
        <v>862</v>
      </c>
      <c r="B2321" s="101" t="s">
        <v>4150</v>
      </c>
      <c r="C2321" s="99" t="s">
        <v>4151</v>
      </c>
      <c r="D2321" s="38"/>
      <c r="E2321" s="42">
        <v>1</v>
      </c>
      <c r="F2321" s="9"/>
      <c r="G2321" s="8">
        <f t="shared" si="80"/>
        <v>0.87412500000000004</v>
      </c>
      <c r="H2321" s="188">
        <v>0.83250000000000002</v>
      </c>
      <c r="I2321" s="19">
        <f t="shared" si="81"/>
        <v>0</v>
      </c>
      <c r="L2321" s="131"/>
      <c r="M2321" s="131"/>
      <c r="N2321" s="131"/>
    </row>
    <row r="2322" spans="1:14" hidden="1">
      <c r="A2322" s="100" t="s">
        <v>862</v>
      </c>
      <c r="B2322" s="101" t="s">
        <v>4152</v>
      </c>
      <c r="C2322" s="99" t="s">
        <v>4153</v>
      </c>
      <c r="D2322" s="38"/>
      <c r="E2322" s="42">
        <v>1</v>
      </c>
      <c r="F2322" s="9"/>
      <c r="G2322" s="8">
        <f t="shared" si="80"/>
        <v>0.87412500000000004</v>
      </c>
      <c r="H2322" s="188">
        <v>0.83250000000000002</v>
      </c>
      <c r="I2322" s="19">
        <f t="shared" si="81"/>
        <v>0</v>
      </c>
      <c r="L2322" s="131"/>
      <c r="M2322" s="131"/>
      <c r="N2322" s="131"/>
    </row>
    <row r="2323" spans="1:14" hidden="1">
      <c r="A2323" s="100" t="s">
        <v>862</v>
      </c>
      <c r="B2323" s="101" t="s">
        <v>4154</v>
      </c>
      <c r="C2323" s="99" t="s">
        <v>4155</v>
      </c>
      <c r="D2323" s="38"/>
      <c r="E2323" s="42">
        <v>1</v>
      </c>
      <c r="F2323" s="9"/>
      <c r="G2323" s="8">
        <f t="shared" si="80"/>
        <v>0.28875000000000001</v>
      </c>
      <c r="H2323" s="188">
        <v>0.27500000000000002</v>
      </c>
      <c r="I2323" s="19">
        <f t="shared" si="81"/>
        <v>0</v>
      </c>
      <c r="L2323" s="131"/>
      <c r="M2323" s="131"/>
      <c r="N2323" s="131"/>
    </row>
    <row r="2324" spans="1:14" hidden="1">
      <c r="A2324" s="100" t="s">
        <v>862</v>
      </c>
      <c r="B2324" s="101" t="s">
        <v>4156</v>
      </c>
      <c r="C2324" s="99" t="s">
        <v>4157</v>
      </c>
      <c r="D2324" s="38"/>
      <c r="E2324" s="42">
        <v>1</v>
      </c>
      <c r="F2324" s="9"/>
      <c r="G2324" s="8">
        <f t="shared" si="80"/>
        <v>0.67200000000000004</v>
      </c>
      <c r="H2324" s="188">
        <v>0.64</v>
      </c>
      <c r="I2324" s="19">
        <f t="shared" si="81"/>
        <v>0</v>
      </c>
      <c r="L2324" s="131"/>
      <c r="M2324" s="131"/>
      <c r="N2324" s="131"/>
    </row>
    <row r="2325" spans="1:14" hidden="1">
      <c r="A2325" s="100" t="s">
        <v>862</v>
      </c>
      <c r="B2325" s="101" t="s">
        <v>4158</v>
      </c>
      <c r="C2325" s="99" t="s">
        <v>4159</v>
      </c>
      <c r="D2325" s="38"/>
      <c r="E2325" s="42">
        <v>1</v>
      </c>
      <c r="F2325" s="9"/>
      <c r="G2325" s="8">
        <f t="shared" si="80"/>
        <v>0.67200000000000004</v>
      </c>
      <c r="H2325" s="188">
        <v>0.64</v>
      </c>
      <c r="I2325" s="19">
        <f t="shared" si="81"/>
        <v>0</v>
      </c>
      <c r="L2325" s="131"/>
      <c r="M2325" s="131"/>
      <c r="N2325" s="131"/>
    </row>
    <row r="2326" spans="1:14" hidden="1">
      <c r="A2326" s="100" t="s">
        <v>862</v>
      </c>
      <c r="B2326" s="97" t="s">
        <v>4160</v>
      </c>
      <c r="C2326" s="98" t="s">
        <v>4161</v>
      </c>
      <c r="D2326" s="38" t="s">
        <v>572</v>
      </c>
      <c r="E2326" s="42">
        <v>1</v>
      </c>
      <c r="F2326" s="9"/>
      <c r="G2326" s="8">
        <f t="shared" si="80"/>
        <v>0.60899999999999999</v>
      </c>
      <c r="H2326" s="188">
        <v>0.57999999999999996</v>
      </c>
      <c r="I2326" s="19">
        <f t="shared" si="81"/>
        <v>0</v>
      </c>
      <c r="L2326" s="131"/>
      <c r="M2326" s="131"/>
      <c r="N2326" s="131"/>
    </row>
    <row r="2327" spans="1:14" hidden="1">
      <c r="A2327" s="100" t="s">
        <v>862</v>
      </c>
      <c r="B2327" s="101" t="s">
        <v>4162</v>
      </c>
      <c r="C2327" s="99" t="s">
        <v>4163</v>
      </c>
      <c r="D2327" s="38"/>
      <c r="E2327" s="42">
        <v>1</v>
      </c>
      <c r="F2327" s="9"/>
      <c r="G2327" s="8">
        <f t="shared" si="80"/>
        <v>7.3804499999999997</v>
      </c>
      <c r="H2327" s="188">
        <v>7.0289999999999999</v>
      </c>
      <c r="I2327" s="19">
        <f t="shared" si="81"/>
        <v>0</v>
      </c>
      <c r="L2327" s="131"/>
      <c r="M2327" s="131"/>
      <c r="N2327" s="131"/>
    </row>
    <row r="2328" spans="1:14" hidden="1">
      <c r="A2328" s="100" t="s">
        <v>862</v>
      </c>
      <c r="B2328" s="101" t="s">
        <v>4164</v>
      </c>
      <c r="C2328" s="99" t="s">
        <v>4165</v>
      </c>
      <c r="D2328" s="38"/>
      <c r="E2328" s="42">
        <v>1</v>
      </c>
      <c r="F2328" s="9"/>
      <c r="G2328" s="8">
        <f t="shared" si="80"/>
        <v>45.522749999999995</v>
      </c>
      <c r="H2328" s="188">
        <v>43.354999999999997</v>
      </c>
      <c r="I2328" s="19">
        <f t="shared" si="81"/>
        <v>0</v>
      </c>
      <c r="L2328" s="131"/>
      <c r="M2328" s="131"/>
      <c r="N2328" s="131"/>
    </row>
    <row r="2329" spans="1:14" hidden="1">
      <c r="A2329" s="100" t="s">
        <v>862</v>
      </c>
      <c r="B2329" s="101" t="s">
        <v>4166</v>
      </c>
      <c r="C2329" s="99" t="s">
        <v>4167</v>
      </c>
      <c r="D2329" s="38"/>
      <c r="E2329" s="42">
        <v>1</v>
      </c>
      <c r="F2329" s="9"/>
      <c r="G2329" s="8">
        <f t="shared" si="80"/>
        <v>48.525750000000002</v>
      </c>
      <c r="H2329" s="188">
        <v>46.215000000000003</v>
      </c>
      <c r="I2329" s="19">
        <f t="shared" si="81"/>
        <v>0</v>
      </c>
      <c r="L2329" s="131"/>
      <c r="M2329" s="131"/>
      <c r="N2329" s="131"/>
    </row>
    <row r="2330" spans="1:14" hidden="1">
      <c r="A2330" s="100" t="s">
        <v>862</v>
      </c>
      <c r="B2330" s="101" t="s">
        <v>4168</v>
      </c>
      <c r="C2330" s="99" t="s">
        <v>4169</v>
      </c>
      <c r="D2330" s="38"/>
      <c r="E2330" s="42">
        <v>1</v>
      </c>
      <c r="F2330" s="9"/>
      <c r="G2330" s="8">
        <f t="shared" si="80"/>
        <v>49.276499999999999</v>
      </c>
      <c r="H2330" s="188">
        <v>46.93</v>
      </c>
      <c r="I2330" s="19">
        <f t="shared" si="81"/>
        <v>0</v>
      </c>
      <c r="L2330" s="131"/>
      <c r="M2330" s="131"/>
      <c r="N2330" s="131"/>
    </row>
    <row r="2331" spans="1:14" hidden="1">
      <c r="A2331" s="100" t="s">
        <v>862</v>
      </c>
      <c r="B2331" s="101" t="s">
        <v>4170</v>
      </c>
      <c r="C2331" s="99" t="s">
        <v>4171</v>
      </c>
      <c r="D2331" s="38"/>
      <c r="E2331" s="42">
        <v>1</v>
      </c>
      <c r="F2331" s="9"/>
      <c r="G2331" s="8">
        <f t="shared" si="80"/>
        <v>37.264500000000005</v>
      </c>
      <c r="H2331" s="188">
        <v>35.49</v>
      </c>
      <c r="I2331" s="19">
        <f t="shared" si="81"/>
        <v>0</v>
      </c>
      <c r="L2331" s="131"/>
      <c r="M2331" s="131"/>
      <c r="N2331" s="131"/>
    </row>
    <row r="2332" spans="1:14" hidden="1">
      <c r="A2332" s="100" t="s">
        <v>862</v>
      </c>
      <c r="B2332" s="101" t="s">
        <v>4172</v>
      </c>
      <c r="C2332" s="99" t="s">
        <v>4173</v>
      </c>
      <c r="D2332" s="38"/>
      <c r="E2332" s="42">
        <v>1</v>
      </c>
      <c r="F2332" s="9"/>
      <c r="G2332" s="8">
        <f t="shared" si="80"/>
        <v>37.878750000000004</v>
      </c>
      <c r="H2332" s="188">
        <v>36.075000000000003</v>
      </c>
      <c r="I2332" s="19">
        <f t="shared" si="81"/>
        <v>0</v>
      </c>
      <c r="L2332" s="131"/>
      <c r="M2332" s="131"/>
      <c r="N2332" s="131"/>
    </row>
    <row r="2333" spans="1:14" hidden="1">
      <c r="A2333" s="100" t="s">
        <v>862</v>
      </c>
      <c r="B2333" s="101" t="s">
        <v>4174</v>
      </c>
      <c r="C2333" s="99" t="s">
        <v>4175</v>
      </c>
      <c r="D2333" s="38"/>
      <c r="E2333" s="42">
        <v>1</v>
      </c>
      <c r="F2333" s="9"/>
      <c r="G2333" s="8">
        <f t="shared" si="80"/>
        <v>47.365499999999997</v>
      </c>
      <c r="H2333" s="188">
        <v>45.11</v>
      </c>
      <c r="I2333" s="19">
        <f t="shared" si="81"/>
        <v>0</v>
      </c>
      <c r="L2333" s="131"/>
      <c r="M2333" s="131"/>
      <c r="N2333" s="131"/>
    </row>
    <row r="2334" spans="1:14" hidden="1">
      <c r="A2334" s="100" t="s">
        <v>862</v>
      </c>
      <c r="B2334" s="101" t="s">
        <v>4176</v>
      </c>
      <c r="C2334" s="99" t="s">
        <v>4177</v>
      </c>
      <c r="D2334" s="38"/>
      <c r="E2334" s="42">
        <v>1</v>
      </c>
      <c r="F2334" s="9"/>
      <c r="G2334" s="8">
        <f t="shared" si="80"/>
        <v>57.261749999999999</v>
      </c>
      <c r="H2334" s="188">
        <v>54.534999999999997</v>
      </c>
      <c r="I2334" s="19">
        <f t="shared" si="81"/>
        <v>0</v>
      </c>
      <c r="L2334" s="131"/>
      <c r="M2334" s="131"/>
      <c r="N2334" s="131"/>
    </row>
    <row r="2335" spans="1:14" hidden="1">
      <c r="A2335" s="100" t="s">
        <v>862</v>
      </c>
      <c r="B2335" s="101" t="s">
        <v>4178</v>
      </c>
      <c r="C2335" s="99" t="s">
        <v>4179</v>
      </c>
      <c r="D2335" s="38"/>
      <c r="E2335" s="42">
        <v>1</v>
      </c>
      <c r="F2335" s="9"/>
      <c r="G2335" s="8">
        <f t="shared" si="80"/>
        <v>0.13387499999999999</v>
      </c>
      <c r="H2335" s="188">
        <v>0.1275</v>
      </c>
      <c r="I2335" s="19">
        <f t="shared" si="81"/>
        <v>0</v>
      </c>
      <c r="L2335" s="131"/>
      <c r="M2335" s="131"/>
      <c r="N2335" s="131"/>
    </row>
    <row r="2336" spans="1:14" hidden="1">
      <c r="A2336" s="100" t="s">
        <v>862</v>
      </c>
      <c r="B2336" s="101" t="s">
        <v>4180</v>
      </c>
      <c r="C2336" s="99" t="s">
        <v>4181</v>
      </c>
      <c r="D2336" s="38" t="s">
        <v>572</v>
      </c>
      <c r="E2336" s="42">
        <v>1</v>
      </c>
      <c r="F2336" s="9"/>
      <c r="G2336" s="8">
        <f t="shared" si="80"/>
        <v>0.605325</v>
      </c>
      <c r="H2336" s="188">
        <v>0.57650000000000001</v>
      </c>
      <c r="I2336" s="19">
        <f t="shared" si="81"/>
        <v>0</v>
      </c>
      <c r="L2336" s="131"/>
      <c r="M2336" s="131"/>
      <c r="N2336" s="131"/>
    </row>
    <row r="2337" spans="1:14" hidden="1">
      <c r="A2337" s="100" t="s">
        <v>862</v>
      </c>
      <c r="B2337" s="101" t="s">
        <v>4182</v>
      </c>
      <c r="C2337" s="99" t="s">
        <v>4183</v>
      </c>
      <c r="D2337" s="38" t="s">
        <v>572</v>
      </c>
      <c r="E2337" s="42">
        <v>1</v>
      </c>
      <c r="F2337" s="9"/>
      <c r="G2337" s="8">
        <f t="shared" si="80"/>
        <v>0.72344999999999993</v>
      </c>
      <c r="H2337" s="188">
        <v>0.68899999999999995</v>
      </c>
      <c r="I2337" s="19">
        <f t="shared" si="81"/>
        <v>0</v>
      </c>
      <c r="L2337" s="131"/>
      <c r="M2337" s="131"/>
      <c r="N2337" s="131"/>
    </row>
    <row r="2338" spans="1:14" hidden="1">
      <c r="A2338" s="100" t="s">
        <v>862</v>
      </c>
      <c r="B2338" s="101" t="s">
        <v>4184</v>
      </c>
      <c r="C2338" s="99" t="s">
        <v>4185</v>
      </c>
      <c r="D2338" s="38" t="s">
        <v>572</v>
      </c>
      <c r="E2338" s="42">
        <v>1</v>
      </c>
      <c r="F2338" s="9"/>
      <c r="G2338" s="8">
        <f t="shared" si="80"/>
        <v>1.0647</v>
      </c>
      <c r="H2338" s="188">
        <v>1.014</v>
      </c>
      <c r="I2338" s="19">
        <f t="shared" si="81"/>
        <v>0</v>
      </c>
      <c r="L2338" s="131"/>
      <c r="M2338" s="131"/>
      <c r="N2338" s="131"/>
    </row>
    <row r="2339" spans="1:14" hidden="1">
      <c r="A2339" s="100" t="s">
        <v>862</v>
      </c>
      <c r="B2339" s="101" t="s">
        <v>4186</v>
      </c>
      <c r="C2339" s="99" t="s">
        <v>4187</v>
      </c>
      <c r="D2339" s="38" t="s">
        <v>572</v>
      </c>
      <c r="E2339" s="42">
        <v>1</v>
      </c>
      <c r="F2339" s="9"/>
      <c r="G2339" s="8">
        <f t="shared" si="80"/>
        <v>0.52237500000000003</v>
      </c>
      <c r="H2339" s="188">
        <v>0.4975</v>
      </c>
      <c r="I2339" s="19">
        <f t="shared" si="81"/>
        <v>0</v>
      </c>
      <c r="L2339" s="131"/>
      <c r="M2339" s="131"/>
      <c r="N2339" s="131"/>
    </row>
    <row r="2340" spans="1:14" hidden="1">
      <c r="A2340" s="100" t="s">
        <v>862</v>
      </c>
      <c r="B2340" s="101" t="s">
        <v>4188</v>
      </c>
      <c r="C2340" s="99" t="s">
        <v>4189</v>
      </c>
      <c r="D2340" s="38" t="s">
        <v>572</v>
      </c>
      <c r="E2340" s="42">
        <v>1</v>
      </c>
      <c r="F2340" s="9"/>
      <c r="G2340" s="8">
        <f t="shared" si="80"/>
        <v>1.26</v>
      </c>
      <c r="H2340" s="188">
        <v>1.2</v>
      </c>
      <c r="I2340" s="19">
        <f t="shared" si="81"/>
        <v>0</v>
      </c>
      <c r="L2340" s="131"/>
      <c r="M2340" s="131"/>
      <c r="N2340" s="131"/>
    </row>
    <row r="2341" spans="1:14" hidden="1">
      <c r="A2341" s="100" t="s">
        <v>862</v>
      </c>
      <c r="B2341" s="101" t="s">
        <v>4190</v>
      </c>
      <c r="C2341" s="99" t="s">
        <v>4191</v>
      </c>
      <c r="D2341" s="38"/>
      <c r="E2341" s="42">
        <v>1</v>
      </c>
      <c r="F2341" s="9"/>
      <c r="G2341" s="8">
        <f t="shared" ref="G2341:G2404" si="82">H2341+(H2341*5%)</f>
        <v>0.757575</v>
      </c>
      <c r="H2341" s="188">
        <v>0.72150000000000003</v>
      </c>
      <c r="I2341" s="19">
        <f t="shared" si="81"/>
        <v>0</v>
      </c>
      <c r="L2341" s="131"/>
      <c r="M2341" s="131"/>
      <c r="N2341" s="131"/>
    </row>
    <row r="2342" spans="1:14" hidden="1">
      <c r="A2342" s="100" t="s">
        <v>862</v>
      </c>
      <c r="B2342" s="101" t="s">
        <v>4192</v>
      </c>
      <c r="C2342" s="99" t="s">
        <v>4193</v>
      </c>
      <c r="D2342" s="38"/>
      <c r="E2342" s="42">
        <v>1</v>
      </c>
      <c r="F2342" s="9"/>
      <c r="G2342" s="8">
        <f t="shared" si="82"/>
        <v>0.74812500000000004</v>
      </c>
      <c r="H2342" s="188">
        <v>0.71250000000000002</v>
      </c>
      <c r="I2342" s="19">
        <f t="shared" si="81"/>
        <v>0</v>
      </c>
      <c r="L2342" s="131"/>
      <c r="M2342" s="131"/>
      <c r="N2342" s="131"/>
    </row>
    <row r="2343" spans="1:14" hidden="1">
      <c r="A2343" s="100" t="s">
        <v>862</v>
      </c>
      <c r="B2343" s="101" t="s">
        <v>4194</v>
      </c>
      <c r="C2343" s="99" t="s">
        <v>4195</v>
      </c>
      <c r="D2343" s="38"/>
      <c r="E2343" s="42">
        <v>1</v>
      </c>
      <c r="F2343" s="9"/>
      <c r="G2343" s="8">
        <f t="shared" si="82"/>
        <v>1.1329499999999999</v>
      </c>
      <c r="H2343" s="188">
        <v>1.079</v>
      </c>
      <c r="I2343" s="19">
        <f t="shared" ref="I2343:I2406" si="83">G2343*F2343</f>
        <v>0</v>
      </c>
      <c r="L2343" s="131"/>
      <c r="M2343" s="131"/>
      <c r="N2343" s="131"/>
    </row>
    <row r="2344" spans="1:14" hidden="1">
      <c r="A2344" s="100" t="s">
        <v>862</v>
      </c>
      <c r="B2344" s="101" t="s">
        <v>4196</v>
      </c>
      <c r="C2344" s="99" t="s">
        <v>4197</v>
      </c>
      <c r="D2344" s="38"/>
      <c r="E2344" s="42">
        <v>1</v>
      </c>
      <c r="F2344" s="9"/>
      <c r="G2344" s="8">
        <f t="shared" si="82"/>
        <v>1.6380000000000001</v>
      </c>
      <c r="H2344" s="188">
        <v>1.56</v>
      </c>
      <c r="I2344" s="19">
        <f t="shared" si="83"/>
        <v>0</v>
      </c>
      <c r="L2344" s="131"/>
      <c r="M2344" s="131"/>
      <c r="N2344" s="131"/>
    </row>
    <row r="2345" spans="1:14" hidden="1">
      <c r="A2345" s="100" t="s">
        <v>862</v>
      </c>
      <c r="B2345" s="101" t="s">
        <v>4198</v>
      </c>
      <c r="C2345" s="99" t="s">
        <v>4199</v>
      </c>
      <c r="D2345" s="38" t="s">
        <v>945</v>
      </c>
      <c r="E2345" s="42">
        <v>1</v>
      </c>
      <c r="F2345" s="9"/>
      <c r="G2345" s="8">
        <f t="shared" si="82"/>
        <v>3.5909999999999997</v>
      </c>
      <c r="H2345" s="188">
        <v>3.42</v>
      </c>
      <c r="I2345" s="19">
        <f t="shared" si="83"/>
        <v>0</v>
      </c>
      <c r="L2345" s="131"/>
      <c r="M2345" s="131"/>
      <c r="N2345" s="131"/>
    </row>
    <row r="2346" spans="1:14" hidden="1">
      <c r="A2346" s="100" t="s">
        <v>862</v>
      </c>
      <c r="B2346" s="101" t="s">
        <v>4200</v>
      </c>
      <c r="C2346" s="99" t="s">
        <v>4201</v>
      </c>
      <c r="D2346" s="38" t="s">
        <v>572</v>
      </c>
      <c r="E2346" s="42">
        <v>1</v>
      </c>
      <c r="F2346" s="9"/>
      <c r="G2346" s="8">
        <f t="shared" si="82"/>
        <v>0.5827500000000001</v>
      </c>
      <c r="H2346" s="188">
        <v>0.55500000000000005</v>
      </c>
      <c r="I2346" s="19">
        <f t="shared" si="83"/>
        <v>0</v>
      </c>
      <c r="L2346" s="131"/>
      <c r="M2346" s="131"/>
      <c r="N2346" s="131"/>
    </row>
    <row r="2347" spans="1:14" hidden="1">
      <c r="A2347" s="100" t="s">
        <v>862</v>
      </c>
      <c r="B2347" s="101" t="s">
        <v>4202</v>
      </c>
      <c r="C2347" s="99" t="s">
        <v>4203</v>
      </c>
      <c r="D2347" s="38"/>
      <c r="E2347" s="42">
        <v>1</v>
      </c>
      <c r="F2347" s="9"/>
      <c r="G2347" s="8">
        <f t="shared" si="82"/>
        <v>20.507024999999999</v>
      </c>
      <c r="H2347" s="188">
        <v>19.5305</v>
      </c>
      <c r="I2347" s="19">
        <f t="shared" si="83"/>
        <v>0</v>
      </c>
      <c r="L2347" s="131"/>
      <c r="M2347" s="131"/>
      <c r="N2347" s="131"/>
    </row>
    <row r="2348" spans="1:14" hidden="1">
      <c r="A2348" s="100" t="s">
        <v>862</v>
      </c>
      <c r="B2348" s="101" t="s">
        <v>4204</v>
      </c>
      <c r="C2348" s="99" t="s">
        <v>4205</v>
      </c>
      <c r="D2348" s="38"/>
      <c r="E2348" s="42">
        <v>1</v>
      </c>
      <c r="F2348" s="9"/>
      <c r="G2348" s="8">
        <f t="shared" si="82"/>
        <v>19.881225000000001</v>
      </c>
      <c r="H2348" s="188">
        <v>18.9345</v>
      </c>
      <c r="I2348" s="19">
        <f t="shared" si="83"/>
        <v>0</v>
      </c>
      <c r="L2348" s="131"/>
      <c r="M2348" s="131"/>
      <c r="N2348" s="131"/>
    </row>
    <row r="2349" spans="1:14" hidden="1">
      <c r="A2349" s="100" t="s">
        <v>862</v>
      </c>
      <c r="B2349" s="101" t="s">
        <v>4206</v>
      </c>
      <c r="C2349" s="99" t="s">
        <v>4207</v>
      </c>
      <c r="D2349" s="38"/>
      <c r="E2349" s="42">
        <v>1</v>
      </c>
      <c r="F2349" s="9"/>
      <c r="G2349" s="8">
        <f t="shared" si="82"/>
        <v>18.267375000000001</v>
      </c>
      <c r="H2349" s="188">
        <v>17.397500000000001</v>
      </c>
      <c r="I2349" s="19">
        <f t="shared" si="83"/>
        <v>0</v>
      </c>
      <c r="L2349" s="131"/>
      <c r="M2349" s="131"/>
      <c r="N2349" s="131"/>
    </row>
    <row r="2350" spans="1:14" hidden="1">
      <c r="A2350" s="100" t="s">
        <v>862</v>
      </c>
      <c r="B2350" s="101" t="s">
        <v>4208</v>
      </c>
      <c r="C2350" s="99" t="s">
        <v>4209</v>
      </c>
      <c r="D2350" s="38"/>
      <c r="E2350" s="42">
        <v>1</v>
      </c>
      <c r="F2350" s="9"/>
      <c r="G2350" s="8">
        <f t="shared" si="82"/>
        <v>17.279325</v>
      </c>
      <c r="H2350" s="188">
        <v>16.456499999999998</v>
      </c>
      <c r="I2350" s="19">
        <f t="shared" si="83"/>
        <v>0</v>
      </c>
      <c r="L2350" s="131"/>
      <c r="M2350" s="131"/>
      <c r="N2350" s="131"/>
    </row>
    <row r="2351" spans="1:14" hidden="1">
      <c r="A2351" s="100" t="s">
        <v>862</v>
      </c>
      <c r="B2351" s="101" t="s">
        <v>4210</v>
      </c>
      <c r="C2351" s="99" t="s">
        <v>4211</v>
      </c>
      <c r="D2351" s="38"/>
      <c r="E2351" s="42">
        <v>1</v>
      </c>
      <c r="F2351" s="9"/>
      <c r="G2351" s="8">
        <f t="shared" si="82"/>
        <v>15.985725</v>
      </c>
      <c r="H2351" s="188">
        <v>15.224500000000001</v>
      </c>
      <c r="I2351" s="19">
        <f t="shared" si="83"/>
        <v>0</v>
      </c>
      <c r="L2351" s="131"/>
      <c r="M2351" s="131"/>
      <c r="N2351" s="131"/>
    </row>
    <row r="2352" spans="1:14" hidden="1">
      <c r="A2352" s="100" t="s">
        <v>862</v>
      </c>
      <c r="B2352" s="101" t="s">
        <v>4212</v>
      </c>
      <c r="C2352" s="99" t="s">
        <v>4213</v>
      </c>
      <c r="D2352" s="38"/>
      <c r="E2352" s="42">
        <v>1</v>
      </c>
      <c r="F2352" s="9"/>
      <c r="G2352" s="8">
        <f t="shared" si="82"/>
        <v>14.942024999999999</v>
      </c>
      <c r="H2352" s="188">
        <v>14.230499999999999</v>
      </c>
      <c r="I2352" s="19">
        <f t="shared" si="83"/>
        <v>0</v>
      </c>
      <c r="L2352" s="131"/>
      <c r="M2352" s="131"/>
      <c r="N2352" s="131"/>
    </row>
    <row r="2353" spans="1:14">
      <c r="A2353" s="100" t="s">
        <v>862</v>
      </c>
      <c r="B2353" s="101" t="s">
        <v>4214</v>
      </c>
      <c r="C2353" s="99" t="s">
        <v>4215</v>
      </c>
      <c r="D2353" s="38"/>
      <c r="E2353" s="42">
        <v>1</v>
      </c>
      <c r="F2353" s="9">
        <v>14</v>
      </c>
      <c r="G2353" s="8">
        <f t="shared" si="82"/>
        <v>14.162925</v>
      </c>
      <c r="H2353" s="188">
        <v>13.4885</v>
      </c>
      <c r="I2353" s="19">
        <f t="shared" si="83"/>
        <v>198.28094999999999</v>
      </c>
      <c r="L2353" s="131"/>
      <c r="M2353" s="131"/>
      <c r="N2353" s="131"/>
    </row>
    <row r="2354" spans="1:14">
      <c r="A2354" s="100" t="s">
        <v>862</v>
      </c>
      <c r="B2354" s="101" t="s">
        <v>4216</v>
      </c>
      <c r="C2354" s="99" t="s">
        <v>4217</v>
      </c>
      <c r="D2354" s="38"/>
      <c r="E2354" s="42">
        <v>1</v>
      </c>
      <c r="F2354" s="9">
        <v>11</v>
      </c>
      <c r="G2354" s="8">
        <f t="shared" si="82"/>
        <v>13.30035</v>
      </c>
      <c r="H2354" s="188">
        <v>12.667</v>
      </c>
      <c r="I2354" s="19">
        <f t="shared" si="83"/>
        <v>146.30385000000001</v>
      </c>
      <c r="L2354" s="131"/>
      <c r="M2354" s="131"/>
      <c r="N2354" s="131"/>
    </row>
    <row r="2355" spans="1:14">
      <c r="A2355" s="100" t="s">
        <v>862</v>
      </c>
      <c r="B2355" s="101" t="s">
        <v>4218</v>
      </c>
      <c r="C2355" s="99" t="s">
        <v>4219</v>
      </c>
      <c r="D2355" s="38"/>
      <c r="E2355" s="42">
        <v>1</v>
      </c>
      <c r="F2355" s="9">
        <v>6</v>
      </c>
      <c r="G2355" s="8">
        <f t="shared" si="82"/>
        <v>12.646725</v>
      </c>
      <c r="H2355" s="188">
        <v>12.044499999999999</v>
      </c>
      <c r="I2355" s="19">
        <f t="shared" si="83"/>
        <v>75.880349999999993</v>
      </c>
      <c r="L2355" s="131"/>
      <c r="M2355" s="131"/>
      <c r="N2355" s="131"/>
    </row>
    <row r="2356" spans="1:14" hidden="1">
      <c r="A2356" s="100" t="s">
        <v>862</v>
      </c>
      <c r="B2356" s="101" t="s">
        <v>4220</v>
      </c>
      <c r="C2356" s="99" t="s">
        <v>4221</v>
      </c>
      <c r="D2356" s="38"/>
      <c r="E2356" s="42">
        <v>1</v>
      </c>
      <c r="F2356" s="9"/>
      <c r="G2356" s="8">
        <f t="shared" si="82"/>
        <v>12.1317</v>
      </c>
      <c r="H2356" s="188">
        <v>11.554</v>
      </c>
      <c r="I2356" s="19">
        <f t="shared" si="83"/>
        <v>0</v>
      </c>
      <c r="L2356" s="131"/>
      <c r="M2356" s="131"/>
      <c r="N2356" s="131"/>
    </row>
    <row r="2357" spans="1:14" hidden="1">
      <c r="A2357" s="100" t="s">
        <v>862</v>
      </c>
      <c r="B2357" s="101" t="s">
        <v>4222</v>
      </c>
      <c r="C2357" s="99" t="s">
        <v>4223</v>
      </c>
      <c r="D2357" s="38"/>
      <c r="E2357" s="42">
        <v>1</v>
      </c>
      <c r="F2357" s="9"/>
      <c r="G2357" s="8">
        <f t="shared" si="82"/>
        <v>11.269125000000001</v>
      </c>
      <c r="H2357" s="188">
        <v>10.7325</v>
      </c>
      <c r="I2357" s="19">
        <f t="shared" si="83"/>
        <v>0</v>
      </c>
      <c r="L2357" s="131"/>
      <c r="M2357" s="131"/>
      <c r="N2357" s="131"/>
    </row>
    <row r="2358" spans="1:14" hidden="1">
      <c r="A2358" s="100" t="s">
        <v>862</v>
      </c>
      <c r="B2358" s="101" t="s">
        <v>4224</v>
      </c>
      <c r="C2358" s="99" t="s">
        <v>4225</v>
      </c>
      <c r="D2358" s="38"/>
      <c r="E2358" s="42">
        <v>1</v>
      </c>
      <c r="F2358" s="9"/>
      <c r="G2358" s="8">
        <f t="shared" si="82"/>
        <v>10.851750000000001</v>
      </c>
      <c r="H2358" s="188">
        <v>10.335000000000001</v>
      </c>
      <c r="I2358" s="19">
        <f t="shared" si="83"/>
        <v>0</v>
      </c>
      <c r="L2358" s="131"/>
      <c r="M2358" s="131"/>
      <c r="N2358" s="131"/>
    </row>
    <row r="2359" spans="1:14" hidden="1">
      <c r="A2359" s="100" t="s">
        <v>862</v>
      </c>
      <c r="B2359" s="101" t="s">
        <v>4226</v>
      </c>
      <c r="C2359" s="99" t="s">
        <v>4227</v>
      </c>
      <c r="D2359" s="38"/>
      <c r="E2359" s="42">
        <v>1</v>
      </c>
      <c r="F2359" s="9"/>
      <c r="G2359" s="8">
        <f t="shared" si="82"/>
        <v>10.044824999999999</v>
      </c>
      <c r="H2359" s="188">
        <v>9.5664999999999996</v>
      </c>
      <c r="I2359" s="19">
        <f t="shared" si="83"/>
        <v>0</v>
      </c>
      <c r="L2359" s="131"/>
      <c r="M2359" s="131"/>
      <c r="N2359" s="131"/>
    </row>
    <row r="2360" spans="1:14" hidden="1">
      <c r="A2360" s="100" t="s">
        <v>862</v>
      </c>
      <c r="B2360" s="101" t="s">
        <v>4228</v>
      </c>
      <c r="C2360" s="99" t="s">
        <v>4229</v>
      </c>
      <c r="D2360" s="38"/>
      <c r="E2360" s="42">
        <v>1</v>
      </c>
      <c r="F2360" s="9"/>
      <c r="G2360" s="8">
        <f t="shared" si="82"/>
        <v>8.9596499999999999</v>
      </c>
      <c r="H2360" s="188">
        <v>8.5329999999999995</v>
      </c>
      <c r="I2360" s="19">
        <f t="shared" si="83"/>
        <v>0</v>
      </c>
      <c r="L2360" s="131"/>
      <c r="M2360" s="131"/>
      <c r="N2360" s="131"/>
    </row>
    <row r="2361" spans="1:14" hidden="1">
      <c r="A2361" s="100" t="s">
        <v>862</v>
      </c>
      <c r="B2361" s="101" t="s">
        <v>4230</v>
      </c>
      <c r="C2361" s="99" t="s">
        <v>4231</v>
      </c>
      <c r="D2361" s="38"/>
      <c r="E2361" s="42">
        <v>1</v>
      </c>
      <c r="F2361" s="9"/>
      <c r="G2361" s="8">
        <f t="shared" si="82"/>
        <v>8.0834250000000001</v>
      </c>
      <c r="H2361" s="188">
        <v>7.6985000000000001</v>
      </c>
      <c r="I2361" s="19">
        <f t="shared" si="83"/>
        <v>0</v>
      </c>
      <c r="L2361" s="131"/>
      <c r="M2361" s="131"/>
      <c r="N2361" s="131"/>
    </row>
    <row r="2362" spans="1:14" hidden="1">
      <c r="A2362" s="100" t="s">
        <v>862</v>
      </c>
      <c r="B2362" s="101" t="s">
        <v>4232</v>
      </c>
      <c r="C2362" s="99" t="s">
        <v>4233</v>
      </c>
      <c r="D2362" s="38"/>
      <c r="E2362" s="42">
        <v>1</v>
      </c>
      <c r="F2362" s="9"/>
      <c r="G2362" s="8">
        <f t="shared" si="82"/>
        <v>7.6104000000000003</v>
      </c>
      <c r="H2362" s="188">
        <v>7.2480000000000002</v>
      </c>
      <c r="I2362" s="19">
        <f t="shared" si="83"/>
        <v>0</v>
      </c>
      <c r="L2362" s="131"/>
      <c r="M2362" s="131"/>
      <c r="N2362" s="131"/>
    </row>
    <row r="2363" spans="1:14" hidden="1">
      <c r="A2363" s="100" t="s">
        <v>862</v>
      </c>
      <c r="B2363" s="101" t="s">
        <v>4234</v>
      </c>
      <c r="C2363" s="99" t="s">
        <v>4235</v>
      </c>
      <c r="D2363" s="38"/>
      <c r="E2363" s="42">
        <v>1</v>
      </c>
      <c r="F2363" s="9"/>
      <c r="G2363" s="8">
        <f t="shared" si="82"/>
        <v>19.964700000000001</v>
      </c>
      <c r="H2363" s="188">
        <v>19.013999999999999</v>
      </c>
      <c r="I2363" s="19">
        <f t="shared" si="83"/>
        <v>0</v>
      </c>
      <c r="L2363" s="131"/>
      <c r="M2363" s="131"/>
      <c r="N2363" s="131"/>
    </row>
    <row r="2364" spans="1:14" hidden="1">
      <c r="A2364" s="100" t="s">
        <v>862</v>
      </c>
      <c r="B2364" s="101" t="s">
        <v>4236</v>
      </c>
      <c r="C2364" s="99" t="s">
        <v>4237</v>
      </c>
      <c r="D2364" s="38"/>
      <c r="E2364" s="42">
        <v>1</v>
      </c>
      <c r="F2364" s="9"/>
      <c r="G2364" s="8">
        <f t="shared" si="82"/>
        <v>18.698399999999999</v>
      </c>
      <c r="H2364" s="188">
        <v>17.808</v>
      </c>
      <c r="I2364" s="19">
        <f t="shared" si="83"/>
        <v>0</v>
      </c>
      <c r="L2364" s="131"/>
      <c r="M2364" s="131"/>
      <c r="N2364" s="131"/>
    </row>
    <row r="2365" spans="1:14" hidden="1">
      <c r="A2365" s="100" t="s">
        <v>862</v>
      </c>
      <c r="B2365" s="101" t="s">
        <v>4238</v>
      </c>
      <c r="C2365" s="99" t="s">
        <v>4239</v>
      </c>
      <c r="D2365" s="38"/>
      <c r="E2365" s="42">
        <v>1</v>
      </c>
      <c r="F2365" s="9"/>
      <c r="G2365" s="8">
        <f t="shared" si="82"/>
        <v>17.571749999999998</v>
      </c>
      <c r="H2365" s="188">
        <v>16.734999999999999</v>
      </c>
      <c r="I2365" s="19">
        <f t="shared" si="83"/>
        <v>0</v>
      </c>
      <c r="L2365" s="131"/>
      <c r="M2365" s="131"/>
      <c r="N2365" s="131"/>
    </row>
    <row r="2366" spans="1:14" hidden="1">
      <c r="A2366" s="100" t="s">
        <v>862</v>
      </c>
      <c r="B2366" s="101" t="s">
        <v>4240</v>
      </c>
      <c r="C2366" s="99" t="s">
        <v>4241</v>
      </c>
      <c r="D2366" s="38"/>
      <c r="E2366" s="42">
        <v>1</v>
      </c>
      <c r="F2366" s="9"/>
      <c r="G2366" s="8">
        <f t="shared" si="82"/>
        <v>16.722825</v>
      </c>
      <c r="H2366" s="188">
        <v>15.926500000000001</v>
      </c>
      <c r="I2366" s="19">
        <f t="shared" si="83"/>
        <v>0</v>
      </c>
      <c r="L2366" s="131"/>
      <c r="M2366" s="131"/>
      <c r="N2366" s="131"/>
    </row>
    <row r="2367" spans="1:14" hidden="1">
      <c r="A2367" s="100" t="s">
        <v>862</v>
      </c>
      <c r="B2367" s="101" t="s">
        <v>4242</v>
      </c>
      <c r="C2367" s="99" t="s">
        <v>4243</v>
      </c>
      <c r="D2367" s="38"/>
      <c r="E2367" s="42">
        <v>1</v>
      </c>
      <c r="F2367" s="9"/>
      <c r="G2367" s="8">
        <f t="shared" si="82"/>
        <v>16.124849999999999</v>
      </c>
      <c r="H2367" s="188">
        <v>15.356999999999999</v>
      </c>
      <c r="I2367" s="19">
        <f t="shared" si="83"/>
        <v>0</v>
      </c>
      <c r="L2367" s="131"/>
      <c r="M2367" s="131"/>
      <c r="N2367" s="131"/>
    </row>
    <row r="2368" spans="1:14" hidden="1">
      <c r="A2368" s="100" t="s">
        <v>862</v>
      </c>
      <c r="B2368" s="101" t="s">
        <v>4244</v>
      </c>
      <c r="C2368" s="99" t="s">
        <v>4245</v>
      </c>
      <c r="D2368" s="38"/>
      <c r="E2368" s="42">
        <v>1</v>
      </c>
      <c r="F2368" s="9"/>
      <c r="G2368" s="8">
        <f t="shared" si="82"/>
        <v>17.850000000000001</v>
      </c>
      <c r="H2368" s="188">
        <v>17</v>
      </c>
      <c r="I2368" s="19">
        <f t="shared" si="83"/>
        <v>0</v>
      </c>
      <c r="L2368" s="131"/>
      <c r="M2368" s="131"/>
      <c r="N2368" s="131"/>
    </row>
    <row r="2369" spans="1:14" hidden="1">
      <c r="A2369" s="100" t="s">
        <v>862</v>
      </c>
      <c r="B2369" s="101" t="s">
        <v>4246</v>
      </c>
      <c r="C2369" s="99" t="s">
        <v>4247</v>
      </c>
      <c r="D2369" s="38"/>
      <c r="E2369" s="42">
        <v>1</v>
      </c>
      <c r="F2369" s="9"/>
      <c r="G2369" s="8">
        <f t="shared" si="82"/>
        <v>15.470700000000001</v>
      </c>
      <c r="H2369" s="188">
        <v>14.734</v>
      </c>
      <c r="I2369" s="19">
        <f t="shared" si="83"/>
        <v>0</v>
      </c>
      <c r="L2369" s="131"/>
      <c r="M2369" s="131"/>
      <c r="N2369" s="131"/>
    </row>
    <row r="2370" spans="1:14" hidden="1">
      <c r="A2370" s="100" t="s">
        <v>862</v>
      </c>
      <c r="B2370" s="101" t="s">
        <v>4248</v>
      </c>
      <c r="C2370" s="99" t="s">
        <v>4249</v>
      </c>
      <c r="D2370" s="38"/>
      <c r="E2370" s="42">
        <v>1</v>
      </c>
      <c r="F2370" s="9"/>
      <c r="G2370" s="8">
        <f t="shared" si="82"/>
        <v>13.203225</v>
      </c>
      <c r="H2370" s="188">
        <v>12.5745</v>
      </c>
      <c r="I2370" s="19">
        <f t="shared" si="83"/>
        <v>0</v>
      </c>
      <c r="L2370" s="131"/>
      <c r="M2370" s="131"/>
      <c r="N2370" s="131"/>
    </row>
    <row r="2371" spans="1:14" hidden="1">
      <c r="A2371" s="100" t="s">
        <v>862</v>
      </c>
      <c r="B2371" s="101" t="s">
        <v>4250</v>
      </c>
      <c r="C2371" s="99" t="s">
        <v>4251</v>
      </c>
      <c r="D2371" s="38"/>
      <c r="E2371" s="42">
        <v>1</v>
      </c>
      <c r="F2371" s="9"/>
      <c r="G2371" s="8">
        <f t="shared" si="82"/>
        <v>11.85345</v>
      </c>
      <c r="H2371" s="188">
        <v>11.289</v>
      </c>
      <c r="I2371" s="19">
        <f t="shared" si="83"/>
        <v>0</v>
      </c>
      <c r="L2371" s="131"/>
      <c r="M2371" s="131"/>
      <c r="N2371" s="131"/>
    </row>
    <row r="2372" spans="1:14" hidden="1">
      <c r="A2372" s="100" t="s">
        <v>862</v>
      </c>
      <c r="B2372" s="101" t="s">
        <v>4252</v>
      </c>
      <c r="C2372" s="99" t="s">
        <v>4253</v>
      </c>
      <c r="D2372" s="38"/>
      <c r="E2372" s="42">
        <v>1</v>
      </c>
      <c r="F2372" s="9"/>
      <c r="G2372" s="8">
        <f t="shared" si="82"/>
        <v>10.712625000000001</v>
      </c>
      <c r="H2372" s="188">
        <v>10.202500000000001</v>
      </c>
      <c r="I2372" s="19">
        <f t="shared" si="83"/>
        <v>0</v>
      </c>
      <c r="L2372" s="131"/>
      <c r="M2372" s="131"/>
      <c r="N2372" s="131"/>
    </row>
    <row r="2373" spans="1:14" hidden="1">
      <c r="A2373" s="100" t="s">
        <v>862</v>
      </c>
      <c r="B2373" s="101" t="s">
        <v>4254</v>
      </c>
      <c r="C2373" s="99" t="s">
        <v>4255</v>
      </c>
      <c r="D2373" s="38"/>
      <c r="E2373" s="42">
        <v>1</v>
      </c>
      <c r="F2373" s="9"/>
      <c r="G2373" s="8">
        <f t="shared" si="82"/>
        <v>16.570050000000002</v>
      </c>
      <c r="H2373" s="188">
        <v>15.781000000000001</v>
      </c>
      <c r="I2373" s="19">
        <f t="shared" si="83"/>
        <v>0</v>
      </c>
      <c r="L2373" s="131"/>
      <c r="M2373" s="131"/>
      <c r="N2373" s="131"/>
    </row>
    <row r="2374" spans="1:14" hidden="1">
      <c r="A2374" s="100" t="s">
        <v>862</v>
      </c>
      <c r="B2374" s="101" t="s">
        <v>4256</v>
      </c>
      <c r="C2374" s="99" t="s">
        <v>4257</v>
      </c>
      <c r="D2374" s="38"/>
      <c r="E2374" s="42">
        <v>1</v>
      </c>
      <c r="F2374" s="9"/>
      <c r="G2374" s="8">
        <f t="shared" si="82"/>
        <v>14.316224999999999</v>
      </c>
      <c r="H2374" s="188">
        <v>13.634499999999999</v>
      </c>
      <c r="I2374" s="19">
        <f t="shared" si="83"/>
        <v>0</v>
      </c>
      <c r="L2374" s="131"/>
      <c r="M2374" s="131"/>
      <c r="N2374" s="131"/>
    </row>
    <row r="2375" spans="1:14" hidden="1">
      <c r="A2375" s="100" t="s">
        <v>862</v>
      </c>
      <c r="B2375" s="101" t="s">
        <v>4258</v>
      </c>
      <c r="C2375" s="99" t="s">
        <v>4259</v>
      </c>
      <c r="D2375" s="38"/>
      <c r="E2375" s="42">
        <v>1</v>
      </c>
      <c r="F2375" s="9"/>
      <c r="G2375" s="8">
        <f t="shared" si="82"/>
        <v>11.797800000000001</v>
      </c>
      <c r="H2375" s="188">
        <v>11.236000000000001</v>
      </c>
      <c r="I2375" s="19">
        <f t="shared" si="83"/>
        <v>0</v>
      </c>
      <c r="L2375" s="131"/>
      <c r="M2375" s="131"/>
      <c r="N2375" s="131"/>
    </row>
    <row r="2376" spans="1:14" hidden="1">
      <c r="A2376" s="100" t="s">
        <v>862</v>
      </c>
      <c r="B2376" s="101" t="s">
        <v>4260</v>
      </c>
      <c r="C2376" s="99" t="s">
        <v>4261</v>
      </c>
      <c r="D2376" s="38"/>
      <c r="E2376" s="42">
        <v>1</v>
      </c>
      <c r="F2376" s="9"/>
      <c r="G2376" s="8">
        <f t="shared" si="82"/>
        <v>15.429224999999999</v>
      </c>
      <c r="H2376" s="188">
        <v>14.6945</v>
      </c>
      <c r="I2376" s="19">
        <f t="shared" si="83"/>
        <v>0</v>
      </c>
      <c r="L2376" s="131"/>
      <c r="M2376" s="131"/>
      <c r="N2376" s="131"/>
    </row>
    <row r="2377" spans="1:14" hidden="1">
      <c r="A2377" s="100" t="s">
        <v>862</v>
      </c>
      <c r="B2377" s="101" t="s">
        <v>4262</v>
      </c>
      <c r="C2377" s="99" t="s">
        <v>4263</v>
      </c>
      <c r="D2377" s="38"/>
      <c r="E2377" s="42">
        <v>1</v>
      </c>
      <c r="F2377" s="9"/>
      <c r="G2377" s="8">
        <f t="shared" si="82"/>
        <v>13.481475</v>
      </c>
      <c r="H2377" s="188">
        <v>12.839499999999999</v>
      </c>
      <c r="I2377" s="19">
        <f t="shared" si="83"/>
        <v>0</v>
      </c>
      <c r="L2377" s="131"/>
      <c r="M2377" s="131"/>
      <c r="N2377" s="131"/>
    </row>
    <row r="2378" spans="1:14" hidden="1">
      <c r="A2378" s="100" t="s">
        <v>862</v>
      </c>
      <c r="B2378" s="101" t="s">
        <v>4264</v>
      </c>
      <c r="C2378" s="99" t="s">
        <v>4265</v>
      </c>
      <c r="D2378" s="38"/>
      <c r="E2378" s="42">
        <v>1</v>
      </c>
      <c r="F2378" s="9"/>
      <c r="G2378" s="8">
        <f t="shared" si="82"/>
        <v>15.359400000000001</v>
      </c>
      <c r="H2378" s="188">
        <v>14.628</v>
      </c>
      <c r="I2378" s="19">
        <f t="shared" si="83"/>
        <v>0</v>
      </c>
      <c r="L2378" s="131"/>
      <c r="M2378" s="131"/>
      <c r="N2378" s="131"/>
    </row>
    <row r="2379" spans="1:14" hidden="1">
      <c r="A2379" s="100" t="s">
        <v>862</v>
      </c>
      <c r="B2379" s="101" t="s">
        <v>4266</v>
      </c>
      <c r="C2379" s="99" t="s">
        <v>4267</v>
      </c>
      <c r="D2379" s="38"/>
      <c r="E2379" s="42">
        <v>1</v>
      </c>
      <c r="F2379" s="9"/>
      <c r="G2379" s="8">
        <f t="shared" si="82"/>
        <v>14.051625</v>
      </c>
      <c r="H2379" s="188">
        <v>13.3825</v>
      </c>
      <c r="I2379" s="19">
        <f t="shared" si="83"/>
        <v>0</v>
      </c>
      <c r="L2379" s="131"/>
      <c r="M2379" s="131"/>
      <c r="N2379" s="131"/>
    </row>
    <row r="2380" spans="1:14" hidden="1">
      <c r="A2380" s="100" t="s">
        <v>862</v>
      </c>
      <c r="B2380" s="101" t="s">
        <v>4268</v>
      </c>
      <c r="C2380" s="99" t="s">
        <v>4269</v>
      </c>
      <c r="D2380" s="38"/>
      <c r="E2380" s="42">
        <v>1</v>
      </c>
      <c r="F2380" s="9"/>
      <c r="G2380" s="8">
        <f t="shared" si="82"/>
        <v>15.164625000000001</v>
      </c>
      <c r="H2380" s="188">
        <v>14.442500000000001</v>
      </c>
      <c r="I2380" s="19">
        <f t="shared" si="83"/>
        <v>0</v>
      </c>
      <c r="L2380" s="131"/>
      <c r="M2380" s="131"/>
      <c r="N2380" s="131"/>
    </row>
    <row r="2381" spans="1:14" hidden="1">
      <c r="A2381" s="100" t="s">
        <v>862</v>
      </c>
      <c r="B2381" s="101" t="s">
        <v>4270</v>
      </c>
      <c r="C2381" s="99" t="s">
        <v>4271</v>
      </c>
      <c r="D2381" s="38"/>
      <c r="E2381" s="42">
        <v>1</v>
      </c>
      <c r="F2381" s="9"/>
      <c r="G2381" s="8">
        <f t="shared" si="82"/>
        <v>14.218575</v>
      </c>
      <c r="H2381" s="188">
        <v>13.541499999999999</v>
      </c>
      <c r="I2381" s="19">
        <f t="shared" si="83"/>
        <v>0</v>
      </c>
      <c r="L2381" s="131"/>
      <c r="M2381" s="131"/>
      <c r="N2381" s="131"/>
    </row>
    <row r="2382" spans="1:14" hidden="1">
      <c r="A2382" s="100" t="s">
        <v>862</v>
      </c>
      <c r="B2382" s="101" t="s">
        <v>4272</v>
      </c>
      <c r="C2382" s="99" t="s">
        <v>4273</v>
      </c>
      <c r="D2382" s="38"/>
      <c r="E2382" s="42">
        <v>1</v>
      </c>
      <c r="F2382" s="9"/>
      <c r="G2382" s="8">
        <f t="shared" si="82"/>
        <v>18.740399999999998</v>
      </c>
      <c r="H2382" s="188">
        <v>17.847999999999999</v>
      </c>
      <c r="I2382" s="19">
        <f t="shared" si="83"/>
        <v>0</v>
      </c>
      <c r="L2382" s="131"/>
      <c r="M2382" s="131"/>
      <c r="N2382" s="131"/>
    </row>
    <row r="2383" spans="1:14" hidden="1">
      <c r="A2383" s="100" t="s">
        <v>862</v>
      </c>
      <c r="B2383" s="101" t="s">
        <v>4274</v>
      </c>
      <c r="C2383" s="99" t="s">
        <v>4275</v>
      </c>
      <c r="D2383" s="38"/>
      <c r="E2383" s="42">
        <v>1</v>
      </c>
      <c r="F2383" s="9"/>
      <c r="G2383" s="8">
        <f t="shared" si="82"/>
        <v>17.543925000000002</v>
      </c>
      <c r="H2383" s="188">
        <v>16.708500000000001</v>
      </c>
      <c r="I2383" s="19">
        <f t="shared" si="83"/>
        <v>0</v>
      </c>
      <c r="L2383" s="131"/>
      <c r="M2383" s="131"/>
      <c r="N2383" s="131"/>
    </row>
    <row r="2384" spans="1:14" hidden="1">
      <c r="A2384" s="100" t="s">
        <v>862</v>
      </c>
      <c r="B2384" s="101" t="s">
        <v>4276</v>
      </c>
      <c r="C2384" s="99" t="s">
        <v>4277</v>
      </c>
      <c r="D2384" s="38"/>
      <c r="E2384" s="42">
        <v>1</v>
      </c>
      <c r="F2384" s="9"/>
      <c r="G2384" s="8">
        <f t="shared" si="82"/>
        <v>16.597874999999998</v>
      </c>
      <c r="H2384" s="188">
        <v>15.807499999999999</v>
      </c>
      <c r="I2384" s="19">
        <f t="shared" si="83"/>
        <v>0</v>
      </c>
      <c r="L2384" s="131"/>
      <c r="M2384" s="131"/>
      <c r="N2384" s="131"/>
    </row>
    <row r="2385" spans="1:14" hidden="1">
      <c r="A2385" s="100" t="s">
        <v>862</v>
      </c>
      <c r="B2385" s="97" t="s">
        <v>4278</v>
      </c>
      <c r="C2385" s="98" t="s">
        <v>4279</v>
      </c>
      <c r="D2385" s="38" t="s">
        <v>945</v>
      </c>
      <c r="E2385" s="42">
        <v>1</v>
      </c>
      <c r="F2385" s="9"/>
      <c r="G2385" s="8">
        <f t="shared" si="82"/>
        <v>0.69825000000000004</v>
      </c>
      <c r="H2385" s="188">
        <v>0.66500000000000004</v>
      </c>
      <c r="I2385" s="19">
        <f t="shared" si="83"/>
        <v>0</v>
      </c>
      <c r="L2385" s="131"/>
      <c r="M2385" s="131"/>
      <c r="N2385" s="131"/>
    </row>
    <row r="2386" spans="1:14" hidden="1">
      <c r="A2386" s="100" t="s">
        <v>862</v>
      </c>
      <c r="B2386" s="101" t="s">
        <v>4280</v>
      </c>
      <c r="C2386" s="99" t="s">
        <v>4281</v>
      </c>
      <c r="D2386" s="38"/>
      <c r="E2386" s="42">
        <v>1</v>
      </c>
      <c r="F2386" s="9"/>
      <c r="G2386" s="8">
        <f t="shared" si="82"/>
        <v>0.97965000000000002</v>
      </c>
      <c r="H2386" s="188">
        <v>0.93300000000000005</v>
      </c>
      <c r="I2386" s="19">
        <f t="shared" si="83"/>
        <v>0</v>
      </c>
      <c r="L2386" s="131"/>
      <c r="M2386" s="131"/>
      <c r="N2386" s="131"/>
    </row>
    <row r="2387" spans="1:14" hidden="1">
      <c r="A2387" s="100" t="s">
        <v>862</v>
      </c>
      <c r="B2387" s="101" t="s">
        <v>4282</v>
      </c>
      <c r="C2387" s="99" t="s">
        <v>4283</v>
      </c>
      <c r="D2387" s="38"/>
      <c r="E2387" s="42">
        <v>1</v>
      </c>
      <c r="F2387" s="9"/>
      <c r="G2387" s="8">
        <f t="shared" si="82"/>
        <v>1.1896500000000001</v>
      </c>
      <c r="H2387" s="188">
        <v>1.133</v>
      </c>
      <c r="I2387" s="19">
        <f t="shared" si="83"/>
        <v>0</v>
      </c>
      <c r="L2387" s="131"/>
      <c r="M2387" s="131"/>
      <c r="N2387" s="131"/>
    </row>
    <row r="2388" spans="1:14" hidden="1">
      <c r="A2388" s="100" t="s">
        <v>862</v>
      </c>
      <c r="B2388" s="101" t="s">
        <v>4284</v>
      </c>
      <c r="C2388" s="99" t="s">
        <v>4285</v>
      </c>
      <c r="D2388" s="38"/>
      <c r="E2388" s="42">
        <v>1</v>
      </c>
      <c r="F2388" s="9"/>
      <c r="G2388" s="8">
        <f t="shared" si="82"/>
        <v>1.4694749999999999</v>
      </c>
      <c r="H2388" s="188">
        <v>1.3995</v>
      </c>
      <c r="I2388" s="19">
        <f t="shared" si="83"/>
        <v>0</v>
      </c>
      <c r="L2388" s="131"/>
      <c r="M2388" s="131"/>
      <c r="N2388" s="131"/>
    </row>
    <row r="2389" spans="1:14" hidden="1">
      <c r="A2389" s="100" t="s">
        <v>862</v>
      </c>
      <c r="B2389" s="101" t="s">
        <v>4286</v>
      </c>
      <c r="C2389" s="99" t="s">
        <v>4287</v>
      </c>
      <c r="D2389" s="38"/>
      <c r="E2389" s="42">
        <v>1</v>
      </c>
      <c r="F2389" s="9"/>
      <c r="G2389" s="8">
        <f t="shared" si="82"/>
        <v>1.6794749999999998</v>
      </c>
      <c r="H2389" s="188">
        <v>1.5994999999999999</v>
      </c>
      <c r="I2389" s="19">
        <f t="shared" si="83"/>
        <v>0</v>
      </c>
      <c r="L2389" s="131"/>
      <c r="M2389" s="131"/>
      <c r="N2389" s="131"/>
    </row>
    <row r="2390" spans="1:14" hidden="1">
      <c r="A2390" s="100" t="s">
        <v>862</v>
      </c>
      <c r="B2390" s="101" t="s">
        <v>4288</v>
      </c>
      <c r="C2390" s="99" t="s">
        <v>4289</v>
      </c>
      <c r="D2390" s="38"/>
      <c r="E2390" s="42">
        <v>1</v>
      </c>
      <c r="F2390" s="9"/>
      <c r="G2390" s="8">
        <f t="shared" si="82"/>
        <v>1.8900000000000001</v>
      </c>
      <c r="H2390" s="188">
        <v>1.8</v>
      </c>
      <c r="I2390" s="19">
        <f t="shared" si="83"/>
        <v>0</v>
      </c>
      <c r="L2390" s="131"/>
      <c r="M2390" s="131"/>
      <c r="N2390" s="131"/>
    </row>
    <row r="2391" spans="1:14" hidden="1">
      <c r="A2391" s="100" t="s">
        <v>862</v>
      </c>
      <c r="B2391" s="101" t="s">
        <v>4290</v>
      </c>
      <c r="C2391" s="99" t="s">
        <v>4291</v>
      </c>
      <c r="D2391" s="38"/>
      <c r="E2391" s="42">
        <v>1</v>
      </c>
      <c r="F2391" s="9"/>
      <c r="G2391" s="8">
        <f t="shared" si="82"/>
        <v>2.1</v>
      </c>
      <c r="H2391" s="188">
        <v>2</v>
      </c>
      <c r="I2391" s="19">
        <f t="shared" si="83"/>
        <v>0</v>
      </c>
      <c r="L2391" s="131"/>
      <c r="M2391" s="131"/>
      <c r="N2391" s="131"/>
    </row>
    <row r="2392" spans="1:14" hidden="1">
      <c r="A2392" s="100" t="s">
        <v>862</v>
      </c>
      <c r="B2392" s="101" t="s">
        <v>4292</v>
      </c>
      <c r="C2392" s="99" t="s">
        <v>4293</v>
      </c>
      <c r="D2392" s="38"/>
      <c r="E2392" s="42">
        <v>1</v>
      </c>
      <c r="F2392" s="9"/>
      <c r="G2392" s="8">
        <f t="shared" si="82"/>
        <v>2.3089499999999998</v>
      </c>
      <c r="H2392" s="188">
        <v>2.1989999999999998</v>
      </c>
      <c r="I2392" s="19">
        <f t="shared" si="83"/>
        <v>0</v>
      </c>
      <c r="L2392" s="131"/>
      <c r="M2392" s="131"/>
      <c r="N2392" s="131"/>
    </row>
    <row r="2393" spans="1:14" hidden="1">
      <c r="A2393" s="100" t="s">
        <v>862</v>
      </c>
      <c r="B2393" s="101" t="s">
        <v>4294</v>
      </c>
      <c r="C2393" s="99" t="s">
        <v>4295</v>
      </c>
      <c r="D2393" s="38"/>
      <c r="E2393" s="42">
        <v>1</v>
      </c>
      <c r="F2393" s="9"/>
      <c r="G2393" s="8">
        <f t="shared" si="82"/>
        <v>2.5194750000000004</v>
      </c>
      <c r="H2393" s="188">
        <v>2.3995000000000002</v>
      </c>
      <c r="I2393" s="19">
        <f t="shared" si="83"/>
        <v>0</v>
      </c>
      <c r="L2393" s="131"/>
      <c r="M2393" s="131"/>
      <c r="N2393" s="131"/>
    </row>
    <row r="2394" spans="1:14" hidden="1">
      <c r="A2394" s="100" t="s">
        <v>862</v>
      </c>
      <c r="B2394" s="101" t="s">
        <v>4296</v>
      </c>
      <c r="C2394" s="99" t="s">
        <v>4297</v>
      </c>
      <c r="D2394" s="38"/>
      <c r="E2394" s="42">
        <v>1</v>
      </c>
      <c r="F2394" s="9"/>
      <c r="G2394" s="8">
        <f t="shared" si="82"/>
        <v>2.7294749999999999</v>
      </c>
      <c r="H2394" s="188">
        <v>2.5994999999999999</v>
      </c>
      <c r="I2394" s="19">
        <f t="shared" si="83"/>
        <v>0</v>
      </c>
      <c r="L2394" s="131"/>
      <c r="M2394" s="131"/>
      <c r="N2394" s="131"/>
    </row>
    <row r="2395" spans="1:14" hidden="1">
      <c r="A2395" s="100" t="s">
        <v>862</v>
      </c>
      <c r="B2395" s="101" t="s">
        <v>4298</v>
      </c>
      <c r="C2395" s="99" t="s">
        <v>4299</v>
      </c>
      <c r="D2395" s="38"/>
      <c r="E2395" s="42">
        <v>1</v>
      </c>
      <c r="F2395" s="9"/>
      <c r="G2395" s="8">
        <f t="shared" si="82"/>
        <v>2.94</v>
      </c>
      <c r="H2395" s="188">
        <v>2.8</v>
      </c>
      <c r="I2395" s="19">
        <f t="shared" si="83"/>
        <v>0</v>
      </c>
      <c r="L2395" s="131"/>
      <c r="M2395" s="131"/>
      <c r="N2395" s="131"/>
    </row>
    <row r="2396" spans="1:14" hidden="1">
      <c r="A2396" s="100" t="s">
        <v>862</v>
      </c>
      <c r="B2396" s="101" t="s">
        <v>4300</v>
      </c>
      <c r="C2396" s="99" t="s">
        <v>4301</v>
      </c>
      <c r="D2396" s="38"/>
      <c r="E2396" s="42">
        <v>1</v>
      </c>
      <c r="F2396" s="9"/>
      <c r="G2396" s="8">
        <f t="shared" si="82"/>
        <v>3.1489500000000001</v>
      </c>
      <c r="H2396" s="188">
        <v>2.9990000000000001</v>
      </c>
      <c r="I2396" s="19">
        <f t="shared" si="83"/>
        <v>0</v>
      </c>
      <c r="L2396" s="131"/>
      <c r="M2396" s="131"/>
      <c r="N2396" s="131"/>
    </row>
    <row r="2397" spans="1:14" hidden="1">
      <c r="A2397" s="100" t="s">
        <v>862</v>
      </c>
      <c r="B2397" s="101" t="s">
        <v>4302</v>
      </c>
      <c r="C2397" s="99" t="s">
        <v>4303</v>
      </c>
      <c r="D2397" s="38"/>
      <c r="E2397" s="42">
        <v>1</v>
      </c>
      <c r="F2397" s="9"/>
      <c r="G2397" s="8">
        <f t="shared" si="82"/>
        <v>3.3589499999999997</v>
      </c>
      <c r="H2397" s="188">
        <v>3.1989999999999998</v>
      </c>
      <c r="I2397" s="19">
        <f t="shared" si="83"/>
        <v>0</v>
      </c>
      <c r="L2397" s="131"/>
      <c r="M2397" s="131"/>
      <c r="N2397" s="131"/>
    </row>
    <row r="2398" spans="1:14" hidden="1">
      <c r="A2398" s="100" t="s">
        <v>862</v>
      </c>
      <c r="B2398" s="101" t="s">
        <v>4304</v>
      </c>
      <c r="C2398" s="99" t="s">
        <v>4305</v>
      </c>
      <c r="D2398" s="38"/>
      <c r="E2398" s="42">
        <v>1</v>
      </c>
      <c r="F2398" s="9"/>
      <c r="G2398" s="8">
        <f t="shared" si="82"/>
        <v>3.5694750000000002</v>
      </c>
      <c r="H2398" s="188">
        <v>3.3995000000000002</v>
      </c>
      <c r="I2398" s="19">
        <f t="shared" si="83"/>
        <v>0</v>
      </c>
      <c r="L2398" s="131"/>
      <c r="M2398" s="131"/>
      <c r="N2398" s="131"/>
    </row>
    <row r="2399" spans="1:14" hidden="1">
      <c r="A2399" s="100" t="s">
        <v>862</v>
      </c>
      <c r="B2399" s="101" t="s">
        <v>4306</v>
      </c>
      <c r="C2399" s="99" t="s">
        <v>4307</v>
      </c>
      <c r="D2399" s="38"/>
      <c r="E2399" s="42">
        <v>1</v>
      </c>
      <c r="F2399" s="9"/>
      <c r="G2399" s="8">
        <f t="shared" si="82"/>
        <v>3.7794749999999997</v>
      </c>
      <c r="H2399" s="188">
        <v>3.5994999999999999</v>
      </c>
      <c r="I2399" s="19">
        <f t="shared" si="83"/>
        <v>0</v>
      </c>
      <c r="L2399" s="131"/>
      <c r="M2399" s="131"/>
      <c r="N2399" s="131"/>
    </row>
    <row r="2400" spans="1:14" hidden="1">
      <c r="A2400" s="100" t="s">
        <v>862</v>
      </c>
      <c r="B2400" s="101" t="s">
        <v>4308</v>
      </c>
      <c r="C2400" s="99" t="s">
        <v>4309</v>
      </c>
      <c r="D2400" s="38"/>
      <c r="E2400" s="42">
        <v>1</v>
      </c>
      <c r="F2400" s="9"/>
      <c r="G2400" s="8">
        <f t="shared" si="82"/>
        <v>3.9884250000000003</v>
      </c>
      <c r="H2400" s="188">
        <v>3.7985000000000002</v>
      </c>
      <c r="I2400" s="19">
        <f t="shared" si="83"/>
        <v>0</v>
      </c>
      <c r="L2400" s="131"/>
      <c r="M2400" s="131"/>
      <c r="N2400" s="131"/>
    </row>
    <row r="2401" spans="1:14" hidden="1">
      <c r="A2401" s="100" t="s">
        <v>862</v>
      </c>
      <c r="B2401" s="101" t="s">
        <v>4310</v>
      </c>
      <c r="C2401" s="99" t="s">
        <v>4311</v>
      </c>
      <c r="D2401" s="38"/>
      <c r="E2401" s="42">
        <v>1</v>
      </c>
      <c r="F2401" s="9"/>
      <c r="G2401" s="8">
        <f t="shared" si="82"/>
        <v>4.19895</v>
      </c>
      <c r="H2401" s="188">
        <v>3.9990000000000001</v>
      </c>
      <c r="I2401" s="19">
        <f t="shared" si="83"/>
        <v>0</v>
      </c>
      <c r="L2401" s="131"/>
      <c r="M2401" s="131"/>
      <c r="N2401" s="131"/>
    </row>
    <row r="2402" spans="1:14" hidden="1">
      <c r="A2402" s="100" t="s">
        <v>862</v>
      </c>
      <c r="B2402" s="101" t="s">
        <v>4312</v>
      </c>
      <c r="C2402" s="99" t="s">
        <v>4313</v>
      </c>
      <c r="D2402" s="38"/>
      <c r="E2402" s="42">
        <v>1</v>
      </c>
      <c r="F2402" s="9"/>
      <c r="G2402" s="8">
        <f t="shared" si="82"/>
        <v>3.409875</v>
      </c>
      <c r="H2402" s="188">
        <v>3.2475000000000001</v>
      </c>
      <c r="I2402" s="19">
        <f t="shared" si="83"/>
        <v>0</v>
      </c>
      <c r="L2402" s="131"/>
      <c r="M2402" s="131"/>
      <c r="N2402" s="131"/>
    </row>
    <row r="2403" spans="1:14" hidden="1">
      <c r="A2403" s="100" t="s">
        <v>862</v>
      </c>
      <c r="B2403" s="101" t="s">
        <v>4314</v>
      </c>
      <c r="C2403" s="99" t="s">
        <v>4315</v>
      </c>
      <c r="D2403" s="38"/>
      <c r="E2403" s="42">
        <v>1</v>
      </c>
      <c r="F2403" s="9"/>
      <c r="G2403" s="8">
        <f t="shared" si="82"/>
        <v>47.837474999999998</v>
      </c>
      <c r="H2403" s="188">
        <v>45.5595</v>
      </c>
      <c r="I2403" s="19">
        <f t="shared" si="83"/>
        <v>0</v>
      </c>
      <c r="L2403" s="131"/>
      <c r="M2403" s="131"/>
      <c r="N2403" s="131"/>
    </row>
    <row r="2404" spans="1:14" hidden="1">
      <c r="A2404" s="100" t="s">
        <v>862</v>
      </c>
      <c r="B2404" s="101" t="s">
        <v>4316</v>
      </c>
      <c r="C2404" s="99" t="s">
        <v>4317</v>
      </c>
      <c r="D2404" s="38"/>
      <c r="E2404" s="42">
        <v>1</v>
      </c>
      <c r="F2404" s="9"/>
      <c r="G2404" s="8">
        <f t="shared" si="82"/>
        <v>69.681150000000002</v>
      </c>
      <c r="H2404" s="188">
        <v>66.363</v>
      </c>
      <c r="I2404" s="19">
        <f t="shared" si="83"/>
        <v>0</v>
      </c>
      <c r="L2404" s="131"/>
      <c r="M2404" s="131"/>
      <c r="N2404" s="131"/>
    </row>
    <row r="2405" spans="1:14" hidden="1">
      <c r="A2405" s="100" t="s">
        <v>862</v>
      </c>
      <c r="B2405" s="101" t="s">
        <v>4318</v>
      </c>
      <c r="C2405" s="99" t="s">
        <v>4319</v>
      </c>
      <c r="D2405" s="38"/>
      <c r="E2405" s="42">
        <v>1</v>
      </c>
      <c r="F2405" s="9"/>
      <c r="G2405" s="8">
        <f t="shared" ref="G2405:G2468" si="84">H2405+(H2405*5%)</f>
        <v>27.032250000000001</v>
      </c>
      <c r="H2405" s="188">
        <v>25.745000000000001</v>
      </c>
      <c r="I2405" s="19">
        <f t="shared" si="83"/>
        <v>0</v>
      </c>
      <c r="L2405" s="131"/>
      <c r="M2405" s="131"/>
      <c r="N2405" s="131"/>
    </row>
    <row r="2406" spans="1:14" hidden="1">
      <c r="A2406" s="100" t="s">
        <v>862</v>
      </c>
      <c r="B2406" s="101" t="s">
        <v>4320</v>
      </c>
      <c r="C2406" s="99" t="s">
        <v>4321</v>
      </c>
      <c r="D2406" s="38"/>
      <c r="E2406" s="42">
        <v>1</v>
      </c>
      <c r="F2406" s="9"/>
      <c r="G2406" s="8">
        <f t="shared" si="84"/>
        <v>39.073650000000001</v>
      </c>
      <c r="H2406" s="188">
        <v>37.213000000000001</v>
      </c>
      <c r="I2406" s="19">
        <f t="shared" si="83"/>
        <v>0</v>
      </c>
      <c r="L2406" s="131"/>
      <c r="M2406" s="131"/>
      <c r="N2406" s="131"/>
    </row>
    <row r="2407" spans="1:14" hidden="1">
      <c r="A2407" s="100" t="s">
        <v>862</v>
      </c>
      <c r="B2407" s="101" t="s">
        <v>4322</v>
      </c>
      <c r="C2407" s="99" t="s">
        <v>4323</v>
      </c>
      <c r="D2407" s="38"/>
      <c r="E2407" s="42">
        <v>1</v>
      </c>
      <c r="F2407" s="9"/>
      <c r="G2407" s="8">
        <f t="shared" si="84"/>
        <v>27.103124999999999</v>
      </c>
      <c r="H2407" s="188">
        <v>25.8125</v>
      </c>
      <c r="I2407" s="19">
        <f t="shared" ref="I2407:I2470" si="85">G2407*F2407</f>
        <v>0</v>
      </c>
      <c r="L2407" s="131"/>
      <c r="M2407" s="131"/>
      <c r="N2407" s="131"/>
    </row>
    <row r="2408" spans="1:14" hidden="1">
      <c r="A2408" s="100" t="s">
        <v>862</v>
      </c>
      <c r="B2408" s="101" t="s">
        <v>4324</v>
      </c>
      <c r="C2408" s="99" t="s">
        <v>4325</v>
      </c>
      <c r="D2408" s="38"/>
      <c r="E2408" s="42">
        <v>1</v>
      </c>
      <c r="F2408" s="9"/>
      <c r="G2408" s="8">
        <f t="shared" si="84"/>
        <v>40.0092</v>
      </c>
      <c r="H2408" s="188">
        <v>38.103999999999999</v>
      </c>
      <c r="I2408" s="19">
        <f t="shared" si="85"/>
        <v>0</v>
      </c>
      <c r="L2408" s="131"/>
      <c r="M2408" s="131"/>
      <c r="N2408" s="131"/>
    </row>
    <row r="2409" spans="1:14" hidden="1">
      <c r="A2409" s="100" t="s">
        <v>862</v>
      </c>
      <c r="B2409" s="101" t="s">
        <v>4326</v>
      </c>
      <c r="C2409" s="99" t="s">
        <v>4327</v>
      </c>
      <c r="D2409" s="38"/>
      <c r="E2409" s="42">
        <v>1</v>
      </c>
      <c r="F2409" s="9"/>
      <c r="G2409" s="8">
        <f t="shared" si="84"/>
        <v>25.319174999999998</v>
      </c>
      <c r="H2409" s="188">
        <v>24.113499999999998</v>
      </c>
      <c r="I2409" s="19">
        <f t="shared" si="85"/>
        <v>0</v>
      </c>
      <c r="L2409" s="131"/>
      <c r="M2409" s="131"/>
      <c r="N2409" s="131"/>
    </row>
    <row r="2410" spans="1:14" hidden="1">
      <c r="A2410" s="100" t="s">
        <v>862</v>
      </c>
      <c r="B2410" s="101" t="s">
        <v>4328</v>
      </c>
      <c r="C2410" s="99" t="s">
        <v>4329</v>
      </c>
      <c r="D2410" s="38"/>
      <c r="E2410" s="42">
        <v>1</v>
      </c>
      <c r="F2410" s="9"/>
      <c r="G2410" s="8">
        <f t="shared" si="84"/>
        <v>6.7725000000000007E-2</v>
      </c>
      <c r="H2410" s="188">
        <v>6.4500000000000002E-2</v>
      </c>
      <c r="I2410" s="19">
        <f t="shared" si="85"/>
        <v>0</v>
      </c>
      <c r="L2410" s="131"/>
      <c r="M2410" s="131"/>
      <c r="N2410" s="131"/>
    </row>
    <row r="2411" spans="1:14" hidden="1">
      <c r="A2411" s="100" t="s">
        <v>862</v>
      </c>
      <c r="B2411" s="101" t="s">
        <v>4330</v>
      </c>
      <c r="C2411" s="99" t="s">
        <v>4331</v>
      </c>
      <c r="D2411" s="38"/>
      <c r="E2411" s="42">
        <v>1</v>
      </c>
      <c r="F2411" s="9"/>
      <c r="G2411" s="8">
        <f t="shared" si="84"/>
        <v>1.5455999999999999</v>
      </c>
      <c r="H2411" s="188">
        <v>1.472</v>
      </c>
      <c r="I2411" s="19">
        <f t="shared" si="85"/>
        <v>0</v>
      </c>
      <c r="L2411" s="131"/>
      <c r="M2411" s="131"/>
      <c r="N2411" s="131"/>
    </row>
    <row r="2412" spans="1:14" hidden="1">
      <c r="A2412" s="100" t="s">
        <v>862</v>
      </c>
      <c r="B2412" s="101" t="s">
        <v>4332</v>
      </c>
      <c r="C2412" s="99" t="s">
        <v>4333</v>
      </c>
      <c r="D2412" s="38"/>
      <c r="E2412" s="42">
        <v>1</v>
      </c>
      <c r="F2412" s="9"/>
      <c r="G2412" s="8">
        <f t="shared" si="84"/>
        <v>4.0046999999999997</v>
      </c>
      <c r="H2412" s="188">
        <v>3.8140000000000001</v>
      </c>
      <c r="I2412" s="19">
        <f t="shared" si="85"/>
        <v>0</v>
      </c>
      <c r="L2412" s="131"/>
      <c r="M2412" s="131"/>
      <c r="N2412" s="131"/>
    </row>
    <row r="2413" spans="1:14" hidden="1">
      <c r="A2413" s="100" t="s">
        <v>862</v>
      </c>
      <c r="B2413" s="101" t="s">
        <v>4334</v>
      </c>
      <c r="C2413" s="99" t="s">
        <v>4335</v>
      </c>
      <c r="D2413" s="38"/>
      <c r="E2413" s="42">
        <v>1</v>
      </c>
      <c r="F2413" s="9"/>
      <c r="G2413" s="8">
        <f t="shared" si="84"/>
        <v>4.725E-2</v>
      </c>
      <c r="H2413" s="188">
        <v>4.4999999999999998E-2</v>
      </c>
      <c r="I2413" s="19">
        <f t="shared" si="85"/>
        <v>0</v>
      </c>
      <c r="L2413" s="131"/>
      <c r="M2413" s="131"/>
      <c r="N2413" s="131"/>
    </row>
    <row r="2414" spans="1:14" hidden="1">
      <c r="A2414" s="100" t="s">
        <v>862</v>
      </c>
      <c r="B2414" s="101" t="s">
        <v>4336</v>
      </c>
      <c r="C2414" s="99" t="s">
        <v>4337</v>
      </c>
      <c r="D2414" s="38"/>
      <c r="E2414" s="42">
        <v>1</v>
      </c>
      <c r="F2414" s="9"/>
      <c r="G2414" s="8">
        <f t="shared" si="84"/>
        <v>0.92242499999999994</v>
      </c>
      <c r="H2414" s="188">
        <v>0.87849999999999995</v>
      </c>
      <c r="I2414" s="19">
        <f t="shared" si="85"/>
        <v>0</v>
      </c>
      <c r="L2414" s="131"/>
      <c r="M2414" s="131"/>
      <c r="N2414" s="131"/>
    </row>
    <row r="2415" spans="1:14" hidden="1">
      <c r="A2415" s="100" t="s">
        <v>862</v>
      </c>
      <c r="B2415" s="101" t="s">
        <v>4338</v>
      </c>
      <c r="C2415" s="99" t="s">
        <v>4339</v>
      </c>
      <c r="D2415" s="38"/>
      <c r="E2415" s="42">
        <v>1</v>
      </c>
      <c r="F2415" s="9"/>
      <c r="G2415" s="8">
        <f t="shared" si="84"/>
        <v>1.030575</v>
      </c>
      <c r="H2415" s="188">
        <v>0.98150000000000004</v>
      </c>
      <c r="I2415" s="19">
        <f t="shared" si="85"/>
        <v>0</v>
      </c>
      <c r="L2415" s="131"/>
      <c r="M2415" s="131"/>
      <c r="N2415" s="131"/>
    </row>
    <row r="2416" spans="1:14" hidden="1">
      <c r="A2416" s="100" t="s">
        <v>862</v>
      </c>
      <c r="B2416" s="101" t="s">
        <v>4340</v>
      </c>
      <c r="C2416" s="99" t="s">
        <v>4341</v>
      </c>
      <c r="D2416" s="38"/>
      <c r="E2416" s="42">
        <v>1</v>
      </c>
      <c r="F2416" s="9"/>
      <c r="G2416" s="8">
        <f t="shared" si="84"/>
        <v>8.599499999999999</v>
      </c>
      <c r="H2416" s="188">
        <v>8.19</v>
      </c>
      <c r="I2416" s="19">
        <f t="shared" si="85"/>
        <v>0</v>
      </c>
      <c r="L2416" s="131"/>
      <c r="M2416" s="131"/>
      <c r="N2416" s="131"/>
    </row>
    <row r="2417" spans="1:14" hidden="1">
      <c r="A2417" s="100" t="s">
        <v>862</v>
      </c>
      <c r="B2417" s="101" t="s">
        <v>4342</v>
      </c>
      <c r="C2417" s="99" t="s">
        <v>4343</v>
      </c>
      <c r="D2417" s="38"/>
      <c r="E2417" s="42">
        <v>1</v>
      </c>
      <c r="F2417" s="9"/>
      <c r="G2417" s="8">
        <f t="shared" si="84"/>
        <v>8.6682749999999995</v>
      </c>
      <c r="H2417" s="188">
        <v>8.2554999999999996</v>
      </c>
      <c r="I2417" s="19">
        <f t="shared" si="85"/>
        <v>0</v>
      </c>
      <c r="L2417" s="131"/>
      <c r="M2417" s="131"/>
      <c r="N2417" s="131"/>
    </row>
    <row r="2418" spans="1:14" hidden="1">
      <c r="A2418" s="100" t="s">
        <v>862</v>
      </c>
      <c r="B2418" s="101" t="s">
        <v>4344</v>
      </c>
      <c r="C2418" s="99" t="s">
        <v>4345</v>
      </c>
      <c r="D2418" s="38"/>
      <c r="E2418" s="42">
        <v>1</v>
      </c>
      <c r="F2418" s="9"/>
      <c r="G2418" s="8">
        <f t="shared" si="84"/>
        <v>12.842549999999999</v>
      </c>
      <c r="H2418" s="188">
        <v>12.231</v>
      </c>
      <c r="I2418" s="19">
        <f t="shared" si="85"/>
        <v>0</v>
      </c>
      <c r="L2418" s="131"/>
      <c r="M2418" s="131"/>
      <c r="N2418" s="131"/>
    </row>
    <row r="2419" spans="1:14" hidden="1">
      <c r="A2419" s="100" t="s">
        <v>862</v>
      </c>
      <c r="B2419" s="101" t="s">
        <v>4346</v>
      </c>
      <c r="C2419" s="99" t="s">
        <v>4347</v>
      </c>
      <c r="D2419" s="38"/>
      <c r="E2419" s="42">
        <v>1</v>
      </c>
      <c r="F2419" s="9"/>
      <c r="G2419" s="8">
        <f t="shared" si="84"/>
        <v>12.842549999999999</v>
      </c>
      <c r="H2419" s="188">
        <v>12.231</v>
      </c>
      <c r="I2419" s="19">
        <f t="shared" si="85"/>
        <v>0</v>
      </c>
      <c r="L2419" s="131"/>
      <c r="M2419" s="131"/>
      <c r="N2419" s="131"/>
    </row>
    <row r="2420" spans="1:14" hidden="1">
      <c r="A2420" s="100" t="s">
        <v>862</v>
      </c>
      <c r="B2420" s="101" t="s">
        <v>4348</v>
      </c>
      <c r="C2420" s="99" t="s">
        <v>4349</v>
      </c>
      <c r="D2420" s="38"/>
      <c r="E2420" s="42">
        <v>1</v>
      </c>
      <c r="F2420" s="9"/>
      <c r="G2420" s="8">
        <f t="shared" si="84"/>
        <v>16.502850000000002</v>
      </c>
      <c r="H2420" s="188">
        <v>15.717000000000001</v>
      </c>
      <c r="I2420" s="19">
        <f t="shared" si="85"/>
        <v>0</v>
      </c>
      <c r="L2420" s="131"/>
      <c r="M2420" s="131"/>
      <c r="N2420" s="131"/>
    </row>
    <row r="2421" spans="1:14" hidden="1">
      <c r="A2421" s="100" t="s">
        <v>862</v>
      </c>
      <c r="B2421" s="101" t="s">
        <v>4350</v>
      </c>
      <c r="C2421" s="99" t="s">
        <v>4351</v>
      </c>
      <c r="D2421" s="38"/>
      <c r="E2421" s="42">
        <v>1</v>
      </c>
      <c r="F2421" s="9"/>
      <c r="G2421" s="8">
        <f t="shared" si="84"/>
        <v>16.502850000000002</v>
      </c>
      <c r="H2421" s="188">
        <v>15.717000000000001</v>
      </c>
      <c r="I2421" s="19">
        <f t="shared" si="85"/>
        <v>0</v>
      </c>
      <c r="L2421" s="131"/>
      <c r="M2421" s="131"/>
      <c r="N2421" s="131"/>
    </row>
    <row r="2422" spans="1:14" hidden="1">
      <c r="A2422" s="100" t="s">
        <v>862</v>
      </c>
      <c r="B2422" s="101" t="s">
        <v>4352</v>
      </c>
      <c r="C2422" s="99" t="s">
        <v>4353</v>
      </c>
      <c r="D2422" s="38"/>
      <c r="E2422" s="42">
        <v>1</v>
      </c>
      <c r="F2422" s="9"/>
      <c r="G2422" s="8">
        <f t="shared" si="84"/>
        <v>2.3168250000000001</v>
      </c>
      <c r="H2422" s="188">
        <v>2.2065000000000001</v>
      </c>
      <c r="I2422" s="19">
        <f t="shared" si="85"/>
        <v>0</v>
      </c>
      <c r="L2422" s="131"/>
      <c r="M2422" s="131"/>
      <c r="N2422" s="131"/>
    </row>
    <row r="2423" spans="1:14" hidden="1">
      <c r="A2423" s="100" t="s">
        <v>862</v>
      </c>
      <c r="B2423" s="101" t="s">
        <v>4354</v>
      </c>
      <c r="C2423" s="99" t="s">
        <v>4355</v>
      </c>
      <c r="D2423" s="38"/>
      <c r="E2423" s="42">
        <v>1</v>
      </c>
      <c r="F2423" s="9"/>
      <c r="G2423" s="8">
        <f t="shared" si="84"/>
        <v>0.17115</v>
      </c>
      <c r="H2423" s="188">
        <v>0.16300000000000001</v>
      </c>
      <c r="I2423" s="19">
        <f t="shared" si="85"/>
        <v>0</v>
      </c>
      <c r="L2423" s="131"/>
      <c r="M2423" s="131"/>
      <c r="N2423" s="131"/>
    </row>
    <row r="2424" spans="1:14" hidden="1">
      <c r="A2424" s="100" t="s">
        <v>862</v>
      </c>
      <c r="B2424" s="101" t="s">
        <v>4356</v>
      </c>
      <c r="C2424" s="99" t="s">
        <v>4357</v>
      </c>
      <c r="D2424" s="38"/>
      <c r="E2424" s="42">
        <v>1</v>
      </c>
      <c r="F2424" s="9"/>
      <c r="G2424" s="8">
        <f t="shared" si="84"/>
        <v>0.30817499999999998</v>
      </c>
      <c r="H2424" s="188">
        <v>0.29349999999999998</v>
      </c>
      <c r="I2424" s="19">
        <f t="shared" si="85"/>
        <v>0</v>
      </c>
      <c r="L2424" s="131"/>
      <c r="M2424" s="131"/>
      <c r="N2424" s="131"/>
    </row>
    <row r="2425" spans="1:14" hidden="1">
      <c r="A2425" s="100" t="s">
        <v>862</v>
      </c>
      <c r="B2425" s="101" t="s">
        <v>4358</v>
      </c>
      <c r="C2425" s="99" t="s">
        <v>4359</v>
      </c>
      <c r="D2425" s="38"/>
      <c r="E2425" s="42">
        <v>1</v>
      </c>
      <c r="F2425" s="9"/>
      <c r="G2425" s="8">
        <f t="shared" si="84"/>
        <v>0.42105000000000004</v>
      </c>
      <c r="H2425" s="188">
        <v>0.40100000000000002</v>
      </c>
      <c r="I2425" s="19">
        <f t="shared" si="85"/>
        <v>0</v>
      </c>
      <c r="L2425" s="131"/>
      <c r="M2425" s="131"/>
      <c r="N2425" s="131"/>
    </row>
    <row r="2426" spans="1:14" hidden="1">
      <c r="A2426" s="100" t="s">
        <v>862</v>
      </c>
      <c r="B2426" s="101" t="s">
        <v>4360</v>
      </c>
      <c r="C2426" s="99" t="s">
        <v>4361</v>
      </c>
      <c r="D2426" s="38"/>
      <c r="E2426" s="42">
        <v>1</v>
      </c>
      <c r="F2426" s="9"/>
      <c r="G2426" s="8">
        <f t="shared" si="84"/>
        <v>0.7077</v>
      </c>
      <c r="H2426" s="188">
        <v>0.67400000000000004</v>
      </c>
      <c r="I2426" s="19">
        <f t="shared" si="85"/>
        <v>0</v>
      </c>
      <c r="L2426" s="131"/>
      <c r="M2426" s="131"/>
      <c r="N2426" s="131"/>
    </row>
    <row r="2427" spans="1:14" hidden="1">
      <c r="A2427" s="100" t="s">
        <v>862</v>
      </c>
      <c r="B2427" s="101" t="s">
        <v>4362</v>
      </c>
      <c r="C2427" s="99" t="s">
        <v>4363</v>
      </c>
      <c r="D2427" s="38"/>
      <c r="E2427" s="42">
        <v>1</v>
      </c>
      <c r="F2427" s="9"/>
      <c r="G2427" s="8">
        <f t="shared" si="84"/>
        <v>0.14804999999999999</v>
      </c>
      <c r="H2427" s="188">
        <v>0.14099999999999999</v>
      </c>
      <c r="I2427" s="19">
        <f t="shared" si="85"/>
        <v>0</v>
      </c>
      <c r="L2427" s="131"/>
      <c r="M2427" s="131"/>
      <c r="N2427" s="131"/>
    </row>
    <row r="2428" spans="1:14" hidden="1">
      <c r="A2428" s="100" t="s">
        <v>862</v>
      </c>
      <c r="B2428" s="101" t="s">
        <v>4364</v>
      </c>
      <c r="C2428" s="99" t="s">
        <v>4365</v>
      </c>
      <c r="D2428" s="38"/>
      <c r="E2428" s="42">
        <v>1</v>
      </c>
      <c r="F2428" s="9"/>
      <c r="G2428" s="8">
        <f t="shared" si="84"/>
        <v>0.32077499999999998</v>
      </c>
      <c r="H2428" s="188">
        <v>0.30549999999999999</v>
      </c>
      <c r="I2428" s="19">
        <f t="shared" si="85"/>
        <v>0</v>
      </c>
      <c r="L2428" s="131"/>
      <c r="M2428" s="131"/>
      <c r="N2428" s="131"/>
    </row>
    <row r="2429" spans="1:14" hidden="1">
      <c r="A2429" s="100" t="s">
        <v>862</v>
      </c>
      <c r="B2429" s="101" t="s">
        <v>4366</v>
      </c>
      <c r="C2429" s="99" t="s">
        <v>4367</v>
      </c>
      <c r="D2429" s="38"/>
      <c r="E2429" s="42">
        <v>1</v>
      </c>
      <c r="F2429" s="9"/>
      <c r="G2429" s="8">
        <f t="shared" si="84"/>
        <v>0.55387500000000001</v>
      </c>
      <c r="H2429" s="188">
        <v>0.52749999999999997</v>
      </c>
      <c r="I2429" s="19">
        <f t="shared" si="85"/>
        <v>0</v>
      </c>
      <c r="L2429" s="131"/>
      <c r="M2429" s="131"/>
      <c r="N2429" s="131"/>
    </row>
    <row r="2430" spans="1:14" hidden="1">
      <c r="A2430" s="100" t="s">
        <v>862</v>
      </c>
      <c r="B2430" s="101" t="s">
        <v>4368</v>
      </c>
      <c r="C2430" s="99" t="s">
        <v>4369</v>
      </c>
      <c r="D2430" s="38"/>
      <c r="E2430" s="42">
        <v>1</v>
      </c>
      <c r="F2430" s="9"/>
      <c r="G2430" s="8">
        <f t="shared" si="84"/>
        <v>0.81532499999999997</v>
      </c>
      <c r="H2430" s="188">
        <v>0.77649999999999997</v>
      </c>
      <c r="I2430" s="19">
        <f t="shared" si="85"/>
        <v>0</v>
      </c>
      <c r="L2430" s="131"/>
      <c r="M2430" s="131"/>
      <c r="N2430" s="131"/>
    </row>
    <row r="2431" spans="1:14" hidden="1">
      <c r="A2431" s="100" t="s">
        <v>862</v>
      </c>
      <c r="B2431" s="101" t="s">
        <v>4370</v>
      </c>
      <c r="C2431" s="99" t="s">
        <v>4371</v>
      </c>
      <c r="D2431" s="38"/>
      <c r="E2431" s="42">
        <v>1</v>
      </c>
      <c r="F2431" s="9"/>
      <c r="G2431" s="8">
        <f t="shared" si="84"/>
        <v>2.5646249999999999</v>
      </c>
      <c r="H2431" s="188">
        <v>2.4424999999999999</v>
      </c>
      <c r="I2431" s="19">
        <f t="shared" si="85"/>
        <v>0</v>
      </c>
      <c r="L2431" s="131"/>
      <c r="M2431" s="131"/>
      <c r="N2431" s="131"/>
    </row>
    <row r="2432" spans="1:14" hidden="1">
      <c r="A2432" s="100" t="s">
        <v>862</v>
      </c>
      <c r="B2432" s="101" t="s">
        <v>4372</v>
      </c>
      <c r="C2432" s="99" t="s">
        <v>4373</v>
      </c>
      <c r="D2432" s="38"/>
      <c r="E2432" s="42">
        <v>1</v>
      </c>
      <c r="F2432" s="9"/>
      <c r="G2432" s="8">
        <f t="shared" si="84"/>
        <v>2.88855</v>
      </c>
      <c r="H2432" s="188">
        <v>2.7509999999999999</v>
      </c>
      <c r="I2432" s="19">
        <f t="shared" si="85"/>
        <v>0</v>
      </c>
      <c r="L2432" s="131"/>
      <c r="M2432" s="131"/>
      <c r="N2432" s="131"/>
    </row>
    <row r="2433" spans="1:14" hidden="1">
      <c r="A2433" s="100" t="s">
        <v>862</v>
      </c>
      <c r="B2433" s="101" t="s">
        <v>4374</v>
      </c>
      <c r="C2433" s="99" t="s">
        <v>4375</v>
      </c>
      <c r="D2433" s="38"/>
      <c r="E2433" s="42">
        <v>1</v>
      </c>
      <c r="F2433" s="9"/>
      <c r="G2433" s="8">
        <f t="shared" si="84"/>
        <v>2.5919250000000003</v>
      </c>
      <c r="H2433" s="188">
        <v>2.4685000000000001</v>
      </c>
      <c r="I2433" s="19">
        <f t="shared" si="85"/>
        <v>0</v>
      </c>
      <c r="L2433" s="131"/>
      <c r="M2433" s="131"/>
      <c r="N2433" s="131"/>
    </row>
    <row r="2434" spans="1:14" hidden="1">
      <c r="A2434" s="100" t="s">
        <v>862</v>
      </c>
      <c r="B2434" s="101" t="s">
        <v>4376</v>
      </c>
      <c r="C2434" s="99" t="s">
        <v>4377</v>
      </c>
      <c r="D2434" s="38"/>
      <c r="E2434" s="42">
        <v>1</v>
      </c>
      <c r="F2434" s="9"/>
      <c r="G2434" s="8">
        <f t="shared" si="84"/>
        <v>2.9510250000000005</v>
      </c>
      <c r="H2434" s="188">
        <v>2.8105000000000002</v>
      </c>
      <c r="I2434" s="19">
        <f t="shared" si="85"/>
        <v>0</v>
      </c>
      <c r="L2434" s="131"/>
      <c r="M2434" s="131"/>
      <c r="N2434" s="131"/>
    </row>
    <row r="2435" spans="1:14" hidden="1">
      <c r="A2435" s="100" t="s">
        <v>862</v>
      </c>
      <c r="B2435" s="101" t="s">
        <v>4378</v>
      </c>
      <c r="C2435" s="99" t="s">
        <v>4379</v>
      </c>
      <c r="D2435" s="38"/>
      <c r="E2435" s="42">
        <v>1</v>
      </c>
      <c r="F2435" s="9"/>
      <c r="G2435" s="8">
        <f t="shared" si="84"/>
        <v>3.4985999999999997</v>
      </c>
      <c r="H2435" s="188">
        <v>3.3319999999999999</v>
      </c>
      <c r="I2435" s="19">
        <f t="shared" si="85"/>
        <v>0</v>
      </c>
      <c r="L2435" s="131"/>
      <c r="M2435" s="131"/>
      <c r="N2435" s="131"/>
    </row>
    <row r="2436" spans="1:14" hidden="1">
      <c r="A2436" s="100" t="s">
        <v>862</v>
      </c>
      <c r="B2436" s="101" t="s">
        <v>4380</v>
      </c>
      <c r="C2436" s="99" t="s">
        <v>4381</v>
      </c>
      <c r="D2436" s="38"/>
      <c r="E2436" s="42">
        <v>1</v>
      </c>
      <c r="F2436" s="9"/>
      <c r="G2436" s="8">
        <f t="shared" si="84"/>
        <v>1.0683750000000001</v>
      </c>
      <c r="H2436" s="188">
        <v>1.0175000000000001</v>
      </c>
      <c r="I2436" s="19">
        <f t="shared" si="85"/>
        <v>0</v>
      </c>
      <c r="L2436" s="131"/>
      <c r="M2436" s="131"/>
      <c r="N2436" s="131"/>
    </row>
    <row r="2437" spans="1:14" hidden="1">
      <c r="A2437" s="100" t="s">
        <v>862</v>
      </c>
      <c r="B2437" s="101" t="s">
        <v>4382</v>
      </c>
      <c r="C2437" s="99" t="s">
        <v>4383</v>
      </c>
      <c r="D2437" s="38"/>
      <c r="E2437" s="42">
        <v>1</v>
      </c>
      <c r="F2437" s="9"/>
      <c r="G2437" s="8">
        <f t="shared" si="84"/>
        <v>1.5235500000000002</v>
      </c>
      <c r="H2437" s="188">
        <v>1.4510000000000001</v>
      </c>
      <c r="I2437" s="19">
        <f t="shared" si="85"/>
        <v>0</v>
      </c>
      <c r="L2437" s="131"/>
      <c r="M2437" s="131"/>
      <c r="N2437" s="131"/>
    </row>
    <row r="2438" spans="1:14" hidden="1">
      <c r="A2438" s="100" t="s">
        <v>862</v>
      </c>
      <c r="B2438" s="101" t="s">
        <v>4384</v>
      </c>
      <c r="C2438" s="99" t="s">
        <v>4385</v>
      </c>
      <c r="D2438" s="38"/>
      <c r="E2438" s="42">
        <v>1</v>
      </c>
      <c r="F2438" s="9"/>
      <c r="G2438" s="8">
        <f t="shared" si="84"/>
        <v>2.6019000000000001</v>
      </c>
      <c r="H2438" s="188">
        <v>2.4780000000000002</v>
      </c>
      <c r="I2438" s="19">
        <f t="shared" si="85"/>
        <v>0</v>
      </c>
      <c r="L2438" s="131"/>
      <c r="M2438" s="131"/>
      <c r="N2438" s="131"/>
    </row>
    <row r="2439" spans="1:14" hidden="1">
      <c r="A2439" s="100" t="s">
        <v>862</v>
      </c>
      <c r="B2439" s="101" t="s">
        <v>4386</v>
      </c>
      <c r="C2439" s="99" t="s">
        <v>4387</v>
      </c>
      <c r="D2439" s="38"/>
      <c r="E2439" s="42">
        <v>1</v>
      </c>
      <c r="F2439" s="9"/>
      <c r="G2439" s="8">
        <f t="shared" si="84"/>
        <v>1.040025</v>
      </c>
      <c r="H2439" s="188">
        <v>0.99050000000000005</v>
      </c>
      <c r="I2439" s="19">
        <f t="shared" si="85"/>
        <v>0</v>
      </c>
      <c r="L2439" s="131"/>
      <c r="M2439" s="131"/>
      <c r="N2439" s="131"/>
    </row>
    <row r="2440" spans="1:14" hidden="1">
      <c r="A2440" s="100" t="s">
        <v>862</v>
      </c>
      <c r="B2440" s="101" t="s">
        <v>4388</v>
      </c>
      <c r="C2440" s="99" t="s">
        <v>4389</v>
      </c>
      <c r="D2440" s="38"/>
      <c r="E2440" s="42">
        <v>1</v>
      </c>
      <c r="F2440" s="9"/>
      <c r="G2440" s="8">
        <f t="shared" si="84"/>
        <v>2.7819750000000001</v>
      </c>
      <c r="H2440" s="188">
        <v>2.6495000000000002</v>
      </c>
      <c r="I2440" s="19">
        <f t="shared" si="85"/>
        <v>0</v>
      </c>
      <c r="L2440" s="131"/>
      <c r="M2440" s="131"/>
      <c r="N2440" s="131"/>
    </row>
    <row r="2441" spans="1:14" hidden="1">
      <c r="A2441" s="100" t="s">
        <v>862</v>
      </c>
      <c r="B2441" s="101" t="s">
        <v>4390</v>
      </c>
      <c r="C2441" s="99" t="s">
        <v>4391</v>
      </c>
      <c r="D2441" s="38"/>
      <c r="E2441" s="42">
        <v>1</v>
      </c>
      <c r="F2441" s="9"/>
      <c r="G2441" s="8">
        <f t="shared" si="84"/>
        <v>2.5998000000000001</v>
      </c>
      <c r="H2441" s="188">
        <v>2.476</v>
      </c>
      <c r="I2441" s="19">
        <f t="shared" si="85"/>
        <v>0</v>
      </c>
      <c r="L2441" s="131"/>
      <c r="M2441" s="131"/>
      <c r="N2441" s="131"/>
    </row>
    <row r="2442" spans="1:14" hidden="1">
      <c r="A2442" s="100" t="s">
        <v>862</v>
      </c>
      <c r="B2442" s="101" t="s">
        <v>4392</v>
      </c>
      <c r="C2442" s="99" t="s">
        <v>4393</v>
      </c>
      <c r="D2442" s="38"/>
      <c r="E2442" s="42">
        <v>1</v>
      </c>
      <c r="F2442" s="9"/>
      <c r="G2442" s="8">
        <f t="shared" si="84"/>
        <v>1.0683750000000001</v>
      </c>
      <c r="H2442" s="188">
        <v>1.0175000000000001</v>
      </c>
      <c r="I2442" s="19">
        <f t="shared" si="85"/>
        <v>0</v>
      </c>
      <c r="L2442" s="131"/>
      <c r="M2442" s="131"/>
      <c r="N2442" s="131"/>
    </row>
    <row r="2443" spans="1:14" hidden="1">
      <c r="A2443" s="100" t="s">
        <v>862</v>
      </c>
      <c r="B2443" s="101" t="s">
        <v>4394</v>
      </c>
      <c r="C2443" s="99" t="s">
        <v>4395</v>
      </c>
      <c r="D2443" s="38"/>
      <c r="E2443" s="42">
        <v>1</v>
      </c>
      <c r="F2443" s="9"/>
      <c r="G2443" s="8">
        <f t="shared" si="84"/>
        <v>2.9730750000000001</v>
      </c>
      <c r="H2443" s="188">
        <v>2.8315000000000001</v>
      </c>
      <c r="I2443" s="19">
        <f t="shared" si="85"/>
        <v>0</v>
      </c>
      <c r="L2443" s="131"/>
      <c r="M2443" s="131"/>
      <c r="N2443" s="131"/>
    </row>
    <row r="2444" spans="1:14" hidden="1">
      <c r="A2444" s="100" t="s">
        <v>862</v>
      </c>
      <c r="B2444" s="101" t="s">
        <v>4396</v>
      </c>
      <c r="C2444" s="99" t="s">
        <v>4397</v>
      </c>
      <c r="D2444" s="38"/>
      <c r="E2444" s="42">
        <v>1</v>
      </c>
      <c r="F2444" s="9"/>
      <c r="G2444" s="8">
        <f t="shared" si="84"/>
        <v>2.5121250000000002</v>
      </c>
      <c r="H2444" s="188">
        <v>2.3925000000000001</v>
      </c>
      <c r="I2444" s="19">
        <f t="shared" si="85"/>
        <v>0</v>
      </c>
      <c r="L2444" s="131"/>
      <c r="M2444" s="131"/>
      <c r="N2444" s="131"/>
    </row>
    <row r="2445" spans="1:14">
      <c r="A2445" s="100" t="s">
        <v>862</v>
      </c>
      <c r="B2445" s="101" t="s">
        <v>4398</v>
      </c>
      <c r="C2445" s="99" t="s">
        <v>4399</v>
      </c>
      <c r="D2445" s="38"/>
      <c r="E2445" s="42">
        <v>1</v>
      </c>
      <c r="F2445" s="9">
        <v>124</v>
      </c>
      <c r="G2445" s="8">
        <f t="shared" si="84"/>
        <v>2.5719750000000001</v>
      </c>
      <c r="H2445" s="188">
        <v>2.4495</v>
      </c>
      <c r="I2445" s="19">
        <f t="shared" si="85"/>
        <v>318.92490000000004</v>
      </c>
      <c r="L2445" s="131"/>
      <c r="M2445" s="131"/>
      <c r="N2445" s="131"/>
    </row>
    <row r="2446" spans="1:14" hidden="1">
      <c r="A2446" s="100" t="s">
        <v>862</v>
      </c>
      <c r="B2446" s="101" t="s">
        <v>4400</v>
      </c>
      <c r="C2446" s="99" t="s">
        <v>4401</v>
      </c>
      <c r="D2446" s="38"/>
      <c r="E2446" s="42">
        <v>1</v>
      </c>
      <c r="F2446" s="9"/>
      <c r="G2446" s="8">
        <f t="shared" si="84"/>
        <v>3.1195500000000003</v>
      </c>
      <c r="H2446" s="188">
        <v>2.9710000000000001</v>
      </c>
      <c r="I2446" s="19">
        <f t="shared" si="85"/>
        <v>0</v>
      </c>
      <c r="L2446" s="131"/>
      <c r="M2446" s="131"/>
      <c r="N2446" s="131"/>
    </row>
    <row r="2447" spans="1:14" hidden="1">
      <c r="A2447" s="100" t="s">
        <v>862</v>
      </c>
      <c r="B2447" s="101" t="s">
        <v>4402</v>
      </c>
      <c r="C2447" s="103" t="s">
        <v>4403</v>
      </c>
      <c r="D2447" s="38"/>
      <c r="E2447" s="42">
        <v>1</v>
      </c>
      <c r="F2447" s="9"/>
      <c r="G2447" s="8">
        <f t="shared" si="84"/>
        <v>2.0916000000000001</v>
      </c>
      <c r="H2447" s="188">
        <v>1.992</v>
      </c>
      <c r="I2447" s="19">
        <f t="shared" si="85"/>
        <v>0</v>
      </c>
      <c r="L2447" s="131"/>
      <c r="M2447" s="131"/>
      <c r="N2447" s="131"/>
    </row>
    <row r="2448" spans="1:14" hidden="1">
      <c r="A2448" s="100" t="s">
        <v>862</v>
      </c>
      <c r="B2448" s="101" t="s">
        <v>4404</v>
      </c>
      <c r="C2448" s="99" t="s">
        <v>4405</v>
      </c>
      <c r="D2448" s="38"/>
      <c r="E2448" s="42">
        <v>1</v>
      </c>
      <c r="F2448" s="9"/>
      <c r="G2448" s="8">
        <f t="shared" si="84"/>
        <v>0.83790000000000009</v>
      </c>
      <c r="H2448" s="188">
        <v>0.79800000000000004</v>
      </c>
      <c r="I2448" s="19">
        <f t="shared" si="85"/>
        <v>0</v>
      </c>
      <c r="L2448" s="131"/>
      <c r="M2448" s="131"/>
      <c r="N2448" s="131"/>
    </row>
    <row r="2449" spans="1:14" hidden="1">
      <c r="A2449" s="100" t="s">
        <v>862</v>
      </c>
      <c r="B2449" s="101" t="s">
        <v>4406</v>
      </c>
      <c r="C2449" s="99" t="s">
        <v>4407</v>
      </c>
      <c r="D2449" s="38"/>
      <c r="E2449" s="42">
        <v>1</v>
      </c>
      <c r="F2449" s="9"/>
      <c r="G2449" s="8">
        <f t="shared" si="84"/>
        <v>1.887375</v>
      </c>
      <c r="H2449" s="188">
        <v>1.7975000000000001</v>
      </c>
      <c r="I2449" s="19">
        <f t="shared" si="85"/>
        <v>0</v>
      </c>
      <c r="L2449" s="131"/>
      <c r="M2449" s="131"/>
      <c r="N2449" s="131"/>
    </row>
    <row r="2450" spans="1:14" hidden="1">
      <c r="A2450" s="100" t="s">
        <v>862</v>
      </c>
      <c r="B2450" s="101" t="s">
        <v>4408</v>
      </c>
      <c r="C2450" s="99" t="s">
        <v>4409</v>
      </c>
      <c r="D2450" s="38"/>
      <c r="E2450" s="42">
        <v>1</v>
      </c>
      <c r="F2450" s="9"/>
      <c r="G2450" s="8">
        <f t="shared" si="84"/>
        <v>1.2027749999999999</v>
      </c>
      <c r="H2450" s="188">
        <v>1.1455</v>
      </c>
      <c r="I2450" s="19">
        <f t="shared" si="85"/>
        <v>0</v>
      </c>
      <c r="L2450" s="131"/>
      <c r="M2450" s="131"/>
      <c r="N2450" s="131"/>
    </row>
    <row r="2451" spans="1:14" hidden="1">
      <c r="A2451" s="100" t="s">
        <v>862</v>
      </c>
      <c r="B2451" s="101" t="s">
        <v>4410</v>
      </c>
      <c r="C2451" s="99" t="s">
        <v>4411</v>
      </c>
      <c r="D2451" s="38"/>
      <c r="E2451" s="42">
        <v>1</v>
      </c>
      <c r="F2451" s="9"/>
      <c r="G2451" s="8">
        <f t="shared" si="84"/>
        <v>1.0164</v>
      </c>
      <c r="H2451" s="188">
        <v>0.96799999999999997</v>
      </c>
      <c r="I2451" s="19">
        <f t="shared" si="85"/>
        <v>0</v>
      </c>
      <c r="L2451" s="131"/>
      <c r="M2451" s="131"/>
      <c r="N2451" s="131"/>
    </row>
    <row r="2452" spans="1:14">
      <c r="A2452" s="100" t="s">
        <v>862</v>
      </c>
      <c r="B2452" s="101" t="s">
        <v>4412</v>
      </c>
      <c r="C2452" s="99" t="s">
        <v>4413</v>
      </c>
      <c r="D2452" s="38"/>
      <c r="E2452" s="42">
        <v>1</v>
      </c>
      <c r="F2452" s="9">
        <v>99</v>
      </c>
      <c r="G2452" s="8">
        <f t="shared" si="84"/>
        <v>0.97335000000000005</v>
      </c>
      <c r="H2452" s="188">
        <v>0.92700000000000005</v>
      </c>
      <c r="I2452" s="19">
        <f t="shared" si="85"/>
        <v>96.361650000000012</v>
      </c>
      <c r="L2452" s="131"/>
      <c r="M2452" s="131"/>
      <c r="N2452" s="131"/>
    </row>
    <row r="2453" spans="1:14" hidden="1">
      <c r="A2453" s="100" t="s">
        <v>862</v>
      </c>
      <c r="B2453" s="101" t="s">
        <v>4414</v>
      </c>
      <c r="C2453" s="99" t="s">
        <v>4415</v>
      </c>
      <c r="D2453" s="38"/>
      <c r="E2453" s="42">
        <v>1</v>
      </c>
      <c r="F2453" s="9"/>
      <c r="G2453" s="8">
        <f t="shared" si="84"/>
        <v>1.0059</v>
      </c>
      <c r="H2453" s="188">
        <v>0.95799999999999996</v>
      </c>
      <c r="I2453" s="19">
        <f t="shared" si="85"/>
        <v>0</v>
      </c>
      <c r="L2453" s="131"/>
      <c r="M2453" s="131"/>
      <c r="N2453" s="131"/>
    </row>
    <row r="2454" spans="1:14" hidden="1">
      <c r="A2454" s="100" t="s">
        <v>862</v>
      </c>
      <c r="B2454" s="97" t="s">
        <v>4416</v>
      </c>
      <c r="C2454" s="98" t="s">
        <v>4417</v>
      </c>
      <c r="D2454" s="38" t="s">
        <v>945</v>
      </c>
      <c r="E2454" s="42">
        <v>1</v>
      </c>
      <c r="F2454" s="9"/>
      <c r="G2454" s="8">
        <f t="shared" si="84"/>
        <v>9.6074999999999999</v>
      </c>
      <c r="H2454" s="188">
        <v>9.15</v>
      </c>
      <c r="I2454" s="19">
        <f t="shared" si="85"/>
        <v>0</v>
      </c>
      <c r="L2454" s="131"/>
      <c r="M2454" s="131"/>
      <c r="N2454" s="131"/>
    </row>
    <row r="2455" spans="1:14" hidden="1">
      <c r="A2455" s="100" t="s">
        <v>862</v>
      </c>
      <c r="B2455" s="101" t="s">
        <v>4418</v>
      </c>
      <c r="C2455" s="99" t="s">
        <v>4419</v>
      </c>
      <c r="D2455" s="38"/>
      <c r="E2455" s="42">
        <v>1</v>
      </c>
      <c r="F2455" s="9"/>
      <c r="G2455" s="8">
        <f t="shared" si="84"/>
        <v>1.911</v>
      </c>
      <c r="H2455" s="188">
        <v>1.82</v>
      </c>
      <c r="I2455" s="19">
        <f t="shared" si="85"/>
        <v>0</v>
      </c>
      <c r="L2455" s="131"/>
      <c r="M2455" s="131"/>
      <c r="N2455" s="131"/>
    </row>
    <row r="2456" spans="1:14" hidden="1">
      <c r="A2456" s="100" t="s">
        <v>862</v>
      </c>
      <c r="B2456" s="101" t="s">
        <v>4420</v>
      </c>
      <c r="C2456" s="99" t="s">
        <v>4421</v>
      </c>
      <c r="D2456" s="38"/>
      <c r="E2456" s="42">
        <v>1</v>
      </c>
      <c r="F2456" s="9"/>
      <c r="G2456" s="8">
        <f t="shared" si="84"/>
        <v>3.1337250000000001</v>
      </c>
      <c r="H2456" s="188">
        <v>2.9845000000000002</v>
      </c>
      <c r="I2456" s="19">
        <f t="shared" si="85"/>
        <v>0</v>
      </c>
      <c r="L2456" s="131"/>
      <c r="M2456" s="131"/>
      <c r="N2456" s="131"/>
    </row>
    <row r="2457" spans="1:14" hidden="1">
      <c r="A2457" s="100" t="s">
        <v>862</v>
      </c>
      <c r="B2457" s="101" t="s">
        <v>4422</v>
      </c>
      <c r="C2457" s="99" t="s">
        <v>4423</v>
      </c>
      <c r="D2457" s="38"/>
      <c r="E2457" s="42">
        <v>1</v>
      </c>
      <c r="F2457" s="9"/>
      <c r="G2457" s="8">
        <f t="shared" si="84"/>
        <v>5.5922999999999998</v>
      </c>
      <c r="H2457" s="188">
        <v>5.3259999999999996</v>
      </c>
      <c r="I2457" s="19">
        <f t="shared" si="85"/>
        <v>0</v>
      </c>
      <c r="L2457" s="131"/>
      <c r="M2457" s="131"/>
      <c r="N2457" s="131"/>
    </row>
    <row r="2458" spans="1:14" hidden="1">
      <c r="A2458" s="100" t="s">
        <v>862</v>
      </c>
      <c r="B2458" s="101" t="s">
        <v>4424</v>
      </c>
      <c r="C2458" s="99" t="s">
        <v>4425</v>
      </c>
      <c r="D2458" s="38"/>
      <c r="E2458" s="42">
        <v>1</v>
      </c>
      <c r="F2458" s="9"/>
      <c r="G2458" s="8">
        <f t="shared" si="84"/>
        <v>4.8478500000000002</v>
      </c>
      <c r="H2458" s="188">
        <v>4.617</v>
      </c>
      <c r="I2458" s="19">
        <f t="shared" si="85"/>
        <v>0</v>
      </c>
      <c r="L2458" s="131"/>
      <c r="M2458" s="131"/>
      <c r="N2458" s="131"/>
    </row>
    <row r="2459" spans="1:14" hidden="1">
      <c r="A2459" s="100" t="s">
        <v>862</v>
      </c>
      <c r="B2459" s="101" t="s">
        <v>4426</v>
      </c>
      <c r="C2459" s="99" t="s">
        <v>4427</v>
      </c>
      <c r="D2459" s="38"/>
      <c r="E2459" s="42">
        <v>1</v>
      </c>
      <c r="F2459" s="9"/>
      <c r="G2459" s="8">
        <f t="shared" si="84"/>
        <v>3.8771249999999999</v>
      </c>
      <c r="H2459" s="188">
        <v>3.6924999999999999</v>
      </c>
      <c r="I2459" s="19">
        <f t="shared" si="85"/>
        <v>0</v>
      </c>
      <c r="L2459" s="131"/>
      <c r="M2459" s="131"/>
      <c r="N2459" s="131"/>
    </row>
    <row r="2460" spans="1:14" hidden="1">
      <c r="A2460" s="100" t="s">
        <v>862</v>
      </c>
      <c r="B2460" s="101" t="s">
        <v>4428</v>
      </c>
      <c r="C2460" s="99" t="s">
        <v>4429</v>
      </c>
      <c r="D2460" s="38"/>
      <c r="E2460" s="42">
        <v>1</v>
      </c>
      <c r="F2460" s="9"/>
      <c r="G2460" s="8">
        <f t="shared" si="84"/>
        <v>3.8771249999999999</v>
      </c>
      <c r="H2460" s="188">
        <v>3.6924999999999999</v>
      </c>
      <c r="I2460" s="19">
        <f t="shared" si="85"/>
        <v>0</v>
      </c>
      <c r="L2460" s="131"/>
      <c r="M2460" s="131"/>
      <c r="N2460" s="131"/>
    </row>
    <row r="2461" spans="1:14" hidden="1">
      <c r="A2461" s="100" t="s">
        <v>862</v>
      </c>
      <c r="B2461" s="101" t="s">
        <v>4430</v>
      </c>
      <c r="C2461" s="99" t="s">
        <v>4431</v>
      </c>
      <c r="D2461" s="38"/>
      <c r="E2461" s="42">
        <v>1</v>
      </c>
      <c r="F2461" s="9"/>
      <c r="G2461" s="8">
        <f t="shared" si="84"/>
        <v>4.4640750000000002</v>
      </c>
      <c r="H2461" s="188">
        <v>4.2515000000000001</v>
      </c>
      <c r="I2461" s="19">
        <f t="shared" si="85"/>
        <v>0</v>
      </c>
      <c r="L2461" s="131"/>
      <c r="M2461" s="131"/>
      <c r="N2461" s="131"/>
    </row>
    <row r="2462" spans="1:14" hidden="1">
      <c r="A2462" s="100" t="s">
        <v>862</v>
      </c>
      <c r="B2462" s="101" t="s">
        <v>4432</v>
      </c>
      <c r="C2462" s="99" t="s">
        <v>4433</v>
      </c>
      <c r="D2462" s="38"/>
      <c r="E2462" s="42">
        <v>1</v>
      </c>
      <c r="F2462" s="9"/>
      <c r="G2462" s="8">
        <f t="shared" si="84"/>
        <v>4.4640750000000002</v>
      </c>
      <c r="H2462" s="188">
        <v>4.2515000000000001</v>
      </c>
      <c r="I2462" s="19">
        <f t="shared" si="85"/>
        <v>0</v>
      </c>
      <c r="L2462" s="131"/>
      <c r="M2462" s="131"/>
      <c r="N2462" s="131"/>
    </row>
    <row r="2463" spans="1:14" hidden="1">
      <c r="A2463" s="100" t="s">
        <v>862</v>
      </c>
      <c r="B2463" s="101" t="s">
        <v>4434</v>
      </c>
      <c r="C2463" s="99" t="s">
        <v>4435</v>
      </c>
      <c r="D2463" s="38"/>
      <c r="E2463" s="42">
        <v>1</v>
      </c>
      <c r="F2463" s="9"/>
      <c r="G2463" s="8">
        <f t="shared" si="84"/>
        <v>5.6516250000000001</v>
      </c>
      <c r="H2463" s="188">
        <v>5.3825000000000003</v>
      </c>
      <c r="I2463" s="19">
        <f t="shared" si="85"/>
        <v>0</v>
      </c>
      <c r="L2463" s="131"/>
      <c r="M2463" s="131"/>
      <c r="N2463" s="131"/>
    </row>
    <row r="2464" spans="1:14" hidden="1">
      <c r="A2464" s="100" t="s">
        <v>862</v>
      </c>
      <c r="B2464" s="101" t="s">
        <v>4436</v>
      </c>
      <c r="C2464" s="99" t="s">
        <v>4437</v>
      </c>
      <c r="D2464" s="38"/>
      <c r="E2464" s="42">
        <v>1</v>
      </c>
      <c r="F2464" s="9"/>
      <c r="G2464" s="8">
        <f t="shared" si="84"/>
        <v>5.6516250000000001</v>
      </c>
      <c r="H2464" s="188">
        <v>5.3825000000000003</v>
      </c>
      <c r="I2464" s="19">
        <f t="shared" si="85"/>
        <v>0</v>
      </c>
      <c r="L2464" s="131"/>
      <c r="M2464" s="131"/>
      <c r="N2464" s="131"/>
    </row>
    <row r="2465" spans="1:14" hidden="1">
      <c r="A2465" s="100" t="s">
        <v>862</v>
      </c>
      <c r="B2465" s="101" t="s">
        <v>4438</v>
      </c>
      <c r="C2465" s="99" t="s">
        <v>4439</v>
      </c>
      <c r="D2465" s="38"/>
      <c r="E2465" s="42">
        <v>1</v>
      </c>
      <c r="F2465" s="9"/>
      <c r="G2465" s="8">
        <f t="shared" si="84"/>
        <v>6.6202499999999995</v>
      </c>
      <c r="H2465" s="188">
        <v>6.3049999999999997</v>
      </c>
      <c r="I2465" s="19">
        <f t="shared" si="85"/>
        <v>0</v>
      </c>
      <c r="L2465" s="131"/>
      <c r="M2465" s="131"/>
      <c r="N2465" s="131"/>
    </row>
    <row r="2466" spans="1:14" hidden="1">
      <c r="A2466" s="100" t="s">
        <v>862</v>
      </c>
      <c r="B2466" s="101" t="s">
        <v>4440</v>
      </c>
      <c r="C2466" s="99" t="s">
        <v>4441</v>
      </c>
      <c r="D2466" s="38"/>
      <c r="E2466" s="42">
        <v>1</v>
      </c>
      <c r="F2466" s="9"/>
      <c r="G2466" s="8">
        <f t="shared" si="84"/>
        <v>6.6202499999999995</v>
      </c>
      <c r="H2466" s="188">
        <v>6.3049999999999997</v>
      </c>
      <c r="I2466" s="19">
        <f t="shared" si="85"/>
        <v>0</v>
      </c>
      <c r="L2466" s="131"/>
      <c r="M2466" s="131"/>
      <c r="N2466" s="131"/>
    </row>
    <row r="2467" spans="1:14" hidden="1">
      <c r="A2467" s="100" t="s">
        <v>862</v>
      </c>
      <c r="B2467" s="101" t="s">
        <v>4442</v>
      </c>
      <c r="C2467" s="99" t="s">
        <v>4443</v>
      </c>
      <c r="D2467" s="38"/>
      <c r="E2467" s="42">
        <v>1</v>
      </c>
      <c r="F2467" s="9"/>
      <c r="G2467" s="8">
        <f t="shared" si="84"/>
        <v>9.7397999999999989</v>
      </c>
      <c r="H2467" s="188">
        <v>9.2759999999999998</v>
      </c>
      <c r="I2467" s="19">
        <f t="shared" si="85"/>
        <v>0</v>
      </c>
      <c r="L2467" s="131"/>
      <c r="M2467" s="131"/>
      <c r="N2467" s="131"/>
    </row>
    <row r="2468" spans="1:14" hidden="1">
      <c r="A2468" s="100" t="s">
        <v>862</v>
      </c>
      <c r="B2468" s="101" t="s">
        <v>4444</v>
      </c>
      <c r="C2468" s="99" t="s">
        <v>4445</v>
      </c>
      <c r="D2468" s="38"/>
      <c r="E2468" s="42">
        <v>1</v>
      </c>
      <c r="F2468" s="9"/>
      <c r="G2468" s="8">
        <f t="shared" si="84"/>
        <v>9.1728000000000005</v>
      </c>
      <c r="H2468" s="188">
        <v>8.7360000000000007</v>
      </c>
      <c r="I2468" s="19">
        <f t="shared" si="85"/>
        <v>0</v>
      </c>
      <c r="L2468" s="131"/>
      <c r="M2468" s="131"/>
      <c r="N2468" s="131"/>
    </row>
    <row r="2469" spans="1:14" hidden="1">
      <c r="A2469" s="100" t="s">
        <v>862</v>
      </c>
      <c r="B2469" s="101" t="s">
        <v>4446</v>
      </c>
      <c r="C2469" s="99" t="s">
        <v>4447</v>
      </c>
      <c r="D2469" s="38"/>
      <c r="E2469" s="42">
        <v>1</v>
      </c>
      <c r="F2469" s="9"/>
      <c r="G2469" s="8">
        <f t="shared" ref="G2469:G2532" si="86">H2469+(H2469*5%)</f>
        <v>5.9850000000000003</v>
      </c>
      <c r="H2469" s="188">
        <v>5.7</v>
      </c>
      <c r="I2469" s="19">
        <f t="shared" si="85"/>
        <v>0</v>
      </c>
      <c r="L2469" s="131"/>
      <c r="M2469" s="131"/>
      <c r="N2469" s="131"/>
    </row>
    <row r="2470" spans="1:14" hidden="1">
      <c r="A2470" s="100" t="s">
        <v>862</v>
      </c>
      <c r="B2470" s="101" t="s">
        <v>4448</v>
      </c>
      <c r="C2470" s="99" t="s">
        <v>4449</v>
      </c>
      <c r="D2470" s="38"/>
      <c r="E2470" s="42">
        <v>1</v>
      </c>
      <c r="F2470" s="9"/>
      <c r="G2470" s="8">
        <f t="shared" si="86"/>
        <v>5.6952000000000007</v>
      </c>
      <c r="H2470" s="188">
        <v>5.4240000000000004</v>
      </c>
      <c r="I2470" s="19">
        <f t="shared" si="85"/>
        <v>0</v>
      </c>
      <c r="L2470" s="131"/>
      <c r="M2470" s="131"/>
      <c r="N2470" s="131"/>
    </row>
    <row r="2471" spans="1:14" hidden="1">
      <c r="A2471" s="100" t="s">
        <v>862</v>
      </c>
      <c r="B2471" s="101" t="s">
        <v>4450</v>
      </c>
      <c r="C2471" s="99" t="s">
        <v>4451</v>
      </c>
      <c r="D2471" s="38"/>
      <c r="E2471" s="42">
        <v>1</v>
      </c>
      <c r="F2471" s="9"/>
      <c r="G2471" s="8">
        <f t="shared" si="86"/>
        <v>5.6952000000000007</v>
      </c>
      <c r="H2471" s="188">
        <v>5.4240000000000004</v>
      </c>
      <c r="I2471" s="19">
        <f t="shared" ref="I2471:I2534" si="87">G2471*F2471</f>
        <v>0</v>
      </c>
      <c r="L2471" s="131"/>
      <c r="M2471" s="131"/>
      <c r="N2471" s="131"/>
    </row>
    <row r="2472" spans="1:14" hidden="1">
      <c r="A2472" s="100" t="s">
        <v>862</v>
      </c>
      <c r="B2472" s="101" t="s">
        <v>4452</v>
      </c>
      <c r="C2472" s="99" t="s">
        <v>4453</v>
      </c>
      <c r="D2472" s="38"/>
      <c r="E2472" s="42">
        <v>1</v>
      </c>
      <c r="F2472" s="9"/>
      <c r="G2472" s="8">
        <f t="shared" si="86"/>
        <v>1.8779250000000001</v>
      </c>
      <c r="H2472" s="188">
        <v>1.7885</v>
      </c>
      <c r="I2472" s="19">
        <f t="shared" si="87"/>
        <v>0</v>
      </c>
      <c r="L2472" s="131"/>
      <c r="M2472" s="131"/>
      <c r="N2472" s="131"/>
    </row>
    <row r="2473" spans="1:14" hidden="1">
      <c r="A2473" s="100" t="s">
        <v>862</v>
      </c>
      <c r="B2473" s="101" t="s">
        <v>4454</v>
      </c>
      <c r="C2473" s="99" t="s">
        <v>4455</v>
      </c>
      <c r="D2473" s="38"/>
      <c r="E2473" s="42">
        <v>1</v>
      </c>
      <c r="F2473" s="9"/>
      <c r="G2473" s="8">
        <f t="shared" si="86"/>
        <v>6.6543749999999999</v>
      </c>
      <c r="H2473" s="188">
        <v>6.3375000000000004</v>
      </c>
      <c r="I2473" s="19">
        <f t="shared" si="87"/>
        <v>0</v>
      </c>
      <c r="L2473" s="131"/>
      <c r="M2473" s="131"/>
      <c r="N2473" s="131"/>
    </row>
    <row r="2474" spans="1:14" hidden="1">
      <c r="A2474" s="100" t="s">
        <v>862</v>
      </c>
      <c r="B2474" s="101" t="s">
        <v>4456</v>
      </c>
      <c r="C2474" s="99" t="s">
        <v>4457</v>
      </c>
      <c r="D2474" s="38"/>
      <c r="E2474" s="42">
        <v>1</v>
      </c>
      <c r="F2474" s="9"/>
      <c r="G2474" s="8">
        <f t="shared" si="86"/>
        <v>17.386950000000002</v>
      </c>
      <c r="H2474" s="188">
        <v>16.559000000000001</v>
      </c>
      <c r="I2474" s="19">
        <f t="shared" si="87"/>
        <v>0</v>
      </c>
      <c r="L2474" s="131"/>
      <c r="M2474" s="131"/>
      <c r="N2474" s="131"/>
    </row>
    <row r="2475" spans="1:14" hidden="1">
      <c r="A2475" s="100" t="s">
        <v>862</v>
      </c>
      <c r="B2475" s="101" t="s">
        <v>4458</v>
      </c>
      <c r="C2475" s="99" t="s">
        <v>4459</v>
      </c>
      <c r="D2475" s="38"/>
      <c r="E2475" s="42">
        <v>1</v>
      </c>
      <c r="F2475" s="9"/>
      <c r="G2475" s="8">
        <f t="shared" si="86"/>
        <v>10.786125</v>
      </c>
      <c r="H2475" s="188">
        <v>10.272500000000001</v>
      </c>
      <c r="I2475" s="19">
        <f t="shared" si="87"/>
        <v>0</v>
      </c>
      <c r="L2475" s="131"/>
      <c r="M2475" s="131"/>
      <c r="N2475" s="131"/>
    </row>
    <row r="2476" spans="1:14" hidden="1">
      <c r="A2476" s="100" t="s">
        <v>862</v>
      </c>
      <c r="B2476" s="101" t="s">
        <v>4460</v>
      </c>
      <c r="C2476" s="99" t="s">
        <v>4461</v>
      </c>
      <c r="D2476" s="38"/>
      <c r="E2476" s="42">
        <v>1</v>
      </c>
      <c r="F2476" s="9"/>
      <c r="G2476" s="8">
        <f t="shared" si="86"/>
        <v>5.9692499999999997</v>
      </c>
      <c r="H2476" s="188">
        <v>5.6849999999999996</v>
      </c>
      <c r="I2476" s="19">
        <f t="shared" si="87"/>
        <v>0</v>
      </c>
      <c r="L2476" s="131"/>
      <c r="M2476" s="131"/>
      <c r="N2476" s="131"/>
    </row>
    <row r="2477" spans="1:14" hidden="1">
      <c r="A2477" s="100" t="s">
        <v>862</v>
      </c>
      <c r="B2477" s="101" t="s">
        <v>4462</v>
      </c>
      <c r="C2477" s="99" t="s">
        <v>4463</v>
      </c>
      <c r="D2477" s="38"/>
      <c r="E2477" s="42">
        <v>1</v>
      </c>
      <c r="F2477" s="9"/>
      <c r="G2477" s="8">
        <f t="shared" si="86"/>
        <v>20.587875</v>
      </c>
      <c r="H2477" s="188">
        <v>19.607500000000002</v>
      </c>
      <c r="I2477" s="19">
        <f t="shared" si="87"/>
        <v>0</v>
      </c>
      <c r="L2477" s="131"/>
      <c r="M2477" s="131"/>
      <c r="N2477" s="131"/>
    </row>
    <row r="2478" spans="1:14" hidden="1">
      <c r="A2478" s="100" t="s">
        <v>862</v>
      </c>
      <c r="B2478" s="101" t="s">
        <v>4464</v>
      </c>
      <c r="C2478" s="99" t="s">
        <v>4465</v>
      </c>
      <c r="D2478" s="38"/>
      <c r="E2478" s="42">
        <v>1</v>
      </c>
      <c r="F2478" s="9"/>
      <c r="G2478" s="8">
        <f t="shared" si="86"/>
        <v>20.88345</v>
      </c>
      <c r="H2478" s="188">
        <v>19.888999999999999</v>
      </c>
      <c r="I2478" s="19">
        <f t="shared" si="87"/>
        <v>0</v>
      </c>
      <c r="L2478" s="131"/>
      <c r="M2478" s="131"/>
      <c r="N2478" s="131"/>
    </row>
    <row r="2479" spans="1:14" hidden="1">
      <c r="A2479" s="100" t="s">
        <v>862</v>
      </c>
      <c r="B2479" s="101" t="s">
        <v>4466</v>
      </c>
      <c r="C2479" s="99" t="s">
        <v>4467</v>
      </c>
      <c r="D2479" s="38"/>
      <c r="E2479" s="42">
        <v>1</v>
      </c>
      <c r="F2479" s="9"/>
      <c r="G2479" s="8">
        <f t="shared" si="86"/>
        <v>13.341825</v>
      </c>
      <c r="H2479" s="188">
        <v>12.7065</v>
      </c>
      <c r="I2479" s="19">
        <f t="shared" si="87"/>
        <v>0</v>
      </c>
      <c r="L2479" s="131"/>
      <c r="M2479" s="131"/>
      <c r="N2479" s="131"/>
    </row>
    <row r="2480" spans="1:14" hidden="1">
      <c r="A2480" s="100" t="s">
        <v>862</v>
      </c>
      <c r="B2480" s="101" t="s">
        <v>4468</v>
      </c>
      <c r="C2480" s="99" t="s">
        <v>4469</v>
      </c>
      <c r="D2480" s="38"/>
      <c r="E2480" s="42">
        <v>1</v>
      </c>
      <c r="F2480" s="9"/>
      <c r="G2480" s="8">
        <f t="shared" si="86"/>
        <v>8.6929499999999997</v>
      </c>
      <c r="H2480" s="188">
        <v>8.2789999999999999</v>
      </c>
      <c r="I2480" s="19">
        <f t="shared" si="87"/>
        <v>0</v>
      </c>
      <c r="L2480" s="131"/>
      <c r="M2480" s="131"/>
      <c r="N2480" s="131"/>
    </row>
    <row r="2481" spans="1:14" hidden="1">
      <c r="A2481" s="100" t="s">
        <v>862</v>
      </c>
      <c r="B2481" s="101" t="s">
        <v>4470</v>
      </c>
      <c r="C2481" s="99" t="s">
        <v>4471</v>
      </c>
      <c r="D2481" s="38"/>
      <c r="E2481" s="42">
        <v>1</v>
      </c>
      <c r="F2481" s="9"/>
      <c r="G2481" s="8">
        <f t="shared" si="86"/>
        <v>13.159125000000001</v>
      </c>
      <c r="H2481" s="188">
        <v>12.532500000000001</v>
      </c>
      <c r="I2481" s="19">
        <f t="shared" si="87"/>
        <v>0</v>
      </c>
      <c r="L2481" s="131"/>
      <c r="M2481" s="131"/>
      <c r="N2481" s="131"/>
    </row>
    <row r="2482" spans="1:14" hidden="1">
      <c r="A2482" s="100" t="s">
        <v>862</v>
      </c>
      <c r="B2482" s="101" t="s">
        <v>4472</v>
      </c>
      <c r="C2482" s="99" t="s">
        <v>4473</v>
      </c>
      <c r="D2482" s="38"/>
      <c r="E2482" s="42">
        <v>1</v>
      </c>
      <c r="F2482" s="9"/>
      <c r="G2482" s="8">
        <f t="shared" si="86"/>
        <v>8.8898250000000001</v>
      </c>
      <c r="H2482" s="188">
        <v>8.4664999999999999</v>
      </c>
      <c r="I2482" s="19">
        <f t="shared" si="87"/>
        <v>0</v>
      </c>
      <c r="L2482" s="131"/>
      <c r="M2482" s="131"/>
      <c r="N2482" s="131"/>
    </row>
    <row r="2483" spans="1:14" hidden="1">
      <c r="A2483" s="100" t="s">
        <v>862</v>
      </c>
      <c r="B2483" s="101" t="s">
        <v>4474</v>
      </c>
      <c r="C2483" s="99" t="s">
        <v>4475</v>
      </c>
      <c r="D2483" s="38"/>
      <c r="E2483" s="42">
        <v>1</v>
      </c>
      <c r="F2483" s="9"/>
      <c r="G2483" s="8">
        <f t="shared" si="86"/>
        <v>31.5</v>
      </c>
      <c r="H2483" s="188">
        <v>30</v>
      </c>
      <c r="I2483" s="19">
        <f t="shared" si="87"/>
        <v>0</v>
      </c>
      <c r="L2483" s="131"/>
      <c r="M2483" s="131"/>
      <c r="N2483" s="131"/>
    </row>
    <row r="2484" spans="1:14" hidden="1">
      <c r="A2484" s="100" t="s">
        <v>862</v>
      </c>
      <c r="B2484" s="101" t="s">
        <v>4476</v>
      </c>
      <c r="C2484" s="99" t="s">
        <v>4477</v>
      </c>
      <c r="D2484" s="38"/>
      <c r="E2484" s="42">
        <v>1</v>
      </c>
      <c r="F2484" s="9"/>
      <c r="G2484" s="8">
        <f t="shared" si="86"/>
        <v>42.749699999999997</v>
      </c>
      <c r="H2484" s="188">
        <v>40.713999999999999</v>
      </c>
      <c r="I2484" s="19">
        <f t="shared" si="87"/>
        <v>0</v>
      </c>
      <c r="L2484" s="131"/>
      <c r="M2484" s="131"/>
      <c r="N2484" s="131"/>
    </row>
    <row r="2485" spans="1:14" hidden="1">
      <c r="A2485" s="100" t="s">
        <v>862</v>
      </c>
      <c r="B2485" s="101" t="s">
        <v>4478</v>
      </c>
      <c r="C2485" s="99" t="s">
        <v>4479</v>
      </c>
      <c r="D2485" s="38"/>
      <c r="E2485" s="42">
        <v>1</v>
      </c>
      <c r="F2485" s="9"/>
      <c r="G2485" s="8">
        <f t="shared" si="86"/>
        <v>52.888500000000001</v>
      </c>
      <c r="H2485" s="188">
        <v>50.37</v>
      </c>
      <c r="I2485" s="19">
        <f t="shared" si="87"/>
        <v>0</v>
      </c>
      <c r="L2485" s="131"/>
      <c r="M2485" s="131"/>
      <c r="N2485" s="131"/>
    </row>
    <row r="2486" spans="1:14" hidden="1">
      <c r="A2486" s="100" t="s">
        <v>862</v>
      </c>
      <c r="B2486" s="101" t="s">
        <v>4480</v>
      </c>
      <c r="C2486" s="99" t="s">
        <v>4481</v>
      </c>
      <c r="D2486" s="38"/>
      <c r="E2486" s="42">
        <v>1</v>
      </c>
      <c r="F2486" s="9"/>
      <c r="G2486" s="8">
        <f t="shared" si="86"/>
        <v>63.042000000000002</v>
      </c>
      <c r="H2486" s="188">
        <v>60.04</v>
      </c>
      <c r="I2486" s="19">
        <f t="shared" si="87"/>
        <v>0</v>
      </c>
      <c r="L2486" s="131"/>
      <c r="M2486" s="131"/>
      <c r="N2486" s="131"/>
    </row>
    <row r="2487" spans="1:14" hidden="1">
      <c r="A2487" s="100" t="s">
        <v>862</v>
      </c>
      <c r="B2487" s="101" t="s">
        <v>4482</v>
      </c>
      <c r="C2487" s="99" t="s">
        <v>4483</v>
      </c>
      <c r="D2487" s="38"/>
      <c r="E2487" s="42">
        <v>1</v>
      </c>
      <c r="F2487" s="9"/>
      <c r="G2487" s="8">
        <f t="shared" si="86"/>
        <v>73.392374999999987</v>
      </c>
      <c r="H2487" s="188">
        <v>69.897499999999994</v>
      </c>
      <c r="I2487" s="19">
        <f t="shared" si="87"/>
        <v>0</v>
      </c>
      <c r="L2487" s="131"/>
      <c r="M2487" s="131"/>
      <c r="N2487" s="131"/>
    </row>
    <row r="2488" spans="1:14" hidden="1">
      <c r="A2488" s="100" t="s">
        <v>862</v>
      </c>
      <c r="B2488" s="101" t="s">
        <v>4484</v>
      </c>
      <c r="C2488" s="99" t="s">
        <v>4485</v>
      </c>
      <c r="D2488" s="38"/>
      <c r="E2488" s="42">
        <v>1</v>
      </c>
      <c r="F2488" s="9"/>
      <c r="G2488" s="8">
        <f t="shared" si="86"/>
        <v>83.532750000000007</v>
      </c>
      <c r="H2488" s="188">
        <v>79.555000000000007</v>
      </c>
      <c r="I2488" s="19">
        <f t="shared" si="87"/>
        <v>0</v>
      </c>
      <c r="L2488" s="131"/>
      <c r="M2488" s="131"/>
      <c r="N2488" s="131"/>
    </row>
    <row r="2489" spans="1:14" hidden="1">
      <c r="A2489" s="100" t="s">
        <v>862</v>
      </c>
      <c r="B2489" s="101" t="s">
        <v>4486</v>
      </c>
      <c r="C2489" s="99" t="s">
        <v>4487</v>
      </c>
      <c r="D2489" s="38"/>
      <c r="E2489" s="42">
        <v>1</v>
      </c>
      <c r="F2489" s="9"/>
      <c r="G2489" s="8">
        <f t="shared" si="86"/>
        <v>93.672075000000007</v>
      </c>
      <c r="H2489" s="188">
        <v>89.211500000000001</v>
      </c>
      <c r="I2489" s="19">
        <f t="shared" si="87"/>
        <v>0</v>
      </c>
      <c r="L2489" s="131"/>
      <c r="M2489" s="131"/>
      <c r="N2489" s="131"/>
    </row>
    <row r="2490" spans="1:14" hidden="1">
      <c r="A2490" s="100" t="s">
        <v>862</v>
      </c>
      <c r="B2490" s="101" t="s">
        <v>4488</v>
      </c>
      <c r="C2490" s="99" t="s">
        <v>4489</v>
      </c>
      <c r="D2490" s="38"/>
      <c r="E2490" s="42">
        <v>1</v>
      </c>
      <c r="F2490" s="9"/>
      <c r="G2490" s="8">
        <f t="shared" si="86"/>
        <v>18.678450000000002</v>
      </c>
      <c r="H2490" s="188">
        <v>17.789000000000001</v>
      </c>
      <c r="I2490" s="19">
        <f t="shared" si="87"/>
        <v>0</v>
      </c>
      <c r="L2490" s="131"/>
      <c r="M2490" s="131"/>
      <c r="N2490" s="131"/>
    </row>
    <row r="2491" spans="1:14" hidden="1">
      <c r="A2491" s="100" t="s">
        <v>862</v>
      </c>
      <c r="B2491" s="101" t="s">
        <v>4490</v>
      </c>
      <c r="C2491" s="99" t="s">
        <v>4491</v>
      </c>
      <c r="D2491" s="38"/>
      <c r="E2491" s="42">
        <v>1</v>
      </c>
      <c r="F2491" s="9"/>
      <c r="G2491" s="8">
        <f t="shared" si="86"/>
        <v>23.979374999999997</v>
      </c>
      <c r="H2491" s="188">
        <v>22.837499999999999</v>
      </c>
      <c r="I2491" s="19">
        <f t="shared" si="87"/>
        <v>0</v>
      </c>
      <c r="L2491" s="131"/>
      <c r="M2491" s="131"/>
      <c r="N2491" s="131"/>
    </row>
    <row r="2492" spans="1:14" hidden="1">
      <c r="A2492" s="100" t="s">
        <v>862</v>
      </c>
      <c r="B2492" s="101" t="s">
        <v>4492</v>
      </c>
      <c r="C2492" s="99" t="s">
        <v>4493</v>
      </c>
      <c r="D2492" s="38"/>
      <c r="E2492" s="42">
        <v>1</v>
      </c>
      <c r="F2492" s="9"/>
      <c r="G2492" s="8">
        <f t="shared" si="86"/>
        <v>29.4</v>
      </c>
      <c r="H2492" s="188">
        <v>28</v>
      </c>
      <c r="I2492" s="19">
        <f t="shared" si="87"/>
        <v>0</v>
      </c>
      <c r="L2492" s="131"/>
      <c r="M2492" s="131"/>
      <c r="N2492" s="131"/>
    </row>
    <row r="2493" spans="1:14" hidden="1">
      <c r="A2493" s="100" t="s">
        <v>862</v>
      </c>
      <c r="B2493" s="101" t="s">
        <v>4494</v>
      </c>
      <c r="C2493" s="99" t="s">
        <v>4495</v>
      </c>
      <c r="D2493" s="38"/>
      <c r="E2493" s="42">
        <v>1</v>
      </c>
      <c r="F2493" s="9"/>
      <c r="G2493" s="8">
        <f t="shared" si="86"/>
        <v>34.822200000000002</v>
      </c>
      <c r="H2493" s="188">
        <v>33.164000000000001</v>
      </c>
      <c r="I2493" s="19">
        <f t="shared" si="87"/>
        <v>0</v>
      </c>
      <c r="L2493" s="131"/>
      <c r="M2493" s="131"/>
      <c r="N2493" s="131"/>
    </row>
    <row r="2494" spans="1:14" hidden="1">
      <c r="A2494" s="100" t="s">
        <v>862</v>
      </c>
      <c r="B2494" s="101" t="s">
        <v>4496</v>
      </c>
      <c r="C2494" s="99" t="s">
        <v>4497</v>
      </c>
      <c r="D2494" s="38"/>
      <c r="E2494" s="42">
        <v>1</v>
      </c>
      <c r="F2494" s="9"/>
      <c r="G2494" s="8">
        <f t="shared" si="86"/>
        <v>40.53</v>
      </c>
      <c r="H2494" s="188">
        <v>38.6</v>
      </c>
      <c r="I2494" s="19">
        <f t="shared" si="87"/>
        <v>0</v>
      </c>
      <c r="L2494" s="131"/>
      <c r="M2494" s="131"/>
      <c r="N2494" s="131"/>
    </row>
    <row r="2495" spans="1:14" hidden="1">
      <c r="A2495" s="100" t="s">
        <v>862</v>
      </c>
      <c r="B2495" s="101" t="s">
        <v>4498</v>
      </c>
      <c r="C2495" s="99" t="s">
        <v>4499</v>
      </c>
      <c r="D2495" s="38"/>
      <c r="E2495" s="42">
        <v>1</v>
      </c>
      <c r="F2495" s="9"/>
      <c r="G2495" s="8">
        <f t="shared" si="86"/>
        <v>46.0152</v>
      </c>
      <c r="H2495" s="188">
        <v>43.823999999999998</v>
      </c>
      <c r="I2495" s="19">
        <f t="shared" si="87"/>
        <v>0</v>
      </c>
      <c r="L2495" s="131"/>
      <c r="M2495" s="131"/>
      <c r="N2495" s="131"/>
    </row>
    <row r="2496" spans="1:14" hidden="1">
      <c r="A2496" s="100" t="s">
        <v>862</v>
      </c>
      <c r="B2496" s="101" t="s">
        <v>4500</v>
      </c>
      <c r="C2496" s="99" t="s">
        <v>4501</v>
      </c>
      <c r="D2496" s="38"/>
      <c r="E2496" s="42">
        <v>1</v>
      </c>
      <c r="F2496" s="9"/>
      <c r="G2496" s="8">
        <f t="shared" si="86"/>
        <v>51.435825000000001</v>
      </c>
      <c r="H2496" s="188">
        <v>48.986499999999999</v>
      </c>
      <c r="I2496" s="19">
        <f t="shared" si="87"/>
        <v>0</v>
      </c>
      <c r="L2496" s="131"/>
      <c r="M2496" s="131"/>
      <c r="N2496" s="131"/>
    </row>
    <row r="2497" spans="1:14" hidden="1">
      <c r="A2497" s="100" t="s">
        <v>862</v>
      </c>
      <c r="B2497" s="101" t="s">
        <v>4502</v>
      </c>
      <c r="C2497" s="99" t="s">
        <v>4503</v>
      </c>
      <c r="D2497" s="38"/>
      <c r="E2497" s="42">
        <v>1</v>
      </c>
      <c r="F2497" s="9"/>
      <c r="G2497" s="8">
        <f t="shared" si="86"/>
        <v>11.291699999999999</v>
      </c>
      <c r="H2497" s="188">
        <v>10.754</v>
      </c>
      <c r="I2497" s="19">
        <f t="shared" si="87"/>
        <v>0</v>
      </c>
      <c r="L2497" s="131"/>
      <c r="M2497" s="131"/>
      <c r="N2497" s="131"/>
    </row>
    <row r="2498" spans="1:14" hidden="1">
      <c r="A2498" s="100" t="s">
        <v>862</v>
      </c>
      <c r="B2498" s="101" t="s">
        <v>4504</v>
      </c>
      <c r="C2498" s="99" t="s">
        <v>4505</v>
      </c>
      <c r="D2498" s="38"/>
      <c r="E2498" s="42">
        <v>1</v>
      </c>
      <c r="F2498" s="9"/>
      <c r="G2498" s="8">
        <f t="shared" si="86"/>
        <v>0.354375</v>
      </c>
      <c r="H2498" s="188">
        <v>0.33750000000000002</v>
      </c>
      <c r="I2498" s="19">
        <f t="shared" si="87"/>
        <v>0</v>
      </c>
      <c r="L2498" s="131"/>
      <c r="M2498" s="131"/>
      <c r="N2498" s="131"/>
    </row>
    <row r="2499" spans="1:14" hidden="1">
      <c r="A2499" s="100" t="s">
        <v>862</v>
      </c>
      <c r="B2499" s="101" t="s">
        <v>4506</v>
      </c>
      <c r="C2499" s="99" t="s">
        <v>4507</v>
      </c>
      <c r="D2499" s="38"/>
      <c r="E2499" s="42">
        <v>1</v>
      </c>
      <c r="F2499" s="9"/>
      <c r="G2499" s="8">
        <f t="shared" si="86"/>
        <v>0.45045000000000002</v>
      </c>
      <c r="H2499" s="188">
        <v>0.42899999999999999</v>
      </c>
      <c r="I2499" s="19">
        <f t="shared" si="87"/>
        <v>0</v>
      </c>
      <c r="L2499" s="131"/>
      <c r="M2499" s="131"/>
      <c r="N2499" s="131"/>
    </row>
    <row r="2500" spans="1:14" hidden="1">
      <c r="A2500" s="100" t="s">
        <v>862</v>
      </c>
      <c r="B2500" s="101" t="s">
        <v>4508</v>
      </c>
      <c r="C2500" s="99" t="s">
        <v>4509</v>
      </c>
      <c r="D2500" s="38"/>
      <c r="E2500" s="42">
        <v>1</v>
      </c>
      <c r="F2500" s="9"/>
      <c r="G2500" s="8">
        <f t="shared" si="86"/>
        <v>0.354375</v>
      </c>
      <c r="H2500" s="188">
        <v>0.33750000000000002</v>
      </c>
      <c r="I2500" s="19">
        <f t="shared" si="87"/>
        <v>0</v>
      </c>
      <c r="L2500" s="131"/>
      <c r="M2500" s="131"/>
      <c r="N2500" s="131"/>
    </row>
    <row r="2501" spans="1:14" hidden="1">
      <c r="A2501" s="100" t="s">
        <v>862</v>
      </c>
      <c r="B2501" s="101" t="s">
        <v>4510</v>
      </c>
      <c r="C2501" s="99" t="s">
        <v>4511</v>
      </c>
      <c r="D2501" s="38"/>
      <c r="E2501" s="42">
        <v>1</v>
      </c>
      <c r="F2501" s="9"/>
      <c r="G2501" s="8">
        <f t="shared" si="86"/>
        <v>0.354375</v>
      </c>
      <c r="H2501" s="188">
        <v>0.33750000000000002</v>
      </c>
      <c r="I2501" s="19">
        <f t="shared" si="87"/>
        <v>0</v>
      </c>
      <c r="L2501" s="131"/>
      <c r="M2501" s="131"/>
      <c r="N2501" s="131"/>
    </row>
    <row r="2502" spans="1:14" hidden="1">
      <c r="A2502" s="100" t="s">
        <v>862</v>
      </c>
      <c r="B2502" s="101" t="s">
        <v>4512</v>
      </c>
      <c r="C2502" s="99" t="s">
        <v>4513</v>
      </c>
      <c r="D2502" s="38"/>
      <c r="E2502" s="42">
        <v>1</v>
      </c>
      <c r="F2502" s="9"/>
      <c r="G2502" s="8">
        <f t="shared" si="86"/>
        <v>0.354375</v>
      </c>
      <c r="H2502" s="188">
        <v>0.33750000000000002</v>
      </c>
      <c r="I2502" s="19">
        <f t="shared" si="87"/>
        <v>0</v>
      </c>
      <c r="L2502" s="131"/>
      <c r="M2502" s="131"/>
      <c r="N2502" s="131"/>
    </row>
    <row r="2503" spans="1:14" hidden="1">
      <c r="A2503" s="100" t="s">
        <v>862</v>
      </c>
      <c r="B2503" s="101" t="s">
        <v>4514</v>
      </c>
      <c r="C2503" s="99" t="s">
        <v>4515</v>
      </c>
      <c r="D2503" s="38"/>
      <c r="E2503" s="42">
        <v>1</v>
      </c>
      <c r="F2503" s="9"/>
      <c r="G2503" s="8">
        <f t="shared" si="86"/>
        <v>14.886375000000001</v>
      </c>
      <c r="H2503" s="188">
        <v>14.1775</v>
      </c>
      <c r="I2503" s="19">
        <f t="shared" si="87"/>
        <v>0</v>
      </c>
      <c r="L2503" s="131"/>
      <c r="M2503" s="131"/>
      <c r="N2503" s="131"/>
    </row>
    <row r="2504" spans="1:14" hidden="1">
      <c r="A2504" s="100" t="s">
        <v>862</v>
      </c>
      <c r="B2504" s="101" t="s">
        <v>4516</v>
      </c>
      <c r="C2504" s="99" t="s">
        <v>4517</v>
      </c>
      <c r="D2504" s="38"/>
      <c r="E2504" s="42">
        <v>1</v>
      </c>
      <c r="F2504" s="9"/>
      <c r="G2504" s="8">
        <f t="shared" si="86"/>
        <v>8.3569499999999994</v>
      </c>
      <c r="H2504" s="188">
        <v>7.9589999999999996</v>
      </c>
      <c r="I2504" s="19">
        <f t="shared" si="87"/>
        <v>0</v>
      </c>
      <c r="L2504" s="131"/>
      <c r="M2504" s="131"/>
      <c r="N2504" s="131"/>
    </row>
    <row r="2505" spans="1:14" hidden="1">
      <c r="A2505" s="100" t="s">
        <v>862</v>
      </c>
      <c r="B2505" s="101" t="s">
        <v>4518</v>
      </c>
      <c r="C2505" s="99" t="s">
        <v>4519</v>
      </c>
      <c r="D2505" s="38"/>
      <c r="E2505" s="42">
        <v>1</v>
      </c>
      <c r="F2505" s="9"/>
      <c r="G2505" s="8">
        <f t="shared" si="86"/>
        <v>8.679825000000001</v>
      </c>
      <c r="H2505" s="188">
        <v>8.2665000000000006</v>
      </c>
      <c r="I2505" s="19">
        <f t="shared" si="87"/>
        <v>0</v>
      </c>
      <c r="L2505" s="131"/>
      <c r="M2505" s="131"/>
      <c r="N2505" s="131"/>
    </row>
    <row r="2506" spans="1:14" hidden="1">
      <c r="A2506" s="100" t="s">
        <v>862</v>
      </c>
      <c r="B2506" s="101" t="s">
        <v>4520</v>
      </c>
      <c r="C2506" s="99" t="s">
        <v>4521</v>
      </c>
      <c r="D2506" s="38"/>
      <c r="E2506" s="42">
        <v>1</v>
      </c>
      <c r="F2506" s="9"/>
      <c r="G2506" s="8">
        <f t="shared" si="86"/>
        <v>3.9600750000000002</v>
      </c>
      <c r="H2506" s="188">
        <v>3.7715000000000001</v>
      </c>
      <c r="I2506" s="19">
        <f t="shared" si="87"/>
        <v>0</v>
      </c>
      <c r="L2506" s="131"/>
      <c r="M2506" s="131"/>
      <c r="N2506" s="131"/>
    </row>
    <row r="2507" spans="1:14" hidden="1">
      <c r="A2507" s="100" t="s">
        <v>862</v>
      </c>
      <c r="B2507" s="101" t="s">
        <v>4522</v>
      </c>
      <c r="C2507" s="99" t="s">
        <v>4523</v>
      </c>
      <c r="D2507" s="38"/>
      <c r="E2507" s="42">
        <v>1</v>
      </c>
      <c r="F2507" s="9"/>
      <c r="G2507" s="8">
        <f t="shared" si="86"/>
        <v>3.9469499999999997</v>
      </c>
      <c r="H2507" s="188">
        <v>3.7589999999999999</v>
      </c>
      <c r="I2507" s="19">
        <f t="shared" si="87"/>
        <v>0</v>
      </c>
      <c r="L2507" s="131"/>
      <c r="M2507" s="131"/>
      <c r="N2507" s="131"/>
    </row>
    <row r="2508" spans="1:14" hidden="1">
      <c r="A2508" s="100" t="s">
        <v>862</v>
      </c>
      <c r="B2508" s="101" t="s">
        <v>4524</v>
      </c>
      <c r="C2508" s="99" t="s">
        <v>4525</v>
      </c>
      <c r="D2508" s="38"/>
      <c r="E2508" s="42">
        <v>1</v>
      </c>
      <c r="F2508" s="9"/>
      <c r="G2508" s="8">
        <f t="shared" si="86"/>
        <v>4.3538249999999996</v>
      </c>
      <c r="H2508" s="188">
        <v>4.1464999999999996</v>
      </c>
      <c r="I2508" s="19">
        <f t="shared" si="87"/>
        <v>0</v>
      </c>
      <c r="L2508" s="131"/>
      <c r="M2508" s="131"/>
      <c r="N2508" s="131"/>
    </row>
    <row r="2509" spans="1:14" hidden="1">
      <c r="A2509" s="100" t="s">
        <v>862</v>
      </c>
      <c r="B2509" s="101" t="s">
        <v>4526</v>
      </c>
      <c r="C2509" s="99" t="s">
        <v>4527</v>
      </c>
      <c r="D2509" s="38"/>
      <c r="E2509" s="42">
        <v>1</v>
      </c>
      <c r="F2509" s="9"/>
      <c r="G2509" s="8">
        <f t="shared" si="86"/>
        <v>4.3538249999999996</v>
      </c>
      <c r="H2509" s="188">
        <v>4.1464999999999996</v>
      </c>
      <c r="I2509" s="19">
        <f t="shared" si="87"/>
        <v>0</v>
      </c>
      <c r="L2509" s="131"/>
      <c r="M2509" s="131"/>
      <c r="N2509" s="131"/>
    </row>
    <row r="2510" spans="1:14" hidden="1">
      <c r="A2510" s="100" t="s">
        <v>862</v>
      </c>
      <c r="B2510" s="101" t="s">
        <v>4528</v>
      </c>
      <c r="C2510" s="99" t="s">
        <v>4529</v>
      </c>
      <c r="D2510" s="38"/>
      <c r="E2510" s="42">
        <v>1</v>
      </c>
      <c r="F2510" s="9"/>
      <c r="G2510" s="8">
        <f t="shared" si="86"/>
        <v>4.9864499999999996</v>
      </c>
      <c r="H2510" s="188">
        <v>4.7489999999999997</v>
      </c>
      <c r="I2510" s="19">
        <f t="shared" si="87"/>
        <v>0</v>
      </c>
      <c r="L2510" s="131"/>
      <c r="M2510" s="131"/>
      <c r="N2510" s="131"/>
    </row>
    <row r="2511" spans="1:14" hidden="1">
      <c r="A2511" s="100" t="s">
        <v>862</v>
      </c>
      <c r="B2511" s="101" t="s">
        <v>4530</v>
      </c>
      <c r="C2511" s="99" t="s">
        <v>4531</v>
      </c>
      <c r="D2511" s="38"/>
      <c r="E2511" s="42">
        <v>1</v>
      </c>
      <c r="F2511" s="9"/>
      <c r="G2511" s="8">
        <f t="shared" si="86"/>
        <v>4.9864499999999996</v>
      </c>
      <c r="H2511" s="188">
        <v>4.7489999999999997</v>
      </c>
      <c r="I2511" s="19">
        <f t="shared" si="87"/>
        <v>0</v>
      </c>
      <c r="L2511" s="131"/>
      <c r="M2511" s="131"/>
      <c r="N2511" s="131"/>
    </row>
    <row r="2512" spans="1:14" hidden="1">
      <c r="A2512" s="100" t="s">
        <v>862</v>
      </c>
      <c r="B2512" s="101" t="s">
        <v>4532</v>
      </c>
      <c r="C2512" s="99" t="s">
        <v>4533</v>
      </c>
      <c r="D2512" s="38"/>
      <c r="E2512" s="42">
        <v>1</v>
      </c>
      <c r="F2512" s="9"/>
      <c r="G2512" s="8">
        <f t="shared" si="86"/>
        <v>4.9717500000000001</v>
      </c>
      <c r="H2512" s="188">
        <v>4.7350000000000003</v>
      </c>
      <c r="I2512" s="19">
        <f t="shared" si="87"/>
        <v>0</v>
      </c>
      <c r="L2512" s="131"/>
      <c r="M2512" s="131"/>
      <c r="N2512" s="131"/>
    </row>
    <row r="2513" spans="1:14" hidden="1">
      <c r="A2513" s="100" t="s">
        <v>862</v>
      </c>
      <c r="B2513" s="101" t="s">
        <v>4534</v>
      </c>
      <c r="C2513" s="99" t="s">
        <v>4535</v>
      </c>
      <c r="D2513" s="38"/>
      <c r="E2513" s="42">
        <v>1</v>
      </c>
      <c r="F2513" s="9"/>
      <c r="G2513" s="8">
        <f t="shared" si="86"/>
        <v>5.5901999999999994</v>
      </c>
      <c r="H2513" s="188">
        <v>5.3239999999999998</v>
      </c>
      <c r="I2513" s="19">
        <f t="shared" si="87"/>
        <v>0</v>
      </c>
      <c r="L2513" s="131"/>
      <c r="M2513" s="131"/>
      <c r="N2513" s="131"/>
    </row>
    <row r="2514" spans="1:14" hidden="1">
      <c r="A2514" s="100" t="s">
        <v>862</v>
      </c>
      <c r="B2514" s="101" t="s">
        <v>4536</v>
      </c>
      <c r="C2514" s="99" t="s">
        <v>4537</v>
      </c>
      <c r="D2514" s="38"/>
      <c r="E2514" s="42">
        <v>1</v>
      </c>
      <c r="F2514" s="9"/>
      <c r="G2514" s="8">
        <f t="shared" si="86"/>
        <v>7.1531250000000002</v>
      </c>
      <c r="H2514" s="188">
        <v>6.8125</v>
      </c>
      <c r="I2514" s="19">
        <f t="shared" si="87"/>
        <v>0</v>
      </c>
      <c r="L2514" s="131"/>
      <c r="M2514" s="131"/>
      <c r="N2514" s="131"/>
    </row>
    <row r="2515" spans="1:14" hidden="1">
      <c r="A2515" s="100" t="s">
        <v>862</v>
      </c>
      <c r="B2515" s="101" t="s">
        <v>4538</v>
      </c>
      <c r="C2515" s="99" t="s">
        <v>4539</v>
      </c>
      <c r="D2515" s="38"/>
      <c r="E2515" s="42">
        <v>1</v>
      </c>
      <c r="F2515" s="9"/>
      <c r="G2515" s="8">
        <f t="shared" si="86"/>
        <v>0.29137500000000005</v>
      </c>
      <c r="H2515" s="188">
        <v>0.27750000000000002</v>
      </c>
      <c r="I2515" s="19">
        <f t="shared" si="87"/>
        <v>0</v>
      </c>
      <c r="L2515" s="131"/>
      <c r="M2515" s="131"/>
      <c r="N2515" s="131"/>
    </row>
    <row r="2516" spans="1:14" hidden="1">
      <c r="A2516" s="100" t="s">
        <v>862</v>
      </c>
      <c r="B2516" s="101" t="s">
        <v>4540</v>
      </c>
      <c r="C2516" s="99" t="s">
        <v>4541</v>
      </c>
      <c r="D2516" s="38"/>
      <c r="E2516" s="42">
        <v>1</v>
      </c>
      <c r="F2516" s="9"/>
      <c r="G2516" s="8">
        <f t="shared" si="86"/>
        <v>1.0017</v>
      </c>
      <c r="H2516" s="188">
        <v>0.95399999999999996</v>
      </c>
      <c r="I2516" s="19">
        <f t="shared" si="87"/>
        <v>0</v>
      </c>
      <c r="L2516" s="131"/>
      <c r="M2516" s="131"/>
      <c r="N2516" s="131"/>
    </row>
    <row r="2517" spans="1:14" hidden="1">
      <c r="A2517" s="100" t="s">
        <v>862</v>
      </c>
      <c r="B2517" s="101" t="s">
        <v>4542</v>
      </c>
      <c r="C2517" s="99" t="s">
        <v>4543</v>
      </c>
      <c r="D2517" s="38"/>
      <c r="E2517" s="42">
        <v>1</v>
      </c>
      <c r="F2517" s="9"/>
      <c r="G2517" s="8">
        <f t="shared" si="86"/>
        <v>0.23625000000000002</v>
      </c>
      <c r="H2517" s="188">
        <v>0.22500000000000001</v>
      </c>
      <c r="I2517" s="19">
        <f t="shared" si="87"/>
        <v>0</v>
      </c>
      <c r="L2517" s="131"/>
      <c r="M2517" s="131"/>
      <c r="N2517" s="131"/>
    </row>
    <row r="2518" spans="1:14" hidden="1">
      <c r="A2518" s="100" t="s">
        <v>862</v>
      </c>
      <c r="B2518" s="101" t="s">
        <v>4544</v>
      </c>
      <c r="C2518" s="99" t="s">
        <v>4545</v>
      </c>
      <c r="D2518" s="38"/>
      <c r="E2518" s="42">
        <v>1</v>
      </c>
      <c r="F2518" s="9"/>
      <c r="G2518" s="8">
        <f t="shared" si="86"/>
        <v>6.0023249999999999</v>
      </c>
      <c r="H2518" s="188">
        <v>5.7164999999999999</v>
      </c>
      <c r="I2518" s="19">
        <f t="shared" si="87"/>
        <v>0</v>
      </c>
      <c r="L2518" s="131"/>
      <c r="M2518" s="131"/>
      <c r="N2518" s="131"/>
    </row>
    <row r="2519" spans="1:14" hidden="1">
      <c r="A2519" s="100" t="s">
        <v>862</v>
      </c>
      <c r="B2519" s="101" t="s">
        <v>4546</v>
      </c>
      <c r="C2519" s="99" t="s">
        <v>4547</v>
      </c>
      <c r="D2519" s="38"/>
      <c r="E2519" s="42">
        <v>1</v>
      </c>
      <c r="F2519" s="9"/>
      <c r="G2519" s="8">
        <f t="shared" si="86"/>
        <v>7.0166250000000003</v>
      </c>
      <c r="H2519" s="188">
        <v>6.6825000000000001</v>
      </c>
      <c r="I2519" s="19">
        <f t="shared" si="87"/>
        <v>0</v>
      </c>
      <c r="L2519" s="131"/>
      <c r="M2519" s="131"/>
      <c r="N2519" s="131"/>
    </row>
    <row r="2520" spans="1:14" hidden="1">
      <c r="A2520" s="100" t="s">
        <v>862</v>
      </c>
      <c r="B2520" s="101" t="s">
        <v>4548</v>
      </c>
      <c r="C2520" s="99" t="s">
        <v>4549</v>
      </c>
      <c r="D2520" s="38"/>
      <c r="E2520" s="42">
        <v>1</v>
      </c>
      <c r="F2520" s="9"/>
      <c r="G2520" s="8">
        <f t="shared" si="86"/>
        <v>0.38219999999999998</v>
      </c>
      <c r="H2520" s="188">
        <v>0.36399999999999999</v>
      </c>
      <c r="I2520" s="19">
        <f t="shared" si="87"/>
        <v>0</v>
      </c>
      <c r="L2520" s="131"/>
      <c r="M2520" s="131"/>
      <c r="N2520" s="131"/>
    </row>
    <row r="2521" spans="1:14" hidden="1">
      <c r="A2521" s="100" t="s">
        <v>862</v>
      </c>
      <c r="B2521" s="101" t="s">
        <v>4550</v>
      </c>
      <c r="C2521" s="99" t="s">
        <v>4551</v>
      </c>
      <c r="D2521" s="38"/>
      <c r="E2521" s="42">
        <v>1</v>
      </c>
      <c r="F2521" s="9"/>
      <c r="G2521" s="8">
        <f t="shared" si="86"/>
        <v>0.27457500000000001</v>
      </c>
      <c r="H2521" s="188">
        <v>0.26150000000000001</v>
      </c>
      <c r="I2521" s="19">
        <f t="shared" si="87"/>
        <v>0</v>
      </c>
      <c r="L2521" s="131"/>
      <c r="M2521" s="131"/>
      <c r="N2521" s="131"/>
    </row>
    <row r="2522" spans="1:14" hidden="1">
      <c r="A2522" s="100" t="s">
        <v>862</v>
      </c>
      <c r="B2522" s="101" t="s">
        <v>4552</v>
      </c>
      <c r="C2522" s="99" t="s">
        <v>4553</v>
      </c>
      <c r="D2522" s="38"/>
      <c r="E2522" s="42">
        <v>1</v>
      </c>
      <c r="F2522" s="9"/>
      <c r="G2522" s="8">
        <f t="shared" si="86"/>
        <v>62.880825000000002</v>
      </c>
      <c r="H2522" s="188">
        <v>59.886499999999998</v>
      </c>
      <c r="I2522" s="19">
        <f t="shared" si="87"/>
        <v>0</v>
      </c>
      <c r="L2522" s="131"/>
      <c r="M2522" s="131"/>
      <c r="N2522" s="131"/>
    </row>
    <row r="2523" spans="1:14" hidden="1">
      <c r="A2523" s="100" t="s">
        <v>862</v>
      </c>
      <c r="B2523" s="101" t="s">
        <v>4554</v>
      </c>
      <c r="C2523" s="99" t="s">
        <v>4555</v>
      </c>
      <c r="D2523" s="38"/>
      <c r="E2523" s="42">
        <v>1</v>
      </c>
      <c r="F2523" s="9"/>
      <c r="G2523" s="8">
        <f t="shared" si="86"/>
        <v>62.880825000000002</v>
      </c>
      <c r="H2523" s="188">
        <v>59.886499999999998</v>
      </c>
      <c r="I2523" s="19">
        <f t="shared" si="87"/>
        <v>0</v>
      </c>
      <c r="L2523" s="131"/>
      <c r="M2523" s="131"/>
      <c r="N2523" s="131"/>
    </row>
    <row r="2524" spans="1:14" hidden="1">
      <c r="A2524" s="100" t="s">
        <v>862</v>
      </c>
      <c r="B2524" s="101" t="s">
        <v>4556</v>
      </c>
      <c r="C2524" s="99" t="s">
        <v>4557</v>
      </c>
      <c r="D2524" s="38"/>
      <c r="E2524" s="42">
        <v>1</v>
      </c>
      <c r="F2524" s="9"/>
      <c r="G2524" s="8">
        <f t="shared" si="86"/>
        <v>7.3069499999999996</v>
      </c>
      <c r="H2524" s="188">
        <v>6.9589999999999996</v>
      </c>
      <c r="I2524" s="19">
        <f t="shared" si="87"/>
        <v>0</v>
      </c>
      <c r="L2524" s="131"/>
      <c r="M2524" s="131"/>
      <c r="N2524" s="131"/>
    </row>
    <row r="2525" spans="1:14" hidden="1">
      <c r="A2525" s="100" t="s">
        <v>862</v>
      </c>
      <c r="B2525" s="101" t="s">
        <v>4558</v>
      </c>
      <c r="C2525" s="99" t="s">
        <v>4559</v>
      </c>
      <c r="D2525" s="38"/>
      <c r="E2525" s="42">
        <v>1</v>
      </c>
      <c r="F2525" s="9"/>
      <c r="G2525" s="8">
        <f t="shared" si="86"/>
        <v>7.3069499999999996</v>
      </c>
      <c r="H2525" s="188">
        <v>6.9589999999999996</v>
      </c>
      <c r="I2525" s="19">
        <f t="shared" si="87"/>
        <v>0</v>
      </c>
      <c r="L2525" s="131"/>
      <c r="M2525" s="131"/>
      <c r="N2525" s="131"/>
    </row>
    <row r="2526" spans="1:14" hidden="1">
      <c r="A2526" s="100" t="s">
        <v>862</v>
      </c>
      <c r="B2526" s="101" t="s">
        <v>4560</v>
      </c>
      <c r="C2526" s="99" t="s">
        <v>4561</v>
      </c>
      <c r="D2526" s="38"/>
      <c r="E2526" s="42">
        <v>1</v>
      </c>
      <c r="F2526" s="9"/>
      <c r="G2526" s="8">
        <f t="shared" si="86"/>
        <v>4.9602000000000004</v>
      </c>
      <c r="H2526" s="188">
        <v>4.7240000000000002</v>
      </c>
      <c r="I2526" s="19">
        <f t="shared" si="87"/>
        <v>0</v>
      </c>
      <c r="L2526" s="131"/>
      <c r="M2526" s="131"/>
      <c r="N2526" s="131"/>
    </row>
    <row r="2527" spans="1:14" hidden="1">
      <c r="A2527" s="100" t="s">
        <v>862</v>
      </c>
      <c r="B2527" s="101" t="s">
        <v>4562</v>
      </c>
      <c r="C2527" s="99" t="s">
        <v>4563</v>
      </c>
      <c r="D2527" s="38"/>
      <c r="E2527" s="42">
        <v>1</v>
      </c>
      <c r="F2527" s="9"/>
      <c r="G2527" s="8">
        <f t="shared" si="86"/>
        <v>3.48495</v>
      </c>
      <c r="H2527" s="188">
        <v>3.319</v>
      </c>
      <c r="I2527" s="19">
        <f t="shared" si="87"/>
        <v>0</v>
      </c>
      <c r="L2527" s="131"/>
      <c r="M2527" s="131"/>
      <c r="N2527" s="131"/>
    </row>
    <row r="2528" spans="1:14" hidden="1">
      <c r="A2528" s="100" t="s">
        <v>862</v>
      </c>
      <c r="B2528" s="101" t="s">
        <v>4564</v>
      </c>
      <c r="C2528" s="99" t="s">
        <v>4565</v>
      </c>
      <c r="D2528" s="38"/>
      <c r="E2528" s="42">
        <v>1</v>
      </c>
      <c r="F2528" s="9"/>
      <c r="G2528" s="8">
        <f t="shared" si="86"/>
        <v>18.758775</v>
      </c>
      <c r="H2528" s="188">
        <v>17.865500000000001</v>
      </c>
      <c r="I2528" s="19">
        <f t="shared" si="87"/>
        <v>0</v>
      </c>
      <c r="L2528" s="131"/>
      <c r="M2528" s="131"/>
      <c r="N2528" s="131"/>
    </row>
    <row r="2529" spans="1:14" hidden="1">
      <c r="A2529" s="100" t="s">
        <v>862</v>
      </c>
      <c r="B2529" s="101" t="s">
        <v>4566</v>
      </c>
      <c r="C2529" s="99" t="s">
        <v>4567</v>
      </c>
      <c r="D2529" s="38"/>
      <c r="E2529" s="42">
        <v>1</v>
      </c>
      <c r="F2529" s="9"/>
      <c r="G2529" s="8">
        <f t="shared" si="86"/>
        <v>23.2134</v>
      </c>
      <c r="H2529" s="188">
        <v>22.108000000000001</v>
      </c>
      <c r="I2529" s="19">
        <f t="shared" si="87"/>
        <v>0</v>
      </c>
      <c r="L2529" s="131"/>
      <c r="M2529" s="131"/>
      <c r="N2529" s="131"/>
    </row>
    <row r="2530" spans="1:14" hidden="1">
      <c r="A2530" s="100" t="s">
        <v>862</v>
      </c>
      <c r="B2530" s="101" t="s">
        <v>4568</v>
      </c>
      <c r="C2530" s="99" t="s">
        <v>4569</v>
      </c>
      <c r="D2530" s="38"/>
      <c r="E2530" s="42">
        <v>1</v>
      </c>
      <c r="F2530" s="9"/>
      <c r="G2530" s="8">
        <f t="shared" si="86"/>
        <v>23.2134</v>
      </c>
      <c r="H2530" s="188">
        <v>22.108000000000001</v>
      </c>
      <c r="I2530" s="19">
        <f t="shared" si="87"/>
        <v>0</v>
      </c>
      <c r="L2530" s="131"/>
      <c r="M2530" s="131"/>
      <c r="N2530" s="131"/>
    </row>
    <row r="2531" spans="1:14" hidden="1">
      <c r="A2531" s="100" t="s">
        <v>862</v>
      </c>
      <c r="B2531" s="101" t="s">
        <v>4570</v>
      </c>
      <c r="C2531" s="99" t="s">
        <v>4571</v>
      </c>
      <c r="D2531" s="38"/>
      <c r="E2531" s="42">
        <v>1</v>
      </c>
      <c r="F2531" s="9"/>
      <c r="G2531" s="8">
        <f t="shared" si="86"/>
        <v>21.55545</v>
      </c>
      <c r="H2531" s="188">
        <v>20.529</v>
      </c>
      <c r="I2531" s="19">
        <f t="shared" si="87"/>
        <v>0</v>
      </c>
      <c r="L2531" s="131"/>
      <c r="M2531" s="131"/>
      <c r="N2531" s="131"/>
    </row>
    <row r="2532" spans="1:14" hidden="1">
      <c r="A2532" s="100" t="s">
        <v>862</v>
      </c>
      <c r="B2532" s="101" t="s">
        <v>4572</v>
      </c>
      <c r="C2532" s="99" t="s">
        <v>4573</v>
      </c>
      <c r="D2532" s="38"/>
      <c r="E2532" s="42">
        <v>1</v>
      </c>
      <c r="F2532" s="9"/>
      <c r="G2532" s="8">
        <f t="shared" si="86"/>
        <v>38.121825000000001</v>
      </c>
      <c r="H2532" s="188">
        <v>36.3065</v>
      </c>
      <c r="I2532" s="19">
        <f t="shared" si="87"/>
        <v>0</v>
      </c>
      <c r="L2532" s="131"/>
      <c r="M2532" s="131"/>
      <c r="N2532" s="131"/>
    </row>
    <row r="2533" spans="1:14" hidden="1">
      <c r="A2533" s="100" t="s">
        <v>862</v>
      </c>
      <c r="B2533" s="101" t="s">
        <v>4574</v>
      </c>
      <c r="C2533" s="99" t="s">
        <v>4575</v>
      </c>
      <c r="D2533" s="38"/>
      <c r="E2533" s="42">
        <v>1</v>
      </c>
      <c r="F2533" s="9"/>
      <c r="G2533" s="8">
        <f t="shared" ref="G2533:G2596" si="88">H2533+(H2533*5%)</f>
        <v>38.121825000000001</v>
      </c>
      <c r="H2533" s="188">
        <v>36.3065</v>
      </c>
      <c r="I2533" s="19">
        <f t="shared" si="87"/>
        <v>0</v>
      </c>
      <c r="L2533" s="131"/>
      <c r="M2533" s="131"/>
      <c r="N2533" s="131"/>
    </row>
    <row r="2534" spans="1:14" hidden="1">
      <c r="A2534" s="100" t="s">
        <v>862</v>
      </c>
      <c r="B2534" s="101" t="s">
        <v>4576</v>
      </c>
      <c r="C2534" s="99" t="s">
        <v>4577</v>
      </c>
      <c r="D2534" s="38"/>
      <c r="E2534" s="42">
        <v>1</v>
      </c>
      <c r="F2534" s="9"/>
      <c r="G2534" s="8">
        <f t="shared" si="88"/>
        <v>24.000375000000002</v>
      </c>
      <c r="H2534" s="188">
        <v>22.857500000000002</v>
      </c>
      <c r="I2534" s="19">
        <f t="shared" si="87"/>
        <v>0</v>
      </c>
      <c r="L2534" s="131"/>
      <c r="M2534" s="131"/>
      <c r="N2534" s="131"/>
    </row>
    <row r="2535" spans="1:14" hidden="1">
      <c r="A2535" s="100" t="s">
        <v>862</v>
      </c>
      <c r="B2535" s="101" t="s">
        <v>4578</v>
      </c>
      <c r="C2535" s="99" t="s">
        <v>4579</v>
      </c>
      <c r="D2535" s="38"/>
      <c r="E2535" s="42">
        <v>1</v>
      </c>
      <c r="F2535" s="9"/>
      <c r="G2535" s="8">
        <f t="shared" si="88"/>
        <v>1.1639250000000001</v>
      </c>
      <c r="H2535" s="188">
        <v>1.1085</v>
      </c>
      <c r="I2535" s="19">
        <f t="shared" ref="I2535:I2598" si="89">G2535*F2535</f>
        <v>0</v>
      </c>
      <c r="L2535" s="131"/>
      <c r="M2535" s="131"/>
      <c r="N2535" s="131"/>
    </row>
    <row r="2536" spans="1:14" hidden="1">
      <c r="A2536" s="100" t="s">
        <v>862</v>
      </c>
      <c r="B2536" s="101" t="s">
        <v>4580</v>
      </c>
      <c r="C2536" s="99" t="s">
        <v>4581</v>
      </c>
      <c r="D2536" s="38"/>
      <c r="E2536" s="42">
        <v>1</v>
      </c>
      <c r="F2536" s="9"/>
      <c r="G2536" s="8">
        <f t="shared" si="88"/>
        <v>1.6548</v>
      </c>
      <c r="H2536" s="188">
        <v>1.5760000000000001</v>
      </c>
      <c r="I2536" s="19">
        <f t="shared" si="89"/>
        <v>0</v>
      </c>
      <c r="L2536" s="131"/>
      <c r="M2536" s="131"/>
      <c r="N2536" s="131"/>
    </row>
    <row r="2537" spans="1:14" hidden="1">
      <c r="A2537" s="100" t="s">
        <v>862</v>
      </c>
      <c r="B2537" s="101" t="s">
        <v>4582</v>
      </c>
      <c r="C2537" s="99" t="s">
        <v>4583</v>
      </c>
      <c r="D2537" s="38" t="s">
        <v>945</v>
      </c>
      <c r="E2537" s="42">
        <v>1</v>
      </c>
      <c r="F2537" s="9"/>
      <c r="G2537" s="8">
        <f t="shared" si="88"/>
        <v>102.03375</v>
      </c>
      <c r="H2537" s="188">
        <v>97.174999999999997</v>
      </c>
      <c r="I2537" s="19">
        <f t="shared" si="89"/>
        <v>0</v>
      </c>
      <c r="L2537" s="131"/>
      <c r="M2537" s="131"/>
      <c r="N2537" s="131"/>
    </row>
    <row r="2538" spans="1:14" hidden="1">
      <c r="A2538" s="100" t="s">
        <v>862</v>
      </c>
      <c r="B2538" s="97" t="s">
        <v>4584</v>
      </c>
      <c r="C2538" s="98" t="s">
        <v>4585</v>
      </c>
      <c r="D2538" s="38" t="s">
        <v>945</v>
      </c>
      <c r="E2538" s="42">
        <v>1</v>
      </c>
      <c r="F2538" s="9"/>
      <c r="G2538" s="8">
        <f t="shared" si="88"/>
        <v>108.76950000000001</v>
      </c>
      <c r="H2538" s="188">
        <v>103.59</v>
      </c>
      <c r="I2538" s="19">
        <f t="shared" si="89"/>
        <v>0</v>
      </c>
      <c r="L2538" s="131"/>
      <c r="M2538" s="131"/>
      <c r="N2538" s="131"/>
    </row>
    <row r="2539" spans="1:14" hidden="1">
      <c r="A2539" s="100" t="s">
        <v>862</v>
      </c>
      <c r="B2539" s="101" t="s">
        <v>4586</v>
      </c>
      <c r="C2539" s="99" t="s">
        <v>4587</v>
      </c>
      <c r="D2539" s="38"/>
      <c r="E2539" s="42">
        <v>1</v>
      </c>
      <c r="F2539" s="9"/>
      <c r="G2539" s="8">
        <f t="shared" si="88"/>
        <v>42.857324999999996</v>
      </c>
      <c r="H2539" s="188">
        <v>40.816499999999998</v>
      </c>
      <c r="I2539" s="19">
        <f t="shared" si="89"/>
        <v>0</v>
      </c>
      <c r="L2539" s="131"/>
      <c r="M2539" s="131"/>
      <c r="N2539" s="131"/>
    </row>
    <row r="2540" spans="1:14" hidden="1">
      <c r="A2540" s="100" t="s">
        <v>862</v>
      </c>
      <c r="B2540" s="101" t="s">
        <v>4588</v>
      </c>
      <c r="C2540" s="99" t="s">
        <v>4589</v>
      </c>
      <c r="D2540" s="38"/>
      <c r="E2540" s="42">
        <v>1</v>
      </c>
      <c r="F2540" s="9"/>
      <c r="G2540" s="8">
        <f t="shared" si="88"/>
        <v>42.857324999999996</v>
      </c>
      <c r="H2540" s="188">
        <v>40.816499999999998</v>
      </c>
      <c r="I2540" s="19">
        <f t="shared" si="89"/>
        <v>0</v>
      </c>
      <c r="L2540" s="131"/>
      <c r="M2540" s="131"/>
      <c r="N2540" s="131"/>
    </row>
    <row r="2541" spans="1:14" hidden="1">
      <c r="A2541" s="100" t="s">
        <v>862</v>
      </c>
      <c r="B2541" s="101" t="s">
        <v>4590</v>
      </c>
      <c r="C2541" s="99" t="s">
        <v>4591</v>
      </c>
      <c r="D2541" s="38"/>
      <c r="E2541" s="42">
        <v>1</v>
      </c>
      <c r="F2541" s="9"/>
      <c r="G2541" s="8">
        <f t="shared" si="88"/>
        <v>0.170625</v>
      </c>
      <c r="H2541" s="188">
        <v>0.16250000000000001</v>
      </c>
      <c r="I2541" s="19">
        <f t="shared" si="89"/>
        <v>0</v>
      </c>
      <c r="L2541" s="131"/>
      <c r="M2541" s="131"/>
      <c r="N2541" s="131"/>
    </row>
    <row r="2542" spans="1:14" hidden="1">
      <c r="A2542" s="100" t="s">
        <v>862</v>
      </c>
      <c r="B2542" s="101" t="s">
        <v>4592</v>
      </c>
      <c r="C2542" s="99" t="s">
        <v>4593</v>
      </c>
      <c r="D2542" s="38"/>
      <c r="E2542" s="42">
        <v>1</v>
      </c>
      <c r="F2542" s="9"/>
      <c r="G2542" s="8">
        <f t="shared" si="88"/>
        <v>806.92499999999995</v>
      </c>
      <c r="H2542" s="188">
        <v>768.5</v>
      </c>
      <c r="I2542" s="19">
        <f t="shared" si="89"/>
        <v>0</v>
      </c>
      <c r="L2542" s="131"/>
      <c r="M2542" s="131"/>
      <c r="N2542" s="131"/>
    </row>
    <row r="2543" spans="1:14" hidden="1">
      <c r="A2543" s="100" t="s">
        <v>862</v>
      </c>
      <c r="B2543" s="101" t="s">
        <v>4594</v>
      </c>
      <c r="C2543" s="99" t="s">
        <v>4595</v>
      </c>
      <c r="D2543" s="38"/>
      <c r="E2543" s="42">
        <v>1</v>
      </c>
      <c r="F2543" s="9"/>
      <c r="G2543" s="8">
        <f t="shared" si="88"/>
        <v>1043.4375</v>
      </c>
      <c r="H2543" s="188">
        <v>993.75</v>
      </c>
      <c r="I2543" s="19">
        <f t="shared" si="89"/>
        <v>0</v>
      </c>
      <c r="L2543" s="131"/>
      <c r="M2543" s="131"/>
      <c r="N2543" s="131"/>
    </row>
    <row r="2544" spans="1:14" hidden="1">
      <c r="A2544" s="100" t="s">
        <v>862</v>
      </c>
      <c r="B2544" s="101" t="s">
        <v>4596</v>
      </c>
      <c r="C2544" s="99" t="s">
        <v>4597</v>
      </c>
      <c r="D2544" s="38"/>
      <c r="E2544" s="42">
        <v>1</v>
      </c>
      <c r="F2544" s="9"/>
      <c r="G2544" s="8">
        <f t="shared" si="88"/>
        <v>21.91245</v>
      </c>
      <c r="H2544" s="188">
        <v>20.869</v>
      </c>
      <c r="I2544" s="19">
        <f t="shared" si="89"/>
        <v>0</v>
      </c>
      <c r="L2544" s="131"/>
      <c r="M2544" s="131"/>
      <c r="N2544" s="131"/>
    </row>
    <row r="2545" spans="1:14" hidden="1">
      <c r="A2545" s="100" t="s">
        <v>862</v>
      </c>
      <c r="B2545" s="101" t="s">
        <v>4598</v>
      </c>
      <c r="C2545" s="99" t="s">
        <v>4599</v>
      </c>
      <c r="D2545" s="38"/>
      <c r="E2545" s="42">
        <v>1</v>
      </c>
      <c r="F2545" s="9"/>
      <c r="G2545" s="8">
        <f t="shared" si="88"/>
        <v>1530.375</v>
      </c>
      <c r="H2545" s="188">
        <v>1457.5</v>
      </c>
      <c r="I2545" s="19">
        <f t="shared" si="89"/>
        <v>0</v>
      </c>
      <c r="L2545" s="131"/>
      <c r="M2545" s="131"/>
      <c r="N2545" s="131"/>
    </row>
    <row r="2546" spans="1:14" hidden="1">
      <c r="A2546" s="100" t="s">
        <v>862</v>
      </c>
      <c r="B2546" s="101" t="s">
        <v>4600</v>
      </c>
      <c r="C2546" s="99" t="s">
        <v>4601</v>
      </c>
      <c r="D2546" s="38"/>
      <c r="E2546" s="42">
        <v>1</v>
      </c>
      <c r="F2546" s="9"/>
      <c r="G2546" s="8">
        <f t="shared" si="88"/>
        <v>495.50812500000001</v>
      </c>
      <c r="H2546" s="188">
        <v>471.91250000000002</v>
      </c>
      <c r="I2546" s="19">
        <f t="shared" si="89"/>
        <v>0</v>
      </c>
      <c r="L2546" s="131"/>
      <c r="M2546" s="131"/>
      <c r="N2546" s="131"/>
    </row>
    <row r="2547" spans="1:14" hidden="1">
      <c r="A2547" s="100" t="s">
        <v>862</v>
      </c>
      <c r="B2547" s="101" t="s">
        <v>4602</v>
      </c>
      <c r="C2547" s="99" t="s">
        <v>4603</v>
      </c>
      <c r="D2547" s="38"/>
      <c r="E2547" s="42">
        <v>1</v>
      </c>
      <c r="F2547" s="9"/>
      <c r="G2547" s="8">
        <f t="shared" si="88"/>
        <v>495.91395</v>
      </c>
      <c r="H2547" s="188">
        <v>472.29899999999998</v>
      </c>
      <c r="I2547" s="19">
        <f t="shared" si="89"/>
        <v>0</v>
      </c>
      <c r="L2547" s="131"/>
      <c r="M2547" s="131"/>
      <c r="N2547" s="131"/>
    </row>
    <row r="2548" spans="1:14" hidden="1">
      <c r="A2548" s="100" t="s">
        <v>862</v>
      </c>
      <c r="B2548" s="101" t="s">
        <v>4604</v>
      </c>
      <c r="C2548" s="99" t="s">
        <v>4605</v>
      </c>
      <c r="D2548" s="38"/>
      <c r="E2548" s="42">
        <v>1</v>
      </c>
      <c r="F2548" s="9"/>
      <c r="G2548" s="8">
        <f t="shared" si="88"/>
        <v>459.41595000000001</v>
      </c>
      <c r="H2548" s="188">
        <v>437.53899999999999</v>
      </c>
      <c r="I2548" s="19">
        <f t="shared" si="89"/>
        <v>0</v>
      </c>
      <c r="L2548" s="131"/>
      <c r="M2548" s="131"/>
      <c r="N2548" s="131"/>
    </row>
    <row r="2549" spans="1:14" hidden="1">
      <c r="A2549" s="100" t="s">
        <v>862</v>
      </c>
      <c r="B2549" s="101" t="s">
        <v>4606</v>
      </c>
      <c r="C2549" s="99" t="s">
        <v>4607</v>
      </c>
      <c r="D2549" s="38"/>
      <c r="E2549" s="42">
        <v>1</v>
      </c>
      <c r="F2549" s="9"/>
      <c r="G2549" s="8">
        <f t="shared" si="88"/>
        <v>559.79962499999999</v>
      </c>
      <c r="H2549" s="188">
        <v>533.14250000000004</v>
      </c>
      <c r="I2549" s="19">
        <f t="shared" si="89"/>
        <v>0</v>
      </c>
      <c r="L2549" s="131"/>
      <c r="M2549" s="131"/>
      <c r="N2549" s="131"/>
    </row>
    <row r="2550" spans="1:14" hidden="1">
      <c r="A2550" s="100" t="s">
        <v>862</v>
      </c>
      <c r="B2550" s="101" t="s">
        <v>4608</v>
      </c>
      <c r="C2550" s="99" t="s">
        <v>4609</v>
      </c>
      <c r="D2550" s="38"/>
      <c r="E2550" s="42">
        <v>1</v>
      </c>
      <c r="F2550" s="9"/>
      <c r="G2550" s="8">
        <f t="shared" si="88"/>
        <v>523.28324999999995</v>
      </c>
      <c r="H2550" s="188">
        <v>498.36500000000001</v>
      </c>
      <c r="I2550" s="19">
        <f t="shared" si="89"/>
        <v>0</v>
      </c>
      <c r="L2550" s="131"/>
      <c r="M2550" s="131"/>
      <c r="N2550" s="131"/>
    </row>
    <row r="2551" spans="1:14" hidden="1">
      <c r="A2551" s="100" t="s">
        <v>862</v>
      </c>
      <c r="B2551" s="101" t="s">
        <v>4610</v>
      </c>
      <c r="C2551" s="99" t="s">
        <v>4611</v>
      </c>
      <c r="D2551" s="38"/>
      <c r="E2551" s="42">
        <v>1</v>
      </c>
      <c r="F2551" s="9"/>
      <c r="G2551" s="8">
        <f t="shared" si="88"/>
        <v>30.221625</v>
      </c>
      <c r="H2551" s="188">
        <v>28.782499999999999</v>
      </c>
      <c r="I2551" s="19">
        <f t="shared" si="89"/>
        <v>0</v>
      </c>
      <c r="L2551" s="131"/>
      <c r="M2551" s="131"/>
      <c r="N2551" s="131"/>
    </row>
    <row r="2552" spans="1:14" hidden="1">
      <c r="A2552" s="100" t="s">
        <v>862</v>
      </c>
      <c r="B2552" s="101" t="s">
        <v>4612</v>
      </c>
      <c r="C2552" s="99" t="s">
        <v>4613</v>
      </c>
      <c r="D2552" s="38"/>
      <c r="E2552" s="42">
        <v>1</v>
      </c>
      <c r="F2552" s="9"/>
      <c r="G2552" s="8">
        <f t="shared" si="88"/>
        <v>40.32</v>
      </c>
      <c r="H2552" s="188">
        <v>38.4</v>
      </c>
      <c r="I2552" s="19">
        <f t="shared" si="89"/>
        <v>0</v>
      </c>
      <c r="L2552" s="131"/>
      <c r="M2552" s="131"/>
      <c r="N2552" s="131"/>
    </row>
    <row r="2553" spans="1:14" hidden="1">
      <c r="A2553" s="100" t="s">
        <v>862</v>
      </c>
      <c r="B2553" s="101" t="s">
        <v>4614</v>
      </c>
      <c r="C2553" s="99" t="s">
        <v>4615</v>
      </c>
      <c r="D2553" s="38"/>
      <c r="E2553" s="42">
        <v>1</v>
      </c>
      <c r="F2553" s="9"/>
      <c r="G2553" s="8">
        <f t="shared" si="88"/>
        <v>50.459325</v>
      </c>
      <c r="H2553" s="188">
        <v>48.0565</v>
      </c>
      <c r="I2553" s="19">
        <f t="shared" si="89"/>
        <v>0</v>
      </c>
      <c r="L2553" s="131"/>
      <c r="M2553" s="131"/>
      <c r="N2553" s="131"/>
    </row>
    <row r="2554" spans="1:14" hidden="1">
      <c r="A2554" s="100" t="s">
        <v>862</v>
      </c>
      <c r="B2554" s="101" t="s">
        <v>4616</v>
      </c>
      <c r="C2554" s="99" t="s">
        <v>4617</v>
      </c>
      <c r="D2554" s="38"/>
      <c r="E2554" s="42">
        <v>1</v>
      </c>
      <c r="F2554" s="9"/>
      <c r="G2554" s="8">
        <f t="shared" si="88"/>
        <v>60.599699999999999</v>
      </c>
      <c r="H2554" s="188">
        <v>57.713999999999999</v>
      </c>
      <c r="I2554" s="19">
        <f t="shared" si="89"/>
        <v>0</v>
      </c>
      <c r="L2554" s="131"/>
      <c r="M2554" s="131"/>
      <c r="N2554" s="131"/>
    </row>
    <row r="2555" spans="1:14" hidden="1">
      <c r="A2555" s="100" t="s">
        <v>862</v>
      </c>
      <c r="B2555" s="101" t="s">
        <v>4618</v>
      </c>
      <c r="C2555" s="99" t="s">
        <v>4619</v>
      </c>
      <c r="D2555" s="38"/>
      <c r="E2555" s="42">
        <v>1</v>
      </c>
      <c r="F2555" s="9"/>
      <c r="G2555" s="8">
        <f t="shared" si="88"/>
        <v>70.948499999999996</v>
      </c>
      <c r="H2555" s="188">
        <v>67.569999999999993</v>
      </c>
      <c r="I2555" s="19">
        <f t="shared" si="89"/>
        <v>0</v>
      </c>
      <c r="L2555" s="131"/>
      <c r="M2555" s="131"/>
      <c r="N2555" s="131"/>
    </row>
    <row r="2556" spans="1:14" hidden="1">
      <c r="A2556" s="100" t="s">
        <v>862</v>
      </c>
      <c r="B2556" s="101" t="s">
        <v>4620</v>
      </c>
      <c r="C2556" s="99" t="s">
        <v>4621</v>
      </c>
      <c r="D2556" s="38"/>
      <c r="E2556" s="42">
        <v>1</v>
      </c>
      <c r="F2556" s="9"/>
      <c r="G2556" s="8">
        <f t="shared" si="88"/>
        <v>81.088875000000002</v>
      </c>
      <c r="H2556" s="188">
        <v>77.227500000000006</v>
      </c>
      <c r="I2556" s="19">
        <f t="shared" si="89"/>
        <v>0</v>
      </c>
      <c r="L2556" s="131"/>
      <c r="M2556" s="131"/>
      <c r="N2556" s="131"/>
    </row>
    <row r="2557" spans="1:14" hidden="1">
      <c r="A2557" s="100" t="s">
        <v>862</v>
      </c>
      <c r="B2557" s="101" t="s">
        <v>4622</v>
      </c>
      <c r="C2557" s="99" t="s">
        <v>4623</v>
      </c>
      <c r="D2557" s="38"/>
      <c r="E2557" s="42">
        <v>1</v>
      </c>
      <c r="F2557" s="9"/>
      <c r="G2557" s="8">
        <f t="shared" si="88"/>
        <v>91.242374999999996</v>
      </c>
      <c r="H2557" s="188">
        <v>86.897499999999994</v>
      </c>
      <c r="I2557" s="19">
        <f t="shared" si="89"/>
        <v>0</v>
      </c>
      <c r="L2557" s="131"/>
      <c r="M2557" s="131"/>
      <c r="N2557" s="131"/>
    </row>
    <row r="2558" spans="1:14" hidden="1">
      <c r="A2558" s="100" t="s">
        <v>862</v>
      </c>
      <c r="B2558" s="101" t="s">
        <v>4624</v>
      </c>
      <c r="C2558" s="99" t="s">
        <v>4625</v>
      </c>
      <c r="D2558" s="38"/>
      <c r="E2558" s="42">
        <v>1</v>
      </c>
      <c r="F2558" s="9"/>
      <c r="G2558" s="8">
        <f t="shared" si="88"/>
        <v>41.668199999999999</v>
      </c>
      <c r="H2558" s="188">
        <v>39.683999999999997</v>
      </c>
      <c r="I2558" s="19">
        <f t="shared" si="89"/>
        <v>0</v>
      </c>
      <c r="L2558" s="131"/>
      <c r="M2558" s="131"/>
      <c r="N2558" s="131"/>
    </row>
    <row r="2559" spans="1:14" hidden="1">
      <c r="A2559" s="100" t="s">
        <v>862</v>
      </c>
      <c r="B2559" s="101" t="s">
        <v>4626</v>
      </c>
      <c r="C2559" s="99" t="s">
        <v>4627</v>
      </c>
      <c r="D2559" s="38"/>
      <c r="E2559" s="42">
        <v>1</v>
      </c>
      <c r="F2559" s="9"/>
      <c r="G2559" s="8">
        <f t="shared" si="88"/>
        <v>51.807000000000002</v>
      </c>
      <c r="H2559" s="188">
        <v>49.34</v>
      </c>
      <c r="I2559" s="19">
        <f t="shared" si="89"/>
        <v>0</v>
      </c>
      <c r="L2559" s="131"/>
      <c r="M2559" s="131"/>
      <c r="N2559" s="131"/>
    </row>
    <row r="2560" spans="1:14" hidden="1">
      <c r="A2560" s="100" t="s">
        <v>862</v>
      </c>
      <c r="B2560" s="101" t="s">
        <v>4628</v>
      </c>
      <c r="C2560" s="99" t="s">
        <v>4629</v>
      </c>
      <c r="D2560" s="38"/>
      <c r="E2560" s="42">
        <v>1</v>
      </c>
      <c r="F2560" s="9"/>
      <c r="G2560" s="8">
        <f t="shared" si="88"/>
        <v>61.947375000000001</v>
      </c>
      <c r="H2560" s="188">
        <v>58.997500000000002</v>
      </c>
      <c r="I2560" s="19">
        <f t="shared" si="89"/>
        <v>0</v>
      </c>
      <c r="L2560" s="131"/>
      <c r="M2560" s="131"/>
      <c r="N2560" s="131"/>
    </row>
    <row r="2561" spans="1:14" hidden="1">
      <c r="A2561" s="100" t="s">
        <v>862</v>
      </c>
      <c r="B2561" s="101" t="s">
        <v>4630</v>
      </c>
      <c r="C2561" s="99" t="s">
        <v>4631</v>
      </c>
      <c r="D2561" s="38"/>
      <c r="E2561" s="42">
        <v>1</v>
      </c>
      <c r="F2561" s="9"/>
      <c r="G2561" s="8">
        <f t="shared" si="88"/>
        <v>72.297750000000008</v>
      </c>
      <c r="H2561" s="188">
        <v>68.855000000000004</v>
      </c>
      <c r="I2561" s="19">
        <f t="shared" si="89"/>
        <v>0</v>
      </c>
      <c r="L2561" s="131"/>
      <c r="M2561" s="131"/>
      <c r="N2561" s="131"/>
    </row>
    <row r="2562" spans="1:14" hidden="1">
      <c r="A2562" s="100" t="s">
        <v>862</v>
      </c>
      <c r="B2562" s="101" t="s">
        <v>4632</v>
      </c>
      <c r="C2562" s="99" t="s">
        <v>4633</v>
      </c>
      <c r="D2562" s="38"/>
      <c r="E2562" s="42">
        <v>1</v>
      </c>
      <c r="F2562" s="9"/>
      <c r="G2562" s="8">
        <f t="shared" si="88"/>
        <v>82.437074999999993</v>
      </c>
      <c r="H2562" s="188">
        <v>78.511499999999998</v>
      </c>
      <c r="I2562" s="19">
        <f t="shared" si="89"/>
        <v>0</v>
      </c>
      <c r="L2562" s="131"/>
      <c r="M2562" s="131"/>
      <c r="N2562" s="131"/>
    </row>
    <row r="2563" spans="1:14" hidden="1">
      <c r="A2563" s="100" t="s">
        <v>862</v>
      </c>
      <c r="B2563" s="101" t="s">
        <v>4634</v>
      </c>
      <c r="C2563" s="99" t="s">
        <v>4635</v>
      </c>
      <c r="D2563" s="38"/>
      <c r="E2563" s="42">
        <v>1</v>
      </c>
      <c r="F2563" s="9"/>
      <c r="G2563" s="8">
        <f t="shared" si="88"/>
        <v>92.590575000000001</v>
      </c>
      <c r="H2563" s="188">
        <v>88.1815</v>
      </c>
      <c r="I2563" s="19">
        <f t="shared" si="89"/>
        <v>0</v>
      </c>
      <c r="L2563" s="131"/>
      <c r="M2563" s="131"/>
      <c r="N2563" s="131"/>
    </row>
    <row r="2564" spans="1:14" hidden="1">
      <c r="A2564" s="100" t="s">
        <v>862</v>
      </c>
      <c r="B2564" s="101" t="s">
        <v>4636</v>
      </c>
      <c r="C2564" s="99" t="s">
        <v>4637</v>
      </c>
      <c r="D2564" s="38"/>
      <c r="E2564" s="42">
        <v>1</v>
      </c>
      <c r="F2564" s="9"/>
      <c r="G2564" s="8">
        <f t="shared" si="88"/>
        <v>17.314499999999999</v>
      </c>
      <c r="H2564" s="188">
        <v>16.489999999999998</v>
      </c>
      <c r="I2564" s="19">
        <f t="shared" si="89"/>
        <v>0</v>
      </c>
      <c r="L2564" s="131"/>
      <c r="M2564" s="131"/>
      <c r="N2564" s="131"/>
    </row>
    <row r="2565" spans="1:14" hidden="1">
      <c r="A2565" s="100" t="s">
        <v>862</v>
      </c>
      <c r="B2565" s="101" t="s">
        <v>4638</v>
      </c>
      <c r="C2565" s="99" t="s">
        <v>4639</v>
      </c>
      <c r="D2565" s="38"/>
      <c r="E2565" s="42">
        <v>1</v>
      </c>
      <c r="F2565" s="9"/>
      <c r="G2565" s="8">
        <f t="shared" si="88"/>
        <v>51.17595</v>
      </c>
      <c r="H2565" s="188">
        <v>48.738999999999997</v>
      </c>
      <c r="I2565" s="19">
        <f t="shared" si="89"/>
        <v>0</v>
      </c>
      <c r="L2565" s="131"/>
      <c r="M2565" s="131"/>
      <c r="N2565" s="131"/>
    </row>
    <row r="2566" spans="1:14" hidden="1">
      <c r="A2566" s="100" t="s">
        <v>862</v>
      </c>
      <c r="B2566" s="101" t="s">
        <v>4640</v>
      </c>
      <c r="C2566" s="99" t="s">
        <v>4641</v>
      </c>
      <c r="D2566" s="38"/>
      <c r="E2566" s="42">
        <v>1</v>
      </c>
      <c r="F2566" s="9"/>
      <c r="G2566" s="8">
        <f t="shared" si="88"/>
        <v>71.679824999999994</v>
      </c>
      <c r="H2566" s="188">
        <v>68.266499999999994</v>
      </c>
      <c r="I2566" s="19">
        <f t="shared" si="89"/>
        <v>0</v>
      </c>
      <c r="L2566" s="131"/>
      <c r="M2566" s="131"/>
      <c r="N2566" s="131"/>
    </row>
    <row r="2567" spans="1:14" hidden="1">
      <c r="A2567" s="100" t="s">
        <v>862</v>
      </c>
      <c r="B2567" s="101" t="s">
        <v>4642</v>
      </c>
      <c r="C2567" s="99" t="s">
        <v>4643</v>
      </c>
      <c r="D2567" s="38"/>
      <c r="E2567" s="42">
        <v>1</v>
      </c>
      <c r="F2567" s="9"/>
      <c r="G2567" s="8">
        <f t="shared" si="88"/>
        <v>94.078950000000006</v>
      </c>
      <c r="H2567" s="188">
        <v>89.599000000000004</v>
      </c>
      <c r="I2567" s="19">
        <f t="shared" si="89"/>
        <v>0</v>
      </c>
      <c r="L2567" s="131"/>
      <c r="M2567" s="131"/>
      <c r="N2567" s="131"/>
    </row>
    <row r="2568" spans="1:14" hidden="1">
      <c r="A2568" s="100" t="s">
        <v>862</v>
      </c>
      <c r="B2568" s="101" t="s">
        <v>4644</v>
      </c>
      <c r="C2568" s="99" t="s">
        <v>4645</v>
      </c>
      <c r="D2568" s="38"/>
      <c r="E2568" s="42">
        <v>1</v>
      </c>
      <c r="F2568" s="9"/>
      <c r="G2568" s="8">
        <f t="shared" si="88"/>
        <v>23.580375</v>
      </c>
      <c r="H2568" s="188">
        <v>22.4575</v>
      </c>
      <c r="I2568" s="19">
        <f t="shared" si="89"/>
        <v>0</v>
      </c>
      <c r="L2568" s="131"/>
      <c r="M2568" s="131"/>
      <c r="N2568" s="131"/>
    </row>
    <row r="2569" spans="1:14" hidden="1">
      <c r="A2569" s="100" t="s">
        <v>862</v>
      </c>
      <c r="B2569" s="101" t="s">
        <v>4646</v>
      </c>
      <c r="C2569" s="99" t="s">
        <v>4647</v>
      </c>
      <c r="D2569" s="38"/>
      <c r="E2569" s="42">
        <v>1</v>
      </c>
      <c r="F2569" s="9"/>
      <c r="G2569" s="8">
        <f t="shared" si="88"/>
        <v>31.809750000000001</v>
      </c>
      <c r="H2569" s="188">
        <v>30.295000000000002</v>
      </c>
      <c r="I2569" s="19">
        <f t="shared" si="89"/>
        <v>0</v>
      </c>
      <c r="L2569" s="131"/>
      <c r="M2569" s="131"/>
      <c r="N2569" s="131"/>
    </row>
    <row r="2570" spans="1:14" hidden="1">
      <c r="A2570" s="100" t="s">
        <v>862</v>
      </c>
      <c r="B2570" s="101" t="s">
        <v>4648</v>
      </c>
      <c r="C2570" s="99" t="s">
        <v>4649</v>
      </c>
      <c r="D2570" s="38"/>
      <c r="E2570" s="42">
        <v>1</v>
      </c>
      <c r="F2570" s="9"/>
      <c r="G2570" s="8">
        <f t="shared" si="88"/>
        <v>51.680999999999997</v>
      </c>
      <c r="H2570" s="188">
        <v>49.22</v>
      </c>
      <c r="I2570" s="19">
        <f t="shared" si="89"/>
        <v>0</v>
      </c>
      <c r="L2570" s="131"/>
      <c r="M2570" s="131"/>
      <c r="N2570" s="131"/>
    </row>
    <row r="2571" spans="1:14" hidden="1">
      <c r="A2571" s="100" t="s">
        <v>862</v>
      </c>
      <c r="B2571" s="101" t="s">
        <v>4650</v>
      </c>
      <c r="C2571" s="99" t="s">
        <v>4651</v>
      </c>
      <c r="D2571" s="38"/>
      <c r="E2571" s="42">
        <v>1</v>
      </c>
      <c r="F2571" s="9"/>
      <c r="G2571" s="8">
        <f t="shared" si="88"/>
        <v>17.314499999999999</v>
      </c>
      <c r="H2571" s="188">
        <v>16.489999999999998</v>
      </c>
      <c r="I2571" s="19">
        <f t="shared" si="89"/>
        <v>0</v>
      </c>
      <c r="L2571" s="131"/>
      <c r="M2571" s="131"/>
      <c r="N2571" s="131"/>
    </row>
    <row r="2572" spans="1:14" hidden="1">
      <c r="A2572" s="100" t="s">
        <v>862</v>
      </c>
      <c r="B2572" s="101" t="s">
        <v>4652</v>
      </c>
      <c r="C2572" s="99" t="s">
        <v>4653</v>
      </c>
      <c r="D2572" s="38"/>
      <c r="E2572" s="42">
        <v>1</v>
      </c>
      <c r="F2572" s="9"/>
      <c r="G2572" s="8">
        <f t="shared" si="88"/>
        <v>23.580375</v>
      </c>
      <c r="H2572" s="188">
        <v>22.4575</v>
      </c>
      <c r="I2572" s="19">
        <f t="shared" si="89"/>
        <v>0</v>
      </c>
      <c r="L2572" s="131"/>
      <c r="M2572" s="131"/>
      <c r="N2572" s="131"/>
    </row>
    <row r="2573" spans="1:14" hidden="1">
      <c r="A2573" s="100" t="s">
        <v>862</v>
      </c>
      <c r="B2573" s="101" t="s">
        <v>4654</v>
      </c>
      <c r="C2573" s="99" t="s">
        <v>4655</v>
      </c>
      <c r="D2573" s="38"/>
      <c r="E2573" s="42">
        <v>1</v>
      </c>
      <c r="F2573" s="9"/>
      <c r="G2573" s="8">
        <f t="shared" si="88"/>
        <v>1.3623750000000001</v>
      </c>
      <c r="H2573" s="188">
        <v>1.2975000000000001</v>
      </c>
      <c r="I2573" s="19">
        <f t="shared" si="89"/>
        <v>0</v>
      </c>
      <c r="L2573" s="131"/>
      <c r="M2573" s="131"/>
      <c r="N2573" s="131"/>
    </row>
    <row r="2574" spans="1:14" hidden="1">
      <c r="A2574" s="100" t="s">
        <v>862</v>
      </c>
      <c r="B2574" s="101" t="s">
        <v>4656</v>
      </c>
      <c r="C2574" s="99" t="s">
        <v>4657</v>
      </c>
      <c r="D2574" s="38"/>
      <c r="E2574" s="42">
        <v>1</v>
      </c>
      <c r="F2574" s="9"/>
      <c r="G2574" s="8">
        <f t="shared" si="88"/>
        <v>5.6805000000000003</v>
      </c>
      <c r="H2574" s="188">
        <v>5.41</v>
      </c>
      <c r="I2574" s="19">
        <f t="shared" si="89"/>
        <v>0</v>
      </c>
      <c r="L2574" s="131"/>
      <c r="M2574" s="131"/>
      <c r="N2574" s="131"/>
    </row>
    <row r="2575" spans="1:14" hidden="1">
      <c r="A2575" s="100" t="s">
        <v>862</v>
      </c>
      <c r="B2575" s="101" t="s">
        <v>4658</v>
      </c>
      <c r="C2575" s="99" t="s">
        <v>4659</v>
      </c>
      <c r="D2575" s="38"/>
      <c r="E2575" s="42">
        <v>1</v>
      </c>
      <c r="F2575" s="9"/>
      <c r="G2575" s="8">
        <f t="shared" si="88"/>
        <v>6.4170750000000005</v>
      </c>
      <c r="H2575" s="188">
        <v>6.1115000000000004</v>
      </c>
      <c r="I2575" s="19">
        <f t="shared" si="89"/>
        <v>0</v>
      </c>
      <c r="L2575" s="131"/>
      <c r="M2575" s="131"/>
      <c r="N2575" s="131"/>
    </row>
    <row r="2576" spans="1:14" hidden="1">
      <c r="A2576" s="100" t="s">
        <v>862</v>
      </c>
      <c r="B2576" s="101" t="s">
        <v>4660</v>
      </c>
      <c r="C2576" s="99" t="s">
        <v>4661</v>
      </c>
      <c r="D2576" s="38"/>
      <c r="E2576" s="42">
        <v>1</v>
      </c>
      <c r="F2576" s="9"/>
      <c r="G2576" s="8">
        <f t="shared" si="88"/>
        <v>28.0182</v>
      </c>
      <c r="H2576" s="188">
        <v>26.684000000000001</v>
      </c>
      <c r="I2576" s="19">
        <f t="shared" si="89"/>
        <v>0</v>
      </c>
      <c r="L2576" s="131"/>
      <c r="M2576" s="131"/>
      <c r="N2576" s="131"/>
    </row>
    <row r="2577" spans="1:14" hidden="1">
      <c r="A2577" s="100" t="s">
        <v>862</v>
      </c>
      <c r="B2577" s="101" t="s">
        <v>4662</v>
      </c>
      <c r="C2577" s="99" t="s">
        <v>4663</v>
      </c>
      <c r="D2577" s="38"/>
      <c r="E2577" s="42">
        <v>1</v>
      </c>
      <c r="F2577" s="9"/>
      <c r="G2577" s="8">
        <f t="shared" si="88"/>
        <v>91.266000000000005</v>
      </c>
      <c r="H2577" s="188">
        <v>86.92</v>
      </c>
      <c r="I2577" s="19">
        <f t="shared" si="89"/>
        <v>0</v>
      </c>
      <c r="L2577" s="131"/>
      <c r="M2577" s="131"/>
      <c r="N2577" s="131"/>
    </row>
    <row r="2578" spans="1:14" hidden="1">
      <c r="A2578" s="100" t="s">
        <v>862</v>
      </c>
      <c r="B2578" s="101" t="s">
        <v>4664</v>
      </c>
      <c r="C2578" s="99" t="s">
        <v>4665</v>
      </c>
      <c r="D2578" s="38"/>
      <c r="E2578" s="42">
        <v>1</v>
      </c>
      <c r="F2578" s="9"/>
      <c r="G2578" s="8">
        <f t="shared" si="88"/>
        <v>86.188200000000009</v>
      </c>
      <c r="H2578" s="188">
        <v>82.084000000000003</v>
      </c>
      <c r="I2578" s="19">
        <f t="shared" si="89"/>
        <v>0</v>
      </c>
      <c r="L2578" s="131"/>
      <c r="M2578" s="131"/>
      <c r="N2578" s="131"/>
    </row>
    <row r="2579" spans="1:14" hidden="1">
      <c r="A2579" s="100" t="s">
        <v>862</v>
      </c>
      <c r="B2579" s="101" t="s">
        <v>4666</v>
      </c>
      <c r="C2579" s="99" t="s">
        <v>4667</v>
      </c>
      <c r="D2579" s="38"/>
      <c r="E2579" s="42">
        <v>1</v>
      </c>
      <c r="F2579" s="9"/>
      <c r="G2579" s="8">
        <f t="shared" si="88"/>
        <v>44.353574999999999</v>
      </c>
      <c r="H2579" s="188">
        <v>42.241500000000002</v>
      </c>
      <c r="I2579" s="19">
        <f t="shared" si="89"/>
        <v>0</v>
      </c>
      <c r="L2579" s="131"/>
      <c r="M2579" s="131"/>
      <c r="N2579" s="131"/>
    </row>
    <row r="2580" spans="1:14" hidden="1">
      <c r="A2580" s="100" t="s">
        <v>862</v>
      </c>
      <c r="B2580" s="101" t="s">
        <v>4668</v>
      </c>
      <c r="C2580" s="99" t="s">
        <v>4669</v>
      </c>
      <c r="D2580" s="38"/>
      <c r="E2580" s="42">
        <v>1</v>
      </c>
      <c r="F2580" s="9"/>
      <c r="G2580" s="8">
        <f t="shared" si="88"/>
        <v>46.425750000000001</v>
      </c>
      <c r="H2580" s="188">
        <v>44.215000000000003</v>
      </c>
      <c r="I2580" s="19">
        <f t="shared" si="89"/>
        <v>0</v>
      </c>
      <c r="L2580" s="131"/>
      <c r="M2580" s="131"/>
      <c r="N2580" s="131"/>
    </row>
    <row r="2581" spans="1:14" hidden="1">
      <c r="A2581" s="100" t="s">
        <v>862</v>
      </c>
      <c r="B2581" s="101" t="s">
        <v>4670</v>
      </c>
      <c r="C2581" s="99" t="s">
        <v>4671</v>
      </c>
      <c r="D2581" s="38"/>
      <c r="E2581" s="42">
        <v>1</v>
      </c>
      <c r="F2581" s="9"/>
      <c r="G2581" s="8">
        <f t="shared" si="88"/>
        <v>66.885000000000005</v>
      </c>
      <c r="H2581" s="188">
        <v>63.7</v>
      </c>
      <c r="I2581" s="19">
        <f t="shared" si="89"/>
        <v>0</v>
      </c>
      <c r="L2581" s="131"/>
      <c r="M2581" s="131"/>
      <c r="N2581" s="131"/>
    </row>
    <row r="2582" spans="1:14" hidden="1">
      <c r="A2582" s="100" t="s">
        <v>862</v>
      </c>
      <c r="B2582" s="101" t="s">
        <v>4672</v>
      </c>
      <c r="C2582" s="99" t="s">
        <v>4673</v>
      </c>
      <c r="D2582" s="38"/>
      <c r="E2582" s="42">
        <v>1</v>
      </c>
      <c r="F2582" s="9"/>
      <c r="G2582" s="8">
        <f t="shared" si="88"/>
        <v>11.399325000000001</v>
      </c>
      <c r="H2582" s="188">
        <v>10.8565</v>
      </c>
      <c r="I2582" s="19">
        <f t="shared" si="89"/>
        <v>0</v>
      </c>
      <c r="L2582" s="131"/>
      <c r="M2582" s="131"/>
      <c r="N2582" s="131"/>
    </row>
    <row r="2583" spans="1:14" hidden="1">
      <c r="A2583" s="100" t="s">
        <v>862</v>
      </c>
      <c r="B2583" s="101" t="s">
        <v>4674</v>
      </c>
      <c r="C2583" s="99" t="s">
        <v>4675</v>
      </c>
      <c r="D2583" s="38"/>
      <c r="E2583" s="42">
        <v>1</v>
      </c>
      <c r="F2583" s="9"/>
      <c r="G2583" s="8">
        <f t="shared" si="88"/>
        <v>24.346875000000001</v>
      </c>
      <c r="H2583" s="188">
        <v>23.1875</v>
      </c>
      <c r="I2583" s="19">
        <f t="shared" si="89"/>
        <v>0</v>
      </c>
      <c r="L2583" s="131"/>
      <c r="M2583" s="131"/>
      <c r="N2583" s="131"/>
    </row>
    <row r="2584" spans="1:14" hidden="1">
      <c r="A2584" s="100" t="s">
        <v>862</v>
      </c>
      <c r="B2584" s="101" t="s">
        <v>4676</v>
      </c>
      <c r="C2584" s="99" t="s">
        <v>4677</v>
      </c>
      <c r="D2584" s="38"/>
      <c r="E2584" s="42">
        <v>1</v>
      </c>
      <c r="F2584" s="9"/>
      <c r="G2584" s="8">
        <f t="shared" si="88"/>
        <v>37.216200000000001</v>
      </c>
      <c r="H2584" s="188">
        <v>35.444000000000003</v>
      </c>
      <c r="I2584" s="19">
        <f t="shared" si="89"/>
        <v>0</v>
      </c>
      <c r="L2584" s="131"/>
      <c r="M2584" s="131"/>
      <c r="N2584" s="131"/>
    </row>
    <row r="2585" spans="1:14" hidden="1">
      <c r="A2585" s="100" t="s">
        <v>862</v>
      </c>
      <c r="B2585" s="101" t="s">
        <v>4678</v>
      </c>
      <c r="C2585" s="99" t="s">
        <v>4679</v>
      </c>
      <c r="D2585" s="38"/>
      <c r="E2585" s="42">
        <v>1</v>
      </c>
      <c r="F2585" s="9"/>
      <c r="G2585" s="8">
        <f t="shared" si="88"/>
        <v>38.760750000000002</v>
      </c>
      <c r="H2585" s="188">
        <v>36.914999999999999</v>
      </c>
      <c r="I2585" s="19">
        <f t="shared" si="89"/>
        <v>0</v>
      </c>
      <c r="L2585" s="131"/>
      <c r="M2585" s="131"/>
      <c r="N2585" s="131"/>
    </row>
    <row r="2586" spans="1:14" hidden="1">
      <c r="A2586" s="100" t="s">
        <v>862</v>
      </c>
      <c r="B2586" s="101" t="s">
        <v>4680</v>
      </c>
      <c r="C2586" s="99" t="s">
        <v>4681</v>
      </c>
      <c r="D2586" s="38"/>
      <c r="E2586" s="42">
        <v>1</v>
      </c>
      <c r="F2586" s="9"/>
      <c r="G2586" s="8">
        <f t="shared" si="88"/>
        <v>42.271950000000004</v>
      </c>
      <c r="H2586" s="188">
        <v>40.259</v>
      </c>
      <c r="I2586" s="19">
        <f t="shared" si="89"/>
        <v>0</v>
      </c>
      <c r="L2586" s="131"/>
      <c r="M2586" s="131"/>
      <c r="N2586" s="131"/>
    </row>
    <row r="2587" spans="1:14" hidden="1">
      <c r="A2587" s="100" t="s">
        <v>862</v>
      </c>
      <c r="B2587" s="101" t="s">
        <v>4682</v>
      </c>
      <c r="C2587" s="99" t="s">
        <v>4683</v>
      </c>
      <c r="D2587" s="38"/>
      <c r="E2587" s="42">
        <v>1</v>
      </c>
      <c r="F2587" s="9"/>
      <c r="G2587" s="8">
        <f t="shared" si="88"/>
        <v>50.557499999999997</v>
      </c>
      <c r="H2587" s="188">
        <v>48.15</v>
      </c>
      <c r="I2587" s="19">
        <f t="shared" si="89"/>
        <v>0</v>
      </c>
      <c r="L2587" s="131"/>
      <c r="M2587" s="131"/>
      <c r="N2587" s="131"/>
    </row>
    <row r="2588" spans="1:14" hidden="1">
      <c r="A2588" s="100" t="s">
        <v>862</v>
      </c>
      <c r="B2588" s="101" t="s">
        <v>4684</v>
      </c>
      <c r="C2588" s="99" t="s">
        <v>4685</v>
      </c>
      <c r="D2588" s="38"/>
      <c r="E2588" s="42">
        <v>1</v>
      </c>
      <c r="F2588" s="9"/>
      <c r="G2588" s="8">
        <f t="shared" si="88"/>
        <v>55.613250000000001</v>
      </c>
      <c r="H2588" s="188">
        <v>52.965000000000003</v>
      </c>
      <c r="I2588" s="19">
        <f t="shared" si="89"/>
        <v>0</v>
      </c>
      <c r="L2588" s="131"/>
      <c r="M2588" s="131"/>
      <c r="N2588" s="131"/>
    </row>
    <row r="2589" spans="1:14" hidden="1">
      <c r="A2589" s="100" t="s">
        <v>862</v>
      </c>
      <c r="B2589" s="101" t="s">
        <v>4686</v>
      </c>
      <c r="C2589" s="99" t="s">
        <v>4687</v>
      </c>
      <c r="D2589" s="38"/>
      <c r="E2589" s="42">
        <v>1</v>
      </c>
      <c r="F2589" s="9"/>
      <c r="G2589" s="8">
        <f t="shared" si="88"/>
        <v>64.601249999999993</v>
      </c>
      <c r="H2589" s="188">
        <v>61.524999999999999</v>
      </c>
      <c r="I2589" s="19">
        <f t="shared" si="89"/>
        <v>0</v>
      </c>
      <c r="L2589" s="131"/>
      <c r="M2589" s="131"/>
      <c r="N2589" s="131"/>
    </row>
    <row r="2590" spans="1:14" hidden="1">
      <c r="A2590" s="100" t="s">
        <v>862</v>
      </c>
      <c r="B2590" s="101" t="s">
        <v>4688</v>
      </c>
      <c r="C2590" s="99" t="s">
        <v>4689</v>
      </c>
      <c r="D2590" s="38"/>
      <c r="E2590" s="42">
        <v>1</v>
      </c>
      <c r="F2590" s="9"/>
      <c r="G2590" s="8">
        <f t="shared" si="88"/>
        <v>69.657000000000011</v>
      </c>
      <c r="H2590" s="188">
        <v>66.34</v>
      </c>
      <c r="I2590" s="19">
        <f t="shared" si="89"/>
        <v>0</v>
      </c>
      <c r="L2590" s="131"/>
      <c r="M2590" s="131"/>
      <c r="N2590" s="131"/>
    </row>
    <row r="2591" spans="1:14" hidden="1">
      <c r="A2591" s="100" t="s">
        <v>862</v>
      </c>
      <c r="B2591" s="101" t="s">
        <v>4690</v>
      </c>
      <c r="C2591" s="99" t="s">
        <v>4691</v>
      </c>
      <c r="D2591" s="38"/>
      <c r="E2591" s="42">
        <v>1</v>
      </c>
      <c r="F2591" s="9"/>
      <c r="G2591" s="8">
        <f t="shared" si="88"/>
        <v>19.494825000000002</v>
      </c>
      <c r="H2591" s="188">
        <v>18.566500000000001</v>
      </c>
      <c r="I2591" s="19">
        <f t="shared" si="89"/>
        <v>0</v>
      </c>
      <c r="L2591" s="131"/>
      <c r="M2591" s="131"/>
      <c r="N2591" s="131"/>
    </row>
    <row r="2592" spans="1:14" hidden="1">
      <c r="A2592" s="100" t="s">
        <v>862</v>
      </c>
      <c r="B2592" s="99" t="s">
        <v>4692</v>
      </c>
      <c r="C2592" s="115" t="s">
        <v>4693</v>
      </c>
      <c r="D2592" s="38"/>
      <c r="E2592" s="42">
        <v>1</v>
      </c>
      <c r="F2592" s="9"/>
      <c r="G2592" s="8">
        <f t="shared" si="88"/>
        <v>16.936499999999999</v>
      </c>
      <c r="H2592" s="188">
        <v>16.13</v>
      </c>
      <c r="I2592" s="19">
        <f t="shared" si="89"/>
        <v>0</v>
      </c>
      <c r="L2592" s="131"/>
      <c r="M2592" s="131"/>
      <c r="N2592" s="131"/>
    </row>
    <row r="2593" spans="1:14" hidden="1">
      <c r="A2593" s="100" t="s">
        <v>862</v>
      </c>
      <c r="B2593" s="99" t="s">
        <v>4694</v>
      </c>
      <c r="C2593" s="115" t="s">
        <v>4695</v>
      </c>
      <c r="D2593" s="38"/>
      <c r="E2593" s="42">
        <v>1</v>
      </c>
      <c r="F2593" s="9"/>
      <c r="G2593" s="8">
        <f t="shared" si="88"/>
        <v>24.84825</v>
      </c>
      <c r="H2593" s="188">
        <v>23.664999999999999</v>
      </c>
      <c r="I2593" s="19">
        <f t="shared" si="89"/>
        <v>0</v>
      </c>
      <c r="L2593" s="131"/>
      <c r="M2593" s="131"/>
      <c r="N2593" s="131"/>
    </row>
    <row r="2594" spans="1:14" hidden="1">
      <c r="A2594" s="100" t="s">
        <v>862</v>
      </c>
      <c r="B2594" s="99" t="s">
        <v>4696</v>
      </c>
      <c r="C2594" s="115" t="s">
        <v>4697</v>
      </c>
      <c r="D2594" s="38"/>
      <c r="E2594" s="42">
        <v>1</v>
      </c>
      <c r="F2594" s="9"/>
      <c r="G2594" s="8">
        <f t="shared" si="88"/>
        <v>18.63645</v>
      </c>
      <c r="H2594" s="188">
        <v>17.748999999999999</v>
      </c>
      <c r="I2594" s="19">
        <f t="shared" si="89"/>
        <v>0</v>
      </c>
      <c r="L2594" s="131"/>
      <c r="M2594" s="131"/>
      <c r="N2594" s="131"/>
    </row>
    <row r="2595" spans="1:14" hidden="1">
      <c r="A2595" s="100" t="s">
        <v>862</v>
      </c>
      <c r="B2595" s="99" t="s">
        <v>4698</v>
      </c>
      <c r="C2595" s="115" t="s">
        <v>4699</v>
      </c>
      <c r="D2595" s="38"/>
      <c r="E2595" s="42">
        <v>1</v>
      </c>
      <c r="F2595" s="9"/>
      <c r="G2595" s="8">
        <f t="shared" si="88"/>
        <v>20.639324999999999</v>
      </c>
      <c r="H2595" s="188">
        <v>19.656500000000001</v>
      </c>
      <c r="I2595" s="19">
        <f t="shared" si="89"/>
        <v>0</v>
      </c>
      <c r="L2595" s="131"/>
      <c r="M2595" s="131"/>
      <c r="N2595" s="131"/>
    </row>
    <row r="2596" spans="1:14" hidden="1">
      <c r="A2596" s="100" t="s">
        <v>862</v>
      </c>
      <c r="B2596" s="99" t="s">
        <v>4700</v>
      </c>
      <c r="C2596" s="115" t="s">
        <v>4701</v>
      </c>
      <c r="D2596" s="38"/>
      <c r="E2596" s="42">
        <v>1</v>
      </c>
      <c r="F2596" s="9"/>
      <c r="G2596" s="8">
        <f t="shared" si="88"/>
        <v>45.445574999999998</v>
      </c>
      <c r="H2596" s="188">
        <v>43.281500000000001</v>
      </c>
      <c r="I2596" s="19">
        <f t="shared" si="89"/>
        <v>0</v>
      </c>
      <c r="L2596" s="131"/>
      <c r="M2596" s="131"/>
      <c r="N2596" s="131"/>
    </row>
    <row r="2597" spans="1:14" hidden="1">
      <c r="A2597" s="100" t="s">
        <v>862</v>
      </c>
      <c r="B2597" s="99" t="s">
        <v>4702</v>
      </c>
      <c r="C2597" s="115" t="s">
        <v>4703</v>
      </c>
      <c r="D2597" s="38"/>
      <c r="E2597" s="42">
        <v>1</v>
      </c>
      <c r="F2597" s="9"/>
      <c r="G2597" s="8">
        <f t="shared" ref="G2597:G2660" si="90">H2597+(H2597*5%)</f>
        <v>13.735575000000001</v>
      </c>
      <c r="H2597" s="188">
        <v>13.0815</v>
      </c>
      <c r="I2597" s="19">
        <f t="shared" si="89"/>
        <v>0</v>
      </c>
      <c r="L2597" s="131"/>
      <c r="M2597" s="131"/>
      <c r="N2597" s="131"/>
    </row>
    <row r="2598" spans="1:14" hidden="1">
      <c r="A2598" s="100" t="s">
        <v>862</v>
      </c>
      <c r="B2598" s="99" t="s">
        <v>4704</v>
      </c>
      <c r="C2598" s="115" t="s">
        <v>4705</v>
      </c>
      <c r="D2598" s="38"/>
      <c r="E2598" s="42">
        <v>1</v>
      </c>
      <c r="F2598" s="9"/>
      <c r="G2598" s="8">
        <f t="shared" si="90"/>
        <v>15.588825</v>
      </c>
      <c r="H2598" s="188">
        <v>14.846500000000001</v>
      </c>
      <c r="I2598" s="19">
        <f t="shared" si="89"/>
        <v>0</v>
      </c>
      <c r="L2598" s="131"/>
      <c r="M2598" s="131"/>
      <c r="N2598" s="131"/>
    </row>
    <row r="2599" spans="1:14" hidden="1">
      <c r="A2599" s="100" t="s">
        <v>862</v>
      </c>
      <c r="B2599" s="99" t="s">
        <v>4706</v>
      </c>
      <c r="C2599" s="115" t="s">
        <v>4707</v>
      </c>
      <c r="D2599" s="38"/>
      <c r="E2599" s="42">
        <v>1</v>
      </c>
      <c r="F2599" s="9"/>
      <c r="G2599" s="8">
        <f t="shared" si="90"/>
        <v>19.464375</v>
      </c>
      <c r="H2599" s="188">
        <v>18.537500000000001</v>
      </c>
      <c r="I2599" s="19">
        <f t="shared" ref="I2599:I2662" si="91">G2599*F2599</f>
        <v>0</v>
      </c>
      <c r="L2599" s="131"/>
      <c r="M2599" s="131"/>
      <c r="N2599" s="131"/>
    </row>
    <row r="2600" spans="1:14" hidden="1">
      <c r="A2600" s="100" t="s">
        <v>862</v>
      </c>
      <c r="B2600" s="99" t="s">
        <v>4708</v>
      </c>
      <c r="C2600" s="115" t="s">
        <v>4709</v>
      </c>
      <c r="D2600" s="38"/>
      <c r="E2600" s="42">
        <v>1</v>
      </c>
      <c r="F2600" s="9"/>
      <c r="G2600" s="8">
        <f t="shared" si="90"/>
        <v>45.007199999999997</v>
      </c>
      <c r="H2600" s="188">
        <v>42.863999999999997</v>
      </c>
      <c r="I2600" s="19">
        <f t="shared" si="91"/>
        <v>0</v>
      </c>
      <c r="L2600" s="131"/>
      <c r="M2600" s="131"/>
      <c r="N2600" s="131"/>
    </row>
    <row r="2601" spans="1:14" hidden="1">
      <c r="A2601" s="100" t="s">
        <v>862</v>
      </c>
      <c r="B2601" s="99" t="s">
        <v>4710</v>
      </c>
      <c r="C2601" s="115" t="s">
        <v>4711</v>
      </c>
      <c r="D2601" s="38"/>
      <c r="E2601" s="42">
        <v>1</v>
      </c>
      <c r="F2601" s="9"/>
      <c r="G2601" s="8">
        <f t="shared" si="90"/>
        <v>67.086074999999994</v>
      </c>
      <c r="H2601" s="188">
        <v>63.891500000000001</v>
      </c>
      <c r="I2601" s="19">
        <f t="shared" si="91"/>
        <v>0</v>
      </c>
      <c r="L2601" s="131"/>
      <c r="M2601" s="131"/>
      <c r="N2601" s="131"/>
    </row>
    <row r="2602" spans="1:14" hidden="1">
      <c r="A2602" s="100" t="s">
        <v>862</v>
      </c>
      <c r="B2602" s="99" t="s">
        <v>4712</v>
      </c>
      <c r="C2602" s="115" t="s">
        <v>4713</v>
      </c>
      <c r="D2602" s="38"/>
      <c r="E2602" s="42">
        <v>1</v>
      </c>
      <c r="F2602" s="9"/>
      <c r="G2602" s="8">
        <f t="shared" si="90"/>
        <v>21.703500000000002</v>
      </c>
      <c r="H2602" s="188">
        <v>20.67</v>
      </c>
      <c r="I2602" s="19">
        <f t="shared" si="91"/>
        <v>0</v>
      </c>
      <c r="L2602" s="131"/>
      <c r="M2602" s="131"/>
      <c r="N2602" s="131"/>
    </row>
    <row r="2603" spans="1:14">
      <c r="A2603" s="100" t="s">
        <v>862</v>
      </c>
      <c r="B2603" s="99" t="s">
        <v>4714</v>
      </c>
      <c r="C2603" s="115" t="s">
        <v>4715</v>
      </c>
      <c r="D2603" s="38"/>
      <c r="E2603" s="42">
        <v>1</v>
      </c>
      <c r="F2603" s="9">
        <v>13</v>
      </c>
      <c r="G2603" s="8">
        <f t="shared" si="90"/>
        <v>57.945824999999999</v>
      </c>
      <c r="H2603" s="188">
        <v>55.186500000000002</v>
      </c>
      <c r="I2603" s="19">
        <f t="shared" si="91"/>
        <v>753.29572499999995</v>
      </c>
      <c r="L2603" s="131"/>
      <c r="M2603" s="131"/>
      <c r="N2603" s="131"/>
    </row>
    <row r="2604" spans="1:14" hidden="1">
      <c r="A2604" s="100" t="s">
        <v>862</v>
      </c>
      <c r="B2604" s="99" t="s">
        <v>4716</v>
      </c>
      <c r="C2604" s="115" t="s">
        <v>4717</v>
      </c>
      <c r="D2604" s="38"/>
      <c r="E2604" s="42">
        <v>1</v>
      </c>
      <c r="F2604" s="9"/>
      <c r="G2604" s="8">
        <f t="shared" si="90"/>
        <v>105.49875</v>
      </c>
      <c r="H2604" s="188">
        <v>100.47499999999999</v>
      </c>
      <c r="I2604" s="19">
        <f t="shared" si="91"/>
        <v>0</v>
      </c>
      <c r="L2604" s="131"/>
      <c r="M2604" s="131"/>
      <c r="N2604" s="131"/>
    </row>
    <row r="2605" spans="1:14" hidden="1">
      <c r="A2605" s="100" t="s">
        <v>862</v>
      </c>
      <c r="B2605" s="99" t="s">
        <v>4718</v>
      </c>
      <c r="C2605" s="115" t="s">
        <v>4719</v>
      </c>
      <c r="D2605" s="38"/>
      <c r="E2605" s="42">
        <v>1</v>
      </c>
      <c r="F2605" s="9"/>
      <c r="G2605" s="8">
        <f t="shared" si="90"/>
        <v>51.7545</v>
      </c>
      <c r="H2605" s="188">
        <v>49.29</v>
      </c>
      <c r="I2605" s="19">
        <f t="shared" si="91"/>
        <v>0</v>
      </c>
      <c r="L2605" s="131"/>
      <c r="M2605" s="131"/>
      <c r="N2605" s="131"/>
    </row>
    <row r="2606" spans="1:14" hidden="1">
      <c r="A2606" s="100" t="s">
        <v>862</v>
      </c>
      <c r="B2606" s="99" t="s">
        <v>4720</v>
      </c>
      <c r="C2606" s="115" t="s">
        <v>4721</v>
      </c>
      <c r="D2606" s="38"/>
      <c r="E2606" s="42">
        <v>1</v>
      </c>
      <c r="F2606" s="9"/>
      <c r="G2606" s="8">
        <f t="shared" si="90"/>
        <v>64.693124999999995</v>
      </c>
      <c r="H2606" s="188">
        <v>61.612499999999997</v>
      </c>
      <c r="I2606" s="19">
        <f t="shared" si="91"/>
        <v>0</v>
      </c>
      <c r="L2606" s="131"/>
      <c r="M2606" s="131"/>
      <c r="N2606" s="131"/>
    </row>
    <row r="2607" spans="1:14">
      <c r="A2607" s="100" t="s">
        <v>862</v>
      </c>
      <c r="B2607" s="99" t="s">
        <v>4722</v>
      </c>
      <c r="C2607" s="115" t="s">
        <v>4723</v>
      </c>
      <c r="D2607" s="38"/>
      <c r="E2607" s="42">
        <v>1</v>
      </c>
      <c r="F2607" s="9">
        <v>5</v>
      </c>
      <c r="G2607" s="8">
        <f t="shared" si="90"/>
        <v>78.021299999999997</v>
      </c>
      <c r="H2607" s="188">
        <v>74.305999999999997</v>
      </c>
      <c r="I2607" s="19">
        <f t="shared" si="91"/>
        <v>390.10649999999998</v>
      </c>
      <c r="L2607" s="131"/>
      <c r="M2607" s="131"/>
      <c r="N2607" s="131"/>
    </row>
    <row r="2608" spans="1:14">
      <c r="A2608" s="100" t="s">
        <v>862</v>
      </c>
      <c r="B2608" s="99" t="s">
        <v>4724</v>
      </c>
      <c r="C2608" s="115" t="s">
        <v>4725</v>
      </c>
      <c r="D2608" s="38"/>
      <c r="E2608" s="42">
        <v>1</v>
      </c>
      <c r="F2608" s="9">
        <v>8</v>
      </c>
      <c r="G2608" s="8">
        <f t="shared" si="90"/>
        <v>90.570374999999999</v>
      </c>
      <c r="H2608" s="188">
        <v>86.257499999999993</v>
      </c>
      <c r="I2608" s="19">
        <f t="shared" si="91"/>
        <v>724.56299999999999</v>
      </c>
      <c r="L2608" s="131"/>
      <c r="M2608" s="131"/>
      <c r="N2608" s="131"/>
    </row>
    <row r="2609" spans="1:14" hidden="1">
      <c r="A2609" s="100" t="s">
        <v>862</v>
      </c>
      <c r="B2609" s="99" t="s">
        <v>4726</v>
      </c>
      <c r="C2609" s="115" t="s">
        <v>4727</v>
      </c>
      <c r="D2609" s="38"/>
      <c r="E2609" s="42">
        <v>1</v>
      </c>
      <c r="F2609" s="9"/>
      <c r="G2609" s="8">
        <f t="shared" si="90"/>
        <v>105.16485</v>
      </c>
      <c r="H2609" s="188">
        <v>100.157</v>
      </c>
      <c r="I2609" s="19">
        <f t="shared" si="91"/>
        <v>0</v>
      </c>
      <c r="L2609" s="131"/>
      <c r="M2609" s="131"/>
      <c r="N2609" s="131"/>
    </row>
    <row r="2610" spans="1:14" hidden="1">
      <c r="A2610" s="100" t="s">
        <v>862</v>
      </c>
      <c r="B2610" s="99" t="s">
        <v>4728</v>
      </c>
      <c r="C2610" s="115" t="s">
        <v>4729</v>
      </c>
      <c r="D2610" s="38"/>
      <c r="E2610" s="42">
        <v>1</v>
      </c>
      <c r="F2610" s="9"/>
      <c r="G2610" s="8">
        <f t="shared" si="90"/>
        <v>49.514849999999996</v>
      </c>
      <c r="H2610" s="188">
        <v>47.156999999999996</v>
      </c>
      <c r="I2610" s="19">
        <f t="shared" si="91"/>
        <v>0</v>
      </c>
      <c r="L2610" s="131"/>
      <c r="M2610" s="131"/>
      <c r="N2610" s="131"/>
    </row>
    <row r="2611" spans="1:14">
      <c r="A2611" s="100" t="s">
        <v>862</v>
      </c>
      <c r="B2611" s="99" t="s">
        <v>4730</v>
      </c>
      <c r="C2611" s="115" t="s">
        <v>4731</v>
      </c>
      <c r="D2611" s="38"/>
      <c r="E2611" s="42">
        <v>1</v>
      </c>
      <c r="F2611" s="9">
        <v>10</v>
      </c>
      <c r="G2611" s="8">
        <f t="shared" si="90"/>
        <v>85.506225000000001</v>
      </c>
      <c r="H2611" s="188">
        <v>81.4345</v>
      </c>
      <c r="I2611" s="19">
        <f t="shared" si="91"/>
        <v>855.06224999999995</v>
      </c>
      <c r="L2611" s="131"/>
      <c r="M2611" s="131"/>
      <c r="N2611" s="131"/>
    </row>
    <row r="2612" spans="1:14">
      <c r="A2612" s="100" t="s">
        <v>862</v>
      </c>
      <c r="B2612" s="99" t="s">
        <v>4732</v>
      </c>
      <c r="C2612" s="115" t="s">
        <v>4733</v>
      </c>
      <c r="D2612" s="38"/>
      <c r="E2612" s="42">
        <v>1</v>
      </c>
      <c r="F2612" s="9">
        <v>20.8</v>
      </c>
      <c r="G2612" s="8">
        <f t="shared" si="90"/>
        <v>100.26764999999999</v>
      </c>
      <c r="H2612" s="188">
        <v>95.492999999999995</v>
      </c>
      <c r="I2612" s="19">
        <f t="shared" si="91"/>
        <v>2085.5671199999997</v>
      </c>
      <c r="L2612" s="131"/>
      <c r="M2612" s="131"/>
      <c r="N2612" s="131"/>
    </row>
    <row r="2613" spans="1:14" hidden="1">
      <c r="A2613" s="100" t="s">
        <v>862</v>
      </c>
      <c r="B2613" s="101" t="s">
        <v>4734</v>
      </c>
      <c r="C2613" s="115" t="s">
        <v>4735</v>
      </c>
      <c r="D2613" s="38"/>
      <c r="E2613" s="42">
        <v>1</v>
      </c>
      <c r="F2613" s="9"/>
      <c r="G2613" s="8">
        <f t="shared" si="90"/>
        <v>13.44525</v>
      </c>
      <c r="H2613" s="188">
        <v>12.805</v>
      </c>
      <c r="I2613" s="19">
        <f t="shared" si="91"/>
        <v>0</v>
      </c>
      <c r="L2613" s="131"/>
      <c r="M2613" s="131"/>
      <c r="N2613" s="131"/>
    </row>
    <row r="2614" spans="1:14" hidden="1">
      <c r="A2614" s="100" t="s">
        <v>862</v>
      </c>
      <c r="B2614" s="101" t="s">
        <v>4736</v>
      </c>
      <c r="C2614" s="115" t="s">
        <v>4737</v>
      </c>
      <c r="D2614" s="38"/>
      <c r="E2614" s="42">
        <v>1</v>
      </c>
      <c r="F2614" s="9"/>
      <c r="G2614" s="8">
        <f t="shared" si="90"/>
        <v>15.796724999999999</v>
      </c>
      <c r="H2614" s="188">
        <v>15.044499999999999</v>
      </c>
      <c r="I2614" s="19">
        <f t="shared" si="91"/>
        <v>0</v>
      </c>
      <c r="L2614" s="131"/>
      <c r="M2614" s="131"/>
      <c r="N2614" s="131"/>
    </row>
    <row r="2615" spans="1:14" hidden="1">
      <c r="A2615" s="100" t="s">
        <v>862</v>
      </c>
      <c r="B2615" s="101" t="s">
        <v>4738</v>
      </c>
      <c r="C2615" s="115" t="s">
        <v>4739</v>
      </c>
      <c r="D2615" s="38"/>
      <c r="E2615" s="42">
        <v>1</v>
      </c>
      <c r="F2615" s="9"/>
      <c r="G2615" s="8">
        <f t="shared" si="90"/>
        <v>19.706924999999998</v>
      </c>
      <c r="H2615" s="188">
        <v>18.7685</v>
      </c>
      <c r="I2615" s="19">
        <f t="shared" si="91"/>
        <v>0</v>
      </c>
      <c r="L2615" s="131"/>
      <c r="M2615" s="131"/>
      <c r="N2615" s="131"/>
    </row>
    <row r="2616" spans="1:14" hidden="1">
      <c r="A2616" s="100" t="s">
        <v>862</v>
      </c>
      <c r="B2616" s="101" t="s">
        <v>4740</v>
      </c>
      <c r="C2616" s="115" t="s">
        <v>4741</v>
      </c>
      <c r="D2616" s="38"/>
      <c r="E2616" s="42">
        <v>1</v>
      </c>
      <c r="F2616" s="9"/>
      <c r="G2616" s="8">
        <f t="shared" si="90"/>
        <v>23.995650000000001</v>
      </c>
      <c r="H2616" s="188">
        <v>22.853000000000002</v>
      </c>
      <c r="I2616" s="19">
        <f t="shared" si="91"/>
        <v>0</v>
      </c>
      <c r="L2616" s="131"/>
      <c r="M2616" s="131"/>
      <c r="N2616" s="131"/>
    </row>
    <row r="2617" spans="1:14" hidden="1">
      <c r="A2617" s="100" t="s">
        <v>862</v>
      </c>
      <c r="B2617" s="101" t="s">
        <v>4742</v>
      </c>
      <c r="C2617" s="115" t="s">
        <v>4743</v>
      </c>
      <c r="D2617" s="38"/>
      <c r="E2617" s="42">
        <v>1</v>
      </c>
      <c r="F2617" s="9"/>
      <c r="G2617" s="8">
        <f t="shared" si="90"/>
        <v>29.309700000000003</v>
      </c>
      <c r="H2617" s="188">
        <v>27.914000000000001</v>
      </c>
      <c r="I2617" s="19">
        <f t="shared" si="91"/>
        <v>0</v>
      </c>
      <c r="L2617" s="131"/>
      <c r="M2617" s="131"/>
      <c r="N2617" s="131"/>
    </row>
    <row r="2618" spans="1:14">
      <c r="A2618" s="100" t="s">
        <v>862</v>
      </c>
      <c r="B2618" s="101" t="s">
        <v>4744</v>
      </c>
      <c r="C2618" s="115" t="s">
        <v>4745</v>
      </c>
      <c r="D2618" s="38"/>
      <c r="E2618" s="42">
        <v>1</v>
      </c>
      <c r="F2618" s="9">
        <v>13</v>
      </c>
      <c r="G2618" s="8">
        <f t="shared" si="90"/>
        <v>47.970300000000002</v>
      </c>
      <c r="H2618" s="188">
        <v>45.686</v>
      </c>
      <c r="I2618" s="19">
        <f t="shared" si="91"/>
        <v>623.61390000000006</v>
      </c>
      <c r="L2618" s="131"/>
      <c r="M2618" s="131"/>
      <c r="N2618" s="131"/>
    </row>
    <row r="2619" spans="1:14">
      <c r="A2619" s="100" t="s">
        <v>862</v>
      </c>
      <c r="B2619" s="101" t="s">
        <v>4746</v>
      </c>
      <c r="C2619" s="115" t="s">
        <v>4747</v>
      </c>
      <c r="D2619" s="38"/>
      <c r="E2619" s="42">
        <v>1</v>
      </c>
      <c r="F2619" s="9">
        <v>16</v>
      </c>
      <c r="G2619" s="8">
        <f t="shared" si="90"/>
        <v>168.77279999999999</v>
      </c>
      <c r="H2619" s="188">
        <v>160.73599999999999</v>
      </c>
      <c r="I2619" s="19">
        <f t="shared" si="91"/>
        <v>2700.3647999999998</v>
      </c>
      <c r="L2619" s="131"/>
      <c r="M2619" s="131"/>
      <c r="N2619" s="131"/>
    </row>
    <row r="2620" spans="1:14" hidden="1">
      <c r="A2620" s="100" t="s">
        <v>862</v>
      </c>
      <c r="B2620" s="101" t="s">
        <v>4748</v>
      </c>
      <c r="C2620" s="115" t="s">
        <v>4749</v>
      </c>
      <c r="D2620" s="38"/>
      <c r="E2620" s="42">
        <v>1</v>
      </c>
      <c r="F2620" s="9"/>
      <c r="G2620" s="8">
        <f t="shared" si="90"/>
        <v>28.835625</v>
      </c>
      <c r="H2620" s="188">
        <v>27.462499999999999</v>
      </c>
      <c r="I2620" s="19">
        <f t="shared" si="91"/>
        <v>0</v>
      </c>
      <c r="L2620" s="131"/>
      <c r="M2620" s="131"/>
      <c r="N2620" s="131"/>
    </row>
    <row r="2621" spans="1:14" hidden="1">
      <c r="A2621" s="100" t="s">
        <v>862</v>
      </c>
      <c r="B2621" s="101" t="s">
        <v>4750</v>
      </c>
      <c r="C2621" s="115" t="s">
        <v>4751</v>
      </c>
      <c r="D2621" s="38"/>
      <c r="E2621" s="42">
        <v>1</v>
      </c>
      <c r="F2621" s="9"/>
      <c r="G2621" s="8">
        <f t="shared" si="90"/>
        <v>48.388200000000005</v>
      </c>
      <c r="H2621" s="188">
        <v>46.084000000000003</v>
      </c>
      <c r="I2621" s="19">
        <f t="shared" si="91"/>
        <v>0</v>
      </c>
      <c r="L2621" s="131"/>
      <c r="M2621" s="131"/>
      <c r="N2621" s="131"/>
    </row>
    <row r="2622" spans="1:14" hidden="1">
      <c r="A2622" s="100" t="s">
        <v>862</v>
      </c>
      <c r="B2622" s="101" t="s">
        <v>4752</v>
      </c>
      <c r="C2622" s="115" t="s">
        <v>4753</v>
      </c>
      <c r="D2622" s="38"/>
      <c r="E2622" s="42">
        <v>1</v>
      </c>
      <c r="F2622" s="9"/>
      <c r="G2622" s="8">
        <f t="shared" si="90"/>
        <v>8.0944500000000001</v>
      </c>
      <c r="H2622" s="188">
        <v>7.7089999999999996</v>
      </c>
      <c r="I2622" s="19">
        <f t="shared" si="91"/>
        <v>0</v>
      </c>
      <c r="L2622" s="131"/>
      <c r="M2622" s="131"/>
      <c r="N2622" s="131"/>
    </row>
    <row r="2623" spans="1:14" hidden="1">
      <c r="A2623" s="100" t="s">
        <v>862</v>
      </c>
      <c r="B2623" s="101" t="s">
        <v>4754</v>
      </c>
      <c r="C2623" s="115" t="s">
        <v>4755</v>
      </c>
      <c r="D2623" s="38"/>
      <c r="E2623" s="42">
        <v>1</v>
      </c>
      <c r="F2623" s="9"/>
      <c r="G2623" s="8">
        <f t="shared" si="90"/>
        <v>34.411124999999998</v>
      </c>
      <c r="H2623" s="188">
        <v>32.772500000000001</v>
      </c>
      <c r="I2623" s="19">
        <f t="shared" si="91"/>
        <v>0</v>
      </c>
      <c r="L2623" s="131"/>
      <c r="M2623" s="131"/>
      <c r="N2623" s="131"/>
    </row>
    <row r="2624" spans="1:14" hidden="1">
      <c r="A2624" s="100" t="s">
        <v>862</v>
      </c>
      <c r="B2624" s="101" t="s">
        <v>4756</v>
      </c>
      <c r="C2624" s="115" t="s">
        <v>4757</v>
      </c>
      <c r="D2624" s="38"/>
      <c r="E2624" s="42">
        <v>1</v>
      </c>
      <c r="F2624" s="9"/>
      <c r="G2624" s="8">
        <f t="shared" si="90"/>
        <v>8.5722000000000005</v>
      </c>
      <c r="H2624" s="188">
        <v>8.1639999999999997</v>
      </c>
      <c r="I2624" s="19">
        <f t="shared" si="91"/>
        <v>0</v>
      </c>
      <c r="L2624" s="131"/>
      <c r="M2624" s="131"/>
      <c r="N2624" s="131"/>
    </row>
    <row r="2625" spans="1:14" hidden="1">
      <c r="A2625" s="100" t="s">
        <v>862</v>
      </c>
      <c r="B2625" s="101" t="s">
        <v>4758</v>
      </c>
      <c r="C2625" s="115" t="s">
        <v>4759</v>
      </c>
      <c r="D2625" s="38"/>
      <c r="E2625" s="42">
        <v>1</v>
      </c>
      <c r="F2625" s="9"/>
      <c r="G2625" s="8">
        <f t="shared" si="90"/>
        <v>10.5</v>
      </c>
      <c r="H2625" s="188">
        <v>10</v>
      </c>
      <c r="I2625" s="19">
        <f t="shared" si="91"/>
        <v>0</v>
      </c>
      <c r="L2625" s="131"/>
      <c r="M2625" s="131"/>
      <c r="N2625" s="131"/>
    </row>
    <row r="2626" spans="1:14" hidden="1">
      <c r="A2626" s="100" t="s">
        <v>862</v>
      </c>
      <c r="B2626" s="101" t="s">
        <v>4760</v>
      </c>
      <c r="C2626" s="115" t="s">
        <v>4761</v>
      </c>
      <c r="D2626" s="38"/>
      <c r="E2626" s="42">
        <v>1</v>
      </c>
      <c r="F2626" s="9"/>
      <c r="G2626" s="8">
        <f t="shared" si="90"/>
        <v>23.396625</v>
      </c>
      <c r="H2626" s="188">
        <v>22.282499999999999</v>
      </c>
      <c r="I2626" s="19">
        <f t="shared" si="91"/>
        <v>0</v>
      </c>
      <c r="L2626" s="131"/>
      <c r="M2626" s="131"/>
      <c r="N2626" s="131"/>
    </row>
    <row r="2627" spans="1:14" hidden="1">
      <c r="A2627" s="100" t="s">
        <v>862</v>
      </c>
      <c r="B2627" s="101" t="s">
        <v>4762</v>
      </c>
      <c r="C2627" s="115" t="s">
        <v>4763</v>
      </c>
      <c r="D2627" s="38"/>
      <c r="E2627" s="42">
        <v>1</v>
      </c>
      <c r="F2627" s="9"/>
      <c r="G2627" s="8">
        <f t="shared" si="90"/>
        <v>476.65799999999996</v>
      </c>
      <c r="H2627" s="188">
        <v>453.96</v>
      </c>
      <c r="I2627" s="19">
        <f t="shared" si="91"/>
        <v>0</v>
      </c>
      <c r="L2627" s="131"/>
      <c r="M2627" s="131"/>
      <c r="N2627" s="131"/>
    </row>
    <row r="2628" spans="1:14" hidden="1">
      <c r="A2628" s="100" t="s">
        <v>862</v>
      </c>
      <c r="B2628" s="101" t="s">
        <v>4764</v>
      </c>
      <c r="C2628" s="115" t="s">
        <v>4765</v>
      </c>
      <c r="D2628" s="38"/>
      <c r="E2628" s="42">
        <v>1</v>
      </c>
      <c r="F2628" s="9"/>
      <c r="G2628" s="8">
        <f t="shared" si="90"/>
        <v>473.63400000000001</v>
      </c>
      <c r="H2628" s="188">
        <v>451.08</v>
      </c>
      <c r="I2628" s="19">
        <f t="shared" si="91"/>
        <v>0</v>
      </c>
      <c r="L2628" s="131"/>
      <c r="M2628" s="131"/>
      <c r="N2628" s="131"/>
    </row>
    <row r="2629" spans="1:14" hidden="1">
      <c r="A2629" s="100" t="s">
        <v>862</v>
      </c>
      <c r="B2629" s="101" t="s">
        <v>4766</v>
      </c>
      <c r="C2629" s="115" t="s">
        <v>4767</v>
      </c>
      <c r="D2629" s="38"/>
      <c r="E2629" s="42">
        <v>1</v>
      </c>
      <c r="F2629" s="9"/>
      <c r="G2629" s="8">
        <f t="shared" si="90"/>
        <v>473.63400000000001</v>
      </c>
      <c r="H2629" s="188">
        <v>451.08</v>
      </c>
      <c r="I2629" s="19">
        <f t="shared" si="91"/>
        <v>0</v>
      </c>
      <c r="L2629" s="131"/>
      <c r="M2629" s="131"/>
      <c r="N2629" s="131"/>
    </row>
    <row r="2630" spans="1:14" hidden="1">
      <c r="A2630" s="100" t="s">
        <v>862</v>
      </c>
      <c r="B2630" s="101" t="s">
        <v>4768</v>
      </c>
      <c r="C2630" s="115" t="s">
        <v>4769</v>
      </c>
      <c r="D2630" s="38"/>
      <c r="E2630" s="42">
        <v>1</v>
      </c>
      <c r="F2630" s="9"/>
      <c r="G2630" s="8">
        <f t="shared" si="90"/>
        <v>437.12182500000006</v>
      </c>
      <c r="H2630" s="188">
        <v>416.30650000000003</v>
      </c>
      <c r="I2630" s="19">
        <f t="shared" si="91"/>
        <v>0</v>
      </c>
      <c r="L2630" s="131"/>
      <c r="M2630" s="131"/>
      <c r="N2630" s="131"/>
    </row>
    <row r="2631" spans="1:14" hidden="1">
      <c r="A2631" s="100" t="s">
        <v>862</v>
      </c>
      <c r="B2631" s="101" t="s">
        <v>4770</v>
      </c>
      <c r="C2631" s="115" t="s">
        <v>4771</v>
      </c>
      <c r="D2631" s="38"/>
      <c r="E2631" s="42">
        <v>1</v>
      </c>
      <c r="F2631" s="9"/>
      <c r="G2631" s="8">
        <f t="shared" si="90"/>
        <v>537.51075000000003</v>
      </c>
      <c r="H2631" s="188">
        <v>511.91500000000002</v>
      </c>
      <c r="I2631" s="19">
        <f t="shared" si="91"/>
        <v>0</v>
      </c>
      <c r="L2631" s="131"/>
      <c r="M2631" s="131"/>
      <c r="N2631" s="131"/>
    </row>
    <row r="2632" spans="1:14" hidden="1">
      <c r="A2632" s="100" t="s">
        <v>862</v>
      </c>
      <c r="B2632" s="101" t="s">
        <v>4772</v>
      </c>
      <c r="C2632" s="115" t="s">
        <v>4773</v>
      </c>
      <c r="D2632" s="38"/>
      <c r="E2632" s="42">
        <v>1</v>
      </c>
      <c r="F2632" s="9"/>
      <c r="G2632" s="8">
        <f t="shared" si="90"/>
        <v>501.009075</v>
      </c>
      <c r="H2632" s="188">
        <v>477.1515</v>
      </c>
      <c r="I2632" s="19">
        <f t="shared" si="91"/>
        <v>0</v>
      </c>
      <c r="L2632" s="131"/>
      <c r="M2632" s="131"/>
      <c r="N2632" s="131"/>
    </row>
    <row r="2633" spans="1:14" hidden="1">
      <c r="A2633" s="100" t="s">
        <v>862</v>
      </c>
      <c r="B2633" s="101" t="s">
        <v>4774</v>
      </c>
      <c r="C2633" s="115" t="s">
        <v>4775</v>
      </c>
      <c r="D2633" s="38"/>
      <c r="E2633" s="42">
        <v>1</v>
      </c>
      <c r="F2633" s="9"/>
      <c r="G2633" s="8">
        <f t="shared" si="90"/>
        <v>698.86057500000004</v>
      </c>
      <c r="H2633" s="188">
        <v>665.58150000000001</v>
      </c>
      <c r="I2633" s="19">
        <f t="shared" si="91"/>
        <v>0</v>
      </c>
      <c r="L2633" s="131"/>
      <c r="M2633" s="131"/>
      <c r="N2633" s="131"/>
    </row>
    <row r="2634" spans="1:14" hidden="1">
      <c r="A2634" s="100" t="s">
        <v>862</v>
      </c>
      <c r="B2634" s="101" t="s">
        <v>4776</v>
      </c>
      <c r="C2634" s="115" t="s">
        <v>4777</v>
      </c>
      <c r="D2634" s="38"/>
      <c r="E2634" s="42">
        <v>1</v>
      </c>
      <c r="F2634" s="9"/>
      <c r="G2634" s="8">
        <f t="shared" si="90"/>
        <v>753.39075000000003</v>
      </c>
      <c r="H2634" s="188">
        <v>717.51499999999999</v>
      </c>
      <c r="I2634" s="19">
        <f t="shared" si="91"/>
        <v>0</v>
      </c>
      <c r="L2634" s="131"/>
      <c r="M2634" s="131"/>
      <c r="N2634" s="131"/>
    </row>
    <row r="2635" spans="1:14" hidden="1">
      <c r="A2635" s="100" t="s">
        <v>862</v>
      </c>
      <c r="B2635" s="101" t="s">
        <v>4778</v>
      </c>
      <c r="C2635" s="115" t="s">
        <v>4779</v>
      </c>
      <c r="D2635" s="38"/>
      <c r="E2635" s="42">
        <v>1</v>
      </c>
      <c r="F2635" s="9"/>
      <c r="G2635" s="8">
        <f t="shared" si="90"/>
        <v>735.14437500000008</v>
      </c>
      <c r="H2635" s="188">
        <v>700.13750000000005</v>
      </c>
      <c r="I2635" s="19">
        <f t="shared" si="91"/>
        <v>0</v>
      </c>
      <c r="L2635" s="131"/>
      <c r="M2635" s="131"/>
      <c r="N2635" s="131"/>
    </row>
    <row r="2636" spans="1:14" hidden="1">
      <c r="A2636" s="100" t="s">
        <v>862</v>
      </c>
      <c r="B2636" s="101" t="s">
        <v>4780</v>
      </c>
      <c r="C2636" s="115" t="s">
        <v>4781</v>
      </c>
      <c r="D2636" s="38"/>
      <c r="E2636" s="42">
        <v>1</v>
      </c>
      <c r="F2636" s="9"/>
      <c r="G2636" s="8">
        <f t="shared" si="90"/>
        <v>720.23174999999992</v>
      </c>
      <c r="H2636" s="188">
        <v>685.93499999999995</v>
      </c>
      <c r="I2636" s="19">
        <f t="shared" si="91"/>
        <v>0</v>
      </c>
      <c r="L2636" s="131"/>
      <c r="M2636" s="131"/>
      <c r="N2636" s="131"/>
    </row>
    <row r="2637" spans="1:14" hidden="1">
      <c r="A2637" s="100" t="s">
        <v>862</v>
      </c>
      <c r="B2637" s="101" t="s">
        <v>4782</v>
      </c>
      <c r="C2637" s="115" t="s">
        <v>4783</v>
      </c>
      <c r="D2637" s="38"/>
      <c r="E2637" s="42">
        <v>1</v>
      </c>
      <c r="F2637" s="9"/>
      <c r="G2637" s="8">
        <f t="shared" si="90"/>
        <v>774.98819999999989</v>
      </c>
      <c r="H2637" s="188">
        <v>738.08399999999995</v>
      </c>
      <c r="I2637" s="19">
        <f t="shared" si="91"/>
        <v>0</v>
      </c>
      <c r="L2637" s="131"/>
      <c r="M2637" s="131"/>
      <c r="N2637" s="131"/>
    </row>
    <row r="2638" spans="1:14" hidden="1">
      <c r="A2638" s="100" t="s">
        <v>862</v>
      </c>
      <c r="B2638" s="101" t="s">
        <v>4784</v>
      </c>
      <c r="C2638" s="115" t="s">
        <v>4785</v>
      </c>
      <c r="D2638" s="38"/>
      <c r="E2638" s="42">
        <v>1</v>
      </c>
      <c r="F2638" s="9"/>
      <c r="G2638" s="8">
        <f t="shared" si="90"/>
        <v>797.74694999999997</v>
      </c>
      <c r="H2638" s="188">
        <v>759.75900000000001</v>
      </c>
      <c r="I2638" s="19">
        <f t="shared" si="91"/>
        <v>0</v>
      </c>
      <c r="L2638" s="131"/>
      <c r="M2638" s="131"/>
      <c r="N2638" s="131"/>
    </row>
    <row r="2639" spans="1:14" hidden="1">
      <c r="A2639" s="100" t="s">
        <v>862</v>
      </c>
      <c r="B2639" s="101" t="s">
        <v>4786</v>
      </c>
      <c r="C2639" s="115" t="s">
        <v>4787</v>
      </c>
      <c r="D2639" s="38"/>
      <c r="E2639" s="42">
        <v>1</v>
      </c>
      <c r="F2639" s="9"/>
      <c r="G2639" s="8">
        <f t="shared" si="90"/>
        <v>806.87932499999999</v>
      </c>
      <c r="H2639" s="188">
        <v>768.45650000000001</v>
      </c>
      <c r="I2639" s="19">
        <f t="shared" si="91"/>
        <v>0</v>
      </c>
      <c r="L2639" s="131"/>
      <c r="M2639" s="131"/>
      <c r="N2639" s="131"/>
    </row>
    <row r="2640" spans="1:14" hidden="1">
      <c r="A2640" s="100" t="s">
        <v>862</v>
      </c>
      <c r="B2640" s="101" t="s">
        <v>4788</v>
      </c>
      <c r="C2640" s="115" t="s">
        <v>4789</v>
      </c>
      <c r="D2640" s="38"/>
      <c r="E2640" s="42">
        <v>1</v>
      </c>
      <c r="F2640" s="9"/>
      <c r="G2640" s="8">
        <f t="shared" si="90"/>
        <v>820.63799999999992</v>
      </c>
      <c r="H2640" s="188">
        <v>781.56</v>
      </c>
      <c r="I2640" s="19">
        <f t="shared" si="91"/>
        <v>0</v>
      </c>
      <c r="L2640" s="131"/>
      <c r="M2640" s="131"/>
      <c r="N2640" s="131"/>
    </row>
    <row r="2641" spans="1:14" hidden="1">
      <c r="A2641" s="100" t="s">
        <v>862</v>
      </c>
      <c r="B2641" s="101" t="s">
        <v>4790</v>
      </c>
      <c r="C2641" s="115" t="s">
        <v>4791</v>
      </c>
      <c r="D2641" s="38"/>
      <c r="E2641" s="42">
        <v>1</v>
      </c>
      <c r="F2641" s="9"/>
      <c r="G2641" s="8">
        <f t="shared" si="90"/>
        <v>26.335574999999999</v>
      </c>
      <c r="H2641" s="188">
        <v>25.081499999999998</v>
      </c>
      <c r="I2641" s="19">
        <f t="shared" si="91"/>
        <v>0</v>
      </c>
      <c r="L2641" s="131"/>
      <c r="M2641" s="131"/>
      <c r="N2641" s="131"/>
    </row>
    <row r="2642" spans="1:14" hidden="1">
      <c r="A2642" s="100" t="s">
        <v>862</v>
      </c>
      <c r="B2642" s="101" t="s">
        <v>4792</v>
      </c>
      <c r="C2642" s="115" t="s">
        <v>4793</v>
      </c>
      <c r="D2642" s="38"/>
      <c r="E2642" s="42">
        <v>1</v>
      </c>
      <c r="F2642" s="9"/>
      <c r="G2642" s="8">
        <f t="shared" si="90"/>
        <v>81.626999999999995</v>
      </c>
      <c r="H2642" s="188">
        <v>77.739999999999995</v>
      </c>
      <c r="I2642" s="19">
        <f t="shared" si="91"/>
        <v>0</v>
      </c>
      <c r="L2642" s="131"/>
      <c r="M2642" s="131"/>
      <c r="N2642" s="131"/>
    </row>
    <row r="2643" spans="1:14" hidden="1">
      <c r="A2643" s="100" t="s">
        <v>862</v>
      </c>
      <c r="B2643" s="101" t="s">
        <v>4794</v>
      </c>
      <c r="C2643" s="115" t="s">
        <v>4795</v>
      </c>
      <c r="D2643" s="38"/>
      <c r="E2643" s="42">
        <v>1</v>
      </c>
      <c r="F2643" s="9"/>
      <c r="G2643" s="8">
        <f t="shared" si="90"/>
        <v>21.838950000000001</v>
      </c>
      <c r="H2643" s="188">
        <v>20.798999999999999</v>
      </c>
      <c r="I2643" s="19">
        <f t="shared" si="91"/>
        <v>0</v>
      </c>
      <c r="L2643" s="131"/>
      <c r="M2643" s="131"/>
      <c r="N2643" s="131"/>
    </row>
    <row r="2644" spans="1:14" hidden="1">
      <c r="A2644" s="100" t="s">
        <v>862</v>
      </c>
      <c r="B2644" s="101" t="s">
        <v>4796</v>
      </c>
      <c r="C2644" s="115" t="s">
        <v>4797</v>
      </c>
      <c r="D2644" s="38"/>
      <c r="E2644" s="42">
        <v>1</v>
      </c>
      <c r="F2644" s="9"/>
      <c r="G2644" s="8">
        <f t="shared" si="90"/>
        <v>77.131950000000003</v>
      </c>
      <c r="H2644" s="188">
        <v>73.459000000000003</v>
      </c>
      <c r="I2644" s="19">
        <f t="shared" si="91"/>
        <v>0</v>
      </c>
      <c r="L2644" s="131"/>
      <c r="M2644" s="131"/>
      <c r="N2644" s="131"/>
    </row>
    <row r="2645" spans="1:14" hidden="1">
      <c r="A2645" s="100" t="s">
        <v>862</v>
      </c>
      <c r="B2645" s="101" t="s">
        <v>4798</v>
      </c>
      <c r="C2645" s="115" t="s">
        <v>4799</v>
      </c>
      <c r="D2645" s="38"/>
      <c r="E2645" s="42">
        <v>1</v>
      </c>
      <c r="F2645" s="9"/>
      <c r="G2645" s="8">
        <f t="shared" si="90"/>
        <v>11.362575</v>
      </c>
      <c r="H2645" s="188">
        <v>10.8215</v>
      </c>
      <c r="I2645" s="19">
        <f t="shared" si="91"/>
        <v>0</v>
      </c>
      <c r="L2645" s="131"/>
      <c r="M2645" s="131"/>
      <c r="N2645" s="131"/>
    </row>
    <row r="2646" spans="1:14" hidden="1">
      <c r="A2646" s="100" t="s">
        <v>862</v>
      </c>
      <c r="B2646" s="101" t="s">
        <v>4800</v>
      </c>
      <c r="C2646" s="115" t="s">
        <v>4801</v>
      </c>
      <c r="D2646" s="38"/>
      <c r="E2646" s="42">
        <v>1</v>
      </c>
      <c r="F2646" s="9"/>
      <c r="G2646" s="8">
        <f t="shared" si="90"/>
        <v>18.178125000000001</v>
      </c>
      <c r="H2646" s="188">
        <v>17.3125</v>
      </c>
      <c r="I2646" s="19">
        <f t="shared" si="91"/>
        <v>0</v>
      </c>
      <c r="L2646" s="131"/>
      <c r="M2646" s="131"/>
      <c r="N2646" s="131"/>
    </row>
    <row r="2647" spans="1:14" hidden="1">
      <c r="A2647" s="100" t="s">
        <v>862</v>
      </c>
      <c r="B2647" s="101" t="s">
        <v>4802</v>
      </c>
      <c r="C2647" s="115" t="s">
        <v>4803</v>
      </c>
      <c r="D2647" s="38"/>
      <c r="E2647" s="42">
        <v>1</v>
      </c>
      <c r="F2647" s="9"/>
      <c r="G2647" s="8">
        <f t="shared" si="90"/>
        <v>17.632125000000002</v>
      </c>
      <c r="H2647" s="188">
        <v>16.7925</v>
      </c>
      <c r="I2647" s="19">
        <f t="shared" si="91"/>
        <v>0</v>
      </c>
      <c r="L2647" s="131"/>
      <c r="M2647" s="131"/>
      <c r="N2647" s="131"/>
    </row>
    <row r="2648" spans="1:14" hidden="1">
      <c r="A2648" s="100" t="s">
        <v>862</v>
      </c>
      <c r="B2648" s="101" t="s">
        <v>4804</v>
      </c>
      <c r="C2648" s="115" t="s">
        <v>4805</v>
      </c>
      <c r="D2648" s="38"/>
      <c r="E2648" s="42">
        <v>1</v>
      </c>
      <c r="F2648" s="9"/>
      <c r="G2648" s="8">
        <f t="shared" si="90"/>
        <v>18.167624999999997</v>
      </c>
      <c r="H2648" s="188">
        <v>17.302499999999998</v>
      </c>
      <c r="I2648" s="19">
        <f t="shared" si="91"/>
        <v>0</v>
      </c>
      <c r="L2648" s="131"/>
      <c r="M2648" s="131"/>
      <c r="N2648" s="131"/>
    </row>
    <row r="2649" spans="1:14" hidden="1">
      <c r="A2649" s="100" t="s">
        <v>862</v>
      </c>
      <c r="B2649" s="101" t="s">
        <v>4806</v>
      </c>
      <c r="C2649" s="115" t="s">
        <v>4807</v>
      </c>
      <c r="D2649" s="38"/>
      <c r="E2649" s="42">
        <v>1</v>
      </c>
      <c r="F2649" s="9"/>
      <c r="G2649" s="8">
        <f t="shared" si="90"/>
        <v>39.267375000000001</v>
      </c>
      <c r="H2649" s="188">
        <v>37.397500000000001</v>
      </c>
      <c r="I2649" s="19">
        <f t="shared" si="91"/>
        <v>0</v>
      </c>
      <c r="L2649" s="131"/>
      <c r="M2649" s="131"/>
      <c r="N2649" s="131"/>
    </row>
    <row r="2650" spans="1:14" hidden="1">
      <c r="A2650" s="100" t="s">
        <v>862</v>
      </c>
      <c r="B2650" s="101" t="s">
        <v>4808</v>
      </c>
      <c r="C2650" s="115" t="s">
        <v>4809</v>
      </c>
      <c r="D2650" s="38"/>
      <c r="E2650" s="42">
        <v>1</v>
      </c>
      <c r="F2650" s="9"/>
      <c r="G2650" s="8">
        <f t="shared" si="90"/>
        <v>54.476624999999999</v>
      </c>
      <c r="H2650" s="188">
        <v>51.8825</v>
      </c>
      <c r="I2650" s="19">
        <f t="shared" si="91"/>
        <v>0</v>
      </c>
      <c r="L2650" s="131"/>
      <c r="M2650" s="131"/>
      <c r="N2650" s="131"/>
    </row>
    <row r="2651" spans="1:14" hidden="1">
      <c r="A2651" s="100" t="s">
        <v>862</v>
      </c>
      <c r="B2651" s="101" t="s">
        <v>4810</v>
      </c>
      <c r="C2651" s="115" t="s">
        <v>4811</v>
      </c>
      <c r="D2651" s="38"/>
      <c r="E2651" s="42">
        <v>1</v>
      </c>
      <c r="F2651" s="9"/>
      <c r="G2651" s="8">
        <f t="shared" si="90"/>
        <v>65.833950000000002</v>
      </c>
      <c r="H2651" s="188">
        <v>62.698999999999998</v>
      </c>
      <c r="I2651" s="19">
        <f t="shared" si="91"/>
        <v>0</v>
      </c>
      <c r="L2651" s="131"/>
      <c r="M2651" s="131"/>
      <c r="N2651" s="131"/>
    </row>
    <row r="2652" spans="1:14" hidden="1">
      <c r="A2652" s="100" t="s">
        <v>862</v>
      </c>
      <c r="B2652" s="101" t="s">
        <v>4812</v>
      </c>
      <c r="C2652" s="115" t="s">
        <v>4813</v>
      </c>
      <c r="D2652" s="38"/>
      <c r="E2652" s="42">
        <v>1</v>
      </c>
      <c r="F2652" s="9"/>
      <c r="G2652" s="8">
        <f t="shared" si="90"/>
        <v>41.619375000000005</v>
      </c>
      <c r="H2652" s="188">
        <v>39.637500000000003</v>
      </c>
      <c r="I2652" s="19">
        <f t="shared" si="91"/>
        <v>0</v>
      </c>
      <c r="L2652" s="131"/>
      <c r="M2652" s="131"/>
      <c r="N2652" s="131"/>
    </row>
    <row r="2653" spans="1:14" hidden="1">
      <c r="A2653" s="100" t="s">
        <v>862</v>
      </c>
      <c r="B2653" s="101" t="s">
        <v>4814</v>
      </c>
      <c r="C2653" s="115" t="s">
        <v>4815</v>
      </c>
      <c r="D2653" s="38"/>
      <c r="E2653" s="42">
        <v>1</v>
      </c>
      <c r="F2653" s="9"/>
      <c r="G2653" s="8">
        <f t="shared" si="90"/>
        <v>49.180949999999996</v>
      </c>
      <c r="H2653" s="188">
        <v>46.838999999999999</v>
      </c>
      <c r="I2653" s="19">
        <f t="shared" si="91"/>
        <v>0</v>
      </c>
      <c r="L2653" s="131"/>
      <c r="M2653" s="131"/>
      <c r="N2653" s="131"/>
    </row>
    <row r="2654" spans="1:14" hidden="1">
      <c r="A2654" s="100" t="s">
        <v>862</v>
      </c>
      <c r="B2654" s="101" t="s">
        <v>4816</v>
      </c>
      <c r="C2654" s="115" t="s">
        <v>4817</v>
      </c>
      <c r="D2654" s="38"/>
      <c r="E2654" s="42">
        <v>1</v>
      </c>
      <c r="F2654" s="9"/>
      <c r="G2654" s="8">
        <f t="shared" si="90"/>
        <v>155.36850000000001</v>
      </c>
      <c r="H2654" s="188">
        <v>147.97</v>
      </c>
      <c r="I2654" s="19">
        <f t="shared" si="91"/>
        <v>0</v>
      </c>
      <c r="L2654" s="131"/>
      <c r="M2654" s="131"/>
      <c r="N2654" s="131"/>
    </row>
    <row r="2655" spans="1:14" hidden="1">
      <c r="A2655" s="100" t="s">
        <v>862</v>
      </c>
      <c r="B2655" s="101" t="s">
        <v>4818</v>
      </c>
      <c r="C2655" s="115" t="s">
        <v>4819</v>
      </c>
      <c r="D2655" s="38"/>
      <c r="E2655" s="42">
        <v>1</v>
      </c>
      <c r="F2655" s="9"/>
      <c r="G2655" s="8">
        <f t="shared" si="90"/>
        <v>174.39712499999999</v>
      </c>
      <c r="H2655" s="188">
        <v>166.0925</v>
      </c>
      <c r="I2655" s="19">
        <f t="shared" si="91"/>
        <v>0</v>
      </c>
      <c r="L2655" s="131"/>
      <c r="M2655" s="131"/>
      <c r="N2655" s="131"/>
    </row>
    <row r="2656" spans="1:14" hidden="1">
      <c r="A2656" s="100" t="s">
        <v>862</v>
      </c>
      <c r="B2656" s="101" t="s">
        <v>4820</v>
      </c>
      <c r="C2656" s="115" t="s">
        <v>4821</v>
      </c>
      <c r="D2656" s="38"/>
      <c r="E2656" s="42">
        <v>1</v>
      </c>
      <c r="F2656" s="9"/>
      <c r="G2656" s="8">
        <f t="shared" si="90"/>
        <v>260.801625</v>
      </c>
      <c r="H2656" s="188">
        <v>248.38249999999999</v>
      </c>
      <c r="I2656" s="19">
        <f t="shared" si="91"/>
        <v>0</v>
      </c>
      <c r="L2656" s="131"/>
      <c r="M2656" s="131"/>
      <c r="N2656" s="131"/>
    </row>
    <row r="2657" spans="1:14" hidden="1">
      <c r="A2657" s="100" t="s">
        <v>862</v>
      </c>
      <c r="B2657" s="101" t="s">
        <v>4822</v>
      </c>
      <c r="C2657" s="115" t="s">
        <v>4823</v>
      </c>
      <c r="D2657" s="38"/>
      <c r="E2657" s="42">
        <v>1</v>
      </c>
      <c r="F2657" s="9"/>
      <c r="G2657" s="8">
        <f t="shared" si="90"/>
        <v>85.829625000000007</v>
      </c>
      <c r="H2657" s="188">
        <v>81.742500000000007</v>
      </c>
      <c r="I2657" s="19">
        <f t="shared" si="91"/>
        <v>0</v>
      </c>
      <c r="L2657" s="131"/>
      <c r="M2657" s="131"/>
      <c r="N2657" s="131"/>
    </row>
    <row r="2658" spans="1:14" hidden="1">
      <c r="A2658" s="100" t="s">
        <v>862</v>
      </c>
      <c r="B2658" s="101" t="s">
        <v>4824</v>
      </c>
      <c r="C2658" s="115" t="s">
        <v>4825</v>
      </c>
      <c r="D2658" s="38"/>
      <c r="E2658" s="42">
        <v>1</v>
      </c>
      <c r="F2658" s="9"/>
      <c r="G2658" s="8">
        <f t="shared" si="90"/>
        <v>9.9776249999999997</v>
      </c>
      <c r="H2658" s="188">
        <v>9.5024999999999995</v>
      </c>
      <c r="I2658" s="19">
        <f t="shared" si="91"/>
        <v>0</v>
      </c>
      <c r="L2658" s="131"/>
      <c r="M2658" s="131"/>
      <c r="N2658" s="131"/>
    </row>
    <row r="2659" spans="1:14" hidden="1">
      <c r="A2659" s="100" t="s">
        <v>862</v>
      </c>
      <c r="B2659" s="101" t="s">
        <v>4826</v>
      </c>
      <c r="C2659" s="115" t="s">
        <v>4827</v>
      </c>
      <c r="D2659" s="38"/>
      <c r="E2659" s="42">
        <v>1</v>
      </c>
      <c r="F2659" s="9"/>
      <c r="G2659" s="8">
        <f t="shared" si="90"/>
        <v>65.472225000000009</v>
      </c>
      <c r="H2659" s="188">
        <v>62.354500000000002</v>
      </c>
      <c r="I2659" s="19">
        <f t="shared" si="91"/>
        <v>0</v>
      </c>
      <c r="L2659" s="131"/>
      <c r="M2659" s="131"/>
      <c r="N2659" s="131"/>
    </row>
    <row r="2660" spans="1:14" hidden="1">
      <c r="A2660" s="100" t="s">
        <v>862</v>
      </c>
      <c r="B2660" s="101" t="s">
        <v>4828</v>
      </c>
      <c r="C2660" s="115" t="s">
        <v>4829</v>
      </c>
      <c r="D2660" s="38"/>
      <c r="E2660" s="42">
        <v>1</v>
      </c>
      <c r="F2660" s="9"/>
      <c r="G2660" s="8">
        <f t="shared" si="90"/>
        <v>49.125300000000003</v>
      </c>
      <c r="H2660" s="188">
        <v>46.786000000000001</v>
      </c>
      <c r="I2660" s="19">
        <f t="shared" si="91"/>
        <v>0</v>
      </c>
      <c r="L2660" s="131"/>
      <c r="M2660" s="131"/>
      <c r="N2660" s="131"/>
    </row>
    <row r="2661" spans="1:14" hidden="1">
      <c r="A2661" s="100" t="s">
        <v>862</v>
      </c>
      <c r="B2661" s="101" t="s">
        <v>4830</v>
      </c>
      <c r="C2661" s="115" t="s">
        <v>4831</v>
      </c>
      <c r="D2661" s="38"/>
      <c r="E2661" s="42">
        <v>1</v>
      </c>
      <c r="F2661" s="9"/>
      <c r="G2661" s="8">
        <f t="shared" ref="G2661:G2724" si="92">H2661+(H2661*5%)</f>
        <v>5.3565749999999994</v>
      </c>
      <c r="H2661" s="188">
        <v>5.1014999999999997</v>
      </c>
      <c r="I2661" s="19">
        <f t="shared" si="91"/>
        <v>0</v>
      </c>
      <c r="L2661" s="131"/>
      <c r="M2661" s="131"/>
      <c r="N2661" s="131"/>
    </row>
    <row r="2662" spans="1:14" hidden="1">
      <c r="A2662" s="100" t="s">
        <v>862</v>
      </c>
      <c r="B2662" s="101" t="s">
        <v>4832</v>
      </c>
      <c r="C2662" s="115" t="s">
        <v>4833</v>
      </c>
      <c r="D2662" s="38"/>
      <c r="E2662" s="42">
        <v>1</v>
      </c>
      <c r="F2662" s="9"/>
      <c r="G2662" s="8">
        <f t="shared" si="92"/>
        <v>14.037975000000001</v>
      </c>
      <c r="H2662" s="188">
        <v>13.3695</v>
      </c>
      <c r="I2662" s="19">
        <f t="shared" si="91"/>
        <v>0</v>
      </c>
      <c r="L2662" s="131"/>
      <c r="M2662" s="131"/>
      <c r="N2662" s="131"/>
    </row>
    <row r="2663" spans="1:14" hidden="1">
      <c r="A2663" s="100" t="s">
        <v>862</v>
      </c>
      <c r="B2663" s="101" t="s">
        <v>4834</v>
      </c>
      <c r="C2663" s="115" t="s">
        <v>4835</v>
      </c>
      <c r="D2663" s="38"/>
      <c r="E2663" s="42">
        <v>1</v>
      </c>
      <c r="F2663" s="9"/>
      <c r="G2663" s="8">
        <f t="shared" si="92"/>
        <v>8.250375</v>
      </c>
      <c r="H2663" s="188">
        <v>7.8574999999999999</v>
      </c>
      <c r="I2663" s="19">
        <f t="shared" ref="I2663:I2726" si="93">G2663*F2663</f>
        <v>0</v>
      </c>
      <c r="L2663" s="131"/>
      <c r="M2663" s="131"/>
      <c r="N2663" s="131"/>
    </row>
    <row r="2664" spans="1:14" hidden="1">
      <c r="A2664" s="100" t="s">
        <v>862</v>
      </c>
      <c r="B2664" s="101" t="s">
        <v>4836</v>
      </c>
      <c r="C2664" s="115" t="s">
        <v>4837</v>
      </c>
      <c r="D2664" s="38"/>
      <c r="E2664" s="42">
        <v>1</v>
      </c>
      <c r="F2664" s="9"/>
      <c r="G2664" s="8">
        <f t="shared" si="92"/>
        <v>112.69125</v>
      </c>
      <c r="H2664" s="188">
        <v>107.325</v>
      </c>
      <c r="I2664" s="19">
        <f t="shared" si="93"/>
        <v>0</v>
      </c>
      <c r="L2664" s="131"/>
      <c r="M2664" s="131"/>
      <c r="N2664" s="131"/>
    </row>
    <row r="2665" spans="1:14" hidden="1">
      <c r="A2665" s="100" t="s">
        <v>862</v>
      </c>
      <c r="B2665" s="101" t="s">
        <v>4838</v>
      </c>
      <c r="C2665" s="115" t="s">
        <v>4839</v>
      </c>
      <c r="D2665" s="38"/>
      <c r="E2665" s="42">
        <v>1</v>
      </c>
      <c r="F2665" s="9"/>
      <c r="G2665" s="8">
        <f t="shared" si="92"/>
        <v>72.4542</v>
      </c>
      <c r="H2665" s="188">
        <v>69.004000000000005</v>
      </c>
      <c r="I2665" s="19">
        <f t="shared" si="93"/>
        <v>0</v>
      </c>
      <c r="L2665" s="131"/>
      <c r="M2665" s="131"/>
      <c r="N2665" s="131"/>
    </row>
    <row r="2666" spans="1:14" hidden="1">
      <c r="A2666" s="100" t="s">
        <v>862</v>
      </c>
      <c r="B2666" s="101" t="s">
        <v>4840</v>
      </c>
      <c r="C2666" s="115" t="s">
        <v>4841</v>
      </c>
      <c r="D2666" s="38"/>
      <c r="E2666" s="42">
        <v>1</v>
      </c>
      <c r="F2666" s="9"/>
      <c r="G2666" s="8">
        <f t="shared" si="92"/>
        <v>76.384875000000008</v>
      </c>
      <c r="H2666" s="188">
        <v>72.747500000000002</v>
      </c>
      <c r="I2666" s="19">
        <f t="shared" si="93"/>
        <v>0</v>
      </c>
      <c r="L2666" s="131"/>
      <c r="M2666" s="131"/>
      <c r="N2666" s="131"/>
    </row>
    <row r="2667" spans="1:14" hidden="1">
      <c r="A2667" s="100" t="s">
        <v>862</v>
      </c>
      <c r="B2667" s="101" t="s">
        <v>4842</v>
      </c>
      <c r="C2667" s="115" t="s">
        <v>4843</v>
      </c>
      <c r="D2667" s="38"/>
      <c r="E2667" s="42">
        <v>1</v>
      </c>
      <c r="F2667" s="9"/>
      <c r="G2667" s="8">
        <f t="shared" si="92"/>
        <v>119.723625</v>
      </c>
      <c r="H2667" s="188">
        <v>114.02249999999999</v>
      </c>
      <c r="I2667" s="19">
        <f t="shared" si="93"/>
        <v>0</v>
      </c>
      <c r="L2667" s="131"/>
      <c r="M2667" s="131"/>
      <c r="N2667" s="131"/>
    </row>
    <row r="2668" spans="1:14" hidden="1">
      <c r="A2668" s="100" t="s">
        <v>862</v>
      </c>
      <c r="B2668" s="101" t="s">
        <v>4844</v>
      </c>
      <c r="C2668" s="115" t="s">
        <v>4845</v>
      </c>
      <c r="D2668" s="38"/>
      <c r="E2668" s="42">
        <v>1</v>
      </c>
      <c r="F2668" s="9"/>
      <c r="G2668" s="8">
        <f t="shared" si="92"/>
        <v>61.270650000000003</v>
      </c>
      <c r="H2668" s="188">
        <v>58.353000000000002</v>
      </c>
      <c r="I2668" s="19">
        <f t="shared" si="93"/>
        <v>0</v>
      </c>
      <c r="L2668" s="131"/>
      <c r="M2668" s="131"/>
      <c r="N2668" s="131"/>
    </row>
    <row r="2669" spans="1:14" hidden="1">
      <c r="A2669" s="100" t="s">
        <v>862</v>
      </c>
      <c r="B2669" s="101" t="s">
        <v>4846</v>
      </c>
      <c r="C2669" s="115" t="s">
        <v>4847</v>
      </c>
      <c r="D2669" s="38"/>
      <c r="E2669" s="42">
        <v>1</v>
      </c>
      <c r="F2669" s="9"/>
      <c r="G2669" s="8">
        <f t="shared" si="92"/>
        <v>53.3127</v>
      </c>
      <c r="H2669" s="188">
        <v>50.774000000000001</v>
      </c>
      <c r="I2669" s="19">
        <f t="shared" si="93"/>
        <v>0</v>
      </c>
      <c r="L2669" s="131"/>
      <c r="M2669" s="131"/>
      <c r="N2669" s="131"/>
    </row>
    <row r="2670" spans="1:14" hidden="1">
      <c r="A2670" s="100" t="s">
        <v>862</v>
      </c>
      <c r="B2670" s="101" t="s">
        <v>4848</v>
      </c>
      <c r="C2670" s="115" t="s">
        <v>4849</v>
      </c>
      <c r="D2670" s="38"/>
      <c r="E2670" s="42">
        <v>1</v>
      </c>
      <c r="F2670" s="9"/>
      <c r="G2670" s="8">
        <f t="shared" si="92"/>
        <v>28.856625000000001</v>
      </c>
      <c r="H2670" s="188">
        <v>27.482500000000002</v>
      </c>
      <c r="I2670" s="19">
        <f t="shared" si="93"/>
        <v>0</v>
      </c>
      <c r="L2670" s="131"/>
      <c r="M2670" s="131"/>
      <c r="N2670" s="131"/>
    </row>
    <row r="2671" spans="1:14" hidden="1">
      <c r="A2671" s="100" t="s">
        <v>862</v>
      </c>
      <c r="B2671" s="101" t="s">
        <v>4850</v>
      </c>
      <c r="C2671" s="115" t="s">
        <v>4851</v>
      </c>
      <c r="D2671" s="38"/>
      <c r="E2671" s="42">
        <v>1</v>
      </c>
      <c r="F2671" s="9"/>
      <c r="G2671" s="8">
        <f t="shared" si="92"/>
        <v>239.11545000000001</v>
      </c>
      <c r="H2671" s="188">
        <v>227.72900000000001</v>
      </c>
      <c r="I2671" s="19">
        <f t="shared" si="93"/>
        <v>0</v>
      </c>
      <c r="L2671" s="131"/>
      <c r="M2671" s="131"/>
      <c r="N2671" s="131"/>
    </row>
    <row r="2672" spans="1:14" hidden="1">
      <c r="A2672" s="100" t="s">
        <v>862</v>
      </c>
      <c r="B2672" s="101" t="s">
        <v>4852</v>
      </c>
      <c r="C2672" s="115" t="s">
        <v>4853</v>
      </c>
      <c r="D2672" s="38"/>
      <c r="E2672" s="42">
        <v>1</v>
      </c>
      <c r="F2672" s="9"/>
      <c r="G2672" s="8">
        <f t="shared" si="92"/>
        <v>219.96975</v>
      </c>
      <c r="H2672" s="188">
        <v>209.495</v>
      </c>
      <c r="I2672" s="19">
        <f t="shared" si="93"/>
        <v>0</v>
      </c>
      <c r="L2672" s="131"/>
      <c r="M2672" s="131"/>
      <c r="N2672" s="131"/>
    </row>
    <row r="2673" spans="1:14" hidden="1">
      <c r="A2673" s="100" t="s">
        <v>862</v>
      </c>
      <c r="B2673" s="101" t="s">
        <v>4854</v>
      </c>
      <c r="C2673" s="115" t="s">
        <v>4855</v>
      </c>
      <c r="D2673" s="38"/>
      <c r="E2673" s="42">
        <v>1</v>
      </c>
      <c r="F2673" s="9"/>
      <c r="G2673" s="8">
        <f t="shared" si="92"/>
        <v>142.98375000000001</v>
      </c>
      <c r="H2673" s="188">
        <v>136.17500000000001</v>
      </c>
      <c r="I2673" s="19">
        <f t="shared" si="93"/>
        <v>0</v>
      </c>
      <c r="L2673" s="131"/>
      <c r="M2673" s="131"/>
      <c r="N2673" s="131"/>
    </row>
    <row r="2674" spans="1:14" hidden="1">
      <c r="A2674" s="100" t="s">
        <v>862</v>
      </c>
      <c r="B2674" s="101" t="s">
        <v>4856</v>
      </c>
      <c r="C2674" s="115" t="s">
        <v>4857</v>
      </c>
      <c r="D2674" s="38"/>
      <c r="E2674" s="42">
        <v>1</v>
      </c>
      <c r="F2674" s="9"/>
      <c r="G2674" s="8">
        <f t="shared" si="92"/>
        <v>69.936824999999999</v>
      </c>
      <c r="H2674" s="188">
        <v>66.606499999999997</v>
      </c>
      <c r="I2674" s="19">
        <f t="shared" si="93"/>
        <v>0</v>
      </c>
      <c r="L2674" s="131"/>
      <c r="M2674" s="131"/>
      <c r="N2674" s="131"/>
    </row>
    <row r="2675" spans="1:14" hidden="1">
      <c r="A2675" s="100" t="s">
        <v>862</v>
      </c>
      <c r="B2675" s="101" t="s">
        <v>4858</v>
      </c>
      <c r="C2675" s="115" t="s">
        <v>4859</v>
      </c>
      <c r="D2675" s="38"/>
      <c r="E2675" s="42">
        <v>1</v>
      </c>
      <c r="F2675" s="9"/>
      <c r="G2675" s="8">
        <f t="shared" si="92"/>
        <v>21.26145</v>
      </c>
      <c r="H2675" s="188">
        <v>20.248999999999999</v>
      </c>
      <c r="I2675" s="19">
        <f t="shared" si="93"/>
        <v>0</v>
      </c>
      <c r="L2675" s="131"/>
      <c r="M2675" s="131"/>
      <c r="N2675" s="131"/>
    </row>
    <row r="2676" spans="1:14" hidden="1">
      <c r="A2676" s="100" t="s">
        <v>862</v>
      </c>
      <c r="B2676" s="101" t="s">
        <v>4860</v>
      </c>
      <c r="C2676" s="115" t="s">
        <v>4861</v>
      </c>
      <c r="D2676" s="38"/>
      <c r="E2676" s="42">
        <v>1</v>
      </c>
      <c r="F2676" s="9"/>
      <c r="G2676" s="8">
        <f t="shared" si="92"/>
        <v>5.3025000000000002</v>
      </c>
      <c r="H2676" s="188">
        <v>5.05</v>
      </c>
      <c r="I2676" s="19">
        <f t="shared" si="93"/>
        <v>0</v>
      </c>
      <c r="L2676" s="131"/>
      <c r="M2676" s="131"/>
      <c r="N2676" s="131"/>
    </row>
    <row r="2677" spans="1:14" hidden="1">
      <c r="A2677" s="100" t="s">
        <v>862</v>
      </c>
      <c r="B2677" s="101" t="s">
        <v>4862</v>
      </c>
      <c r="C2677" s="115" t="s">
        <v>4863</v>
      </c>
      <c r="D2677" s="38"/>
      <c r="E2677" s="42">
        <v>1</v>
      </c>
      <c r="F2677" s="9"/>
      <c r="G2677" s="8">
        <f t="shared" si="92"/>
        <v>5.3025000000000002</v>
      </c>
      <c r="H2677" s="188">
        <v>5.05</v>
      </c>
      <c r="I2677" s="19">
        <f t="shared" si="93"/>
        <v>0</v>
      </c>
      <c r="L2677" s="131"/>
      <c r="M2677" s="131"/>
      <c r="N2677" s="131"/>
    </row>
    <row r="2678" spans="1:14" hidden="1">
      <c r="A2678" s="100" t="s">
        <v>862</v>
      </c>
      <c r="B2678" s="101" t="s">
        <v>4864</v>
      </c>
      <c r="C2678" s="115" t="s">
        <v>4865</v>
      </c>
      <c r="D2678" s="38"/>
      <c r="E2678" s="42">
        <v>1</v>
      </c>
      <c r="F2678" s="9"/>
      <c r="G2678" s="8">
        <f t="shared" si="92"/>
        <v>5.3025000000000002</v>
      </c>
      <c r="H2678" s="188">
        <v>5.05</v>
      </c>
      <c r="I2678" s="19">
        <f t="shared" si="93"/>
        <v>0</v>
      </c>
      <c r="L2678" s="131"/>
      <c r="M2678" s="131"/>
      <c r="N2678" s="131"/>
    </row>
    <row r="2679" spans="1:14" hidden="1">
      <c r="A2679" s="100" t="s">
        <v>862</v>
      </c>
      <c r="B2679" s="101" t="s">
        <v>4866</v>
      </c>
      <c r="C2679" s="115" t="s">
        <v>4867</v>
      </c>
      <c r="D2679" s="38"/>
      <c r="E2679" s="42">
        <v>1</v>
      </c>
      <c r="F2679" s="9"/>
      <c r="G2679" s="8">
        <f t="shared" si="92"/>
        <v>28.783125000000002</v>
      </c>
      <c r="H2679" s="188">
        <v>27.412500000000001</v>
      </c>
      <c r="I2679" s="19">
        <f t="shared" si="93"/>
        <v>0</v>
      </c>
      <c r="L2679" s="131"/>
      <c r="M2679" s="131"/>
      <c r="N2679" s="131"/>
    </row>
    <row r="2680" spans="1:14">
      <c r="A2680" s="100" t="s">
        <v>862</v>
      </c>
      <c r="B2680" s="101" t="s">
        <v>4868</v>
      </c>
      <c r="C2680" s="115" t="s">
        <v>4869</v>
      </c>
      <c r="D2680" s="38"/>
      <c r="E2680" s="42">
        <v>1</v>
      </c>
      <c r="F2680" s="9">
        <v>12</v>
      </c>
      <c r="G2680" s="8">
        <f t="shared" si="92"/>
        <v>2.8234500000000002</v>
      </c>
      <c r="H2680" s="188">
        <v>2.6890000000000001</v>
      </c>
      <c r="I2680" s="19">
        <f t="shared" si="93"/>
        <v>33.881399999999999</v>
      </c>
      <c r="L2680" s="131"/>
      <c r="M2680" s="131"/>
      <c r="N2680" s="131"/>
    </row>
    <row r="2681" spans="1:14" hidden="1">
      <c r="A2681" s="100" t="s">
        <v>862</v>
      </c>
      <c r="B2681" s="101" t="s">
        <v>4870</v>
      </c>
      <c r="C2681" s="115" t="s">
        <v>4871</v>
      </c>
      <c r="D2681" s="38"/>
      <c r="E2681" s="42">
        <v>1</v>
      </c>
      <c r="F2681" s="9"/>
      <c r="G2681" s="8">
        <f t="shared" si="92"/>
        <v>3.4046250000000002</v>
      </c>
      <c r="H2681" s="188">
        <v>3.2425000000000002</v>
      </c>
      <c r="I2681" s="19">
        <f t="shared" si="93"/>
        <v>0</v>
      </c>
      <c r="L2681" s="131"/>
      <c r="M2681" s="131"/>
      <c r="N2681" s="131"/>
    </row>
    <row r="2682" spans="1:14">
      <c r="A2682" s="100" t="s">
        <v>862</v>
      </c>
      <c r="B2682" s="101" t="s">
        <v>4872</v>
      </c>
      <c r="C2682" s="115" t="s">
        <v>4873</v>
      </c>
      <c r="D2682" s="38"/>
      <c r="E2682" s="42">
        <v>1</v>
      </c>
      <c r="F2682" s="9">
        <v>1</v>
      </c>
      <c r="G2682" s="8">
        <f t="shared" si="92"/>
        <v>4.5386249999999997</v>
      </c>
      <c r="H2682" s="188">
        <v>4.3224999999999998</v>
      </c>
      <c r="I2682" s="19">
        <f t="shared" si="93"/>
        <v>4.5386249999999997</v>
      </c>
      <c r="L2682" s="131"/>
      <c r="M2682" s="131"/>
      <c r="N2682" s="131"/>
    </row>
    <row r="2683" spans="1:14" hidden="1">
      <c r="A2683" s="100" t="s">
        <v>862</v>
      </c>
      <c r="B2683" s="101" t="s">
        <v>4874</v>
      </c>
      <c r="C2683" s="115" t="s">
        <v>4875</v>
      </c>
      <c r="D2683" s="38"/>
      <c r="E2683" s="42">
        <v>1</v>
      </c>
      <c r="F2683" s="9"/>
      <c r="G2683" s="8">
        <f t="shared" si="92"/>
        <v>5.6594999999999995</v>
      </c>
      <c r="H2683" s="188">
        <v>5.39</v>
      </c>
      <c r="I2683" s="19">
        <f t="shared" si="93"/>
        <v>0</v>
      </c>
      <c r="L2683" s="131"/>
      <c r="M2683" s="131"/>
      <c r="N2683" s="131"/>
    </row>
    <row r="2684" spans="1:14" hidden="1">
      <c r="A2684" s="100" t="s">
        <v>862</v>
      </c>
      <c r="B2684" s="101" t="s">
        <v>4876</v>
      </c>
      <c r="C2684" s="115" t="s">
        <v>4877</v>
      </c>
      <c r="D2684" s="38"/>
      <c r="E2684" s="42">
        <v>1</v>
      </c>
      <c r="F2684" s="9"/>
      <c r="G2684" s="8">
        <f t="shared" si="92"/>
        <v>8.3684999999999992</v>
      </c>
      <c r="H2684" s="188">
        <v>7.97</v>
      </c>
      <c r="I2684" s="19">
        <f t="shared" si="93"/>
        <v>0</v>
      </c>
      <c r="L2684" s="131"/>
      <c r="M2684" s="131"/>
      <c r="N2684" s="131"/>
    </row>
    <row r="2685" spans="1:14" hidden="1">
      <c r="A2685" s="100" t="s">
        <v>862</v>
      </c>
      <c r="B2685" s="114" t="s">
        <v>4878</v>
      </c>
      <c r="C2685" s="113" t="s">
        <v>4879</v>
      </c>
      <c r="D2685" s="38" t="s">
        <v>572</v>
      </c>
      <c r="E2685" s="42">
        <v>1</v>
      </c>
      <c r="F2685" s="9"/>
      <c r="G2685" s="8">
        <f t="shared" si="92"/>
        <v>0.62474999999999992</v>
      </c>
      <c r="H2685" s="188">
        <v>0.59499999999999997</v>
      </c>
      <c r="I2685" s="19">
        <f t="shared" si="93"/>
        <v>0</v>
      </c>
      <c r="L2685" s="131"/>
      <c r="M2685" s="131"/>
      <c r="N2685" s="131"/>
    </row>
    <row r="2686" spans="1:14" hidden="1">
      <c r="A2686" s="100" t="s">
        <v>862</v>
      </c>
      <c r="B2686" s="101" t="s">
        <v>4880</v>
      </c>
      <c r="C2686" s="115" t="s">
        <v>4881</v>
      </c>
      <c r="D2686" s="38"/>
      <c r="E2686" s="42">
        <v>1</v>
      </c>
      <c r="F2686" s="9"/>
      <c r="G2686" s="8">
        <f t="shared" si="92"/>
        <v>7.7699999999999991E-2</v>
      </c>
      <c r="H2686" s="188">
        <v>7.3999999999999996E-2</v>
      </c>
      <c r="I2686" s="19">
        <f t="shared" si="93"/>
        <v>0</v>
      </c>
      <c r="L2686" s="131"/>
      <c r="M2686" s="131"/>
      <c r="N2686" s="131"/>
    </row>
    <row r="2687" spans="1:14" hidden="1">
      <c r="A2687" s="100" t="s">
        <v>862</v>
      </c>
      <c r="B2687" s="101" t="s">
        <v>4882</v>
      </c>
      <c r="C2687" s="115" t="s">
        <v>4883</v>
      </c>
      <c r="D2687" s="38"/>
      <c r="E2687" s="42">
        <v>1</v>
      </c>
      <c r="F2687" s="9"/>
      <c r="G2687" s="8">
        <f t="shared" si="92"/>
        <v>147.18795</v>
      </c>
      <c r="H2687" s="188">
        <v>140.179</v>
      </c>
      <c r="I2687" s="19">
        <f t="shared" si="93"/>
        <v>0</v>
      </c>
      <c r="L2687" s="131"/>
      <c r="M2687" s="131"/>
      <c r="N2687" s="131"/>
    </row>
    <row r="2688" spans="1:14" hidden="1">
      <c r="A2688" s="100" t="s">
        <v>862</v>
      </c>
      <c r="B2688" s="101" t="s">
        <v>4884</v>
      </c>
      <c r="C2688" s="115" t="s">
        <v>4885</v>
      </c>
      <c r="D2688" s="38"/>
      <c r="E2688" s="42">
        <v>1</v>
      </c>
      <c r="F2688" s="9"/>
      <c r="G2688" s="8">
        <f t="shared" si="92"/>
        <v>147.18795</v>
      </c>
      <c r="H2688" s="188">
        <v>140.179</v>
      </c>
      <c r="I2688" s="19">
        <f t="shared" si="93"/>
        <v>0</v>
      </c>
      <c r="L2688" s="131"/>
      <c r="M2688" s="131"/>
      <c r="N2688" s="131"/>
    </row>
    <row r="2689" spans="1:14" hidden="1">
      <c r="A2689" s="100" t="s">
        <v>862</v>
      </c>
      <c r="B2689" s="101" t="s">
        <v>4886</v>
      </c>
      <c r="C2689" s="115" t="s">
        <v>4887</v>
      </c>
      <c r="D2689" s="38"/>
      <c r="E2689" s="42">
        <v>1</v>
      </c>
      <c r="F2689" s="9"/>
      <c r="G2689" s="8">
        <f t="shared" si="92"/>
        <v>9.3213749999999997</v>
      </c>
      <c r="H2689" s="188">
        <v>8.8774999999999995</v>
      </c>
      <c r="I2689" s="19">
        <f t="shared" si="93"/>
        <v>0</v>
      </c>
      <c r="L2689" s="131"/>
      <c r="M2689" s="131"/>
      <c r="N2689" s="131"/>
    </row>
    <row r="2690" spans="1:14" hidden="1">
      <c r="A2690" s="100" t="s">
        <v>862</v>
      </c>
      <c r="B2690" s="101" t="s">
        <v>4888</v>
      </c>
      <c r="C2690" s="115" t="s">
        <v>4889</v>
      </c>
      <c r="D2690" s="38"/>
      <c r="E2690" s="42">
        <v>1</v>
      </c>
      <c r="F2690" s="9"/>
      <c r="G2690" s="8">
        <f t="shared" si="92"/>
        <v>12.822075</v>
      </c>
      <c r="H2690" s="188">
        <v>12.211499999999999</v>
      </c>
      <c r="I2690" s="19">
        <f t="shared" si="93"/>
        <v>0</v>
      </c>
      <c r="L2690" s="131"/>
      <c r="M2690" s="131"/>
      <c r="N2690" s="131"/>
    </row>
    <row r="2691" spans="1:14" hidden="1">
      <c r="A2691" s="100" t="s">
        <v>862</v>
      </c>
      <c r="B2691" s="101" t="s">
        <v>4890</v>
      </c>
      <c r="C2691" s="115" t="s">
        <v>4891</v>
      </c>
      <c r="D2691" s="38"/>
      <c r="E2691" s="42">
        <v>1</v>
      </c>
      <c r="F2691" s="9"/>
      <c r="G2691" s="8">
        <f t="shared" si="92"/>
        <v>12.817874999999999</v>
      </c>
      <c r="H2691" s="188">
        <v>12.2075</v>
      </c>
      <c r="I2691" s="19">
        <f t="shared" si="93"/>
        <v>0</v>
      </c>
      <c r="L2691" s="131"/>
      <c r="M2691" s="131"/>
      <c r="N2691" s="131"/>
    </row>
    <row r="2692" spans="1:14" hidden="1">
      <c r="A2692" s="100" t="s">
        <v>862</v>
      </c>
      <c r="B2692" s="101" t="s">
        <v>4892</v>
      </c>
      <c r="C2692" s="115" t="s">
        <v>4893</v>
      </c>
      <c r="D2692" s="38"/>
      <c r="E2692" s="42">
        <v>1</v>
      </c>
      <c r="F2692" s="9"/>
      <c r="G2692" s="8">
        <f t="shared" si="92"/>
        <v>23.241750000000003</v>
      </c>
      <c r="H2692" s="188">
        <v>22.135000000000002</v>
      </c>
      <c r="I2692" s="19">
        <f t="shared" si="93"/>
        <v>0</v>
      </c>
      <c r="L2692" s="131"/>
      <c r="M2692" s="131"/>
      <c r="N2692" s="131"/>
    </row>
    <row r="2693" spans="1:14" hidden="1">
      <c r="A2693" s="100" t="s">
        <v>862</v>
      </c>
      <c r="B2693" s="101" t="s">
        <v>4894</v>
      </c>
      <c r="C2693" s="115" t="s">
        <v>4895</v>
      </c>
      <c r="D2693" s="38"/>
      <c r="E2693" s="42">
        <v>1</v>
      </c>
      <c r="F2693" s="9"/>
      <c r="G2693" s="8">
        <f t="shared" si="92"/>
        <v>19.234949999999998</v>
      </c>
      <c r="H2693" s="188">
        <v>18.318999999999999</v>
      </c>
      <c r="I2693" s="19">
        <f t="shared" si="93"/>
        <v>0</v>
      </c>
      <c r="L2693" s="131"/>
      <c r="M2693" s="131"/>
      <c r="N2693" s="131"/>
    </row>
    <row r="2694" spans="1:14" hidden="1">
      <c r="A2694" s="100" t="s">
        <v>862</v>
      </c>
      <c r="B2694" s="101" t="s">
        <v>4896</v>
      </c>
      <c r="C2694" s="115" t="s">
        <v>4897</v>
      </c>
      <c r="D2694" s="38"/>
      <c r="E2694" s="42">
        <v>1</v>
      </c>
      <c r="F2694" s="9"/>
      <c r="G2694" s="8">
        <f t="shared" si="92"/>
        <v>13.216875</v>
      </c>
      <c r="H2694" s="188">
        <v>12.5875</v>
      </c>
      <c r="I2694" s="19">
        <f t="shared" si="93"/>
        <v>0</v>
      </c>
      <c r="L2694" s="131"/>
      <c r="M2694" s="131"/>
      <c r="N2694" s="131"/>
    </row>
    <row r="2695" spans="1:14" hidden="1">
      <c r="A2695" s="100" t="s">
        <v>862</v>
      </c>
      <c r="B2695" s="101" t="s">
        <v>4898</v>
      </c>
      <c r="C2695" s="115" t="s">
        <v>4899</v>
      </c>
      <c r="D2695" s="38"/>
      <c r="E2695" s="42">
        <v>1</v>
      </c>
      <c r="F2695" s="9"/>
      <c r="G2695" s="8">
        <f t="shared" si="92"/>
        <v>36.063825000000001</v>
      </c>
      <c r="H2695" s="188">
        <v>34.346499999999999</v>
      </c>
      <c r="I2695" s="19">
        <f t="shared" si="93"/>
        <v>0</v>
      </c>
      <c r="L2695" s="131"/>
      <c r="M2695" s="131"/>
      <c r="N2695" s="131"/>
    </row>
    <row r="2696" spans="1:14" hidden="1">
      <c r="A2696" s="100" t="s">
        <v>862</v>
      </c>
      <c r="B2696" s="101" t="s">
        <v>4900</v>
      </c>
      <c r="C2696" s="115" t="s">
        <v>4901</v>
      </c>
      <c r="D2696" s="38"/>
      <c r="E2696" s="42">
        <v>1</v>
      </c>
      <c r="F2696" s="9"/>
      <c r="G2696" s="8">
        <f t="shared" si="92"/>
        <v>39.269999999999996</v>
      </c>
      <c r="H2696" s="188">
        <v>37.4</v>
      </c>
      <c r="I2696" s="19">
        <f t="shared" si="93"/>
        <v>0</v>
      </c>
      <c r="L2696" s="131"/>
      <c r="M2696" s="131"/>
      <c r="N2696" s="131"/>
    </row>
    <row r="2697" spans="1:14" hidden="1">
      <c r="A2697" s="100" t="s">
        <v>862</v>
      </c>
      <c r="B2697" s="101" t="s">
        <v>4902</v>
      </c>
      <c r="C2697" s="115" t="s">
        <v>4903</v>
      </c>
      <c r="D2697" s="38"/>
      <c r="E2697" s="42">
        <v>1</v>
      </c>
      <c r="F2697" s="9"/>
      <c r="G2697" s="8">
        <f t="shared" si="92"/>
        <v>25.645199999999999</v>
      </c>
      <c r="H2697" s="188">
        <v>24.423999999999999</v>
      </c>
      <c r="I2697" s="19">
        <f t="shared" si="93"/>
        <v>0</v>
      </c>
      <c r="L2697" s="131"/>
      <c r="M2697" s="131"/>
      <c r="N2697" s="131"/>
    </row>
    <row r="2698" spans="1:14" hidden="1">
      <c r="A2698" s="100" t="s">
        <v>862</v>
      </c>
      <c r="B2698" s="101" t="s">
        <v>4904</v>
      </c>
      <c r="C2698" s="115" t="s">
        <v>4905</v>
      </c>
      <c r="D2698" s="38"/>
      <c r="E2698" s="42">
        <v>1</v>
      </c>
      <c r="F2698" s="9"/>
      <c r="G2698" s="8">
        <f t="shared" si="92"/>
        <v>13.543949999999999</v>
      </c>
      <c r="H2698" s="188">
        <v>12.898999999999999</v>
      </c>
      <c r="I2698" s="19">
        <f t="shared" si="93"/>
        <v>0</v>
      </c>
      <c r="L2698" s="131"/>
      <c r="M2698" s="131"/>
      <c r="N2698" s="131"/>
    </row>
    <row r="2699" spans="1:14" hidden="1">
      <c r="A2699" s="100" t="s">
        <v>862</v>
      </c>
      <c r="B2699" s="101" t="s">
        <v>4906</v>
      </c>
      <c r="C2699" s="115" t="s">
        <v>4907</v>
      </c>
      <c r="D2699" s="38"/>
      <c r="E2699" s="42">
        <v>1</v>
      </c>
      <c r="F2699" s="9"/>
      <c r="G2699" s="8">
        <f t="shared" si="92"/>
        <v>0.77069999999999994</v>
      </c>
      <c r="H2699" s="188">
        <v>0.73399999999999999</v>
      </c>
      <c r="I2699" s="19">
        <f t="shared" si="93"/>
        <v>0</v>
      </c>
      <c r="L2699" s="131"/>
      <c r="M2699" s="131"/>
      <c r="N2699" s="131"/>
    </row>
    <row r="2700" spans="1:14" hidden="1">
      <c r="A2700" s="100" t="s">
        <v>862</v>
      </c>
      <c r="B2700" s="101" t="s">
        <v>4908</v>
      </c>
      <c r="C2700" s="115" t="s">
        <v>4909</v>
      </c>
      <c r="D2700" s="38"/>
      <c r="E2700" s="42">
        <v>1</v>
      </c>
      <c r="F2700" s="9"/>
      <c r="G2700" s="8">
        <f t="shared" si="92"/>
        <v>8.8163249999999991</v>
      </c>
      <c r="H2700" s="188">
        <v>8.3964999999999996</v>
      </c>
      <c r="I2700" s="19">
        <f t="shared" si="93"/>
        <v>0</v>
      </c>
      <c r="L2700" s="131"/>
      <c r="M2700" s="131"/>
      <c r="N2700" s="131"/>
    </row>
    <row r="2701" spans="1:14" hidden="1">
      <c r="A2701" s="100" t="s">
        <v>862</v>
      </c>
      <c r="B2701" s="101" t="s">
        <v>4910</v>
      </c>
      <c r="C2701" s="115" t="s">
        <v>4911</v>
      </c>
      <c r="D2701" s="38"/>
      <c r="E2701" s="42">
        <v>1</v>
      </c>
      <c r="F2701" s="9"/>
      <c r="G2701" s="8">
        <f t="shared" si="92"/>
        <v>65.936324999999997</v>
      </c>
      <c r="H2701" s="188">
        <v>62.796500000000002</v>
      </c>
      <c r="I2701" s="19">
        <f t="shared" si="93"/>
        <v>0</v>
      </c>
      <c r="L2701" s="131"/>
      <c r="M2701" s="131"/>
      <c r="N2701" s="131"/>
    </row>
    <row r="2702" spans="1:14" hidden="1">
      <c r="A2702" s="100" t="s">
        <v>862</v>
      </c>
      <c r="B2702" s="101" t="s">
        <v>4912</v>
      </c>
      <c r="C2702" s="115" t="s">
        <v>4913</v>
      </c>
      <c r="D2702" s="38"/>
      <c r="E2702" s="42">
        <v>1</v>
      </c>
      <c r="F2702" s="9"/>
      <c r="G2702" s="8">
        <f t="shared" si="92"/>
        <v>21.453074999999998</v>
      </c>
      <c r="H2702" s="188">
        <v>20.4315</v>
      </c>
      <c r="I2702" s="19">
        <f t="shared" si="93"/>
        <v>0</v>
      </c>
      <c r="L2702" s="131"/>
      <c r="M2702" s="131"/>
      <c r="N2702" s="131"/>
    </row>
    <row r="2703" spans="1:14" hidden="1">
      <c r="A2703" s="100" t="s">
        <v>862</v>
      </c>
      <c r="B2703" s="101" t="s">
        <v>4914</v>
      </c>
      <c r="C2703" s="115" t="s">
        <v>4915</v>
      </c>
      <c r="D2703" s="38"/>
      <c r="E2703" s="42">
        <v>1</v>
      </c>
      <c r="F2703" s="9"/>
      <c r="G2703" s="8">
        <f t="shared" si="92"/>
        <v>9.8584499999999995</v>
      </c>
      <c r="H2703" s="188">
        <v>9.3889999999999993</v>
      </c>
      <c r="I2703" s="19">
        <f t="shared" si="93"/>
        <v>0</v>
      </c>
      <c r="L2703" s="131"/>
      <c r="M2703" s="131"/>
      <c r="N2703" s="131"/>
    </row>
    <row r="2704" spans="1:14" hidden="1">
      <c r="A2704" s="100" t="s">
        <v>862</v>
      </c>
      <c r="B2704" s="101" t="s">
        <v>4916</v>
      </c>
      <c r="C2704" s="115" t="s">
        <v>4917</v>
      </c>
      <c r="D2704" s="38"/>
      <c r="E2704" s="42">
        <v>1</v>
      </c>
      <c r="F2704" s="9"/>
      <c r="G2704" s="8">
        <f t="shared" si="92"/>
        <v>8.866200000000001</v>
      </c>
      <c r="H2704" s="188">
        <v>8.4440000000000008</v>
      </c>
      <c r="I2704" s="19">
        <f t="shared" si="93"/>
        <v>0</v>
      </c>
      <c r="L2704" s="131"/>
      <c r="M2704" s="131"/>
      <c r="N2704" s="131"/>
    </row>
    <row r="2705" spans="1:14" hidden="1">
      <c r="A2705" s="100" t="s">
        <v>862</v>
      </c>
      <c r="B2705" s="101" t="s">
        <v>4918</v>
      </c>
      <c r="C2705" s="115" t="s">
        <v>4919</v>
      </c>
      <c r="D2705" s="38"/>
      <c r="E2705" s="42">
        <v>1</v>
      </c>
      <c r="F2705" s="9"/>
      <c r="G2705" s="8">
        <f t="shared" si="92"/>
        <v>42.889874999999996</v>
      </c>
      <c r="H2705" s="188">
        <v>40.847499999999997</v>
      </c>
      <c r="I2705" s="19">
        <f t="shared" si="93"/>
        <v>0</v>
      </c>
      <c r="L2705" s="131"/>
      <c r="M2705" s="131"/>
      <c r="N2705" s="131"/>
    </row>
    <row r="2706" spans="1:14" hidden="1">
      <c r="A2706" s="100" t="s">
        <v>862</v>
      </c>
      <c r="B2706" s="101" t="s">
        <v>4920</v>
      </c>
      <c r="C2706" s="115" t="s">
        <v>4921</v>
      </c>
      <c r="D2706" s="38"/>
      <c r="E2706" s="42">
        <v>1</v>
      </c>
      <c r="F2706" s="9"/>
      <c r="G2706" s="8">
        <f t="shared" si="92"/>
        <v>38.697749999999999</v>
      </c>
      <c r="H2706" s="188">
        <v>36.854999999999997</v>
      </c>
      <c r="I2706" s="19">
        <f t="shared" si="93"/>
        <v>0</v>
      </c>
      <c r="L2706" s="131"/>
      <c r="M2706" s="131"/>
      <c r="N2706" s="131"/>
    </row>
    <row r="2707" spans="1:14" hidden="1">
      <c r="A2707" s="100" t="s">
        <v>862</v>
      </c>
      <c r="B2707" s="101" t="s">
        <v>4922</v>
      </c>
      <c r="C2707" s="115" t="s">
        <v>4923</v>
      </c>
      <c r="D2707" s="38"/>
      <c r="E2707" s="42">
        <v>1</v>
      </c>
      <c r="F2707" s="9"/>
      <c r="G2707" s="8">
        <f t="shared" si="92"/>
        <v>39.066825000000001</v>
      </c>
      <c r="H2707" s="188">
        <v>37.206499999999998</v>
      </c>
      <c r="I2707" s="19">
        <f t="shared" si="93"/>
        <v>0</v>
      </c>
      <c r="L2707" s="131"/>
      <c r="M2707" s="131"/>
      <c r="N2707" s="131"/>
    </row>
    <row r="2708" spans="1:14" hidden="1">
      <c r="A2708" s="100" t="s">
        <v>862</v>
      </c>
      <c r="B2708" s="101" t="s">
        <v>4924</v>
      </c>
      <c r="C2708" s="115" t="s">
        <v>4925</v>
      </c>
      <c r="D2708" s="38"/>
      <c r="E2708" s="42">
        <v>1</v>
      </c>
      <c r="F2708" s="9"/>
      <c r="G2708" s="8">
        <f t="shared" si="92"/>
        <v>195.53100000000001</v>
      </c>
      <c r="H2708" s="188">
        <v>186.22</v>
      </c>
      <c r="I2708" s="19">
        <f t="shared" si="93"/>
        <v>0</v>
      </c>
      <c r="L2708" s="131"/>
      <c r="M2708" s="131"/>
      <c r="N2708" s="131"/>
    </row>
    <row r="2709" spans="1:14" hidden="1">
      <c r="A2709" s="100" t="s">
        <v>862</v>
      </c>
      <c r="B2709" s="101" t="s">
        <v>4926</v>
      </c>
      <c r="C2709" s="115" t="s">
        <v>4927</v>
      </c>
      <c r="D2709" s="38"/>
      <c r="E2709" s="42">
        <v>1</v>
      </c>
      <c r="F2709" s="9"/>
      <c r="G2709" s="8">
        <f t="shared" si="92"/>
        <v>25.645199999999999</v>
      </c>
      <c r="H2709" s="188">
        <v>24.423999999999999</v>
      </c>
      <c r="I2709" s="19">
        <f t="shared" si="93"/>
        <v>0</v>
      </c>
      <c r="L2709" s="131"/>
      <c r="M2709" s="131"/>
      <c r="N2709" s="131"/>
    </row>
    <row r="2710" spans="1:14" hidden="1">
      <c r="A2710" s="100" t="s">
        <v>862</v>
      </c>
      <c r="B2710" s="101" t="s">
        <v>4928</v>
      </c>
      <c r="C2710" s="115" t="s">
        <v>4929</v>
      </c>
      <c r="D2710" s="38"/>
      <c r="E2710" s="42">
        <v>1</v>
      </c>
      <c r="F2710" s="9"/>
      <c r="G2710" s="8">
        <f t="shared" si="92"/>
        <v>1.0962000000000001</v>
      </c>
      <c r="H2710" s="188">
        <v>1.044</v>
      </c>
      <c r="I2710" s="19">
        <f t="shared" si="93"/>
        <v>0</v>
      </c>
      <c r="L2710" s="131"/>
      <c r="M2710" s="131"/>
      <c r="N2710" s="131"/>
    </row>
    <row r="2711" spans="1:14" hidden="1">
      <c r="A2711" s="100" t="s">
        <v>862</v>
      </c>
      <c r="B2711" s="101" t="s">
        <v>4930</v>
      </c>
      <c r="C2711" s="115" t="s">
        <v>4931</v>
      </c>
      <c r="D2711" s="38"/>
      <c r="E2711" s="42">
        <v>1</v>
      </c>
      <c r="F2711" s="9"/>
      <c r="G2711" s="8">
        <f t="shared" si="92"/>
        <v>32.064374999999998</v>
      </c>
      <c r="H2711" s="188">
        <v>30.537500000000001</v>
      </c>
      <c r="I2711" s="19">
        <f t="shared" si="93"/>
        <v>0</v>
      </c>
      <c r="L2711" s="131"/>
      <c r="M2711" s="131"/>
      <c r="N2711" s="131"/>
    </row>
    <row r="2712" spans="1:14" hidden="1">
      <c r="A2712" s="100" t="s">
        <v>862</v>
      </c>
      <c r="B2712" s="101" t="s">
        <v>4932</v>
      </c>
      <c r="C2712" s="115" t="s">
        <v>4933</v>
      </c>
      <c r="D2712" s="38"/>
      <c r="E2712" s="42">
        <v>1</v>
      </c>
      <c r="F2712" s="9"/>
      <c r="G2712" s="8">
        <f t="shared" si="92"/>
        <v>104.18257500000001</v>
      </c>
      <c r="H2712" s="188">
        <v>99.221500000000006</v>
      </c>
      <c r="I2712" s="19">
        <f t="shared" si="93"/>
        <v>0</v>
      </c>
      <c r="L2712" s="131"/>
      <c r="M2712" s="131"/>
      <c r="N2712" s="131"/>
    </row>
    <row r="2713" spans="1:14" hidden="1">
      <c r="A2713" s="100" t="s">
        <v>862</v>
      </c>
      <c r="B2713" s="101" t="s">
        <v>4934</v>
      </c>
      <c r="C2713" s="115" t="s">
        <v>4935</v>
      </c>
      <c r="D2713" s="38"/>
      <c r="E2713" s="42">
        <v>1</v>
      </c>
      <c r="F2713" s="9"/>
      <c r="G2713" s="8">
        <f t="shared" si="92"/>
        <v>52.087875000000004</v>
      </c>
      <c r="H2713" s="188">
        <v>49.607500000000002</v>
      </c>
      <c r="I2713" s="19">
        <f t="shared" si="93"/>
        <v>0</v>
      </c>
      <c r="L2713" s="131"/>
      <c r="M2713" s="131"/>
      <c r="N2713" s="131"/>
    </row>
    <row r="2714" spans="1:14" hidden="1">
      <c r="A2714" s="100" t="s">
        <v>862</v>
      </c>
      <c r="B2714" s="101" t="s">
        <v>4936</v>
      </c>
      <c r="C2714" s="115" t="s">
        <v>4937</v>
      </c>
      <c r="D2714" s="38"/>
      <c r="E2714" s="42">
        <v>1</v>
      </c>
      <c r="F2714" s="9"/>
      <c r="G2714" s="8">
        <f t="shared" si="92"/>
        <v>31.626000000000001</v>
      </c>
      <c r="H2714" s="188">
        <v>30.12</v>
      </c>
      <c r="I2714" s="19">
        <f t="shared" si="93"/>
        <v>0</v>
      </c>
      <c r="L2714" s="131"/>
      <c r="M2714" s="131"/>
      <c r="N2714" s="131"/>
    </row>
    <row r="2715" spans="1:14" hidden="1">
      <c r="A2715" s="100" t="s">
        <v>862</v>
      </c>
      <c r="B2715" s="101" t="s">
        <v>4938</v>
      </c>
      <c r="C2715" s="115" t="s">
        <v>4939</v>
      </c>
      <c r="D2715" s="38"/>
      <c r="E2715" s="42">
        <v>1</v>
      </c>
      <c r="F2715" s="9"/>
      <c r="G2715" s="8">
        <f t="shared" si="92"/>
        <v>7.6140749999999997</v>
      </c>
      <c r="H2715" s="188">
        <v>7.2515000000000001</v>
      </c>
      <c r="I2715" s="19">
        <f t="shared" si="93"/>
        <v>0</v>
      </c>
      <c r="L2715" s="131"/>
      <c r="M2715" s="131"/>
      <c r="N2715" s="131"/>
    </row>
    <row r="2716" spans="1:14" hidden="1">
      <c r="A2716" s="100" t="s">
        <v>862</v>
      </c>
      <c r="B2716" s="101" t="s">
        <v>4940</v>
      </c>
      <c r="C2716" s="115" t="s">
        <v>4941</v>
      </c>
      <c r="D2716" s="38"/>
      <c r="E2716" s="42">
        <v>1</v>
      </c>
      <c r="F2716" s="9"/>
      <c r="G2716" s="8">
        <f t="shared" si="92"/>
        <v>0.36539999999999995</v>
      </c>
      <c r="H2716" s="188">
        <v>0.34799999999999998</v>
      </c>
      <c r="I2716" s="19">
        <f t="shared" si="93"/>
        <v>0</v>
      </c>
      <c r="L2716" s="131"/>
      <c r="M2716" s="131"/>
      <c r="N2716" s="131"/>
    </row>
    <row r="2717" spans="1:14" hidden="1">
      <c r="A2717" s="100" t="s">
        <v>862</v>
      </c>
      <c r="B2717" s="101" t="s">
        <v>4942</v>
      </c>
      <c r="C2717" s="115" t="s">
        <v>4943</v>
      </c>
      <c r="D2717" s="38"/>
      <c r="E2717" s="42">
        <v>1</v>
      </c>
      <c r="F2717" s="9"/>
      <c r="G2717" s="8">
        <f t="shared" si="92"/>
        <v>0.16275000000000001</v>
      </c>
      <c r="H2717" s="188">
        <v>0.155</v>
      </c>
      <c r="I2717" s="19">
        <f t="shared" si="93"/>
        <v>0</v>
      </c>
      <c r="L2717" s="131"/>
      <c r="M2717" s="131"/>
      <c r="N2717" s="131"/>
    </row>
    <row r="2718" spans="1:14" hidden="1">
      <c r="A2718" s="100" t="s">
        <v>862</v>
      </c>
      <c r="B2718" s="101" t="s">
        <v>4944</v>
      </c>
      <c r="C2718" s="115" t="s">
        <v>4945</v>
      </c>
      <c r="D2718" s="38"/>
      <c r="E2718" s="42">
        <v>1</v>
      </c>
      <c r="F2718" s="9"/>
      <c r="G2718" s="8">
        <f t="shared" si="92"/>
        <v>172.07662499999998</v>
      </c>
      <c r="H2718" s="188">
        <v>163.88249999999999</v>
      </c>
      <c r="I2718" s="19">
        <f t="shared" si="93"/>
        <v>0</v>
      </c>
      <c r="L2718" s="131"/>
      <c r="M2718" s="131"/>
      <c r="N2718" s="131"/>
    </row>
    <row r="2719" spans="1:14" hidden="1">
      <c r="A2719" s="100" t="s">
        <v>862</v>
      </c>
      <c r="B2719" s="101" t="s">
        <v>4946</v>
      </c>
      <c r="C2719" s="115" t="s">
        <v>4947</v>
      </c>
      <c r="D2719" s="38"/>
      <c r="E2719" s="42">
        <v>1</v>
      </c>
      <c r="F2719" s="9"/>
      <c r="G2719" s="8">
        <f t="shared" si="92"/>
        <v>8.2272749999999988</v>
      </c>
      <c r="H2719" s="188">
        <v>7.8354999999999997</v>
      </c>
      <c r="I2719" s="19">
        <f t="shared" si="93"/>
        <v>0</v>
      </c>
      <c r="L2719" s="131"/>
      <c r="M2719" s="131"/>
      <c r="N2719" s="131"/>
    </row>
    <row r="2720" spans="1:14" hidden="1">
      <c r="A2720" s="100" t="s">
        <v>862</v>
      </c>
      <c r="B2720" s="101" t="s">
        <v>4948</v>
      </c>
      <c r="C2720" s="115" t="s">
        <v>4949</v>
      </c>
      <c r="D2720" s="38"/>
      <c r="E2720" s="42">
        <v>1</v>
      </c>
      <c r="F2720" s="9"/>
      <c r="G2720" s="8">
        <f t="shared" si="92"/>
        <v>8.0692500000000003</v>
      </c>
      <c r="H2720" s="188">
        <v>7.6849999999999996</v>
      </c>
      <c r="I2720" s="19">
        <f t="shared" si="93"/>
        <v>0</v>
      </c>
      <c r="L2720" s="131"/>
      <c r="M2720" s="131"/>
      <c r="N2720" s="131"/>
    </row>
    <row r="2721" spans="1:14" hidden="1">
      <c r="A2721" s="100" t="s">
        <v>862</v>
      </c>
      <c r="B2721" s="101" t="s">
        <v>4950</v>
      </c>
      <c r="C2721" s="115" t="s">
        <v>4951</v>
      </c>
      <c r="D2721" s="38"/>
      <c r="E2721" s="42">
        <v>1</v>
      </c>
      <c r="F2721" s="9"/>
      <c r="G2721" s="8">
        <f t="shared" si="92"/>
        <v>82.405574999999999</v>
      </c>
      <c r="H2721" s="188">
        <v>78.481499999999997</v>
      </c>
      <c r="I2721" s="19">
        <f t="shared" si="93"/>
        <v>0</v>
      </c>
      <c r="L2721" s="131"/>
      <c r="M2721" s="131"/>
      <c r="N2721" s="131"/>
    </row>
    <row r="2722" spans="1:14" hidden="1">
      <c r="A2722" s="100" t="s">
        <v>862</v>
      </c>
      <c r="B2722" s="101" t="s">
        <v>4952</v>
      </c>
      <c r="C2722" s="115" t="s">
        <v>4953</v>
      </c>
      <c r="D2722" s="38"/>
      <c r="E2722" s="42">
        <v>1</v>
      </c>
      <c r="F2722" s="9"/>
      <c r="G2722" s="8">
        <f t="shared" si="92"/>
        <v>24.8157</v>
      </c>
      <c r="H2722" s="188">
        <v>23.634</v>
      </c>
      <c r="I2722" s="19">
        <f t="shared" si="93"/>
        <v>0</v>
      </c>
      <c r="L2722" s="131"/>
      <c r="M2722" s="131"/>
      <c r="N2722" s="131"/>
    </row>
    <row r="2723" spans="1:14" hidden="1">
      <c r="A2723" s="100" t="s">
        <v>862</v>
      </c>
      <c r="B2723" s="101" t="s">
        <v>4954</v>
      </c>
      <c r="C2723" s="115" t="s">
        <v>4955</v>
      </c>
      <c r="D2723" s="38"/>
      <c r="E2723" s="42">
        <v>1</v>
      </c>
      <c r="F2723" s="9"/>
      <c r="G2723" s="8">
        <f t="shared" si="92"/>
        <v>23.81925</v>
      </c>
      <c r="H2723" s="188">
        <v>22.684999999999999</v>
      </c>
      <c r="I2723" s="19">
        <f t="shared" si="93"/>
        <v>0</v>
      </c>
      <c r="L2723" s="131"/>
      <c r="M2723" s="131"/>
      <c r="N2723" s="131"/>
    </row>
    <row r="2724" spans="1:14" hidden="1">
      <c r="A2724" s="100" t="s">
        <v>862</v>
      </c>
      <c r="B2724" s="101" t="s">
        <v>4956</v>
      </c>
      <c r="C2724" s="115" t="s">
        <v>4957</v>
      </c>
      <c r="D2724" s="38"/>
      <c r="E2724" s="42">
        <v>1</v>
      </c>
      <c r="F2724" s="9"/>
      <c r="G2724" s="8">
        <f t="shared" si="92"/>
        <v>24.010874999999999</v>
      </c>
      <c r="H2724" s="188">
        <v>22.8675</v>
      </c>
      <c r="I2724" s="19">
        <f t="shared" si="93"/>
        <v>0</v>
      </c>
      <c r="L2724" s="131"/>
      <c r="M2724" s="131"/>
      <c r="N2724" s="131"/>
    </row>
    <row r="2725" spans="1:14" hidden="1">
      <c r="A2725" s="100" t="s">
        <v>862</v>
      </c>
      <c r="B2725" s="114" t="s">
        <v>4958</v>
      </c>
      <c r="C2725" s="116" t="s">
        <v>4959</v>
      </c>
      <c r="D2725" s="38" t="s">
        <v>945</v>
      </c>
      <c r="E2725" s="42">
        <v>1</v>
      </c>
      <c r="F2725" s="9"/>
      <c r="G2725" s="8">
        <f t="shared" ref="G2725:G2788" si="94">H2725+(H2725*5%)</f>
        <v>196.30275</v>
      </c>
      <c r="H2725" s="188">
        <v>186.95500000000001</v>
      </c>
      <c r="I2725" s="19">
        <f t="shared" si="93"/>
        <v>0</v>
      </c>
      <c r="L2725" s="131"/>
      <c r="M2725" s="131"/>
      <c r="N2725" s="131"/>
    </row>
    <row r="2726" spans="1:14" hidden="1">
      <c r="A2726" s="100" t="s">
        <v>862</v>
      </c>
      <c r="B2726" s="101" t="s">
        <v>4960</v>
      </c>
      <c r="C2726" s="115" t="s">
        <v>4961</v>
      </c>
      <c r="D2726" s="38"/>
      <c r="E2726" s="42">
        <v>1</v>
      </c>
      <c r="F2726" s="9"/>
      <c r="G2726" s="8">
        <f t="shared" si="94"/>
        <v>222.781125</v>
      </c>
      <c r="H2726" s="188">
        <v>212.17250000000001</v>
      </c>
      <c r="I2726" s="19">
        <f t="shared" si="93"/>
        <v>0</v>
      </c>
      <c r="L2726" s="131"/>
      <c r="M2726" s="131"/>
      <c r="N2726" s="131"/>
    </row>
    <row r="2727" spans="1:14" hidden="1">
      <c r="A2727" s="100" t="s">
        <v>862</v>
      </c>
      <c r="B2727" s="101" t="s">
        <v>4962</v>
      </c>
      <c r="C2727" s="115" t="s">
        <v>4963</v>
      </c>
      <c r="D2727" s="38"/>
      <c r="E2727" s="42">
        <v>1</v>
      </c>
      <c r="F2727" s="9"/>
      <c r="G2727" s="8">
        <f t="shared" si="94"/>
        <v>249.27157499999998</v>
      </c>
      <c r="H2727" s="188">
        <v>237.4015</v>
      </c>
      <c r="I2727" s="19">
        <f t="shared" ref="I2727:I2790" si="95">G2727*F2727</f>
        <v>0</v>
      </c>
      <c r="L2727" s="131"/>
      <c r="M2727" s="131"/>
      <c r="N2727" s="131"/>
    </row>
    <row r="2728" spans="1:14" hidden="1">
      <c r="A2728" s="100" t="s">
        <v>862</v>
      </c>
      <c r="B2728" s="101" t="s">
        <v>4964</v>
      </c>
      <c r="C2728" s="115" t="s">
        <v>4965</v>
      </c>
      <c r="D2728" s="38"/>
      <c r="E2728" s="42">
        <v>1</v>
      </c>
      <c r="F2728" s="9"/>
      <c r="G2728" s="8">
        <f t="shared" si="94"/>
        <v>234.28912499999998</v>
      </c>
      <c r="H2728" s="188">
        <v>223.13249999999999</v>
      </c>
      <c r="I2728" s="19">
        <f t="shared" si="95"/>
        <v>0</v>
      </c>
      <c r="L2728" s="131"/>
      <c r="M2728" s="131"/>
      <c r="N2728" s="131"/>
    </row>
    <row r="2729" spans="1:14" hidden="1">
      <c r="A2729" s="100" t="s">
        <v>862</v>
      </c>
      <c r="B2729" s="101" t="s">
        <v>4966</v>
      </c>
      <c r="C2729" s="115" t="s">
        <v>4967</v>
      </c>
      <c r="D2729" s="38"/>
      <c r="E2729" s="42">
        <v>1</v>
      </c>
      <c r="F2729" s="9"/>
      <c r="G2729" s="8">
        <f t="shared" si="94"/>
        <v>0.265125</v>
      </c>
      <c r="H2729" s="188">
        <v>0.2525</v>
      </c>
      <c r="I2729" s="19">
        <f t="shared" si="95"/>
        <v>0</v>
      </c>
      <c r="L2729" s="131"/>
      <c r="M2729" s="131"/>
      <c r="N2729" s="131"/>
    </row>
    <row r="2730" spans="1:14" hidden="1">
      <c r="A2730" s="100" t="s">
        <v>862</v>
      </c>
      <c r="B2730" s="101" t="s">
        <v>4968</v>
      </c>
      <c r="C2730" s="115" t="s">
        <v>4969</v>
      </c>
      <c r="D2730" s="38"/>
      <c r="E2730" s="42">
        <v>1</v>
      </c>
      <c r="F2730" s="9"/>
      <c r="G2730" s="8">
        <f t="shared" si="94"/>
        <v>0.44887499999999997</v>
      </c>
      <c r="H2730" s="188">
        <v>0.42749999999999999</v>
      </c>
      <c r="I2730" s="19">
        <f t="shared" si="95"/>
        <v>0</v>
      </c>
      <c r="L2730" s="131"/>
      <c r="M2730" s="131"/>
      <c r="N2730" s="131"/>
    </row>
    <row r="2731" spans="1:14" hidden="1">
      <c r="A2731" s="100" t="s">
        <v>862</v>
      </c>
      <c r="B2731" s="101" t="s">
        <v>4970</v>
      </c>
      <c r="C2731" s="115" t="s">
        <v>4971</v>
      </c>
      <c r="D2731" s="38"/>
      <c r="E2731" s="42">
        <v>1</v>
      </c>
      <c r="F2731" s="9"/>
      <c r="G2731" s="8">
        <f t="shared" si="94"/>
        <v>0.59744999999999993</v>
      </c>
      <c r="H2731" s="188">
        <v>0.56899999999999995</v>
      </c>
      <c r="I2731" s="19">
        <f t="shared" si="95"/>
        <v>0</v>
      </c>
      <c r="L2731" s="131"/>
      <c r="M2731" s="131"/>
      <c r="N2731" s="131"/>
    </row>
    <row r="2732" spans="1:14" hidden="1">
      <c r="A2732" s="100" t="s">
        <v>862</v>
      </c>
      <c r="B2732" s="101" t="s">
        <v>4972</v>
      </c>
      <c r="C2732" s="115" t="s">
        <v>4973</v>
      </c>
      <c r="D2732" s="38"/>
      <c r="E2732" s="42">
        <v>1</v>
      </c>
      <c r="F2732" s="9"/>
      <c r="G2732" s="8">
        <f t="shared" si="94"/>
        <v>1.5030749999999999</v>
      </c>
      <c r="H2732" s="188">
        <v>1.4315</v>
      </c>
      <c r="I2732" s="19">
        <f t="shared" si="95"/>
        <v>0</v>
      </c>
      <c r="L2732" s="131"/>
      <c r="M2732" s="131"/>
      <c r="N2732" s="131"/>
    </row>
    <row r="2733" spans="1:14" hidden="1">
      <c r="A2733" s="100" t="s">
        <v>862</v>
      </c>
      <c r="B2733" s="101" t="s">
        <v>4974</v>
      </c>
      <c r="C2733" s="115" t="s">
        <v>4975</v>
      </c>
      <c r="D2733" s="38"/>
      <c r="E2733" s="42">
        <v>1</v>
      </c>
      <c r="F2733" s="9"/>
      <c r="G2733" s="8">
        <f t="shared" si="94"/>
        <v>0.731325</v>
      </c>
      <c r="H2733" s="188">
        <v>0.69650000000000001</v>
      </c>
      <c r="I2733" s="19">
        <f t="shared" si="95"/>
        <v>0</v>
      </c>
      <c r="L2733" s="131"/>
      <c r="M2733" s="131"/>
      <c r="N2733" s="131"/>
    </row>
    <row r="2734" spans="1:14" hidden="1">
      <c r="A2734" s="100" t="s">
        <v>862</v>
      </c>
      <c r="B2734" s="101" t="s">
        <v>4976</v>
      </c>
      <c r="C2734" s="115" t="s">
        <v>4977</v>
      </c>
      <c r="D2734" s="38"/>
      <c r="E2734" s="42">
        <v>1</v>
      </c>
      <c r="F2734" s="9"/>
      <c r="G2734" s="8">
        <f t="shared" si="94"/>
        <v>16.403625000000002</v>
      </c>
      <c r="H2734" s="188">
        <v>15.6225</v>
      </c>
      <c r="I2734" s="19">
        <f t="shared" si="95"/>
        <v>0</v>
      </c>
      <c r="L2734" s="131"/>
      <c r="M2734" s="131"/>
      <c r="N2734" s="131"/>
    </row>
    <row r="2735" spans="1:14" hidden="1">
      <c r="A2735" s="100" t="s">
        <v>862</v>
      </c>
      <c r="B2735" s="101" t="s">
        <v>4978</v>
      </c>
      <c r="C2735" s="115" t="s">
        <v>4979</v>
      </c>
      <c r="D2735" s="38"/>
      <c r="E2735" s="42">
        <v>1</v>
      </c>
      <c r="F2735" s="9"/>
      <c r="G2735" s="8">
        <f t="shared" si="94"/>
        <v>5.1476249999999997</v>
      </c>
      <c r="H2735" s="188">
        <v>4.9024999999999999</v>
      </c>
      <c r="I2735" s="19">
        <f t="shared" si="95"/>
        <v>0</v>
      </c>
      <c r="L2735" s="131"/>
      <c r="M2735" s="131"/>
      <c r="N2735" s="131"/>
    </row>
    <row r="2736" spans="1:14" hidden="1">
      <c r="A2736" s="100" t="s">
        <v>862</v>
      </c>
      <c r="B2736" s="101" t="s">
        <v>4980</v>
      </c>
      <c r="C2736" s="115" t="s">
        <v>4981</v>
      </c>
      <c r="D2736" s="38"/>
      <c r="E2736" s="42">
        <v>1</v>
      </c>
      <c r="F2736" s="9"/>
      <c r="G2736" s="8">
        <f t="shared" si="94"/>
        <v>5.0084999999999997</v>
      </c>
      <c r="H2736" s="188">
        <v>4.7699999999999996</v>
      </c>
      <c r="I2736" s="19">
        <f t="shared" si="95"/>
        <v>0</v>
      </c>
      <c r="L2736" s="131"/>
      <c r="M2736" s="131"/>
      <c r="N2736" s="131"/>
    </row>
    <row r="2737" spans="1:14" hidden="1">
      <c r="A2737" s="100" t="s">
        <v>862</v>
      </c>
      <c r="B2737" s="101" t="s">
        <v>4982</v>
      </c>
      <c r="C2737" s="115" t="s">
        <v>4983</v>
      </c>
      <c r="D2737" s="38"/>
      <c r="E2737" s="42">
        <v>1</v>
      </c>
      <c r="F2737" s="9"/>
      <c r="G2737" s="8">
        <f t="shared" si="94"/>
        <v>3.8697750000000002</v>
      </c>
      <c r="H2737" s="188">
        <v>3.6855000000000002</v>
      </c>
      <c r="I2737" s="19">
        <f t="shared" si="95"/>
        <v>0</v>
      </c>
      <c r="L2737" s="131"/>
      <c r="M2737" s="131"/>
      <c r="N2737" s="131"/>
    </row>
    <row r="2738" spans="1:14" hidden="1">
      <c r="A2738" s="100" t="s">
        <v>862</v>
      </c>
      <c r="B2738" s="101" t="s">
        <v>4984</v>
      </c>
      <c r="C2738" s="115" t="s">
        <v>4985</v>
      </c>
      <c r="D2738" s="38"/>
      <c r="E2738" s="42">
        <v>1</v>
      </c>
      <c r="F2738" s="9"/>
      <c r="G2738" s="8">
        <f t="shared" si="94"/>
        <v>16.9512</v>
      </c>
      <c r="H2738" s="188">
        <v>16.143999999999998</v>
      </c>
      <c r="I2738" s="19">
        <f t="shared" si="95"/>
        <v>0</v>
      </c>
      <c r="L2738" s="131"/>
      <c r="M2738" s="131"/>
      <c r="N2738" s="131"/>
    </row>
    <row r="2739" spans="1:14" hidden="1">
      <c r="A2739" s="100" t="s">
        <v>862</v>
      </c>
      <c r="B2739" s="101" t="s">
        <v>4986</v>
      </c>
      <c r="C2739" s="115" t="s">
        <v>4987</v>
      </c>
      <c r="D2739" s="38"/>
      <c r="E2739" s="42">
        <v>1</v>
      </c>
      <c r="F2739" s="9"/>
      <c r="G2739" s="8">
        <f t="shared" si="94"/>
        <v>46.410000000000004</v>
      </c>
      <c r="H2739" s="188">
        <v>44.2</v>
      </c>
      <c r="I2739" s="19">
        <f t="shared" si="95"/>
        <v>0</v>
      </c>
      <c r="L2739" s="131"/>
      <c r="M2739" s="131"/>
      <c r="N2739" s="131"/>
    </row>
    <row r="2740" spans="1:14" hidden="1">
      <c r="A2740" s="100" t="s">
        <v>862</v>
      </c>
      <c r="B2740" s="101" t="s">
        <v>4988</v>
      </c>
      <c r="C2740" s="115" t="s">
        <v>4989</v>
      </c>
      <c r="D2740" s="38"/>
      <c r="E2740" s="42">
        <v>1</v>
      </c>
      <c r="F2740" s="9"/>
      <c r="G2740" s="8">
        <f t="shared" si="94"/>
        <v>58.224075000000006</v>
      </c>
      <c r="H2740" s="188">
        <v>55.451500000000003</v>
      </c>
      <c r="I2740" s="19">
        <f t="shared" si="95"/>
        <v>0</v>
      </c>
      <c r="L2740" s="131"/>
      <c r="M2740" s="131"/>
      <c r="N2740" s="131"/>
    </row>
    <row r="2741" spans="1:14" hidden="1">
      <c r="A2741" s="100" t="s">
        <v>862</v>
      </c>
      <c r="B2741" s="101" t="s">
        <v>4990</v>
      </c>
      <c r="C2741" s="115" t="s">
        <v>4991</v>
      </c>
      <c r="D2741" s="38"/>
      <c r="E2741" s="42">
        <v>1</v>
      </c>
      <c r="F2741" s="9"/>
      <c r="G2741" s="8">
        <f t="shared" si="94"/>
        <v>0.31605</v>
      </c>
      <c r="H2741" s="188">
        <v>0.30099999999999999</v>
      </c>
      <c r="I2741" s="19">
        <f t="shared" si="95"/>
        <v>0</v>
      </c>
      <c r="L2741" s="131"/>
      <c r="M2741" s="131"/>
      <c r="N2741" s="131"/>
    </row>
    <row r="2742" spans="1:14" hidden="1">
      <c r="A2742" s="100" t="s">
        <v>862</v>
      </c>
      <c r="B2742" s="101" t="s">
        <v>4992</v>
      </c>
      <c r="C2742" s="115" t="s">
        <v>4993</v>
      </c>
      <c r="D2742" s="38"/>
      <c r="E2742" s="42">
        <v>1</v>
      </c>
      <c r="F2742" s="9"/>
      <c r="G2742" s="8">
        <f t="shared" si="94"/>
        <v>0.40425</v>
      </c>
      <c r="H2742" s="188">
        <v>0.38500000000000001</v>
      </c>
      <c r="I2742" s="19">
        <f t="shared" si="95"/>
        <v>0</v>
      </c>
      <c r="L2742" s="131"/>
      <c r="M2742" s="131"/>
      <c r="N2742" s="131"/>
    </row>
    <row r="2743" spans="1:14" hidden="1">
      <c r="A2743" s="100" t="s">
        <v>862</v>
      </c>
      <c r="B2743" s="101" t="s">
        <v>4994</v>
      </c>
      <c r="C2743" s="115" t="s">
        <v>4995</v>
      </c>
      <c r="D2743" s="38"/>
      <c r="E2743" s="42">
        <v>1</v>
      </c>
      <c r="F2743" s="9"/>
      <c r="G2743" s="8">
        <f t="shared" si="94"/>
        <v>43.437449999999998</v>
      </c>
      <c r="H2743" s="188">
        <v>41.369</v>
      </c>
      <c r="I2743" s="19">
        <f t="shared" si="95"/>
        <v>0</v>
      </c>
      <c r="L2743" s="131"/>
      <c r="M2743" s="131"/>
      <c r="N2743" s="131"/>
    </row>
    <row r="2744" spans="1:14" hidden="1">
      <c r="A2744" s="100" t="s">
        <v>862</v>
      </c>
      <c r="B2744" s="101" t="s">
        <v>4996</v>
      </c>
      <c r="C2744" s="115" t="s">
        <v>4997</v>
      </c>
      <c r="D2744" s="38"/>
      <c r="E2744" s="42">
        <v>1</v>
      </c>
      <c r="F2744" s="9"/>
      <c r="G2744" s="8">
        <f t="shared" si="94"/>
        <v>97.266750000000002</v>
      </c>
      <c r="H2744" s="188">
        <v>92.635000000000005</v>
      </c>
      <c r="I2744" s="19">
        <f t="shared" si="95"/>
        <v>0</v>
      </c>
      <c r="L2744" s="131"/>
      <c r="M2744" s="131"/>
      <c r="N2744" s="131"/>
    </row>
    <row r="2745" spans="1:14" hidden="1">
      <c r="A2745" s="100" t="s">
        <v>862</v>
      </c>
      <c r="B2745" s="101" t="s">
        <v>4998</v>
      </c>
      <c r="C2745" s="115" t="s">
        <v>4999</v>
      </c>
      <c r="D2745" s="38"/>
      <c r="E2745" s="42">
        <v>1</v>
      </c>
      <c r="F2745" s="9"/>
      <c r="G2745" s="8">
        <f t="shared" si="94"/>
        <v>327.36112499999996</v>
      </c>
      <c r="H2745" s="188">
        <v>311.77249999999998</v>
      </c>
      <c r="I2745" s="19">
        <f t="shared" si="95"/>
        <v>0</v>
      </c>
      <c r="L2745" s="131"/>
      <c r="M2745" s="131"/>
      <c r="N2745" s="131"/>
    </row>
    <row r="2746" spans="1:14" hidden="1">
      <c r="A2746" s="100" t="s">
        <v>862</v>
      </c>
      <c r="B2746" s="101" t="s">
        <v>5000</v>
      </c>
      <c r="C2746" s="115" t="s">
        <v>5001</v>
      </c>
      <c r="D2746" s="38"/>
      <c r="E2746" s="42">
        <v>1</v>
      </c>
      <c r="F2746" s="9"/>
      <c r="G2746" s="8">
        <f t="shared" si="94"/>
        <v>72.205874999999992</v>
      </c>
      <c r="H2746" s="188">
        <v>68.767499999999998</v>
      </c>
      <c r="I2746" s="19">
        <f t="shared" si="95"/>
        <v>0</v>
      </c>
      <c r="L2746" s="131"/>
      <c r="M2746" s="131"/>
      <c r="N2746" s="131"/>
    </row>
    <row r="2747" spans="1:14" hidden="1">
      <c r="A2747" s="100" t="s">
        <v>862</v>
      </c>
      <c r="B2747" s="101" t="s">
        <v>5002</v>
      </c>
      <c r="C2747" s="115" t="s">
        <v>5003</v>
      </c>
      <c r="D2747" s="38"/>
      <c r="E2747" s="42">
        <v>1</v>
      </c>
      <c r="F2747" s="9"/>
      <c r="G2747" s="8">
        <f t="shared" si="94"/>
        <v>15.582000000000001</v>
      </c>
      <c r="H2747" s="188">
        <v>14.84</v>
      </c>
      <c r="I2747" s="19">
        <f t="shared" si="95"/>
        <v>0</v>
      </c>
      <c r="L2747" s="131"/>
      <c r="M2747" s="131"/>
      <c r="N2747" s="131"/>
    </row>
    <row r="2748" spans="1:14" hidden="1">
      <c r="A2748" s="100" t="s">
        <v>862</v>
      </c>
      <c r="B2748" s="101" t="s">
        <v>5004</v>
      </c>
      <c r="C2748" s="115" t="s">
        <v>5005</v>
      </c>
      <c r="D2748" s="38"/>
      <c r="E2748" s="42">
        <v>1</v>
      </c>
      <c r="F2748" s="9"/>
      <c r="G2748" s="8">
        <f t="shared" si="94"/>
        <v>85.343999999999994</v>
      </c>
      <c r="H2748" s="188">
        <v>81.28</v>
      </c>
      <c r="I2748" s="19">
        <f t="shared" si="95"/>
        <v>0</v>
      </c>
      <c r="L2748" s="131"/>
      <c r="M2748" s="131"/>
      <c r="N2748" s="131"/>
    </row>
    <row r="2749" spans="1:14" hidden="1">
      <c r="A2749" s="100" t="s">
        <v>862</v>
      </c>
      <c r="B2749" s="101" t="s">
        <v>5006</v>
      </c>
      <c r="C2749" s="115" t="s">
        <v>5007</v>
      </c>
      <c r="D2749" s="38"/>
      <c r="E2749" s="42">
        <v>1</v>
      </c>
      <c r="F2749" s="9"/>
      <c r="G2749" s="8">
        <f t="shared" si="94"/>
        <v>190.714125</v>
      </c>
      <c r="H2749" s="188">
        <v>181.63249999999999</v>
      </c>
      <c r="I2749" s="19">
        <f t="shared" si="95"/>
        <v>0</v>
      </c>
      <c r="L2749" s="131"/>
      <c r="M2749" s="131"/>
      <c r="N2749" s="131"/>
    </row>
    <row r="2750" spans="1:14" hidden="1">
      <c r="A2750" s="100" t="s">
        <v>862</v>
      </c>
      <c r="B2750" s="101" t="s">
        <v>5008</v>
      </c>
      <c r="C2750" s="115" t="s">
        <v>5009</v>
      </c>
      <c r="D2750" s="38"/>
      <c r="E2750" s="42">
        <v>1</v>
      </c>
      <c r="F2750" s="9"/>
      <c r="G2750" s="8">
        <f t="shared" si="94"/>
        <v>14.608124999999999</v>
      </c>
      <c r="H2750" s="188">
        <v>13.9125</v>
      </c>
      <c r="I2750" s="19">
        <f t="shared" si="95"/>
        <v>0</v>
      </c>
      <c r="L2750" s="131"/>
      <c r="M2750" s="131"/>
      <c r="N2750" s="131"/>
    </row>
    <row r="2751" spans="1:14" hidden="1">
      <c r="A2751" s="100" t="s">
        <v>862</v>
      </c>
      <c r="B2751" s="101" t="s">
        <v>5010</v>
      </c>
      <c r="C2751" s="115" t="s">
        <v>5011</v>
      </c>
      <c r="D2751" s="38"/>
      <c r="E2751" s="42">
        <v>1</v>
      </c>
      <c r="F2751" s="9"/>
      <c r="G2751" s="8">
        <f t="shared" si="94"/>
        <v>30.280949999999997</v>
      </c>
      <c r="H2751" s="188">
        <v>28.838999999999999</v>
      </c>
      <c r="I2751" s="19">
        <f t="shared" si="95"/>
        <v>0</v>
      </c>
      <c r="L2751" s="131"/>
      <c r="M2751" s="131"/>
      <c r="N2751" s="131"/>
    </row>
    <row r="2752" spans="1:14" hidden="1">
      <c r="A2752" s="100" t="s">
        <v>862</v>
      </c>
      <c r="B2752" s="101" t="s">
        <v>5012</v>
      </c>
      <c r="C2752" s="115" t="s">
        <v>5013</v>
      </c>
      <c r="D2752" s="38"/>
      <c r="E2752" s="42">
        <v>1</v>
      </c>
      <c r="F2752" s="9"/>
      <c r="G2752" s="8">
        <f t="shared" si="94"/>
        <v>40.368825000000001</v>
      </c>
      <c r="H2752" s="188">
        <v>38.4465</v>
      </c>
      <c r="I2752" s="19">
        <f t="shared" si="95"/>
        <v>0</v>
      </c>
      <c r="L2752" s="131"/>
      <c r="M2752" s="131"/>
      <c r="N2752" s="131"/>
    </row>
    <row r="2753" spans="1:14" hidden="1">
      <c r="A2753" s="100" t="s">
        <v>862</v>
      </c>
      <c r="B2753" s="101" t="s">
        <v>5014</v>
      </c>
      <c r="C2753" s="115" t="s">
        <v>5015</v>
      </c>
      <c r="D2753" s="38"/>
      <c r="E2753" s="42">
        <v>1</v>
      </c>
      <c r="F2753" s="9"/>
      <c r="G2753" s="8">
        <f t="shared" si="94"/>
        <v>132.78982500000001</v>
      </c>
      <c r="H2753" s="188">
        <v>126.4665</v>
      </c>
      <c r="I2753" s="19">
        <f t="shared" si="95"/>
        <v>0</v>
      </c>
      <c r="L2753" s="131"/>
      <c r="M2753" s="131"/>
      <c r="N2753" s="131"/>
    </row>
    <row r="2754" spans="1:14" hidden="1">
      <c r="A2754" s="100" t="s">
        <v>862</v>
      </c>
      <c r="B2754" s="101" t="s">
        <v>5016</v>
      </c>
      <c r="C2754" s="115" t="s">
        <v>5017</v>
      </c>
      <c r="D2754" s="38"/>
      <c r="E2754" s="42">
        <v>1</v>
      </c>
      <c r="F2754" s="9"/>
      <c r="G2754" s="8">
        <f t="shared" si="94"/>
        <v>9.702</v>
      </c>
      <c r="H2754" s="188">
        <v>9.24</v>
      </c>
      <c r="I2754" s="19">
        <f t="shared" si="95"/>
        <v>0</v>
      </c>
      <c r="L2754" s="131"/>
      <c r="M2754" s="131"/>
      <c r="N2754" s="131"/>
    </row>
    <row r="2755" spans="1:14" hidden="1">
      <c r="A2755" s="100" t="s">
        <v>862</v>
      </c>
      <c r="B2755" s="101" t="s">
        <v>5018</v>
      </c>
      <c r="C2755" s="115" t="s">
        <v>5019</v>
      </c>
      <c r="D2755" s="38"/>
      <c r="E2755" s="42">
        <v>1</v>
      </c>
      <c r="F2755" s="9"/>
      <c r="G2755" s="8">
        <f t="shared" si="94"/>
        <v>15.141</v>
      </c>
      <c r="H2755" s="188">
        <v>14.42</v>
      </c>
      <c r="I2755" s="19">
        <f t="shared" si="95"/>
        <v>0</v>
      </c>
      <c r="L2755" s="131"/>
      <c r="M2755" s="131"/>
      <c r="N2755" s="131"/>
    </row>
    <row r="2756" spans="1:14" hidden="1">
      <c r="A2756" s="100" t="s">
        <v>862</v>
      </c>
      <c r="B2756" s="101" t="s">
        <v>5020</v>
      </c>
      <c r="C2756" s="115" t="s">
        <v>5021</v>
      </c>
      <c r="D2756" s="38"/>
      <c r="E2756" s="42">
        <v>1</v>
      </c>
      <c r="F2756" s="9"/>
      <c r="G2756" s="8">
        <f t="shared" si="94"/>
        <v>98.299949999999995</v>
      </c>
      <c r="H2756" s="188">
        <v>93.619</v>
      </c>
      <c r="I2756" s="19">
        <f t="shared" si="95"/>
        <v>0</v>
      </c>
      <c r="L2756" s="131"/>
      <c r="M2756" s="131"/>
      <c r="N2756" s="131"/>
    </row>
    <row r="2757" spans="1:14" hidden="1">
      <c r="A2757" s="100" t="s">
        <v>862</v>
      </c>
      <c r="B2757" s="101" t="s">
        <v>5022</v>
      </c>
      <c r="C2757" s="115" t="s">
        <v>5023</v>
      </c>
      <c r="D2757" s="38"/>
      <c r="E2757" s="42">
        <v>1</v>
      </c>
      <c r="F2757" s="9"/>
      <c r="G2757" s="8">
        <f t="shared" si="94"/>
        <v>16.025624999999998</v>
      </c>
      <c r="H2757" s="188">
        <v>15.262499999999999</v>
      </c>
      <c r="I2757" s="19">
        <f t="shared" si="95"/>
        <v>0</v>
      </c>
      <c r="L2757" s="131"/>
      <c r="M2757" s="131"/>
      <c r="N2757" s="131"/>
    </row>
    <row r="2758" spans="1:14" hidden="1">
      <c r="A2758" s="100" t="s">
        <v>862</v>
      </c>
      <c r="B2758" s="101" t="s">
        <v>5024</v>
      </c>
      <c r="C2758" s="115" t="s">
        <v>5025</v>
      </c>
      <c r="D2758" s="38"/>
      <c r="E2758" s="42">
        <v>1</v>
      </c>
      <c r="F2758" s="9"/>
      <c r="G2758" s="8">
        <f t="shared" si="94"/>
        <v>19.233374999999999</v>
      </c>
      <c r="H2758" s="188">
        <v>18.317499999999999</v>
      </c>
      <c r="I2758" s="19">
        <f t="shared" si="95"/>
        <v>0</v>
      </c>
      <c r="L2758" s="131"/>
      <c r="M2758" s="131"/>
      <c r="N2758" s="131"/>
    </row>
    <row r="2759" spans="1:14" hidden="1">
      <c r="A2759" s="100" t="s">
        <v>862</v>
      </c>
      <c r="B2759" s="101" t="s">
        <v>5026</v>
      </c>
      <c r="C2759" s="115" t="s">
        <v>5027</v>
      </c>
      <c r="D2759" s="38"/>
      <c r="E2759" s="42">
        <v>1</v>
      </c>
      <c r="F2759" s="9"/>
      <c r="G2759" s="8">
        <f t="shared" si="94"/>
        <v>32.719574999999999</v>
      </c>
      <c r="H2759" s="188">
        <v>31.1615</v>
      </c>
      <c r="I2759" s="19">
        <f t="shared" si="95"/>
        <v>0</v>
      </c>
      <c r="L2759" s="131"/>
      <c r="M2759" s="131"/>
      <c r="N2759" s="131"/>
    </row>
    <row r="2760" spans="1:14" hidden="1">
      <c r="A2760" s="100" t="s">
        <v>862</v>
      </c>
      <c r="B2760" s="101" t="s">
        <v>5028</v>
      </c>
      <c r="C2760" s="115" t="s">
        <v>5029</v>
      </c>
      <c r="D2760" s="38"/>
      <c r="E2760" s="42">
        <v>1</v>
      </c>
      <c r="F2760" s="9"/>
      <c r="G2760" s="8">
        <f t="shared" si="94"/>
        <v>30.1812</v>
      </c>
      <c r="H2760" s="188">
        <v>28.744</v>
      </c>
      <c r="I2760" s="19">
        <f t="shared" si="95"/>
        <v>0</v>
      </c>
      <c r="L2760" s="131"/>
      <c r="M2760" s="131"/>
      <c r="N2760" s="131"/>
    </row>
    <row r="2761" spans="1:14" hidden="1">
      <c r="A2761" s="100" t="s">
        <v>862</v>
      </c>
      <c r="B2761" s="101" t="s">
        <v>5030</v>
      </c>
      <c r="C2761" s="115" t="s">
        <v>5031</v>
      </c>
      <c r="D2761" s="38"/>
      <c r="E2761" s="42">
        <v>1</v>
      </c>
      <c r="F2761" s="9"/>
      <c r="G2761" s="8">
        <f t="shared" si="94"/>
        <v>39.2532</v>
      </c>
      <c r="H2761" s="188">
        <v>37.384</v>
      </c>
      <c r="I2761" s="19">
        <f t="shared" si="95"/>
        <v>0</v>
      </c>
      <c r="L2761" s="131"/>
      <c r="M2761" s="131"/>
      <c r="N2761" s="131"/>
    </row>
    <row r="2762" spans="1:14" hidden="1">
      <c r="A2762" s="100" t="s">
        <v>862</v>
      </c>
      <c r="B2762" s="101" t="s">
        <v>5032</v>
      </c>
      <c r="C2762" s="115" t="s">
        <v>5033</v>
      </c>
      <c r="D2762" s="38"/>
      <c r="E2762" s="42">
        <v>1</v>
      </c>
      <c r="F2762" s="9"/>
      <c r="G2762" s="8">
        <f t="shared" si="94"/>
        <v>57.203999999999994</v>
      </c>
      <c r="H2762" s="188">
        <v>54.48</v>
      </c>
      <c r="I2762" s="19">
        <f t="shared" si="95"/>
        <v>0</v>
      </c>
      <c r="L2762" s="131"/>
      <c r="M2762" s="131"/>
      <c r="N2762" s="131"/>
    </row>
    <row r="2763" spans="1:14" hidden="1">
      <c r="A2763" s="100" t="s">
        <v>862</v>
      </c>
      <c r="B2763" s="101" t="s">
        <v>5034</v>
      </c>
      <c r="C2763" s="115" t="s">
        <v>5035</v>
      </c>
      <c r="D2763" s="38"/>
      <c r="E2763" s="42">
        <v>1</v>
      </c>
      <c r="F2763" s="9"/>
      <c r="G2763" s="8">
        <f t="shared" si="94"/>
        <v>2.8654500000000001</v>
      </c>
      <c r="H2763" s="188">
        <v>2.7290000000000001</v>
      </c>
      <c r="I2763" s="19">
        <f t="shared" si="95"/>
        <v>0</v>
      </c>
      <c r="L2763" s="131"/>
      <c r="M2763" s="131"/>
      <c r="N2763" s="131"/>
    </row>
    <row r="2764" spans="1:14" hidden="1">
      <c r="A2764" s="100" t="s">
        <v>862</v>
      </c>
      <c r="B2764" s="101" t="s">
        <v>5036</v>
      </c>
      <c r="C2764" s="115" t="s">
        <v>5037</v>
      </c>
      <c r="D2764" s="38"/>
      <c r="E2764" s="42">
        <v>1</v>
      </c>
      <c r="F2764" s="9"/>
      <c r="G2764" s="8">
        <f t="shared" si="94"/>
        <v>4.8168750000000005</v>
      </c>
      <c r="H2764" s="188">
        <v>4.5875000000000004</v>
      </c>
      <c r="I2764" s="19">
        <f t="shared" si="95"/>
        <v>0</v>
      </c>
      <c r="L2764" s="131"/>
      <c r="M2764" s="131"/>
      <c r="N2764" s="131"/>
    </row>
    <row r="2765" spans="1:14" hidden="1">
      <c r="A2765" s="100" t="s">
        <v>862</v>
      </c>
      <c r="B2765" s="101" t="s">
        <v>5038</v>
      </c>
      <c r="C2765" s="115" t="s">
        <v>5039</v>
      </c>
      <c r="D2765" s="38"/>
      <c r="E2765" s="42">
        <v>1</v>
      </c>
      <c r="F2765" s="9"/>
      <c r="G2765" s="8">
        <f t="shared" si="94"/>
        <v>4.8168750000000005</v>
      </c>
      <c r="H2765" s="188">
        <v>4.5875000000000004</v>
      </c>
      <c r="I2765" s="19">
        <f t="shared" si="95"/>
        <v>0</v>
      </c>
      <c r="L2765" s="131"/>
      <c r="M2765" s="131"/>
      <c r="N2765" s="131"/>
    </row>
    <row r="2766" spans="1:14" hidden="1">
      <c r="A2766" s="100" t="s">
        <v>862</v>
      </c>
      <c r="B2766" s="101" t="s">
        <v>5040</v>
      </c>
      <c r="C2766" s="115" t="s">
        <v>5041</v>
      </c>
      <c r="D2766" s="38"/>
      <c r="E2766" s="42">
        <v>1</v>
      </c>
      <c r="F2766" s="9"/>
      <c r="G2766" s="8">
        <f t="shared" si="94"/>
        <v>160.27199999999999</v>
      </c>
      <c r="H2766" s="188">
        <v>152.63999999999999</v>
      </c>
      <c r="I2766" s="19">
        <f t="shared" si="95"/>
        <v>0</v>
      </c>
      <c r="L2766" s="131"/>
      <c r="M2766" s="131"/>
      <c r="N2766" s="131"/>
    </row>
    <row r="2767" spans="1:14" hidden="1">
      <c r="A2767" s="100" t="s">
        <v>862</v>
      </c>
      <c r="B2767" s="101" t="s">
        <v>5042</v>
      </c>
      <c r="C2767" s="115" t="s">
        <v>5043</v>
      </c>
      <c r="D2767" s="38"/>
      <c r="E2767" s="42">
        <v>1</v>
      </c>
      <c r="F2767" s="9"/>
      <c r="G2767" s="8">
        <f t="shared" si="94"/>
        <v>57.319500000000005</v>
      </c>
      <c r="H2767" s="188">
        <v>54.59</v>
      </c>
      <c r="I2767" s="19">
        <f t="shared" si="95"/>
        <v>0</v>
      </c>
      <c r="L2767" s="131"/>
      <c r="M2767" s="131"/>
      <c r="N2767" s="131"/>
    </row>
    <row r="2768" spans="1:14" hidden="1">
      <c r="A2768" s="100" t="s">
        <v>862</v>
      </c>
      <c r="B2768" s="101" t="s">
        <v>5044</v>
      </c>
      <c r="C2768" s="115" t="s">
        <v>5045</v>
      </c>
      <c r="D2768" s="38"/>
      <c r="E2768" s="42">
        <v>1</v>
      </c>
      <c r="F2768" s="9"/>
      <c r="G2768" s="8">
        <f t="shared" si="94"/>
        <v>69.213374999999999</v>
      </c>
      <c r="H2768" s="188">
        <v>65.917500000000004</v>
      </c>
      <c r="I2768" s="19">
        <f t="shared" si="95"/>
        <v>0</v>
      </c>
      <c r="L2768" s="131"/>
      <c r="M2768" s="131"/>
      <c r="N2768" s="131"/>
    </row>
    <row r="2769" spans="1:14" hidden="1">
      <c r="A2769" s="100" t="s">
        <v>862</v>
      </c>
      <c r="B2769" s="101" t="s">
        <v>5046</v>
      </c>
      <c r="C2769" s="115" t="s">
        <v>5047</v>
      </c>
      <c r="D2769" s="38"/>
      <c r="E2769" s="42">
        <v>1</v>
      </c>
      <c r="F2769" s="9"/>
      <c r="G2769" s="8">
        <f t="shared" si="94"/>
        <v>20.223000000000003</v>
      </c>
      <c r="H2769" s="188">
        <v>19.260000000000002</v>
      </c>
      <c r="I2769" s="19">
        <f t="shared" si="95"/>
        <v>0</v>
      </c>
      <c r="L2769" s="131"/>
      <c r="M2769" s="131"/>
      <c r="N2769" s="131"/>
    </row>
    <row r="2770" spans="1:14" hidden="1">
      <c r="A2770" s="100" t="s">
        <v>862</v>
      </c>
      <c r="B2770" s="101" t="s">
        <v>5048</v>
      </c>
      <c r="C2770" s="115" t="s">
        <v>5049</v>
      </c>
      <c r="D2770" s="38"/>
      <c r="E2770" s="42">
        <v>1</v>
      </c>
      <c r="F2770" s="9"/>
      <c r="G2770" s="8">
        <f t="shared" si="94"/>
        <v>19.408200000000001</v>
      </c>
      <c r="H2770" s="188">
        <v>18.484000000000002</v>
      </c>
      <c r="I2770" s="19">
        <f t="shared" si="95"/>
        <v>0</v>
      </c>
      <c r="L2770" s="131"/>
      <c r="M2770" s="131"/>
      <c r="N2770" s="131"/>
    </row>
    <row r="2771" spans="1:14" hidden="1">
      <c r="A2771" s="100" t="s">
        <v>862</v>
      </c>
      <c r="B2771" s="101" t="s">
        <v>5050</v>
      </c>
      <c r="C2771" s="115" t="s">
        <v>5051</v>
      </c>
      <c r="D2771" s="38"/>
      <c r="E2771" s="42">
        <v>1</v>
      </c>
      <c r="F2771" s="9"/>
      <c r="G2771" s="8">
        <f t="shared" si="94"/>
        <v>6.8118749999999997</v>
      </c>
      <c r="H2771" s="188">
        <v>6.4874999999999998</v>
      </c>
      <c r="I2771" s="19">
        <f t="shared" si="95"/>
        <v>0</v>
      </c>
      <c r="L2771" s="131"/>
      <c r="M2771" s="131"/>
      <c r="N2771" s="131"/>
    </row>
    <row r="2772" spans="1:14" hidden="1">
      <c r="A2772" s="100" t="s">
        <v>862</v>
      </c>
      <c r="B2772" s="101" t="s">
        <v>5052</v>
      </c>
      <c r="C2772" s="115" t="s">
        <v>5053</v>
      </c>
      <c r="D2772" s="38"/>
      <c r="E2772" s="42">
        <v>1</v>
      </c>
      <c r="F2772" s="9"/>
      <c r="G2772" s="8">
        <f t="shared" si="94"/>
        <v>18.833324999999999</v>
      </c>
      <c r="H2772" s="188">
        <v>17.936499999999999</v>
      </c>
      <c r="I2772" s="19">
        <f t="shared" si="95"/>
        <v>0</v>
      </c>
      <c r="L2772" s="131"/>
      <c r="M2772" s="131"/>
      <c r="N2772" s="131"/>
    </row>
    <row r="2773" spans="1:14" hidden="1">
      <c r="A2773" s="100" t="s">
        <v>862</v>
      </c>
      <c r="B2773" s="101" t="s">
        <v>5054</v>
      </c>
      <c r="C2773" s="115" t="s">
        <v>5055</v>
      </c>
      <c r="D2773" s="38"/>
      <c r="E2773" s="42">
        <v>1</v>
      </c>
      <c r="F2773" s="9"/>
      <c r="G2773" s="8">
        <f t="shared" si="94"/>
        <v>29.393699999999999</v>
      </c>
      <c r="H2773" s="188">
        <v>27.994</v>
      </c>
      <c r="I2773" s="19">
        <f t="shared" si="95"/>
        <v>0</v>
      </c>
      <c r="L2773" s="131"/>
      <c r="M2773" s="131"/>
      <c r="N2773" s="131"/>
    </row>
    <row r="2774" spans="1:14" hidden="1">
      <c r="A2774" s="100" t="s">
        <v>862</v>
      </c>
      <c r="B2774" s="101" t="s">
        <v>5056</v>
      </c>
      <c r="C2774" s="115" t="s">
        <v>5057</v>
      </c>
      <c r="D2774" s="38"/>
      <c r="E2774" s="42">
        <v>1</v>
      </c>
      <c r="F2774" s="9"/>
      <c r="G2774" s="8">
        <f t="shared" si="94"/>
        <v>18.059999999999999</v>
      </c>
      <c r="H2774" s="188">
        <v>17.2</v>
      </c>
      <c r="I2774" s="19">
        <f t="shared" si="95"/>
        <v>0</v>
      </c>
      <c r="L2774" s="131"/>
      <c r="M2774" s="131"/>
      <c r="N2774" s="131"/>
    </row>
    <row r="2775" spans="1:14" hidden="1">
      <c r="A2775" s="100" t="s">
        <v>862</v>
      </c>
      <c r="B2775" s="101" t="s">
        <v>5058</v>
      </c>
      <c r="C2775" s="115" t="s">
        <v>5059</v>
      </c>
      <c r="D2775" s="38"/>
      <c r="E2775" s="42">
        <v>1</v>
      </c>
      <c r="F2775" s="9"/>
      <c r="G2775" s="8">
        <f t="shared" si="94"/>
        <v>31.026450000000001</v>
      </c>
      <c r="H2775" s="188">
        <v>29.548999999999999</v>
      </c>
      <c r="I2775" s="19">
        <f t="shared" si="95"/>
        <v>0</v>
      </c>
      <c r="L2775" s="131"/>
      <c r="M2775" s="131"/>
      <c r="N2775" s="131"/>
    </row>
    <row r="2776" spans="1:14" hidden="1">
      <c r="A2776" s="100" t="s">
        <v>862</v>
      </c>
      <c r="B2776" s="101" t="s">
        <v>5060</v>
      </c>
      <c r="C2776" s="115" t="s">
        <v>5061</v>
      </c>
      <c r="D2776" s="38"/>
      <c r="E2776" s="42">
        <v>1</v>
      </c>
      <c r="F2776" s="9"/>
      <c r="G2776" s="8">
        <f t="shared" si="94"/>
        <v>70.209824999999995</v>
      </c>
      <c r="H2776" s="188">
        <v>66.866500000000002</v>
      </c>
      <c r="I2776" s="19">
        <f t="shared" si="95"/>
        <v>0</v>
      </c>
      <c r="L2776" s="131"/>
      <c r="M2776" s="131"/>
      <c r="N2776" s="131"/>
    </row>
    <row r="2777" spans="1:14" hidden="1">
      <c r="A2777" s="100" t="s">
        <v>862</v>
      </c>
      <c r="B2777" s="101" t="s">
        <v>5062</v>
      </c>
      <c r="C2777" s="115" t="s">
        <v>5063</v>
      </c>
      <c r="D2777" s="38"/>
      <c r="E2777" s="42">
        <v>1</v>
      </c>
      <c r="F2777" s="9"/>
      <c r="G2777" s="8">
        <f t="shared" si="94"/>
        <v>25.669875000000001</v>
      </c>
      <c r="H2777" s="188">
        <v>24.447500000000002</v>
      </c>
      <c r="I2777" s="19">
        <f t="shared" si="95"/>
        <v>0</v>
      </c>
      <c r="L2777" s="131"/>
      <c r="M2777" s="131"/>
      <c r="N2777" s="131"/>
    </row>
    <row r="2778" spans="1:14" hidden="1">
      <c r="A2778" s="100" t="s">
        <v>862</v>
      </c>
      <c r="B2778" s="101" t="s">
        <v>5064</v>
      </c>
      <c r="C2778" s="115" t="s">
        <v>5065</v>
      </c>
      <c r="D2778" s="38"/>
      <c r="E2778" s="42">
        <v>1</v>
      </c>
      <c r="F2778" s="9"/>
      <c r="G2778" s="8">
        <f t="shared" si="94"/>
        <v>36.063825000000001</v>
      </c>
      <c r="H2778" s="188">
        <v>34.346499999999999</v>
      </c>
      <c r="I2778" s="19">
        <f t="shared" si="95"/>
        <v>0</v>
      </c>
      <c r="L2778" s="131"/>
      <c r="M2778" s="131"/>
      <c r="N2778" s="131"/>
    </row>
    <row r="2779" spans="1:14" hidden="1">
      <c r="A2779" s="100" t="s">
        <v>862</v>
      </c>
      <c r="B2779" s="101" t="s">
        <v>5066</v>
      </c>
      <c r="C2779" s="115" t="s">
        <v>5067</v>
      </c>
      <c r="D2779" s="38"/>
      <c r="E2779" s="42">
        <v>1</v>
      </c>
      <c r="F2779" s="9"/>
      <c r="G2779" s="8">
        <f t="shared" si="94"/>
        <v>70.952699999999993</v>
      </c>
      <c r="H2779" s="188">
        <v>67.573999999999998</v>
      </c>
      <c r="I2779" s="19">
        <f t="shared" si="95"/>
        <v>0</v>
      </c>
      <c r="L2779" s="131"/>
      <c r="M2779" s="131"/>
      <c r="N2779" s="131"/>
    </row>
    <row r="2780" spans="1:14" hidden="1">
      <c r="A2780" s="100" t="s">
        <v>862</v>
      </c>
      <c r="B2780" s="101" t="s">
        <v>5068</v>
      </c>
      <c r="C2780" s="115" t="s">
        <v>5069</v>
      </c>
      <c r="D2780" s="38"/>
      <c r="E2780" s="42">
        <v>1</v>
      </c>
      <c r="F2780" s="9"/>
      <c r="G2780" s="8">
        <f t="shared" si="94"/>
        <v>7.5731250000000001</v>
      </c>
      <c r="H2780" s="188">
        <v>7.2125000000000004</v>
      </c>
      <c r="I2780" s="19">
        <f t="shared" si="95"/>
        <v>0</v>
      </c>
      <c r="L2780" s="131"/>
      <c r="M2780" s="131"/>
      <c r="N2780" s="131"/>
    </row>
    <row r="2781" spans="1:14" hidden="1">
      <c r="A2781" s="100" t="s">
        <v>862</v>
      </c>
      <c r="B2781" s="101" t="s">
        <v>5070</v>
      </c>
      <c r="C2781" s="115" t="s">
        <v>5071</v>
      </c>
      <c r="D2781" s="38"/>
      <c r="E2781" s="42">
        <v>1</v>
      </c>
      <c r="F2781" s="9"/>
      <c r="G2781" s="8">
        <f t="shared" si="94"/>
        <v>30.830625000000001</v>
      </c>
      <c r="H2781" s="188">
        <v>29.362500000000001</v>
      </c>
      <c r="I2781" s="19">
        <f t="shared" si="95"/>
        <v>0</v>
      </c>
      <c r="L2781" s="131"/>
      <c r="M2781" s="131"/>
      <c r="N2781" s="131"/>
    </row>
    <row r="2782" spans="1:14" hidden="1">
      <c r="A2782" s="100" t="s">
        <v>862</v>
      </c>
      <c r="B2782" s="101" t="s">
        <v>5072</v>
      </c>
      <c r="C2782" s="115" t="s">
        <v>5073</v>
      </c>
      <c r="D2782" s="38"/>
      <c r="E2782" s="42">
        <v>1</v>
      </c>
      <c r="F2782" s="9"/>
      <c r="G2782" s="8">
        <f t="shared" si="94"/>
        <v>24.471824999999999</v>
      </c>
      <c r="H2782" s="188">
        <v>23.3065</v>
      </c>
      <c r="I2782" s="19">
        <f t="shared" si="95"/>
        <v>0</v>
      </c>
      <c r="L2782" s="131"/>
      <c r="M2782" s="131"/>
      <c r="N2782" s="131"/>
    </row>
    <row r="2783" spans="1:14" hidden="1">
      <c r="A2783" s="100" t="s">
        <v>862</v>
      </c>
      <c r="B2783" s="101" t="s">
        <v>5074</v>
      </c>
      <c r="C2783" s="115" t="s">
        <v>5075</v>
      </c>
      <c r="D2783" s="38"/>
      <c r="E2783" s="42">
        <v>1</v>
      </c>
      <c r="F2783" s="9"/>
      <c r="G2783" s="8">
        <f t="shared" si="94"/>
        <v>25.233074999999999</v>
      </c>
      <c r="H2783" s="188">
        <v>24.031500000000001</v>
      </c>
      <c r="I2783" s="19">
        <f t="shared" si="95"/>
        <v>0</v>
      </c>
      <c r="L2783" s="131"/>
      <c r="M2783" s="131"/>
      <c r="N2783" s="131"/>
    </row>
    <row r="2784" spans="1:14">
      <c r="A2784" s="100" t="s">
        <v>862</v>
      </c>
      <c r="B2784" s="101" t="s">
        <v>5076</v>
      </c>
      <c r="C2784" s="115" t="s">
        <v>5077</v>
      </c>
      <c r="D2784" s="38"/>
      <c r="E2784" s="42">
        <v>1</v>
      </c>
      <c r="F2784" s="9">
        <v>2</v>
      </c>
      <c r="G2784" s="8">
        <f t="shared" si="94"/>
        <v>76.617449999999991</v>
      </c>
      <c r="H2784" s="188">
        <v>72.968999999999994</v>
      </c>
      <c r="I2784" s="19">
        <f t="shared" si="95"/>
        <v>153.23489999999998</v>
      </c>
      <c r="L2784" s="131"/>
      <c r="M2784" s="131"/>
      <c r="N2784" s="131"/>
    </row>
    <row r="2785" spans="1:14" hidden="1">
      <c r="A2785" s="100" t="s">
        <v>862</v>
      </c>
      <c r="B2785" s="101" t="s">
        <v>5078</v>
      </c>
      <c r="C2785" s="115" t="s">
        <v>5079</v>
      </c>
      <c r="D2785" s="38"/>
      <c r="E2785" s="42">
        <v>1</v>
      </c>
      <c r="F2785" s="9"/>
      <c r="G2785" s="8">
        <f t="shared" si="94"/>
        <v>84.390074999999996</v>
      </c>
      <c r="H2785" s="188">
        <v>80.371499999999997</v>
      </c>
      <c r="I2785" s="19">
        <f t="shared" si="95"/>
        <v>0</v>
      </c>
      <c r="L2785" s="131"/>
      <c r="M2785" s="131"/>
      <c r="N2785" s="131"/>
    </row>
    <row r="2786" spans="1:14" hidden="1">
      <c r="A2786" s="100" t="s">
        <v>862</v>
      </c>
      <c r="B2786" s="101" t="s">
        <v>5080</v>
      </c>
      <c r="C2786" s="115" t="s">
        <v>5081</v>
      </c>
      <c r="D2786" s="38"/>
      <c r="E2786" s="42">
        <v>1</v>
      </c>
      <c r="F2786" s="9"/>
      <c r="G2786" s="8">
        <f t="shared" si="94"/>
        <v>97.557074999999998</v>
      </c>
      <c r="H2786" s="188">
        <v>92.911500000000004</v>
      </c>
      <c r="I2786" s="19">
        <f t="shared" si="95"/>
        <v>0</v>
      </c>
      <c r="L2786" s="131"/>
      <c r="M2786" s="131"/>
      <c r="N2786" s="131"/>
    </row>
    <row r="2787" spans="1:14" hidden="1">
      <c r="A2787" s="100" t="s">
        <v>862</v>
      </c>
      <c r="B2787" s="101" t="s">
        <v>5082</v>
      </c>
      <c r="C2787" s="115" t="s">
        <v>5083</v>
      </c>
      <c r="D2787" s="38"/>
      <c r="E2787" s="42">
        <v>1</v>
      </c>
      <c r="F2787" s="9"/>
      <c r="G2787" s="8">
        <f t="shared" si="94"/>
        <v>1.8532499999999998</v>
      </c>
      <c r="H2787" s="188">
        <v>1.7649999999999999</v>
      </c>
      <c r="I2787" s="19">
        <f t="shared" si="95"/>
        <v>0</v>
      </c>
      <c r="L2787" s="131"/>
      <c r="M2787" s="131"/>
      <c r="N2787" s="131"/>
    </row>
    <row r="2788" spans="1:14" hidden="1">
      <c r="A2788" s="100" t="s">
        <v>862</v>
      </c>
      <c r="B2788" s="101" t="s">
        <v>5084</v>
      </c>
      <c r="C2788" s="115" t="s">
        <v>5085</v>
      </c>
      <c r="D2788" s="38"/>
      <c r="E2788" s="42">
        <v>1</v>
      </c>
      <c r="F2788" s="9"/>
      <c r="G2788" s="8">
        <f t="shared" si="94"/>
        <v>4.2839999999999998</v>
      </c>
      <c r="H2788" s="188">
        <v>4.08</v>
      </c>
      <c r="I2788" s="19">
        <f t="shared" si="95"/>
        <v>0</v>
      </c>
      <c r="L2788" s="131"/>
      <c r="M2788" s="131"/>
      <c r="N2788" s="131"/>
    </row>
    <row r="2789" spans="1:14" hidden="1">
      <c r="A2789" s="100" t="s">
        <v>862</v>
      </c>
      <c r="B2789" s="101" t="s">
        <v>5086</v>
      </c>
      <c r="C2789" s="115" t="s">
        <v>5087</v>
      </c>
      <c r="D2789" s="38"/>
      <c r="E2789" s="42">
        <v>1</v>
      </c>
      <c r="F2789" s="9"/>
      <c r="G2789" s="8">
        <f t="shared" ref="G2789:G2852" si="96">H2789+(H2789*5%)</f>
        <v>517.43737499999997</v>
      </c>
      <c r="H2789" s="188">
        <v>492.79750000000001</v>
      </c>
      <c r="I2789" s="19">
        <f t="shared" si="95"/>
        <v>0</v>
      </c>
      <c r="L2789" s="131"/>
      <c r="M2789" s="131"/>
      <c r="N2789" s="131"/>
    </row>
    <row r="2790" spans="1:14" hidden="1">
      <c r="A2790" s="100" t="s">
        <v>862</v>
      </c>
      <c r="B2790" s="101" t="s">
        <v>5088</v>
      </c>
      <c r="C2790" s="115" t="s">
        <v>5089</v>
      </c>
      <c r="D2790" s="38"/>
      <c r="E2790" s="42">
        <v>1</v>
      </c>
      <c r="F2790" s="9"/>
      <c r="G2790" s="8">
        <f t="shared" si="96"/>
        <v>650.92807500000004</v>
      </c>
      <c r="H2790" s="188">
        <v>619.93150000000003</v>
      </c>
      <c r="I2790" s="19">
        <f t="shared" si="95"/>
        <v>0</v>
      </c>
      <c r="L2790" s="131"/>
      <c r="M2790" s="131"/>
      <c r="N2790" s="131"/>
    </row>
    <row r="2791" spans="1:14" hidden="1">
      <c r="A2791" s="100" t="s">
        <v>862</v>
      </c>
      <c r="B2791" s="101" t="s">
        <v>5090</v>
      </c>
      <c r="C2791" s="115" t="s">
        <v>5091</v>
      </c>
      <c r="D2791" s="38"/>
      <c r="E2791" s="42">
        <v>1</v>
      </c>
      <c r="F2791" s="9"/>
      <c r="G2791" s="8">
        <f t="shared" si="96"/>
        <v>779.44807500000002</v>
      </c>
      <c r="H2791" s="188">
        <v>742.33150000000001</v>
      </c>
      <c r="I2791" s="19">
        <f t="shared" ref="I2791:I2854" si="97">G2791*F2791</f>
        <v>0</v>
      </c>
      <c r="L2791" s="131"/>
      <c r="M2791" s="131"/>
      <c r="N2791" s="131"/>
    </row>
    <row r="2792" spans="1:14" hidden="1">
      <c r="A2792" s="100" t="s">
        <v>862</v>
      </c>
      <c r="B2792" s="101" t="s">
        <v>5092</v>
      </c>
      <c r="C2792" s="115" t="s">
        <v>5093</v>
      </c>
      <c r="D2792" s="38"/>
      <c r="E2792" s="42">
        <v>1</v>
      </c>
      <c r="F2792" s="9"/>
      <c r="G2792" s="8">
        <f t="shared" si="96"/>
        <v>249.37237500000001</v>
      </c>
      <c r="H2792" s="188">
        <v>237.4975</v>
      </c>
      <c r="I2792" s="19">
        <f t="shared" si="97"/>
        <v>0</v>
      </c>
      <c r="L2792" s="131"/>
      <c r="M2792" s="131"/>
      <c r="N2792" s="131"/>
    </row>
    <row r="2793" spans="1:14" hidden="1">
      <c r="A2793" s="100" t="s">
        <v>862</v>
      </c>
      <c r="B2793" s="101" t="s">
        <v>5094</v>
      </c>
      <c r="C2793" s="115" t="s">
        <v>5095</v>
      </c>
      <c r="D2793" s="38"/>
      <c r="E2793" s="42">
        <v>1</v>
      </c>
      <c r="F2793" s="9"/>
      <c r="G2793" s="8">
        <f t="shared" si="96"/>
        <v>256.53862499999997</v>
      </c>
      <c r="H2793" s="188">
        <v>244.32249999999999</v>
      </c>
      <c r="I2793" s="19">
        <f t="shared" si="97"/>
        <v>0</v>
      </c>
      <c r="L2793" s="131"/>
      <c r="M2793" s="131"/>
      <c r="N2793" s="131"/>
    </row>
    <row r="2794" spans="1:14" hidden="1">
      <c r="A2794" s="100" t="s">
        <v>862</v>
      </c>
      <c r="B2794" s="101" t="s">
        <v>5096</v>
      </c>
      <c r="C2794" s="115" t="s">
        <v>5097</v>
      </c>
      <c r="D2794" s="38"/>
      <c r="E2794" s="42">
        <v>1</v>
      </c>
      <c r="F2794" s="9"/>
      <c r="G2794" s="8">
        <f t="shared" si="96"/>
        <v>261.387</v>
      </c>
      <c r="H2794" s="188">
        <v>248.94</v>
      </c>
      <c r="I2794" s="19">
        <f t="shared" si="97"/>
        <v>0</v>
      </c>
      <c r="L2794" s="131"/>
      <c r="M2794" s="131"/>
      <c r="N2794" s="131"/>
    </row>
    <row r="2795" spans="1:14" hidden="1">
      <c r="A2795" s="100" t="s">
        <v>862</v>
      </c>
      <c r="B2795" s="101" t="s">
        <v>5098</v>
      </c>
      <c r="C2795" s="115" t="s">
        <v>5099</v>
      </c>
      <c r="D2795" s="38"/>
      <c r="E2795" s="42">
        <v>1</v>
      </c>
      <c r="F2795" s="9"/>
      <c r="G2795" s="8">
        <f t="shared" si="96"/>
        <v>825.092625</v>
      </c>
      <c r="H2795" s="188">
        <v>785.80250000000001</v>
      </c>
      <c r="I2795" s="19">
        <f t="shared" si="97"/>
        <v>0</v>
      </c>
      <c r="L2795" s="131"/>
      <c r="M2795" s="131"/>
      <c r="N2795" s="131"/>
    </row>
    <row r="2796" spans="1:14" hidden="1">
      <c r="A2796" s="100" t="s">
        <v>862</v>
      </c>
      <c r="B2796" s="101" t="s">
        <v>5100</v>
      </c>
      <c r="C2796" s="115" t="s">
        <v>5101</v>
      </c>
      <c r="D2796" s="38"/>
      <c r="E2796" s="42">
        <v>1</v>
      </c>
      <c r="F2796" s="9"/>
      <c r="G2796" s="8">
        <f t="shared" si="96"/>
        <v>7.31745</v>
      </c>
      <c r="H2796" s="188">
        <v>6.9690000000000003</v>
      </c>
      <c r="I2796" s="19">
        <f t="shared" si="97"/>
        <v>0</v>
      </c>
      <c r="L2796" s="131"/>
      <c r="M2796" s="131"/>
      <c r="N2796" s="131"/>
    </row>
    <row r="2797" spans="1:14" hidden="1">
      <c r="A2797" s="100" t="s">
        <v>862</v>
      </c>
      <c r="B2797" s="101" t="s">
        <v>5102</v>
      </c>
      <c r="C2797" s="115" t="s">
        <v>5103</v>
      </c>
      <c r="D2797" s="38"/>
      <c r="E2797" s="42">
        <v>1</v>
      </c>
      <c r="F2797" s="9"/>
      <c r="G2797" s="8">
        <f t="shared" si="96"/>
        <v>14.319374999999999</v>
      </c>
      <c r="H2797" s="188">
        <v>13.637499999999999</v>
      </c>
      <c r="I2797" s="19">
        <f t="shared" si="97"/>
        <v>0</v>
      </c>
      <c r="L2797" s="131"/>
      <c r="M2797" s="131"/>
      <c r="N2797" s="131"/>
    </row>
    <row r="2798" spans="1:14" hidden="1">
      <c r="A2798" s="100" t="s">
        <v>862</v>
      </c>
      <c r="B2798" s="101" t="s">
        <v>5104</v>
      </c>
      <c r="C2798" s="115" t="s">
        <v>5105</v>
      </c>
      <c r="D2798" s="38"/>
      <c r="E2798" s="42">
        <v>1</v>
      </c>
      <c r="F2798" s="9"/>
      <c r="G2798" s="8">
        <f t="shared" si="96"/>
        <v>14.3325</v>
      </c>
      <c r="H2798" s="188">
        <v>13.65</v>
      </c>
      <c r="I2798" s="19">
        <f t="shared" si="97"/>
        <v>0</v>
      </c>
      <c r="L2798" s="131"/>
      <c r="M2798" s="131"/>
      <c r="N2798" s="131"/>
    </row>
    <row r="2799" spans="1:14" hidden="1">
      <c r="A2799" s="100" t="s">
        <v>862</v>
      </c>
      <c r="B2799" s="101" t="s">
        <v>5106</v>
      </c>
      <c r="C2799" s="115" t="s">
        <v>5107</v>
      </c>
      <c r="D2799" s="38"/>
      <c r="E2799" s="42">
        <v>1</v>
      </c>
      <c r="F2799" s="9"/>
      <c r="G2799" s="8">
        <f t="shared" si="96"/>
        <v>22.31775</v>
      </c>
      <c r="H2799" s="188">
        <v>21.254999999999999</v>
      </c>
      <c r="I2799" s="19">
        <f t="shared" si="97"/>
        <v>0</v>
      </c>
      <c r="L2799" s="131"/>
      <c r="M2799" s="131"/>
      <c r="N2799" s="131"/>
    </row>
    <row r="2800" spans="1:14" hidden="1">
      <c r="A2800" s="100" t="s">
        <v>862</v>
      </c>
      <c r="B2800" s="101" t="s">
        <v>5108</v>
      </c>
      <c r="C2800" s="115" t="s">
        <v>5109</v>
      </c>
      <c r="D2800" s="38"/>
      <c r="E2800" s="42">
        <v>1</v>
      </c>
      <c r="F2800" s="9"/>
      <c r="G2800" s="8">
        <f t="shared" si="96"/>
        <v>24.693375</v>
      </c>
      <c r="H2800" s="188">
        <v>23.517499999999998</v>
      </c>
      <c r="I2800" s="19">
        <f t="shared" si="97"/>
        <v>0</v>
      </c>
      <c r="L2800" s="131"/>
      <c r="M2800" s="131"/>
      <c r="N2800" s="131"/>
    </row>
    <row r="2801" spans="1:14" hidden="1">
      <c r="A2801" s="100" t="s">
        <v>862</v>
      </c>
      <c r="B2801" s="101" t="s">
        <v>5110</v>
      </c>
      <c r="C2801" s="115" t="s">
        <v>5111</v>
      </c>
      <c r="D2801" s="38"/>
      <c r="E2801" s="42">
        <v>1</v>
      </c>
      <c r="F2801" s="9"/>
      <c r="G2801" s="8">
        <f t="shared" si="96"/>
        <v>22.509374999999999</v>
      </c>
      <c r="H2801" s="188">
        <v>21.4375</v>
      </c>
      <c r="I2801" s="19">
        <f t="shared" si="97"/>
        <v>0</v>
      </c>
      <c r="L2801" s="131"/>
      <c r="M2801" s="131"/>
      <c r="N2801" s="131"/>
    </row>
    <row r="2802" spans="1:14" hidden="1">
      <c r="A2802" s="100" t="s">
        <v>862</v>
      </c>
      <c r="B2802" s="101" t="s">
        <v>5112</v>
      </c>
      <c r="C2802" s="115" t="s">
        <v>5113</v>
      </c>
      <c r="D2802" s="38"/>
      <c r="E2802" s="42">
        <v>1</v>
      </c>
      <c r="F2802" s="9"/>
      <c r="G2802" s="8">
        <f t="shared" si="96"/>
        <v>9.9513749999999987</v>
      </c>
      <c r="H2802" s="188">
        <v>9.4774999999999991</v>
      </c>
      <c r="I2802" s="19">
        <f t="shared" si="97"/>
        <v>0</v>
      </c>
      <c r="L2802" s="131"/>
      <c r="M2802" s="131"/>
      <c r="N2802" s="131"/>
    </row>
    <row r="2803" spans="1:14" hidden="1">
      <c r="A2803" s="100" t="s">
        <v>862</v>
      </c>
      <c r="B2803" s="101" t="s">
        <v>5114</v>
      </c>
      <c r="C2803" s="115" t="s">
        <v>5115</v>
      </c>
      <c r="D2803" s="38"/>
      <c r="E2803" s="42">
        <v>1</v>
      </c>
      <c r="F2803" s="9"/>
      <c r="G2803" s="8">
        <f t="shared" si="96"/>
        <v>9.9214500000000001</v>
      </c>
      <c r="H2803" s="188">
        <v>9.4489999999999998</v>
      </c>
      <c r="I2803" s="19">
        <f t="shared" si="97"/>
        <v>0</v>
      </c>
      <c r="L2803" s="131"/>
      <c r="M2803" s="131"/>
      <c r="N2803" s="131"/>
    </row>
    <row r="2804" spans="1:14" hidden="1">
      <c r="A2804" s="100" t="s">
        <v>862</v>
      </c>
      <c r="B2804" s="101" t="s">
        <v>5116</v>
      </c>
      <c r="C2804" s="115" t="s">
        <v>5117</v>
      </c>
      <c r="D2804" s="38"/>
      <c r="E2804" s="42">
        <v>1</v>
      </c>
      <c r="F2804" s="9"/>
      <c r="G2804" s="8">
        <f t="shared" si="96"/>
        <v>30.607499999999998</v>
      </c>
      <c r="H2804" s="188">
        <v>29.15</v>
      </c>
      <c r="I2804" s="19">
        <f t="shared" si="97"/>
        <v>0</v>
      </c>
      <c r="L2804" s="131"/>
      <c r="M2804" s="131"/>
      <c r="N2804" s="131"/>
    </row>
    <row r="2805" spans="1:14" hidden="1">
      <c r="A2805" s="100" t="s">
        <v>862</v>
      </c>
      <c r="B2805" s="101" t="s">
        <v>5118</v>
      </c>
      <c r="C2805" s="115" t="s">
        <v>5119</v>
      </c>
      <c r="D2805" s="38"/>
      <c r="E2805" s="42">
        <v>1</v>
      </c>
      <c r="F2805" s="9"/>
      <c r="G2805" s="8">
        <f t="shared" si="96"/>
        <v>29.947575000000001</v>
      </c>
      <c r="H2805" s="188">
        <v>28.5215</v>
      </c>
      <c r="I2805" s="19">
        <f t="shared" si="97"/>
        <v>0</v>
      </c>
      <c r="L2805" s="131"/>
      <c r="M2805" s="131"/>
      <c r="N2805" s="131"/>
    </row>
    <row r="2806" spans="1:14" hidden="1">
      <c r="A2806" s="100" t="s">
        <v>862</v>
      </c>
      <c r="B2806" s="101" t="s">
        <v>5120</v>
      </c>
      <c r="C2806" s="115" t="s">
        <v>5121</v>
      </c>
      <c r="D2806" s="38"/>
      <c r="E2806" s="42">
        <v>1</v>
      </c>
      <c r="F2806" s="9"/>
      <c r="G2806" s="8">
        <f t="shared" si="96"/>
        <v>59.184825000000004</v>
      </c>
      <c r="H2806" s="188">
        <v>56.366500000000002</v>
      </c>
      <c r="I2806" s="19">
        <f t="shared" si="97"/>
        <v>0</v>
      </c>
      <c r="L2806" s="131"/>
      <c r="M2806" s="131"/>
      <c r="N2806" s="131"/>
    </row>
    <row r="2807" spans="1:14" hidden="1">
      <c r="A2807" s="100" t="s">
        <v>862</v>
      </c>
      <c r="B2807" s="101" t="s">
        <v>5122</v>
      </c>
      <c r="C2807" s="115" t="s">
        <v>5123</v>
      </c>
      <c r="D2807" s="38"/>
      <c r="E2807" s="42">
        <v>1</v>
      </c>
      <c r="F2807" s="9"/>
      <c r="G2807" s="8">
        <f t="shared" si="96"/>
        <v>55.47045</v>
      </c>
      <c r="H2807" s="188">
        <v>52.829000000000001</v>
      </c>
      <c r="I2807" s="19">
        <f t="shared" si="97"/>
        <v>0</v>
      </c>
      <c r="L2807" s="131"/>
      <c r="M2807" s="131"/>
      <c r="N2807" s="131"/>
    </row>
    <row r="2808" spans="1:14" hidden="1">
      <c r="A2808" s="100" t="s">
        <v>862</v>
      </c>
      <c r="B2808" s="101" t="s">
        <v>5124</v>
      </c>
      <c r="C2808" s="115" t="s">
        <v>5125</v>
      </c>
      <c r="D2808" s="38"/>
      <c r="E2808" s="42">
        <v>1</v>
      </c>
      <c r="F2808" s="9"/>
      <c r="G2808" s="8">
        <f t="shared" si="96"/>
        <v>33.250875000000001</v>
      </c>
      <c r="H2808" s="188">
        <v>31.6675</v>
      </c>
      <c r="I2808" s="19">
        <f t="shared" si="97"/>
        <v>0</v>
      </c>
      <c r="L2808" s="131"/>
      <c r="M2808" s="131"/>
      <c r="N2808" s="131"/>
    </row>
    <row r="2809" spans="1:14" hidden="1">
      <c r="A2809" s="100" t="s">
        <v>862</v>
      </c>
      <c r="B2809" s="101" t="s">
        <v>5126</v>
      </c>
      <c r="C2809" s="115" t="s">
        <v>5127</v>
      </c>
      <c r="D2809" s="38"/>
      <c r="E2809" s="42">
        <v>1</v>
      </c>
      <c r="F2809" s="9"/>
      <c r="G2809" s="8">
        <f t="shared" si="96"/>
        <v>5.2594500000000002</v>
      </c>
      <c r="H2809" s="188">
        <v>5.0090000000000003</v>
      </c>
      <c r="I2809" s="19">
        <f t="shared" si="97"/>
        <v>0</v>
      </c>
      <c r="L2809" s="131"/>
      <c r="M2809" s="131"/>
      <c r="N2809" s="131"/>
    </row>
    <row r="2810" spans="1:14" hidden="1">
      <c r="A2810" s="100" t="s">
        <v>862</v>
      </c>
      <c r="B2810" s="101" t="s">
        <v>5128</v>
      </c>
      <c r="C2810" s="115" t="s">
        <v>5129</v>
      </c>
      <c r="D2810" s="38"/>
      <c r="E2810" s="42">
        <v>1</v>
      </c>
      <c r="F2810" s="9"/>
      <c r="G2810" s="8">
        <f t="shared" si="96"/>
        <v>36.172499999999999</v>
      </c>
      <c r="H2810" s="188">
        <v>34.450000000000003</v>
      </c>
      <c r="I2810" s="19">
        <f t="shared" si="97"/>
        <v>0</v>
      </c>
      <c r="L2810" s="131"/>
      <c r="M2810" s="131"/>
      <c r="N2810" s="131"/>
    </row>
    <row r="2811" spans="1:14" hidden="1">
      <c r="A2811" s="100" t="s">
        <v>862</v>
      </c>
      <c r="B2811" s="101" t="s">
        <v>5130</v>
      </c>
      <c r="C2811" s="115" t="s">
        <v>5131</v>
      </c>
      <c r="D2811" s="38"/>
      <c r="E2811" s="42">
        <v>1</v>
      </c>
      <c r="F2811" s="9"/>
      <c r="G2811" s="8">
        <f t="shared" si="96"/>
        <v>42.572250000000004</v>
      </c>
      <c r="H2811" s="188">
        <v>40.545000000000002</v>
      </c>
      <c r="I2811" s="19">
        <f t="shared" si="97"/>
        <v>0</v>
      </c>
      <c r="L2811" s="131"/>
      <c r="M2811" s="131"/>
      <c r="N2811" s="131"/>
    </row>
    <row r="2812" spans="1:14" hidden="1">
      <c r="A2812" s="100" t="s">
        <v>862</v>
      </c>
      <c r="B2812" s="101" t="s">
        <v>5132</v>
      </c>
      <c r="C2812" s="115" t="s">
        <v>5133</v>
      </c>
      <c r="D2812" s="38"/>
      <c r="E2812" s="42">
        <v>1</v>
      </c>
      <c r="F2812" s="9"/>
      <c r="G2812" s="8">
        <f t="shared" si="96"/>
        <v>151.92449999999999</v>
      </c>
      <c r="H2812" s="188">
        <v>144.69</v>
      </c>
      <c r="I2812" s="19">
        <f t="shared" si="97"/>
        <v>0</v>
      </c>
      <c r="L2812" s="131"/>
      <c r="M2812" s="131"/>
      <c r="N2812" s="131"/>
    </row>
    <row r="2813" spans="1:14" hidden="1">
      <c r="A2813" s="100" t="s">
        <v>862</v>
      </c>
      <c r="B2813" s="101" t="s">
        <v>5134</v>
      </c>
      <c r="C2813" s="115" t="s">
        <v>5135</v>
      </c>
      <c r="D2813" s="38"/>
      <c r="E2813" s="42">
        <v>1</v>
      </c>
      <c r="F2813" s="9"/>
      <c r="G2813" s="8">
        <f t="shared" si="96"/>
        <v>151.92449999999999</v>
      </c>
      <c r="H2813" s="188">
        <v>144.69</v>
      </c>
      <c r="I2813" s="19">
        <f t="shared" si="97"/>
        <v>0</v>
      </c>
      <c r="L2813" s="131"/>
      <c r="M2813" s="131"/>
      <c r="N2813" s="131"/>
    </row>
    <row r="2814" spans="1:14" hidden="1">
      <c r="A2814" s="100" t="s">
        <v>862</v>
      </c>
      <c r="B2814" s="101" t="s">
        <v>5136</v>
      </c>
      <c r="C2814" s="115" t="s">
        <v>5137</v>
      </c>
      <c r="D2814" s="38"/>
      <c r="E2814" s="42">
        <v>1</v>
      </c>
      <c r="F2814" s="9"/>
      <c r="G2814" s="8">
        <f t="shared" si="96"/>
        <v>23.790374999999997</v>
      </c>
      <c r="H2814" s="188">
        <v>22.657499999999999</v>
      </c>
      <c r="I2814" s="19">
        <f t="shared" si="97"/>
        <v>0</v>
      </c>
      <c r="L2814" s="131"/>
      <c r="M2814" s="131"/>
      <c r="N2814" s="131"/>
    </row>
    <row r="2815" spans="1:14" hidden="1">
      <c r="A2815" s="100" t="s">
        <v>862</v>
      </c>
      <c r="B2815" s="101" t="s">
        <v>5138</v>
      </c>
      <c r="C2815" s="115" t="s">
        <v>5139</v>
      </c>
      <c r="D2815" s="38"/>
      <c r="E2815" s="42">
        <v>1</v>
      </c>
      <c r="F2815" s="9"/>
      <c r="G2815" s="8">
        <f t="shared" si="96"/>
        <v>138.29025000000001</v>
      </c>
      <c r="H2815" s="188">
        <v>131.70500000000001</v>
      </c>
      <c r="I2815" s="19">
        <f t="shared" si="97"/>
        <v>0</v>
      </c>
      <c r="L2815" s="131"/>
      <c r="M2815" s="131"/>
      <c r="N2815" s="131"/>
    </row>
    <row r="2816" spans="1:14" hidden="1">
      <c r="A2816" s="100" t="s">
        <v>862</v>
      </c>
      <c r="B2816" s="101" t="s">
        <v>5140</v>
      </c>
      <c r="C2816" s="115" t="s">
        <v>5141</v>
      </c>
      <c r="D2816" s="38"/>
      <c r="E2816" s="42">
        <v>1</v>
      </c>
      <c r="F2816" s="9"/>
      <c r="G2816" s="8">
        <f t="shared" si="96"/>
        <v>138.29025000000001</v>
      </c>
      <c r="H2816" s="188">
        <v>131.70500000000001</v>
      </c>
      <c r="I2816" s="19">
        <f t="shared" si="97"/>
        <v>0</v>
      </c>
      <c r="L2816" s="131"/>
      <c r="M2816" s="131"/>
      <c r="N2816" s="131"/>
    </row>
    <row r="2817" spans="1:14" hidden="1">
      <c r="A2817" s="100" t="s">
        <v>862</v>
      </c>
      <c r="B2817" s="101" t="s">
        <v>5142</v>
      </c>
      <c r="C2817" s="115" t="s">
        <v>5143</v>
      </c>
      <c r="D2817" s="38"/>
      <c r="E2817" s="42">
        <v>1</v>
      </c>
      <c r="F2817" s="9"/>
      <c r="G2817" s="8">
        <f t="shared" si="96"/>
        <v>135.92512499999998</v>
      </c>
      <c r="H2817" s="188">
        <v>129.45249999999999</v>
      </c>
      <c r="I2817" s="19">
        <f t="shared" si="97"/>
        <v>0</v>
      </c>
      <c r="L2817" s="131"/>
      <c r="M2817" s="131"/>
      <c r="N2817" s="131"/>
    </row>
    <row r="2818" spans="1:14" hidden="1">
      <c r="A2818" s="100" t="s">
        <v>862</v>
      </c>
      <c r="B2818" s="101" t="s">
        <v>5144</v>
      </c>
      <c r="C2818" s="115" t="s">
        <v>5145</v>
      </c>
      <c r="D2818" s="38"/>
      <c r="E2818" s="42">
        <v>1</v>
      </c>
      <c r="F2818" s="9"/>
      <c r="G2818" s="8">
        <f t="shared" si="96"/>
        <v>135.92512499999998</v>
      </c>
      <c r="H2818" s="188">
        <v>129.45249999999999</v>
      </c>
      <c r="I2818" s="19">
        <f t="shared" si="97"/>
        <v>0</v>
      </c>
      <c r="L2818" s="131"/>
      <c r="M2818" s="131"/>
      <c r="N2818" s="131"/>
    </row>
    <row r="2819" spans="1:14" hidden="1">
      <c r="A2819" s="100" t="s">
        <v>862</v>
      </c>
      <c r="B2819" s="101" t="s">
        <v>5146</v>
      </c>
      <c r="C2819" s="115" t="s">
        <v>5147</v>
      </c>
      <c r="D2819" s="38"/>
      <c r="E2819" s="42">
        <v>1</v>
      </c>
      <c r="F2819" s="9"/>
      <c r="G2819" s="8">
        <f t="shared" si="96"/>
        <v>10.407075000000001</v>
      </c>
      <c r="H2819" s="188">
        <v>9.9115000000000002</v>
      </c>
      <c r="I2819" s="19">
        <f t="shared" si="97"/>
        <v>0</v>
      </c>
      <c r="L2819" s="131"/>
      <c r="M2819" s="131"/>
      <c r="N2819" s="131"/>
    </row>
    <row r="2820" spans="1:14" hidden="1">
      <c r="A2820" s="100" t="s">
        <v>862</v>
      </c>
      <c r="B2820" s="101" t="s">
        <v>5148</v>
      </c>
      <c r="C2820" s="115" t="s">
        <v>5149</v>
      </c>
      <c r="D2820" s="38"/>
      <c r="E2820" s="42">
        <v>1</v>
      </c>
      <c r="F2820" s="9"/>
      <c r="G2820" s="8">
        <f t="shared" si="96"/>
        <v>28.103249999999999</v>
      </c>
      <c r="H2820" s="188">
        <v>26.765000000000001</v>
      </c>
      <c r="I2820" s="19">
        <f t="shared" si="97"/>
        <v>0</v>
      </c>
      <c r="L2820" s="131"/>
      <c r="M2820" s="131"/>
      <c r="N2820" s="131"/>
    </row>
    <row r="2821" spans="1:14" hidden="1">
      <c r="A2821" s="100" t="s">
        <v>862</v>
      </c>
      <c r="B2821" s="101" t="s">
        <v>5150</v>
      </c>
      <c r="C2821" s="115" t="s">
        <v>5151</v>
      </c>
      <c r="D2821" s="38"/>
      <c r="E2821" s="42">
        <v>1</v>
      </c>
      <c r="F2821" s="9"/>
      <c r="G2821" s="8">
        <f t="shared" si="96"/>
        <v>199.513125</v>
      </c>
      <c r="H2821" s="188">
        <v>190.01249999999999</v>
      </c>
      <c r="I2821" s="19">
        <f t="shared" si="97"/>
        <v>0</v>
      </c>
      <c r="L2821" s="131"/>
      <c r="M2821" s="131"/>
      <c r="N2821" s="131"/>
    </row>
    <row r="2822" spans="1:14" hidden="1">
      <c r="A2822" s="100" t="s">
        <v>862</v>
      </c>
      <c r="B2822" s="101" t="s">
        <v>5152</v>
      </c>
      <c r="C2822" s="115" t="s">
        <v>5153</v>
      </c>
      <c r="D2822" s="38"/>
      <c r="E2822" s="42">
        <v>1</v>
      </c>
      <c r="F2822" s="9"/>
      <c r="G2822" s="8">
        <f t="shared" si="96"/>
        <v>27.054825000000001</v>
      </c>
      <c r="H2822" s="188">
        <v>25.766500000000001</v>
      </c>
      <c r="I2822" s="19">
        <f t="shared" si="97"/>
        <v>0</v>
      </c>
      <c r="L2822" s="131"/>
      <c r="M2822" s="131"/>
      <c r="N2822" s="131"/>
    </row>
    <row r="2823" spans="1:14" hidden="1">
      <c r="A2823" s="100" t="s">
        <v>862</v>
      </c>
      <c r="B2823" s="101" t="s">
        <v>5154</v>
      </c>
      <c r="C2823" s="115" t="s">
        <v>5155</v>
      </c>
      <c r="D2823" s="38"/>
      <c r="E2823" s="42">
        <v>1</v>
      </c>
      <c r="F2823" s="9"/>
      <c r="G2823" s="8">
        <f t="shared" si="96"/>
        <v>113.631</v>
      </c>
      <c r="H2823" s="188">
        <v>108.22</v>
      </c>
      <c r="I2823" s="19">
        <f t="shared" si="97"/>
        <v>0</v>
      </c>
      <c r="L2823" s="131"/>
      <c r="M2823" s="131"/>
      <c r="N2823" s="131"/>
    </row>
    <row r="2824" spans="1:14" hidden="1">
      <c r="A2824" s="100" t="s">
        <v>862</v>
      </c>
      <c r="B2824" s="101" t="s">
        <v>5156</v>
      </c>
      <c r="C2824" s="115" t="s">
        <v>5157</v>
      </c>
      <c r="D2824" s="38"/>
      <c r="E2824" s="42">
        <v>1</v>
      </c>
      <c r="F2824" s="9"/>
      <c r="G2824" s="8">
        <f t="shared" si="96"/>
        <v>44.321025000000006</v>
      </c>
      <c r="H2824" s="188">
        <v>42.210500000000003</v>
      </c>
      <c r="I2824" s="19">
        <f t="shared" si="97"/>
        <v>0</v>
      </c>
      <c r="L2824" s="131"/>
      <c r="M2824" s="131"/>
      <c r="N2824" s="131"/>
    </row>
    <row r="2825" spans="1:14" hidden="1">
      <c r="A2825" s="100" t="s">
        <v>862</v>
      </c>
      <c r="B2825" s="101" t="s">
        <v>5158</v>
      </c>
      <c r="C2825" s="115" t="s">
        <v>5159</v>
      </c>
      <c r="D2825" s="38"/>
      <c r="E2825" s="42">
        <v>1</v>
      </c>
      <c r="F2825" s="9"/>
      <c r="G2825" s="8">
        <f t="shared" si="96"/>
        <v>58.178925</v>
      </c>
      <c r="H2825" s="188">
        <v>55.408499999999997</v>
      </c>
      <c r="I2825" s="19">
        <f t="shared" si="97"/>
        <v>0</v>
      </c>
      <c r="L2825" s="131"/>
      <c r="M2825" s="131"/>
      <c r="N2825" s="131"/>
    </row>
    <row r="2826" spans="1:14" hidden="1">
      <c r="A2826" s="100" t="s">
        <v>862</v>
      </c>
      <c r="B2826" s="101" t="s">
        <v>5160</v>
      </c>
      <c r="C2826" s="115" t="s">
        <v>5161</v>
      </c>
      <c r="D2826" s="38" t="s">
        <v>589</v>
      </c>
      <c r="E2826" s="42">
        <v>1</v>
      </c>
      <c r="F2826" s="9"/>
      <c r="G2826" s="8">
        <f t="shared" si="96"/>
        <v>82.288499999999999</v>
      </c>
      <c r="H2826" s="188">
        <v>78.37</v>
      </c>
      <c r="I2826" s="19">
        <f t="shared" si="97"/>
        <v>0</v>
      </c>
      <c r="L2826" s="131"/>
      <c r="M2826" s="131"/>
      <c r="N2826" s="131"/>
    </row>
    <row r="2827" spans="1:14" hidden="1">
      <c r="A2827" s="100" t="s">
        <v>862</v>
      </c>
      <c r="B2827" s="101" t="s">
        <v>5162</v>
      </c>
      <c r="C2827" s="115" t="s">
        <v>5163</v>
      </c>
      <c r="D2827" s="38" t="s">
        <v>589</v>
      </c>
      <c r="E2827" s="42">
        <v>1</v>
      </c>
      <c r="F2827" s="9"/>
      <c r="G2827" s="8">
        <f t="shared" si="96"/>
        <v>82.288499999999999</v>
      </c>
      <c r="H2827" s="188">
        <v>78.37</v>
      </c>
      <c r="I2827" s="19">
        <f t="shared" si="97"/>
        <v>0</v>
      </c>
      <c r="L2827" s="131"/>
      <c r="M2827" s="131"/>
      <c r="N2827" s="131"/>
    </row>
    <row r="2828" spans="1:14" hidden="1">
      <c r="A2828" s="100" t="s">
        <v>862</v>
      </c>
      <c r="B2828" s="101" t="s">
        <v>5164</v>
      </c>
      <c r="C2828" s="115" t="s">
        <v>5165</v>
      </c>
      <c r="D2828" s="38" t="s">
        <v>589</v>
      </c>
      <c r="E2828" s="42">
        <v>1</v>
      </c>
      <c r="F2828" s="9"/>
      <c r="G2828" s="8">
        <f t="shared" si="96"/>
        <v>82.288499999999999</v>
      </c>
      <c r="H2828" s="188">
        <v>78.37</v>
      </c>
      <c r="I2828" s="19">
        <f t="shared" si="97"/>
        <v>0</v>
      </c>
      <c r="L2828" s="131"/>
      <c r="M2828" s="131"/>
      <c r="N2828" s="131"/>
    </row>
    <row r="2829" spans="1:14" hidden="1">
      <c r="A2829" s="100" t="s">
        <v>862</v>
      </c>
      <c r="B2829" s="101" t="s">
        <v>5166</v>
      </c>
      <c r="C2829" s="115" t="s">
        <v>5167</v>
      </c>
      <c r="D2829" s="38" t="s">
        <v>589</v>
      </c>
      <c r="E2829" s="42">
        <v>1</v>
      </c>
      <c r="F2829" s="9"/>
      <c r="G2829" s="8">
        <f t="shared" si="96"/>
        <v>82.288499999999999</v>
      </c>
      <c r="H2829" s="188">
        <v>78.37</v>
      </c>
      <c r="I2829" s="19">
        <f t="shared" si="97"/>
        <v>0</v>
      </c>
      <c r="L2829" s="131"/>
      <c r="M2829" s="131"/>
      <c r="N2829" s="131"/>
    </row>
    <row r="2830" spans="1:14" hidden="1">
      <c r="A2830" s="100" t="s">
        <v>862</v>
      </c>
      <c r="B2830" s="101" t="s">
        <v>5168</v>
      </c>
      <c r="C2830" s="115" t="s">
        <v>5169</v>
      </c>
      <c r="D2830" s="38" t="s">
        <v>589</v>
      </c>
      <c r="E2830" s="42">
        <v>1</v>
      </c>
      <c r="F2830" s="9"/>
      <c r="G2830" s="8">
        <f t="shared" si="96"/>
        <v>80.467799999999997</v>
      </c>
      <c r="H2830" s="188">
        <v>76.635999999999996</v>
      </c>
      <c r="I2830" s="19">
        <f t="shared" si="97"/>
        <v>0</v>
      </c>
      <c r="L2830" s="131"/>
      <c r="M2830" s="131"/>
      <c r="N2830" s="131"/>
    </row>
    <row r="2831" spans="1:14" hidden="1">
      <c r="A2831" s="100" t="s">
        <v>862</v>
      </c>
      <c r="B2831" s="101" t="s">
        <v>5170</v>
      </c>
      <c r="C2831" s="115" t="s">
        <v>5171</v>
      </c>
      <c r="D2831" s="38" t="s">
        <v>589</v>
      </c>
      <c r="E2831" s="42">
        <v>1</v>
      </c>
      <c r="F2831" s="9"/>
      <c r="G2831" s="8">
        <f t="shared" si="96"/>
        <v>80.467799999999997</v>
      </c>
      <c r="H2831" s="188">
        <v>76.635999999999996</v>
      </c>
      <c r="I2831" s="19">
        <f t="shared" si="97"/>
        <v>0</v>
      </c>
      <c r="L2831" s="131"/>
      <c r="M2831" s="131"/>
      <c r="N2831" s="131"/>
    </row>
    <row r="2832" spans="1:14" hidden="1">
      <c r="A2832" s="100" t="s">
        <v>862</v>
      </c>
      <c r="B2832" s="101" t="s">
        <v>5172</v>
      </c>
      <c r="C2832" s="115" t="s">
        <v>5173</v>
      </c>
      <c r="D2832" s="38" t="s">
        <v>589</v>
      </c>
      <c r="E2832" s="42">
        <v>1</v>
      </c>
      <c r="F2832" s="9"/>
      <c r="G2832" s="8">
        <f t="shared" si="96"/>
        <v>106.77397499999999</v>
      </c>
      <c r="H2832" s="188">
        <v>101.6895</v>
      </c>
      <c r="I2832" s="19">
        <f t="shared" si="97"/>
        <v>0</v>
      </c>
      <c r="L2832" s="131"/>
      <c r="M2832" s="131"/>
      <c r="N2832" s="131"/>
    </row>
    <row r="2833" spans="1:14" hidden="1">
      <c r="A2833" s="100" t="s">
        <v>862</v>
      </c>
      <c r="B2833" s="101" t="s">
        <v>5174</v>
      </c>
      <c r="C2833" s="115" t="s">
        <v>5175</v>
      </c>
      <c r="D2833" s="38" t="s">
        <v>589</v>
      </c>
      <c r="E2833" s="42">
        <v>1</v>
      </c>
      <c r="F2833" s="9"/>
      <c r="G2833" s="8">
        <f t="shared" si="96"/>
        <v>44.175075</v>
      </c>
      <c r="H2833" s="188">
        <v>42.0715</v>
      </c>
      <c r="I2833" s="19">
        <f t="shared" si="97"/>
        <v>0</v>
      </c>
      <c r="L2833" s="131"/>
      <c r="M2833" s="131"/>
      <c r="N2833" s="131"/>
    </row>
    <row r="2834" spans="1:14" hidden="1">
      <c r="A2834" s="100" t="s">
        <v>862</v>
      </c>
      <c r="B2834" s="101" t="s">
        <v>5176</v>
      </c>
      <c r="C2834" s="115" t="s">
        <v>5177</v>
      </c>
      <c r="D2834" s="38"/>
      <c r="E2834" s="42">
        <v>1</v>
      </c>
      <c r="F2834" s="9"/>
      <c r="G2834" s="8">
        <f t="shared" si="96"/>
        <v>8.4855750000000008</v>
      </c>
      <c r="H2834" s="188">
        <v>8.0815000000000001</v>
      </c>
      <c r="I2834" s="19">
        <f t="shared" si="97"/>
        <v>0</v>
      </c>
      <c r="L2834" s="131"/>
      <c r="M2834" s="131"/>
      <c r="N2834" s="131"/>
    </row>
    <row r="2835" spans="1:14" hidden="1">
      <c r="A2835" s="100" t="s">
        <v>862</v>
      </c>
      <c r="B2835" s="101" t="s">
        <v>5178</v>
      </c>
      <c r="C2835" s="115" t="s">
        <v>5179</v>
      </c>
      <c r="D2835" s="38"/>
      <c r="E2835" s="42">
        <v>1</v>
      </c>
      <c r="F2835" s="9"/>
      <c r="G2835" s="8">
        <f t="shared" si="96"/>
        <v>18.414899999999999</v>
      </c>
      <c r="H2835" s="188">
        <v>17.538</v>
      </c>
      <c r="I2835" s="19">
        <f t="shared" si="97"/>
        <v>0</v>
      </c>
      <c r="L2835" s="131"/>
      <c r="M2835" s="131"/>
      <c r="N2835" s="131"/>
    </row>
    <row r="2836" spans="1:14" hidden="1">
      <c r="A2836" s="100" t="s">
        <v>862</v>
      </c>
      <c r="B2836" s="101" t="s">
        <v>5180</v>
      </c>
      <c r="C2836" s="115" t="s">
        <v>5181</v>
      </c>
      <c r="D2836" s="38"/>
      <c r="E2836" s="42">
        <v>1</v>
      </c>
      <c r="F2836" s="9"/>
      <c r="G2836" s="8">
        <f t="shared" si="96"/>
        <v>16.883475000000001</v>
      </c>
      <c r="H2836" s="188">
        <v>16.079499999999999</v>
      </c>
      <c r="I2836" s="19">
        <f t="shared" si="97"/>
        <v>0</v>
      </c>
      <c r="L2836" s="131"/>
      <c r="M2836" s="131"/>
      <c r="N2836" s="131"/>
    </row>
    <row r="2837" spans="1:14" hidden="1">
      <c r="A2837" s="100" t="s">
        <v>862</v>
      </c>
      <c r="B2837" s="101" t="s">
        <v>5182</v>
      </c>
      <c r="C2837" s="115" t="s">
        <v>5183</v>
      </c>
      <c r="D2837" s="38"/>
      <c r="E2837" s="42">
        <v>1</v>
      </c>
      <c r="F2837" s="9"/>
      <c r="G2837" s="8">
        <f t="shared" si="96"/>
        <v>15.343125000000001</v>
      </c>
      <c r="H2837" s="188">
        <v>14.612500000000001</v>
      </c>
      <c r="I2837" s="19">
        <f t="shared" si="97"/>
        <v>0</v>
      </c>
      <c r="L2837" s="131"/>
      <c r="M2837" s="131"/>
      <c r="N2837" s="131"/>
    </row>
    <row r="2838" spans="1:14" hidden="1">
      <c r="A2838" s="100" t="s">
        <v>862</v>
      </c>
      <c r="B2838" s="101" t="s">
        <v>5184</v>
      </c>
      <c r="C2838" s="115" t="s">
        <v>5185</v>
      </c>
      <c r="D2838" s="38"/>
      <c r="E2838" s="42">
        <v>1</v>
      </c>
      <c r="F2838" s="9"/>
      <c r="G2838" s="8">
        <f t="shared" si="96"/>
        <v>44.06955</v>
      </c>
      <c r="H2838" s="188">
        <v>41.970999999999997</v>
      </c>
      <c r="I2838" s="19">
        <f t="shared" si="97"/>
        <v>0</v>
      </c>
      <c r="L2838" s="131"/>
      <c r="M2838" s="131"/>
      <c r="N2838" s="131"/>
    </row>
    <row r="2839" spans="1:14" hidden="1">
      <c r="A2839" s="100" t="s">
        <v>862</v>
      </c>
      <c r="B2839" s="101" t="s">
        <v>5186</v>
      </c>
      <c r="C2839" s="115" t="s">
        <v>5187</v>
      </c>
      <c r="D2839" s="38"/>
      <c r="E2839" s="42">
        <v>1</v>
      </c>
      <c r="F2839" s="9"/>
      <c r="G2839" s="8">
        <f t="shared" si="96"/>
        <v>63.139125</v>
      </c>
      <c r="H2839" s="188">
        <v>60.1325</v>
      </c>
      <c r="I2839" s="19">
        <f t="shared" si="97"/>
        <v>0</v>
      </c>
      <c r="L2839" s="131"/>
      <c r="M2839" s="131"/>
      <c r="N2839" s="131"/>
    </row>
    <row r="2840" spans="1:14" hidden="1">
      <c r="A2840" s="100" t="s">
        <v>862</v>
      </c>
      <c r="B2840" s="101" t="s">
        <v>5188</v>
      </c>
      <c r="C2840" s="115" t="s">
        <v>5189</v>
      </c>
      <c r="D2840" s="38" t="s">
        <v>589</v>
      </c>
      <c r="E2840" s="42">
        <v>1</v>
      </c>
      <c r="F2840" s="9"/>
      <c r="G2840" s="8">
        <f t="shared" si="96"/>
        <v>206.1885</v>
      </c>
      <c r="H2840" s="188">
        <v>196.37</v>
      </c>
      <c r="I2840" s="19">
        <f t="shared" si="97"/>
        <v>0</v>
      </c>
      <c r="L2840" s="131"/>
      <c r="M2840" s="131"/>
      <c r="N2840" s="131"/>
    </row>
    <row r="2841" spans="1:14" hidden="1">
      <c r="A2841" s="100" t="s">
        <v>862</v>
      </c>
      <c r="B2841" s="101" t="s">
        <v>5190</v>
      </c>
      <c r="C2841" s="115" t="s">
        <v>5191</v>
      </c>
      <c r="D2841" s="38" t="s">
        <v>589</v>
      </c>
      <c r="E2841" s="42">
        <v>1</v>
      </c>
      <c r="F2841" s="9"/>
      <c r="G2841" s="8">
        <f t="shared" si="96"/>
        <v>118.46625</v>
      </c>
      <c r="H2841" s="188">
        <v>112.825</v>
      </c>
      <c r="I2841" s="19">
        <f t="shared" si="97"/>
        <v>0</v>
      </c>
      <c r="L2841" s="131"/>
      <c r="M2841" s="131"/>
      <c r="N2841" s="131"/>
    </row>
    <row r="2842" spans="1:14" hidden="1">
      <c r="A2842" s="100" t="s">
        <v>862</v>
      </c>
      <c r="B2842" s="101" t="s">
        <v>5192</v>
      </c>
      <c r="C2842" s="115" t="s">
        <v>5193</v>
      </c>
      <c r="D2842" s="38"/>
      <c r="E2842" s="42">
        <v>1</v>
      </c>
      <c r="F2842" s="9"/>
      <c r="G2842" s="8">
        <f t="shared" si="96"/>
        <v>39.5304</v>
      </c>
      <c r="H2842" s="188">
        <v>37.648000000000003</v>
      </c>
      <c r="I2842" s="19">
        <f t="shared" si="97"/>
        <v>0</v>
      </c>
      <c r="L2842" s="131"/>
      <c r="M2842" s="131"/>
      <c r="N2842" s="131"/>
    </row>
    <row r="2843" spans="1:14" hidden="1">
      <c r="A2843" s="100" t="s">
        <v>862</v>
      </c>
      <c r="B2843" s="101" t="s">
        <v>5194</v>
      </c>
      <c r="C2843" s="115" t="s">
        <v>5195</v>
      </c>
      <c r="D2843" s="38"/>
      <c r="E2843" s="42">
        <v>1</v>
      </c>
      <c r="F2843" s="9"/>
      <c r="G2843" s="8">
        <f t="shared" si="96"/>
        <v>37.876124999999995</v>
      </c>
      <c r="H2843" s="188">
        <v>36.072499999999998</v>
      </c>
      <c r="I2843" s="19">
        <f t="shared" si="97"/>
        <v>0</v>
      </c>
      <c r="L2843" s="131"/>
      <c r="M2843" s="131"/>
      <c r="N2843" s="131"/>
    </row>
    <row r="2844" spans="1:14" hidden="1">
      <c r="A2844" s="100" t="s">
        <v>862</v>
      </c>
      <c r="B2844" s="101" t="s">
        <v>5196</v>
      </c>
      <c r="C2844" s="115" t="s">
        <v>5197</v>
      </c>
      <c r="D2844" s="38"/>
      <c r="E2844" s="42">
        <v>1</v>
      </c>
      <c r="F2844" s="9"/>
      <c r="G2844" s="8">
        <f t="shared" si="96"/>
        <v>37.874025000000003</v>
      </c>
      <c r="H2844" s="188">
        <v>36.070500000000003</v>
      </c>
      <c r="I2844" s="19">
        <f t="shared" si="97"/>
        <v>0</v>
      </c>
      <c r="L2844" s="131"/>
      <c r="M2844" s="131"/>
      <c r="N2844" s="131"/>
    </row>
    <row r="2845" spans="1:14" hidden="1">
      <c r="A2845" s="100" t="s">
        <v>862</v>
      </c>
      <c r="B2845" s="101" t="s">
        <v>5198</v>
      </c>
      <c r="C2845" s="115" t="s">
        <v>5199</v>
      </c>
      <c r="D2845" s="38"/>
      <c r="E2845" s="42">
        <v>1</v>
      </c>
      <c r="F2845" s="9"/>
      <c r="G2845" s="8">
        <f t="shared" si="96"/>
        <v>41.158949999999997</v>
      </c>
      <c r="H2845" s="188">
        <v>39.198999999999998</v>
      </c>
      <c r="I2845" s="19">
        <f t="shared" si="97"/>
        <v>0</v>
      </c>
      <c r="L2845" s="131"/>
      <c r="M2845" s="131"/>
      <c r="N2845" s="131"/>
    </row>
    <row r="2846" spans="1:14" hidden="1">
      <c r="A2846" s="100" t="s">
        <v>862</v>
      </c>
      <c r="B2846" s="114" t="s">
        <v>5200</v>
      </c>
      <c r="C2846" s="116" t="s">
        <v>5201</v>
      </c>
      <c r="D2846" s="38" t="s">
        <v>589</v>
      </c>
      <c r="E2846" s="42">
        <v>1</v>
      </c>
      <c r="F2846" s="9"/>
      <c r="G2846" s="8">
        <f t="shared" si="96"/>
        <v>122.33024999999999</v>
      </c>
      <c r="H2846" s="188">
        <v>116.505</v>
      </c>
      <c r="I2846" s="19">
        <f t="shared" si="97"/>
        <v>0</v>
      </c>
      <c r="L2846" s="131"/>
      <c r="M2846" s="131"/>
      <c r="N2846" s="131"/>
    </row>
    <row r="2847" spans="1:14" hidden="1">
      <c r="A2847" s="100" t="s">
        <v>862</v>
      </c>
      <c r="B2847" s="101" t="s">
        <v>5202</v>
      </c>
      <c r="C2847" s="115" t="s">
        <v>5203</v>
      </c>
      <c r="D2847" s="38"/>
      <c r="E2847" s="42">
        <v>1</v>
      </c>
      <c r="F2847" s="9"/>
      <c r="G2847" s="8">
        <f t="shared" si="96"/>
        <v>15.345750000000001</v>
      </c>
      <c r="H2847" s="188">
        <v>14.615</v>
      </c>
      <c r="I2847" s="19">
        <f t="shared" si="97"/>
        <v>0</v>
      </c>
      <c r="L2847" s="131"/>
      <c r="M2847" s="131"/>
      <c r="N2847" s="131"/>
    </row>
    <row r="2848" spans="1:14" hidden="1">
      <c r="A2848" s="100" t="s">
        <v>862</v>
      </c>
      <c r="B2848" s="101" t="s">
        <v>5204</v>
      </c>
      <c r="C2848" s="115" t="s">
        <v>5205</v>
      </c>
      <c r="D2848" s="38"/>
      <c r="E2848" s="42">
        <v>1</v>
      </c>
      <c r="F2848" s="9"/>
      <c r="G2848" s="8">
        <f t="shared" si="96"/>
        <v>16.989000000000001</v>
      </c>
      <c r="H2848" s="188">
        <v>16.18</v>
      </c>
      <c r="I2848" s="19">
        <f t="shared" si="97"/>
        <v>0</v>
      </c>
      <c r="L2848" s="131"/>
      <c r="M2848" s="131"/>
      <c r="N2848" s="131"/>
    </row>
    <row r="2849" spans="1:14" hidden="1">
      <c r="A2849" s="100" t="s">
        <v>862</v>
      </c>
      <c r="B2849" s="101" t="s">
        <v>5206</v>
      </c>
      <c r="C2849" s="115" t="s">
        <v>5207</v>
      </c>
      <c r="D2849" s="38"/>
      <c r="E2849" s="42">
        <v>1</v>
      </c>
      <c r="F2849" s="9"/>
      <c r="G2849" s="8">
        <f t="shared" si="96"/>
        <v>42.267749999999999</v>
      </c>
      <c r="H2849" s="188">
        <v>40.255000000000003</v>
      </c>
      <c r="I2849" s="19">
        <f t="shared" si="97"/>
        <v>0</v>
      </c>
      <c r="L2849" s="131"/>
      <c r="M2849" s="131"/>
      <c r="N2849" s="131"/>
    </row>
    <row r="2850" spans="1:14" hidden="1">
      <c r="A2850" s="100" t="s">
        <v>862</v>
      </c>
      <c r="B2850" s="114" t="s">
        <v>5208</v>
      </c>
      <c r="C2850" s="116" t="s">
        <v>5209</v>
      </c>
      <c r="D2850" s="38" t="s">
        <v>589</v>
      </c>
      <c r="E2850" s="42">
        <v>1</v>
      </c>
      <c r="F2850" s="9"/>
      <c r="G2850" s="8">
        <f t="shared" si="96"/>
        <v>58.632000000000005</v>
      </c>
      <c r="H2850" s="188">
        <v>55.84</v>
      </c>
      <c r="I2850" s="19">
        <f t="shared" si="97"/>
        <v>0</v>
      </c>
      <c r="L2850" s="131"/>
      <c r="M2850" s="131"/>
      <c r="N2850" s="131"/>
    </row>
    <row r="2851" spans="1:14" hidden="1">
      <c r="A2851" s="100" t="s">
        <v>862</v>
      </c>
      <c r="B2851" s="101" t="s">
        <v>5210</v>
      </c>
      <c r="C2851" s="115" t="s">
        <v>5211</v>
      </c>
      <c r="D2851" s="38"/>
      <c r="E2851" s="42">
        <v>1</v>
      </c>
      <c r="F2851" s="9"/>
      <c r="G2851" s="8">
        <f t="shared" si="96"/>
        <v>12.65775</v>
      </c>
      <c r="H2851" s="188">
        <v>12.055</v>
      </c>
      <c r="I2851" s="19">
        <f t="shared" si="97"/>
        <v>0</v>
      </c>
      <c r="L2851" s="131"/>
      <c r="M2851" s="131"/>
      <c r="N2851" s="131"/>
    </row>
    <row r="2852" spans="1:14" hidden="1">
      <c r="A2852" s="100" t="s">
        <v>862</v>
      </c>
      <c r="B2852" s="101" t="s">
        <v>5212</v>
      </c>
      <c r="C2852" s="115" t="s">
        <v>5213</v>
      </c>
      <c r="D2852" s="38"/>
      <c r="E2852" s="42">
        <v>1</v>
      </c>
      <c r="F2852" s="9"/>
      <c r="G2852" s="8">
        <f t="shared" si="96"/>
        <v>34.991250000000001</v>
      </c>
      <c r="H2852" s="188">
        <v>33.325000000000003</v>
      </c>
      <c r="I2852" s="19">
        <f t="shared" si="97"/>
        <v>0</v>
      </c>
      <c r="L2852" s="131"/>
      <c r="M2852" s="131"/>
      <c r="N2852" s="131"/>
    </row>
    <row r="2853" spans="1:14" hidden="1">
      <c r="A2853" s="100" t="s">
        <v>862</v>
      </c>
      <c r="B2853" s="101" t="s">
        <v>5214</v>
      </c>
      <c r="C2853" s="115" t="s">
        <v>5215</v>
      </c>
      <c r="D2853" s="38" t="s">
        <v>589</v>
      </c>
      <c r="E2853" s="42">
        <v>1</v>
      </c>
      <c r="F2853" s="9"/>
      <c r="G2853" s="8">
        <f t="shared" ref="G2853:G2916" si="98">H2853+(H2853*5%)</f>
        <v>75.495000000000005</v>
      </c>
      <c r="H2853" s="188">
        <v>71.900000000000006</v>
      </c>
      <c r="I2853" s="19">
        <f t="shared" si="97"/>
        <v>0</v>
      </c>
      <c r="L2853" s="131"/>
      <c r="M2853" s="131"/>
      <c r="N2853" s="131"/>
    </row>
    <row r="2854" spans="1:14" hidden="1">
      <c r="A2854" s="100" t="s">
        <v>862</v>
      </c>
      <c r="B2854" s="101" t="s">
        <v>5216</v>
      </c>
      <c r="C2854" s="115" t="s">
        <v>5217</v>
      </c>
      <c r="D2854" s="38" t="s">
        <v>589</v>
      </c>
      <c r="E2854" s="42">
        <v>1</v>
      </c>
      <c r="F2854" s="9"/>
      <c r="G2854" s="8">
        <f t="shared" si="98"/>
        <v>256.75125000000003</v>
      </c>
      <c r="H2854" s="188">
        <v>244.52500000000001</v>
      </c>
      <c r="I2854" s="19">
        <f t="shared" si="97"/>
        <v>0</v>
      </c>
      <c r="L2854" s="131"/>
      <c r="M2854" s="131"/>
      <c r="N2854" s="131"/>
    </row>
    <row r="2855" spans="1:14" hidden="1">
      <c r="A2855" s="100" t="s">
        <v>862</v>
      </c>
      <c r="B2855" s="101" t="s">
        <v>5218</v>
      </c>
      <c r="C2855" s="115" t="s">
        <v>5219</v>
      </c>
      <c r="D2855" s="38"/>
      <c r="E2855" s="42">
        <v>1</v>
      </c>
      <c r="F2855" s="9"/>
      <c r="G2855" s="8">
        <f t="shared" si="98"/>
        <v>30.8385</v>
      </c>
      <c r="H2855" s="188">
        <v>29.37</v>
      </c>
      <c r="I2855" s="19">
        <f t="shared" ref="I2855:I2918" si="99">G2855*F2855</f>
        <v>0</v>
      </c>
      <c r="L2855" s="131"/>
      <c r="M2855" s="131"/>
      <c r="N2855" s="131"/>
    </row>
    <row r="2856" spans="1:14" hidden="1">
      <c r="A2856" s="100" t="s">
        <v>862</v>
      </c>
      <c r="B2856" s="101" t="s">
        <v>5220</v>
      </c>
      <c r="C2856" s="115" t="s">
        <v>5221</v>
      </c>
      <c r="D2856" s="38" t="s">
        <v>589</v>
      </c>
      <c r="E2856" s="42">
        <v>1</v>
      </c>
      <c r="F2856" s="9"/>
      <c r="G2856" s="8">
        <f t="shared" si="98"/>
        <v>59.608500000000006</v>
      </c>
      <c r="H2856" s="188">
        <v>56.77</v>
      </c>
      <c r="I2856" s="19">
        <f t="shared" si="99"/>
        <v>0</v>
      </c>
      <c r="L2856" s="131"/>
      <c r="M2856" s="131"/>
      <c r="N2856" s="131"/>
    </row>
    <row r="2857" spans="1:14" hidden="1">
      <c r="A2857" s="100" t="s">
        <v>862</v>
      </c>
      <c r="B2857" s="101" t="s">
        <v>5222</v>
      </c>
      <c r="C2857" s="115" t="s">
        <v>5223</v>
      </c>
      <c r="D2857" s="38"/>
      <c r="E2857" s="42">
        <v>1</v>
      </c>
      <c r="F2857" s="9"/>
      <c r="G2857" s="8">
        <f t="shared" si="98"/>
        <v>84.525000000000006</v>
      </c>
      <c r="H2857" s="188">
        <v>80.5</v>
      </c>
      <c r="I2857" s="19">
        <f t="shared" si="99"/>
        <v>0</v>
      </c>
      <c r="L2857" s="131"/>
      <c r="M2857" s="131"/>
      <c r="N2857" s="131"/>
    </row>
    <row r="2858" spans="1:14" hidden="1">
      <c r="A2858" s="100" t="s">
        <v>862</v>
      </c>
      <c r="B2858" s="101" t="s">
        <v>5224</v>
      </c>
      <c r="C2858" s="115" t="s">
        <v>5225</v>
      </c>
      <c r="D2858" s="38"/>
      <c r="E2858" s="42">
        <v>1</v>
      </c>
      <c r="F2858" s="9"/>
      <c r="G2858" s="8">
        <f t="shared" si="98"/>
        <v>20.522250000000003</v>
      </c>
      <c r="H2858" s="188">
        <v>19.545000000000002</v>
      </c>
      <c r="I2858" s="19">
        <f t="shared" si="99"/>
        <v>0</v>
      </c>
      <c r="L2858" s="131"/>
      <c r="M2858" s="131"/>
      <c r="N2858" s="131"/>
    </row>
    <row r="2859" spans="1:14" hidden="1">
      <c r="A2859" s="100" t="s">
        <v>862</v>
      </c>
      <c r="B2859" s="101" t="s">
        <v>5226</v>
      </c>
      <c r="C2859" s="115" t="s">
        <v>5227</v>
      </c>
      <c r="D2859" s="38" t="s">
        <v>589</v>
      </c>
      <c r="E2859" s="42">
        <v>1</v>
      </c>
      <c r="F2859" s="9"/>
      <c r="G2859" s="8">
        <f t="shared" si="98"/>
        <v>108.9795</v>
      </c>
      <c r="H2859" s="188">
        <v>103.79</v>
      </c>
      <c r="I2859" s="19">
        <f t="shared" si="99"/>
        <v>0</v>
      </c>
      <c r="L2859" s="131"/>
      <c r="M2859" s="131"/>
      <c r="N2859" s="131"/>
    </row>
    <row r="2860" spans="1:14" hidden="1">
      <c r="A2860" s="100" t="s">
        <v>862</v>
      </c>
      <c r="B2860" s="101" t="s">
        <v>5228</v>
      </c>
      <c r="C2860" s="115" t="s">
        <v>5229</v>
      </c>
      <c r="D2860" s="38" t="s">
        <v>589</v>
      </c>
      <c r="E2860" s="42">
        <v>1</v>
      </c>
      <c r="F2860" s="9"/>
      <c r="G2860" s="8">
        <f t="shared" si="98"/>
        <v>135.91725</v>
      </c>
      <c r="H2860" s="188">
        <v>129.44499999999999</v>
      </c>
      <c r="I2860" s="19">
        <f t="shared" si="99"/>
        <v>0</v>
      </c>
      <c r="L2860" s="131"/>
      <c r="M2860" s="131"/>
      <c r="N2860" s="131"/>
    </row>
    <row r="2861" spans="1:14" hidden="1">
      <c r="A2861" s="100" t="s">
        <v>862</v>
      </c>
      <c r="B2861" s="114" t="s">
        <v>5230</v>
      </c>
      <c r="C2861" s="116" t="s">
        <v>5231</v>
      </c>
      <c r="D2861" s="38"/>
      <c r="E2861" s="42">
        <v>1</v>
      </c>
      <c r="F2861" s="9"/>
      <c r="G2861" s="8">
        <f t="shared" si="98"/>
        <v>51.859499999999997</v>
      </c>
      <c r="H2861" s="188">
        <v>49.39</v>
      </c>
      <c r="I2861" s="19">
        <f t="shared" si="99"/>
        <v>0</v>
      </c>
      <c r="L2861" s="131"/>
      <c r="M2861" s="131"/>
      <c r="N2861" s="131"/>
    </row>
    <row r="2862" spans="1:14" hidden="1">
      <c r="A2862" s="100" t="s">
        <v>862</v>
      </c>
      <c r="B2862" s="101" t="s">
        <v>5232</v>
      </c>
      <c r="C2862" s="115" t="s">
        <v>5233</v>
      </c>
      <c r="D2862" s="38" t="s">
        <v>589</v>
      </c>
      <c r="E2862" s="42">
        <v>1</v>
      </c>
      <c r="F2862" s="9"/>
      <c r="G2862" s="8">
        <f t="shared" si="98"/>
        <v>137.711175</v>
      </c>
      <c r="H2862" s="188">
        <v>131.15350000000001</v>
      </c>
      <c r="I2862" s="19">
        <f t="shared" si="99"/>
        <v>0</v>
      </c>
      <c r="L2862" s="131"/>
      <c r="M2862" s="131"/>
      <c r="N2862" s="131"/>
    </row>
    <row r="2863" spans="1:14" hidden="1">
      <c r="A2863" s="100" t="s">
        <v>862</v>
      </c>
      <c r="B2863" s="101" t="s">
        <v>5234</v>
      </c>
      <c r="C2863" s="115" t="s">
        <v>5235</v>
      </c>
      <c r="D2863" s="38" t="s">
        <v>589</v>
      </c>
      <c r="E2863" s="42">
        <v>1</v>
      </c>
      <c r="F2863" s="9"/>
      <c r="G2863" s="8">
        <f t="shared" si="98"/>
        <v>115.71209999999999</v>
      </c>
      <c r="H2863" s="188">
        <v>110.202</v>
      </c>
      <c r="I2863" s="19">
        <f t="shared" si="99"/>
        <v>0</v>
      </c>
      <c r="L2863" s="131"/>
      <c r="M2863" s="131"/>
      <c r="N2863" s="131"/>
    </row>
    <row r="2864" spans="1:14" hidden="1">
      <c r="A2864" s="100" t="s">
        <v>862</v>
      </c>
      <c r="B2864" s="101" t="s">
        <v>5236</v>
      </c>
      <c r="C2864" s="115" t="s">
        <v>5237</v>
      </c>
      <c r="D2864" s="38" t="s">
        <v>589</v>
      </c>
      <c r="E2864" s="42">
        <v>1</v>
      </c>
      <c r="F2864" s="9"/>
      <c r="G2864" s="8">
        <f t="shared" si="98"/>
        <v>78.342075000000008</v>
      </c>
      <c r="H2864" s="188">
        <v>74.611500000000007</v>
      </c>
      <c r="I2864" s="19">
        <f t="shared" si="99"/>
        <v>0</v>
      </c>
      <c r="L2864" s="131"/>
      <c r="M2864" s="131"/>
      <c r="N2864" s="131"/>
    </row>
    <row r="2865" spans="1:14" hidden="1">
      <c r="A2865" s="100" t="s">
        <v>862</v>
      </c>
      <c r="B2865" s="101" t="s">
        <v>5238</v>
      </c>
      <c r="C2865" s="115" t="s">
        <v>5239</v>
      </c>
      <c r="D2865" s="38" t="s">
        <v>589</v>
      </c>
      <c r="E2865" s="42">
        <v>1</v>
      </c>
      <c r="F2865" s="9"/>
      <c r="G2865" s="8">
        <f t="shared" si="98"/>
        <v>161.45850000000002</v>
      </c>
      <c r="H2865" s="188">
        <v>153.77000000000001</v>
      </c>
      <c r="I2865" s="19">
        <f t="shared" si="99"/>
        <v>0</v>
      </c>
      <c r="L2865" s="131"/>
      <c r="M2865" s="131"/>
      <c r="N2865" s="131"/>
    </row>
    <row r="2866" spans="1:14" hidden="1">
      <c r="A2866" s="100" t="s">
        <v>862</v>
      </c>
      <c r="B2866" s="101" t="s">
        <v>5240</v>
      </c>
      <c r="C2866" s="115" t="s">
        <v>5241</v>
      </c>
      <c r="D2866" s="38"/>
      <c r="E2866" s="42">
        <v>1</v>
      </c>
      <c r="F2866" s="9"/>
      <c r="G2866" s="8">
        <f t="shared" si="98"/>
        <v>71.077649999999991</v>
      </c>
      <c r="H2866" s="188">
        <v>67.692999999999998</v>
      </c>
      <c r="I2866" s="19">
        <f t="shared" si="99"/>
        <v>0</v>
      </c>
      <c r="L2866" s="131"/>
      <c r="M2866" s="131"/>
      <c r="N2866" s="131"/>
    </row>
    <row r="2867" spans="1:14" hidden="1">
      <c r="A2867" s="100" t="s">
        <v>862</v>
      </c>
      <c r="B2867" s="101" t="s">
        <v>5242</v>
      </c>
      <c r="C2867" s="115" t="s">
        <v>5243</v>
      </c>
      <c r="D2867" s="38"/>
      <c r="E2867" s="42">
        <v>1</v>
      </c>
      <c r="F2867" s="9"/>
      <c r="G2867" s="8">
        <f t="shared" si="98"/>
        <v>54.208350000000003</v>
      </c>
      <c r="H2867" s="188">
        <v>51.627000000000002</v>
      </c>
      <c r="I2867" s="19">
        <f t="shared" si="99"/>
        <v>0</v>
      </c>
      <c r="L2867" s="131"/>
      <c r="M2867" s="131"/>
      <c r="N2867" s="131"/>
    </row>
    <row r="2868" spans="1:14" hidden="1">
      <c r="A2868" s="100" t="s">
        <v>862</v>
      </c>
      <c r="B2868" s="101" t="s">
        <v>5244</v>
      </c>
      <c r="C2868" s="115" t="s">
        <v>5245</v>
      </c>
      <c r="D2868" s="38"/>
      <c r="E2868" s="42">
        <v>1</v>
      </c>
      <c r="F2868" s="9"/>
      <c r="G2868" s="8">
        <f t="shared" si="98"/>
        <v>45.270224999999996</v>
      </c>
      <c r="H2868" s="188">
        <v>43.1145</v>
      </c>
      <c r="I2868" s="19">
        <f t="shared" si="99"/>
        <v>0</v>
      </c>
      <c r="L2868" s="131"/>
      <c r="M2868" s="131"/>
      <c r="N2868" s="131"/>
    </row>
    <row r="2869" spans="1:14" hidden="1">
      <c r="A2869" s="100" t="s">
        <v>862</v>
      </c>
      <c r="B2869" s="101" t="s">
        <v>5246</v>
      </c>
      <c r="C2869" s="115" t="s">
        <v>5247</v>
      </c>
      <c r="D2869" s="38"/>
      <c r="E2869" s="42">
        <v>1</v>
      </c>
      <c r="F2869" s="9"/>
      <c r="G2869" s="8">
        <f t="shared" si="98"/>
        <v>76.226325000000003</v>
      </c>
      <c r="H2869" s="188">
        <v>72.596500000000006</v>
      </c>
      <c r="I2869" s="19">
        <f t="shared" si="99"/>
        <v>0</v>
      </c>
      <c r="L2869" s="131"/>
      <c r="M2869" s="131"/>
      <c r="N2869" s="131"/>
    </row>
    <row r="2870" spans="1:14" hidden="1">
      <c r="A2870" s="100" t="s">
        <v>862</v>
      </c>
      <c r="B2870" s="101" t="s">
        <v>5248</v>
      </c>
      <c r="C2870" s="115" t="s">
        <v>5249</v>
      </c>
      <c r="D2870" s="38"/>
      <c r="E2870" s="42">
        <v>1</v>
      </c>
      <c r="F2870" s="9"/>
      <c r="G2870" s="8">
        <f t="shared" si="98"/>
        <v>93.096149999999994</v>
      </c>
      <c r="H2870" s="188">
        <v>88.662999999999997</v>
      </c>
      <c r="I2870" s="19">
        <f t="shared" si="99"/>
        <v>0</v>
      </c>
      <c r="L2870" s="131"/>
      <c r="M2870" s="131"/>
      <c r="N2870" s="131"/>
    </row>
    <row r="2871" spans="1:14" hidden="1">
      <c r="A2871" s="100" t="s">
        <v>862</v>
      </c>
      <c r="B2871" s="101" t="s">
        <v>5250</v>
      </c>
      <c r="C2871" s="115" t="s">
        <v>5251</v>
      </c>
      <c r="D2871" s="38"/>
      <c r="E2871" s="42">
        <v>1</v>
      </c>
      <c r="F2871" s="9"/>
      <c r="G2871" s="8">
        <f t="shared" si="98"/>
        <v>85.308299999999988</v>
      </c>
      <c r="H2871" s="188">
        <v>81.245999999999995</v>
      </c>
      <c r="I2871" s="19">
        <f t="shared" si="99"/>
        <v>0</v>
      </c>
      <c r="L2871" s="131"/>
      <c r="M2871" s="131"/>
      <c r="N2871" s="131"/>
    </row>
    <row r="2872" spans="1:14" hidden="1">
      <c r="A2872" s="100" t="s">
        <v>862</v>
      </c>
      <c r="B2872" s="101" t="s">
        <v>5252</v>
      </c>
      <c r="C2872" s="115" t="s">
        <v>5253</v>
      </c>
      <c r="D2872" s="38"/>
      <c r="E2872" s="42">
        <v>1</v>
      </c>
      <c r="F2872" s="9"/>
      <c r="G2872" s="8">
        <f t="shared" si="98"/>
        <v>95.725875000000002</v>
      </c>
      <c r="H2872" s="188">
        <v>91.167500000000004</v>
      </c>
      <c r="I2872" s="19">
        <f t="shared" si="99"/>
        <v>0</v>
      </c>
      <c r="L2872" s="131"/>
      <c r="M2872" s="131"/>
      <c r="N2872" s="131"/>
    </row>
    <row r="2873" spans="1:14" hidden="1">
      <c r="A2873" s="100" t="s">
        <v>862</v>
      </c>
      <c r="B2873" s="101" t="s">
        <v>5254</v>
      </c>
      <c r="C2873" s="115" t="s">
        <v>5255</v>
      </c>
      <c r="D2873" s="38"/>
      <c r="E2873" s="42">
        <v>1</v>
      </c>
      <c r="F2873" s="9"/>
      <c r="G2873" s="8">
        <f t="shared" si="98"/>
        <v>79.111199999999997</v>
      </c>
      <c r="H2873" s="188">
        <v>75.343999999999994</v>
      </c>
      <c r="I2873" s="19">
        <f t="shared" si="99"/>
        <v>0</v>
      </c>
      <c r="L2873" s="131"/>
      <c r="M2873" s="131"/>
      <c r="N2873" s="131"/>
    </row>
    <row r="2874" spans="1:14" hidden="1">
      <c r="A2874" s="100" t="s">
        <v>862</v>
      </c>
      <c r="B2874" s="101" t="s">
        <v>5256</v>
      </c>
      <c r="C2874" s="115" t="s">
        <v>5257</v>
      </c>
      <c r="D2874" s="38"/>
      <c r="E2874" s="42">
        <v>1</v>
      </c>
      <c r="F2874" s="9"/>
      <c r="G2874" s="8">
        <f t="shared" si="98"/>
        <v>79.112774999999999</v>
      </c>
      <c r="H2874" s="188">
        <v>75.345500000000001</v>
      </c>
      <c r="I2874" s="19">
        <f t="shared" si="99"/>
        <v>0</v>
      </c>
      <c r="L2874" s="131"/>
      <c r="M2874" s="131"/>
      <c r="N2874" s="131"/>
    </row>
    <row r="2875" spans="1:14" hidden="1">
      <c r="A2875" s="100" t="s">
        <v>862</v>
      </c>
      <c r="B2875" s="101" t="s">
        <v>5258</v>
      </c>
      <c r="C2875" s="115" t="s">
        <v>5259</v>
      </c>
      <c r="D2875" s="38"/>
      <c r="E2875" s="42">
        <v>1</v>
      </c>
      <c r="F2875" s="9"/>
      <c r="G2875" s="8">
        <f t="shared" si="98"/>
        <v>82.3977</v>
      </c>
      <c r="H2875" s="188">
        <v>78.474000000000004</v>
      </c>
      <c r="I2875" s="19">
        <f t="shared" si="99"/>
        <v>0</v>
      </c>
      <c r="L2875" s="131"/>
      <c r="M2875" s="131"/>
      <c r="N2875" s="131"/>
    </row>
    <row r="2876" spans="1:14" hidden="1">
      <c r="A2876" s="100" t="s">
        <v>862</v>
      </c>
      <c r="B2876" s="101" t="s">
        <v>5260</v>
      </c>
      <c r="C2876" s="115" t="s">
        <v>5261</v>
      </c>
      <c r="D2876" s="38" t="s">
        <v>589</v>
      </c>
      <c r="E2876" s="42">
        <v>1</v>
      </c>
      <c r="F2876" s="9"/>
      <c r="G2876" s="8">
        <f t="shared" si="98"/>
        <v>84.540750000000003</v>
      </c>
      <c r="H2876" s="188">
        <v>80.515000000000001</v>
      </c>
      <c r="I2876" s="19">
        <f t="shared" si="99"/>
        <v>0</v>
      </c>
      <c r="L2876" s="131"/>
      <c r="M2876" s="131"/>
      <c r="N2876" s="131"/>
    </row>
    <row r="2877" spans="1:14" hidden="1">
      <c r="A2877" s="100" t="s">
        <v>862</v>
      </c>
      <c r="B2877" s="101" t="s">
        <v>5262</v>
      </c>
      <c r="C2877" s="115" t="s">
        <v>5263</v>
      </c>
      <c r="D2877" s="38" t="s">
        <v>589</v>
      </c>
      <c r="E2877" s="42">
        <v>1</v>
      </c>
      <c r="F2877" s="9"/>
      <c r="G2877" s="8">
        <f t="shared" si="98"/>
        <v>256.16325000000001</v>
      </c>
      <c r="H2877" s="188">
        <v>243.965</v>
      </c>
      <c r="I2877" s="19">
        <f t="shared" si="99"/>
        <v>0</v>
      </c>
      <c r="L2877" s="131"/>
      <c r="M2877" s="131"/>
      <c r="N2877" s="131"/>
    </row>
    <row r="2878" spans="1:14" hidden="1">
      <c r="A2878" s="100" t="s">
        <v>862</v>
      </c>
      <c r="B2878" s="101" t="s">
        <v>5264</v>
      </c>
      <c r="C2878" s="115" t="s">
        <v>5265</v>
      </c>
      <c r="D2878" s="38"/>
      <c r="E2878" s="42">
        <v>1</v>
      </c>
      <c r="F2878" s="9"/>
      <c r="G2878" s="8">
        <f t="shared" si="98"/>
        <v>31.936800000000002</v>
      </c>
      <c r="H2878" s="188">
        <v>30.416</v>
      </c>
      <c r="I2878" s="19">
        <f t="shared" si="99"/>
        <v>0</v>
      </c>
      <c r="L2878" s="131"/>
      <c r="M2878" s="131"/>
      <c r="N2878" s="131"/>
    </row>
    <row r="2879" spans="1:14" hidden="1">
      <c r="A2879" s="100" t="s">
        <v>862</v>
      </c>
      <c r="B2879" s="101" t="s">
        <v>5266</v>
      </c>
      <c r="C2879" s="115" t="s">
        <v>5267</v>
      </c>
      <c r="D2879" s="38"/>
      <c r="E2879" s="42">
        <v>1</v>
      </c>
      <c r="F2879" s="9"/>
      <c r="G2879" s="8">
        <f t="shared" si="98"/>
        <v>10.54935</v>
      </c>
      <c r="H2879" s="188">
        <v>10.047000000000001</v>
      </c>
      <c r="I2879" s="19">
        <f t="shared" si="99"/>
        <v>0</v>
      </c>
      <c r="L2879" s="131"/>
      <c r="M2879" s="131"/>
      <c r="N2879" s="131"/>
    </row>
    <row r="2880" spans="1:14" hidden="1">
      <c r="A2880" s="100" t="s">
        <v>862</v>
      </c>
      <c r="B2880" s="101" t="s">
        <v>5268</v>
      </c>
      <c r="C2880" s="115" t="s">
        <v>5269</v>
      </c>
      <c r="D2880" s="38"/>
      <c r="E2880" s="42">
        <v>1</v>
      </c>
      <c r="F2880" s="9"/>
      <c r="G2880" s="8">
        <f t="shared" si="98"/>
        <v>18.541425</v>
      </c>
      <c r="H2880" s="188">
        <v>17.6585</v>
      </c>
      <c r="I2880" s="19">
        <f t="shared" si="99"/>
        <v>0</v>
      </c>
      <c r="L2880" s="131"/>
      <c r="M2880" s="131"/>
      <c r="N2880" s="131"/>
    </row>
    <row r="2881" spans="1:14" hidden="1">
      <c r="A2881" s="100" t="s">
        <v>862</v>
      </c>
      <c r="B2881" s="101" t="s">
        <v>5270</v>
      </c>
      <c r="C2881" s="115" t="s">
        <v>5271</v>
      </c>
      <c r="D2881" s="38"/>
      <c r="E2881" s="42">
        <v>1</v>
      </c>
      <c r="F2881" s="9"/>
      <c r="G2881" s="8">
        <f t="shared" si="98"/>
        <v>30.647925000000001</v>
      </c>
      <c r="H2881" s="188">
        <v>29.188500000000001</v>
      </c>
      <c r="I2881" s="19">
        <f t="shared" si="99"/>
        <v>0</v>
      </c>
      <c r="L2881" s="131"/>
      <c r="M2881" s="131"/>
      <c r="N2881" s="131"/>
    </row>
    <row r="2882" spans="1:14" hidden="1">
      <c r="A2882" s="100" t="s">
        <v>862</v>
      </c>
      <c r="B2882" s="101" t="s">
        <v>5272</v>
      </c>
      <c r="C2882" s="115" t="s">
        <v>5273</v>
      </c>
      <c r="D2882" s="38"/>
      <c r="E2882" s="42">
        <v>1</v>
      </c>
      <c r="F2882" s="9"/>
      <c r="G2882" s="8">
        <f t="shared" si="98"/>
        <v>39.223800000000004</v>
      </c>
      <c r="H2882" s="188">
        <v>37.356000000000002</v>
      </c>
      <c r="I2882" s="19">
        <f t="shared" si="99"/>
        <v>0</v>
      </c>
      <c r="L2882" s="131"/>
      <c r="M2882" s="131"/>
      <c r="N2882" s="131"/>
    </row>
    <row r="2883" spans="1:14" hidden="1">
      <c r="A2883" s="100" t="s">
        <v>862</v>
      </c>
      <c r="B2883" s="101" t="s">
        <v>5274</v>
      </c>
      <c r="C2883" s="115" t="s">
        <v>5275</v>
      </c>
      <c r="D2883" s="38"/>
      <c r="E2883" s="42">
        <v>1</v>
      </c>
      <c r="F2883" s="9"/>
      <c r="G2883" s="8">
        <f t="shared" si="98"/>
        <v>27.297374999999999</v>
      </c>
      <c r="H2883" s="188">
        <v>25.997499999999999</v>
      </c>
      <c r="I2883" s="19">
        <f t="shared" si="99"/>
        <v>0</v>
      </c>
      <c r="L2883" s="131"/>
      <c r="M2883" s="131"/>
      <c r="N2883" s="131"/>
    </row>
    <row r="2884" spans="1:14" hidden="1">
      <c r="A2884" s="100" t="s">
        <v>862</v>
      </c>
      <c r="B2884" s="101" t="s">
        <v>5276</v>
      </c>
      <c r="C2884" s="115" t="s">
        <v>5277</v>
      </c>
      <c r="D2884" s="38"/>
      <c r="E2884" s="42">
        <v>1</v>
      </c>
      <c r="F2884" s="9"/>
      <c r="G2884" s="8">
        <f t="shared" si="98"/>
        <v>46.153800000000004</v>
      </c>
      <c r="H2884" s="188">
        <v>43.956000000000003</v>
      </c>
      <c r="I2884" s="19">
        <f t="shared" si="99"/>
        <v>0</v>
      </c>
      <c r="L2884" s="131"/>
      <c r="M2884" s="131"/>
      <c r="N2884" s="131"/>
    </row>
    <row r="2885" spans="1:14" hidden="1">
      <c r="A2885" s="100" t="s">
        <v>862</v>
      </c>
      <c r="B2885" s="101" t="s">
        <v>5278</v>
      </c>
      <c r="C2885" s="115" t="s">
        <v>5279</v>
      </c>
      <c r="D2885" s="38"/>
      <c r="E2885" s="42">
        <v>1</v>
      </c>
      <c r="F2885" s="9"/>
      <c r="G2885" s="8">
        <f t="shared" si="98"/>
        <v>38.594850000000001</v>
      </c>
      <c r="H2885" s="188">
        <v>36.756999999999998</v>
      </c>
      <c r="I2885" s="19">
        <f t="shared" si="99"/>
        <v>0</v>
      </c>
      <c r="L2885" s="131"/>
      <c r="M2885" s="131"/>
      <c r="N2885" s="131"/>
    </row>
    <row r="2886" spans="1:14" hidden="1">
      <c r="A2886" s="100" t="s">
        <v>862</v>
      </c>
      <c r="B2886" s="101" t="s">
        <v>5280</v>
      </c>
      <c r="C2886" s="115" t="s">
        <v>5281</v>
      </c>
      <c r="D2886" s="38" t="s">
        <v>589</v>
      </c>
      <c r="E2886" s="42">
        <v>1</v>
      </c>
      <c r="F2886" s="9"/>
      <c r="G2886" s="8">
        <f t="shared" si="98"/>
        <v>59.608500000000006</v>
      </c>
      <c r="H2886" s="188">
        <v>56.77</v>
      </c>
      <c r="I2886" s="19">
        <f t="shared" si="99"/>
        <v>0</v>
      </c>
      <c r="L2886" s="131"/>
      <c r="M2886" s="131"/>
      <c r="N2886" s="131"/>
    </row>
    <row r="2887" spans="1:14" hidden="1">
      <c r="A2887" s="100" t="s">
        <v>862</v>
      </c>
      <c r="B2887" s="101" t="s">
        <v>5282</v>
      </c>
      <c r="C2887" s="115" t="s">
        <v>5283</v>
      </c>
      <c r="D2887" s="38"/>
      <c r="E2887" s="42">
        <v>1</v>
      </c>
      <c r="F2887" s="9"/>
      <c r="G2887" s="8">
        <f t="shared" si="98"/>
        <v>28.565249999999999</v>
      </c>
      <c r="H2887" s="188">
        <v>27.204999999999998</v>
      </c>
      <c r="I2887" s="19">
        <f t="shared" si="99"/>
        <v>0</v>
      </c>
      <c r="L2887" s="131"/>
      <c r="M2887" s="131"/>
      <c r="N2887" s="131"/>
    </row>
    <row r="2888" spans="1:14" hidden="1">
      <c r="A2888" s="100" t="s">
        <v>862</v>
      </c>
      <c r="B2888" s="101" t="s">
        <v>5284</v>
      </c>
      <c r="C2888" s="115" t="s">
        <v>5285</v>
      </c>
      <c r="D2888" s="38" t="s">
        <v>589</v>
      </c>
      <c r="E2888" s="42">
        <v>1</v>
      </c>
      <c r="F2888" s="9"/>
      <c r="G2888" s="8">
        <f t="shared" si="98"/>
        <v>69.128325000000004</v>
      </c>
      <c r="H2888" s="188">
        <v>65.836500000000001</v>
      </c>
      <c r="I2888" s="19">
        <f t="shared" si="99"/>
        <v>0</v>
      </c>
      <c r="L2888" s="131"/>
      <c r="M2888" s="131"/>
      <c r="N2888" s="131"/>
    </row>
    <row r="2889" spans="1:14" hidden="1">
      <c r="A2889" s="100" t="s">
        <v>862</v>
      </c>
      <c r="B2889" s="101" t="s">
        <v>5286</v>
      </c>
      <c r="C2889" s="115" t="s">
        <v>5287</v>
      </c>
      <c r="D2889" s="38" t="s">
        <v>589</v>
      </c>
      <c r="E2889" s="42">
        <v>1</v>
      </c>
      <c r="F2889" s="9"/>
      <c r="G2889" s="8">
        <f t="shared" si="98"/>
        <v>147.97650000000002</v>
      </c>
      <c r="H2889" s="188">
        <v>140.93</v>
      </c>
      <c r="I2889" s="19">
        <f t="shared" si="99"/>
        <v>0</v>
      </c>
      <c r="L2889" s="131"/>
      <c r="M2889" s="131"/>
      <c r="N2889" s="131"/>
    </row>
    <row r="2890" spans="1:14" hidden="1">
      <c r="A2890" s="100" t="s">
        <v>862</v>
      </c>
      <c r="B2890" s="101" t="s">
        <v>5288</v>
      </c>
      <c r="C2890" s="115" t="s">
        <v>5289</v>
      </c>
      <c r="D2890" s="38" t="s">
        <v>589</v>
      </c>
      <c r="E2890" s="42">
        <v>1</v>
      </c>
      <c r="F2890" s="9"/>
      <c r="G2890" s="8">
        <f t="shared" si="98"/>
        <v>169.367625</v>
      </c>
      <c r="H2890" s="188">
        <v>161.30250000000001</v>
      </c>
      <c r="I2890" s="19">
        <f t="shared" si="99"/>
        <v>0</v>
      </c>
      <c r="L2890" s="131"/>
      <c r="M2890" s="131"/>
      <c r="N2890" s="131"/>
    </row>
    <row r="2891" spans="1:14" hidden="1">
      <c r="A2891" s="100" t="s">
        <v>862</v>
      </c>
      <c r="B2891" s="101" t="s">
        <v>5290</v>
      </c>
      <c r="C2891" s="115" t="s">
        <v>5291</v>
      </c>
      <c r="D2891" s="38" t="s">
        <v>589</v>
      </c>
      <c r="E2891" s="42">
        <v>1</v>
      </c>
      <c r="F2891" s="9"/>
      <c r="G2891" s="8">
        <f t="shared" si="98"/>
        <v>156.09824999999998</v>
      </c>
      <c r="H2891" s="188">
        <v>148.66499999999999</v>
      </c>
      <c r="I2891" s="19">
        <f t="shared" si="99"/>
        <v>0</v>
      </c>
      <c r="L2891" s="131"/>
      <c r="M2891" s="131"/>
      <c r="N2891" s="131"/>
    </row>
    <row r="2892" spans="1:14" hidden="1">
      <c r="A2892" s="100" t="s">
        <v>862</v>
      </c>
      <c r="B2892" s="101" t="s">
        <v>5292</v>
      </c>
      <c r="C2892" s="115" t="s">
        <v>5293</v>
      </c>
      <c r="D2892" s="38"/>
      <c r="E2892" s="42">
        <v>1</v>
      </c>
      <c r="F2892" s="9"/>
      <c r="G2892" s="8">
        <f t="shared" si="98"/>
        <v>175.89337500000002</v>
      </c>
      <c r="H2892" s="188">
        <v>167.51750000000001</v>
      </c>
      <c r="I2892" s="19">
        <f t="shared" si="99"/>
        <v>0</v>
      </c>
      <c r="L2892" s="131"/>
      <c r="M2892" s="131"/>
      <c r="N2892" s="131"/>
    </row>
    <row r="2893" spans="1:14" hidden="1">
      <c r="A2893" s="100" t="s">
        <v>862</v>
      </c>
      <c r="B2893" s="101" t="s">
        <v>5294</v>
      </c>
      <c r="C2893" s="115" t="s">
        <v>5295</v>
      </c>
      <c r="D2893" s="38"/>
      <c r="E2893" s="42">
        <v>1</v>
      </c>
      <c r="F2893" s="9"/>
      <c r="G2893" s="8">
        <f t="shared" si="98"/>
        <v>124.69274999999999</v>
      </c>
      <c r="H2893" s="188">
        <v>118.755</v>
      </c>
      <c r="I2893" s="19">
        <f t="shared" si="99"/>
        <v>0</v>
      </c>
      <c r="L2893" s="131"/>
      <c r="M2893" s="131"/>
      <c r="N2893" s="131"/>
    </row>
    <row r="2894" spans="1:14" hidden="1">
      <c r="A2894" s="100" t="s">
        <v>862</v>
      </c>
      <c r="B2894" s="101" t="s">
        <v>5296</v>
      </c>
      <c r="C2894" s="115" t="s">
        <v>5297</v>
      </c>
      <c r="D2894" s="38"/>
      <c r="E2894" s="42">
        <v>1</v>
      </c>
      <c r="F2894" s="9"/>
      <c r="G2894" s="8">
        <f t="shared" si="98"/>
        <v>111.72525</v>
      </c>
      <c r="H2894" s="188">
        <v>106.405</v>
      </c>
      <c r="I2894" s="19">
        <f t="shared" si="99"/>
        <v>0</v>
      </c>
      <c r="L2894" s="131"/>
      <c r="M2894" s="131"/>
      <c r="N2894" s="131"/>
    </row>
    <row r="2895" spans="1:14">
      <c r="A2895" s="100" t="s">
        <v>862</v>
      </c>
      <c r="B2895" s="101" t="s">
        <v>5298</v>
      </c>
      <c r="C2895" s="115" t="s">
        <v>5299</v>
      </c>
      <c r="D2895" s="38"/>
      <c r="E2895" s="42">
        <v>1</v>
      </c>
      <c r="F2895" s="9">
        <v>2</v>
      </c>
      <c r="G2895" s="8">
        <f t="shared" si="98"/>
        <v>100.3275</v>
      </c>
      <c r="H2895" s="188">
        <v>95.55</v>
      </c>
      <c r="I2895" s="19">
        <f t="shared" si="99"/>
        <v>200.655</v>
      </c>
      <c r="L2895" s="131"/>
      <c r="M2895" s="131"/>
      <c r="N2895" s="131"/>
    </row>
    <row r="2896" spans="1:14">
      <c r="A2896" s="100" t="s">
        <v>862</v>
      </c>
      <c r="B2896" s="101" t="s">
        <v>5300</v>
      </c>
      <c r="C2896" s="115" t="s">
        <v>5301</v>
      </c>
      <c r="D2896" s="38"/>
      <c r="E2896" s="42">
        <v>1</v>
      </c>
      <c r="F2896" s="9">
        <v>2</v>
      </c>
      <c r="G2896" s="8">
        <f t="shared" si="98"/>
        <v>48.582450000000001</v>
      </c>
      <c r="H2896" s="188">
        <v>46.268999999999998</v>
      </c>
      <c r="I2896" s="19">
        <f t="shared" si="99"/>
        <v>97.164900000000003</v>
      </c>
      <c r="L2896" s="131"/>
      <c r="M2896" s="131"/>
      <c r="N2896" s="131"/>
    </row>
    <row r="2897" spans="1:14" hidden="1">
      <c r="A2897" s="100" t="s">
        <v>862</v>
      </c>
      <c r="B2897" s="101" t="s">
        <v>5302</v>
      </c>
      <c r="C2897" s="115" t="s">
        <v>5303</v>
      </c>
      <c r="D2897" s="38"/>
      <c r="E2897" s="42">
        <v>1</v>
      </c>
      <c r="F2897" s="9"/>
      <c r="G2897" s="8">
        <f t="shared" si="98"/>
        <v>42.558599999999998</v>
      </c>
      <c r="H2897" s="188">
        <v>40.531999999999996</v>
      </c>
      <c r="I2897" s="19">
        <f t="shared" si="99"/>
        <v>0</v>
      </c>
      <c r="L2897" s="131"/>
      <c r="M2897" s="131"/>
      <c r="N2897" s="131"/>
    </row>
    <row r="2898" spans="1:14" hidden="1">
      <c r="A2898" s="100" t="s">
        <v>862</v>
      </c>
      <c r="B2898" s="101" t="s">
        <v>5304</v>
      </c>
      <c r="C2898" s="115" t="s">
        <v>5305</v>
      </c>
      <c r="D2898" s="38"/>
      <c r="E2898" s="42">
        <v>1</v>
      </c>
      <c r="F2898" s="9"/>
      <c r="G2898" s="8">
        <f t="shared" si="98"/>
        <v>49.292250000000003</v>
      </c>
      <c r="H2898" s="188">
        <v>46.945</v>
      </c>
      <c r="I2898" s="19">
        <f t="shared" si="99"/>
        <v>0</v>
      </c>
      <c r="L2898" s="131"/>
      <c r="M2898" s="131"/>
      <c r="N2898" s="131"/>
    </row>
    <row r="2899" spans="1:14" hidden="1">
      <c r="A2899" s="100" t="s">
        <v>862</v>
      </c>
      <c r="B2899" s="101" t="s">
        <v>5306</v>
      </c>
      <c r="C2899" s="115" t="s">
        <v>5307</v>
      </c>
      <c r="D2899" s="38"/>
      <c r="E2899" s="42">
        <v>1</v>
      </c>
      <c r="F2899" s="9"/>
      <c r="G2899" s="8">
        <f t="shared" si="98"/>
        <v>63.733425000000004</v>
      </c>
      <c r="H2899" s="188">
        <v>60.698500000000003</v>
      </c>
      <c r="I2899" s="19">
        <f t="shared" si="99"/>
        <v>0</v>
      </c>
      <c r="L2899" s="131"/>
      <c r="M2899" s="131"/>
      <c r="N2899" s="131"/>
    </row>
    <row r="2900" spans="1:14" hidden="1">
      <c r="A2900" s="100" t="s">
        <v>862</v>
      </c>
      <c r="B2900" s="101" t="s">
        <v>5308</v>
      </c>
      <c r="C2900" s="115" t="s">
        <v>5309</v>
      </c>
      <c r="D2900" s="38"/>
      <c r="E2900" s="42">
        <v>1</v>
      </c>
      <c r="F2900" s="9"/>
      <c r="G2900" s="8">
        <f t="shared" si="98"/>
        <v>70.911749999999998</v>
      </c>
      <c r="H2900" s="188">
        <v>67.534999999999997</v>
      </c>
      <c r="I2900" s="19">
        <f t="shared" si="99"/>
        <v>0</v>
      </c>
      <c r="L2900" s="131"/>
      <c r="M2900" s="131"/>
      <c r="N2900" s="131"/>
    </row>
    <row r="2901" spans="1:14" hidden="1">
      <c r="A2901" s="100" t="s">
        <v>862</v>
      </c>
      <c r="B2901" s="101" t="s">
        <v>5310</v>
      </c>
      <c r="C2901" s="115" t="s">
        <v>5311</v>
      </c>
      <c r="D2901" s="38"/>
      <c r="E2901" s="42">
        <v>1</v>
      </c>
      <c r="F2901" s="9"/>
      <c r="G2901" s="8">
        <f t="shared" si="98"/>
        <v>16.079699999999999</v>
      </c>
      <c r="H2901" s="188">
        <v>15.314</v>
      </c>
      <c r="I2901" s="19">
        <f t="shared" si="99"/>
        <v>0</v>
      </c>
      <c r="L2901" s="131"/>
      <c r="M2901" s="131"/>
      <c r="N2901" s="131"/>
    </row>
    <row r="2902" spans="1:14" hidden="1">
      <c r="A2902" s="100" t="s">
        <v>862</v>
      </c>
      <c r="B2902" s="101" t="s">
        <v>5312</v>
      </c>
      <c r="C2902" s="115" t="s">
        <v>5313</v>
      </c>
      <c r="D2902" s="38"/>
      <c r="E2902" s="42">
        <v>1</v>
      </c>
      <c r="F2902" s="9"/>
      <c r="G2902" s="8">
        <f t="shared" si="98"/>
        <v>36.991499999999995</v>
      </c>
      <c r="H2902" s="188">
        <v>35.229999999999997</v>
      </c>
      <c r="I2902" s="19">
        <f t="shared" si="99"/>
        <v>0</v>
      </c>
      <c r="L2902" s="131"/>
      <c r="M2902" s="131"/>
      <c r="N2902" s="131"/>
    </row>
    <row r="2903" spans="1:14" hidden="1">
      <c r="A2903" s="100" t="s">
        <v>862</v>
      </c>
      <c r="B2903" s="101" t="s">
        <v>5314</v>
      </c>
      <c r="C2903" s="115" t="s">
        <v>5315</v>
      </c>
      <c r="D2903" s="38"/>
      <c r="E2903" s="42">
        <v>1</v>
      </c>
      <c r="F2903" s="9"/>
      <c r="G2903" s="8">
        <f t="shared" si="98"/>
        <v>8.9407500000000013</v>
      </c>
      <c r="H2903" s="188">
        <v>8.5150000000000006</v>
      </c>
      <c r="I2903" s="19">
        <f t="shared" si="99"/>
        <v>0</v>
      </c>
      <c r="L2903" s="131"/>
      <c r="M2903" s="131"/>
      <c r="N2903" s="131"/>
    </row>
    <row r="2904" spans="1:14" hidden="1">
      <c r="A2904" s="100" t="s">
        <v>862</v>
      </c>
      <c r="B2904" s="101" t="s">
        <v>5316</v>
      </c>
      <c r="C2904" s="115" t="s">
        <v>5317</v>
      </c>
      <c r="D2904" s="38"/>
      <c r="E2904" s="42">
        <v>1</v>
      </c>
      <c r="F2904" s="9"/>
      <c r="G2904" s="8">
        <f t="shared" si="98"/>
        <v>32.173575</v>
      </c>
      <c r="H2904" s="188">
        <v>30.641500000000001</v>
      </c>
      <c r="I2904" s="19">
        <f t="shared" si="99"/>
        <v>0</v>
      </c>
      <c r="L2904" s="131"/>
      <c r="M2904" s="131"/>
      <c r="N2904" s="131"/>
    </row>
    <row r="2905" spans="1:14" hidden="1">
      <c r="A2905" s="100" t="s">
        <v>862</v>
      </c>
      <c r="B2905" s="101" t="s">
        <v>5318</v>
      </c>
      <c r="C2905" s="115" t="s">
        <v>5319</v>
      </c>
      <c r="D2905" s="38"/>
      <c r="E2905" s="42">
        <v>1</v>
      </c>
      <c r="F2905" s="9"/>
      <c r="G2905" s="8">
        <f t="shared" si="98"/>
        <v>49.604624999999999</v>
      </c>
      <c r="H2905" s="188">
        <v>47.2425</v>
      </c>
      <c r="I2905" s="19">
        <f t="shared" si="99"/>
        <v>0</v>
      </c>
      <c r="L2905" s="131"/>
      <c r="M2905" s="131"/>
      <c r="N2905" s="131"/>
    </row>
    <row r="2906" spans="1:14" hidden="1">
      <c r="A2906" s="100" t="s">
        <v>862</v>
      </c>
      <c r="B2906" s="101" t="s">
        <v>5320</v>
      </c>
      <c r="C2906" s="115" t="s">
        <v>5321</v>
      </c>
      <c r="D2906" s="38"/>
      <c r="E2906" s="42">
        <v>1</v>
      </c>
      <c r="F2906" s="9"/>
      <c r="G2906" s="8">
        <f t="shared" si="98"/>
        <v>52.307324999999999</v>
      </c>
      <c r="H2906" s="188">
        <v>49.816499999999998</v>
      </c>
      <c r="I2906" s="19">
        <f t="shared" si="99"/>
        <v>0</v>
      </c>
      <c r="L2906" s="131"/>
      <c r="M2906" s="131"/>
      <c r="N2906" s="131"/>
    </row>
    <row r="2907" spans="1:14" hidden="1">
      <c r="A2907" s="100" t="s">
        <v>862</v>
      </c>
      <c r="B2907" s="101" t="s">
        <v>5322</v>
      </c>
      <c r="C2907" s="115" t="s">
        <v>5323</v>
      </c>
      <c r="D2907" s="38"/>
      <c r="E2907" s="42">
        <v>1</v>
      </c>
      <c r="F2907" s="9"/>
      <c r="G2907" s="8">
        <f t="shared" si="98"/>
        <v>49.875</v>
      </c>
      <c r="H2907" s="188">
        <v>47.5</v>
      </c>
      <c r="I2907" s="19">
        <f t="shared" si="99"/>
        <v>0</v>
      </c>
      <c r="L2907" s="131"/>
      <c r="M2907" s="131"/>
      <c r="N2907" s="131"/>
    </row>
    <row r="2908" spans="1:14" hidden="1">
      <c r="A2908" s="100" t="s">
        <v>862</v>
      </c>
      <c r="B2908" s="101" t="s">
        <v>5324</v>
      </c>
      <c r="C2908" s="115" t="s">
        <v>5325</v>
      </c>
      <c r="D2908" s="38"/>
      <c r="E2908" s="42">
        <v>1</v>
      </c>
      <c r="F2908" s="9"/>
      <c r="G2908" s="8">
        <f t="shared" si="98"/>
        <v>36.377250000000004</v>
      </c>
      <c r="H2908" s="188">
        <v>34.645000000000003</v>
      </c>
      <c r="I2908" s="19">
        <f t="shared" si="99"/>
        <v>0</v>
      </c>
      <c r="L2908" s="131"/>
      <c r="M2908" s="131"/>
      <c r="N2908" s="131"/>
    </row>
    <row r="2909" spans="1:14" hidden="1">
      <c r="A2909" s="100" t="s">
        <v>862</v>
      </c>
      <c r="B2909" s="101" t="s">
        <v>5326</v>
      </c>
      <c r="C2909" s="115" t="s">
        <v>5327</v>
      </c>
      <c r="D2909" s="38"/>
      <c r="E2909" s="42">
        <v>1</v>
      </c>
      <c r="F2909" s="9"/>
      <c r="G2909" s="8">
        <f t="shared" si="98"/>
        <v>64.332449999999994</v>
      </c>
      <c r="H2909" s="188">
        <v>61.268999999999998</v>
      </c>
      <c r="I2909" s="19">
        <f t="shared" si="99"/>
        <v>0</v>
      </c>
      <c r="L2909" s="131"/>
      <c r="M2909" s="131"/>
      <c r="N2909" s="131"/>
    </row>
    <row r="2910" spans="1:14" hidden="1">
      <c r="A2910" s="100" t="s">
        <v>862</v>
      </c>
      <c r="B2910" s="101" t="s">
        <v>5328</v>
      </c>
      <c r="C2910" s="115" t="s">
        <v>5329</v>
      </c>
      <c r="D2910" s="38"/>
      <c r="E2910" s="42">
        <v>1</v>
      </c>
      <c r="F2910" s="9"/>
      <c r="G2910" s="8">
        <f t="shared" si="98"/>
        <v>7.8356250000000003</v>
      </c>
      <c r="H2910" s="188">
        <v>7.4625000000000004</v>
      </c>
      <c r="I2910" s="19">
        <f t="shared" si="99"/>
        <v>0</v>
      </c>
      <c r="L2910" s="131"/>
      <c r="M2910" s="131"/>
      <c r="N2910" s="131"/>
    </row>
    <row r="2911" spans="1:14" hidden="1">
      <c r="A2911" s="100" t="s">
        <v>862</v>
      </c>
      <c r="B2911" s="101" t="s">
        <v>5330</v>
      </c>
      <c r="C2911" s="115" t="s">
        <v>5331</v>
      </c>
      <c r="D2911" s="38"/>
      <c r="E2911" s="42">
        <v>1</v>
      </c>
      <c r="F2911" s="9"/>
      <c r="G2911" s="8">
        <f t="shared" si="98"/>
        <v>7.8356250000000003</v>
      </c>
      <c r="H2911" s="188">
        <v>7.4625000000000004</v>
      </c>
      <c r="I2911" s="19">
        <f t="shared" si="99"/>
        <v>0</v>
      </c>
      <c r="L2911" s="131"/>
      <c r="M2911" s="131"/>
      <c r="N2911" s="131"/>
    </row>
    <row r="2912" spans="1:14" hidden="1">
      <c r="A2912" s="100" t="s">
        <v>862</v>
      </c>
      <c r="B2912" s="101" t="s">
        <v>5332</v>
      </c>
      <c r="C2912" s="115" t="s">
        <v>5333</v>
      </c>
      <c r="D2912" s="38"/>
      <c r="E2912" s="42">
        <v>1</v>
      </c>
      <c r="F2912" s="9"/>
      <c r="G2912" s="8">
        <f t="shared" si="98"/>
        <v>8.0666250000000002</v>
      </c>
      <c r="H2912" s="188">
        <v>7.6825000000000001</v>
      </c>
      <c r="I2912" s="19">
        <f t="shared" si="99"/>
        <v>0</v>
      </c>
      <c r="L2912" s="131"/>
      <c r="M2912" s="131"/>
      <c r="N2912" s="131"/>
    </row>
    <row r="2913" spans="1:14" hidden="1">
      <c r="A2913" s="100" t="s">
        <v>862</v>
      </c>
      <c r="B2913" s="101" t="s">
        <v>5334</v>
      </c>
      <c r="C2913" s="115" t="s">
        <v>5335</v>
      </c>
      <c r="D2913" s="38"/>
      <c r="E2913" s="42">
        <v>1</v>
      </c>
      <c r="F2913" s="9"/>
      <c r="G2913" s="8">
        <f t="shared" si="98"/>
        <v>7.5206249999999999</v>
      </c>
      <c r="H2913" s="188">
        <v>7.1624999999999996</v>
      </c>
      <c r="I2913" s="19">
        <f t="shared" si="99"/>
        <v>0</v>
      </c>
      <c r="L2913" s="131"/>
      <c r="M2913" s="131"/>
      <c r="N2913" s="131"/>
    </row>
    <row r="2914" spans="1:14" hidden="1">
      <c r="A2914" s="100" t="s">
        <v>862</v>
      </c>
      <c r="B2914" s="101" t="s">
        <v>5336</v>
      </c>
      <c r="C2914" s="115" t="s">
        <v>5337</v>
      </c>
      <c r="D2914" s="38"/>
      <c r="E2914" s="42">
        <v>1</v>
      </c>
      <c r="F2914" s="9"/>
      <c r="G2914" s="8">
        <f t="shared" si="98"/>
        <v>7.8372000000000002</v>
      </c>
      <c r="H2914" s="188">
        <v>7.4640000000000004</v>
      </c>
      <c r="I2914" s="19">
        <f t="shared" si="99"/>
        <v>0</v>
      </c>
      <c r="L2914" s="131"/>
      <c r="M2914" s="131"/>
      <c r="N2914" s="131"/>
    </row>
    <row r="2915" spans="1:14" hidden="1">
      <c r="A2915" s="100" t="s">
        <v>862</v>
      </c>
      <c r="B2915" s="101" t="s">
        <v>5338</v>
      </c>
      <c r="C2915" s="115" t="s">
        <v>5339</v>
      </c>
      <c r="D2915" s="38"/>
      <c r="E2915" s="42">
        <v>1</v>
      </c>
      <c r="F2915" s="9"/>
      <c r="G2915" s="8">
        <f t="shared" si="98"/>
        <v>4.0582500000000001</v>
      </c>
      <c r="H2915" s="188">
        <v>3.8650000000000002</v>
      </c>
      <c r="I2915" s="19">
        <f t="shared" si="99"/>
        <v>0</v>
      </c>
      <c r="L2915" s="131"/>
      <c r="M2915" s="131"/>
      <c r="N2915" s="131"/>
    </row>
    <row r="2916" spans="1:14" hidden="1">
      <c r="A2916" s="100" t="s">
        <v>862</v>
      </c>
      <c r="B2916" s="101" t="s">
        <v>5340</v>
      </c>
      <c r="C2916" s="115" t="s">
        <v>5341</v>
      </c>
      <c r="D2916" s="38"/>
      <c r="E2916" s="42">
        <v>1</v>
      </c>
      <c r="F2916" s="9"/>
      <c r="G2916" s="8">
        <f t="shared" si="98"/>
        <v>2.415</v>
      </c>
      <c r="H2916" s="188">
        <v>2.2999999999999998</v>
      </c>
      <c r="I2916" s="19">
        <f t="shared" si="99"/>
        <v>0</v>
      </c>
      <c r="L2916" s="131"/>
      <c r="M2916" s="131"/>
      <c r="N2916" s="131"/>
    </row>
    <row r="2917" spans="1:14" hidden="1">
      <c r="A2917" s="100" t="s">
        <v>862</v>
      </c>
      <c r="B2917" s="101" t="s">
        <v>5342</v>
      </c>
      <c r="C2917" s="115" t="s">
        <v>5343</v>
      </c>
      <c r="D2917" s="38"/>
      <c r="E2917" s="42">
        <v>1</v>
      </c>
      <c r="F2917" s="9"/>
      <c r="G2917" s="8">
        <f t="shared" ref="G2917:G2980" si="100">H2917+(H2917*5%)</f>
        <v>1.86795</v>
      </c>
      <c r="H2917" s="188">
        <v>1.7789999999999999</v>
      </c>
      <c r="I2917" s="19">
        <f t="shared" si="99"/>
        <v>0</v>
      </c>
      <c r="L2917" s="131"/>
      <c r="M2917" s="131"/>
      <c r="N2917" s="131"/>
    </row>
    <row r="2918" spans="1:14" hidden="1">
      <c r="A2918" s="100" t="s">
        <v>862</v>
      </c>
      <c r="B2918" s="101" t="s">
        <v>5344</v>
      </c>
      <c r="C2918" s="115" t="s">
        <v>5345</v>
      </c>
      <c r="D2918" s="38"/>
      <c r="E2918" s="42">
        <v>1</v>
      </c>
      <c r="F2918" s="9"/>
      <c r="G2918" s="8">
        <f t="shared" si="100"/>
        <v>3.0029999999999997</v>
      </c>
      <c r="H2918" s="188">
        <v>2.86</v>
      </c>
      <c r="I2918" s="19">
        <f t="shared" si="99"/>
        <v>0</v>
      </c>
      <c r="L2918" s="131"/>
      <c r="M2918" s="131"/>
      <c r="N2918" s="131"/>
    </row>
    <row r="2919" spans="1:14" hidden="1">
      <c r="A2919" s="100" t="s">
        <v>862</v>
      </c>
      <c r="B2919" s="101" t="s">
        <v>5346</v>
      </c>
      <c r="C2919" s="115" t="s">
        <v>5347</v>
      </c>
      <c r="D2919" s="38"/>
      <c r="E2919" s="42">
        <v>1</v>
      </c>
      <c r="F2919" s="9"/>
      <c r="G2919" s="8">
        <f t="shared" si="100"/>
        <v>10.073699999999999</v>
      </c>
      <c r="H2919" s="188">
        <v>9.5939999999999994</v>
      </c>
      <c r="I2919" s="19">
        <f t="shared" ref="I2919:I2982" si="101">G2919*F2919</f>
        <v>0</v>
      </c>
      <c r="L2919" s="131"/>
      <c r="M2919" s="131"/>
      <c r="N2919" s="131"/>
    </row>
    <row r="2920" spans="1:14" hidden="1">
      <c r="A2920" s="100" t="s">
        <v>862</v>
      </c>
      <c r="B2920" s="101" t="s">
        <v>5348</v>
      </c>
      <c r="C2920" s="115" t="s">
        <v>5349</v>
      </c>
      <c r="D2920" s="38"/>
      <c r="E2920" s="42">
        <v>1</v>
      </c>
      <c r="F2920" s="9"/>
      <c r="G2920" s="8">
        <f t="shared" si="100"/>
        <v>1.2494999999999998</v>
      </c>
      <c r="H2920" s="188">
        <v>1.19</v>
      </c>
      <c r="I2920" s="19">
        <f t="shared" si="101"/>
        <v>0</v>
      </c>
      <c r="L2920" s="131"/>
      <c r="M2920" s="131"/>
      <c r="N2920" s="131"/>
    </row>
    <row r="2921" spans="1:14" hidden="1">
      <c r="A2921" s="100" t="s">
        <v>862</v>
      </c>
      <c r="B2921" s="101" t="s">
        <v>5350</v>
      </c>
      <c r="C2921" s="115" t="s">
        <v>5351</v>
      </c>
      <c r="D2921" s="38"/>
      <c r="E2921" s="42">
        <v>1</v>
      </c>
      <c r="F2921" s="9"/>
      <c r="G2921" s="8">
        <f t="shared" si="100"/>
        <v>9.1050749999999994</v>
      </c>
      <c r="H2921" s="188">
        <v>8.6715</v>
      </c>
      <c r="I2921" s="19">
        <f t="shared" si="101"/>
        <v>0</v>
      </c>
      <c r="L2921" s="131"/>
      <c r="M2921" s="131"/>
      <c r="N2921" s="131"/>
    </row>
    <row r="2922" spans="1:14" hidden="1">
      <c r="A2922" s="100" t="s">
        <v>862</v>
      </c>
      <c r="B2922" s="101" t="s">
        <v>5352</v>
      </c>
      <c r="C2922" s="115" t="s">
        <v>5353</v>
      </c>
      <c r="D2922" s="38"/>
      <c r="E2922" s="42">
        <v>1</v>
      </c>
      <c r="F2922" s="9"/>
      <c r="G2922" s="8">
        <f t="shared" si="100"/>
        <v>0.731325</v>
      </c>
      <c r="H2922" s="188">
        <v>0.69650000000000001</v>
      </c>
      <c r="I2922" s="19">
        <f t="shared" si="101"/>
        <v>0</v>
      </c>
      <c r="L2922" s="131"/>
      <c r="M2922" s="131"/>
      <c r="N2922" s="131"/>
    </row>
    <row r="2923" spans="1:14" hidden="1">
      <c r="A2923" s="100" t="s">
        <v>862</v>
      </c>
      <c r="B2923" s="101" t="s">
        <v>5354</v>
      </c>
      <c r="C2923" s="115" t="s">
        <v>5355</v>
      </c>
      <c r="D2923" s="38"/>
      <c r="E2923" s="42">
        <v>1</v>
      </c>
      <c r="F2923" s="9"/>
      <c r="G2923" s="8">
        <f t="shared" si="100"/>
        <v>1.6317000000000002</v>
      </c>
      <c r="H2923" s="188">
        <v>1.554</v>
      </c>
      <c r="I2923" s="19">
        <f t="shared" si="101"/>
        <v>0</v>
      </c>
      <c r="L2923" s="131"/>
      <c r="M2923" s="131"/>
      <c r="N2923" s="131"/>
    </row>
    <row r="2924" spans="1:14" hidden="1">
      <c r="A2924" s="100" t="s">
        <v>862</v>
      </c>
      <c r="B2924" s="101" t="s">
        <v>5356</v>
      </c>
      <c r="C2924" s="115" t="s">
        <v>5357</v>
      </c>
      <c r="D2924" s="38"/>
      <c r="E2924" s="42">
        <v>1</v>
      </c>
      <c r="F2924" s="9"/>
      <c r="G2924" s="8">
        <f t="shared" si="100"/>
        <v>1.6317000000000002</v>
      </c>
      <c r="H2924" s="188">
        <v>1.554</v>
      </c>
      <c r="I2924" s="19">
        <f t="shared" si="101"/>
        <v>0</v>
      </c>
      <c r="L2924" s="131"/>
      <c r="M2924" s="131"/>
      <c r="N2924" s="131"/>
    </row>
    <row r="2925" spans="1:14" hidden="1">
      <c r="A2925" s="100" t="s">
        <v>862</v>
      </c>
      <c r="B2925" s="101" t="s">
        <v>5358</v>
      </c>
      <c r="C2925" s="115" t="s">
        <v>5359</v>
      </c>
      <c r="D2925" s="38"/>
      <c r="E2925" s="42">
        <v>1</v>
      </c>
      <c r="F2925" s="9"/>
      <c r="G2925" s="8">
        <f t="shared" si="100"/>
        <v>0.731325</v>
      </c>
      <c r="H2925" s="188">
        <v>0.69650000000000001</v>
      </c>
      <c r="I2925" s="19">
        <f t="shared" si="101"/>
        <v>0</v>
      </c>
      <c r="L2925" s="131"/>
      <c r="M2925" s="131"/>
      <c r="N2925" s="131"/>
    </row>
    <row r="2926" spans="1:14" hidden="1">
      <c r="A2926" s="100" t="s">
        <v>862</v>
      </c>
      <c r="B2926" s="101" t="s">
        <v>5360</v>
      </c>
      <c r="C2926" s="115" t="s">
        <v>5361</v>
      </c>
      <c r="D2926" s="38"/>
      <c r="E2926" s="42">
        <v>1</v>
      </c>
      <c r="F2926" s="9"/>
      <c r="G2926" s="8">
        <f t="shared" si="100"/>
        <v>0.731325</v>
      </c>
      <c r="H2926" s="188">
        <v>0.69650000000000001</v>
      </c>
      <c r="I2926" s="19">
        <f t="shared" si="101"/>
        <v>0</v>
      </c>
      <c r="L2926" s="131"/>
      <c r="M2926" s="131"/>
      <c r="N2926" s="131"/>
    </row>
    <row r="2927" spans="1:14" hidden="1">
      <c r="A2927" s="100" t="s">
        <v>862</v>
      </c>
      <c r="B2927" s="101" t="s">
        <v>5362</v>
      </c>
      <c r="C2927" s="115" t="s">
        <v>5363</v>
      </c>
      <c r="D2927" s="38"/>
      <c r="E2927" s="42">
        <v>1</v>
      </c>
      <c r="F2927" s="9"/>
      <c r="G2927" s="8">
        <f t="shared" si="100"/>
        <v>1.949325</v>
      </c>
      <c r="H2927" s="188">
        <v>1.8565</v>
      </c>
      <c r="I2927" s="19">
        <f t="shared" si="101"/>
        <v>0</v>
      </c>
      <c r="L2927" s="131"/>
      <c r="M2927" s="131"/>
      <c r="N2927" s="131"/>
    </row>
    <row r="2928" spans="1:14" hidden="1">
      <c r="A2928" s="100" t="s">
        <v>862</v>
      </c>
      <c r="B2928" s="101" t="s">
        <v>5364</v>
      </c>
      <c r="C2928" s="115" t="s">
        <v>5365</v>
      </c>
      <c r="D2928" s="38"/>
      <c r="E2928" s="42">
        <v>1</v>
      </c>
      <c r="F2928" s="9"/>
      <c r="G2928" s="8">
        <f t="shared" si="100"/>
        <v>1.635375</v>
      </c>
      <c r="H2928" s="188">
        <v>1.5575000000000001</v>
      </c>
      <c r="I2928" s="19">
        <f t="shared" si="101"/>
        <v>0</v>
      </c>
      <c r="L2928" s="131"/>
      <c r="M2928" s="131"/>
      <c r="N2928" s="131"/>
    </row>
    <row r="2929" spans="1:14" hidden="1">
      <c r="A2929" s="100" t="s">
        <v>862</v>
      </c>
      <c r="B2929" s="101" t="s">
        <v>5366</v>
      </c>
      <c r="C2929" s="115" t="s">
        <v>5367</v>
      </c>
      <c r="D2929" s="38"/>
      <c r="E2929" s="42">
        <v>1</v>
      </c>
      <c r="F2929" s="9"/>
      <c r="G2929" s="8">
        <f t="shared" si="100"/>
        <v>1.635375</v>
      </c>
      <c r="H2929" s="188">
        <v>1.5575000000000001</v>
      </c>
      <c r="I2929" s="19">
        <f t="shared" si="101"/>
        <v>0</v>
      </c>
      <c r="L2929" s="131"/>
      <c r="M2929" s="131"/>
      <c r="N2929" s="131"/>
    </row>
    <row r="2930" spans="1:14" hidden="1">
      <c r="A2930" s="100" t="s">
        <v>862</v>
      </c>
      <c r="B2930" s="101" t="s">
        <v>5368</v>
      </c>
      <c r="C2930" s="115" t="s">
        <v>5369</v>
      </c>
      <c r="D2930" s="38"/>
      <c r="E2930" s="42">
        <v>1</v>
      </c>
      <c r="F2930" s="9"/>
      <c r="G2930" s="8">
        <f t="shared" si="100"/>
        <v>1.089375</v>
      </c>
      <c r="H2930" s="188">
        <v>1.0375000000000001</v>
      </c>
      <c r="I2930" s="19">
        <f t="shared" si="101"/>
        <v>0</v>
      </c>
      <c r="L2930" s="131"/>
      <c r="M2930" s="131"/>
      <c r="N2930" s="131"/>
    </row>
    <row r="2931" spans="1:14" hidden="1">
      <c r="A2931" s="100" t="s">
        <v>862</v>
      </c>
      <c r="B2931" s="101" t="s">
        <v>5370</v>
      </c>
      <c r="C2931" s="115" t="s">
        <v>5371</v>
      </c>
      <c r="D2931" s="38"/>
      <c r="E2931" s="42">
        <v>1</v>
      </c>
      <c r="F2931" s="9"/>
      <c r="G2931" s="8">
        <f t="shared" si="100"/>
        <v>1.089375</v>
      </c>
      <c r="H2931" s="188">
        <v>1.0375000000000001</v>
      </c>
      <c r="I2931" s="19">
        <f t="shared" si="101"/>
        <v>0</v>
      </c>
      <c r="L2931" s="131"/>
      <c r="M2931" s="131"/>
      <c r="N2931" s="131"/>
    </row>
    <row r="2932" spans="1:14" hidden="1">
      <c r="A2932" s="100" t="s">
        <v>862</v>
      </c>
      <c r="B2932" s="101" t="s">
        <v>5372</v>
      </c>
      <c r="C2932" s="115" t="s">
        <v>5373</v>
      </c>
      <c r="D2932" s="38"/>
      <c r="E2932" s="42">
        <v>1</v>
      </c>
      <c r="F2932" s="9"/>
      <c r="G2932" s="8">
        <f t="shared" si="100"/>
        <v>1.089375</v>
      </c>
      <c r="H2932" s="188">
        <v>1.0375000000000001</v>
      </c>
      <c r="I2932" s="19">
        <f t="shared" si="101"/>
        <v>0</v>
      </c>
      <c r="L2932" s="131"/>
      <c r="M2932" s="131"/>
      <c r="N2932" s="131"/>
    </row>
    <row r="2933" spans="1:14" hidden="1">
      <c r="A2933" s="100" t="s">
        <v>862</v>
      </c>
      <c r="B2933" s="101" t="s">
        <v>5374</v>
      </c>
      <c r="C2933" s="115" t="s">
        <v>5375</v>
      </c>
      <c r="D2933" s="38"/>
      <c r="E2933" s="42">
        <v>1</v>
      </c>
      <c r="F2933" s="9"/>
      <c r="G2933" s="8">
        <f t="shared" si="100"/>
        <v>1.089375</v>
      </c>
      <c r="H2933" s="188">
        <v>1.0375000000000001</v>
      </c>
      <c r="I2933" s="19">
        <f t="shared" si="101"/>
        <v>0</v>
      </c>
      <c r="L2933" s="131"/>
      <c r="M2933" s="131"/>
      <c r="N2933" s="131"/>
    </row>
    <row r="2934" spans="1:14" hidden="1">
      <c r="A2934" s="100" t="s">
        <v>862</v>
      </c>
      <c r="B2934" s="101" t="s">
        <v>5376</v>
      </c>
      <c r="C2934" s="115" t="s">
        <v>5377</v>
      </c>
      <c r="D2934" s="38"/>
      <c r="E2934" s="42">
        <v>1</v>
      </c>
      <c r="F2934" s="9"/>
      <c r="G2934" s="8">
        <f t="shared" si="100"/>
        <v>12.312825</v>
      </c>
      <c r="H2934" s="188">
        <v>11.7265</v>
      </c>
      <c r="I2934" s="19">
        <f t="shared" si="101"/>
        <v>0</v>
      </c>
      <c r="L2934" s="131"/>
      <c r="M2934" s="131"/>
      <c r="N2934" s="131"/>
    </row>
    <row r="2935" spans="1:14" hidden="1">
      <c r="A2935" s="100" t="s">
        <v>862</v>
      </c>
      <c r="B2935" s="101" t="s">
        <v>5378</v>
      </c>
      <c r="C2935" s="115" t="s">
        <v>5379</v>
      </c>
      <c r="D2935" s="38"/>
      <c r="E2935" s="42">
        <v>1</v>
      </c>
      <c r="F2935" s="9"/>
      <c r="G2935" s="8">
        <f t="shared" si="100"/>
        <v>12.312825</v>
      </c>
      <c r="H2935" s="188">
        <v>11.7265</v>
      </c>
      <c r="I2935" s="19">
        <f t="shared" si="101"/>
        <v>0</v>
      </c>
      <c r="L2935" s="131"/>
      <c r="M2935" s="131"/>
      <c r="N2935" s="131"/>
    </row>
    <row r="2936" spans="1:14" hidden="1">
      <c r="A2936" s="100" t="s">
        <v>862</v>
      </c>
      <c r="B2936" s="101" t="s">
        <v>5380</v>
      </c>
      <c r="C2936" s="115" t="s">
        <v>5381</v>
      </c>
      <c r="D2936" s="38"/>
      <c r="E2936" s="42">
        <v>1</v>
      </c>
      <c r="F2936" s="9"/>
      <c r="G2936" s="8">
        <f t="shared" si="100"/>
        <v>12.312825</v>
      </c>
      <c r="H2936" s="188">
        <v>11.7265</v>
      </c>
      <c r="I2936" s="19">
        <f t="shared" si="101"/>
        <v>0</v>
      </c>
      <c r="L2936" s="131"/>
      <c r="M2936" s="131"/>
      <c r="N2936" s="131"/>
    </row>
    <row r="2937" spans="1:14" hidden="1">
      <c r="A2937" s="100" t="s">
        <v>862</v>
      </c>
      <c r="B2937" s="101" t="s">
        <v>5382</v>
      </c>
      <c r="C2937" s="115" t="s">
        <v>5383</v>
      </c>
      <c r="D2937" s="38"/>
      <c r="E2937" s="42">
        <v>1</v>
      </c>
      <c r="F2937" s="9"/>
      <c r="G2937" s="8">
        <f t="shared" si="100"/>
        <v>12.312825</v>
      </c>
      <c r="H2937" s="188">
        <v>11.7265</v>
      </c>
      <c r="I2937" s="19">
        <f t="shared" si="101"/>
        <v>0</v>
      </c>
      <c r="L2937" s="131"/>
      <c r="M2937" s="131"/>
      <c r="N2937" s="131"/>
    </row>
    <row r="2938" spans="1:14" hidden="1">
      <c r="A2938" s="100" t="s">
        <v>862</v>
      </c>
      <c r="B2938" s="101" t="s">
        <v>5384</v>
      </c>
      <c r="C2938" s="115" t="s">
        <v>5385</v>
      </c>
      <c r="D2938" s="38"/>
      <c r="E2938" s="42">
        <v>1</v>
      </c>
      <c r="F2938" s="9"/>
      <c r="G2938" s="8">
        <f t="shared" si="100"/>
        <v>0.47775000000000001</v>
      </c>
      <c r="H2938" s="188">
        <v>0.45500000000000002</v>
      </c>
      <c r="I2938" s="19">
        <f t="shared" si="101"/>
        <v>0</v>
      </c>
      <c r="L2938" s="131"/>
      <c r="M2938" s="131"/>
      <c r="N2938" s="131"/>
    </row>
    <row r="2939" spans="1:14" hidden="1">
      <c r="A2939" s="100" t="s">
        <v>862</v>
      </c>
      <c r="B2939" s="101" t="s">
        <v>5386</v>
      </c>
      <c r="C2939" s="115" t="s">
        <v>5387</v>
      </c>
      <c r="D2939" s="38"/>
      <c r="E2939" s="42">
        <v>1</v>
      </c>
      <c r="F2939" s="9"/>
      <c r="G2939" s="8">
        <f t="shared" si="100"/>
        <v>0.16695000000000002</v>
      </c>
      <c r="H2939" s="188">
        <v>0.159</v>
      </c>
      <c r="I2939" s="19">
        <f t="shared" si="101"/>
        <v>0</v>
      </c>
      <c r="L2939" s="131"/>
      <c r="M2939" s="131"/>
      <c r="N2939" s="131"/>
    </row>
    <row r="2940" spans="1:14" hidden="1">
      <c r="A2940" s="100" t="s">
        <v>862</v>
      </c>
      <c r="B2940" s="101" t="s">
        <v>5388</v>
      </c>
      <c r="C2940" s="115" t="s">
        <v>5389</v>
      </c>
      <c r="D2940" s="38"/>
      <c r="E2940" s="42">
        <v>1</v>
      </c>
      <c r="F2940" s="9"/>
      <c r="G2940" s="8">
        <f t="shared" si="100"/>
        <v>1.4043749999999999</v>
      </c>
      <c r="H2940" s="188">
        <v>1.3374999999999999</v>
      </c>
      <c r="I2940" s="19">
        <f t="shared" si="101"/>
        <v>0</v>
      </c>
      <c r="L2940" s="131"/>
      <c r="M2940" s="131"/>
      <c r="N2940" s="131"/>
    </row>
    <row r="2941" spans="1:14" hidden="1">
      <c r="A2941" s="100" t="s">
        <v>862</v>
      </c>
      <c r="B2941" s="101" t="s">
        <v>5390</v>
      </c>
      <c r="C2941" s="115" t="s">
        <v>5391</v>
      </c>
      <c r="D2941" s="38"/>
      <c r="E2941" s="42">
        <v>1</v>
      </c>
      <c r="F2941" s="9"/>
      <c r="G2941" s="8">
        <f t="shared" si="100"/>
        <v>2.6774999999999998</v>
      </c>
      <c r="H2941" s="188">
        <v>2.5499999999999998</v>
      </c>
      <c r="I2941" s="19">
        <f t="shared" si="101"/>
        <v>0</v>
      </c>
      <c r="L2941" s="131"/>
      <c r="M2941" s="131"/>
      <c r="N2941" s="131"/>
    </row>
    <row r="2942" spans="1:14" hidden="1">
      <c r="A2942" s="100" t="s">
        <v>862</v>
      </c>
      <c r="B2942" s="101" t="s">
        <v>5392</v>
      </c>
      <c r="C2942" s="115" t="s">
        <v>5393</v>
      </c>
      <c r="D2942" s="38"/>
      <c r="E2942" s="42">
        <v>1</v>
      </c>
      <c r="F2942" s="9"/>
      <c r="G2942" s="8">
        <f t="shared" si="100"/>
        <v>2.6774999999999998</v>
      </c>
      <c r="H2942" s="188">
        <v>2.5499999999999998</v>
      </c>
      <c r="I2942" s="19">
        <f t="shared" si="101"/>
        <v>0</v>
      </c>
      <c r="L2942" s="131"/>
      <c r="M2942" s="131"/>
      <c r="N2942" s="131"/>
    </row>
    <row r="2943" spans="1:14" hidden="1">
      <c r="A2943" s="100" t="s">
        <v>862</v>
      </c>
      <c r="B2943" s="101" t="s">
        <v>5394</v>
      </c>
      <c r="C2943" s="115" t="s">
        <v>5395</v>
      </c>
      <c r="D2943" s="38"/>
      <c r="E2943" s="42">
        <v>1</v>
      </c>
      <c r="F2943" s="9"/>
      <c r="G2943" s="8">
        <f t="shared" si="100"/>
        <v>2.6774999999999998</v>
      </c>
      <c r="H2943" s="188">
        <v>2.5499999999999998</v>
      </c>
      <c r="I2943" s="19">
        <f t="shared" si="101"/>
        <v>0</v>
      </c>
      <c r="L2943" s="131"/>
      <c r="M2943" s="131"/>
      <c r="N2943" s="131"/>
    </row>
    <row r="2944" spans="1:14" hidden="1">
      <c r="A2944" s="100" t="s">
        <v>862</v>
      </c>
      <c r="B2944" s="101" t="s">
        <v>5396</v>
      </c>
      <c r="C2944" s="115" t="s">
        <v>5397</v>
      </c>
      <c r="D2944" s="38"/>
      <c r="E2944" s="42">
        <v>1</v>
      </c>
      <c r="F2944" s="9"/>
      <c r="G2944" s="8">
        <f t="shared" si="100"/>
        <v>0.24412500000000001</v>
      </c>
      <c r="H2944" s="188">
        <v>0.23250000000000001</v>
      </c>
      <c r="I2944" s="19">
        <f t="shared" si="101"/>
        <v>0</v>
      </c>
      <c r="L2944" s="131"/>
      <c r="M2944" s="131"/>
      <c r="N2944" s="131"/>
    </row>
    <row r="2945" spans="1:14" hidden="1">
      <c r="A2945" s="100" t="s">
        <v>862</v>
      </c>
      <c r="B2945" s="101" t="s">
        <v>5398</v>
      </c>
      <c r="C2945" s="115" t="s">
        <v>5399</v>
      </c>
      <c r="D2945" s="38"/>
      <c r="E2945" s="42">
        <v>1</v>
      </c>
      <c r="F2945" s="9"/>
      <c r="G2945" s="8">
        <f t="shared" si="100"/>
        <v>0.79169999999999996</v>
      </c>
      <c r="H2945" s="188">
        <v>0.754</v>
      </c>
      <c r="I2945" s="19">
        <f t="shared" si="101"/>
        <v>0</v>
      </c>
      <c r="L2945" s="131"/>
      <c r="M2945" s="131"/>
      <c r="N2945" s="131"/>
    </row>
    <row r="2946" spans="1:14" hidden="1">
      <c r="A2946" s="100" t="s">
        <v>862</v>
      </c>
      <c r="B2946" s="101" t="s">
        <v>5400</v>
      </c>
      <c r="C2946" s="115" t="s">
        <v>5401</v>
      </c>
      <c r="D2946" s="38"/>
      <c r="E2946" s="42">
        <v>1</v>
      </c>
      <c r="F2946" s="9"/>
      <c r="G2946" s="8">
        <f t="shared" si="100"/>
        <v>0.79169999999999996</v>
      </c>
      <c r="H2946" s="188">
        <v>0.754</v>
      </c>
      <c r="I2946" s="19">
        <f t="shared" si="101"/>
        <v>0</v>
      </c>
      <c r="L2946" s="131"/>
      <c r="M2946" s="131"/>
      <c r="N2946" s="131"/>
    </row>
    <row r="2947" spans="1:14" hidden="1">
      <c r="A2947" s="100" t="s">
        <v>862</v>
      </c>
      <c r="B2947" s="101" t="s">
        <v>5402</v>
      </c>
      <c r="C2947" s="115" t="s">
        <v>5403</v>
      </c>
      <c r="D2947" s="38"/>
      <c r="E2947" s="42">
        <v>1</v>
      </c>
      <c r="F2947" s="9"/>
      <c r="G2947" s="8">
        <f t="shared" si="100"/>
        <v>0.79169999999999996</v>
      </c>
      <c r="H2947" s="188">
        <v>0.754</v>
      </c>
      <c r="I2947" s="19">
        <f t="shared" si="101"/>
        <v>0</v>
      </c>
      <c r="L2947" s="131"/>
      <c r="M2947" s="131"/>
      <c r="N2947" s="131"/>
    </row>
    <row r="2948" spans="1:14" hidden="1">
      <c r="A2948" s="100" t="s">
        <v>862</v>
      </c>
      <c r="B2948" s="101" t="s">
        <v>5404</v>
      </c>
      <c r="C2948" s="115" t="s">
        <v>5405</v>
      </c>
      <c r="D2948" s="38"/>
      <c r="E2948" s="42">
        <v>1</v>
      </c>
      <c r="F2948" s="9"/>
      <c r="G2948" s="8">
        <f t="shared" si="100"/>
        <v>0.73762499999999998</v>
      </c>
      <c r="H2948" s="188">
        <v>0.70250000000000001</v>
      </c>
      <c r="I2948" s="19">
        <f t="shared" si="101"/>
        <v>0</v>
      </c>
      <c r="L2948" s="131"/>
      <c r="M2948" s="131"/>
      <c r="N2948" s="131"/>
    </row>
    <row r="2949" spans="1:14" hidden="1">
      <c r="A2949" s="100" t="s">
        <v>862</v>
      </c>
      <c r="B2949" s="101" t="s">
        <v>5406</v>
      </c>
      <c r="C2949" s="115" t="s">
        <v>5407</v>
      </c>
      <c r="D2949" s="38"/>
      <c r="E2949" s="42">
        <v>1</v>
      </c>
      <c r="F2949" s="9"/>
      <c r="G2949" s="8">
        <f t="shared" si="100"/>
        <v>1.4437500000000001</v>
      </c>
      <c r="H2949" s="188">
        <v>1.375</v>
      </c>
      <c r="I2949" s="19">
        <f t="shared" si="101"/>
        <v>0</v>
      </c>
      <c r="L2949" s="131"/>
      <c r="M2949" s="131"/>
      <c r="N2949" s="131"/>
    </row>
    <row r="2950" spans="1:14" hidden="1">
      <c r="A2950" s="100" t="s">
        <v>862</v>
      </c>
      <c r="B2950" s="101" t="s">
        <v>5408</v>
      </c>
      <c r="C2950" s="115" t="s">
        <v>5409</v>
      </c>
      <c r="D2950" s="38"/>
      <c r="E2950" s="42">
        <v>1</v>
      </c>
      <c r="F2950" s="9"/>
      <c r="G2950" s="8">
        <f t="shared" si="100"/>
        <v>1.4437500000000001</v>
      </c>
      <c r="H2950" s="188">
        <v>1.375</v>
      </c>
      <c r="I2950" s="19">
        <f t="shared" si="101"/>
        <v>0</v>
      </c>
      <c r="L2950" s="131"/>
      <c r="M2950" s="131"/>
      <c r="N2950" s="131"/>
    </row>
    <row r="2951" spans="1:14" hidden="1">
      <c r="A2951" s="100" t="s">
        <v>862</v>
      </c>
      <c r="B2951" s="101" t="s">
        <v>5410</v>
      </c>
      <c r="C2951" s="115" t="s">
        <v>5411</v>
      </c>
      <c r="D2951" s="38"/>
      <c r="E2951" s="42">
        <v>1</v>
      </c>
      <c r="F2951" s="9"/>
      <c r="G2951" s="8">
        <f t="shared" si="100"/>
        <v>1.4437500000000001</v>
      </c>
      <c r="H2951" s="188">
        <v>1.375</v>
      </c>
      <c r="I2951" s="19">
        <f t="shared" si="101"/>
        <v>0</v>
      </c>
      <c r="L2951" s="131"/>
      <c r="M2951" s="131"/>
      <c r="N2951" s="131"/>
    </row>
    <row r="2952" spans="1:14" hidden="1">
      <c r="A2952" s="100" t="s">
        <v>862</v>
      </c>
      <c r="B2952" s="101" t="s">
        <v>5412</v>
      </c>
      <c r="C2952" s="115" t="s">
        <v>5413</v>
      </c>
      <c r="D2952" s="38"/>
      <c r="E2952" s="42">
        <v>1</v>
      </c>
      <c r="F2952" s="9"/>
      <c r="G2952" s="8">
        <f t="shared" si="100"/>
        <v>0.24412500000000001</v>
      </c>
      <c r="H2952" s="188">
        <v>0.23250000000000001</v>
      </c>
      <c r="I2952" s="19">
        <f t="shared" si="101"/>
        <v>0</v>
      </c>
      <c r="L2952" s="131"/>
      <c r="M2952" s="131"/>
      <c r="N2952" s="131"/>
    </row>
    <row r="2953" spans="1:14" hidden="1">
      <c r="A2953" s="100" t="s">
        <v>862</v>
      </c>
      <c r="B2953" s="101" t="s">
        <v>5414</v>
      </c>
      <c r="C2953" s="115" t="s">
        <v>5415</v>
      </c>
      <c r="D2953" s="38"/>
      <c r="E2953" s="42">
        <v>1</v>
      </c>
      <c r="F2953" s="9"/>
      <c r="G2953" s="8">
        <f t="shared" si="100"/>
        <v>0.79169999999999996</v>
      </c>
      <c r="H2953" s="188">
        <v>0.754</v>
      </c>
      <c r="I2953" s="19">
        <f t="shared" si="101"/>
        <v>0</v>
      </c>
      <c r="L2953" s="131"/>
      <c r="M2953" s="131"/>
      <c r="N2953" s="131"/>
    </row>
    <row r="2954" spans="1:14" hidden="1">
      <c r="A2954" s="100" t="s">
        <v>862</v>
      </c>
      <c r="B2954" s="101" t="s">
        <v>5416</v>
      </c>
      <c r="C2954" s="115" t="s">
        <v>5417</v>
      </c>
      <c r="D2954" s="38"/>
      <c r="E2954" s="42">
        <v>1</v>
      </c>
      <c r="F2954" s="9"/>
      <c r="G2954" s="8">
        <f t="shared" si="100"/>
        <v>0.79169999999999996</v>
      </c>
      <c r="H2954" s="188">
        <v>0.754</v>
      </c>
      <c r="I2954" s="19">
        <f t="shared" si="101"/>
        <v>0</v>
      </c>
      <c r="L2954" s="131"/>
      <c r="M2954" s="131"/>
      <c r="N2954" s="131"/>
    </row>
    <row r="2955" spans="1:14" hidden="1">
      <c r="A2955" s="100" t="s">
        <v>862</v>
      </c>
      <c r="B2955" s="101" t="s">
        <v>5418</v>
      </c>
      <c r="C2955" s="115" t="s">
        <v>5419</v>
      </c>
      <c r="D2955" s="38"/>
      <c r="E2955" s="42">
        <v>1</v>
      </c>
      <c r="F2955" s="9"/>
      <c r="G2955" s="8">
        <f t="shared" si="100"/>
        <v>0.79169999999999996</v>
      </c>
      <c r="H2955" s="188">
        <v>0.754</v>
      </c>
      <c r="I2955" s="19">
        <f t="shared" si="101"/>
        <v>0</v>
      </c>
      <c r="L2955" s="131"/>
      <c r="M2955" s="131"/>
      <c r="N2955" s="131"/>
    </row>
    <row r="2956" spans="1:14" hidden="1">
      <c r="A2956" s="100" t="s">
        <v>862</v>
      </c>
      <c r="B2956" s="101" t="s">
        <v>5420</v>
      </c>
      <c r="C2956" s="115" t="s">
        <v>5421</v>
      </c>
      <c r="D2956" s="38"/>
      <c r="E2956" s="42">
        <v>1</v>
      </c>
      <c r="F2956" s="9"/>
      <c r="G2956" s="8">
        <f t="shared" si="100"/>
        <v>0.75337500000000002</v>
      </c>
      <c r="H2956" s="188">
        <v>0.71750000000000003</v>
      </c>
      <c r="I2956" s="19">
        <f t="shared" si="101"/>
        <v>0</v>
      </c>
      <c r="L2956" s="131"/>
      <c r="M2956" s="131"/>
      <c r="N2956" s="131"/>
    </row>
    <row r="2957" spans="1:14" hidden="1">
      <c r="A2957" s="100" t="s">
        <v>862</v>
      </c>
      <c r="B2957" s="101" t="s">
        <v>5422</v>
      </c>
      <c r="C2957" s="115" t="s">
        <v>5423</v>
      </c>
      <c r="D2957" s="38"/>
      <c r="E2957" s="42">
        <v>1</v>
      </c>
      <c r="F2957" s="9"/>
      <c r="G2957" s="8">
        <f t="shared" si="100"/>
        <v>1.6957500000000001</v>
      </c>
      <c r="H2957" s="188">
        <v>1.615</v>
      </c>
      <c r="I2957" s="19">
        <f t="shared" si="101"/>
        <v>0</v>
      </c>
      <c r="L2957" s="131"/>
      <c r="M2957" s="131"/>
      <c r="N2957" s="131"/>
    </row>
    <row r="2958" spans="1:14" hidden="1">
      <c r="A2958" s="100" t="s">
        <v>862</v>
      </c>
      <c r="B2958" s="101" t="s">
        <v>5424</v>
      </c>
      <c r="C2958" s="115" t="s">
        <v>5425</v>
      </c>
      <c r="D2958" s="38"/>
      <c r="E2958" s="42">
        <v>1</v>
      </c>
      <c r="F2958" s="9"/>
      <c r="G2958" s="8">
        <f t="shared" si="100"/>
        <v>1.6957500000000001</v>
      </c>
      <c r="H2958" s="188">
        <v>1.615</v>
      </c>
      <c r="I2958" s="19">
        <f t="shared" si="101"/>
        <v>0</v>
      </c>
      <c r="L2958" s="131"/>
      <c r="M2958" s="131"/>
      <c r="N2958" s="131"/>
    </row>
    <row r="2959" spans="1:14" hidden="1">
      <c r="A2959" s="100" t="s">
        <v>862</v>
      </c>
      <c r="B2959" s="101" t="s">
        <v>5426</v>
      </c>
      <c r="C2959" s="115" t="s">
        <v>5427</v>
      </c>
      <c r="D2959" s="38"/>
      <c r="E2959" s="42">
        <v>1</v>
      </c>
      <c r="F2959" s="9"/>
      <c r="G2959" s="8">
        <f t="shared" si="100"/>
        <v>1.6957500000000001</v>
      </c>
      <c r="H2959" s="188">
        <v>1.615</v>
      </c>
      <c r="I2959" s="19">
        <f t="shared" si="101"/>
        <v>0</v>
      </c>
      <c r="L2959" s="131"/>
      <c r="M2959" s="131"/>
      <c r="N2959" s="131"/>
    </row>
    <row r="2960" spans="1:14" hidden="1">
      <c r="A2960" s="100" t="s">
        <v>862</v>
      </c>
      <c r="B2960" s="101" t="s">
        <v>5428</v>
      </c>
      <c r="C2960" s="115" t="s">
        <v>5429</v>
      </c>
      <c r="D2960" s="38"/>
      <c r="E2960" s="42">
        <v>1</v>
      </c>
      <c r="F2960" s="9"/>
      <c r="G2960" s="8">
        <f t="shared" si="100"/>
        <v>0.57120000000000004</v>
      </c>
      <c r="H2960" s="188">
        <v>0.54400000000000004</v>
      </c>
      <c r="I2960" s="19">
        <f t="shared" si="101"/>
        <v>0</v>
      </c>
      <c r="L2960" s="131"/>
      <c r="M2960" s="131"/>
      <c r="N2960" s="131"/>
    </row>
    <row r="2961" spans="1:14" hidden="1">
      <c r="A2961" s="100" t="s">
        <v>862</v>
      </c>
      <c r="B2961" s="101" t="s">
        <v>5430</v>
      </c>
      <c r="C2961" s="115" t="s">
        <v>5431</v>
      </c>
      <c r="D2961" s="38"/>
      <c r="E2961" s="42">
        <v>1</v>
      </c>
      <c r="F2961" s="9"/>
      <c r="G2961" s="8">
        <f t="shared" si="100"/>
        <v>1.1985749999999999</v>
      </c>
      <c r="H2961" s="188">
        <v>1.1415</v>
      </c>
      <c r="I2961" s="19">
        <f t="shared" si="101"/>
        <v>0</v>
      </c>
      <c r="L2961" s="131"/>
      <c r="M2961" s="131"/>
      <c r="N2961" s="131"/>
    </row>
    <row r="2962" spans="1:14" hidden="1">
      <c r="A2962" s="100" t="s">
        <v>862</v>
      </c>
      <c r="B2962" s="101" t="s">
        <v>5432</v>
      </c>
      <c r="C2962" s="115" t="s">
        <v>5433</v>
      </c>
      <c r="D2962" s="38"/>
      <c r="E2962" s="42">
        <v>1</v>
      </c>
      <c r="F2962" s="9"/>
      <c r="G2962" s="8">
        <f t="shared" si="100"/>
        <v>1.1985749999999999</v>
      </c>
      <c r="H2962" s="188">
        <v>1.1415</v>
      </c>
      <c r="I2962" s="19">
        <f t="shared" si="101"/>
        <v>0</v>
      </c>
      <c r="L2962" s="131"/>
      <c r="M2962" s="131"/>
      <c r="N2962" s="131"/>
    </row>
    <row r="2963" spans="1:14" hidden="1">
      <c r="A2963" s="100" t="s">
        <v>862</v>
      </c>
      <c r="B2963" s="101" t="s">
        <v>5434</v>
      </c>
      <c r="C2963" s="115" t="s">
        <v>5435</v>
      </c>
      <c r="D2963" s="38"/>
      <c r="E2963" s="42">
        <v>1</v>
      </c>
      <c r="F2963" s="9"/>
      <c r="G2963" s="8">
        <f t="shared" si="100"/>
        <v>1.1985749999999999</v>
      </c>
      <c r="H2963" s="188">
        <v>1.1415</v>
      </c>
      <c r="I2963" s="19">
        <f t="shared" si="101"/>
        <v>0</v>
      </c>
      <c r="L2963" s="131"/>
      <c r="M2963" s="131"/>
      <c r="N2963" s="131"/>
    </row>
    <row r="2964" spans="1:14" hidden="1">
      <c r="A2964" s="100" t="s">
        <v>862</v>
      </c>
      <c r="B2964" s="101" t="s">
        <v>5436</v>
      </c>
      <c r="C2964" s="115" t="s">
        <v>5437</v>
      </c>
      <c r="D2964" s="38"/>
      <c r="E2964" s="42">
        <v>1</v>
      </c>
      <c r="F2964" s="9"/>
      <c r="G2964" s="8">
        <f t="shared" si="100"/>
        <v>0.40950000000000003</v>
      </c>
      <c r="H2964" s="188">
        <v>0.39</v>
      </c>
      <c r="I2964" s="19">
        <f t="shared" si="101"/>
        <v>0</v>
      </c>
      <c r="L2964" s="131"/>
      <c r="M2964" s="131"/>
      <c r="N2964" s="131"/>
    </row>
    <row r="2965" spans="1:14" hidden="1">
      <c r="A2965" s="100" t="s">
        <v>862</v>
      </c>
      <c r="B2965" s="101" t="s">
        <v>5438</v>
      </c>
      <c r="C2965" s="115" t="s">
        <v>5439</v>
      </c>
      <c r="D2965" s="38"/>
      <c r="E2965" s="42">
        <v>1</v>
      </c>
      <c r="F2965" s="9"/>
      <c r="G2965" s="8">
        <f t="shared" si="100"/>
        <v>0.94500000000000006</v>
      </c>
      <c r="H2965" s="188">
        <v>0.9</v>
      </c>
      <c r="I2965" s="19">
        <f t="shared" si="101"/>
        <v>0</v>
      </c>
      <c r="L2965" s="131"/>
      <c r="M2965" s="131"/>
      <c r="N2965" s="131"/>
    </row>
    <row r="2966" spans="1:14" hidden="1">
      <c r="A2966" s="100" t="s">
        <v>862</v>
      </c>
      <c r="B2966" s="101" t="s">
        <v>5440</v>
      </c>
      <c r="C2966" s="115" t="s">
        <v>5441</v>
      </c>
      <c r="D2966" s="38"/>
      <c r="E2966" s="42">
        <v>1</v>
      </c>
      <c r="F2966" s="9"/>
      <c r="G2966" s="8">
        <f t="shared" si="100"/>
        <v>0.94500000000000006</v>
      </c>
      <c r="H2966" s="188">
        <v>0.9</v>
      </c>
      <c r="I2966" s="19">
        <f t="shared" si="101"/>
        <v>0</v>
      </c>
      <c r="L2966" s="131"/>
      <c r="M2966" s="131"/>
      <c r="N2966" s="131"/>
    </row>
    <row r="2967" spans="1:14" hidden="1">
      <c r="A2967" s="100" t="s">
        <v>862</v>
      </c>
      <c r="B2967" s="101" t="s">
        <v>5442</v>
      </c>
      <c r="C2967" s="115" t="s">
        <v>5443</v>
      </c>
      <c r="D2967" s="38"/>
      <c r="E2967" s="42">
        <v>1</v>
      </c>
      <c r="F2967" s="9"/>
      <c r="G2967" s="8">
        <f t="shared" si="100"/>
        <v>0.94500000000000006</v>
      </c>
      <c r="H2967" s="188">
        <v>0.9</v>
      </c>
      <c r="I2967" s="19">
        <f t="shared" si="101"/>
        <v>0</v>
      </c>
      <c r="L2967" s="131"/>
      <c r="M2967" s="131"/>
      <c r="N2967" s="131"/>
    </row>
    <row r="2968" spans="1:14" hidden="1">
      <c r="A2968" s="100" t="s">
        <v>862</v>
      </c>
      <c r="B2968" s="101" t="s">
        <v>5444</v>
      </c>
      <c r="C2968" s="115" t="s">
        <v>5445</v>
      </c>
      <c r="D2968" s="38"/>
      <c r="E2968" s="42">
        <v>1</v>
      </c>
      <c r="F2968" s="9"/>
      <c r="G2968" s="8">
        <f t="shared" si="100"/>
        <v>0.75337500000000002</v>
      </c>
      <c r="H2968" s="188">
        <v>0.71750000000000003</v>
      </c>
      <c r="I2968" s="19">
        <f t="shared" si="101"/>
        <v>0</v>
      </c>
      <c r="L2968" s="131"/>
      <c r="M2968" s="131"/>
      <c r="N2968" s="131"/>
    </row>
    <row r="2969" spans="1:14" hidden="1">
      <c r="A2969" s="100" t="s">
        <v>862</v>
      </c>
      <c r="B2969" s="101" t="s">
        <v>5446</v>
      </c>
      <c r="C2969" s="115" t="s">
        <v>5447</v>
      </c>
      <c r="D2969" s="38"/>
      <c r="E2969" s="42">
        <v>1</v>
      </c>
      <c r="F2969" s="9"/>
      <c r="G2969" s="8">
        <f t="shared" si="100"/>
        <v>1.6957500000000001</v>
      </c>
      <c r="H2969" s="188">
        <v>1.615</v>
      </c>
      <c r="I2969" s="19">
        <f t="shared" si="101"/>
        <v>0</v>
      </c>
      <c r="L2969" s="131"/>
      <c r="M2969" s="131"/>
      <c r="N2969" s="131"/>
    </row>
    <row r="2970" spans="1:14" hidden="1">
      <c r="A2970" s="100" t="s">
        <v>862</v>
      </c>
      <c r="B2970" s="101" t="s">
        <v>5448</v>
      </c>
      <c r="C2970" s="115" t="s">
        <v>5449</v>
      </c>
      <c r="D2970" s="38"/>
      <c r="E2970" s="42">
        <v>1</v>
      </c>
      <c r="F2970" s="9"/>
      <c r="G2970" s="8">
        <f t="shared" si="100"/>
        <v>1.6957500000000001</v>
      </c>
      <c r="H2970" s="188">
        <v>1.615</v>
      </c>
      <c r="I2970" s="19">
        <f t="shared" si="101"/>
        <v>0</v>
      </c>
      <c r="L2970" s="131"/>
      <c r="M2970" s="131"/>
      <c r="N2970" s="131"/>
    </row>
    <row r="2971" spans="1:14" hidden="1">
      <c r="A2971" s="100" t="s">
        <v>862</v>
      </c>
      <c r="B2971" s="101" t="s">
        <v>5450</v>
      </c>
      <c r="C2971" s="115" t="s">
        <v>5451</v>
      </c>
      <c r="D2971" s="38"/>
      <c r="E2971" s="42">
        <v>1</v>
      </c>
      <c r="F2971" s="9"/>
      <c r="G2971" s="8">
        <f t="shared" si="100"/>
        <v>1.6957500000000001</v>
      </c>
      <c r="H2971" s="188">
        <v>1.615</v>
      </c>
      <c r="I2971" s="19">
        <f t="shared" si="101"/>
        <v>0</v>
      </c>
      <c r="L2971" s="131"/>
      <c r="M2971" s="131"/>
      <c r="N2971" s="131"/>
    </row>
    <row r="2972" spans="1:14" hidden="1">
      <c r="A2972" s="100" t="s">
        <v>862</v>
      </c>
      <c r="B2972" s="101" t="s">
        <v>5452</v>
      </c>
      <c r="C2972" s="115" t="s">
        <v>5453</v>
      </c>
      <c r="D2972" s="38"/>
      <c r="E2972" s="42">
        <v>1</v>
      </c>
      <c r="F2972" s="9"/>
      <c r="G2972" s="8">
        <f t="shared" si="100"/>
        <v>0.40950000000000003</v>
      </c>
      <c r="H2972" s="188">
        <v>0.39</v>
      </c>
      <c r="I2972" s="19">
        <f t="shared" si="101"/>
        <v>0</v>
      </c>
      <c r="L2972" s="131"/>
      <c r="M2972" s="131"/>
      <c r="N2972" s="131"/>
    </row>
    <row r="2973" spans="1:14" hidden="1">
      <c r="A2973" s="100" t="s">
        <v>862</v>
      </c>
      <c r="B2973" s="101" t="s">
        <v>5454</v>
      </c>
      <c r="C2973" s="115" t="s">
        <v>5455</v>
      </c>
      <c r="D2973" s="38"/>
      <c r="E2973" s="42">
        <v>1</v>
      </c>
      <c r="F2973" s="9"/>
      <c r="G2973" s="8">
        <f t="shared" si="100"/>
        <v>0.94500000000000006</v>
      </c>
      <c r="H2973" s="188">
        <v>0.9</v>
      </c>
      <c r="I2973" s="19">
        <f t="shared" si="101"/>
        <v>0</v>
      </c>
      <c r="L2973" s="131"/>
      <c r="M2973" s="131"/>
      <c r="N2973" s="131"/>
    </row>
    <row r="2974" spans="1:14" hidden="1">
      <c r="A2974" s="100" t="s">
        <v>862</v>
      </c>
      <c r="B2974" s="101" t="s">
        <v>5456</v>
      </c>
      <c r="C2974" s="115" t="s">
        <v>5457</v>
      </c>
      <c r="D2974" s="38"/>
      <c r="E2974" s="42">
        <v>1</v>
      </c>
      <c r="F2974" s="9"/>
      <c r="G2974" s="8">
        <f t="shared" si="100"/>
        <v>0.94500000000000006</v>
      </c>
      <c r="H2974" s="188">
        <v>0.9</v>
      </c>
      <c r="I2974" s="19">
        <f t="shared" si="101"/>
        <v>0</v>
      </c>
      <c r="L2974" s="131"/>
      <c r="M2974" s="131"/>
      <c r="N2974" s="131"/>
    </row>
    <row r="2975" spans="1:14" hidden="1">
      <c r="A2975" s="100" t="s">
        <v>862</v>
      </c>
      <c r="B2975" s="101" t="s">
        <v>5458</v>
      </c>
      <c r="C2975" s="115" t="s">
        <v>5459</v>
      </c>
      <c r="D2975" s="38"/>
      <c r="E2975" s="42">
        <v>1</v>
      </c>
      <c r="F2975" s="9"/>
      <c r="G2975" s="8">
        <f t="shared" si="100"/>
        <v>0.94500000000000006</v>
      </c>
      <c r="H2975" s="188">
        <v>0.9</v>
      </c>
      <c r="I2975" s="19">
        <f t="shared" si="101"/>
        <v>0</v>
      </c>
      <c r="L2975" s="131"/>
      <c r="M2975" s="131"/>
      <c r="N2975" s="131"/>
    </row>
    <row r="2976" spans="1:14" hidden="1">
      <c r="A2976" s="100" t="s">
        <v>862</v>
      </c>
      <c r="B2976" s="101" t="s">
        <v>5460</v>
      </c>
      <c r="C2976" s="115" t="s">
        <v>5461</v>
      </c>
      <c r="D2976" s="38"/>
      <c r="E2976" s="42">
        <v>1</v>
      </c>
      <c r="F2976" s="9"/>
      <c r="G2976" s="8">
        <f t="shared" si="100"/>
        <v>0.66569999999999996</v>
      </c>
      <c r="H2976" s="188">
        <v>0.63400000000000001</v>
      </c>
      <c r="I2976" s="19">
        <f t="shared" si="101"/>
        <v>0</v>
      </c>
      <c r="L2976" s="131"/>
      <c r="M2976" s="131"/>
      <c r="N2976" s="131"/>
    </row>
    <row r="2977" spans="1:14" hidden="1">
      <c r="A2977" s="100" t="s">
        <v>862</v>
      </c>
      <c r="B2977" s="101" t="s">
        <v>5462</v>
      </c>
      <c r="C2977" s="115" t="s">
        <v>5463</v>
      </c>
      <c r="D2977" s="38"/>
      <c r="E2977" s="42">
        <v>1</v>
      </c>
      <c r="F2977" s="9"/>
      <c r="G2977" s="8">
        <f t="shared" si="100"/>
        <v>1.2862500000000001</v>
      </c>
      <c r="H2977" s="188">
        <v>1.2250000000000001</v>
      </c>
      <c r="I2977" s="19">
        <f t="shared" si="101"/>
        <v>0</v>
      </c>
      <c r="L2977" s="131"/>
      <c r="M2977" s="131"/>
      <c r="N2977" s="131"/>
    </row>
    <row r="2978" spans="1:14" hidden="1">
      <c r="A2978" s="100" t="s">
        <v>862</v>
      </c>
      <c r="B2978" s="101" t="s">
        <v>5464</v>
      </c>
      <c r="C2978" s="115" t="s">
        <v>5465</v>
      </c>
      <c r="D2978" s="38"/>
      <c r="E2978" s="42">
        <v>1</v>
      </c>
      <c r="F2978" s="9"/>
      <c r="G2978" s="8">
        <f t="shared" si="100"/>
        <v>1.2862500000000001</v>
      </c>
      <c r="H2978" s="188">
        <v>1.2250000000000001</v>
      </c>
      <c r="I2978" s="19">
        <f t="shared" si="101"/>
        <v>0</v>
      </c>
      <c r="L2978" s="131"/>
      <c r="M2978" s="131"/>
      <c r="N2978" s="131"/>
    </row>
    <row r="2979" spans="1:14" hidden="1">
      <c r="A2979" s="100" t="s">
        <v>862</v>
      </c>
      <c r="B2979" s="101" t="s">
        <v>5466</v>
      </c>
      <c r="C2979" s="115" t="s">
        <v>5467</v>
      </c>
      <c r="D2979" s="38"/>
      <c r="E2979" s="42">
        <v>1</v>
      </c>
      <c r="F2979" s="9"/>
      <c r="G2979" s="8">
        <f t="shared" si="100"/>
        <v>1.2862500000000001</v>
      </c>
      <c r="H2979" s="188">
        <v>1.2250000000000001</v>
      </c>
      <c r="I2979" s="19">
        <f t="shared" si="101"/>
        <v>0</v>
      </c>
      <c r="L2979" s="131"/>
      <c r="M2979" s="131"/>
      <c r="N2979" s="131"/>
    </row>
    <row r="2980" spans="1:14" hidden="1">
      <c r="A2980" s="100" t="s">
        <v>862</v>
      </c>
      <c r="B2980" s="101" t="s">
        <v>5468</v>
      </c>
      <c r="C2980" s="115" t="s">
        <v>5469</v>
      </c>
      <c r="D2980" s="38"/>
      <c r="E2980" s="42">
        <v>1</v>
      </c>
      <c r="F2980" s="9"/>
      <c r="G2980" s="8">
        <f t="shared" si="100"/>
        <v>1.218</v>
      </c>
      <c r="H2980" s="188">
        <v>1.1599999999999999</v>
      </c>
      <c r="I2980" s="19">
        <f t="shared" si="101"/>
        <v>0</v>
      </c>
      <c r="L2980" s="131"/>
      <c r="M2980" s="131"/>
      <c r="N2980" s="131"/>
    </row>
    <row r="2981" spans="1:14" hidden="1">
      <c r="A2981" s="100" t="s">
        <v>862</v>
      </c>
      <c r="B2981" s="101" t="s">
        <v>5470</v>
      </c>
      <c r="C2981" s="115" t="s">
        <v>5471</v>
      </c>
      <c r="D2981" s="38"/>
      <c r="E2981" s="42">
        <v>1</v>
      </c>
      <c r="F2981" s="9"/>
      <c r="G2981" s="8">
        <f t="shared" ref="G2981:G3044" si="102">H2981+(H2981*5%)</f>
        <v>1.218</v>
      </c>
      <c r="H2981" s="188">
        <v>1.1599999999999999</v>
      </c>
      <c r="I2981" s="19">
        <f t="shared" si="101"/>
        <v>0</v>
      </c>
      <c r="L2981" s="131"/>
      <c r="M2981" s="131"/>
      <c r="N2981" s="131"/>
    </row>
    <row r="2982" spans="1:14" hidden="1">
      <c r="A2982" s="100" t="s">
        <v>862</v>
      </c>
      <c r="B2982" s="101" t="s">
        <v>5472</v>
      </c>
      <c r="C2982" s="115" t="s">
        <v>5473</v>
      </c>
      <c r="D2982" s="38"/>
      <c r="E2982" s="42">
        <v>1</v>
      </c>
      <c r="F2982" s="9"/>
      <c r="G2982" s="8">
        <f t="shared" si="102"/>
        <v>1.218</v>
      </c>
      <c r="H2982" s="188">
        <v>1.1599999999999999</v>
      </c>
      <c r="I2982" s="19">
        <f t="shared" si="101"/>
        <v>0</v>
      </c>
      <c r="L2982" s="131"/>
      <c r="M2982" s="131"/>
      <c r="N2982" s="131"/>
    </row>
    <row r="2983" spans="1:14" hidden="1">
      <c r="A2983" s="100" t="s">
        <v>862</v>
      </c>
      <c r="B2983" s="101" t="s">
        <v>5474</v>
      </c>
      <c r="C2983" s="115" t="s">
        <v>5475</v>
      </c>
      <c r="D2983" s="38"/>
      <c r="E2983" s="42">
        <v>1</v>
      </c>
      <c r="F2983" s="9"/>
      <c r="G2983" s="8">
        <f t="shared" si="102"/>
        <v>1.218</v>
      </c>
      <c r="H2983" s="188">
        <v>1.1599999999999999</v>
      </c>
      <c r="I2983" s="19">
        <f t="shared" ref="I2983:I3046" si="103">G2983*F2983</f>
        <v>0</v>
      </c>
      <c r="L2983" s="131"/>
      <c r="M2983" s="131"/>
      <c r="N2983" s="131"/>
    </row>
    <row r="2984" spans="1:14" hidden="1">
      <c r="A2984" s="100" t="s">
        <v>862</v>
      </c>
      <c r="B2984" s="101" t="s">
        <v>5476</v>
      </c>
      <c r="C2984" s="115" t="s">
        <v>5477</v>
      </c>
      <c r="D2984" s="38"/>
      <c r="E2984" s="42">
        <v>1</v>
      </c>
      <c r="F2984" s="9"/>
      <c r="G2984" s="8">
        <f t="shared" si="102"/>
        <v>1.218</v>
      </c>
      <c r="H2984" s="188">
        <v>1.1599999999999999</v>
      </c>
      <c r="I2984" s="19">
        <f t="shared" si="103"/>
        <v>0</v>
      </c>
      <c r="L2984" s="131"/>
      <c r="M2984" s="131"/>
      <c r="N2984" s="131"/>
    </row>
    <row r="2985" spans="1:14" hidden="1">
      <c r="A2985" s="100" t="s">
        <v>862</v>
      </c>
      <c r="B2985" s="101" t="s">
        <v>5478</v>
      </c>
      <c r="C2985" s="115" t="s">
        <v>5479</v>
      </c>
      <c r="D2985" s="38"/>
      <c r="E2985" s="42">
        <v>1</v>
      </c>
      <c r="F2985" s="9"/>
      <c r="G2985" s="8">
        <f t="shared" si="102"/>
        <v>1.218</v>
      </c>
      <c r="H2985" s="188">
        <v>1.1599999999999999</v>
      </c>
      <c r="I2985" s="19">
        <f t="shared" si="103"/>
        <v>0</v>
      </c>
      <c r="L2985" s="131"/>
      <c r="M2985" s="131"/>
      <c r="N2985" s="131"/>
    </row>
    <row r="2986" spans="1:14" hidden="1">
      <c r="A2986" s="100" t="s">
        <v>862</v>
      </c>
      <c r="B2986" s="101" t="s">
        <v>5480</v>
      </c>
      <c r="C2986" s="115" t="s">
        <v>5481</v>
      </c>
      <c r="D2986" s="38"/>
      <c r="E2986" s="42">
        <v>1</v>
      </c>
      <c r="F2986" s="9"/>
      <c r="G2986" s="8">
        <f t="shared" si="102"/>
        <v>1.218</v>
      </c>
      <c r="H2986" s="188">
        <v>1.1599999999999999</v>
      </c>
      <c r="I2986" s="19">
        <f t="shared" si="103"/>
        <v>0</v>
      </c>
      <c r="L2986" s="131"/>
      <c r="M2986" s="131"/>
      <c r="N2986" s="131"/>
    </row>
    <row r="2987" spans="1:14" hidden="1">
      <c r="A2987" s="100" t="s">
        <v>862</v>
      </c>
      <c r="B2987" s="101" t="s">
        <v>5482</v>
      </c>
      <c r="C2987" s="115" t="s">
        <v>5483</v>
      </c>
      <c r="D2987" s="38"/>
      <c r="E2987" s="42">
        <v>1</v>
      </c>
      <c r="F2987" s="9"/>
      <c r="G2987" s="8">
        <f t="shared" si="102"/>
        <v>1.218</v>
      </c>
      <c r="H2987" s="188">
        <v>1.1599999999999999</v>
      </c>
      <c r="I2987" s="19">
        <f t="shared" si="103"/>
        <v>0</v>
      </c>
      <c r="L2987" s="131"/>
      <c r="M2987" s="131"/>
      <c r="N2987" s="131"/>
    </row>
    <row r="2988" spans="1:14" hidden="1">
      <c r="A2988" s="100" t="s">
        <v>862</v>
      </c>
      <c r="B2988" s="101" t="s">
        <v>5484</v>
      </c>
      <c r="C2988" s="115" t="s">
        <v>5485</v>
      </c>
      <c r="D2988" s="38"/>
      <c r="E2988" s="42">
        <v>1</v>
      </c>
      <c r="F2988" s="9"/>
      <c r="G2988" s="8">
        <f t="shared" si="102"/>
        <v>2.4349499999999997</v>
      </c>
      <c r="H2988" s="188">
        <v>2.319</v>
      </c>
      <c r="I2988" s="19">
        <f t="shared" si="103"/>
        <v>0</v>
      </c>
      <c r="L2988" s="131"/>
      <c r="M2988" s="131"/>
      <c r="N2988" s="131"/>
    </row>
    <row r="2989" spans="1:14" hidden="1">
      <c r="A2989" s="100" t="s">
        <v>862</v>
      </c>
      <c r="B2989" s="101" t="s">
        <v>5486</v>
      </c>
      <c r="C2989" s="115" t="s">
        <v>5487</v>
      </c>
      <c r="D2989" s="38"/>
      <c r="E2989" s="42">
        <v>1</v>
      </c>
      <c r="F2989" s="9"/>
      <c r="G2989" s="8">
        <f t="shared" si="102"/>
        <v>0.72344999999999993</v>
      </c>
      <c r="H2989" s="188">
        <v>0.68899999999999995</v>
      </c>
      <c r="I2989" s="19">
        <f t="shared" si="103"/>
        <v>0</v>
      </c>
      <c r="L2989" s="131"/>
      <c r="M2989" s="131"/>
      <c r="N2989" s="131"/>
    </row>
    <row r="2990" spans="1:14" hidden="1">
      <c r="A2990" s="100" t="s">
        <v>862</v>
      </c>
      <c r="B2990" s="101" t="s">
        <v>5488</v>
      </c>
      <c r="C2990" s="115" t="s">
        <v>5489</v>
      </c>
      <c r="D2990" s="38"/>
      <c r="E2990" s="42">
        <v>1</v>
      </c>
      <c r="F2990" s="9"/>
      <c r="G2990" s="8">
        <f t="shared" si="102"/>
        <v>2.1782249999999999</v>
      </c>
      <c r="H2990" s="188">
        <v>2.0745</v>
      </c>
      <c r="I2990" s="19">
        <f t="shared" si="103"/>
        <v>0</v>
      </c>
      <c r="L2990" s="131"/>
      <c r="M2990" s="131"/>
      <c r="N2990" s="131"/>
    </row>
    <row r="2991" spans="1:14" hidden="1">
      <c r="A2991" s="100" t="s">
        <v>862</v>
      </c>
      <c r="B2991" s="101" t="s">
        <v>5490</v>
      </c>
      <c r="C2991" s="115" t="s">
        <v>5491</v>
      </c>
      <c r="D2991" s="38"/>
      <c r="E2991" s="42">
        <v>1</v>
      </c>
      <c r="F2991" s="9"/>
      <c r="G2991" s="8">
        <f t="shared" si="102"/>
        <v>1.05945</v>
      </c>
      <c r="H2991" s="188">
        <v>1.0089999999999999</v>
      </c>
      <c r="I2991" s="19">
        <f t="shared" si="103"/>
        <v>0</v>
      </c>
      <c r="L2991" s="131"/>
      <c r="M2991" s="131"/>
      <c r="N2991" s="131"/>
    </row>
    <row r="2992" spans="1:14" hidden="1">
      <c r="A2992" s="100" t="s">
        <v>862</v>
      </c>
      <c r="B2992" s="101" t="s">
        <v>5492</v>
      </c>
      <c r="C2992" s="115" t="s">
        <v>5493</v>
      </c>
      <c r="D2992" s="38"/>
      <c r="E2992" s="42">
        <v>1</v>
      </c>
      <c r="F2992" s="9"/>
      <c r="G2992" s="8">
        <f t="shared" si="102"/>
        <v>0.53287499999999999</v>
      </c>
      <c r="H2992" s="188">
        <v>0.50749999999999995</v>
      </c>
      <c r="I2992" s="19">
        <f t="shared" si="103"/>
        <v>0</v>
      </c>
      <c r="L2992" s="131"/>
      <c r="M2992" s="131"/>
      <c r="N2992" s="131"/>
    </row>
    <row r="2993" spans="1:14" hidden="1">
      <c r="A2993" s="100" t="s">
        <v>862</v>
      </c>
      <c r="B2993" s="101" t="s">
        <v>5494</v>
      </c>
      <c r="C2993" s="115" t="s">
        <v>5495</v>
      </c>
      <c r="D2993" s="38"/>
      <c r="E2993" s="42">
        <v>1</v>
      </c>
      <c r="F2993" s="9"/>
      <c r="G2993" s="8">
        <f t="shared" si="102"/>
        <v>24.079125000000001</v>
      </c>
      <c r="H2993" s="188">
        <v>22.932500000000001</v>
      </c>
      <c r="I2993" s="19">
        <f t="shared" si="103"/>
        <v>0</v>
      </c>
      <c r="L2993" s="131"/>
      <c r="M2993" s="131"/>
      <c r="N2993" s="131"/>
    </row>
    <row r="2994" spans="1:14" hidden="1">
      <c r="A2994" s="100" t="s">
        <v>862</v>
      </c>
      <c r="B2994" s="101" t="s">
        <v>5496</v>
      </c>
      <c r="C2994" s="115" t="s">
        <v>5497</v>
      </c>
      <c r="D2994" s="38"/>
      <c r="E2994" s="42">
        <v>1</v>
      </c>
      <c r="F2994" s="9"/>
      <c r="G2994" s="8">
        <f t="shared" si="102"/>
        <v>8342.8673999999992</v>
      </c>
      <c r="H2994" s="188">
        <v>7945.5879999999997</v>
      </c>
      <c r="I2994" s="19">
        <f t="shared" si="103"/>
        <v>0</v>
      </c>
      <c r="L2994" s="131"/>
      <c r="M2994" s="131"/>
      <c r="N2994" s="131"/>
    </row>
    <row r="2995" spans="1:14" hidden="1">
      <c r="A2995" s="100" t="s">
        <v>862</v>
      </c>
      <c r="B2995" s="101" t="s">
        <v>5498</v>
      </c>
      <c r="C2995" s="115" t="s">
        <v>5499</v>
      </c>
      <c r="D2995" s="38"/>
      <c r="E2995" s="42">
        <v>1</v>
      </c>
      <c r="F2995" s="9"/>
      <c r="G2995" s="8">
        <f t="shared" si="102"/>
        <v>7999.6875</v>
      </c>
      <c r="H2995" s="188">
        <v>7618.75</v>
      </c>
      <c r="I2995" s="19">
        <f t="shared" si="103"/>
        <v>0</v>
      </c>
      <c r="L2995" s="131"/>
      <c r="M2995" s="131"/>
      <c r="N2995" s="131"/>
    </row>
    <row r="2996" spans="1:14" hidden="1">
      <c r="A2996" s="100" t="s">
        <v>862</v>
      </c>
      <c r="B2996" s="101" t="s">
        <v>5500</v>
      </c>
      <c r="C2996" s="115" t="s">
        <v>5501</v>
      </c>
      <c r="D2996" s="38"/>
      <c r="E2996" s="42">
        <v>1</v>
      </c>
      <c r="F2996" s="9"/>
      <c r="G2996" s="8">
        <f t="shared" si="102"/>
        <v>3415.3239749999998</v>
      </c>
      <c r="H2996" s="188">
        <v>3252.6895</v>
      </c>
      <c r="I2996" s="19">
        <f t="shared" si="103"/>
        <v>0</v>
      </c>
      <c r="L2996" s="131"/>
      <c r="M2996" s="131"/>
      <c r="N2996" s="131"/>
    </row>
    <row r="2997" spans="1:14" hidden="1">
      <c r="A2997" s="100" t="s">
        <v>862</v>
      </c>
      <c r="B2997" s="101" t="s">
        <v>5502</v>
      </c>
      <c r="C2997" s="115" t="s">
        <v>5503</v>
      </c>
      <c r="D2997" s="38"/>
      <c r="E2997" s="42">
        <v>1</v>
      </c>
      <c r="F2997" s="9"/>
      <c r="G2997" s="8">
        <f t="shared" si="102"/>
        <v>21564.375</v>
      </c>
      <c r="H2997" s="188">
        <v>20537.5</v>
      </c>
      <c r="I2997" s="19">
        <f t="shared" si="103"/>
        <v>0</v>
      </c>
      <c r="L2997" s="131"/>
      <c r="M2997" s="131"/>
      <c r="N2997" s="131"/>
    </row>
    <row r="2998" spans="1:14" hidden="1">
      <c r="A2998" s="100" t="s">
        <v>862</v>
      </c>
      <c r="B2998" s="101" t="s">
        <v>5504</v>
      </c>
      <c r="C2998" s="115" t="s">
        <v>5505</v>
      </c>
      <c r="D2998" s="38"/>
      <c r="E2998" s="42">
        <v>1</v>
      </c>
      <c r="F2998" s="9"/>
      <c r="G2998" s="8">
        <f t="shared" si="102"/>
        <v>4410.8053499999996</v>
      </c>
      <c r="H2998" s="188">
        <v>4200.7669999999998</v>
      </c>
      <c r="I2998" s="19">
        <f t="shared" si="103"/>
        <v>0</v>
      </c>
      <c r="L2998" s="131"/>
      <c r="M2998" s="131"/>
      <c r="N2998" s="131"/>
    </row>
    <row r="2999" spans="1:14" hidden="1">
      <c r="A2999" s="100" t="s">
        <v>862</v>
      </c>
      <c r="B2999" s="101" t="s">
        <v>5506</v>
      </c>
      <c r="C2999" s="115" t="s">
        <v>5507</v>
      </c>
      <c r="D2999" s="38"/>
      <c r="E2999" s="42">
        <v>1</v>
      </c>
      <c r="F2999" s="9"/>
      <c r="G2999" s="8">
        <f t="shared" si="102"/>
        <v>1.14975</v>
      </c>
      <c r="H2999" s="188">
        <v>1.095</v>
      </c>
      <c r="I2999" s="19">
        <f t="shared" si="103"/>
        <v>0</v>
      </c>
      <c r="L2999" s="131"/>
      <c r="M2999" s="131"/>
      <c r="N2999" s="131"/>
    </row>
    <row r="3000" spans="1:14" hidden="1">
      <c r="A3000" s="100" t="s">
        <v>862</v>
      </c>
      <c r="B3000" s="101" t="s">
        <v>5508</v>
      </c>
      <c r="C3000" s="115" t="s">
        <v>5509</v>
      </c>
      <c r="D3000" s="38"/>
      <c r="E3000" s="42">
        <v>1</v>
      </c>
      <c r="F3000" s="9"/>
      <c r="G3000" s="8">
        <f t="shared" si="102"/>
        <v>6.8249999999999995E-3</v>
      </c>
      <c r="H3000" s="188">
        <v>6.4999999999999997E-3</v>
      </c>
      <c r="I3000" s="19">
        <f t="shared" si="103"/>
        <v>0</v>
      </c>
      <c r="L3000" s="131"/>
      <c r="M3000" s="131"/>
      <c r="N3000" s="131"/>
    </row>
    <row r="3001" spans="1:14" hidden="1">
      <c r="A3001" s="100" t="s">
        <v>862</v>
      </c>
      <c r="B3001" s="101" t="s">
        <v>5510</v>
      </c>
      <c r="C3001" s="115" t="s">
        <v>5511</v>
      </c>
      <c r="D3001" s="38"/>
      <c r="E3001" s="42">
        <v>1</v>
      </c>
      <c r="F3001" s="9"/>
      <c r="G3001" s="8">
        <f t="shared" si="102"/>
        <v>13.216875</v>
      </c>
      <c r="H3001" s="188">
        <v>12.5875</v>
      </c>
      <c r="I3001" s="19">
        <f t="shared" si="103"/>
        <v>0</v>
      </c>
      <c r="L3001" s="131"/>
      <c r="M3001" s="131"/>
      <c r="N3001" s="131"/>
    </row>
    <row r="3002" spans="1:14" hidden="1">
      <c r="A3002" s="100" t="s">
        <v>862</v>
      </c>
      <c r="B3002" s="101" t="s">
        <v>5512</v>
      </c>
      <c r="C3002" s="115" t="s">
        <v>5513</v>
      </c>
      <c r="D3002" s="38"/>
      <c r="E3002" s="42">
        <v>1</v>
      </c>
      <c r="F3002" s="9"/>
      <c r="G3002" s="8">
        <f t="shared" si="102"/>
        <v>0.7848750000000001</v>
      </c>
      <c r="H3002" s="188">
        <v>0.74750000000000005</v>
      </c>
      <c r="I3002" s="19">
        <f t="shared" si="103"/>
        <v>0</v>
      </c>
      <c r="L3002" s="131"/>
      <c r="M3002" s="131"/>
      <c r="N3002" s="131"/>
    </row>
    <row r="3003" spans="1:14" hidden="1">
      <c r="A3003" s="100" t="s">
        <v>862</v>
      </c>
      <c r="B3003" s="101" t="s">
        <v>5514</v>
      </c>
      <c r="C3003" s="115" t="s">
        <v>5515</v>
      </c>
      <c r="D3003" s="38"/>
      <c r="E3003" s="42">
        <v>1</v>
      </c>
      <c r="F3003" s="9"/>
      <c r="G3003" s="8">
        <f t="shared" si="102"/>
        <v>3.450825</v>
      </c>
      <c r="H3003" s="188">
        <v>3.2865000000000002</v>
      </c>
      <c r="I3003" s="19">
        <f t="shared" si="103"/>
        <v>0</v>
      </c>
      <c r="L3003" s="131"/>
      <c r="M3003" s="131"/>
      <c r="N3003" s="131"/>
    </row>
    <row r="3004" spans="1:14" hidden="1">
      <c r="A3004" s="100" t="s">
        <v>862</v>
      </c>
      <c r="B3004" s="101" t="s">
        <v>5516</v>
      </c>
      <c r="C3004" s="115" t="s">
        <v>5517</v>
      </c>
      <c r="D3004" s="38"/>
      <c r="E3004" s="42">
        <v>1</v>
      </c>
      <c r="F3004" s="9"/>
      <c r="G3004" s="8">
        <f t="shared" si="102"/>
        <v>2.0254500000000002</v>
      </c>
      <c r="H3004" s="188">
        <v>1.929</v>
      </c>
      <c r="I3004" s="19">
        <f t="shared" si="103"/>
        <v>0</v>
      </c>
      <c r="L3004" s="131"/>
      <c r="M3004" s="131"/>
      <c r="N3004" s="131"/>
    </row>
    <row r="3005" spans="1:14" hidden="1">
      <c r="A3005" s="100" t="s">
        <v>862</v>
      </c>
      <c r="B3005" s="101" t="s">
        <v>5518</v>
      </c>
      <c r="C3005" s="115" t="s">
        <v>5519</v>
      </c>
      <c r="D3005" s="38"/>
      <c r="E3005" s="42">
        <v>1</v>
      </c>
      <c r="F3005" s="9"/>
      <c r="G3005" s="8">
        <f t="shared" si="102"/>
        <v>7.7805</v>
      </c>
      <c r="H3005" s="188">
        <v>7.41</v>
      </c>
      <c r="I3005" s="19">
        <f t="shared" si="103"/>
        <v>0</v>
      </c>
      <c r="L3005" s="131"/>
      <c r="M3005" s="131"/>
      <c r="N3005" s="131"/>
    </row>
    <row r="3006" spans="1:14" hidden="1">
      <c r="A3006" s="100" t="s">
        <v>862</v>
      </c>
      <c r="B3006" s="101" t="s">
        <v>5520</v>
      </c>
      <c r="C3006" s="115" t="s">
        <v>5521</v>
      </c>
      <c r="D3006" s="38"/>
      <c r="E3006" s="42">
        <v>1</v>
      </c>
      <c r="F3006" s="9"/>
      <c r="G3006" s="8">
        <f t="shared" si="102"/>
        <v>4.1763750000000002</v>
      </c>
      <c r="H3006" s="188">
        <v>3.9775</v>
      </c>
      <c r="I3006" s="19">
        <f t="shared" si="103"/>
        <v>0</v>
      </c>
      <c r="L3006" s="131"/>
      <c r="M3006" s="131"/>
      <c r="N3006" s="131"/>
    </row>
    <row r="3007" spans="1:14" hidden="1">
      <c r="A3007" s="100" t="s">
        <v>862</v>
      </c>
      <c r="B3007" s="101" t="s">
        <v>5522</v>
      </c>
      <c r="C3007" s="115" t="s">
        <v>5523</v>
      </c>
      <c r="D3007" s="38"/>
      <c r="E3007" s="42">
        <v>1</v>
      </c>
      <c r="F3007" s="9"/>
      <c r="G3007" s="8">
        <f t="shared" si="102"/>
        <v>1.283625</v>
      </c>
      <c r="H3007" s="188">
        <v>1.2224999999999999</v>
      </c>
      <c r="I3007" s="19">
        <f t="shared" si="103"/>
        <v>0</v>
      </c>
      <c r="L3007" s="131"/>
      <c r="M3007" s="131"/>
      <c r="N3007" s="131"/>
    </row>
    <row r="3008" spans="1:14" hidden="1">
      <c r="A3008" s="100" t="s">
        <v>862</v>
      </c>
      <c r="B3008" s="101" t="s">
        <v>5524</v>
      </c>
      <c r="C3008" s="115" t="s">
        <v>5525</v>
      </c>
      <c r="D3008" s="38"/>
      <c r="E3008" s="42">
        <v>1</v>
      </c>
      <c r="F3008" s="9"/>
      <c r="G3008" s="8">
        <f t="shared" si="102"/>
        <v>2.3336250000000001</v>
      </c>
      <c r="H3008" s="188">
        <v>2.2225000000000001</v>
      </c>
      <c r="I3008" s="19">
        <f t="shared" si="103"/>
        <v>0</v>
      </c>
      <c r="L3008" s="131"/>
      <c r="M3008" s="131"/>
      <c r="N3008" s="131"/>
    </row>
    <row r="3009" spans="1:14" hidden="1">
      <c r="A3009" s="100" t="s">
        <v>862</v>
      </c>
      <c r="B3009" s="101" t="s">
        <v>5526</v>
      </c>
      <c r="C3009" s="115" t="s">
        <v>5527</v>
      </c>
      <c r="D3009" s="38"/>
      <c r="E3009" s="42">
        <v>1</v>
      </c>
      <c r="F3009" s="9"/>
      <c r="G3009" s="8">
        <f t="shared" si="102"/>
        <v>39.708375000000004</v>
      </c>
      <c r="H3009" s="188">
        <v>37.817500000000003</v>
      </c>
      <c r="I3009" s="19">
        <f t="shared" si="103"/>
        <v>0</v>
      </c>
      <c r="L3009" s="131"/>
      <c r="M3009" s="131"/>
      <c r="N3009" s="131"/>
    </row>
    <row r="3010" spans="1:14" hidden="1">
      <c r="A3010" s="100" t="s">
        <v>862</v>
      </c>
      <c r="B3010" s="101" t="s">
        <v>5528</v>
      </c>
      <c r="C3010" s="115" t="s">
        <v>5529</v>
      </c>
      <c r="D3010" s="38"/>
      <c r="E3010" s="42">
        <v>1</v>
      </c>
      <c r="F3010" s="9"/>
      <c r="G3010" s="8">
        <f t="shared" si="102"/>
        <v>19.724250000000001</v>
      </c>
      <c r="H3010" s="188">
        <v>18.785</v>
      </c>
      <c r="I3010" s="19">
        <f t="shared" si="103"/>
        <v>0</v>
      </c>
      <c r="L3010" s="131"/>
      <c r="M3010" s="131"/>
      <c r="N3010" s="131"/>
    </row>
    <row r="3011" spans="1:14" hidden="1">
      <c r="A3011" s="100" t="s">
        <v>862</v>
      </c>
      <c r="B3011" s="101" t="s">
        <v>5530</v>
      </c>
      <c r="C3011" s="115" t="s">
        <v>5531</v>
      </c>
      <c r="D3011" s="38"/>
      <c r="E3011" s="42">
        <v>1</v>
      </c>
      <c r="F3011" s="9"/>
      <c r="G3011" s="8">
        <f t="shared" si="102"/>
        <v>24.883950000000002</v>
      </c>
      <c r="H3011" s="188">
        <v>23.699000000000002</v>
      </c>
      <c r="I3011" s="19">
        <f t="shared" si="103"/>
        <v>0</v>
      </c>
      <c r="L3011" s="131"/>
      <c r="M3011" s="131"/>
      <c r="N3011" s="131"/>
    </row>
    <row r="3012" spans="1:14" hidden="1">
      <c r="A3012" s="100" t="s">
        <v>862</v>
      </c>
      <c r="B3012" s="101" t="s">
        <v>5532</v>
      </c>
      <c r="C3012" s="115" t="s">
        <v>5533</v>
      </c>
      <c r="D3012" s="38"/>
      <c r="E3012" s="42">
        <v>1</v>
      </c>
      <c r="F3012" s="9"/>
      <c r="G3012" s="8">
        <f t="shared" si="102"/>
        <v>9.3843750000000004</v>
      </c>
      <c r="H3012" s="188">
        <v>8.9375</v>
      </c>
      <c r="I3012" s="19">
        <f t="shared" si="103"/>
        <v>0</v>
      </c>
      <c r="L3012" s="131"/>
      <c r="M3012" s="131"/>
      <c r="N3012" s="131"/>
    </row>
    <row r="3013" spans="1:14" hidden="1">
      <c r="A3013" s="100" t="s">
        <v>862</v>
      </c>
      <c r="B3013" s="101" t="s">
        <v>5534</v>
      </c>
      <c r="C3013" s="115" t="s">
        <v>5535</v>
      </c>
      <c r="D3013" s="38"/>
      <c r="E3013" s="42">
        <v>1</v>
      </c>
      <c r="F3013" s="9"/>
      <c r="G3013" s="8">
        <f t="shared" si="102"/>
        <v>14.592375000000001</v>
      </c>
      <c r="H3013" s="188">
        <v>13.897500000000001</v>
      </c>
      <c r="I3013" s="19">
        <f t="shared" si="103"/>
        <v>0</v>
      </c>
      <c r="L3013" s="131"/>
      <c r="M3013" s="131"/>
      <c r="N3013" s="131"/>
    </row>
    <row r="3014" spans="1:14" hidden="1">
      <c r="A3014" s="100" t="s">
        <v>862</v>
      </c>
      <c r="B3014" s="101" t="s">
        <v>5536</v>
      </c>
      <c r="C3014" s="115" t="s">
        <v>5537</v>
      </c>
      <c r="D3014" s="38"/>
      <c r="E3014" s="42">
        <v>1</v>
      </c>
      <c r="F3014" s="9"/>
      <c r="G3014" s="8">
        <f t="shared" si="102"/>
        <v>2.5383749999999998</v>
      </c>
      <c r="H3014" s="188">
        <v>2.4175</v>
      </c>
      <c r="I3014" s="19">
        <f t="shared" si="103"/>
        <v>0</v>
      </c>
      <c r="L3014" s="131"/>
      <c r="M3014" s="131"/>
      <c r="N3014" s="131"/>
    </row>
    <row r="3015" spans="1:14" hidden="1">
      <c r="A3015" s="100" t="s">
        <v>862</v>
      </c>
      <c r="B3015" s="101" t="s">
        <v>5538</v>
      </c>
      <c r="C3015" s="115" t="s">
        <v>5539</v>
      </c>
      <c r="D3015" s="38"/>
      <c r="E3015" s="42">
        <v>1</v>
      </c>
      <c r="F3015" s="9"/>
      <c r="G3015" s="8">
        <f t="shared" si="102"/>
        <v>31.491074999999999</v>
      </c>
      <c r="H3015" s="188">
        <v>29.991499999999998</v>
      </c>
      <c r="I3015" s="19">
        <f t="shared" si="103"/>
        <v>0</v>
      </c>
      <c r="L3015" s="131"/>
      <c r="M3015" s="131"/>
      <c r="N3015" s="131"/>
    </row>
    <row r="3016" spans="1:14">
      <c r="A3016" s="100" t="s">
        <v>862</v>
      </c>
      <c r="B3016" s="101" t="s">
        <v>5540</v>
      </c>
      <c r="C3016" s="115" t="s">
        <v>5541</v>
      </c>
      <c r="D3016" s="38"/>
      <c r="E3016" s="42">
        <v>1</v>
      </c>
      <c r="F3016" s="9">
        <v>98</v>
      </c>
      <c r="G3016" s="8">
        <f t="shared" si="102"/>
        <v>48.225450000000002</v>
      </c>
      <c r="H3016" s="188">
        <v>45.929000000000002</v>
      </c>
      <c r="I3016" s="19">
        <f t="shared" si="103"/>
        <v>4726.0941000000003</v>
      </c>
      <c r="L3016" s="131"/>
      <c r="M3016" s="131"/>
      <c r="N3016" s="131"/>
    </row>
    <row r="3017" spans="1:14" hidden="1">
      <c r="A3017" s="100" t="s">
        <v>862</v>
      </c>
      <c r="B3017" s="101" t="s">
        <v>5542</v>
      </c>
      <c r="C3017" s="115" t="s">
        <v>5543</v>
      </c>
      <c r="D3017" s="38"/>
      <c r="E3017" s="42">
        <v>1</v>
      </c>
      <c r="F3017" s="9"/>
      <c r="G3017" s="8">
        <f t="shared" si="102"/>
        <v>12.96645</v>
      </c>
      <c r="H3017" s="188">
        <v>12.349</v>
      </c>
      <c r="I3017" s="19">
        <f t="shared" si="103"/>
        <v>0</v>
      </c>
      <c r="L3017" s="131"/>
      <c r="M3017" s="131"/>
      <c r="N3017" s="131"/>
    </row>
    <row r="3018" spans="1:14" hidden="1">
      <c r="A3018" s="100" t="s">
        <v>862</v>
      </c>
      <c r="B3018" s="101" t="s">
        <v>5544</v>
      </c>
      <c r="C3018" s="115" t="s">
        <v>5545</v>
      </c>
      <c r="D3018" s="38"/>
      <c r="E3018" s="42">
        <v>1</v>
      </c>
      <c r="F3018" s="9"/>
      <c r="G3018" s="8">
        <f t="shared" si="102"/>
        <v>9.3355499999999996</v>
      </c>
      <c r="H3018" s="188">
        <v>8.891</v>
      </c>
      <c r="I3018" s="19">
        <f t="shared" si="103"/>
        <v>0</v>
      </c>
      <c r="L3018" s="131"/>
      <c r="M3018" s="131"/>
      <c r="N3018" s="131"/>
    </row>
    <row r="3019" spans="1:14" hidden="1">
      <c r="A3019" s="100" t="s">
        <v>862</v>
      </c>
      <c r="B3019" s="101" t="s">
        <v>5546</v>
      </c>
      <c r="C3019" s="115" t="s">
        <v>5547</v>
      </c>
      <c r="D3019" s="38"/>
      <c r="E3019" s="42">
        <v>1</v>
      </c>
      <c r="F3019" s="9"/>
      <c r="G3019" s="8">
        <f t="shared" si="102"/>
        <v>0.9345</v>
      </c>
      <c r="H3019" s="188">
        <v>0.89</v>
      </c>
      <c r="I3019" s="19">
        <f t="shared" si="103"/>
        <v>0</v>
      </c>
      <c r="L3019" s="131"/>
      <c r="M3019" s="131"/>
      <c r="N3019" s="131"/>
    </row>
    <row r="3020" spans="1:14" hidden="1">
      <c r="A3020" s="100" t="s">
        <v>862</v>
      </c>
      <c r="B3020" s="101" t="s">
        <v>5548</v>
      </c>
      <c r="C3020" s="115" t="s">
        <v>5549</v>
      </c>
      <c r="D3020" s="38"/>
      <c r="E3020" s="42">
        <v>1</v>
      </c>
      <c r="F3020" s="9"/>
      <c r="G3020" s="8">
        <f t="shared" si="102"/>
        <v>0.38219999999999998</v>
      </c>
      <c r="H3020" s="188">
        <v>0.36399999999999999</v>
      </c>
      <c r="I3020" s="19">
        <f t="shared" si="103"/>
        <v>0</v>
      </c>
      <c r="L3020" s="131"/>
      <c r="M3020" s="131"/>
      <c r="N3020" s="131"/>
    </row>
    <row r="3021" spans="1:14" hidden="1">
      <c r="A3021" s="100" t="s">
        <v>862</v>
      </c>
      <c r="B3021" s="101" t="s">
        <v>5550</v>
      </c>
      <c r="C3021" s="115" t="s">
        <v>5551</v>
      </c>
      <c r="D3021" s="38"/>
      <c r="E3021" s="42">
        <v>1</v>
      </c>
      <c r="F3021" s="9"/>
      <c r="G3021" s="8">
        <f t="shared" si="102"/>
        <v>1.132425</v>
      </c>
      <c r="H3021" s="188">
        <v>1.0785</v>
      </c>
      <c r="I3021" s="19">
        <f t="shared" si="103"/>
        <v>0</v>
      </c>
      <c r="L3021" s="131"/>
      <c r="M3021" s="131"/>
      <c r="N3021" s="131"/>
    </row>
    <row r="3022" spans="1:14" hidden="1">
      <c r="A3022" s="100" t="s">
        <v>862</v>
      </c>
      <c r="B3022" s="101" t="s">
        <v>5552</v>
      </c>
      <c r="C3022" s="115" t="s">
        <v>5553</v>
      </c>
      <c r="D3022" s="38"/>
      <c r="E3022" s="42">
        <v>1</v>
      </c>
      <c r="F3022" s="9"/>
      <c r="G3022" s="8">
        <f t="shared" si="102"/>
        <v>0.27247500000000002</v>
      </c>
      <c r="H3022" s="188">
        <v>0.25950000000000001</v>
      </c>
      <c r="I3022" s="19">
        <f t="shared" si="103"/>
        <v>0</v>
      </c>
      <c r="L3022" s="131"/>
      <c r="M3022" s="131"/>
      <c r="N3022" s="131"/>
    </row>
    <row r="3023" spans="1:14" hidden="1">
      <c r="A3023" s="100" t="s">
        <v>862</v>
      </c>
      <c r="B3023" s="101" t="s">
        <v>5554</v>
      </c>
      <c r="C3023" s="115" t="s">
        <v>5555</v>
      </c>
      <c r="D3023" s="38"/>
      <c r="E3023" s="42">
        <v>1</v>
      </c>
      <c r="F3023" s="9"/>
      <c r="G3023" s="8">
        <f t="shared" si="102"/>
        <v>2.5882499999999999</v>
      </c>
      <c r="H3023" s="188">
        <v>2.4649999999999999</v>
      </c>
      <c r="I3023" s="19">
        <f t="shared" si="103"/>
        <v>0</v>
      </c>
      <c r="L3023" s="131"/>
      <c r="M3023" s="131"/>
      <c r="N3023" s="131"/>
    </row>
    <row r="3024" spans="1:14" hidden="1">
      <c r="A3024" s="100" t="s">
        <v>862</v>
      </c>
      <c r="B3024" s="101" t="s">
        <v>5556</v>
      </c>
      <c r="C3024" s="115" t="s">
        <v>5557</v>
      </c>
      <c r="D3024" s="38"/>
      <c r="E3024" s="42">
        <v>1</v>
      </c>
      <c r="F3024" s="9"/>
      <c r="G3024" s="8">
        <f t="shared" si="102"/>
        <v>2.5940249999999998</v>
      </c>
      <c r="H3024" s="188">
        <v>2.4704999999999999</v>
      </c>
      <c r="I3024" s="19">
        <f t="shared" si="103"/>
        <v>0</v>
      </c>
      <c r="L3024" s="131"/>
      <c r="M3024" s="131"/>
      <c r="N3024" s="131"/>
    </row>
    <row r="3025" spans="1:14" hidden="1">
      <c r="A3025" s="100" t="s">
        <v>862</v>
      </c>
      <c r="B3025" s="101" t="s">
        <v>5558</v>
      </c>
      <c r="C3025" s="115" t="s">
        <v>5559</v>
      </c>
      <c r="D3025" s="38"/>
      <c r="E3025" s="42">
        <v>1</v>
      </c>
      <c r="F3025" s="9"/>
      <c r="G3025" s="8">
        <f t="shared" si="102"/>
        <v>0.365925</v>
      </c>
      <c r="H3025" s="188">
        <v>0.34849999999999998</v>
      </c>
      <c r="I3025" s="19">
        <f t="shared" si="103"/>
        <v>0</v>
      </c>
      <c r="L3025" s="131"/>
      <c r="M3025" s="131"/>
      <c r="N3025" s="131"/>
    </row>
    <row r="3026" spans="1:14" hidden="1">
      <c r="A3026" s="100" t="s">
        <v>862</v>
      </c>
      <c r="B3026" s="101" t="s">
        <v>5560</v>
      </c>
      <c r="C3026" s="115" t="s">
        <v>5561</v>
      </c>
      <c r="D3026" s="38"/>
      <c r="E3026" s="42">
        <v>1</v>
      </c>
      <c r="F3026" s="9"/>
      <c r="G3026" s="8">
        <f t="shared" si="102"/>
        <v>0.95550000000000002</v>
      </c>
      <c r="H3026" s="188">
        <v>0.91</v>
      </c>
      <c r="I3026" s="19">
        <f t="shared" si="103"/>
        <v>0</v>
      </c>
      <c r="L3026" s="131"/>
      <c r="M3026" s="131"/>
      <c r="N3026" s="131"/>
    </row>
    <row r="3027" spans="1:14" hidden="1">
      <c r="A3027" s="100" t="s">
        <v>862</v>
      </c>
      <c r="B3027" s="101" t="s">
        <v>5562</v>
      </c>
      <c r="C3027" s="115" t="s">
        <v>5563</v>
      </c>
      <c r="D3027" s="38"/>
      <c r="E3027" s="42">
        <v>1</v>
      </c>
      <c r="F3027" s="9"/>
      <c r="G3027" s="8">
        <f t="shared" si="102"/>
        <v>1.365</v>
      </c>
      <c r="H3027" s="188">
        <v>1.3</v>
      </c>
      <c r="I3027" s="19">
        <f t="shared" si="103"/>
        <v>0</v>
      </c>
      <c r="L3027" s="131"/>
      <c r="M3027" s="131"/>
      <c r="N3027" s="131"/>
    </row>
    <row r="3028" spans="1:14" hidden="1">
      <c r="A3028" s="100" t="s">
        <v>862</v>
      </c>
      <c r="B3028" s="101" t="s">
        <v>5564</v>
      </c>
      <c r="C3028" s="115" t="s">
        <v>5565</v>
      </c>
      <c r="D3028" s="38"/>
      <c r="E3028" s="42">
        <v>1</v>
      </c>
      <c r="F3028" s="9"/>
      <c r="G3028" s="8">
        <f t="shared" si="102"/>
        <v>3.6750000000000005E-2</v>
      </c>
      <c r="H3028" s="188">
        <v>3.5000000000000003E-2</v>
      </c>
      <c r="I3028" s="19">
        <f t="shared" si="103"/>
        <v>0</v>
      </c>
      <c r="L3028" s="131"/>
      <c r="M3028" s="131"/>
      <c r="N3028" s="131"/>
    </row>
    <row r="3029" spans="1:14" hidden="1">
      <c r="A3029" s="100" t="s">
        <v>862</v>
      </c>
      <c r="B3029" s="101" t="s">
        <v>5566</v>
      </c>
      <c r="C3029" s="115" t="s">
        <v>5567</v>
      </c>
      <c r="D3029" s="38"/>
      <c r="E3029" s="42">
        <v>1</v>
      </c>
      <c r="F3029" s="9"/>
      <c r="G3029" s="8">
        <f t="shared" si="102"/>
        <v>6.1949999999999998E-2</v>
      </c>
      <c r="H3029" s="188">
        <v>5.8999999999999997E-2</v>
      </c>
      <c r="I3029" s="19">
        <f t="shared" si="103"/>
        <v>0</v>
      </c>
      <c r="L3029" s="131"/>
      <c r="M3029" s="131"/>
      <c r="N3029" s="131"/>
    </row>
    <row r="3030" spans="1:14" hidden="1">
      <c r="A3030" s="100" t="s">
        <v>862</v>
      </c>
      <c r="B3030" s="101" t="s">
        <v>5568</v>
      </c>
      <c r="C3030" s="115" t="s">
        <v>5569</v>
      </c>
      <c r="D3030" s="38"/>
      <c r="E3030" s="42">
        <v>1</v>
      </c>
      <c r="F3030" s="9"/>
      <c r="G3030" s="8">
        <f t="shared" si="102"/>
        <v>6.4574999999999994E-2</v>
      </c>
      <c r="H3030" s="188">
        <v>6.1499999999999999E-2</v>
      </c>
      <c r="I3030" s="19">
        <f t="shared" si="103"/>
        <v>0</v>
      </c>
      <c r="L3030" s="131"/>
      <c r="M3030" s="131"/>
      <c r="N3030" s="131"/>
    </row>
    <row r="3031" spans="1:14" hidden="1">
      <c r="A3031" s="100" t="s">
        <v>862</v>
      </c>
      <c r="B3031" s="101" t="s">
        <v>5570</v>
      </c>
      <c r="C3031" s="115" t="s">
        <v>5571</v>
      </c>
      <c r="D3031" s="38"/>
      <c r="E3031" s="42">
        <v>1</v>
      </c>
      <c r="F3031" s="9"/>
      <c r="G3031" s="8">
        <f t="shared" si="102"/>
        <v>5.9325000000000003E-2</v>
      </c>
      <c r="H3031" s="188">
        <v>5.6500000000000002E-2</v>
      </c>
      <c r="I3031" s="19">
        <f t="shared" si="103"/>
        <v>0</v>
      </c>
      <c r="L3031" s="131"/>
      <c r="M3031" s="131"/>
      <c r="N3031" s="131"/>
    </row>
    <row r="3032" spans="1:14" hidden="1">
      <c r="A3032" s="100" t="s">
        <v>862</v>
      </c>
      <c r="B3032" s="101" t="s">
        <v>5572</v>
      </c>
      <c r="C3032" s="115" t="s">
        <v>5573</v>
      </c>
      <c r="D3032" s="38"/>
      <c r="E3032" s="42">
        <v>1</v>
      </c>
      <c r="F3032" s="9"/>
      <c r="G3032" s="8">
        <f t="shared" si="102"/>
        <v>6.8250000000000002</v>
      </c>
      <c r="H3032" s="188">
        <v>6.5</v>
      </c>
      <c r="I3032" s="19">
        <f t="shared" si="103"/>
        <v>0</v>
      </c>
      <c r="L3032" s="131"/>
      <c r="M3032" s="131"/>
      <c r="N3032" s="131"/>
    </row>
    <row r="3033" spans="1:14" hidden="1">
      <c r="A3033" s="100" t="s">
        <v>862</v>
      </c>
      <c r="B3033" s="101" t="s">
        <v>5574</v>
      </c>
      <c r="C3033" s="115" t="s">
        <v>5575</v>
      </c>
      <c r="D3033" s="38"/>
      <c r="E3033" s="42">
        <v>1</v>
      </c>
      <c r="F3033" s="9"/>
      <c r="G3033" s="8">
        <f t="shared" si="102"/>
        <v>36.746324999999999</v>
      </c>
      <c r="H3033" s="188">
        <v>34.996499999999997</v>
      </c>
      <c r="I3033" s="19">
        <f t="shared" si="103"/>
        <v>0</v>
      </c>
      <c r="L3033" s="131"/>
      <c r="M3033" s="131"/>
      <c r="N3033" s="131"/>
    </row>
    <row r="3034" spans="1:14" hidden="1">
      <c r="A3034" s="100" t="s">
        <v>862</v>
      </c>
      <c r="B3034" s="101" t="s">
        <v>5576</v>
      </c>
      <c r="C3034" s="115" t="s">
        <v>5577</v>
      </c>
      <c r="D3034" s="38"/>
      <c r="E3034" s="42">
        <v>1</v>
      </c>
      <c r="F3034" s="9"/>
      <c r="G3034" s="8">
        <f t="shared" si="102"/>
        <v>0.10395</v>
      </c>
      <c r="H3034" s="188">
        <v>9.9000000000000005E-2</v>
      </c>
      <c r="I3034" s="19">
        <f t="shared" si="103"/>
        <v>0</v>
      </c>
      <c r="L3034" s="131"/>
      <c r="M3034" s="131"/>
      <c r="N3034" s="131"/>
    </row>
    <row r="3035" spans="1:14" hidden="1">
      <c r="A3035" s="100" t="s">
        <v>862</v>
      </c>
      <c r="B3035" s="101" t="s">
        <v>5578</v>
      </c>
      <c r="C3035" s="115" t="s">
        <v>5579</v>
      </c>
      <c r="D3035" s="38"/>
      <c r="E3035" s="42">
        <v>1</v>
      </c>
      <c r="F3035" s="9"/>
      <c r="G3035" s="8">
        <f t="shared" si="102"/>
        <v>3.15E-2</v>
      </c>
      <c r="H3035" s="188">
        <v>0.03</v>
      </c>
      <c r="I3035" s="19">
        <f t="shared" si="103"/>
        <v>0</v>
      </c>
      <c r="L3035" s="131"/>
      <c r="M3035" s="131"/>
      <c r="N3035" s="131"/>
    </row>
    <row r="3036" spans="1:14" hidden="1">
      <c r="A3036" s="100" t="s">
        <v>862</v>
      </c>
      <c r="B3036" s="101" t="s">
        <v>5580</v>
      </c>
      <c r="C3036" s="115" t="s">
        <v>5581</v>
      </c>
      <c r="D3036" s="38"/>
      <c r="E3036" s="42">
        <v>1</v>
      </c>
      <c r="F3036" s="9"/>
      <c r="G3036" s="8">
        <f t="shared" si="102"/>
        <v>1.0500000000000001E-2</v>
      </c>
      <c r="H3036" s="188">
        <v>0.01</v>
      </c>
      <c r="I3036" s="19">
        <f t="shared" si="103"/>
        <v>0</v>
      </c>
      <c r="L3036" s="131"/>
      <c r="M3036" s="131"/>
      <c r="N3036" s="131"/>
    </row>
    <row r="3037" spans="1:14" hidden="1">
      <c r="A3037" s="100" t="s">
        <v>862</v>
      </c>
      <c r="B3037" s="101" t="s">
        <v>5582</v>
      </c>
      <c r="C3037" s="115" t="s">
        <v>5583</v>
      </c>
      <c r="D3037" s="38"/>
      <c r="E3037" s="42">
        <v>1</v>
      </c>
      <c r="F3037" s="9"/>
      <c r="G3037" s="8">
        <f t="shared" si="102"/>
        <v>7.350000000000001E-2</v>
      </c>
      <c r="H3037" s="188">
        <v>7.0000000000000007E-2</v>
      </c>
      <c r="I3037" s="19">
        <f t="shared" si="103"/>
        <v>0</v>
      </c>
      <c r="L3037" s="131"/>
      <c r="M3037" s="131"/>
      <c r="N3037" s="131"/>
    </row>
    <row r="3038" spans="1:14" hidden="1">
      <c r="A3038" s="100" t="s">
        <v>862</v>
      </c>
      <c r="B3038" s="101" t="s">
        <v>5584</v>
      </c>
      <c r="C3038" s="115" t="s">
        <v>5585</v>
      </c>
      <c r="D3038" s="38"/>
      <c r="E3038" s="42">
        <v>1</v>
      </c>
      <c r="F3038" s="9"/>
      <c r="G3038" s="8">
        <f t="shared" si="102"/>
        <v>3.15E-2</v>
      </c>
      <c r="H3038" s="188">
        <v>0.03</v>
      </c>
      <c r="I3038" s="19">
        <f t="shared" si="103"/>
        <v>0</v>
      </c>
      <c r="L3038" s="131"/>
      <c r="M3038" s="131"/>
      <c r="N3038" s="131"/>
    </row>
    <row r="3039" spans="1:14" hidden="1">
      <c r="A3039" s="100" t="s">
        <v>862</v>
      </c>
      <c r="B3039" s="101" t="s">
        <v>5586</v>
      </c>
      <c r="C3039" s="115" t="s">
        <v>5587</v>
      </c>
      <c r="D3039" s="38"/>
      <c r="E3039" s="42">
        <v>1</v>
      </c>
      <c r="F3039" s="9"/>
      <c r="G3039" s="8">
        <f t="shared" si="102"/>
        <v>2.1000000000000001E-2</v>
      </c>
      <c r="H3039" s="188">
        <v>0.02</v>
      </c>
      <c r="I3039" s="19">
        <f t="shared" si="103"/>
        <v>0</v>
      </c>
      <c r="L3039" s="131"/>
      <c r="M3039" s="131"/>
      <c r="N3039" s="131"/>
    </row>
    <row r="3040" spans="1:14" hidden="1">
      <c r="A3040" s="100" t="s">
        <v>862</v>
      </c>
      <c r="B3040" s="114" t="s">
        <v>5588</v>
      </c>
      <c r="C3040" s="116" t="s">
        <v>5589</v>
      </c>
      <c r="D3040" s="38"/>
      <c r="E3040" s="42">
        <v>1</v>
      </c>
      <c r="F3040" s="9"/>
      <c r="G3040" s="8">
        <f t="shared" si="102"/>
        <v>3.15E-2</v>
      </c>
      <c r="H3040" s="188">
        <v>0.03</v>
      </c>
      <c r="I3040" s="19">
        <f t="shared" si="103"/>
        <v>0</v>
      </c>
      <c r="L3040" s="131"/>
      <c r="M3040" s="131"/>
      <c r="N3040" s="131"/>
    </row>
    <row r="3041" spans="1:14" hidden="1">
      <c r="A3041" s="100" t="s">
        <v>862</v>
      </c>
      <c r="B3041" s="101" t="s">
        <v>5590</v>
      </c>
      <c r="C3041" s="115" t="s">
        <v>5591</v>
      </c>
      <c r="D3041" s="38"/>
      <c r="E3041" s="42">
        <v>1</v>
      </c>
      <c r="F3041" s="9"/>
      <c r="G3041" s="8">
        <f t="shared" si="102"/>
        <v>2.3625E-2</v>
      </c>
      <c r="H3041" s="188">
        <v>2.2499999999999999E-2</v>
      </c>
      <c r="I3041" s="19">
        <f t="shared" si="103"/>
        <v>0</v>
      </c>
      <c r="L3041" s="131"/>
      <c r="M3041" s="131"/>
      <c r="N3041" s="131"/>
    </row>
    <row r="3042" spans="1:14" hidden="1">
      <c r="A3042" s="100" t="s">
        <v>862</v>
      </c>
      <c r="B3042" s="101" t="s">
        <v>5592</v>
      </c>
      <c r="C3042" s="115" t="s">
        <v>5593</v>
      </c>
      <c r="D3042" s="38"/>
      <c r="E3042" s="42">
        <v>1</v>
      </c>
      <c r="F3042" s="9"/>
      <c r="G3042" s="8">
        <f t="shared" si="102"/>
        <v>7.2450000000000001E-2</v>
      </c>
      <c r="H3042" s="188">
        <v>6.9000000000000006E-2</v>
      </c>
      <c r="I3042" s="19">
        <f t="shared" si="103"/>
        <v>0</v>
      </c>
      <c r="L3042" s="131"/>
      <c r="M3042" s="131"/>
      <c r="N3042" s="131"/>
    </row>
    <row r="3043" spans="1:14" hidden="1">
      <c r="A3043" s="100" t="s">
        <v>862</v>
      </c>
      <c r="B3043" s="101" t="s">
        <v>5594</v>
      </c>
      <c r="C3043" s="115" t="s">
        <v>5595</v>
      </c>
      <c r="D3043" s="38"/>
      <c r="E3043" s="42">
        <v>1</v>
      </c>
      <c r="F3043" s="9"/>
      <c r="G3043" s="8">
        <f t="shared" si="102"/>
        <v>7.6124999999999998E-2</v>
      </c>
      <c r="H3043" s="188">
        <v>7.2499999999999995E-2</v>
      </c>
      <c r="I3043" s="19">
        <f t="shared" si="103"/>
        <v>0</v>
      </c>
      <c r="L3043" s="131"/>
      <c r="M3043" s="131"/>
      <c r="N3043" s="131"/>
    </row>
    <row r="3044" spans="1:14" hidden="1">
      <c r="A3044" s="100" t="s">
        <v>862</v>
      </c>
      <c r="B3044" s="101" t="s">
        <v>5596</v>
      </c>
      <c r="C3044" s="115" t="s">
        <v>5597</v>
      </c>
      <c r="D3044" s="38"/>
      <c r="E3044" s="42">
        <v>1</v>
      </c>
      <c r="F3044" s="9"/>
      <c r="G3044" s="8">
        <f t="shared" si="102"/>
        <v>8.0850000000000005E-2</v>
      </c>
      <c r="H3044" s="188">
        <v>7.6999999999999999E-2</v>
      </c>
      <c r="I3044" s="19">
        <f t="shared" si="103"/>
        <v>0</v>
      </c>
      <c r="L3044" s="131"/>
      <c r="M3044" s="131"/>
      <c r="N3044" s="131"/>
    </row>
    <row r="3045" spans="1:14" hidden="1">
      <c r="A3045" s="100" t="s">
        <v>862</v>
      </c>
      <c r="B3045" s="101" t="s">
        <v>5598</v>
      </c>
      <c r="C3045" s="115" t="s">
        <v>5599</v>
      </c>
      <c r="D3045" s="38"/>
      <c r="E3045" s="42">
        <v>1</v>
      </c>
      <c r="F3045" s="9"/>
      <c r="G3045" s="8">
        <f t="shared" ref="G3045:G3108" si="104">H3045+(H3045*5%)</f>
        <v>2.2574999999999998E-2</v>
      </c>
      <c r="H3045" s="188">
        <v>2.1499999999999998E-2</v>
      </c>
      <c r="I3045" s="19">
        <f t="shared" si="103"/>
        <v>0</v>
      </c>
      <c r="L3045" s="131"/>
      <c r="M3045" s="131"/>
      <c r="N3045" s="131"/>
    </row>
    <row r="3046" spans="1:14" hidden="1">
      <c r="A3046" s="100" t="s">
        <v>862</v>
      </c>
      <c r="B3046" s="101" t="s">
        <v>5600</v>
      </c>
      <c r="C3046" s="115" t="s">
        <v>5601</v>
      </c>
      <c r="D3046" s="38"/>
      <c r="E3046" s="42">
        <v>1</v>
      </c>
      <c r="F3046" s="9"/>
      <c r="G3046" s="8">
        <f t="shared" si="104"/>
        <v>2.205E-2</v>
      </c>
      <c r="H3046" s="188">
        <v>2.1000000000000001E-2</v>
      </c>
      <c r="I3046" s="19">
        <f t="shared" si="103"/>
        <v>0</v>
      </c>
      <c r="L3046" s="131"/>
      <c r="M3046" s="131"/>
      <c r="N3046" s="131"/>
    </row>
    <row r="3047" spans="1:14" hidden="1">
      <c r="A3047" s="100" t="s">
        <v>862</v>
      </c>
      <c r="B3047" s="101" t="s">
        <v>5602</v>
      </c>
      <c r="C3047" s="115" t="s">
        <v>5603</v>
      </c>
      <c r="D3047" s="38"/>
      <c r="E3047" s="42">
        <v>1</v>
      </c>
      <c r="F3047" s="9"/>
      <c r="G3047" s="8">
        <f t="shared" si="104"/>
        <v>3.8324999999999998E-2</v>
      </c>
      <c r="H3047" s="188">
        <v>3.6499999999999998E-2</v>
      </c>
      <c r="I3047" s="19">
        <f t="shared" ref="I3047:I3110" si="105">G3047*F3047</f>
        <v>0</v>
      </c>
      <c r="L3047" s="131"/>
      <c r="M3047" s="131"/>
      <c r="N3047" s="131"/>
    </row>
    <row r="3048" spans="1:14" hidden="1">
      <c r="A3048" s="100" t="s">
        <v>862</v>
      </c>
      <c r="B3048" s="101" t="s">
        <v>5604</v>
      </c>
      <c r="C3048" s="115" t="s">
        <v>5605</v>
      </c>
      <c r="D3048" s="38"/>
      <c r="E3048" s="42">
        <v>1</v>
      </c>
      <c r="F3048" s="9"/>
      <c r="G3048" s="8">
        <f t="shared" si="104"/>
        <v>6.3E-3</v>
      </c>
      <c r="H3048" s="188">
        <v>6.0000000000000001E-3</v>
      </c>
      <c r="I3048" s="19">
        <f t="shared" si="105"/>
        <v>0</v>
      </c>
      <c r="L3048" s="131"/>
      <c r="M3048" s="131"/>
      <c r="N3048" s="131"/>
    </row>
    <row r="3049" spans="1:14" hidden="1">
      <c r="A3049" s="100" t="s">
        <v>862</v>
      </c>
      <c r="B3049" s="101" t="s">
        <v>5606</v>
      </c>
      <c r="C3049" s="115" t="s">
        <v>5607</v>
      </c>
      <c r="D3049" s="38"/>
      <c r="E3049" s="42">
        <v>1</v>
      </c>
      <c r="F3049" s="9"/>
      <c r="G3049" s="8">
        <f t="shared" si="104"/>
        <v>0.15329999999999999</v>
      </c>
      <c r="H3049" s="188">
        <v>0.14599999999999999</v>
      </c>
      <c r="I3049" s="19">
        <f t="shared" si="105"/>
        <v>0</v>
      </c>
      <c r="L3049" s="131"/>
      <c r="M3049" s="131"/>
      <c r="N3049" s="131"/>
    </row>
    <row r="3050" spans="1:14" hidden="1">
      <c r="A3050" s="100" t="s">
        <v>862</v>
      </c>
      <c r="B3050" s="101" t="s">
        <v>5608</v>
      </c>
      <c r="C3050" s="115" t="s">
        <v>5609</v>
      </c>
      <c r="D3050" s="38"/>
      <c r="E3050" s="42">
        <v>1</v>
      </c>
      <c r="F3050" s="9"/>
      <c r="G3050" s="8">
        <f t="shared" si="104"/>
        <v>0.14017499999999999</v>
      </c>
      <c r="H3050" s="188">
        <v>0.13350000000000001</v>
      </c>
      <c r="I3050" s="19">
        <f t="shared" si="105"/>
        <v>0</v>
      </c>
      <c r="L3050" s="131"/>
      <c r="M3050" s="131"/>
      <c r="N3050" s="131"/>
    </row>
    <row r="3051" spans="1:14" hidden="1">
      <c r="A3051" s="100" t="s">
        <v>862</v>
      </c>
      <c r="B3051" s="101" t="s">
        <v>5610</v>
      </c>
      <c r="C3051" s="115" t="s">
        <v>5611</v>
      </c>
      <c r="D3051" s="38"/>
      <c r="E3051" s="42">
        <v>1</v>
      </c>
      <c r="F3051" s="9"/>
      <c r="G3051" s="8">
        <f t="shared" si="104"/>
        <v>2.2574999999999998E-2</v>
      </c>
      <c r="H3051" s="188">
        <v>2.1499999999999998E-2</v>
      </c>
      <c r="I3051" s="19">
        <f t="shared" si="105"/>
        <v>0</v>
      </c>
      <c r="L3051" s="131"/>
      <c r="M3051" s="131"/>
      <c r="N3051" s="131"/>
    </row>
    <row r="3052" spans="1:14" hidden="1">
      <c r="A3052" s="100" t="s">
        <v>862</v>
      </c>
      <c r="B3052" s="101" t="s">
        <v>5612</v>
      </c>
      <c r="C3052" s="115" t="s">
        <v>5613</v>
      </c>
      <c r="D3052" s="38"/>
      <c r="E3052" s="42">
        <v>1</v>
      </c>
      <c r="F3052" s="9"/>
      <c r="G3052" s="8">
        <f t="shared" si="104"/>
        <v>4.9349999999999998E-2</v>
      </c>
      <c r="H3052" s="188">
        <v>4.7E-2</v>
      </c>
      <c r="I3052" s="19">
        <f t="shared" si="105"/>
        <v>0</v>
      </c>
      <c r="L3052" s="131"/>
      <c r="M3052" s="131"/>
      <c r="N3052" s="131"/>
    </row>
    <row r="3053" spans="1:14" hidden="1">
      <c r="A3053" s="100" t="s">
        <v>862</v>
      </c>
      <c r="B3053" s="101" t="s">
        <v>5614</v>
      </c>
      <c r="C3053" s="115" t="s">
        <v>5615</v>
      </c>
      <c r="D3053" s="38"/>
      <c r="E3053" s="42">
        <v>1</v>
      </c>
      <c r="F3053" s="9"/>
      <c r="G3053" s="8">
        <f t="shared" si="104"/>
        <v>0.194775</v>
      </c>
      <c r="H3053" s="188">
        <v>0.1855</v>
      </c>
      <c r="I3053" s="19">
        <f t="shared" si="105"/>
        <v>0</v>
      </c>
      <c r="L3053" s="131"/>
      <c r="M3053" s="131"/>
      <c r="N3053" s="131"/>
    </row>
    <row r="3054" spans="1:14" hidden="1">
      <c r="A3054" s="100" t="s">
        <v>862</v>
      </c>
      <c r="B3054" s="101" t="s">
        <v>5616</v>
      </c>
      <c r="C3054" s="115" t="s">
        <v>5617</v>
      </c>
      <c r="D3054" s="38"/>
      <c r="E3054" s="42">
        <v>1</v>
      </c>
      <c r="F3054" s="9"/>
      <c r="G3054" s="8">
        <f t="shared" si="104"/>
        <v>7.1400000000000005E-2</v>
      </c>
      <c r="H3054" s="188">
        <v>6.8000000000000005E-2</v>
      </c>
      <c r="I3054" s="19">
        <f t="shared" si="105"/>
        <v>0</v>
      </c>
      <c r="L3054" s="131"/>
      <c r="M3054" s="131"/>
      <c r="N3054" s="131"/>
    </row>
    <row r="3055" spans="1:14" hidden="1">
      <c r="A3055" s="100" t="s">
        <v>862</v>
      </c>
      <c r="B3055" s="101" t="s">
        <v>5618</v>
      </c>
      <c r="C3055" s="115" t="s">
        <v>5619</v>
      </c>
      <c r="D3055" s="38"/>
      <c r="E3055" s="42">
        <v>1</v>
      </c>
      <c r="F3055" s="9"/>
      <c r="G3055" s="8">
        <f t="shared" si="104"/>
        <v>0.1113</v>
      </c>
      <c r="H3055" s="188">
        <v>0.106</v>
      </c>
      <c r="I3055" s="19">
        <f t="shared" si="105"/>
        <v>0</v>
      </c>
      <c r="L3055" s="131"/>
      <c r="M3055" s="131"/>
      <c r="N3055" s="131"/>
    </row>
    <row r="3056" spans="1:14" hidden="1">
      <c r="A3056" s="100" t="s">
        <v>862</v>
      </c>
      <c r="B3056" s="101" t="s">
        <v>5620</v>
      </c>
      <c r="C3056" s="115" t="s">
        <v>5621</v>
      </c>
      <c r="D3056" s="38"/>
      <c r="E3056" s="42">
        <v>1</v>
      </c>
      <c r="F3056" s="9"/>
      <c r="G3056" s="8">
        <f t="shared" si="104"/>
        <v>3.0450000000000001E-2</v>
      </c>
      <c r="H3056" s="188">
        <v>2.9000000000000001E-2</v>
      </c>
      <c r="I3056" s="19">
        <f t="shared" si="105"/>
        <v>0</v>
      </c>
      <c r="L3056" s="131"/>
      <c r="M3056" s="131"/>
      <c r="N3056" s="131"/>
    </row>
    <row r="3057" spans="1:14" hidden="1">
      <c r="A3057" s="100" t="s">
        <v>862</v>
      </c>
      <c r="B3057" s="101" t="s">
        <v>5622</v>
      </c>
      <c r="C3057" s="115" t="s">
        <v>5623</v>
      </c>
      <c r="D3057" s="38"/>
      <c r="E3057" s="42">
        <v>1</v>
      </c>
      <c r="F3057" s="9"/>
      <c r="G3057" s="8">
        <f t="shared" si="104"/>
        <v>7.350000000000001E-2</v>
      </c>
      <c r="H3057" s="188">
        <v>7.0000000000000007E-2</v>
      </c>
      <c r="I3057" s="19">
        <f t="shared" si="105"/>
        <v>0</v>
      </c>
      <c r="L3057" s="131"/>
      <c r="M3057" s="131"/>
      <c r="N3057" s="131"/>
    </row>
    <row r="3058" spans="1:14" hidden="1">
      <c r="A3058" s="100" t="s">
        <v>862</v>
      </c>
      <c r="B3058" s="101" t="s">
        <v>5624</v>
      </c>
      <c r="C3058" s="115" t="s">
        <v>5625</v>
      </c>
      <c r="D3058" s="38"/>
      <c r="E3058" s="42">
        <v>1</v>
      </c>
      <c r="F3058" s="9"/>
      <c r="G3058" s="8">
        <f t="shared" si="104"/>
        <v>1.575E-2</v>
      </c>
      <c r="H3058" s="188">
        <v>1.4999999999999999E-2</v>
      </c>
      <c r="I3058" s="19">
        <f t="shared" si="105"/>
        <v>0</v>
      </c>
      <c r="L3058" s="131"/>
      <c r="M3058" s="131"/>
      <c r="N3058" s="131"/>
    </row>
    <row r="3059" spans="1:14" hidden="1">
      <c r="A3059" s="100" t="s">
        <v>862</v>
      </c>
      <c r="B3059" s="101" t="s">
        <v>5626</v>
      </c>
      <c r="C3059" s="115" t="s">
        <v>5627</v>
      </c>
      <c r="D3059" s="38"/>
      <c r="E3059" s="42">
        <v>1</v>
      </c>
      <c r="F3059" s="9"/>
      <c r="G3059" s="8">
        <f t="shared" si="104"/>
        <v>2.1000000000000001E-2</v>
      </c>
      <c r="H3059" s="188">
        <v>0.02</v>
      </c>
      <c r="I3059" s="19">
        <f t="shared" si="105"/>
        <v>0</v>
      </c>
      <c r="L3059" s="131"/>
      <c r="M3059" s="131"/>
      <c r="N3059" s="131"/>
    </row>
    <row r="3060" spans="1:14" hidden="1">
      <c r="A3060" s="100" t="s">
        <v>862</v>
      </c>
      <c r="B3060" s="101" t="s">
        <v>5628</v>
      </c>
      <c r="C3060" s="115" t="s">
        <v>5629</v>
      </c>
      <c r="D3060" s="38"/>
      <c r="E3060" s="42">
        <v>1</v>
      </c>
      <c r="F3060" s="9"/>
      <c r="G3060" s="8">
        <f t="shared" si="104"/>
        <v>1.575E-2</v>
      </c>
      <c r="H3060" s="188">
        <v>1.4999999999999999E-2</v>
      </c>
      <c r="I3060" s="19">
        <f t="shared" si="105"/>
        <v>0</v>
      </c>
      <c r="L3060" s="131"/>
      <c r="M3060" s="131"/>
      <c r="N3060" s="131"/>
    </row>
    <row r="3061" spans="1:14" hidden="1">
      <c r="A3061" s="100" t="s">
        <v>862</v>
      </c>
      <c r="B3061" s="101" t="s">
        <v>5630</v>
      </c>
      <c r="C3061" s="115" t="s">
        <v>5631</v>
      </c>
      <c r="D3061" s="38"/>
      <c r="E3061" s="42">
        <v>1</v>
      </c>
      <c r="F3061" s="9"/>
      <c r="G3061" s="8">
        <f t="shared" si="104"/>
        <v>2.9400000000000003E-2</v>
      </c>
      <c r="H3061" s="188">
        <v>2.8000000000000001E-2</v>
      </c>
      <c r="I3061" s="19">
        <f t="shared" si="105"/>
        <v>0</v>
      </c>
      <c r="L3061" s="131"/>
      <c r="M3061" s="131"/>
      <c r="N3061" s="131"/>
    </row>
    <row r="3062" spans="1:14" hidden="1">
      <c r="A3062" s="100" t="s">
        <v>862</v>
      </c>
      <c r="B3062" s="101" t="s">
        <v>5632</v>
      </c>
      <c r="C3062" s="115" t="s">
        <v>5633</v>
      </c>
      <c r="D3062" s="38"/>
      <c r="E3062" s="42">
        <v>1</v>
      </c>
      <c r="F3062" s="9"/>
      <c r="G3062" s="8">
        <f t="shared" si="104"/>
        <v>0.11025</v>
      </c>
      <c r="H3062" s="188">
        <v>0.105</v>
      </c>
      <c r="I3062" s="19">
        <f t="shared" si="105"/>
        <v>0</v>
      </c>
      <c r="L3062" s="131"/>
      <c r="M3062" s="131"/>
      <c r="N3062" s="131"/>
    </row>
    <row r="3063" spans="1:14" hidden="1">
      <c r="A3063" s="100" t="s">
        <v>862</v>
      </c>
      <c r="B3063" s="101" t="s">
        <v>5634</v>
      </c>
      <c r="C3063" s="115" t="s">
        <v>5635</v>
      </c>
      <c r="D3063" s="38"/>
      <c r="E3063" s="42">
        <v>1</v>
      </c>
      <c r="F3063" s="9"/>
      <c r="G3063" s="8">
        <f t="shared" si="104"/>
        <v>0.4032</v>
      </c>
      <c r="H3063" s="188">
        <v>0.38400000000000001</v>
      </c>
      <c r="I3063" s="19">
        <f t="shared" si="105"/>
        <v>0</v>
      </c>
      <c r="L3063" s="131"/>
      <c r="M3063" s="131"/>
      <c r="N3063" s="131"/>
    </row>
    <row r="3064" spans="1:14" hidden="1">
      <c r="A3064" s="100" t="s">
        <v>862</v>
      </c>
      <c r="B3064" s="101" t="s">
        <v>5636</v>
      </c>
      <c r="C3064" s="115" t="s">
        <v>5637</v>
      </c>
      <c r="D3064" s="38"/>
      <c r="E3064" s="42">
        <v>1</v>
      </c>
      <c r="F3064" s="9"/>
      <c r="G3064" s="8">
        <f t="shared" si="104"/>
        <v>9.7650000000000001E-2</v>
      </c>
      <c r="H3064" s="188">
        <v>9.2999999999999999E-2</v>
      </c>
      <c r="I3064" s="19">
        <f t="shared" si="105"/>
        <v>0</v>
      </c>
      <c r="L3064" s="131"/>
      <c r="M3064" s="131"/>
      <c r="N3064" s="131"/>
    </row>
    <row r="3065" spans="1:14" hidden="1">
      <c r="A3065" s="100" t="s">
        <v>862</v>
      </c>
      <c r="B3065" s="101" t="s">
        <v>5638</v>
      </c>
      <c r="C3065" s="115" t="s">
        <v>5639</v>
      </c>
      <c r="D3065" s="38"/>
      <c r="E3065" s="42">
        <v>1</v>
      </c>
      <c r="F3065" s="9"/>
      <c r="G3065" s="8">
        <f t="shared" si="104"/>
        <v>0.18007500000000001</v>
      </c>
      <c r="H3065" s="188">
        <v>0.17150000000000001</v>
      </c>
      <c r="I3065" s="19">
        <f t="shared" si="105"/>
        <v>0</v>
      </c>
      <c r="L3065" s="131"/>
      <c r="M3065" s="131"/>
      <c r="N3065" s="131"/>
    </row>
    <row r="3066" spans="1:14" hidden="1">
      <c r="A3066" s="100" t="s">
        <v>862</v>
      </c>
      <c r="B3066" s="101" t="s">
        <v>5640</v>
      </c>
      <c r="C3066" s="115" t="s">
        <v>5641</v>
      </c>
      <c r="D3066" s="38"/>
      <c r="E3066" s="42">
        <v>1</v>
      </c>
      <c r="F3066" s="9"/>
      <c r="G3066" s="8">
        <f t="shared" si="104"/>
        <v>0.138075</v>
      </c>
      <c r="H3066" s="188">
        <v>0.13150000000000001</v>
      </c>
      <c r="I3066" s="19">
        <f t="shared" si="105"/>
        <v>0</v>
      </c>
      <c r="L3066" s="131"/>
      <c r="M3066" s="131"/>
      <c r="N3066" s="131"/>
    </row>
    <row r="3067" spans="1:14" hidden="1">
      <c r="A3067" s="100" t="s">
        <v>862</v>
      </c>
      <c r="B3067" s="101" t="s">
        <v>5642</v>
      </c>
      <c r="C3067" s="115" t="s">
        <v>5643</v>
      </c>
      <c r="D3067" s="38"/>
      <c r="E3067" s="42">
        <v>1</v>
      </c>
      <c r="F3067" s="9"/>
      <c r="G3067" s="8">
        <f t="shared" si="104"/>
        <v>2.6250000000000002E-3</v>
      </c>
      <c r="H3067" s="188">
        <v>2.5000000000000001E-3</v>
      </c>
      <c r="I3067" s="19">
        <f t="shared" si="105"/>
        <v>0</v>
      </c>
      <c r="L3067" s="131"/>
      <c r="M3067" s="131"/>
      <c r="N3067" s="131"/>
    </row>
    <row r="3068" spans="1:14" hidden="1">
      <c r="A3068" s="100" t="s">
        <v>862</v>
      </c>
      <c r="B3068" s="101" t="s">
        <v>5644</v>
      </c>
      <c r="C3068" s="115" t="s">
        <v>5645</v>
      </c>
      <c r="D3068" s="38"/>
      <c r="E3068" s="42">
        <v>1</v>
      </c>
      <c r="F3068" s="9"/>
      <c r="G3068" s="8">
        <f t="shared" si="104"/>
        <v>7.8750000000000001E-3</v>
      </c>
      <c r="H3068" s="188">
        <v>7.4999999999999997E-3</v>
      </c>
      <c r="I3068" s="19">
        <f t="shared" si="105"/>
        <v>0</v>
      </c>
      <c r="L3068" s="131"/>
      <c r="M3068" s="131"/>
      <c r="N3068" s="131"/>
    </row>
    <row r="3069" spans="1:14" hidden="1">
      <c r="A3069" s="100" t="s">
        <v>862</v>
      </c>
      <c r="B3069" s="101" t="s">
        <v>5646</v>
      </c>
      <c r="C3069" s="115" t="s">
        <v>5647</v>
      </c>
      <c r="D3069" s="38"/>
      <c r="E3069" s="42">
        <v>1</v>
      </c>
      <c r="F3069" s="9"/>
      <c r="G3069" s="8">
        <f t="shared" si="104"/>
        <v>8.9250000000000006E-3</v>
      </c>
      <c r="H3069" s="188">
        <v>8.5000000000000006E-3</v>
      </c>
      <c r="I3069" s="19">
        <f t="shared" si="105"/>
        <v>0</v>
      </c>
      <c r="L3069" s="131"/>
      <c r="M3069" s="131"/>
      <c r="N3069" s="131"/>
    </row>
    <row r="3070" spans="1:14" hidden="1">
      <c r="A3070" s="100" t="s">
        <v>862</v>
      </c>
      <c r="B3070" s="101" t="s">
        <v>5648</v>
      </c>
      <c r="C3070" s="115" t="s">
        <v>5649</v>
      </c>
      <c r="D3070" s="38"/>
      <c r="E3070" s="42">
        <v>1</v>
      </c>
      <c r="F3070" s="9"/>
      <c r="G3070" s="8">
        <f t="shared" si="104"/>
        <v>3.4125000000000003E-2</v>
      </c>
      <c r="H3070" s="188">
        <v>3.2500000000000001E-2</v>
      </c>
      <c r="I3070" s="19">
        <f t="shared" si="105"/>
        <v>0</v>
      </c>
      <c r="L3070" s="131"/>
      <c r="M3070" s="131"/>
      <c r="N3070" s="131"/>
    </row>
    <row r="3071" spans="1:14" hidden="1">
      <c r="A3071" s="100" t="s">
        <v>862</v>
      </c>
      <c r="B3071" s="101" t="s">
        <v>5650</v>
      </c>
      <c r="C3071" s="115" t="s">
        <v>5651</v>
      </c>
      <c r="D3071" s="38"/>
      <c r="E3071" s="42">
        <v>1</v>
      </c>
      <c r="F3071" s="9"/>
      <c r="G3071" s="8">
        <f t="shared" si="104"/>
        <v>3.0450000000000001E-2</v>
      </c>
      <c r="H3071" s="188">
        <v>2.9000000000000001E-2</v>
      </c>
      <c r="I3071" s="19">
        <f t="shared" si="105"/>
        <v>0</v>
      </c>
      <c r="L3071" s="131"/>
      <c r="M3071" s="131"/>
      <c r="N3071" s="131"/>
    </row>
    <row r="3072" spans="1:14" hidden="1">
      <c r="A3072" s="100" t="s">
        <v>862</v>
      </c>
      <c r="B3072" s="101" t="s">
        <v>5652</v>
      </c>
      <c r="C3072" s="115" t="s">
        <v>5653</v>
      </c>
      <c r="D3072" s="38"/>
      <c r="E3072" s="42">
        <v>1</v>
      </c>
      <c r="F3072" s="9"/>
      <c r="G3072" s="8">
        <f t="shared" si="104"/>
        <v>4.725E-2</v>
      </c>
      <c r="H3072" s="188">
        <v>4.4999999999999998E-2</v>
      </c>
      <c r="I3072" s="19">
        <f t="shared" si="105"/>
        <v>0</v>
      </c>
      <c r="L3072" s="131"/>
      <c r="M3072" s="131"/>
      <c r="N3072" s="131"/>
    </row>
    <row r="3073" spans="1:14" hidden="1">
      <c r="A3073" s="100" t="s">
        <v>862</v>
      </c>
      <c r="B3073" s="101" t="s">
        <v>5654</v>
      </c>
      <c r="C3073" s="115" t="s">
        <v>5655</v>
      </c>
      <c r="D3073" s="38"/>
      <c r="E3073" s="42">
        <v>1</v>
      </c>
      <c r="F3073" s="9"/>
      <c r="G3073" s="8">
        <f t="shared" si="104"/>
        <v>5.2500000000000005E-2</v>
      </c>
      <c r="H3073" s="188">
        <v>0.05</v>
      </c>
      <c r="I3073" s="19">
        <f t="shared" si="105"/>
        <v>0</v>
      </c>
      <c r="L3073" s="131"/>
      <c r="M3073" s="131"/>
      <c r="N3073" s="131"/>
    </row>
    <row r="3074" spans="1:14" hidden="1">
      <c r="A3074" s="100" t="s">
        <v>862</v>
      </c>
      <c r="B3074" s="101" t="s">
        <v>5656</v>
      </c>
      <c r="C3074" s="115" t="s">
        <v>5657</v>
      </c>
      <c r="D3074" s="38"/>
      <c r="E3074" s="42">
        <v>1</v>
      </c>
      <c r="F3074" s="9"/>
      <c r="G3074" s="8">
        <f t="shared" si="104"/>
        <v>3.3075E-2</v>
      </c>
      <c r="H3074" s="188">
        <v>3.15E-2</v>
      </c>
      <c r="I3074" s="19">
        <f t="shared" si="105"/>
        <v>0</v>
      </c>
      <c r="L3074" s="131"/>
      <c r="M3074" s="131"/>
      <c r="N3074" s="131"/>
    </row>
    <row r="3075" spans="1:14" hidden="1">
      <c r="A3075" s="100" t="s">
        <v>862</v>
      </c>
      <c r="B3075" s="101" t="s">
        <v>5658</v>
      </c>
      <c r="C3075" s="115" t="s">
        <v>5659</v>
      </c>
      <c r="D3075" s="38"/>
      <c r="E3075" s="42">
        <v>1</v>
      </c>
      <c r="F3075" s="9"/>
      <c r="G3075" s="8">
        <f t="shared" si="104"/>
        <v>1.0500000000000001E-2</v>
      </c>
      <c r="H3075" s="188">
        <v>0.01</v>
      </c>
      <c r="I3075" s="19">
        <f t="shared" si="105"/>
        <v>0</v>
      </c>
      <c r="L3075" s="131"/>
      <c r="M3075" s="131"/>
      <c r="N3075" s="131"/>
    </row>
    <row r="3076" spans="1:14" hidden="1">
      <c r="A3076" s="100" t="s">
        <v>862</v>
      </c>
      <c r="B3076" s="101" t="s">
        <v>5660</v>
      </c>
      <c r="C3076" s="115" t="s">
        <v>5661</v>
      </c>
      <c r="D3076" s="38"/>
      <c r="E3076" s="42">
        <v>1</v>
      </c>
      <c r="F3076" s="9"/>
      <c r="G3076" s="8">
        <f t="shared" si="104"/>
        <v>2.52E-2</v>
      </c>
      <c r="H3076" s="188">
        <v>2.4E-2</v>
      </c>
      <c r="I3076" s="19">
        <f t="shared" si="105"/>
        <v>0</v>
      </c>
      <c r="L3076" s="131"/>
      <c r="M3076" s="131"/>
      <c r="N3076" s="131"/>
    </row>
    <row r="3077" spans="1:14" hidden="1">
      <c r="A3077" s="100" t="s">
        <v>862</v>
      </c>
      <c r="B3077" s="101" t="s">
        <v>5662</v>
      </c>
      <c r="C3077" s="115" t="s">
        <v>5663</v>
      </c>
      <c r="D3077" s="38"/>
      <c r="E3077" s="42">
        <v>1</v>
      </c>
      <c r="F3077" s="9"/>
      <c r="G3077" s="8">
        <f t="shared" si="104"/>
        <v>7.7699999999999991E-2</v>
      </c>
      <c r="H3077" s="188">
        <v>7.3999999999999996E-2</v>
      </c>
      <c r="I3077" s="19">
        <f t="shared" si="105"/>
        <v>0</v>
      </c>
      <c r="L3077" s="131"/>
      <c r="M3077" s="131"/>
      <c r="N3077" s="131"/>
    </row>
    <row r="3078" spans="1:14" hidden="1">
      <c r="A3078" s="100" t="s">
        <v>862</v>
      </c>
      <c r="B3078" s="101" t="s">
        <v>5664</v>
      </c>
      <c r="C3078" s="115" t="s">
        <v>5665</v>
      </c>
      <c r="D3078" s="38"/>
      <c r="E3078" s="42">
        <v>1</v>
      </c>
      <c r="F3078" s="9"/>
      <c r="G3078" s="8">
        <f t="shared" si="104"/>
        <v>2.2574999999999998E-2</v>
      </c>
      <c r="H3078" s="188">
        <v>2.1499999999999998E-2</v>
      </c>
      <c r="I3078" s="19">
        <f t="shared" si="105"/>
        <v>0</v>
      </c>
      <c r="L3078" s="131"/>
      <c r="M3078" s="131"/>
      <c r="N3078" s="131"/>
    </row>
    <row r="3079" spans="1:14" hidden="1">
      <c r="A3079" s="100" t="s">
        <v>862</v>
      </c>
      <c r="B3079" s="114" t="s">
        <v>5666</v>
      </c>
      <c r="C3079" s="116" t="s">
        <v>5667</v>
      </c>
      <c r="D3079" s="38"/>
      <c r="E3079" s="42">
        <v>1</v>
      </c>
      <c r="F3079" s="9"/>
      <c r="G3079" s="8">
        <f t="shared" si="104"/>
        <v>3.6750000000000005E-2</v>
      </c>
      <c r="H3079" s="188">
        <v>3.5000000000000003E-2</v>
      </c>
      <c r="I3079" s="19">
        <f t="shared" si="105"/>
        <v>0</v>
      </c>
      <c r="L3079" s="131"/>
      <c r="M3079" s="131"/>
      <c r="N3079" s="131"/>
    </row>
    <row r="3080" spans="1:14" hidden="1">
      <c r="A3080" s="100" t="s">
        <v>862</v>
      </c>
      <c r="B3080" s="101" t="s">
        <v>5668</v>
      </c>
      <c r="C3080" s="115" t="s">
        <v>5669</v>
      </c>
      <c r="D3080" s="38"/>
      <c r="E3080" s="42">
        <v>1</v>
      </c>
      <c r="F3080" s="9"/>
      <c r="G3080" s="8">
        <f t="shared" si="104"/>
        <v>6.0375000000000005E-2</v>
      </c>
      <c r="H3080" s="188">
        <v>5.7500000000000002E-2</v>
      </c>
      <c r="I3080" s="19">
        <f t="shared" si="105"/>
        <v>0</v>
      </c>
      <c r="L3080" s="131"/>
      <c r="M3080" s="131"/>
      <c r="N3080" s="131"/>
    </row>
    <row r="3081" spans="1:14" hidden="1">
      <c r="A3081" s="100" t="s">
        <v>862</v>
      </c>
      <c r="B3081" s="101" t="s">
        <v>5670</v>
      </c>
      <c r="C3081" s="115" t="s">
        <v>5671</v>
      </c>
      <c r="D3081" s="38"/>
      <c r="E3081" s="42">
        <v>1</v>
      </c>
      <c r="F3081" s="9"/>
      <c r="G3081" s="8">
        <f t="shared" si="104"/>
        <v>0.12914999999999999</v>
      </c>
      <c r="H3081" s="188">
        <v>0.123</v>
      </c>
      <c r="I3081" s="19">
        <f t="shared" si="105"/>
        <v>0</v>
      </c>
      <c r="L3081" s="131"/>
      <c r="M3081" s="131"/>
      <c r="N3081" s="131"/>
    </row>
    <row r="3082" spans="1:14" hidden="1">
      <c r="A3082" s="100" t="s">
        <v>862</v>
      </c>
      <c r="B3082" s="101" t="s">
        <v>5672</v>
      </c>
      <c r="C3082" s="115" t="s">
        <v>5673</v>
      </c>
      <c r="D3082" s="38"/>
      <c r="E3082" s="42">
        <v>1</v>
      </c>
      <c r="F3082" s="9"/>
      <c r="G3082" s="8">
        <f t="shared" si="104"/>
        <v>7.2450000000000001E-2</v>
      </c>
      <c r="H3082" s="188">
        <v>6.9000000000000006E-2</v>
      </c>
      <c r="I3082" s="19">
        <f t="shared" si="105"/>
        <v>0</v>
      </c>
      <c r="L3082" s="131"/>
      <c r="M3082" s="131"/>
      <c r="N3082" s="131"/>
    </row>
    <row r="3083" spans="1:14" hidden="1">
      <c r="A3083" s="100" t="s">
        <v>862</v>
      </c>
      <c r="B3083" s="101" t="s">
        <v>5674</v>
      </c>
      <c r="C3083" s="115" t="s">
        <v>5675</v>
      </c>
      <c r="D3083" s="38"/>
      <c r="E3083" s="42">
        <v>1</v>
      </c>
      <c r="F3083" s="9"/>
      <c r="G3083" s="8">
        <f t="shared" si="104"/>
        <v>3.15E-2</v>
      </c>
      <c r="H3083" s="188">
        <v>0.03</v>
      </c>
      <c r="I3083" s="19">
        <f t="shared" si="105"/>
        <v>0</v>
      </c>
      <c r="L3083" s="131"/>
      <c r="M3083" s="131"/>
      <c r="N3083" s="131"/>
    </row>
    <row r="3084" spans="1:14" hidden="1">
      <c r="A3084" s="100" t="s">
        <v>862</v>
      </c>
      <c r="B3084" s="101" t="s">
        <v>5676</v>
      </c>
      <c r="C3084" s="115" t="s">
        <v>5677</v>
      </c>
      <c r="D3084" s="38"/>
      <c r="E3084" s="42">
        <v>1</v>
      </c>
      <c r="F3084" s="9"/>
      <c r="G3084" s="8">
        <f t="shared" si="104"/>
        <v>8.4000000000000005E-2</v>
      </c>
      <c r="H3084" s="188">
        <v>0.08</v>
      </c>
      <c r="I3084" s="19">
        <f t="shared" si="105"/>
        <v>0</v>
      </c>
      <c r="L3084" s="131"/>
      <c r="M3084" s="131"/>
      <c r="N3084" s="131"/>
    </row>
    <row r="3085" spans="1:14" hidden="1">
      <c r="A3085" s="100" t="s">
        <v>862</v>
      </c>
      <c r="B3085" s="101" t="s">
        <v>5678</v>
      </c>
      <c r="C3085" s="115" t="s">
        <v>5679</v>
      </c>
      <c r="D3085" s="38"/>
      <c r="E3085" s="42">
        <v>1</v>
      </c>
      <c r="F3085" s="9"/>
      <c r="G3085" s="8">
        <f t="shared" si="104"/>
        <v>2.6250000000000002E-2</v>
      </c>
      <c r="H3085" s="188">
        <v>2.5000000000000001E-2</v>
      </c>
      <c r="I3085" s="19">
        <f t="shared" si="105"/>
        <v>0</v>
      </c>
      <c r="L3085" s="131"/>
      <c r="M3085" s="131"/>
      <c r="N3085" s="131"/>
    </row>
    <row r="3086" spans="1:14" hidden="1">
      <c r="A3086" s="100" t="s">
        <v>862</v>
      </c>
      <c r="B3086" s="114" t="s">
        <v>5680</v>
      </c>
      <c r="C3086" s="116" t="s">
        <v>5681</v>
      </c>
      <c r="D3086" s="38"/>
      <c r="E3086" s="42">
        <v>1</v>
      </c>
      <c r="F3086" s="9"/>
      <c r="G3086" s="8">
        <f t="shared" si="104"/>
        <v>3.15E-2</v>
      </c>
      <c r="H3086" s="188">
        <v>0.03</v>
      </c>
      <c r="I3086" s="19">
        <f t="shared" si="105"/>
        <v>0</v>
      </c>
      <c r="L3086" s="131"/>
      <c r="M3086" s="131"/>
      <c r="N3086" s="131"/>
    </row>
    <row r="3087" spans="1:14" hidden="1">
      <c r="A3087" s="100" t="s">
        <v>862</v>
      </c>
      <c r="B3087" s="101" t="s">
        <v>5682</v>
      </c>
      <c r="C3087" s="115" t="s">
        <v>5683</v>
      </c>
      <c r="D3087" s="38"/>
      <c r="E3087" s="42">
        <v>1</v>
      </c>
      <c r="F3087" s="9"/>
      <c r="G3087" s="8">
        <f t="shared" si="104"/>
        <v>1.0500000000000001E-2</v>
      </c>
      <c r="H3087" s="188">
        <v>0.01</v>
      </c>
      <c r="I3087" s="19">
        <f t="shared" si="105"/>
        <v>0</v>
      </c>
      <c r="L3087" s="131"/>
      <c r="M3087" s="131"/>
      <c r="N3087" s="131"/>
    </row>
    <row r="3088" spans="1:14" hidden="1">
      <c r="A3088" s="100" t="s">
        <v>862</v>
      </c>
      <c r="B3088" s="101" t="s">
        <v>5684</v>
      </c>
      <c r="C3088" s="115" t="s">
        <v>5685</v>
      </c>
      <c r="D3088" s="38"/>
      <c r="E3088" s="42">
        <v>1</v>
      </c>
      <c r="F3088" s="9"/>
      <c r="G3088" s="8">
        <f t="shared" si="104"/>
        <v>7.8750000000000001E-2</v>
      </c>
      <c r="H3088" s="188">
        <v>7.4999999999999997E-2</v>
      </c>
      <c r="I3088" s="19">
        <f t="shared" si="105"/>
        <v>0</v>
      </c>
      <c r="L3088" s="131"/>
      <c r="M3088" s="131"/>
      <c r="N3088" s="131"/>
    </row>
    <row r="3089" spans="1:14" hidden="1">
      <c r="A3089" s="100" t="s">
        <v>862</v>
      </c>
      <c r="B3089" s="101" t="s">
        <v>5686</v>
      </c>
      <c r="C3089" s="115" t="s">
        <v>5687</v>
      </c>
      <c r="D3089" s="38"/>
      <c r="E3089" s="42">
        <v>1</v>
      </c>
      <c r="F3089" s="9"/>
      <c r="G3089" s="8">
        <f t="shared" si="104"/>
        <v>2.6250000000000002E-2</v>
      </c>
      <c r="H3089" s="188">
        <v>2.5000000000000001E-2</v>
      </c>
      <c r="I3089" s="19">
        <f t="shared" si="105"/>
        <v>0</v>
      </c>
      <c r="L3089" s="131"/>
      <c r="M3089" s="131"/>
      <c r="N3089" s="131"/>
    </row>
    <row r="3090" spans="1:14" hidden="1">
      <c r="A3090" s="100" t="s">
        <v>862</v>
      </c>
      <c r="B3090" s="101" t="s">
        <v>5688</v>
      </c>
      <c r="C3090" s="115" t="s">
        <v>5689</v>
      </c>
      <c r="D3090" s="38"/>
      <c r="E3090" s="42">
        <v>1</v>
      </c>
      <c r="F3090" s="9"/>
      <c r="G3090" s="8">
        <f t="shared" si="104"/>
        <v>4.2000000000000003E-2</v>
      </c>
      <c r="H3090" s="188">
        <v>0.04</v>
      </c>
      <c r="I3090" s="19">
        <f t="shared" si="105"/>
        <v>0</v>
      </c>
      <c r="L3090" s="131"/>
      <c r="M3090" s="131"/>
      <c r="N3090" s="131"/>
    </row>
    <row r="3091" spans="1:14" hidden="1">
      <c r="A3091" s="100" t="s">
        <v>862</v>
      </c>
      <c r="B3091" s="101" t="s">
        <v>5690</v>
      </c>
      <c r="C3091" s="115" t="s">
        <v>5691</v>
      </c>
      <c r="D3091" s="38"/>
      <c r="E3091" s="42">
        <v>1</v>
      </c>
      <c r="F3091" s="9"/>
      <c r="G3091" s="8">
        <f t="shared" si="104"/>
        <v>6.3E-2</v>
      </c>
      <c r="H3091" s="188">
        <v>0.06</v>
      </c>
      <c r="I3091" s="19">
        <f t="shared" si="105"/>
        <v>0</v>
      </c>
      <c r="L3091" s="131"/>
      <c r="M3091" s="131"/>
      <c r="N3091" s="131"/>
    </row>
    <row r="3092" spans="1:14" hidden="1">
      <c r="A3092" s="100" t="s">
        <v>862</v>
      </c>
      <c r="B3092" s="114" t="s">
        <v>5692</v>
      </c>
      <c r="C3092" s="116" t="s">
        <v>5693</v>
      </c>
      <c r="D3092" s="38"/>
      <c r="E3092" s="42">
        <v>1</v>
      </c>
      <c r="F3092" s="9"/>
      <c r="G3092" s="8">
        <f t="shared" si="104"/>
        <v>1.575E-2</v>
      </c>
      <c r="H3092" s="188">
        <v>1.4999999999999999E-2</v>
      </c>
      <c r="I3092" s="19">
        <f t="shared" si="105"/>
        <v>0</v>
      </c>
      <c r="L3092" s="131"/>
      <c r="M3092" s="131"/>
      <c r="N3092" s="131"/>
    </row>
    <row r="3093" spans="1:14" hidden="1">
      <c r="A3093" s="100" t="s">
        <v>862</v>
      </c>
      <c r="B3093" s="101" t="s">
        <v>5694</v>
      </c>
      <c r="C3093" s="115" t="s">
        <v>5695</v>
      </c>
      <c r="D3093" s="38"/>
      <c r="E3093" s="42">
        <v>1</v>
      </c>
      <c r="F3093" s="9"/>
      <c r="G3093" s="8">
        <f t="shared" si="104"/>
        <v>0.10867499999999999</v>
      </c>
      <c r="H3093" s="188">
        <v>0.10349999999999999</v>
      </c>
      <c r="I3093" s="19">
        <f t="shared" si="105"/>
        <v>0</v>
      </c>
      <c r="L3093" s="131"/>
      <c r="M3093" s="131"/>
      <c r="N3093" s="131"/>
    </row>
    <row r="3094" spans="1:14" hidden="1">
      <c r="A3094" s="100" t="s">
        <v>862</v>
      </c>
      <c r="B3094" s="101" t="s">
        <v>5696</v>
      </c>
      <c r="C3094" s="115" t="s">
        <v>5697</v>
      </c>
      <c r="D3094" s="38"/>
      <c r="E3094" s="42">
        <v>1</v>
      </c>
      <c r="F3094" s="9"/>
      <c r="G3094" s="8">
        <f t="shared" si="104"/>
        <v>3.5175000000000005E-2</v>
      </c>
      <c r="H3094" s="188">
        <v>3.3500000000000002E-2</v>
      </c>
      <c r="I3094" s="19">
        <f t="shared" si="105"/>
        <v>0</v>
      </c>
      <c r="L3094" s="131"/>
      <c r="M3094" s="131"/>
      <c r="N3094" s="131"/>
    </row>
    <row r="3095" spans="1:14" hidden="1">
      <c r="A3095" s="100" t="s">
        <v>862</v>
      </c>
      <c r="B3095" s="102" t="s">
        <v>5698</v>
      </c>
      <c r="C3095" s="2" t="s">
        <v>5699</v>
      </c>
      <c r="D3095" s="38"/>
      <c r="E3095" s="42">
        <v>1</v>
      </c>
      <c r="F3095" s="9"/>
      <c r="G3095" s="8">
        <f t="shared" si="104"/>
        <v>0.24937499999999999</v>
      </c>
      <c r="H3095" s="188">
        <v>0.23749999999999999</v>
      </c>
      <c r="I3095" s="19">
        <f t="shared" si="105"/>
        <v>0</v>
      </c>
      <c r="L3095" s="131"/>
      <c r="M3095" s="131"/>
      <c r="N3095" s="131"/>
    </row>
    <row r="3096" spans="1:14" hidden="1">
      <c r="A3096" s="100" t="s">
        <v>862</v>
      </c>
      <c r="B3096" s="101" t="s">
        <v>5700</v>
      </c>
      <c r="C3096" s="115" t="s">
        <v>5701</v>
      </c>
      <c r="D3096" s="38"/>
      <c r="E3096" s="42">
        <v>1</v>
      </c>
      <c r="F3096" s="9"/>
      <c r="G3096" s="8">
        <f t="shared" si="104"/>
        <v>5.2500000000000005E-2</v>
      </c>
      <c r="H3096" s="188">
        <v>0.05</v>
      </c>
      <c r="I3096" s="19">
        <f t="shared" si="105"/>
        <v>0</v>
      </c>
      <c r="L3096" s="131"/>
      <c r="M3096" s="131"/>
      <c r="N3096" s="131"/>
    </row>
    <row r="3097" spans="1:14" hidden="1">
      <c r="A3097" s="100" t="s">
        <v>862</v>
      </c>
      <c r="B3097" s="101" t="s">
        <v>5702</v>
      </c>
      <c r="C3097" s="115" t="s">
        <v>5703</v>
      </c>
      <c r="D3097" s="38"/>
      <c r="E3097" s="42">
        <v>1</v>
      </c>
      <c r="F3097" s="9"/>
      <c r="G3097" s="8">
        <f t="shared" si="104"/>
        <v>0.27037500000000003</v>
      </c>
      <c r="H3097" s="188">
        <v>0.25750000000000001</v>
      </c>
      <c r="I3097" s="19">
        <f t="shared" si="105"/>
        <v>0</v>
      </c>
      <c r="L3097" s="131"/>
      <c r="M3097" s="131"/>
      <c r="N3097" s="131"/>
    </row>
    <row r="3098" spans="1:14" hidden="1">
      <c r="A3098" s="100" t="s">
        <v>862</v>
      </c>
      <c r="B3098" s="101" t="s">
        <v>5704</v>
      </c>
      <c r="C3098" s="115" t="s">
        <v>5705</v>
      </c>
      <c r="D3098" s="38"/>
      <c r="E3098" s="42">
        <v>1</v>
      </c>
      <c r="F3098" s="9"/>
      <c r="G3098" s="8">
        <f t="shared" si="104"/>
        <v>4.725E-2</v>
      </c>
      <c r="H3098" s="188">
        <v>4.4999999999999998E-2</v>
      </c>
      <c r="I3098" s="19">
        <f t="shared" si="105"/>
        <v>0</v>
      </c>
      <c r="L3098" s="131"/>
      <c r="M3098" s="131"/>
      <c r="N3098" s="131"/>
    </row>
    <row r="3099" spans="1:14" hidden="1">
      <c r="A3099" s="100" t="s">
        <v>862</v>
      </c>
      <c r="B3099" s="101" t="s">
        <v>5706</v>
      </c>
      <c r="C3099" s="115" t="s">
        <v>5707</v>
      </c>
      <c r="D3099" s="38"/>
      <c r="E3099" s="42">
        <v>1</v>
      </c>
      <c r="F3099" s="9"/>
      <c r="G3099" s="8">
        <f t="shared" si="104"/>
        <v>0.18375</v>
      </c>
      <c r="H3099" s="188">
        <v>0.17499999999999999</v>
      </c>
      <c r="I3099" s="19">
        <f t="shared" si="105"/>
        <v>0</v>
      </c>
      <c r="L3099" s="131"/>
      <c r="M3099" s="131"/>
      <c r="N3099" s="131"/>
    </row>
    <row r="3100" spans="1:14" hidden="1">
      <c r="A3100" s="100" t="s">
        <v>862</v>
      </c>
      <c r="B3100" s="101" t="s">
        <v>5708</v>
      </c>
      <c r="C3100" s="115" t="s">
        <v>5709</v>
      </c>
      <c r="D3100" s="38"/>
      <c r="E3100" s="42">
        <v>1</v>
      </c>
      <c r="F3100" s="9"/>
      <c r="G3100" s="8">
        <f t="shared" si="104"/>
        <v>0.1953</v>
      </c>
      <c r="H3100" s="188">
        <v>0.186</v>
      </c>
      <c r="I3100" s="19">
        <f t="shared" si="105"/>
        <v>0</v>
      </c>
      <c r="L3100" s="131"/>
      <c r="M3100" s="131"/>
      <c r="N3100" s="131"/>
    </row>
    <row r="3101" spans="1:14" hidden="1">
      <c r="A3101" s="100" t="s">
        <v>862</v>
      </c>
      <c r="B3101" s="101" t="s">
        <v>5710</v>
      </c>
      <c r="C3101" s="115" t="s">
        <v>5711</v>
      </c>
      <c r="D3101" s="38"/>
      <c r="E3101" s="42">
        <v>1</v>
      </c>
      <c r="F3101" s="9"/>
      <c r="G3101" s="8">
        <f t="shared" si="104"/>
        <v>0.25042500000000001</v>
      </c>
      <c r="H3101" s="188">
        <v>0.23849999999999999</v>
      </c>
      <c r="I3101" s="19">
        <f t="shared" si="105"/>
        <v>0</v>
      </c>
      <c r="L3101" s="131"/>
      <c r="M3101" s="131"/>
      <c r="N3101" s="131"/>
    </row>
    <row r="3102" spans="1:14" hidden="1">
      <c r="A3102" s="100" t="s">
        <v>862</v>
      </c>
      <c r="B3102" s="101" t="s">
        <v>5712</v>
      </c>
      <c r="C3102" s="115" t="s">
        <v>5713</v>
      </c>
      <c r="D3102" s="38"/>
      <c r="E3102" s="42">
        <v>1</v>
      </c>
      <c r="F3102" s="9"/>
      <c r="G3102" s="8">
        <f t="shared" si="104"/>
        <v>9.3975000000000003E-2</v>
      </c>
      <c r="H3102" s="188">
        <v>8.9499999999999996E-2</v>
      </c>
      <c r="I3102" s="19">
        <f t="shared" si="105"/>
        <v>0</v>
      </c>
      <c r="L3102" s="131"/>
      <c r="M3102" s="131"/>
      <c r="N3102" s="131"/>
    </row>
    <row r="3103" spans="1:14" hidden="1">
      <c r="A3103" s="100" t="s">
        <v>862</v>
      </c>
      <c r="B3103" s="101" t="s">
        <v>5714</v>
      </c>
      <c r="C3103" s="115" t="s">
        <v>5715</v>
      </c>
      <c r="D3103" s="38"/>
      <c r="E3103" s="42">
        <v>1</v>
      </c>
      <c r="F3103" s="9"/>
      <c r="G3103" s="8">
        <f t="shared" si="104"/>
        <v>7.7174999999999994E-2</v>
      </c>
      <c r="H3103" s="188">
        <v>7.3499999999999996E-2</v>
      </c>
      <c r="I3103" s="19">
        <f t="shared" si="105"/>
        <v>0</v>
      </c>
      <c r="L3103" s="131"/>
      <c r="M3103" s="131"/>
      <c r="N3103" s="131"/>
    </row>
    <row r="3104" spans="1:14" hidden="1">
      <c r="A3104" s="100" t="s">
        <v>862</v>
      </c>
      <c r="B3104" s="114" t="s">
        <v>5716</v>
      </c>
      <c r="C3104" s="116" t="s">
        <v>5717</v>
      </c>
      <c r="D3104" s="38"/>
      <c r="E3104" s="42">
        <v>1</v>
      </c>
      <c r="F3104" s="9"/>
      <c r="G3104" s="8">
        <f t="shared" si="104"/>
        <v>2.1000000000000001E-2</v>
      </c>
      <c r="H3104" s="188">
        <v>0.02</v>
      </c>
      <c r="I3104" s="19">
        <f t="shared" si="105"/>
        <v>0</v>
      </c>
      <c r="L3104" s="131"/>
      <c r="M3104" s="131"/>
      <c r="N3104" s="131"/>
    </row>
    <row r="3105" spans="1:14" hidden="1">
      <c r="A3105" s="100" t="s">
        <v>862</v>
      </c>
      <c r="B3105" s="101" t="s">
        <v>5718</v>
      </c>
      <c r="C3105" s="115" t="s">
        <v>5719</v>
      </c>
      <c r="D3105" s="38"/>
      <c r="E3105" s="42">
        <v>1</v>
      </c>
      <c r="F3105" s="9"/>
      <c r="G3105" s="8">
        <f t="shared" si="104"/>
        <v>0.15225</v>
      </c>
      <c r="H3105" s="188">
        <v>0.14499999999999999</v>
      </c>
      <c r="I3105" s="19">
        <f t="shared" si="105"/>
        <v>0</v>
      </c>
      <c r="L3105" s="131"/>
      <c r="M3105" s="131"/>
      <c r="N3105" s="131"/>
    </row>
    <row r="3106" spans="1:14" hidden="1">
      <c r="A3106" s="100" t="s">
        <v>862</v>
      </c>
      <c r="B3106" s="101" t="s">
        <v>5720</v>
      </c>
      <c r="C3106" s="115" t="s">
        <v>5721</v>
      </c>
      <c r="D3106" s="38"/>
      <c r="E3106" s="42">
        <v>1</v>
      </c>
      <c r="F3106" s="9"/>
      <c r="G3106" s="8">
        <f t="shared" si="104"/>
        <v>2.1000000000000001E-2</v>
      </c>
      <c r="H3106" s="188">
        <v>0.02</v>
      </c>
      <c r="I3106" s="19">
        <f t="shared" si="105"/>
        <v>0</v>
      </c>
      <c r="L3106" s="131"/>
      <c r="M3106" s="131"/>
      <c r="N3106" s="131"/>
    </row>
    <row r="3107" spans="1:14" hidden="1">
      <c r="A3107" s="100" t="s">
        <v>862</v>
      </c>
      <c r="B3107" s="101" t="s">
        <v>5722</v>
      </c>
      <c r="C3107" s="115" t="s">
        <v>5723</v>
      </c>
      <c r="D3107" s="38"/>
      <c r="E3107" s="42">
        <v>1</v>
      </c>
      <c r="F3107" s="9"/>
      <c r="G3107" s="8">
        <f t="shared" si="104"/>
        <v>0.27982499999999999</v>
      </c>
      <c r="H3107" s="188">
        <v>0.26650000000000001</v>
      </c>
      <c r="I3107" s="19">
        <f t="shared" si="105"/>
        <v>0</v>
      </c>
      <c r="L3107" s="131"/>
      <c r="M3107" s="131"/>
      <c r="N3107" s="131"/>
    </row>
    <row r="3108" spans="1:14" hidden="1">
      <c r="A3108" s="100" t="s">
        <v>862</v>
      </c>
      <c r="B3108" s="101" t="s">
        <v>5724</v>
      </c>
      <c r="C3108" s="115" t="s">
        <v>5725</v>
      </c>
      <c r="D3108" s="38"/>
      <c r="E3108" s="42">
        <v>1</v>
      </c>
      <c r="F3108" s="9"/>
      <c r="G3108" s="8">
        <f t="shared" si="104"/>
        <v>2.3625E-2</v>
      </c>
      <c r="H3108" s="188">
        <v>2.2499999999999999E-2</v>
      </c>
      <c r="I3108" s="19">
        <f t="shared" si="105"/>
        <v>0</v>
      </c>
      <c r="L3108" s="131"/>
      <c r="M3108" s="131"/>
      <c r="N3108" s="131"/>
    </row>
    <row r="3109" spans="1:14" hidden="1">
      <c r="A3109" s="100" t="s">
        <v>862</v>
      </c>
      <c r="B3109" s="101" t="s">
        <v>5726</v>
      </c>
      <c r="C3109" s="115" t="s">
        <v>5727</v>
      </c>
      <c r="D3109" s="38"/>
      <c r="E3109" s="42">
        <v>1</v>
      </c>
      <c r="F3109" s="9"/>
      <c r="G3109" s="8">
        <f t="shared" ref="G3109:G3172" si="106">H3109+(H3109*5%)</f>
        <v>7.035000000000001E-2</v>
      </c>
      <c r="H3109" s="188">
        <v>6.7000000000000004E-2</v>
      </c>
      <c r="I3109" s="19">
        <f t="shared" si="105"/>
        <v>0</v>
      </c>
      <c r="L3109" s="131"/>
      <c r="M3109" s="131"/>
      <c r="N3109" s="131"/>
    </row>
    <row r="3110" spans="1:14" hidden="1">
      <c r="A3110" s="100" t="s">
        <v>862</v>
      </c>
      <c r="B3110" s="101" t="s">
        <v>5728</v>
      </c>
      <c r="C3110" s="115" t="s">
        <v>5729</v>
      </c>
      <c r="D3110" s="38"/>
      <c r="E3110" s="42">
        <v>1</v>
      </c>
      <c r="F3110" s="9"/>
      <c r="G3110" s="8">
        <f t="shared" si="106"/>
        <v>0.17272500000000002</v>
      </c>
      <c r="H3110" s="188">
        <v>0.16450000000000001</v>
      </c>
      <c r="I3110" s="19">
        <f t="shared" si="105"/>
        <v>0</v>
      </c>
      <c r="L3110" s="131"/>
      <c r="M3110" s="131"/>
      <c r="N3110" s="131"/>
    </row>
    <row r="3111" spans="1:14" hidden="1">
      <c r="A3111" s="100" t="s">
        <v>862</v>
      </c>
      <c r="B3111" s="101" t="s">
        <v>5730</v>
      </c>
      <c r="C3111" s="115" t="s">
        <v>5731</v>
      </c>
      <c r="D3111" s="38"/>
      <c r="E3111" s="42">
        <v>1</v>
      </c>
      <c r="F3111" s="9"/>
      <c r="G3111" s="8">
        <f t="shared" si="106"/>
        <v>0.43312499999999998</v>
      </c>
      <c r="H3111" s="188">
        <v>0.41249999999999998</v>
      </c>
      <c r="I3111" s="19">
        <f t="shared" ref="I3111:I3174" si="107">G3111*F3111</f>
        <v>0</v>
      </c>
      <c r="L3111" s="131"/>
      <c r="M3111" s="131"/>
      <c r="N3111" s="131"/>
    </row>
    <row r="3112" spans="1:14" hidden="1">
      <c r="A3112" s="100" t="s">
        <v>862</v>
      </c>
      <c r="B3112" s="101" t="s">
        <v>5732</v>
      </c>
      <c r="C3112" s="115" t="s">
        <v>5733</v>
      </c>
      <c r="D3112" s="38"/>
      <c r="E3112" s="42">
        <v>1</v>
      </c>
      <c r="F3112" s="9"/>
      <c r="G3112" s="8">
        <f t="shared" si="106"/>
        <v>9.9749999999999995E-3</v>
      </c>
      <c r="H3112" s="188">
        <v>9.4999999999999998E-3</v>
      </c>
      <c r="I3112" s="19">
        <f t="shared" si="107"/>
        <v>0</v>
      </c>
      <c r="L3112" s="131"/>
      <c r="M3112" s="131"/>
      <c r="N3112" s="131"/>
    </row>
    <row r="3113" spans="1:14" hidden="1">
      <c r="A3113" s="100" t="s">
        <v>862</v>
      </c>
      <c r="B3113" s="101" t="s">
        <v>5734</v>
      </c>
      <c r="C3113" s="115" t="s">
        <v>5735</v>
      </c>
      <c r="D3113" s="38"/>
      <c r="E3113" s="42">
        <v>1</v>
      </c>
      <c r="F3113" s="9"/>
      <c r="G3113" s="8">
        <f t="shared" si="106"/>
        <v>7.035000000000001E-2</v>
      </c>
      <c r="H3113" s="188">
        <v>6.7000000000000004E-2</v>
      </c>
      <c r="I3113" s="19">
        <f t="shared" si="107"/>
        <v>0</v>
      </c>
      <c r="L3113" s="131"/>
      <c r="M3113" s="131"/>
      <c r="N3113" s="131"/>
    </row>
    <row r="3114" spans="1:14" hidden="1">
      <c r="A3114" s="100" t="s">
        <v>862</v>
      </c>
      <c r="B3114" s="101" t="s">
        <v>5736</v>
      </c>
      <c r="C3114" s="115" t="s">
        <v>5737</v>
      </c>
      <c r="D3114" s="38"/>
      <c r="E3114" s="42">
        <v>1</v>
      </c>
      <c r="F3114" s="9"/>
      <c r="G3114" s="8">
        <f t="shared" si="106"/>
        <v>3.8324999999999998E-2</v>
      </c>
      <c r="H3114" s="188">
        <v>3.6499999999999998E-2</v>
      </c>
      <c r="I3114" s="19">
        <f t="shared" si="107"/>
        <v>0</v>
      </c>
      <c r="L3114" s="131"/>
      <c r="M3114" s="131"/>
      <c r="N3114" s="131"/>
    </row>
    <row r="3115" spans="1:14" hidden="1">
      <c r="A3115" s="100" t="s">
        <v>862</v>
      </c>
      <c r="B3115" s="101" t="s">
        <v>5738</v>
      </c>
      <c r="C3115" s="115" t="s">
        <v>5739</v>
      </c>
      <c r="D3115" s="38"/>
      <c r="E3115" s="42">
        <v>1</v>
      </c>
      <c r="F3115" s="9"/>
      <c r="G3115" s="8">
        <f t="shared" si="106"/>
        <v>1.9949999999999999E-2</v>
      </c>
      <c r="H3115" s="188">
        <v>1.9E-2</v>
      </c>
      <c r="I3115" s="19">
        <f t="shared" si="107"/>
        <v>0</v>
      </c>
      <c r="L3115" s="131"/>
      <c r="M3115" s="131"/>
      <c r="N3115" s="131"/>
    </row>
    <row r="3116" spans="1:14" hidden="1">
      <c r="A3116" s="100" t="s">
        <v>862</v>
      </c>
      <c r="B3116" s="114" t="s">
        <v>5740</v>
      </c>
      <c r="C3116" s="116" t="s">
        <v>5741</v>
      </c>
      <c r="D3116" s="38"/>
      <c r="E3116" s="42">
        <v>1</v>
      </c>
      <c r="F3116" s="9"/>
      <c r="G3116" s="8">
        <f t="shared" si="106"/>
        <v>1.0500000000000001E-2</v>
      </c>
      <c r="H3116" s="188">
        <v>0.01</v>
      </c>
      <c r="I3116" s="19">
        <f t="shared" si="107"/>
        <v>0</v>
      </c>
      <c r="L3116" s="131"/>
      <c r="M3116" s="131"/>
      <c r="N3116" s="131"/>
    </row>
    <row r="3117" spans="1:14" hidden="1">
      <c r="A3117" s="100" t="s">
        <v>862</v>
      </c>
      <c r="B3117" s="101" t="s">
        <v>5742</v>
      </c>
      <c r="C3117" s="115" t="s">
        <v>5743</v>
      </c>
      <c r="D3117" s="38"/>
      <c r="E3117" s="42">
        <v>1</v>
      </c>
      <c r="F3117" s="9"/>
      <c r="G3117" s="8">
        <f t="shared" si="106"/>
        <v>3.6750000000000005E-2</v>
      </c>
      <c r="H3117" s="188">
        <v>3.5000000000000003E-2</v>
      </c>
      <c r="I3117" s="19">
        <f t="shared" si="107"/>
        <v>0</v>
      </c>
      <c r="L3117" s="131"/>
      <c r="M3117" s="131"/>
      <c r="N3117" s="131"/>
    </row>
    <row r="3118" spans="1:14" hidden="1">
      <c r="A3118" s="100" t="s">
        <v>862</v>
      </c>
      <c r="B3118" s="101" t="s">
        <v>5744</v>
      </c>
      <c r="C3118" s="115" t="s">
        <v>5745</v>
      </c>
      <c r="D3118" s="38"/>
      <c r="E3118" s="42">
        <v>1</v>
      </c>
      <c r="F3118" s="9"/>
      <c r="G3118" s="8">
        <f t="shared" si="106"/>
        <v>2.1000000000000001E-2</v>
      </c>
      <c r="H3118" s="188">
        <v>0.02</v>
      </c>
      <c r="I3118" s="19">
        <f t="shared" si="107"/>
        <v>0</v>
      </c>
      <c r="L3118" s="131"/>
      <c r="M3118" s="131"/>
      <c r="N3118" s="131"/>
    </row>
    <row r="3119" spans="1:14" hidden="1">
      <c r="A3119" s="100" t="s">
        <v>862</v>
      </c>
      <c r="B3119" s="101" t="s">
        <v>5746</v>
      </c>
      <c r="C3119" s="115" t="s">
        <v>5747</v>
      </c>
      <c r="D3119" s="38"/>
      <c r="E3119" s="42">
        <v>1</v>
      </c>
      <c r="F3119" s="9"/>
      <c r="G3119" s="8">
        <f t="shared" si="106"/>
        <v>7.8750000000000001E-2</v>
      </c>
      <c r="H3119" s="188">
        <v>7.4999999999999997E-2</v>
      </c>
      <c r="I3119" s="19">
        <f t="shared" si="107"/>
        <v>0</v>
      </c>
      <c r="L3119" s="131"/>
      <c r="M3119" s="131"/>
      <c r="N3119" s="131"/>
    </row>
    <row r="3120" spans="1:14" hidden="1">
      <c r="A3120" s="100" t="s">
        <v>862</v>
      </c>
      <c r="B3120" s="101" t="s">
        <v>5748</v>
      </c>
      <c r="C3120" s="115" t="s">
        <v>5749</v>
      </c>
      <c r="D3120" s="38"/>
      <c r="E3120" s="42">
        <v>1</v>
      </c>
      <c r="F3120" s="9"/>
      <c r="G3120" s="8">
        <f t="shared" si="106"/>
        <v>2.2574999999999998E-2</v>
      </c>
      <c r="H3120" s="188">
        <v>2.1499999999999998E-2</v>
      </c>
      <c r="I3120" s="19">
        <f t="shared" si="107"/>
        <v>0</v>
      </c>
      <c r="L3120" s="131"/>
      <c r="M3120" s="131"/>
      <c r="N3120" s="131"/>
    </row>
    <row r="3121" spans="1:14" hidden="1">
      <c r="A3121" s="100" t="s">
        <v>862</v>
      </c>
      <c r="B3121" s="101" t="s">
        <v>5750</v>
      </c>
      <c r="C3121" s="115" t="s">
        <v>5751</v>
      </c>
      <c r="D3121" s="38"/>
      <c r="E3121" s="42">
        <v>1</v>
      </c>
      <c r="F3121" s="9"/>
      <c r="G3121" s="8">
        <f t="shared" si="106"/>
        <v>1.7325E-2</v>
      </c>
      <c r="H3121" s="188">
        <v>1.6500000000000001E-2</v>
      </c>
      <c r="I3121" s="19">
        <f t="shared" si="107"/>
        <v>0</v>
      </c>
      <c r="L3121" s="131"/>
      <c r="M3121" s="131"/>
      <c r="N3121" s="131"/>
    </row>
    <row r="3122" spans="1:14" hidden="1">
      <c r="A3122" s="100" t="s">
        <v>862</v>
      </c>
      <c r="B3122" s="101" t="s">
        <v>5752</v>
      </c>
      <c r="C3122" s="115" t="s">
        <v>5753</v>
      </c>
      <c r="D3122" s="38"/>
      <c r="E3122" s="42">
        <v>1</v>
      </c>
      <c r="F3122" s="9"/>
      <c r="G3122" s="8">
        <f t="shared" si="106"/>
        <v>6.9824999999999998E-2</v>
      </c>
      <c r="H3122" s="188">
        <v>6.6500000000000004E-2</v>
      </c>
      <c r="I3122" s="19">
        <f t="shared" si="107"/>
        <v>0</v>
      </c>
      <c r="L3122" s="131"/>
      <c r="M3122" s="131"/>
      <c r="N3122" s="131"/>
    </row>
    <row r="3123" spans="1:14" hidden="1">
      <c r="A3123" s="100" t="s">
        <v>862</v>
      </c>
      <c r="B3123" s="101" t="s">
        <v>5754</v>
      </c>
      <c r="C3123" s="115" t="s">
        <v>5755</v>
      </c>
      <c r="D3123" s="38"/>
      <c r="E3123" s="42">
        <v>1</v>
      </c>
      <c r="F3123" s="9"/>
      <c r="G3123" s="8">
        <f t="shared" si="106"/>
        <v>1.3125000000000001E-2</v>
      </c>
      <c r="H3123" s="188">
        <v>1.2500000000000001E-2</v>
      </c>
      <c r="I3123" s="19">
        <f t="shared" si="107"/>
        <v>0</v>
      </c>
      <c r="L3123" s="131"/>
      <c r="M3123" s="131"/>
      <c r="N3123" s="131"/>
    </row>
    <row r="3124" spans="1:14" hidden="1">
      <c r="A3124" s="100" t="s">
        <v>862</v>
      </c>
      <c r="B3124" s="101" t="s">
        <v>5756</v>
      </c>
      <c r="C3124" s="115" t="s">
        <v>5757</v>
      </c>
      <c r="D3124" s="38"/>
      <c r="E3124" s="42">
        <v>1</v>
      </c>
      <c r="F3124" s="9"/>
      <c r="G3124" s="8">
        <f t="shared" si="106"/>
        <v>1.7325E-2</v>
      </c>
      <c r="H3124" s="188">
        <v>1.6500000000000001E-2</v>
      </c>
      <c r="I3124" s="19">
        <f t="shared" si="107"/>
        <v>0</v>
      </c>
      <c r="L3124" s="131"/>
      <c r="M3124" s="131"/>
      <c r="N3124" s="131"/>
    </row>
    <row r="3125" spans="1:14" hidden="1">
      <c r="A3125" s="100" t="s">
        <v>862</v>
      </c>
      <c r="B3125" s="101" t="s">
        <v>5758</v>
      </c>
      <c r="C3125" s="115" t="s">
        <v>5759</v>
      </c>
      <c r="D3125" s="38"/>
      <c r="E3125" s="42">
        <v>1</v>
      </c>
      <c r="F3125" s="9"/>
      <c r="G3125" s="8">
        <f t="shared" si="106"/>
        <v>0.16170000000000001</v>
      </c>
      <c r="H3125" s="188">
        <v>0.154</v>
      </c>
      <c r="I3125" s="19">
        <f t="shared" si="107"/>
        <v>0</v>
      </c>
      <c r="L3125" s="131"/>
      <c r="M3125" s="131"/>
      <c r="N3125" s="131"/>
    </row>
    <row r="3126" spans="1:14" hidden="1">
      <c r="A3126" s="100" t="s">
        <v>862</v>
      </c>
      <c r="B3126" s="101" t="s">
        <v>5760</v>
      </c>
      <c r="C3126" s="115" t="s">
        <v>5761</v>
      </c>
      <c r="D3126" s="38" t="s">
        <v>945</v>
      </c>
      <c r="E3126" s="42">
        <v>1</v>
      </c>
      <c r="F3126" s="9"/>
      <c r="G3126" s="8">
        <f t="shared" si="106"/>
        <v>45.669750000000001</v>
      </c>
      <c r="H3126" s="188">
        <v>43.494999999999997</v>
      </c>
      <c r="I3126" s="19">
        <f t="shared" si="107"/>
        <v>0</v>
      </c>
      <c r="L3126" s="131"/>
      <c r="M3126" s="131"/>
      <c r="N3126" s="131"/>
    </row>
    <row r="3127" spans="1:14" hidden="1">
      <c r="A3127" s="100" t="s">
        <v>862</v>
      </c>
      <c r="B3127" s="101" t="s">
        <v>5762</v>
      </c>
      <c r="C3127" s="115" t="s">
        <v>5763</v>
      </c>
      <c r="D3127" s="38" t="s">
        <v>945</v>
      </c>
      <c r="E3127" s="42">
        <v>1</v>
      </c>
      <c r="F3127" s="9"/>
      <c r="G3127" s="8">
        <f t="shared" si="106"/>
        <v>2.17875</v>
      </c>
      <c r="H3127" s="188">
        <v>2.0750000000000002</v>
      </c>
      <c r="I3127" s="19">
        <f t="shared" si="107"/>
        <v>0</v>
      </c>
      <c r="L3127" s="131"/>
      <c r="M3127" s="131"/>
      <c r="N3127" s="131"/>
    </row>
    <row r="3128" spans="1:14" hidden="1">
      <c r="A3128" s="100" t="s">
        <v>862</v>
      </c>
      <c r="B3128" s="101" t="s">
        <v>5764</v>
      </c>
      <c r="C3128" s="115" t="s">
        <v>5765</v>
      </c>
      <c r="D3128" s="38" t="s">
        <v>945</v>
      </c>
      <c r="E3128" s="42">
        <v>1</v>
      </c>
      <c r="F3128" s="9"/>
      <c r="G3128" s="8">
        <f t="shared" si="106"/>
        <v>36.813000000000002</v>
      </c>
      <c r="H3128" s="188">
        <v>35.06</v>
      </c>
      <c r="I3128" s="19">
        <f t="shared" si="107"/>
        <v>0</v>
      </c>
      <c r="L3128" s="131"/>
      <c r="M3128" s="131"/>
      <c r="N3128" s="131"/>
    </row>
    <row r="3129" spans="1:14" hidden="1">
      <c r="A3129" s="100" t="s">
        <v>862</v>
      </c>
      <c r="B3129" s="101" t="s">
        <v>5766</v>
      </c>
      <c r="C3129" s="115" t="s">
        <v>5767</v>
      </c>
      <c r="D3129" s="38" t="s">
        <v>945</v>
      </c>
      <c r="E3129" s="42">
        <v>1</v>
      </c>
      <c r="F3129" s="9"/>
      <c r="G3129" s="8">
        <f t="shared" si="106"/>
        <v>29.515499999999999</v>
      </c>
      <c r="H3129" s="188">
        <v>28.11</v>
      </c>
      <c r="I3129" s="19">
        <f t="shared" si="107"/>
        <v>0</v>
      </c>
      <c r="L3129" s="131"/>
      <c r="M3129" s="131"/>
      <c r="N3129" s="131"/>
    </row>
    <row r="3130" spans="1:14" hidden="1">
      <c r="A3130" s="100" t="s">
        <v>862</v>
      </c>
      <c r="B3130" s="101" t="s">
        <v>5768</v>
      </c>
      <c r="C3130" s="115" t="s">
        <v>5769</v>
      </c>
      <c r="D3130" s="38"/>
      <c r="E3130" s="42">
        <v>1</v>
      </c>
      <c r="F3130" s="9"/>
      <c r="G3130" s="8">
        <f t="shared" si="106"/>
        <v>9.6416249999999994</v>
      </c>
      <c r="H3130" s="188">
        <v>9.1824999999999992</v>
      </c>
      <c r="I3130" s="19">
        <f t="shared" si="107"/>
        <v>0</v>
      </c>
      <c r="L3130" s="131"/>
      <c r="M3130" s="131"/>
      <c r="N3130" s="131"/>
    </row>
    <row r="3131" spans="1:14">
      <c r="A3131" s="100" t="s">
        <v>862</v>
      </c>
      <c r="B3131" s="101" t="s">
        <v>5770</v>
      </c>
      <c r="C3131" s="115" t="s">
        <v>5771</v>
      </c>
      <c r="D3131" s="38"/>
      <c r="E3131" s="42">
        <v>1</v>
      </c>
      <c r="F3131" s="9">
        <v>8</v>
      </c>
      <c r="G3131" s="8">
        <f t="shared" si="106"/>
        <v>9.8642250000000011</v>
      </c>
      <c r="H3131" s="188">
        <v>9.3945000000000007</v>
      </c>
      <c r="I3131" s="19">
        <f t="shared" si="107"/>
        <v>78.913800000000009</v>
      </c>
      <c r="L3131" s="131"/>
      <c r="M3131" s="131"/>
      <c r="N3131" s="131"/>
    </row>
    <row r="3132" spans="1:14">
      <c r="A3132" s="100" t="s">
        <v>862</v>
      </c>
      <c r="B3132" s="101" t="s">
        <v>5772</v>
      </c>
      <c r="C3132" s="115" t="s">
        <v>5773</v>
      </c>
      <c r="D3132" s="38"/>
      <c r="E3132" s="42">
        <v>1</v>
      </c>
      <c r="F3132" s="9">
        <v>22</v>
      </c>
      <c r="G3132" s="8">
        <f t="shared" si="106"/>
        <v>10.170299999999999</v>
      </c>
      <c r="H3132" s="188">
        <v>9.6859999999999999</v>
      </c>
      <c r="I3132" s="19">
        <f t="shared" si="107"/>
        <v>223.74659999999997</v>
      </c>
      <c r="L3132" s="131"/>
      <c r="M3132" s="131"/>
      <c r="N3132" s="131"/>
    </row>
    <row r="3133" spans="1:14">
      <c r="A3133" s="100" t="s">
        <v>862</v>
      </c>
      <c r="B3133" s="101" t="s">
        <v>5774</v>
      </c>
      <c r="C3133" s="115" t="s">
        <v>5775</v>
      </c>
      <c r="D3133" s="38"/>
      <c r="E3133" s="42">
        <v>1</v>
      </c>
      <c r="F3133" s="9">
        <v>2</v>
      </c>
      <c r="G3133" s="8">
        <f t="shared" si="106"/>
        <v>10.810275000000001</v>
      </c>
      <c r="H3133" s="188">
        <v>10.295500000000001</v>
      </c>
      <c r="I3133" s="19">
        <f t="shared" si="107"/>
        <v>21.620550000000001</v>
      </c>
      <c r="L3133" s="131"/>
      <c r="M3133" s="131"/>
      <c r="N3133" s="131"/>
    </row>
    <row r="3134" spans="1:14" hidden="1">
      <c r="A3134" s="100" t="s">
        <v>862</v>
      </c>
      <c r="B3134" s="101" t="s">
        <v>5776</v>
      </c>
      <c r="C3134" s="115" t="s">
        <v>5777</v>
      </c>
      <c r="D3134" s="38"/>
      <c r="E3134" s="42">
        <v>1</v>
      </c>
      <c r="F3134" s="9"/>
      <c r="G3134" s="8">
        <f t="shared" si="106"/>
        <v>11.408250000000001</v>
      </c>
      <c r="H3134" s="188">
        <v>10.865</v>
      </c>
      <c r="I3134" s="19">
        <f t="shared" si="107"/>
        <v>0</v>
      </c>
      <c r="L3134" s="131"/>
      <c r="M3134" s="131"/>
      <c r="N3134" s="131"/>
    </row>
    <row r="3135" spans="1:14" hidden="1">
      <c r="A3135" s="100" t="s">
        <v>862</v>
      </c>
      <c r="B3135" s="101" t="s">
        <v>5778</v>
      </c>
      <c r="C3135" s="115" t="s">
        <v>5779</v>
      </c>
      <c r="D3135" s="38"/>
      <c r="E3135" s="42">
        <v>1</v>
      </c>
      <c r="F3135" s="9"/>
      <c r="G3135" s="8">
        <f t="shared" si="106"/>
        <v>13.091925</v>
      </c>
      <c r="H3135" s="188">
        <v>12.468500000000001</v>
      </c>
      <c r="I3135" s="19">
        <f t="shared" si="107"/>
        <v>0</v>
      </c>
      <c r="L3135" s="131"/>
      <c r="M3135" s="131"/>
      <c r="N3135" s="131"/>
    </row>
    <row r="3136" spans="1:14">
      <c r="A3136" s="100" t="s">
        <v>862</v>
      </c>
      <c r="B3136" s="101" t="s">
        <v>5780</v>
      </c>
      <c r="C3136" s="115" t="s">
        <v>5781</v>
      </c>
      <c r="D3136" s="38"/>
      <c r="E3136" s="42">
        <v>1</v>
      </c>
      <c r="F3136" s="9">
        <f>14+10</f>
        <v>24</v>
      </c>
      <c r="G3136" s="8">
        <f t="shared" si="106"/>
        <v>11.742150000000001</v>
      </c>
      <c r="H3136" s="188">
        <v>11.183</v>
      </c>
      <c r="I3136" s="19">
        <f t="shared" si="107"/>
        <v>281.8116</v>
      </c>
      <c r="L3136" s="131"/>
      <c r="M3136" s="131"/>
      <c r="N3136" s="131"/>
    </row>
    <row r="3137" spans="1:14">
      <c r="A3137" s="100" t="s">
        <v>862</v>
      </c>
      <c r="B3137" s="101" t="s">
        <v>5782</v>
      </c>
      <c r="C3137" s="115" t="s">
        <v>5783</v>
      </c>
      <c r="D3137" s="38"/>
      <c r="E3137" s="42">
        <v>1</v>
      </c>
      <c r="F3137" s="9">
        <v>2</v>
      </c>
      <c r="G3137" s="8">
        <f t="shared" si="106"/>
        <v>12.368475</v>
      </c>
      <c r="H3137" s="188">
        <v>11.779500000000001</v>
      </c>
      <c r="I3137" s="19">
        <f t="shared" si="107"/>
        <v>24.73695</v>
      </c>
      <c r="L3137" s="131"/>
      <c r="M3137" s="131"/>
      <c r="N3137" s="131"/>
    </row>
    <row r="3138" spans="1:14" hidden="1">
      <c r="A3138" s="100" t="s">
        <v>862</v>
      </c>
      <c r="B3138" s="101" t="s">
        <v>5784</v>
      </c>
      <c r="C3138" s="115" t="s">
        <v>5785</v>
      </c>
      <c r="D3138" s="38"/>
      <c r="E3138" s="42">
        <v>1</v>
      </c>
      <c r="F3138" s="9"/>
      <c r="G3138" s="8">
        <f t="shared" si="106"/>
        <v>3.7537500000000001</v>
      </c>
      <c r="H3138" s="188">
        <v>3.5750000000000002</v>
      </c>
      <c r="I3138" s="19">
        <f t="shared" si="107"/>
        <v>0</v>
      </c>
      <c r="L3138" s="131"/>
      <c r="M3138" s="131"/>
      <c r="N3138" s="131"/>
    </row>
    <row r="3139" spans="1:14" hidden="1">
      <c r="A3139" s="100" t="s">
        <v>862</v>
      </c>
      <c r="B3139" s="101" t="s">
        <v>5786</v>
      </c>
      <c r="C3139" s="115" t="s">
        <v>5787</v>
      </c>
      <c r="D3139" s="38"/>
      <c r="E3139" s="42">
        <v>1</v>
      </c>
      <c r="F3139" s="9"/>
      <c r="G3139" s="8">
        <f t="shared" si="106"/>
        <v>4.7963999999999993</v>
      </c>
      <c r="H3139" s="188">
        <v>4.5679999999999996</v>
      </c>
      <c r="I3139" s="19">
        <f t="shared" si="107"/>
        <v>0</v>
      </c>
      <c r="L3139" s="131"/>
      <c r="M3139" s="131"/>
      <c r="N3139" s="131"/>
    </row>
    <row r="3140" spans="1:14" hidden="1">
      <c r="A3140" s="100" t="s">
        <v>862</v>
      </c>
      <c r="B3140" s="101" t="s">
        <v>5788</v>
      </c>
      <c r="C3140" s="115" t="s">
        <v>5789</v>
      </c>
      <c r="D3140" s="38"/>
      <c r="E3140" s="42">
        <v>1</v>
      </c>
      <c r="F3140" s="9"/>
      <c r="G3140" s="8">
        <f t="shared" si="106"/>
        <v>5.8390500000000003</v>
      </c>
      <c r="H3140" s="188">
        <v>5.5609999999999999</v>
      </c>
      <c r="I3140" s="19">
        <f t="shared" si="107"/>
        <v>0</v>
      </c>
      <c r="L3140" s="131"/>
      <c r="M3140" s="131"/>
      <c r="N3140" s="131"/>
    </row>
    <row r="3141" spans="1:14" hidden="1">
      <c r="A3141" s="100" t="s">
        <v>862</v>
      </c>
      <c r="B3141" s="101" t="s">
        <v>5790</v>
      </c>
      <c r="C3141" s="115" t="s">
        <v>5791</v>
      </c>
      <c r="D3141" s="38"/>
      <c r="E3141" s="42">
        <v>1</v>
      </c>
      <c r="F3141" s="9"/>
      <c r="G3141" s="8">
        <f t="shared" si="106"/>
        <v>2.8035000000000001</v>
      </c>
      <c r="H3141" s="188">
        <v>2.67</v>
      </c>
      <c r="I3141" s="19">
        <f t="shared" si="107"/>
        <v>0</v>
      </c>
      <c r="L3141" s="131"/>
      <c r="M3141" s="131"/>
      <c r="N3141" s="131"/>
    </row>
    <row r="3142" spans="1:14" hidden="1">
      <c r="A3142" s="100" t="s">
        <v>862</v>
      </c>
      <c r="B3142" s="101" t="s">
        <v>5792</v>
      </c>
      <c r="C3142" s="115" t="s">
        <v>5793</v>
      </c>
      <c r="D3142" s="38"/>
      <c r="E3142" s="42">
        <v>1</v>
      </c>
      <c r="F3142" s="9"/>
      <c r="G3142" s="8">
        <f t="shared" si="106"/>
        <v>0.97335000000000005</v>
      </c>
      <c r="H3142" s="188">
        <v>0.92700000000000005</v>
      </c>
      <c r="I3142" s="19">
        <f t="shared" si="107"/>
        <v>0</v>
      </c>
      <c r="L3142" s="131"/>
      <c r="M3142" s="131"/>
      <c r="N3142" s="131"/>
    </row>
    <row r="3143" spans="1:14" hidden="1">
      <c r="A3143" s="100" t="s">
        <v>862</v>
      </c>
      <c r="B3143" s="101" t="s">
        <v>5794</v>
      </c>
      <c r="C3143" s="115" t="s">
        <v>5795</v>
      </c>
      <c r="D3143" s="38"/>
      <c r="E3143" s="42">
        <v>1</v>
      </c>
      <c r="F3143" s="9"/>
      <c r="G3143" s="8">
        <f t="shared" si="106"/>
        <v>1.1476500000000001</v>
      </c>
      <c r="H3143" s="188">
        <v>1.093</v>
      </c>
      <c r="I3143" s="19">
        <f t="shared" si="107"/>
        <v>0</v>
      </c>
      <c r="L3143" s="131"/>
      <c r="M3143" s="131"/>
      <c r="N3143" s="131"/>
    </row>
    <row r="3144" spans="1:14" hidden="1">
      <c r="A3144" s="100" t="s">
        <v>862</v>
      </c>
      <c r="B3144" s="101" t="s">
        <v>5796</v>
      </c>
      <c r="C3144" s="115" t="s">
        <v>5797</v>
      </c>
      <c r="D3144" s="38"/>
      <c r="E3144" s="42">
        <v>1</v>
      </c>
      <c r="F3144" s="9"/>
      <c r="G3144" s="8">
        <f t="shared" si="106"/>
        <v>1.1476500000000001</v>
      </c>
      <c r="H3144" s="188">
        <v>1.093</v>
      </c>
      <c r="I3144" s="19">
        <f t="shared" si="107"/>
        <v>0</v>
      </c>
      <c r="L3144" s="131"/>
      <c r="M3144" s="131"/>
      <c r="N3144" s="131"/>
    </row>
    <row r="3145" spans="1:14" hidden="1">
      <c r="A3145" s="100" t="s">
        <v>862</v>
      </c>
      <c r="B3145" s="101" t="s">
        <v>5798</v>
      </c>
      <c r="C3145" s="115" t="s">
        <v>5799</v>
      </c>
      <c r="D3145" s="38"/>
      <c r="E3145" s="42">
        <v>1</v>
      </c>
      <c r="F3145" s="9"/>
      <c r="G3145" s="8">
        <f t="shared" si="106"/>
        <v>1.4742</v>
      </c>
      <c r="H3145" s="188">
        <v>1.4039999999999999</v>
      </c>
      <c r="I3145" s="19">
        <f t="shared" si="107"/>
        <v>0</v>
      </c>
      <c r="L3145" s="131"/>
      <c r="M3145" s="131"/>
      <c r="N3145" s="131"/>
    </row>
    <row r="3146" spans="1:14" hidden="1">
      <c r="A3146" s="100" t="s">
        <v>862</v>
      </c>
      <c r="B3146" s="101" t="s">
        <v>5800</v>
      </c>
      <c r="C3146" s="115" t="s">
        <v>5801</v>
      </c>
      <c r="D3146" s="38"/>
      <c r="E3146" s="42">
        <v>1</v>
      </c>
      <c r="F3146" s="9"/>
      <c r="G3146" s="8">
        <f t="shared" si="106"/>
        <v>5.5649999999999998E-2</v>
      </c>
      <c r="H3146" s="188">
        <v>5.2999999999999999E-2</v>
      </c>
      <c r="I3146" s="19">
        <f t="shared" si="107"/>
        <v>0</v>
      </c>
      <c r="L3146" s="131"/>
      <c r="M3146" s="131"/>
      <c r="N3146" s="131"/>
    </row>
    <row r="3147" spans="1:14" hidden="1">
      <c r="A3147" s="100" t="s">
        <v>862</v>
      </c>
      <c r="B3147" s="101" t="s">
        <v>5802</v>
      </c>
      <c r="C3147" s="115" t="s">
        <v>5803</v>
      </c>
      <c r="D3147" s="38"/>
      <c r="E3147" s="42">
        <v>1</v>
      </c>
      <c r="F3147" s="9"/>
      <c r="G3147" s="8">
        <f t="shared" si="106"/>
        <v>6.5625000000000003E-2</v>
      </c>
      <c r="H3147" s="188">
        <v>6.25E-2</v>
      </c>
      <c r="I3147" s="19">
        <f t="shared" si="107"/>
        <v>0</v>
      </c>
      <c r="L3147" s="131"/>
      <c r="M3147" s="131"/>
      <c r="N3147" s="131"/>
    </row>
    <row r="3148" spans="1:14" hidden="1">
      <c r="A3148" s="100" t="s">
        <v>862</v>
      </c>
      <c r="B3148" s="101" t="s">
        <v>5804</v>
      </c>
      <c r="C3148" s="115" t="s">
        <v>5805</v>
      </c>
      <c r="D3148" s="38"/>
      <c r="E3148" s="42">
        <v>1</v>
      </c>
      <c r="F3148" s="9"/>
      <c r="G3148" s="8">
        <f t="shared" si="106"/>
        <v>1.32195</v>
      </c>
      <c r="H3148" s="188">
        <v>1.2589999999999999</v>
      </c>
      <c r="I3148" s="19">
        <f t="shared" si="107"/>
        <v>0</v>
      </c>
      <c r="L3148" s="131"/>
      <c r="M3148" s="131"/>
      <c r="N3148" s="131"/>
    </row>
    <row r="3149" spans="1:14" hidden="1">
      <c r="A3149" s="100" t="s">
        <v>862</v>
      </c>
      <c r="B3149" s="114" t="s">
        <v>5806</v>
      </c>
      <c r="C3149" s="116" t="s">
        <v>5807</v>
      </c>
      <c r="D3149" s="38" t="s">
        <v>572</v>
      </c>
      <c r="E3149" s="42">
        <v>1</v>
      </c>
      <c r="F3149" s="9"/>
      <c r="G3149" s="8">
        <f t="shared" si="106"/>
        <v>0.43049999999999999</v>
      </c>
      <c r="H3149" s="188">
        <v>0.41</v>
      </c>
      <c r="I3149" s="19">
        <f t="shared" si="107"/>
        <v>0</v>
      </c>
      <c r="L3149" s="131"/>
      <c r="M3149" s="131"/>
      <c r="N3149" s="131"/>
    </row>
    <row r="3150" spans="1:14" hidden="1">
      <c r="A3150" s="100" t="s">
        <v>862</v>
      </c>
      <c r="B3150" s="101" t="s">
        <v>5808</v>
      </c>
      <c r="C3150" s="115" t="s">
        <v>5809</v>
      </c>
      <c r="D3150" s="38"/>
      <c r="E3150" s="42">
        <v>1</v>
      </c>
      <c r="F3150" s="9"/>
      <c r="G3150" s="8">
        <f t="shared" si="106"/>
        <v>29.044575000000002</v>
      </c>
      <c r="H3150" s="188">
        <v>27.6615</v>
      </c>
      <c r="I3150" s="19">
        <f t="shared" si="107"/>
        <v>0</v>
      </c>
      <c r="L3150" s="131"/>
      <c r="M3150" s="131"/>
      <c r="N3150" s="131"/>
    </row>
    <row r="3151" spans="1:14" hidden="1">
      <c r="A3151" s="100" t="s">
        <v>862</v>
      </c>
      <c r="B3151" s="101" t="s">
        <v>5810</v>
      </c>
      <c r="C3151" s="115" t="s">
        <v>5811</v>
      </c>
      <c r="D3151" s="38"/>
      <c r="E3151" s="42">
        <v>1</v>
      </c>
      <c r="F3151" s="9"/>
      <c r="G3151" s="8">
        <f t="shared" si="106"/>
        <v>1.3324499999999999</v>
      </c>
      <c r="H3151" s="188">
        <v>1.2689999999999999</v>
      </c>
      <c r="I3151" s="19">
        <f t="shared" si="107"/>
        <v>0</v>
      </c>
      <c r="L3151" s="131"/>
      <c r="M3151" s="131"/>
      <c r="N3151" s="131"/>
    </row>
    <row r="3152" spans="1:14" hidden="1">
      <c r="A3152" s="100" t="s">
        <v>862</v>
      </c>
      <c r="B3152" s="101" t="s">
        <v>5812</v>
      </c>
      <c r="C3152" s="115" t="s">
        <v>5813</v>
      </c>
      <c r="D3152" s="38"/>
      <c r="E3152" s="42">
        <v>1</v>
      </c>
      <c r="F3152" s="9"/>
      <c r="G3152" s="8">
        <f t="shared" si="106"/>
        <v>75.052949999999996</v>
      </c>
      <c r="H3152" s="188">
        <v>71.478999999999999</v>
      </c>
      <c r="I3152" s="19">
        <f t="shared" si="107"/>
        <v>0</v>
      </c>
      <c r="L3152" s="131"/>
      <c r="M3152" s="131"/>
      <c r="N3152" s="131"/>
    </row>
    <row r="3153" spans="1:14" hidden="1">
      <c r="A3153" s="100" t="s">
        <v>862</v>
      </c>
      <c r="B3153" s="101" t="s">
        <v>5814</v>
      </c>
      <c r="C3153" s="115" t="s">
        <v>5815</v>
      </c>
      <c r="D3153" s="38"/>
      <c r="E3153" s="42">
        <v>1</v>
      </c>
      <c r="F3153" s="9"/>
      <c r="G3153" s="8">
        <f t="shared" si="106"/>
        <v>22.707825</v>
      </c>
      <c r="H3153" s="188">
        <v>21.6265</v>
      </c>
      <c r="I3153" s="19">
        <f t="shared" si="107"/>
        <v>0</v>
      </c>
      <c r="L3153" s="131"/>
      <c r="M3153" s="131"/>
      <c r="N3153" s="131"/>
    </row>
    <row r="3154" spans="1:14" hidden="1">
      <c r="A3154" s="100" t="s">
        <v>862</v>
      </c>
      <c r="B3154" s="101" t="s">
        <v>5816</v>
      </c>
      <c r="C3154" s="115" t="s">
        <v>5817</v>
      </c>
      <c r="D3154" s="38"/>
      <c r="E3154" s="42">
        <v>1</v>
      </c>
      <c r="F3154" s="9"/>
      <c r="G3154" s="8">
        <f t="shared" si="106"/>
        <v>35.320950000000003</v>
      </c>
      <c r="H3154" s="188">
        <v>33.639000000000003</v>
      </c>
      <c r="I3154" s="19">
        <f t="shared" si="107"/>
        <v>0</v>
      </c>
      <c r="L3154" s="131"/>
      <c r="M3154" s="131"/>
      <c r="N3154" s="131"/>
    </row>
    <row r="3155" spans="1:14" hidden="1">
      <c r="A3155" s="100" t="s">
        <v>862</v>
      </c>
      <c r="B3155" s="101" t="s">
        <v>5818</v>
      </c>
      <c r="C3155" s="115" t="s">
        <v>5819</v>
      </c>
      <c r="D3155" s="38"/>
      <c r="E3155" s="42">
        <v>1</v>
      </c>
      <c r="F3155" s="9"/>
      <c r="G3155" s="8">
        <f t="shared" si="106"/>
        <v>11.277000000000001</v>
      </c>
      <c r="H3155" s="188">
        <v>10.74</v>
      </c>
      <c r="I3155" s="19">
        <f t="shared" si="107"/>
        <v>0</v>
      </c>
      <c r="L3155" s="131"/>
      <c r="M3155" s="131"/>
      <c r="N3155" s="131"/>
    </row>
    <row r="3156" spans="1:14" hidden="1">
      <c r="A3156" s="100" t="s">
        <v>862</v>
      </c>
      <c r="B3156" s="101" t="s">
        <v>5820</v>
      </c>
      <c r="C3156" s="115" t="s">
        <v>5821</v>
      </c>
      <c r="D3156" s="38"/>
      <c r="E3156" s="42">
        <v>1</v>
      </c>
      <c r="F3156" s="9"/>
      <c r="G3156" s="8">
        <f t="shared" si="106"/>
        <v>1.392825</v>
      </c>
      <c r="H3156" s="188">
        <v>1.3265</v>
      </c>
      <c r="I3156" s="19">
        <f t="shared" si="107"/>
        <v>0</v>
      </c>
      <c r="L3156" s="131"/>
      <c r="M3156" s="131"/>
      <c r="N3156" s="131"/>
    </row>
    <row r="3157" spans="1:14" hidden="1">
      <c r="A3157" s="100" t="s">
        <v>862</v>
      </c>
      <c r="B3157" s="101" t="s">
        <v>5822</v>
      </c>
      <c r="C3157" s="115" t="s">
        <v>5823</v>
      </c>
      <c r="D3157" s="38" t="s">
        <v>2488</v>
      </c>
      <c r="E3157" s="42">
        <v>1</v>
      </c>
      <c r="F3157" s="9"/>
      <c r="G3157" s="8">
        <f t="shared" si="106"/>
        <v>2.9043000000000001</v>
      </c>
      <c r="H3157" s="188">
        <v>2.766</v>
      </c>
      <c r="I3157" s="19">
        <f t="shared" si="107"/>
        <v>0</v>
      </c>
      <c r="L3157" s="131"/>
      <c r="M3157" s="131"/>
      <c r="N3157" s="131"/>
    </row>
    <row r="3158" spans="1:14" hidden="1">
      <c r="A3158" s="100" t="s">
        <v>862</v>
      </c>
      <c r="B3158" s="101" t="s">
        <v>5824</v>
      </c>
      <c r="C3158" s="115" t="s">
        <v>5825</v>
      </c>
      <c r="D3158" s="38" t="s">
        <v>2488</v>
      </c>
      <c r="E3158" s="42">
        <v>1</v>
      </c>
      <c r="F3158" s="9"/>
      <c r="G3158" s="8">
        <f t="shared" si="106"/>
        <v>2.9415749999999998</v>
      </c>
      <c r="H3158" s="188">
        <v>2.8014999999999999</v>
      </c>
      <c r="I3158" s="19">
        <f t="shared" si="107"/>
        <v>0</v>
      </c>
      <c r="L3158" s="131"/>
      <c r="M3158" s="131"/>
      <c r="N3158" s="131"/>
    </row>
    <row r="3159" spans="1:14" hidden="1">
      <c r="A3159" s="100" t="s">
        <v>862</v>
      </c>
      <c r="B3159" s="101" t="s">
        <v>5826</v>
      </c>
      <c r="C3159" s="115" t="s">
        <v>5827</v>
      </c>
      <c r="D3159" s="38" t="s">
        <v>2488</v>
      </c>
      <c r="E3159" s="42">
        <v>1</v>
      </c>
      <c r="F3159" s="9"/>
      <c r="G3159" s="8">
        <f t="shared" si="106"/>
        <v>2.9772750000000001</v>
      </c>
      <c r="H3159" s="188">
        <v>2.8355000000000001</v>
      </c>
      <c r="I3159" s="19">
        <f t="shared" si="107"/>
        <v>0</v>
      </c>
      <c r="L3159" s="131"/>
      <c r="M3159" s="131"/>
      <c r="N3159" s="131"/>
    </row>
    <row r="3160" spans="1:14" hidden="1">
      <c r="A3160" s="100" t="s">
        <v>862</v>
      </c>
      <c r="B3160" s="101" t="s">
        <v>5828</v>
      </c>
      <c r="C3160" s="115" t="s">
        <v>5829</v>
      </c>
      <c r="D3160" s="38" t="s">
        <v>2488</v>
      </c>
      <c r="E3160" s="42">
        <v>1</v>
      </c>
      <c r="F3160" s="9"/>
      <c r="G3160" s="8">
        <f t="shared" si="106"/>
        <v>3.0287250000000001</v>
      </c>
      <c r="H3160" s="188">
        <v>2.8845000000000001</v>
      </c>
      <c r="I3160" s="19">
        <f t="shared" si="107"/>
        <v>0</v>
      </c>
      <c r="L3160" s="131"/>
      <c r="M3160" s="131"/>
      <c r="N3160" s="131"/>
    </row>
    <row r="3161" spans="1:14" hidden="1">
      <c r="A3161" s="100" t="s">
        <v>862</v>
      </c>
      <c r="B3161" s="101" t="s">
        <v>5830</v>
      </c>
      <c r="C3161" s="115" t="s">
        <v>5831</v>
      </c>
      <c r="D3161" s="38" t="s">
        <v>2488</v>
      </c>
      <c r="E3161" s="42">
        <v>1</v>
      </c>
      <c r="F3161" s="9"/>
      <c r="G3161" s="8">
        <f t="shared" si="106"/>
        <v>3.0743999999999998</v>
      </c>
      <c r="H3161" s="188">
        <v>2.9279999999999999</v>
      </c>
      <c r="I3161" s="19">
        <f t="shared" si="107"/>
        <v>0</v>
      </c>
      <c r="L3161" s="131"/>
      <c r="M3161" s="131"/>
      <c r="N3161" s="131"/>
    </row>
    <row r="3162" spans="1:14" hidden="1">
      <c r="A3162" s="100" t="s">
        <v>862</v>
      </c>
      <c r="B3162" s="101" t="s">
        <v>5832</v>
      </c>
      <c r="C3162" s="115" t="s">
        <v>5833</v>
      </c>
      <c r="D3162" s="38" t="s">
        <v>2488</v>
      </c>
      <c r="E3162" s="42">
        <v>1</v>
      </c>
      <c r="F3162" s="9"/>
      <c r="G3162" s="8">
        <f t="shared" si="106"/>
        <v>3.1111500000000003</v>
      </c>
      <c r="H3162" s="188">
        <v>2.9630000000000001</v>
      </c>
      <c r="I3162" s="19">
        <f t="shared" si="107"/>
        <v>0</v>
      </c>
      <c r="L3162" s="131"/>
      <c r="M3162" s="131"/>
      <c r="N3162" s="131"/>
    </row>
    <row r="3163" spans="1:14" hidden="1">
      <c r="A3163" s="100" t="s">
        <v>862</v>
      </c>
      <c r="B3163" s="101" t="s">
        <v>5834</v>
      </c>
      <c r="C3163" s="115" t="s">
        <v>5835</v>
      </c>
      <c r="D3163" s="38" t="s">
        <v>2488</v>
      </c>
      <c r="E3163" s="42">
        <v>1</v>
      </c>
      <c r="F3163" s="9"/>
      <c r="G3163" s="8">
        <f t="shared" si="106"/>
        <v>3.1473750000000003</v>
      </c>
      <c r="H3163" s="188">
        <v>2.9975000000000001</v>
      </c>
      <c r="I3163" s="19">
        <f t="shared" si="107"/>
        <v>0</v>
      </c>
      <c r="L3163" s="131"/>
      <c r="M3163" s="131"/>
      <c r="N3163" s="131"/>
    </row>
    <row r="3164" spans="1:14" hidden="1">
      <c r="A3164" s="100" t="s">
        <v>862</v>
      </c>
      <c r="B3164" s="101" t="s">
        <v>5836</v>
      </c>
      <c r="C3164" s="115" t="s">
        <v>5837</v>
      </c>
      <c r="D3164" s="38" t="s">
        <v>2488</v>
      </c>
      <c r="E3164" s="42">
        <v>1</v>
      </c>
      <c r="F3164" s="9"/>
      <c r="G3164" s="8">
        <f t="shared" si="106"/>
        <v>3.17205</v>
      </c>
      <c r="H3164" s="188">
        <v>3.0209999999999999</v>
      </c>
      <c r="I3164" s="19">
        <f t="shared" si="107"/>
        <v>0</v>
      </c>
      <c r="L3164" s="131"/>
      <c r="M3164" s="131"/>
      <c r="N3164" s="131"/>
    </row>
    <row r="3165" spans="1:14" hidden="1">
      <c r="A3165" s="100" t="s">
        <v>862</v>
      </c>
      <c r="B3165" s="101" t="s">
        <v>5838</v>
      </c>
      <c r="C3165" s="115" t="s">
        <v>5839</v>
      </c>
      <c r="D3165" s="38" t="s">
        <v>2488</v>
      </c>
      <c r="E3165" s="42">
        <v>1</v>
      </c>
      <c r="F3165" s="9"/>
      <c r="G3165" s="8">
        <f t="shared" si="106"/>
        <v>3.1962000000000002</v>
      </c>
      <c r="H3165" s="188">
        <v>3.044</v>
      </c>
      <c r="I3165" s="19">
        <f t="shared" si="107"/>
        <v>0</v>
      </c>
      <c r="L3165" s="131"/>
      <c r="M3165" s="131"/>
      <c r="N3165" s="131"/>
    </row>
    <row r="3166" spans="1:14" hidden="1">
      <c r="A3166" s="100" t="s">
        <v>862</v>
      </c>
      <c r="B3166" s="101" t="s">
        <v>5840</v>
      </c>
      <c r="C3166" s="115" t="s">
        <v>5841</v>
      </c>
      <c r="D3166" s="38" t="s">
        <v>2488</v>
      </c>
      <c r="E3166" s="42">
        <v>1</v>
      </c>
      <c r="F3166" s="9"/>
      <c r="G3166" s="8">
        <f t="shared" si="106"/>
        <v>3.2203500000000003</v>
      </c>
      <c r="H3166" s="188">
        <v>3.0670000000000002</v>
      </c>
      <c r="I3166" s="19">
        <f t="shared" si="107"/>
        <v>0</v>
      </c>
      <c r="L3166" s="131"/>
      <c r="M3166" s="131"/>
      <c r="N3166" s="131"/>
    </row>
    <row r="3167" spans="1:14" hidden="1">
      <c r="A3167" s="100" t="s">
        <v>862</v>
      </c>
      <c r="B3167" s="101" t="s">
        <v>5842</v>
      </c>
      <c r="C3167" s="115" t="s">
        <v>5843</v>
      </c>
      <c r="D3167" s="38" t="s">
        <v>2488</v>
      </c>
      <c r="E3167" s="42">
        <v>1</v>
      </c>
      <c r="F3167" s="9"/>
      <c r="G3167" s="8">
        <f t="shared" si="106"/>
        <v>3.245025</v>
      </c>
      <c r="H3167" s="188">
        <v>3.0905</v>
      </c>
      <c r="I3167" s="19">
        <f t="shared" si="107"/>
        <v>0</v>
      </c>
      <c r="L3167" s="131"/>
      <c r="M3167" s="131"/>
      <c r="N3167" s="131"/>
    </row>
    <row r="3168" spans="1:14" hidden="1">
      <c r="A3168" s="100" t="s">
        <v>862</v>
      </c>
      <c r="B3168" s="101" t="s">
        <v>5844</v>
      </c>
      <c r="C3168" s="115" t="s">
        <v>5845</v>
      </c>
      <c r="D3168" s="38" t="s">
        <v>2488</v>
      </c>
      <c r="E3168" s="42">
        <v>1</v>
      </c>
      <c r="F3168" s="9"/>
      <c r="G3168" s="8">
        <f t="shared" si="106"/>
        <v>3.2696999999999998</v>
      </c>
      <c r="H3168" s="188">
        <v>3.1139999999999999</v>
      </c>
      <c r="I3168" s="19">
        <f t="shared" si="107"/>
        <v>0</v>
      </c>
      <c r="L3168" s="131"/>
      <c r="M3168" s="131"/>
      <c r="N3168" s="131"/>
    </row>
    <row r="3169" spans="1:14" hidden="1">
      <c r="A3169" s="100" t="s">
        <v>862</v>
      </c>
      <c r="B3169" s="101" t="s">
        <v>5846</v>
      </c>
      <c r="C3169" s="115" t="s">
        <v>5847</v>
      </c>
      <c r="D3169" s="38" t="s">
        <v>2488</v>
      </c>
      <c r="E3169" s="42">
        <v>1</v>
      </c>
      <c r="F3169" s="9"/>
      <c r="G3169" s="8">
        <f t="shared" si="106"/>
        <v>3.3022499999999999</v>
      </c>
      <c r="H3169" s="188">
        <v>3.145</v>
      </c>
      <c r="I3169" s="19">
        <f t="shared" si="107"/>
        <v>0</v>
      </c>
      <c r="L3169" s="131"/>
      <c r="M3169" s="131"/>
      <c r="N3169" s="131"/>
    </row>
    <row r="3170" spans="1:14" hidden="1">
      <c r="A3170" s="100" t="s">
        <v>862</v>
      </c>
      <c r="B3170" s="101" t="s">
        <v>5848</v>
      </c>
      <c r="C3170" s="115" t="s">
        <v>5849</v>
      </c>
      <c r="D3170" s="38" t="s">
        <v>2488</v>
      </c>
      <c r="E3170" s="42">
        <v>1</v>
      </c>
      <c r="F3170" s="9"/>
      <c r="G3170" s="8">
        <f t="shared" si="106"/>
        <v>3.3337499999999998</v>
      </c>
      <c r="H3170" s="188">
        <v>3.1749999999999998</v>
      </c>
      <c r="I3170" s="19">
        <f t="shared" si="107"/>
        <v>0</v>
      </c>
      <c r="L3170" s="131"/>
      <c r="M3170" s="131"/>
      <c r="N3170" s="131"/>
    </row>
    <row r="3171" spans="1:14" hidden="1">
      <c r="A3171" s="100" t="s">
        <v>862</v>
      </c>
      <c r="B3171" s="101" t="s">
        <v>5850</v>
      </c>
      <c r="C3171" s="115" t="s">
        <v>5851</v>
      </c>
      <c r="D3171" s="38" t="s">
        <v>2488</v>
      </c>
      <c r="E3171" s="42">
        <v>1</v>
      </c>
      <c r="F3171" s="9"/>
      <c r="G3171" s="8">
        <f t="shared" si="106"/>
        <v>3.3657749999999997</v>
      </c>
      <c r="H3171" s="188">
        <v>3.2054999999999998</v>
      </c>
      <c r="I3171" s="19">
        <f t="shared" si="107"/>
        <v>0</v>
      </c>
      <c r="L3171" s="131"/>
      <c r="M3171" s="131"/>
      <c r="N3171" s="131"/>
    </row>
    <row r="3172" spans="1:14" hidden="1">
      <c r="A3172" s="100" t="s">
        <v>862</v>
      </c>
      <c r="B3172" s="101" t="s">
        <v>5852</v>
      </c>
      <c r="C3172" s="115" t="s">
        <v>5853</v>
      </c>
      <c r="D3172" s="38" t="s">
        <v>2488</v>
      </c>
      <c r="E3172" s="42">
        <v>1</v>
      </c>
      <c r="F3172" s="9"/>
      <c r="G3172" s="8">
        <f t="shared" si="106"/>
        <v>3.3957000000000002</v>
      </c>
      <c r="H3172" s="188">
        <v>3.234</v>
      </c>
      <c r="I3172" s="19">
        <f t="shared" si="107"/>
        <v>0</v>
      </c>
      <c r="L3172" s="131"/>
      <c r="M3172" s="131"/>
      <c r="N3172" s="131"/>
    </row>
    <row r="3173" spans="1:14" hidden="1">
      <c r="A3173" s="100" t="s">
        <v>862</v>
      </c>
      <c r="B3173" s="101" t="s">
        <v>5854</v>
      </c>
      <c r="C3173" s="115" t="s">
        <v>5855</v>
      </c>
      <c r="D3173" s="38" t="s">
        <v>2488</v>
      </c>
      <c r="E3173" s="42">
        <v>1</v>
      </c>
      <c r="F3173" s="9"/>
      <c r="G3173" s="8">
        <f t="shared" ref="G3173:G3236" si="108">H3173+(H3173*5%)</f>
        <v>3.4025249999999998</v>
      </c>
      <c r="H3173" s="188">
        <v>3.2404999999999999</v>
      </c>
      <c r="I3173" s="19">
        <f t="shared" si="107"/>
        <v>0</v>
      </c>
      <c r="L3173" s="131"/>
      <c r="M3173" s="131"/>
      <c r="N3173" s="131"/>
    </row>
    <row r="3174" spans="1:14" hidden="1">
      <c r="A3174" s="100" t="s">
        <v>862</v>
      </c>
      <c r="B3174" s="101" t="s">
        <v>5856</v>
      </c>
      <c r="C3174" s="115" t="s">
        <v>5857</v>
      </c>
      <c r="D3174" s="38" t="s">
        <v>2488</v>
      </c>
      <c r="E3174" s="42">
        <v>1</v>
      </c>
      <c r="F3174" s="9"/>
      <c r="G3174" s="8">
        <f t="shared" si="108"/>
        <v>3.4392750000000003</v>
      </c>
      <c r="H3174" s="188">
        <v>3.2755000000000001</v>
      </c>
      <c r="I3174" s="19">
        <f t="shared" si="107"/>
        <v>0</v>
      </c>
      <c r="L3174" s="131"/>
      <c r="M3174" s="131"/>
      <c r="N3174" s="131"/>
    </row>
    <row r="3175" spans="1:14" hidden="1">
      <c r="A3175" s="100" t="s">
        <v>862</v>
      </c>
      <c r="B3175" s="101" t="s">
        <v>5858</v>
      </c>
      <c r="C3175" s="115" t="s">
        <v>5859</v>
      </c>
      <c r="D3175" s="38" t="s">
        <v>2488</v>
      </c>
      <c r="E3175" s="42">
        <v>1</v>
      </c>
      <c r="F3175" s="9"/>
      <c r="G3175" s="8">
        <f t="shared" si="108"/>
        <v>3.4755000000000003</v>
      </c>
      <c r="H3175" s="188">
        <v>3.31</v>
      </c>
      <c r="I3175" s="19">
        <f t="shared" ref="I3175:I3238" si="109">G3175*F3175</f>
        <v>0</v>
      </c>
      <c r="L3175" s="131"/>
      <c r="M3175" s="131"/>
      <c r="N3175" s="131"/>
    </row>
    <row r="3176" spans="1:14" hidden="1">
      <c r="A3176" s="100" t="s">
        <v>862</v>
      </c>
      <c r="B3176" s="101" t="s">
        <v>5860</v>
      </c>
      <c r="C3176" s="115" t="s">
        <v>5861</v>
      </c>
      <c r="D3176" s="38" t="s">
        <v>2488</v>
      </c>
      <c r="E3176" s="42">
        <v>1</v>
      </c>
      <c r="F3176" s="9"/>
      <c r="G3176" s="8">
        <f t="shared" si="108"/>
        <v>3.5164500000000003</v>
      </c>
      <c r="H3176" s="188">
        <v>3.3490000000000002</v>
      </c>
      <c r="I3176" s="19">
        <f t="shared" si="109"/>
        <v>0</v>
      </c>
      <c r="L3176" s="131"/>
      <c r="M3176" s="131"/>
      <c r="N3176" s="131"/>
    </row>
    <row r="3177" spans="1:14" hidden="1">
      <c r="A3177" s="100" t="s">
        <v>862</v>
      </c>
      <c r="B3177" s="101" t="s">
        <v>5862</v>
      </c>
      <c r="C3177" s="115" t="s">
        <v>5863</v>
      </c>
      <c r="D3177" s="38" t="s">
        <v>2488</v>
      </c>
      <c r="E3177" s="42">
        <v>1</v>
      </c>
      <c r="F3177" s="9"/>
      <c r="G3177" s="8">
        <f t="shared" si="108"/>
        <v>3.5484750000000003</v>
      </c>
      <c r="H3177" s="188">
        <v>3.3795000000000002</v>
      </c>
      <c r="I3177" s="19">
        <f t="shared" si="109"/>
        <v>0</v>
      </c>
      <c r="L3177" s="131"/>
      <c r="M3177" s="131"/>
      <c r="N3177" s="131"/>
    </row>
    <row r="3178" spans="1:14" hidden="1">
      <c r="A3178" s="100" t="s">
        <v>862</v>
      </c>
      <c r="B3178" s="101" t="s">
        <v>5864</v>
      </c>
      <c r="C3178" s="115" t="s">
        <v>5865</v>
      </c>
      <c r="D3178" s="38" t="s">
        <v>2488</v>
      </c>
      <c r="E3178" s="42">
        <v>1</v>
      </c>
      <c r="F3178" s="9"/>
      <c r="G3178" s="8">
        <f t="shared" si="108"/>
        <v>3.5852249999999999</v>
      </c>
      <c r="H3178" s="188">
        <v>3.4144999999999999</v>
      </c>
      <c r="I3178" s="19">
        <f t="shared" si="109"/>
        <v>0</v>
      </c>
      <c r="L3178" s="131"/>
      <c r="M3178" s="131"/>
      <c r="N3178" s="131"/>
    </row>
    <row r="3179" spans="1:14" hidden="1">
      <c r="A3179" s="100" t="s">
        <v>862</v>
      </c>
      <c r="B3179" s="101" t="s">
        <v>5866</v>
      </c>
      <c r="C3179" s="115" t="s">
        <v>5867</v>
      </c>
      <c r="D3179" s="38" t="s">
        <v>2488</v>
      </c>
      <c r="E3179" s="42">
        <v>1</v>
      </c>
      <c r="F3179" s="9"/>
      <c r="G3179" s="8">
        <f t="shared" si="108"/>
        <v>3.6214499999999998</v>
      </c>
      <c r="H3179" s="188">
        <v>3.4489999999999998</v>
      </c>
      <c r="I3179" s="19">
        <f t="shared" si="109"/>
        <v>0</v>
      </c>
      <c r="L3179" s="131"/>
      <c r="M3179" s="131"/>
      <c r="N3179" s="131"/>
    </row>
    <row r="3180" spans="1:14" hidden="1">
      <c r="A3180" s="100" t="s">
        <v>862</v>
      </c>
      <c r="B3180" s="101" t="s">
        <v>5868</v>
      </c>
      <c r="C3180" s="115" t="s">
        <v>5869</v>
      </c>
      <c r="D3180" s="38" t="s">
        <v>2488</v>
      </c>
      <c r="E3180" s="42">
        <v>1</v>
      </c>
      <c r="F3180" s="9"/>
      <c r="G3180" s="8">
        <f t="shared" si="108"/>
        <v>3.6581999999999999</v>
      </c>
      <c r="H3180" s="188">
        <v>3.484</v>
      </c>
      <c r="I3180" s="19">
        <f t="shared" si="109"/>
        <v>0</v>
      </c>
      <c r="L3180" s="131"/>
      <c r="M3180" s="131"/>
      <c r="N3180" s="131"/>
    </row>
    <row r="3181" spans="1:14" hidden="1">
      <c r="A3181" s="100" t="s">
        <v>862</v>
      </c>
      <c r="B3181" s="101" t="s">
        <v>5870</v>
      </c>
      <c r="C3181" s="115" t="s">
        <v>5871</v>
      </c>
      <c r="D3181" s="38" t="s">
        <v>2488</v>
      </c>
      <c r="E3181" s="42">
        <v>1</v>
      </c>
      <c r="F3181" s="9"/>
      <c r="G3181" s="8">
        <f t="shared" si="108"/>
        <v>3.6980999999999997</v>
      </c>
      <c r="H3181" s="188">
        <v>3.5219999999999998</v>
      </c>
      <c r="I3181" s="19">
        <f t="shared" si="109"/>
        <v>0</v>
      </c>
      <c r="L3181" s="131"/>
      <c r="M3181" s="131"/>
      <c r="N3181" s="131"/>
    </row>
    <row r="3182" spans="1:14" hidden="1">
      <c r="A3182" s="100" t="s">
        <v>862</v>
      </c>
      <c r="B3182" s="101" t="s">
        <v>5872</v>
      </c>
      <c r="C3182" s="115" t="s">
        <v>5873</v>
      </c>
      <c r="D3182" s="38" t="s">
        <v>945</v>
      </c>
      <c r="E3182" s="42">
        <v>1</v>
      </c>
      <c r="F3182" s="9"/>
      <c r="G3182" s="8">
        <f t="shared" si="108"/>
        <v>4.5076499999999999</v>
      </c>
      <c r="H3182" s="188">
        <v>4.2930000000000001</v>
      </c>
      <c r="I3182" s="19">
        <f t="shared" si="109"/>
        <v>0</v>
      </c>
      <c r="L3182" s="131"/>
      <c r="M3182" s="131"/>
      <c r="N3182" s="131"/>
    </row>
    <row r="3183" spans="1:14" hidden="1">
      <c r="A3183" s="100" t="s">
        <v>862</v>
      </c>
      <c r="B3183" s="101" t="s">
        <v>5874</v>
      </c>
      <c r="C3183" s="115" t="s">
        <v>5875</v>
      </c>
      <c r="D3183" s="38" t="s">
        <v>945</v>
      </c>
      <c r="E3183" s="42">
        <v>1</v>
      </c>
      <c r="F3183" s="9"/>
      <c r="G3183" s="8">
        <f t="shared" si="108"/>
        <v>1.4447999999999999</v>
      </c>
      <c r="H3183" s="188">
        <v>1.3759999999999999</v>
      </c>
      <c r="I3183" s="19">
        <f t="shared" si="109"/>
        <v>0</v>
      </c>
      <c r="L3183" s="131"/>
      <c r="M3183" s="131"/>
      <c r="N3183" s="131"/>
    </row>
    <row r="3184" spans="1:14" hidden="1">
      <c r="A3184" s="100" t="s">
        <v>862</v>
      </c>
      <c r="B3184" s="101" t="s">
        <v>5876</v>
      </c>
      <c r="C3184" s="115" t="s">
        <v>5877</v>
      </c>
      <c r="D3184" s="38" t="s">
        <v>945</v>
      </c>
      <c r="E3184" s="42">
        <v>1</v>
      </c>
      <c r="F3184" s="9"/>
      <c r="G3184" s="8">
        <f t="shared" si="108"/>
        <v>1.7335500000000001</v>
      </c>
      <c r="H3184" s="188">
        <v>1.651</v>
      </c>
      <c r="I3184" s="19">
        <f t="shared" si="109"/>
        <v>0</v>
      </c>
      <c r="L3184" s="131"/>
      <c r="M3184" s="131"/>
      <c r="N3184" s="131"/>
    </row>
    <row r="3185" spans="1:14" hidden="1">
      <c r="A3185" s="100" t="s">
        <v>862</v>
      </c>
      <c r="B3185" s="101" t="s">
        <v>5878</v>
      </c>
      <c r="C3185" s="115" t="s">
        <v>5879</v>
      </c>
      <c r="D3185" s="38" t="s">
        <v>945</v>
      </c>
      <c r="E3185" s="42">
        <v>1</v>
      </c>
      <c r="F3185" s="9"/>
      <c r="G3185" s="8">
        <f t="shared" si="108"/>
        <v>2.7714750000000001</v>
      </c>
      <c r="H3185" s="188">
        <v>2.6395</v>
      </c>
      <c r="I3185" s="19">
        <f t="shared" si="109"/>
        <v>0</v>
      </c>
      <c r="L3185" s="131"/>
      <c r="M3185" s="131"/>
      <c r="N3185" s="131"/>
    </row>
    <row r="3186" spans="1:14" hidden="1">
      <c r="A3186" s="100" t="s">
        <v>862</v>
      </c>
      <c r="B3186" s="101" t="s">
        <v>5880</v>
      </c>
      <c r="C3186" s="115" t="s">
        <v>5881</v>
      </c>
      <c r="D3186" s="38" t="s">
        <v>945</v>
      </c>
      <c r="E3186" s="42">
        <v>1</v>
      </c>
      <c r="F3186" s="9"/>
      <c r="G3186" s="8">
        <f t="shared" si="108"/>
        <v>7.5857250000000001</v>
      </c>
      <c r="H3186" s="188">
        <v>7.2244999999999999</v>
      </c>
      <c r="I3186" s="19">
        <f t="shared" si="109"/>
        <v>0</v>
      </c>
      <c r="L3186" s="131"/>
      <c r="M3186" s="131"/>
      <c r="N3186" s="131"/>
    </row>
    <row r="3187" spans="1:14" hidden="1">
      <c r="A3187" s="100" t="s">
        <v>862</v>
      </c>
      <c r="B3187" s="101" t="s">
        <v>5882</v>
      </c>
      <c r="C3187" s="115" t="s">
        <v>5883</v>
      </c>
      <c r="D3187" s="38" t="s">
        <v>945</v>
      </c>
      <c r="E3187" s="42">
        <v>1</v>
      </c>
      <c r="F3187" s="9"/>
      <c r="G3187" s="8">
        <f t="shared" si="108"/>
        <v>6.9667499999999993</v>
      </c>
      <c r="H3187" s="188">
        <v>6.6349999999999998</v>
      </c>
      <c r="I3187" s="19">
        <f t="shared" si="109"/>
        <v>0</v>
      </c>
      <c r="L3187" s="131"/>
      <c r="M3187" s="131"/>
      <c r="N3187" s="131"/>
    </row>
    <row r="3188" spans="1:14" hidden="1">
      <c r="A3188" s="100" t="s">
        <v>862</v>
      </c>
      <c r="B3188" s="101" t="s">
        <v>5884</v>
      </c>
      <c r="C3188" s="115" t="s">
        <v>5885</v>
      </c>
      <c r="D3188" s="38" t="s">
        <v>945</v>
      </c>
      <c r="E3188" s="42">
        <v>1</v>
      </c>
      <c r="F3188" s="9"/>
      <c r="G3188" s="8">
        <f t="shared" si="108"/>
        <v>9.6867750000000008</v>
      </c>
      <c r="H3188" s="188">
        <v>9.2255000000000003</v>
      </c>
      <c r="I3188" s="19">
        <f t="shared" si="109"/>
        <v>0</v>
      </c>
      <c r="L3188" s="131"/>
      <c r="M3188" s="131"/>
      <c r="N3188" s="131"/>
    </row>
    <row r="3189" spans="1:14" hidden="1">
      <c r="A3189" s="100" t="s">
        <v>862</v>
      </c>
      <c r="B3189" s="101" t="s">
        <v>5886</v>
      </c>
      <c r="C3189" s="115" t="s">
        <v>5887</v>
      </c>
      <c r="D3189" s="38" t="s">
        <v>945</v>
      </c>
      <c r="E3189" s="42">
        <v>1</v>
      </c>
      <c r="F3189" s="9"/>
      <c r="G3189" s="8">
        <f t="shared" si="108"/>
        <v>10.033799999999999</v>
      </c>
      <c r="H3189" s="188">
        <v>9.5559999999999992</v>
      </c>
      <c r="I3189" s="19">
        <f t="shared" si="109"/>
        <v>0</v>
      </c>
      <c r="L3189" s="131"/>
      <c r="M3189" s="131"/>
      <c r="N3189" s="131"/>
    </row>
    <row r="3190" spans="1:14" hidden="1">
      <c r="A3190" s="100" t="s">
        <v>862</v>
      </c>
      <c r="B3190" s="101" t="s">
        <v>5888</v>
      </c>
      <c r="C3190" s="115" t="s">
        <v>5889</v>
      </c>
      <c r="D3190" s="38"/>
      <c r="E3190" s="42">
        <v>1</v>
      </c>
      <c r="F3190" s="9"/>
      <c r="G3190" s="8">
        <f t="shared" si="108"/>
        <v>2.6250000000000002E-2</v>
      </c>
      <c r="H3190" s="188">
        <v>2.5000000000000001E-2</v>
      </c>
      <c r="I3190" s="19">
        <f t="shared" si="109"/>
        <v>0</v>
      </c>
      <c r="L3190" s="131"/>
      <c r="M3190" s="131"/>
      <c r="N3190" s="131"/>
    </row>
    <row r="3191" spans="1:14" hidden="1">
      <c r="A3191" s="100" t="s">
        <v>862</v>
      </c>
      <c r="B3191" s="101" t="s">
        <v>5890</v>
      </c>
      <c r="C3191" s="115" t="s">
        <v>5891</v>
      </c>
      <c r="D3191" s="38"/>
      <c r="E3191" s="42">
        <v>1</v>
      </c>
      <c r="F3191" s="9"/>
      <c r="G3191" s="8">
        <f t="shared" si="108"/>
        <v>2.1000000000000001E-2</v>
      </c>
      <c r="H3191" s="188">
        <v>0.02</v>
      </c>
      <c r="I3191" s="19">
        <f t="shared" si="109"/>
        <v>0</v>
      </c>
      <c r="L3191" s="131"/>
      <c r="M3191" s="131"/>
      <c r="N3191" s="131"/>
    </row>
    <row r="3192" spans="1:14" hidden="1">
      <c r="A3192" s="100" t="s">
        <v>862</v>
      </c>
      <c r="B3192" s="114" t="s">
        <v>5892</v>
      </c>
      <c r="C3192" s="116" t="s">
        <v>5893</v>
      </c>
      <c r="D3192" s="38"/>
      <c r="E3192" s="42">
        <v>1</v>
      </c>
      <c r="F3192" s="9"/>
      <c r="G3192" s="8">
        <f t="shared" si="108"/>
        <v>2.6250000000000002E-2</v>
      </c>
      <c r="H3192" s="188">
        <v>2.5000000000000001E-2</v>
      </c>
      <c r="I3192" s="19">
        <f t="shared" si="109"/>
        <v>0</v>
      </c>
      <c r="L3192" s="131"/>
      <c r="M3192" s="131"/>
      <c r="N3192" s="131"/>
    </row>
    <row r="3193" spans="1:14" hidden="1">
      <c r="A3193" s="100" t="s">
        <v>862</v>
      </c>
      <c r="B3193" s="101" t="s">
        <v>5894</v>
      </c>
      <c r="C3193" s="115" t="s">
        <v>5895</v>
      </c>
      <c r="D3193" s="38"/>
      <c r="E3193" s="42">
        <v>1</v>
      </c>
      <c r="F3193" s="9"/>
      <c r="G3193" s="8">
        <f t="shared" si="108"/>
        <v>0.94132499999999997</v>
      </c>
      <c r="H3193" s="188">
        <v>0.89649999999999996</v>
      </c>
      <c r="I3193" s="19">
        <f t="shared" si="109"/>
        <v>0</v>
      </c>
      <c r="L3193" s="131"/>
      <c r="M3193" s="131"/>
      <c r="N3193" s="131"/>
    </row>
    <row r="3194" spans="1:14">
      <c r="A3194" s="100" t="s">
        <v>862</v>
      </c>
      <c r="B3194" s="101" t="s">
        <v>5896</v>
      </c>
      <c r="C3194" s="115" t="s">
        <v>5897</v>
      </c>
      <c r="D3194" s="38"/>
      <c r="E3194" s="42">
        <v>1</v>
      </c>
      <c r="F3194" s="9">
        <v>14</v>
      </c>
      <c r="G3194" s="8">
        <f t="shared" si="108"/>
        <v>0.49979999999999997</v>
      </c>
      <c r="H3194" s="188">
        <v>0.47599999999999998</v>
      </c>
      <c r="I3194" s="19">
        <f t="shared" si="109"/>
        <v>6.9971999999999994</v>
      </c>
      <c r="L3194" s="131"/>
      <c r="M3194" s="131"/>
      <c r="N3194" s="131"/>
    </row>
    <row r="3195" spans="1:14">
      <c r="A3195" s="100" t="s">
        <v>862</v>
      </c>
      <c r="B3195" s="101" t="s">
        <v>5898</v>
      </c>
      <c r="C3195" s="115" t="s">
        <v>5899</v>
      </c>
      <c r="D3195" s="38"/>
      <c r="E3195" s="42">
        <v>1</v>
      </c>
      <c r="F3195" s="9">
        <v>9</v>
      </c>
      <c r="G3195" s="8">
        <f t="shared" si="108"/>
        <v>0.74917500000000004</v>
      </c>
      <c r="H3195" s="188">
        <v>0.71350000000000002</v>
      </c>
      <c r="I3195" s="19">
        <f t="shared" si="109"/>
        <v>6.7425750000000004</v>
      </c>
      <c r="L3195" s="131"/>
      <c r="M3195" s="131"/>
      <c r="N3195" s="131"/>
    </row>
    <row r="3196" spans="1:14" hidden="1">
      <c r="A3196" s="100" t="s">
        <v>862</v>
      </c>
      <c r="B3196" s="101" t="s">
        <v>5900</v>
      </c>
      <c r="C3196" s="115" t="s">
        <v>5901</v>
      </c>
      <c r="D3196" s="38"/>
      <c r="E3196" s="42">
        <v>1</v>
      </c>
      <c r="F3196" s="9"/>
      <c r="G3196" s="8">
        <f t="shared" si="108"/>
        <v>0.91979999999999995</v>
      </c>
      <c r="H3196" s="188">
        <v>0.876</v>
      </c>
      <c r="I3196" s="19">
        <f t="shared" si="109"/>
        <v>0</v>
      </c>
      <c r="L3196" s="131"/>
      <c r="M3196" s="131"/>
      <c r="N3196" s="131"/>
    </row>
    <row r="3197" spans="1:14" hidden="1">
      <c r="A3197" s="100" t="s">
        <v>862</v>
      </c>
      <c r="B3197" s="101" t="s">
        <v>5902</v>
      </c>
      <c r="C3197" s="115" t="s">
        <v>5903</v>
      </c>
      <c r="D3197" s="38"/>
      <c r="E3197" s="42">
        <v>1</v>
      </c>
      <c r="F3197" s="9"/>
      <c r="G3197" s="8">
        <f t="shared" si="108"/>
        <v>0.59587500000000004</v>
      </c>
      <c r="H3197" s="188">
        <v>0.5675</v>
      </c>
      <c r="I3197" s="19">
        <f t="shared" si="109"/>
        <v>0</v>
      </c>
      <c r="L3197" s="131"/>
      <c r="M3197" s="131"/>
      <c r="N3197" s="131"/>
    </row>
    <row r="3198" spans="1:14">
      <c r="A3198" s="100" t="s">
        <v>862</v>
      </c>
      <c r="B3198" s="101" t="s">
        <v>5904</v>
      </c>
      <c r="C3198" s="115" t="s">
        <v>5905</v>
      </c>
      <c r="D3198" s="38"/>
      <c r="E3198" s="42">
        <v>1</v>
      </c>
      <c r="F3198" s="9">
        <f>9+94+26</f>
        <v>129</v>
      </c>
      <c r="G3198" s="8">
        <f t="shared" si="108"/>
        <v>0.56857499999999994</v>
      </c>
      <c r="H3198" s="188">
        <v>0.54149999999999998</v>
      </c>
      <c r="I3198" s="19">
        <f t="shared" si="109"/>
        <v>73.346174999999988</v>
      </c>
      <c r="L3198" s="131"/>
      <c r="M3198" s="131"/>
      <c r="N3198" s="131"/>
    </row>
    <row r="3199" spans="1:14" hidden="1">
      <c r="A3199" s="100" t="s">
        <v>862</v>
      </c>
      <c r="B3199" s="101" t="s">
        <v>5906</v>
      </c>
      <c r="C3199" s="115" t="s">
        <v>5907</v>
      </c>
      <c r="D3199" s="38"/>
      <c r="E3199" s="42">
        <v>1</v>
      </c>
      <c r="F3199" s="9"/>
      <c r="G3199" s="8">
        <f t="shared" si="108"/>
        <v>1.0568249999999999</v>
      </c>
      <c r="H3199" s="188">
        <v>1.0065</v>
      </c>
      <c r="I3199" s="19">
        <f t="shared" si="109"/>
        <v>0</v>
      </c>
      <c r="L3199" s="131"/>
      <c r="M3199" s="131"/>
      <c r="N3199" s="131"/>
    </row>
    <row r="3200" spans="1:14" hidden="1">
      <c r="A3200" s="100" t="s">
        <v>862</v>
      </c>
      <c r="B3200" s="101" t="s">
        <v>5908</v>
      </c>
      <c r="C3200" s="115" t="s">
        <v>5909</v>
      </c>
      <c r="D3200" s="38"/>
      <c r="E3200" s="42">
        <v>1</v>
      </c>
      <c r="F3200" s="9"/>
      <c r="G3200" s="8">
        <f t="shared" si="108"/>
        <v>0.214725</v>
      </c>
      <c r="H3200" s="188">
        <v>0.20449999999999999</v>
      </c>
      <c r="I3200" s="19">
        <f t="shared" si="109"/>
        <v>0</v>
      </c>
      <c r="L3200" s="131"/>
      <c r="M3200" s="131"/>
      <c r="N3200" s="131"/>
    </row>
    <row r="3201" spans="1:14" hidden="1">
      <c r="A3201" s="100" t="s">
        <v>862</v>
      </c>
      <c r="B3201" s="101" t="s">
        <v>5910</v>
      </c>
      <c r="C3201" s="115" t="s">
        <v>5911</v>
      </c>
      <c r="D3201" s="38"/>
      <c r="E3201" s="42">
        <v>1</v>
      </c>
      <c r="F3201" s="9"/>
      <c r="G3201" s="8">
        <f t="shared" si="108"/>
        <v>3.3390000000000004</v>
      </c>
      <c r="H3201" s="188">
        <v>3.18</v>
      </c>
      <c r="I3201" s="19">
        <f t="shared" si="109"/>
        <v>0</v>
      </c>
      <c r="L3201" s="131"/>
      <c r="M3201" s="131"/>
      <c r="N3201" s="131"/>
    </row>
    <row r="3202" spans="1:14" hidden="1">
      <c r="A3202" s="100" t="s">
        <v>862</v>
      </c>
      <c r="B3202" s="101" t="s">
        <v>5912</v>
      </c>
      <c r="C3202" s="115" t="s">
        <v>5913</v>
      </c>
      <c r="D3202" s="38"/>
      <c r="E3202" s="42">
        <v>1</v>
      </c>
      <c r="F3202" s="9"/>
      <c r="G3202" s="8">
        <f t="shared" si="108"/>
        <v>0.25987500000000002</v>
      </c>
      <c r="H3202" s="188">
        <v>0.2475</v>
      </c>
      <c r="I3202" s="19">
        <f t="shared" si="109"/>
        <v>0</v>
      </c>
      <c r="L3202" s="131"/>
      <c r="M3202" s="131"/>
      <c r="N3202" s="131"/>
    </row>
    <row r="3203" spans="1:14" hidden="1">
      <c r="A3203" s="100" t="s">
        <v>862</v>
      </c>
      <c r="B3203" s="114" t="s">
        <v>5914</v>
      </c>
      <c r="C3203" s="116" t="s">
        <v>5915</v>
      </c>
      <c r="D3203" s="38" t="s">
        <v>572</v>
      </c>
      <c r="E3203" s="42">
        <v>1</v>
      </c>
      <c r="F3203" s="9"/>
      <c r="G3203" s="8">
        <f t="shared" si="108"/>
        <v>1.3965000000000001</v>
      </c>
      <c r="H3203" s="188">
        <v>1.33</v>
      </c>
      <c r="I3203" s="19">
        <f t="shared" si="109"/>
        <v>0</v>
      </c>
      <c r="L3203" s="131"/>
      <c r="M3203" s="131"/>
      <c r="N3203" s="131"/>
    </row>
    <row r="3204" spans="1:14" hidden="1">
      <c r="A3204" s="100" t="s">
        <v>862</v>
      </c>
      <c r="B3204" s="101" t="s">
        <v>5916</v>
      </c>
      <c r="C3204" s="115" t="s">
        <v>5917</v>
      </c>
      <c r="D3204" s="38"/>
      <c r="E3204" s="42">
        <v>1</v>
      </c>
      <c r="F3204" s="9"/>
      <c r="G3204" s="8">
        <f t="shared" si="108"/>
        <v>90.09</v>
      </c>
      <c r="H3204" s="188">
        <v>85.8</v>
      </c>
      <c r="I3204" s="19">
        <f t="shared" si="109"/>
        <v>0</v>
      </c>
      <c r="L3204" s="131"/>
      <c r="M3204" s="131"/>
      <c r="N3204" s="131"/>
    </row>
    <row r="3205" spans="1:14" hidden="1">
      <c r="A3205" s="100" t="s">
        <v>862</v>
      </c>
      <c r="B3205" s="101" t="s">
        <v>5918</v>
      </c>
      <c r="C3205" s="115" t="s">
        <v>5919</v>
      </c>
      <c r="D3205" s="38"/>
      <c r="E3205" s="42">
        <v>1</v>
      </c>
      <c r="F3205" s="9"/>
      <c r="G3205" s="8">
        <f t="shared" si="108"/>
        <v>90.09</v>
      </c>
      <c r="H3205" s="188">
        <v>85.8</v>
      </c>
      <c r="I3205" s="19">
        <f t="shared" si="109"/>
        <v>0</v>
      </c>
      <c r="L3205" s="131"/>
      <c r="M3205" s="131"/>
      <c r="N3205" s="131"/>
    </row>
    <row r="3206" spans="1:14" hidden="1">
      <c r="A3206" s="100" t="s">
        <v>862</v>
      </c>
      <c r="B3206" s="101" t="s">
        <v>5920</v>
      </c>
      <c r="C3206" s="115" t="s">
        <v>5921</v>
      </c>
      <c r="D3206" s="38"/>
      <c r="E3206" s="42">
        <v>1</v>
      </c>
      <c r="F3206" s="9"/>
      <c r="G3206" s="8">
        <f t="shared" si="108"/>
        <v>6.7199999999999996E-2</v>
      </c>
      <c r="H3206" s="188">
        <v>6.4000000000000001E-2</v>
      </c>
      <c r="I3206" s="19">
        <f t="shared" si="109"/>
        <v>0</v>
      </c>
      <c r="L3206" s="131"/>
      <c r="M3206" s="131"/>
      <c r="N3206" s="131"/>
    </row>
    <row r="3207" spans="1:14" hidden="1">
      <c r="A3207" s="100" t="s">
        <v>862</v>
      </c>
      <c r="B3207" s="101" t="s">
        <v>5922</v>
      </c>
      <c r="C3207" s="115" t="s">
        <v>5923</v>
      </c>
      <c r="D3207" s="38"/>
      <c r="E3207" s="42">
        <v>1</v>
      </c>
      <c r="F3207" s="9"/>
      <c r="G3207" s="8">
        <f t="shared" si="108"/>
        <v>8.0324999999999994E-2</v>
      </c>
      <c r="H3207" s="188">
        <v>7.6499999999999999E-2</v>
      </c>
      <c r="I3207" s="19">
        <f t="shared" si="109"/>
        <v>0</v>
      </c>
      <c r="L3207" s="131"/>
      <c r="M3207" s="131"/>
      <c r="N3207" s="131"/>
    </row>
    <row r="3208" spans="1:14" hidden="1">
      <c r="A3208" s="100" t="s">
        <v>862</v>
      </c>
      <c r="B3208" s="101" t="s">
        <v>5924</v>
      </c>
      <c r="C3208" s="115" t="s">
        <v>5925</v>
      </c>
      <c r="D3208" s="38"/>
      <c r="E3208" s="42">
        <v>1</v>
      </c>
      <c r="F3208" s="9"/>
      <c r="G3208" s="8">
        <f t="shared" si="108"/>
        <v>13.581750000000001</v>
      </c>
      <c r="H3208" s="188">
        <v>12.935</v>
      </c>
      <c r="I3208" s="19">
        <f t="shared" si="109"/>
        <v>0</v>
      </c>
      <c r="L3208" s="131"/>
      <c r="M3208" s="131"/>
      <c r="N3208" s="131"/>
    </row>
    <row r="3209" spans="1:14" hidden="1">
      <c r="A3209" s="100" t="s">
        <v>862</v>
      </c>
      <c r="B3209" s="101" t="s">
        <v>5926</v>
      </c>
      <c r="C3209" s="115" t="s">
        <v>5927</v>
      </c>
      <c r="D3209" s="38"/>
      <c r="E3209" s="42">
        <v>1</v>
      </c>
      <c r="F3209" s="9"/>
      <c r="G3209" s="8">
        <f t="shared" si="108"/>
        <v>16.448249999999998</v>
      </c>
      <c r="H3209" s="188">
        <v>15.664999999999999</v>
      </c>
      <c r="I3209" s="19">
        <f t="shared" si="109"/>
        <v>0</v>
      </c>
      <c r="L3209" s="131"/>
      <c r="M3209" s="131"/>
      <c r="N3209" s="131"/>
    </row>
    <row r="3210" spans="1:14" hidden="1">
      <c r="A3210" s="100" t="s">
        <v>862</v>
      </c>
      <c r="B3210" s="101" t="s">
        <v>5928</v>
      </c>
      <c r="C3210" s="115" t="s">
        <v>5929</v>
      </c>
      <c r="D3210" s="38"/>
      <c r="E3210" s="42">
        <v>1</v>
      </c>
      <c r="F3210" s="9"/>
      <c r="G3210" s="8">
        <f t="shared" si="108"/>
        <v>21.976500000000001</v>
      </c>
      <c r="H3210" s="188">
        <v>20.93</v>
      </c>
      <c r="I3210" s="19">
        <f t="shared" si="109"/>
        <v>0</v>
      </c>
      <c r="L3210" s="131"/>
      <c r="M3210" s="131"/>
      <c r="N3210" s="131"/>
    </row>
    <row r="3211" spans="1:14" hidden="1">
      <c r="A3211" s="100" t="s">
        <v>862</v>
      </c>
      <c r="B3211" s="101" t="s">
        <v>5930</v>
      </c>
      <c r="C3211" s="115" t="s">
        <v>5931</v>
      </c>
      <c r="D3211" s="38"/>
      <c r="E3211" s="42">
        <v>1</v>
      </c>
      <c r="F3211" s="9"/>
      <c r="G3211" s="8">
        <f t="shared" si="108"/>
        <v>22.044750000000001</v>
      </c>
      <c r="H3211" s="188">
        <v>20.995000000000001</v>
      </c>
      <c r="I3211" s="19">
        <f t="shared" si="109"/>
        <v>0</v>
      </c>
      <c r="L3211" s="131"/>
      <c r="M3211" s="131"/>
      <c r="N3211" s="131"/>
    </row>
    <row r="3212" spans="1:14" hidden="1">
      <c r="A3212" s="100" t="s">
        <v>862</v>
      </c>
      <c r="B3212" s="101" t="s">
        <v>5932</v>
      </c>
      <c r="C3212" s="115" t="s">
        <v>5933</v>
      </c>
      <c r="D3212" s="38"/>
      <c r="E3212" s="42">
        <v>1</v>
      </c>
      <c r="F3212" s="9"/>
      <c r="G3212" s="8">
        <f t="shared" si="108"/>
        <v>7.9852500000000006</v>
      </c>
      <c r="H3212" s="188">
        <v>7.6050000000000004</v>
      </c>
      <c r="I3212" s="19">
        <f t="shared" si="109"/>
        <v>0</v>
      </c>
      <c r="L3212" s="131"/>
      <c r="M3212" s="131"/>
      <c r="N3212" s="131"/>
    </row>
    <row r="3213" spans="1:14" hidden="1">
      <c r="A3213" s="100" t="s">
        <v>862</v>
      </c>
      <c r="B3213" s="101" t="s">
        <v>5934</v>
      </c>
      <c r="C3213" s="115" t="s">
        <v>5935</v>
      </c>
      <c r="D3213" s="38"/>
      <c r="E3213" s="42">
        <v>1</v>
      </c>
      <c r="F3213" s="9"/>
      <c r="G3213" s="8">
        <f t="shared" si="108"/>
        <v>11.94375</v>
      </c>
      <c r="H3213" s="188">
        <v>11.375</v>
      </c>
      <c r="I3213" s="19">
        <f t="shared" si="109"/>
        <v>0</v>
      </c>
      <c r="L3213" s="131"/>
      <c r="M3213" s="131"/>
      <c r="N3213" s="131"/>
    </row>
    <row r="3214" spans="1:14" hidden="1">
      <c r="A3214" s="100" t="s">
        <v>862</v>
      </c>
      <c r="B3214" s="101" t="s">
        <v>5936</v>
      </c>
      <c r="C3214" s="115" t="s">
        <v>5937</v>
      </c>
      <c r="D3214" s="38"/>
      <c r="E3214" s="42">
        <v>1</v>
      </c>
      <c r="F3214" s="9"/>
      <c r="G3214" s="8">
        <f t="shared" si="108"/>
        <v>12.449325</v>
      </c>
      <c r="H3214" s="188">
        <v>11.8565</v>
      </c>
      <c r="I3214" s="19">
        <f t="shared" si="109"/>
        <v>0</v>
      </c>
      <c r="L3214" s="131"/>
      <c r="M3214" s="131"/>
      <c r="N3214" s="131"/>
    </row>
    <row r="3215" spans="1:14" hidden="1">
      <c r="A3215" s="100" t="s">
        <v>862</v>
      </c>
      <c r="B3215" s="101" t="s">
        <v>5938</v>
      </c>
      <c r="C3215" s="115" t="s">
        <v>5939</v>
      </c>
      <c r="D3215" s="38"/>
      <c r="E3215" s="42">
        <v>1</v>
      </c>
      <c r="F3215" s="9"/>
      <c r="G3215" s="8">
        <f t="shared" si="108"/>
        <v>10.660125000000001</v>
      </c>
      <c r="H3215" s="188">
        <v>10.1525</v>
      </c>
      <c r="I3215" s="19">
        <f t="shared" si="109"/>
        <v>0</v>
      </c>
      <c r="L3215" s="131"/>
      <c r="M3215" s="131"/>
      <c r="N3215" s="131"/>
    </row>
    <row r="3216" spans="1:14" hidden="1">
      <c r="A3216" s="100" t="s">
        <v>862</v>
      </c>
      <c r="B3216" s="101" t="s">
        <v>5940</v>
      </c>
      <c r="C3216" s="115" t="s">
        <v>5941</v>
      </c>
      <c r="D3216" s="38"/>
      <c r="E3216" s="42">
        <v>1</v>
      </c>
      <c r="F3216" s="9"/>
      <c r="G3216" s="8">
        <f t="shared" si="108"/>
        <v>1.446375</v>
      </c>
      <c r="H3216" s="188">
        <v>1.3774999999999999</v>
      </c>
      <c r="I3216" s="19">
        <f t="shared" si="109"/>
        <v>0</v>
      </c>
      <c r="L3216" s="131"/>
      <c r="M3216" s="131"/>
      <c r="N3216" s="131"/>
    </row>
    <row r="3217" spans="1:14" hidden="1">
      <c r="A3217" s="100" t="s">
        <v>862</v>
      </c>
      <c r="B3217" s="101" t="s">
        <v>5942</v>
      </c>
      <c r="C3217" s="115" t="s">
        <v>5943</v>
      </c>
      <c r="D3217" s="38"/>
      <c r="E3217" s="42">
        <v>1</v>
      </c>
      <c r="F3217" s="9"/>
      <c r="G3217" s="8">
        <f t="shared" si="108"/>
        <v>0.55387500000000001</v>
      </c>
      <c r="H3217" s="188">
        <v>0.52749999999999997</v>
      </c>
      <c r="I3217" s="19">
        <f t="shared" si="109"/>
        <v>0</v>
      </c>
      <c r="L3217" s="131"/>
      <c r="M3217" s="131"/>
      <c r="N3217" s="131"/>
    </row>
    <row r="3218" spans="1:14" hidden="1">
      <c r="A3218" s="100" t="s">
        <v>862</v>
      </c>
      <c r="B3218" s="101" t="s">
        <v>5944</v>
      </c>
      <c r="C3218" s="115" t="s">
        <v>5945</v>
      </c>
      <c r="D3218" s="38"/>
      <c r="E3218" s="42">
        <v>1</v>
      </c>
      <c r="F3218" s="9"/>
      <c r="G3218" s="8">
        <f t="shared" si="108"/>
        <v>6.8082000000000003</v>
      </c>
      <c r="H3218" s="188">
        <v>6.484</v>
      </c>
      <c r="I3218" s="19">
        <f t="shared" si="109"/>
        <v>0</v>
      </c>
      <c r="L3218" s="131"/>
      <c r="M3218" s="131"/>
      <c r="N3218" s="131"/>
    </row>
    <row r="3219" spans="1:14" hidden="1">
      <c r="A3219" s="100" t="s">
        <v>862</v>
      </c>
      <c r="B3219" s="101" t="s">
        <v>5946</v>
      </c>
      <c r="C3219" s="115" t="s">
        <v>5947</v>
      </c>
      <c r="D3219" s="38"/>
      <c r="E3219" s="42">
        <v>1</v>
      </c>
      <c r="F3219" s="9"/>
      <c r="G3219" s="8">
        <f t="shared" si="108"/>
        <v>3.3867749999999996</v>
      </c>
      <c r="H3219" s="188">
        <v>3.2254999999999998</v>
      </c>
      <c r="I3219" s="19">
        <f t="shared" si="109"/>
        <v>0</v>
      </c>
      <c r="L3219" s="131"/>
      <c r="M3219" s="131"/>
      <c r="N3219" s="131"/>
    </row>
    <row r="3220" spans="1:14" hidden="1">
      <c r="A3220" s="100" t="s">
        <v>862</v>
      </c>
      <c r="B3220" s="101" t="s">
        <v>5948</v>
      </c>
      <c r="C3220" s="115" t="s">
        <v>5949</v>
      </c>
      <c r="D3220" s="38"/>
      <c r="E3220" s="42">
        <v>1</v>
      </c>
      <c r="F3220" s="9"/>
      <c r="G3220" s="8">
        <f t="shared" si="108"/>
        <v>0.782775</v>
      </c>
      <c r="H3220" s="188">
        <v>0.74550000000000005</v>
      </c>
      <c r="I3220" s="19">
        <f t="shared" si="109"/>
        <v>0</v>
      </c>
      <c r="L3220" s="131"/>
      <c r="M3220" s="131"/>
      <c r="N3220" s="131"/>
    </row>
    <row r="3221" spans="1:14" hidden="1">
      <c r="A3221" s="100" t="s">
        <v>862</v>
      </c>
      <c r="B3221" s="101" t="s">
        <v>5950</v>
      </c>
      <c r="C3221" s="115" t="s">
        <v>5951</v>
      </c>
      <c r="D3221" s="38"/>
      <c r="E3221" s="42">
        <v>1</v>
      </c>
      <c r="F3221" s="9"/>
      <c r="G3221" s="8">
        <f t="shared" si="108"/>
        <v>3.4187999999999996</v>
      </c>
      <c r="H3221" s="188">
        <v>3.2559999999999998</v>
      </c>
      <c r="I3221" s="19">
        <f t="shared" si="109"/>
        <v>0</v>
      </c>
      <c r="L3221" s="131"/>
      <c r="M3221" s="131"/>
      <c r="N3221" s="131"/>
    </row>
    <row r="3222" spans="1:14" hidden="1">
      <c r="A3222" s="100" t="s">
        <v>862</v>
      </c>
      <c r="B3222" s="101" t="s">
        <v>5952</v>
      </c>
      <c r="C3222" s="115" t="s">
        <v>5953</v>
      </c>
      <c r="D3222" s="38"/>
      <c r="E3222" s="42">
        <v>1</v>
      </c>
      <c r="F3222" s="9"/>
      <c r="G3222" s="8">
        <f t="shared" si="108"/>
        <v>0.88882499999999998</v>
      </c>
      <c r="H3222" s="188">
        <v>0.84650000000000003</v>
      </c>
      <c r="I3222" s="19">
        <f t="shared" si="109"/>
        <v>0</v>
      </c>
      <c r="L3222" s="131"/>
      <c r="M3222" s="131"/>
      <c r="N3222" s="131"/>
    </row>
    <row r="3223" spans="1:14" hidden="1">
      <c r="A3223" s="100" t="s">
        <v>862</v>
      </c>
      <c r="B3223" s="101" t="s">
        <v>5954</v>
      </c>
      <c r="C3223" s="115" t="s">
        <v>5955</v>
      </c>
      <c r="D3223" s="38"/>
      <c r="E3223" s="42">
        <v>1</v>
      </c>
      <c r="F3223" s="9"/>
      <c r="G3223" s="8">
        <f t="shared" si="108"/>
        <v>12.646725</v>
      </c>
      <c r="H3223" s="188">
        <v>12.044499999999999</v>
      </c>
      <c r="I3223" s="19">
        <f t="shared" si="109"/>
        <v>0</v>
      </c>
      <c r="L3223" s="131"/>
      <c r="M3223" s="131"/>
      <c r="N3223" s="131"/>
    </row>
    <row r="3224" spans="1:14" hidden="1">
      <c r="A3224" s="100" t="s">
        <v>862</v>
      </c>
      <c r="B3224" s="101" t="s">
        <v>5956</v>
      </c>
      <c r="C3224" s="115" t="s">
        <v>5957</v>
      </c>
      <c r="D3224" s="38"/>
      <c r="E3224" s="42">
        <v>1</v>
      </c>
      <c r="F3224" s="9"/>
      <c r="G3224" s="8">
        <f t="shared" si="108"/>
        <v>12.646725</v>
      </c>
      <c r="H3224" s="188">
        <v>12.044499999999999</v>
      </c>
      <c r="I3224" s="19">
        <f t="shared" si="109"/>
        <v>0</v>
      </c>
      <c r="L3224" s="131"/>
      <c r="M3224" s="131"/>
      <c r="N3224" s="131"/>
    </row>
    <row r="3225" spans="1:14" hidden="1">
      <c r="A3225" s="100" t="s">
        <v>862</v>
      </c>
      <c r="B3225" s="101" t="s">
        <v>5958</v>
      </c>
      <c r="C3225" s="115" t="s">
        <v>5959</v>
      </c>
      <c r="D3225" s="38"/>
      <c r="E3225" s="42">
        <v>1</v>
      </c>
      <c r="F3225" s="9"/>
      <c r="G3225" s="8">
        <f t="shared" si="108"/>
        <v>12.646725</v>
      </c>
      <c r="H3225" s="188">
        <v>12.044499999999999</v>
      </c>
      <c r="I3225" s="19">
        <f t="shared" si="109"/>
        <v>0</v>
      </c>
      <c r="L3225" s="131"/>
      <c r="M3225" s="131"/>
      <c r="N3225" s="131"/>
    </row>
    <row r="3226" spans="1:14" hidden="1">
      <c r="A3226" s="100" t="s">
        <v>862</v>
      </c>
      <c r="B3226" s="101" t="s">
        <v>5960</v>
      </c>
      <c r="C3226" s="115" t="s">
        <v>5961</v>
      </c>
      <c r="D3226" s="38"/>
      <c r="E3226" s="42">
        <v>1</v>
      </c>
      <c r="F3226" s="9"/>
      <c r="G3226" s="8">
        <f t="shared" si="108"/>
        <v>12.646725</v>
      </c>
      <c r="H3226" s="188">
        <v>12.044499999999999</v>
      </c>
      <c r="I3226" s="19">
        <f t="shared" si="109"/>
        <v>0</v>
      </c>
      <c r="L3226" s="131"/>
      <c r="M3226" s="131"/>
      <c r="N3226" s="131"/>
    </row>
    <row r="3227" spans="1:14" hidden="1">
      <c r="A3227" s="100" t="s">
        <v>862</v>
      </c>
      <c r="B3227" s="101" t="s">
        <v>5962</v>
      </c>
      <c r="C3227" s="115" t="s">
        <v>5963</v>
      </c>
      <c r="D3227" s="38"/>
      <c r="E3227" s="42">
        <v>1</v>
      </c>
      <c r="F3227" s="9"/>
      <c r="G3227" s="8">
        <f t="shared" si="108"/>
        <v>12.646725</v>
      </c>
      <c r="H3227" s="188">
        <v>12.044499999999999</v>
      </c>
      <c r="I3227" s="19">
        <f t="shared" si="109"/>
        <v>0</v>
      </c>
      <c r="L3227" s="131"/>
      <c r="M3227" s="131"/>
      <c r="N3227" s="131"/>
    </row>
    <row r="3228" spans="1:14" hidden="1">
      <c r="A3228" s="100" t="s">
        <v>862</v>
      </c>
      <c r="B3228" s="102" t="s">
        <v>5964</v>
      </c>
      <c r="C3228" s="2" t="s">
        <v>5965</v>
      </c>
      <c r="D3228" s="38"/>
      <c r="E3228" s="42">
        <v>1</v>
      </c>
      <c r="F3228" s="9"/>
      <c r="G3228" s="8">
        <f t="shared" si="108"/>
        <v>12.646725</v>
      </c>
      <c r="H3228" s="188">
        <v>12.044499999999999</v>
      </c>
      <c r="I3228" s="19">
        <f t="shared" si="109"/>
        <v>0</v>
      </c>
      <c r="L3228" s="131"/>
      <c r="M3228" s="131"/>
      <c r="N3228" s="131"/>
    </row>
    <row r="3229" spans="1:14" hidden="1">
      <c r="A3229" s="100" t="s">
        <v>862</v>
      </c>
      <c r="B3229" s="101" t="s">
        <v>5966</v>
      </c>
      <c r="C3229" s="115" t="s">
        <v>5967</v>
      </c>
      <c r="D3229" s="38"/>
      <c r="E3229" s="42">
        <v>1</v>
      </c>
      <c r="F3229" s="9"/>
      <c r="G3229" s="8">
        <f t="shared" si="108"/>
        <v>17.309249999999999</v>
      </c>
      <c r="H3229" s="188">
        <v>16.484999999999999</v>
      </c>
      <c r="I3229" s="19">
        <f t="shared" si="109"/>
        <v>0</v>
      </c>
      <c r="L3229" s="131"/>
      <c r="M3229" s="131"/>
      <c r="N3229" s="131"/>
    </row>
    <row r="3230" spans="1:14" hidden="1">
      <c r="A3230" s="100" t="s">
        <v>862</v>
      </c>
      <c r="B3230" s="101" t="s">
        <v>5968</v>
      </c>
      <c r="C3230" s="115" t="s">
        <v>5969</v>
      </c>
      <c r="D3230" s="38"/>
      <c r="E3230" s="42">
        <v>1</v>
      </c>
      <c r="F3230" s="9"/>
      <c r="G3230" s="8">
        <f t="shared" si="108"/>
        <v>24.558450000000001</v>
      </c>
      <c r="H3230" s="188">
        <v>23.388999999999999</v>
      </c>
      <c r="I3230" s="19">
        <f t="shared" si="109"/>
        <v>0</v>
      </c>
      <c r="L3230" s="131"/>
      <c r="M3230" s="131"/>
      <c r="N3230" s="131"/>
    </row>
    <row r="3231" spans="1:14" hidden="1">
      <c r="A3231" s="100" t="s">
        <v>862</v>
      </c>
      <c r="B3231" s="101" t="s">
        <v>5970</v>
      </c>
      <c r="C3231" s="115" t="s">
        <v>5971</v>
      </c>
      <c r="D3231" s="38"/>
      <c r="E3231" s="42">
        <v>1</v>
      </c>
      <c r="F3231" s="9"/>
      <c r="G3231" s="8">
        <f t="shared" si="108"/>
        <v>11.273325</v>
      </c>
      <c r="H3231" s="188">
        <v>10.736499999999999</v>
      </c>
      <c r="I3231" s="19">
        <f t="shared" si="109"/>
        <v>0</v>
      </c>
      <c r="L3231" s="131"/>
      <c r="M3231" s="131"/>
      <c r="N3231" s="131"/>
    </row>
    <row r="3232" spans="1:14" hidden="1">
      <c r="A3232" s="100" t="s">
        <v>862</v>
      </c>
      <c r="B3232" s="101" t="s">
        <v>5972</v>
      </c>
      <c r="C3232" s="115" t="s">
        <v>5973</v>
      </c>
      <c r="D3232" s="38"/>
      <c r="E3232" s="42">
        <v>1</v>
      </c>
      <c r="F3232" s="9"/>
      <c r="G3232" s="8">
        <f t="shared" si="108"/>
        <v>44.651249999999997</v>
      </c>
      <c r="H3232" s="188">
        <v>42.524999999999999</v>
      </c>
      <c r="I3232" s="19">
        <f t="shared" si="109"/>
        <v>0</v>
      </c>
      <c r="L3232" s="131"/>
      <c r="M3232" s="131"/>
      <c r="N3232" s="131"/>
    </row>
    <row r="3233" spans="1:14" hidden="1">
      <c r="A3233" s="100" t="s">
        <v>862</v>
      </c>
      <c r="B3233" s="101" t="s">
        <v>5974</v>
      </c>
      <c r="C3233" s="115" t="s">
        <v>5975</v>
      </c>
      <c r="D3233" s="38"/>
      <c r="E3233" s="42">
        <v>1</v>
      </c>
      <c r="F3233" s="9"/>
      <c r="G3233" s="8">
        <f t="shared" si="108"/>
        <v>44.651249999999997</v>
      </c>
      <c r="H3233" s="188">
        <v>42.524999999999999</v>
      </c>
      <c r="I3233" s="19">
        <f t="shared" si="109"/>
        <v>0</v>
      </c>
      <c r="L3233" s="131"/>
      <c r="M3233" s="131"/>
      <c r="N3233" s="131"/>
    </row>
    <row r="3234" spans="1:14" hidden="1">
      <c r="A3234" s="100" t="s">
        <v>862</v>
      </c>
      <c r="B3234" s="101" t="s">
        <v>5976</v>
      </c>
      <c r="C3234" s="115" t="s">
        <v>5977</v>
      </c>
      <c r="D3234" s="38"/>
      <c r="E3234" s="42">
        <v>1</v>
      </c>
      <c r="F3234" s="9"/>
      <c r="G3234" s="8">
        <f t="shared" si="108"/>
        <v>34.604849999999999</v>
      </c>
      <c r="H3234" s="188">
        <v>32.957000000000001</v>
      </c>
      <c r="I3234" s="19">
        <f t="shared" si="109"/>
        <v>0</v>
      </c>
      <c r="L3234" s="131"/>
      <c r="M3234" s="131"/>
      <c r="N3234" s="131"/>
    </row>
    <row r="3235" spans="1:14" hidden="1">
      <c r="A3235" s="100" t="s">
        <v>862</v>
      </c>
      <c r="B3235" s="101" t="s">
        <v>5978</v>
      </c>
      <c r="C3235" s="115" t="s">
        <v>5979</v>
      </c>
      <c r="D3235" s="38"/>
      <c r="E3235" s="42">
        <v>1</v>
      </c>
      <c r="F3235" s="9"/>
      <c r="G3235" s="8">
        <f t="shared" si="108"/>
        <v>17.309249999999999</v>
      </c>
      <c r="H3235" s="188">
        <v>16.484999999999999</v>
      </c>
      <c r="I3235" s="19">
        <f t="shared" si="109"/>
        <v>0</v>
      </c>
      <c r="L3235" s="131"/>
      <c r="M3235" s="131"/>
      <c r="N3235" s="131"/>
    </row>
    <row r="3236" spans="1:14" hidden="1">
      <c r="A3236" s="100" t="s">
        <v>862</v>
      </c>
      <c r="B3236" s="101" t="s">
        <v>5980</v>
      </c>
      <c r="C3236" s="115" t="s">
        <v>5981</v>
      </c>
      <c r="D3236" s="38"/>
      <c r="E3236" s="42">
        <v>1</v>
      </c>
      <c r="F3236" s="9"/>
      <c r="G3236" s="8">
        <f t="shared" si="108"/>
        <v>7.9243499999999996</v>
      </c>
      <c r="H3236" s="188">
        <v>7.5469999999999997</v>
      </c>
      <c r="I3236" s="19">
        <f t="shared" si="109"/>
        <v>0</v>
      </c>
      <c r="L3236" s="131"/>
      <c r="M3236" s="131"/>
      <c r="N3236" s="131"/>
    </row>
    <row r="3237" spans="1:14" hidden="1">
      <c r="A3237" s="100" t="s">
        <v>862</v>
      </c>
      <c r="B3237" s="101" t="s">
        <v>5982</v>
      </c>
      <c r="C3237" s="115" t="s">
        <v>5983</v>
      </c>
      <c r="D3237" s="38"/>
      <c r="E3237" s="42">
        <v>1</v>
      </c>
      <c r="F3237" s="9"/>
      <c r="G3237" s="8">
        <f t="shared" ref="G3237:G3300" si="110">H3237+(H3237*5%)</f>
        <v>10.1157</v>
      </c>
      <c r="H3237" s="188">
        <v>9.6340000000000003</v>
      </c>
      <c r="I3237" s="19">
        <f t="shared" si="109"/>
        <v>0</v>
      </c>
      <c r="L3237" s="131"/>
      <c r="M3237" s="131"/>
      <c r="N3237" s="131"/>
    </row>
    <row r="3238" spans="1:14" hidden="1">
      <c r="A3238" s="100" t="s">
        <v>862</v>
      </c>
      <c r="B3238" s="101" t="s">
        <v>5984</v>
      </c>
      <c r="C3238" s="115" t="s">
        <v>5985</v>
      </c>
      <c r="D3238" s="38"/>
      <c r="E3238" s="42">
        <v>1</v>
      </c>
      <c r="F3238" s="9"/>
      <c r="G3238" s="8">
        <f t="shared" si="110"/>
        <v>7.9243499999999996</v>
      </c>
      <c r="H3238" s="188">
        <v>7.5469999999999997</v>
      </c>
      <c r="I3238" s="19">
        <f t="shared" si="109"/>
        <v>0</v>
      </c>
      <c r="L3238" s="131"/>
      <c r="M3238" s="131"/>
      <c r="N3238" s="131"/>
    </row>
    <row r="3239" spans="1:14" hidden="1">
      <c r="A3239" s="100" t="s">
        <v>862</v>
      </c>
      <c r="B3239" s="101" t="s">
        <v>5986</v>
      </c>
      <c r="C3239" s="115" t="s">
        <v>5987</v>
      </c>
      <c r="D3239" s="38"/>
      <c r="E3239" s="42">
        <v>1</v>
      </c>
      <c r="F3239" s="9"/>
      <c r="G3239" s="8">
        <f t="shared" si="110"/>
        <v>51.349200000000003</v>
      </c>
      <c r="H3239" s="188">
        <v>48.904000000000003</v>
      </c>
      <c r="I3239" s="19">
        <f t="shared" ref="I3239:I3302" si="111">G3239*F3239</f>
        <v>0</v>
      </c>
      <c r="L3239" s="131"/>
      <c r="M3239" s="131"/>
      <c r="N3239" s="131"/>
    </row>
    <row r="3240" spans="1:14" hidden="1">
      <c r="A3240" s="100" t="s">
        <v>862</v>
      </c>
      <c r="B3240" s="101" t="s">
        <v>5988</v>
      </c>
      <c r="C3240" s="115" t="s">
        <v>5989</v>
      </c>
      <c r="D3240" s="38"/>
      <c r="E3240" s="42">
        <v>1</v>
      </c>
      <c r="F3240" s="9"/>
      <c r="G3240" s="8">
        <f t="shared" si="110"/>
        <v>51.349200000000003</v>
      </c>
      <c r="H3240" s="188">
        <v>48.904000000000003</v>
      </c>
      <c r="I3240" s="19">
        <f t="shared" si="111"/>
        <v>0</v>
      </c>
      <c r="L3240" s="131"/>
      <c r="M3240" s="131"/>
      <c r="N3240" s="131"/>
    </row>
    <row r="3241" spans="1:14" hidden="1">
      <c r="A3241" s="100" t="s">
        <v>862</v>
      </c>
      <c r="B3241" s="101" t="s">
        <v>5990</v>
      </c>
      <c r="C3241" s="115" t="s">
        <v>5991</v>
      </c>
      <c r="D3241" s="38"/>
      <c r="E3241" s="42">
        <v>1</v>
      </c>
      <c r="F3241" s="9"/>
      <c r="G3241" s="8">
        <f t="shared" si="110"/>
        <v>53.581499999999998</v>
      </c>
      <c r="H3241" s="188">
        <v>51.03</v>
      </c>
      <c r="I3241" s="19">
        <f t="shared" si="111"/>
        <v>0</v>
      </c>
      <c r="L3241" s="131"/>
      <c r="M3241" s="131"/>
      <c r="N3241" s="131"/>
    </row>
    <row r="3242" spans="1:14" hidden="1">
      <c r="A3242" s="100" t="s">
        <v>862</v>
      </c>
      <c r="B3242" s="101" t="s">
        <v>5992</v>
      </c>
      <c r="C3242" s="115" t="s">
        <v>5993</v>
      </c>
      <c r="D3242" s="38"/>
      <c r="E3242" s="42">
        <v>1</v>
      </c>
      <c r="F3242" s="9"/>
      <c r="G3242" s="8">
        <f t="shared" si="110"/>
        <v>53.581499999999998</v>
      </c>
      <c r="H3242" s="188">
        <v>51.03</v>
      </c>
      <c r="I3242" s="19">
        <f t="shared" si="111"/>
        <v>0</v>
      </c>
      <c r="L3242" s="131"/>
      <c r="M3242" s="131"/>
      <c r="N3242" s="131"/>
    </row>
    <row r="3243" spans="1:14" hidden="1">
      <c r="A3243" s="100" t="s">
        <v>862</v>
      </c>
      <c r="B3243" s="101" t="s">
        <v>5994</v>
      </c>
      <c r="C3243" s="115" t="s">
        <v>5995</v>
      </c>
      <c r="D3243" s="38"/>
      <c r="E3243" s="42">
        <v>1</v>
      </c>
      <c r="F3243" s="9"/>
      <c r="G3243" s="8">
        <f t="shared" si="110"/>
        <v>116.09325</v>
      </c>
      <c r="H3243" s="188">
        <v>110.565</v>
      </c>
      <c r="I3243" s="19">
        <f t="shared" si="111"/>
        <v>0</v>
      </c>
      <c r="L3243" s="131"/>
      <c r="M3243" s="131"/>
      <c r="N3243" s="131"/>
    </row>
    <row r="3244" spans="1:14" hidden="1">
      <c r="A3244" s="100" t="s">
        <v>862</v>
      </c>
      <c r="B3244" s="101" t="s">
        <v>5996</v>
      </c>
      <c r="C3244" s="115" t="s">
        <v>5997</v>
      </c>
      <c r="D3244" s="38"/>
      <c r="E3244" s="42">
        <v>1</v>
      </c>
      <c r="F3244" s="9"/>
      <c r="G3244" s="8">
        <f t="shared" si="110"/>
        <v>129.48862500000001</v>
      </c>
      <c r="H3244" s="188">
        <v>123.32250000000001</v>
      </c>
      <c r="I3244" s="19">
        <f t="shared" si="111"/>
        <v>0</v>
      </c>
      <c r="L3244" s="131"/>
      <c r="M3244" s="131"/>
      <c r="N3244" s="131"/>
    </row>
    <row r="3245" spans="1:14" hidden="1">
      <c r="A3245" s="100" t="s">
        <v>862</v>
      </c>
      <c r="B3245" s="101" t="s">
        <v>5998</v>
      </c>
      <c r="C3245" s="115" t="s">
        <v>5999</v>
      </c>
      <c r="D3245" s="38"/>
      <c r="E3245" s="42">
        <v>1</v>
      </c>
      <c r="F3245" s="9"/>
      <c r="G3245" s="8">
        <f t="shared" si="110"/>
        <v>41.302275000000002</v>
      </c>
      <c r="H3245" s="188">
        <v>39.335500000000003</v>
      </c>
      <c r="I3245" s="19">
        <f t="shared" si="111"/>
        <v>0</v>
      </c>
      <c r="L3245" s="131"/>
      <c r="M3245" s="131"/>
      <c r="N3245" s="131"/>
    </row>
    <row r="3246" spans="1:14" hidden="1">
      <c r="A3246" s="100" t="s">
        <v>862</v>
      </c>
      <c r="B3246" s="101" t="s">
        <v>6000</v>
      </c>
      <c r="C3246" s="115" t="s">
        <v>6001</v>
      </c>
      <c r="D3246" s="38"/>
      <c r="E3246" s="42">
        <v>1</v>
      </c>
      <c r="F3246" s="9"/>
      <c r="G3246" s="8">
        <f t="shared" si="110"/>
        <v>41.302275000000002</v>
      </c>
      <c r="H3246" s="188">
        <v>39.335500000000003</v>
      </c>
      <c r="I3246" s="19">
        <f t="shared" si="111"/>
        <v>0</v>
      </c>
      <c r="L3246" s="131"/>
      <c r="M3246" s="131"/>
      <c r="N3246" s="131"/>
    </row>
    <row r="3247" spans="1:14" hidden="1">
      <c r="A3247" s="100" t="s">
        <v>862</v>
      </c>
      <c r="B3247" s="101" t="s">
        <v>6002</v>
      </c>
      <c r="C3247" s="115" t="s">
        <v>6003</v>
      </c>
      <c r="D3247" s="38"/>
      <c r="E3247" s="42">
        <v>1</v>
      </c>
      <c r="F3247" s="9"/>
      <c r="G3247" s="8">
        <f t="shared" si="110"/>
        <v>12.513375</v>
      </c>
      <c r="H3247" s="188">
        <v>11.9175</v>
      </c>
      <c r="I3247" s="19">
        <f t="shared" si="111"/>
        <v>0</v>
      </c>
      <c r="L3247" s="131"/>
      <c r="M3247" s="131"/>
      <c r="N3247" s="131"/>
    </row>
    <row r="3248" spans="1:14" hidden="1">
      <c r="A3248" s="100" t="s">
        <v>862</v>
      </c>
      <c r="B3248" s="101" t="s">
        <v>6004</v>
      </c>
      <c r="C3248" s="115" t="s">
        <v>6005</v>
      </c>
      <c r="D3248" s="38"/>
      <c r="E3248" s="42">
        <v>1</v>
      </c>
      <c r="F3248" s="9"/>
      <c r="G3248" s="8">
        <f t="shared" si="110"/>
        <v>11.493825000000001</v>
      </c>
      <c r="H3248" s="188">
        <v>10.9465</v>
      </c>
      <c r="I3248" s="19">
        <f t="shared" si="111"/>
        <v>0</v>
      </c>
      <c r="L3248" s="131"/>
      <c r="M3248" s="131"/>
      <c r="N3248" s="131"/>
    </row>
    <row r="3249" spans="1:14" hidden="1">
      <c r="A3249" s="100" t="s">
        <v>862</v>
      </c>
      <c r="B3249" s="101" t="s">
        <v>6006</v>
      </c>
      <c r="C3249" s="115" t="s">
        <v>6007</v>
      </c>
      <c r="D3249" s="38"/>
      <c r="E3249" s="42">
        <v>1</v>
      </c>
      <c r="F3249" s="9"/>
      <c r="G3249" s="8">
        <f t="shared" si="110"/>
        <v>34.604849999999999</v>
      </c>
      <c r="H3249" s="188">
        <v>32.957000000000001</v>
      </c>
      <c r="I3249" s="19">
        <f t="shared" si="111"/>
        <v>0</v>
      </c>
      <c r="L3249" s="131"/>
      <c r="M3249" s="131"/>
      <c r="N3249" s="131"/>
    </row>
    <row r="3250" spans="1:14" hidden="1">
      <c r="A3250" s="100" t="s">
        <v>862</v>
      </c>
      <c r="B3250" s="101" t="s">
        <v>6008</v>
      </c>
      <c r="C3250" s="115" t="s">
        <v>6009</v>
      </c>
      <c r="D3250" s="38"/>
      <c r="E3250" s="42">
        <v>1</v>
      </c>
      <c r="F3250" s="9"/>
      <c r="G3250" s="8">
        <f t="shared" si="110"/>
        <v>15.07695</v>
      </c>
      <c r="H3250" s="188">
        <v>14.359</v>
      </c>
      <c r="I3250" s="19">
        <f t="shared" si="111"/>
        <v>0</v>
      </c>
      <c r="L3250" s="131"/>
      <c r="M3250" s="131"/>
      <c r="N3250" s="131"/>
    </row>
    <row r="3251" spans="1:14" hidden="1">
      <c r="A3251" s="100" t="s">
        <v>862</v>
      </c>
      <c r="B3251" s="101" t="s">
        <v>6010</v>
      </c>
      <c r="C3251" s="115" t="s">
        <v>6011</v>
      </c>
      <c r="D3251" s="38"/>
      <c r="E3251" s="42">
        <v>1</v>
      </c>
      <c r="F3251" s="9"/>
      <c r="G3251" s="8">
        <f t="shared" si="110"/>
        <v>15.07695</v>
      </c>
      <c r="H3251" s="188">
        <v>14.359</v>
      </c>
      <c r="I3251" s="19">
        <f t="shared" si="111"/>
        <v>0</v>
      </c>
      <c r="L3251" s="131"/>
      <c r="M3251" s="131"/>
      <c r="N3251" s="131"/>
    </row>
    <row r="3252" spans="1:14" hidden="1">
      <c r="A3252" s="100" t="s">
        <v>862</v>
      </c>
      <c r="B3252" s="101" t="s">
        <v>6012</v>
      </c>
      <c r="C3252" s="115" t="s">
        <v>6013</v>
      </c>
      <c r="D3252" s="38"/>
      <c r="E3252" s="42">
        <v>1</v>
      </c>
      <c r="F3252" s="9"/>
      <c r="G3252" s="8">
        <f t="shared" si="110"/>
        <v>15.07695</v>
      </c>
      <c r="H3252" s="188">
        <v>14.359</v>
      </c>
      <c r="I3252" s="19">
        <f t="shared" si="111"/>
        <v>0</v>
      </c>
      <c r="L3252" s="131"/>
      <c r="M3252" s="131"/>
      <c r="N3252" s="131"/>
    </row>
    <row r="3253" spans="1:14" hidden="1">
      <c r="A3253" s="100" t="s">
        <v>862</v>
      </c>
      <c r="B3253" s="101" t="s">
        <v>6014</v>
      </c>
      <c r="C3253" s="115" t="s">
        <v>6015</v>
      </c>
      <c r="D3253" s="38"/>
      <c r="E3253" s="42">
        <v>1</v>
      </c>
      <c r="F3253" s="9"/>
      <c r="G3253" s="8">
        <f t="shared" si="110"/>
        <v>44.651249999999997</v>
      </c>
      <c r="H3253" s="188">
        <v>42.524999999999999</v>
      </c>
      <c r="I3253" s="19">
        <f t="shared" si="111"/>
        <v>0</v>
      </c>
      <c r="L3253" s="131"/>
      <c r="M3253" s="131"/>
      <c r="N3253" s="131"/>
    </row>
    <row r="3254" spans="1:14" hidden="1">
      <c r="A3254" s="100" t="s">
        <v>862</v>
      </c>
      <c r="B3254" s="101" t="s">
        <v>6016</v>
      </c>
      <c r="C3254" s="115" t="s">
        <v>6017</v>
      </c>
      <c r="D3254" s="38"/>
      <c r="E3254" s="42">
        <v>1</v>
      </c>
      <c r="F3254" s="9"/>
      <c r="G3254" s="8">
        <f t="shared" si="110"/>
        <v>47.628</v>
      </c>
      <c r="H3254" s="188">
        <v>45.36</v>
      </c>
      <c r="I3254" s="19">
        <f t="shared" si="111"/>
        <v>0</v>
      </c>
      <c r="L3254" s="131"/>
      <c r="M3254" s="131"/>
      <c r="N3254" s="131"/>
    </row>
    <row r="3255" spans="1:14" hidden="1">
      <c r="A3255" s="100" t="s">
        <v>862</v>
      </c>
      <c r="B3255" s="101" t="s">
        <v>6018</v>
      </c>
      <c r="C3255" s="115" t="s">
        <v>6019</v>
      </c>
      <c r="D3255" s="38"/>
      <c r="E3255" s="42">
        <v>1</v>
      </c>
      <c r="F3255" s="9"/>
      <c r="G3255" s="8">
        <f t="shared" si="110"/>
        <v>42.418950000000002</v>
      </c>
      <c r="H3255" s="188">
        <v>40.399000000000001</v>
      </c>
      <c r="I3255" s="19">
        <f t="shared" si="111"/>
        <v>0</v>
      </c>
      <c r="L3255" s="131"/>
      <c r="M3255" s="131"/>
      <c r="N3255" s="131"/>
    </row>
    <row r="3256" spans="1:14" hidden="1">
      <c r="A3256" s="100" t="s">
        <v>862</v>
      </c>
      <c r="B3256" s="101" t="s">
        <v>6020</v>
      </c>
      <c r="C3256" s="115" t="s">
        <v>6021</v>
      </c>
      <c r="D3256" s="38"/>
      <c r="E3256" s="42">
        <v>1</v>
      </c>
      <c r="F3256" s="9"/>
      <c r="G3256" s="8">
        <f t="shared" si="110"/>
        <v>79.256100000000004</v>
      </c>
      <c r="H3256" s="188">
        <v>75.481999999999999</v>
      </c>
      <c r="I3256" s="19">
        <f t="shared" si="111"/>
        <v>0</v>
      </c>
      <c r="L3256" s="131"/>
      <c r="M3256" s="131"/>
      <c r="N3256" s="131"/>
    </row>
    <row r="3257" spans="1:14" hidden="1">
      <c r="A3257" s="100" t="s">
        <v>862</v>
      </c>
      <c r="B3257" s="101" t="s">
        <v>6022</v>
      </c>
      <c r="C3257" s="115" t="s">
        <v>6023</v>
      </c>
      <c r="D3257" s="38"/>
      <c r="E3257" s="42">
        <v>1</v>
      </c>
      <c r="F3257" s="9"/>
      <c r="G3257" s="8">
        <f t="shared" si="110"/>
        <v>62.511749999999999</v>
      </c>
      <c r="H3257" s="188">
        <v>59.534999999999997</v>
      </c>
      <c r="I3257" s="19">
        <f t="shared" si="111"/>
        <v>0</v>
      </c>
      <c r="L3257" s="131"/>
      <c r="M3257" s="131"/>
      <c r="N3257" s="131"/>
    </row>
    <row r="3258" spans="1:14" hidden="1">
      <c r="A3258" s="100" t="s">
        <v>862</v>
      </c>
      <c r="B3258" s="101" t="s">
        <v>6024</v>
      </c>
      <c r="C3258" s="115" t="s">
        <v>6025</v>
      </c>
      <c r="D3258" s="38"/>
      <c r="E3258" s="42">
        <v>1</v>
      </c>
      <c r="F3258" s="9"/>
      <c r="G3258" s="8">
        <f t="shared" si="110"/>
        <v>102.69787500000001</v>
      </c>
      <c r="H3258" s="188">
        <v>97.807500000000005</v>
      </c>
      <c r="I3258" s="19">
        <f t="shared" si="111"/>
        <v>0</v>
      </c>
      <c r="L3258" s="131"/>
      <c r="M3258" s="131"/>
      <c r="N3258" s="131"/>
    </row>
    <row r="3259" spans="1:14" hidden="1">
      <c r="A3259" s="100" t="s">
        <v>862</v>
      </c>
      <c r="B3259" s="101" t="s">
        <v>6026</v>
      </c>
      <c r="C3259" s="115" t="s">
        <v>6027</v>
      </c>
      <c r="D3259" s="38"/>
      <c r="E3259" s="42">
        <v>1</v>
      </c>
      <c r="F3259" s="9"/>
      <c r="G3259" s="8">
        <f t="shared" si="110"/>
        <v>114.30194999999999</v>
      </c>
      <c r="H3259" s="188">
        <v>108.85899999999999</v>
      </c>
      <c r="I3259" s="19">
        <f t="shared" si="111"/>
        <v>0</v>
      </c>
      <c r="L3259" s="131"/>
      <c r="M3259" s="131"/>
      <c r="N3259" s="131"/>
    </row>
    <row r="3260" spans="1:14" hidden="1">
      <c r="A3260" s="100" t="s">
        <v>862</v>
      </c>
      <c r="B3260" s="101" t="s">
        <v>6028</v>
      </c>
      <c r="C3260" s="115" t="s">
        <v>6029</v>
      </c>
      <c r="D3260" s="38"/>
      <c r="E3260" s="42">
        <v>1</v>
      </c>
      <c r="F3260" s="9"/>
      <c r="G3260" s="8">
        <f t="shared" si="110"/>
        <v>78.139949999999999</v>
      </c>
      <c r="H3260" s="188">
        <v>74.418999999999997</v>
      </c>
      <c r="I3260" s="19">
        <f t="shared" si="111"/>
        <v>0</v>
      </c>
      <c r="L3260" s="131"/>
      <c r="M3260" s="131"/>
      <c r="N3260" s="131"/>
    </row>
    <row r="3261" spans="1:14" hidden="1">
      <c r="A3261" s="100" t="s">
        <v>862</v>
      </c>
      <c r="B3261" s="101" t="s">
        <v>6030</v>
      </c>
      <c r="C3261" s="115" t="s">
        <v>6031</v>
      </c>
      <c r="D3261" s="38"/>
      <c r="E3261" s="42">
        <v>1</v>
      </c>
      <c r="F3261" s="9"/>
      <c r="G3261" s="8">
        <f t="shared" si="110"/>
        <v>78.139949999999999</v>
      </c>
      <c r="H3261" s="188">
        <v>74.418999999999997</v>
      </c>
      <c r="I3261" s="19">
        <f t="shared" si="111"/>
        <v>0</v>
      </c>
      <c r="L3261" s="131"/>
      <c r="M3261" s="131"/>
      <c r="N3261" s="131"/>
    </row>
    <row r="3262" spans="1:14" hidden="1">
      <c r="A3262" s="100" t="s">
        <v>862</v>
      </c>
      <c r="B3262" s="101" t="s">
        <v>6032</v>
      </c>
      <c r="C3262" s="115" t="s">
        <v>6033</v>
      </c>
      <c r="D3262" s="38"/>
      <c r="E3262" s="42">
        <v>1</v>
      </c>
      <c r="F3262" s="9"/>
      <c r="G3262" s="8">
        <f t="shared" si="110"/>
        <v>13.064625000000001</v>
      </c>
      <c r="H3262" s="188">
        <v>12.442500000000001</v>
      </c>
      <c r="I3262" s="19">
        <f t="shared" si="111"/>
        <v>0</v>
      </c>
      <c r="L3262" s="131"/>
      <c r="M3262" s="131"/>
      <c r="N3262" s="131"/>
    </row>
    <row r="3263" spans="1:14" hidden="1">
      <c r="A3263" s="100" t="s">
        <v>862</v>
      </c>
      <c r="B3263" s="101" t="s">
        <v>6034</v>
      </c>
      <c r="C3263" s="115" t="s">
        <v>6035</v>
      </c>
      <c r="D3263" s="38"/>
      <c r="E3263" s="42">
        <v>1</v>
      </c>
      <c r="F3263" s="9"/>
      <c r="G3263" s="8">
        <f t="shared" si="110"/>
        <v>25.674600000000002</v>
      </c>
      <c r="H3263" s="188">
        <v>24.452000000000002</v>
      </c>
      <c r="I3263" s="19">
        <f t="shared" si="111"/>
        <v>0</v>
      </c>
      <c r="L3263" s="131"/>
      <c r="M3263" s="131"/>
      <c r="N3263" s="131"/>
    </row>
    <row r="3264" spans="1:14" hidden="1">
      <c r="A3264" s="100" t="s">
        <v>862</v>
      </c>
      <c r="B3264" s="101" t="s">
        <v>6036</v>
      </c>
      <c r="C3264" s="115" t="s">
        <v>6037</v>
      </c>
      <c r="D3264" s="38"/>
      <c r="E3264" s="42">
        <v>1</v>
      </c>
      <c r="F3264" s="9"/>
      <c r="G3264" s="8">
        <f t="shared" si="110"/>
        <v>81.488399999999999</v>
      </c>
      <c r="H3264" s="188">
        <v>77.608000000000004</v>
      </c>
      <c r="I3264" s="19">
        <f t="shared" si="111"/>
        <v>0</v>
      </c>
      <c r="L3264" s="131"/>
      <c r="M3264" s="131"/>
      <c r="N3264" s="131"/>
    </row>
    <row r="3265" spans="1:14" hidden="1">
      <c r="A3265" s="100" t="s">
        <v>862</v>
      </c>
      <c r="B3265" s="101" t="s">
        <v>6038</v>
      </c>
      <c r="C3265" s="115" t="s">
        <v>6039</v>
      </c>
      <c r="D3265" s="38"/>
      <c r="E3265" s="42">
        <v>1</v>
      </c>
      <c r="F3265" s="9"/>
      <c r="G3265" s="8">
        <f t="shared" si="110"/>
        <v>74.281199999999998</v>
      </c>
      <c r="H3265" s="188">
        <v>70.744</v>
      </c>
      <c r="I3265" s="19">
        <f t="shared" si="111"/>
        <v>0</v>
      </c>
      <c r="L3265" s="131"/>
      <c r="M3265" s="131"/>
      <c r="N3265" s="131"/>
    </row>
    <row r="3266" spans="1:14" hidden="1">
      <c r="A3266" s="100" t="s">
        <v>862</v>
      </c>
      <c r="B3266" s="101" t="s">
        <v>6040</v>
      </c>
      <c r="C3266" s="115" t="s">
        <v>6041</v>
      </c>
      <c r="D3266" s="38"/>
      <c r="E3266" s="42">
        <v>1</v>
      </c>
      <c r="F3266" s="9"/>
      <c r="G3266" s="8">
        <f t="shared" si="110"/>
        <v>5.7739499999999992</v>
      </c>
      <c r="H3266" s="188">
        <v>5.4989999999999997</v>
      </c>
      <c r="I3266" s="19">
        <f t="shared" si="111"/>
        <v>0</v>
      </c>
      <c r="L3266" s="131"/>
      <c r="M3266" s="131"/>
      <c r="N3266" s="131"/>
    </row>
    <row r="3267" spans="1:14" hidden="1">
      <c r="A3267" s="100" t="s">
        <v>862</v>
      </c>
      <c r="B3267" s="101" t="s">
        <v>6042</v>
      </c>
      <c r="C3267" s="115" t="s">
        <v>6043</v>
      </c>
      <c r="D3267" s="38"/>
      <c r="E3267" s="42">
        <v>1</v>
      </c>
      <c r="F3267" s="9"/>
      <c r="G3267" s="8">
        <f t="shared" si="110"/>
        <v>39.913125000000001</v>
      </c>
      <c r="H3267" s="188">
        <v>38.012500000000003</v>
      </c>
      <c r="I3267" s="19">
        <f t="shared" si="111"/>
        <v>0</v>
      </c>
      <c r="L3267" s="131"/>
      <c r="M3267" s="131"/>
      <c r="N3267" s="131"/>
    </row>
    <row r="3268" spans="1:14" hidden="1">
      <c r="A3268" s="100" t="s">
        <v>862</v>
      </c>
      <c r="B3268" s="101" t="s">
        <v>6044</v>
      </c>
      <c r="C3268" s="115" t="s">
        <v>6045</v>
      </c>
      <c r="D3268" s="38"/>
      <c r="E3268" s="42">
        <v>1</v>
      </c>
      <c r="F3268" s="9"/>
      <c r="G3268" s="8">
        <f t="shared" si="110"/>
        <v>6.5247000000000002</v>
      </c>
      <c r="H3268" s="188">
        <v>6.2140000000000004</v>
      </c>
      <c r="I3268" s="19">
        <f t="shared" si="111"/>
        <v>0</v>
      </c>
      <c r="L3268" s="131"/>
      <c r="M3268" s="131"/>
      <c r="N3268" s="131"/>
    </row>
    <row r="3269" spans="1:14" hidden="1">
      <c r="A3269" s="100" t="s">
        <v>862</v>
      </c>
      <c r="B3269" s="101" t="s">
        <v>6046</v>
      </c>
      <c r="C3269" s="115" t="s">
        <v>6047</v>
      </c>
      <c r="D3269" s="38"/>
      <c r="E3269" s="42">
        <v>1</v>
      </c>
      <c r="F3269" s="9"/>
      <c r="G3269" s="8">
        <f t="shared" si="110"/>
        <v>73.799250000000001</v>
      </c>
      <c r="H3269" s="188">
        <v>70.284999999999997</v>
      </c>
      <c r="I3269" s="19">
        <f t="shared" si="111"/>
        <v>0</v>
      </c>
      <c r="L3269" s="131"/>
      <c r="M3269" s="131"/>
      <c r="N3269" s="131"/>
    </row>
    <row r="3270" spans="1:14" hidden="1">
      <c r="A3270" s="100" t="s">
        <v>862</v>
      </c>
      <c r="B3270" s="101" t="s">
        <v>6048</v>
      </c>
      <c r="C3270" s="115" t="s">
        <v>6049</v>
      </c>
      <c r="D3270" s="38"/>
      <c r="E3270" s="42">
        <v>1</v>
      </c>
      <c r="F3270" s="9"/>
      <c r="G3270" s="8">
        <f t="shared" si="110"/>
        <v>7.6518749999999995</v>
      </c>
      <c r="H3270" s="188">
        <v>7.2874999999999996</v>
      </c>
      <c r="I3270" s="19">
        <f t="shared" si="111"/>
        <v>0</v>
      </c>
      <c r="L3270" s="131"/>
      <c r="M3270" s="131"/>
      <c r="N3270" s="131"/>
    </row>
    <row r="3271" spans="1:14" hidden="1">
      <c r="A3271" s="100" t="s">
        <v>862</v>
      </c>
      <c r="B3271" s="101" t="s">
        <v>6050</v>
      </c>
      <c r="C3271" s="115" t="s">
        <v>6051</v>
      </c>
      <c r="D3271" s="38"/>
      <c r="E3271" s="42">
        <v>1</v>
      </c>
      <c r="F3271" s="9"/>
      <c r="G3271" s="8">
        <f t="shared" si="110"/>
        <v>12.775875000000001</v>
      </c>
      <c r="H3271" s="188">
        <v>12.1675</v>
      </c>
      <c r="I3271" s="19">
        <f t="shared" si="111"/>
        <v>0</v>
      </c>
      <c r="L3271" s="131"/>
      <c r="M3271" s="131"/>
      <c r="N3271" s="131"/>
    </row>
    <row r="3272" spans="1:14" hidden="1">
      <c r="A3272" s="100" t="s">
        <v>862</v>
      </c>
      <c r="B3272" s="101" t="s">
        <v>6052</v>
      </c>
      <c r="C3272" s="115" t="s">
        <v>6053</v>
      </c>
      <c r="D3272" s="38"/>
      <c r="E3272" s="42">
        <v>1</v>
      </c>
      <c r="F3272" s="9"/>
      <c r="G3272" s="8">
        <f t="shared" si="110"/>
        <v>36.964199999999998</v>
      </c>
      <c r="H3272" s="188">
        <v>35.204000000000001</v>
      </c>
      <c r="I3272" s="19">
        <f t="shared" si="111"/>
        <v>0</v>
      </c>
      <c r="L3272" s="131"/>
      <c r="M3272" s="131"/>
      <c r="N3272" s="131"/>
    </row>
    <row r="3273" spans="1:14" hidden="1">
      <c r="A3273" s="100" t="s">
        <v>862</v>
      </c>
      <c r="B3273" s="101" t="s">
        <v>6054</v>
      </c>
      <c r="C3273" s="115" t="s">
        <v>6055</v>
      </c>
      <c r="D3273" s="38" t="s">
        <v>1117</v>
      </c>
      <c r="E3273" s="42">
        <v>1</v>
      </c>
      <c r="F3273" s="9"/>
      <c r="G3273" s="8">
        <f t="shared" si="110"/>
        <v>720.3577499999999</v>
      </c>
      <c r="H3273" s="188">
        <v>686.05499999999995</v>
      </c>
      <c r="I3273" s="19">
        <f t="shared" si="111"/>
        <v>0</v>
      </c>
      <c r="L3273" s="131"/>
      <c r="M3273" s="131"/>
      <c r="N3273" s="131"/>
    </row>
    <row r="3274" spans="1:14" hidden="1">
      <c r="A3274" s="100" t="s">
        <v>862</v>
      </c>
      <c r="B3274" s="101" t="s">
        <v>6056</v>
      </c>
      <c r="C3274" s="115" t="s">
        <v>6057</v>
      </c>
      <c r="D3274" s="38" t="s">
        <v>1117</v>
      </c>
      <c r="E3274" s="42">
        <v>1</v>
      </c>
      <c r="F3274" s="9"/>
      <c r="G3274" s="8">
        <f t="shared" si="110"/>
        <v>896.05425000000002</v>
      </c>
      <c r="H3274" s="188">
        <v>853.38499999999999</v>
      </c>
      <c r="I3274" s="19">
        <f t="shared" si="111"/>
        <v>0</v>
      </c>
      <c r="L3274" s="131"/>
      <c r="M3274" s="131"/>
      <c r="N3274" s="131"/>
    </row>
    <row r="3275" spans="1:14" hidden="1">
      <c r="A3275" s="100" t="s">
        <v>862</v>
      </c>
      <c r="B3275" s="101" t="s">
        <v>6058</v>
      </c>
      <c r="C3275" s="115" t="s">
        <v>6059</v>
      </c>
      <c r="D3275" s="38" t="s">
        <v>1117</v>
      </c>
      <c r="E3275" s="42">
        <v>1</v>
      </c>
      <c r="F3275" s="9"/>
      <c r="G3275" s="8">
        <f t="shared" si="110"/>
        <v>1071.7507500000002</v>
      </c>
      <c r="H3275" s="188">
        <v>1020.715</v>
      </c>
      <c r="I3275" s="19">
        <f t="shared" si="111"/>
        <v>0</v>
      </c>
      <c r="L3275" s="131"/>
      <c r="M3275" s="131"/>
      <c r="N3275" s="131"/>
    </row>
    <row r="3276" spans="1:14" hidden="1">
      <c r="A3276" s="100" t="s">
        <v>862</v>
      </c>
      <c r="B3276" s="101" t="s">
        <v>6060</v>
      </c>
      <c r="C3276" s="115" t="s">
        <v>6061</v>
      </c>
      <c r="D3276" s="38"/>
      <c r="E3276" s="42">
        <v>1</v>
      </c>
      <c r="F3276" s="9"/>
      <c r="G3276" s="8">
        <f t="shared" si="110"/>
        <v>9.6232499999999987</v>
      </c>
      <c r="H3276" s="188">
        <v>9.1649999999999991</v>
      </c>
      <c r="I3276" s="19">
        <f t="shared" si="111"/>
        <v>0</v>
      </c>
      <c r="L3276" s="131"/>
      <c r="M3276" s="131"/>
      <c r="N3276" s="131"/>
    </row>
    <row r="3277" spans="1:14" hidden="1">
      <c r="A3277" s="100" t="s">
        <v>862</v>
      </c>
      <c r="B3277" s="101" t="s">
        <v>6062</v>
      </c>
      <c r="C3277" s="115" t="s">
        <v>6063</v>
      </c>
      <c r="D3277" s="38"/>
      <c r="E3277" s="42">
        <v>1</v>
      </c>
      <c r="F3277" s="9"/>
      <c r="G3277" s="8">
        <f t="shared" si="110"/>
        <v>7.3305749999999996</v>
      </c>
      <c r="H3277" s="188">
        <v>6.9814999999999996</v>
      </c>
      <c r="I3277" s="19">
        <f t="shared" si="111"/>
        <v>0</v>
      </c>
      <c r="L3277" s="131"/>
      <c r="M3277" s="131"/>
      <c r="N3277" s="131"/>
    </row>
    <row r="3278" spans="1:14" hidden="1">
      <c r="A3278" s="100" t="s">
        <v>862</v>
      </c>
      <c r="B3278" s="101" t="s">
        <v>6064</v>
      </c>
      <c r="C3278" s="115" t="s">
        <v>6065</v>
      </c>
      <c r="D3278" s="38"/>
      <c r="E3278" s="42">
        <v>1</v>
      </c>
      <c r="F3278" s="9"/>
      <c r="G3278" s="8">
        <f t="shared" si="110"/>
        <v>0.33390000000000003</v>
      </c>
      <c r="H3278" s="188">
        <v>0.318</v>
      </c>
      <c r="I3278" s="19">
        <f t="shared" si="111"/>
        <v>0</v>
      </c>
      <c r="L3278" s="131"/>
      <c r="M3278" s="131"/>
      <c r="N3278" s="131"/>
    </row>
    <row r="3279" spans="1:14" hidden="1">
      <c r="A3279" s="100" t="s">
        <v>862</v>
      </c>
      <c r="B3279" s="101" t="s">
        <v>6066</v>
      </c>
      <c r="C3279" s="115" t="s">
        <v>6067</v>
      </c>
      <c r="D3279" s="38"/>
      <c r="E3279" s="42">
        <v>1</v>
      </c>
      <c r="F3279" s="9"/>
      <c r="G3279" s="8">
        <f t="shared" si="110"/>
        <v>1.938825</v>
      </c>
      <c r="H3279" s="188">
        <v>1.8465</v>
      </c>
      <c r="I3279" s="19">
        <f t="shared" si="111"/>
        <v>0</v>
      </c>
      <c r="L3279" s="131"/>
      <c r="M3279" s="131"/>
      <c r="N3279" s="131"/>
    </row>
    <row r="3280" spans="1:14" hidden="1">
      <c r="A3280" s="100" t="s">
        <v>862</v>
      </c>
      <c r="B3280" s="101" t="s">
        <v>6068</v>
      </c>
      <c r="C3280" s="115" t="s">
        <v>6069</v>
      </c>
      <c r="D3280" s="38"/>
      <c r="E3280" s="42">
        <v>1</v>
      </c>
      <c r="F3280" s="9"/>
      <c r="G3280" s="8">
        <f t="shared" si="110"/>
        <v>2.3273250000000001</v>
      </c>
      <c r="H3280" s="188">
        <v>2.2164999999999999</v>
      </c>
      <c r="I3280" s="19">
        <f t="shared" si="111"/>
        <v>0</v>
      </c>
      <c r="L3280" s="131"/>
      <c r="M3280" s="131"/>
      <c r="N3280" s="131"/>
    </row>
    <row r="3281" spans="1:14" hidden="1">
      <c r="A3281" s="100" t="s">
        <v>862</v>
      </c>
      <c r="B3281" s="101" t="s">
        <v>6070</v>
      </c>
      <c r="C3281" s="115" t="s">
        <v>6071</v>
      </c>
      <c r="D3281" s="38"/>
      <c r="E3281" s="42">
        <v>1</v>
      </c>
      <c r="F3281" s="9"/>
      <c r="G3281" s="8">
        <f t="shared" si="110"/>
        <v>3.2602500000000001</v>
      </c>
      <c r="H3281" s="188">
        <v>3.105</v>
      </c>
      <c r="I3281" s="19">
        <f t="shared" si="111"/>
        <v>0</v>
      </c>
      <c r="L3281" s="131"/>
      <c r="M3281" s="131"/>
      <c r="N3281" s="131"/>
    </row>
    <row r="3282" spans="1:14" hidden="1">
      <c r="A3282" s="100" t="s">
        <v>862</v>
      </c>
      <c r="B3282" s="101" t="s">
        <v>6072</v>
      </c>
      <c r="C3282" s="115" t="s">
        <v>6073</v>
      </c>
      <c r="D3282" s="38"/>
      <c r="E3282" s="42">
        <v>1</v>
      </c>
      <c r="F3282" s="9"/>
      <c r="G3282" s="8">
        <f t="shared" si="110"/>
        <v>3.9128250000000002</v>
      </c>
      <c r="H3282" s="188">
        <v>3.7265000000000001</v>
      </c>
      <c r="I3282" s="19">
        <f t="shared" si="111"/>
        <v>0</v>
      </c>
      <c r="L3282" s="131"/>
      <c r="M3282" s="131"/>
      <c r="N3282" s="131"/>
    </row>
    <row r="3283" spans="1:14" hidden="1">
      <c r="A3283" s="100" t="s">
        <v>862</v>
      </c>
      <c r="B3283" s="101" t="s">
        <v>6074</v>
      </c>
      <c r="C3283" s="115" t="s">
        <v>6075</v>
      </c>
      <c r="D3283" s="38"/>
      <c r="E3283" s="42">
        <v>1</v>
      </c>
      <c r="F3283" s="9"/>
      <c r="G3283" s="8">
        <f t="shared" si="110"/>
        <v>1.8900000000000001</v>
      </c>
      <c r="H3283" s="188">
        <v>1.8</v>
      </c>
      <c r="I3283" s="19">
        <f t="shared" si="111"/>
        <v>0</v>
      </c>
      <c r="L3283" s="131"/>
      <c r="M3283" s="131"/>
      <c r="N3283" s="131"/>
    </row>
    <row r="3284" spans="1:14" hidden="1">
      <c r="A3284" s="100" t="s">
        <v>862</v>
      </c>
      <c r="B3284" s="101" t="s">
        <v>6076</v>
      </c>
      <c r="C3284" s="115" t="s">
        <v>6077</v>
      </c>
      <c r="D3284" s="38"/>
      <c r="E3284" s="42">
        <v>1</v>
      </c>
      <c r="F3284" s="9"/>
      <c r="G3284" s="8">
        <f t="shared" si="110"/>
        <v>1.8900000000000001</v>
      </c>
      <c r="H3284" s="188">
        <v>1.8</v>
      </c>
      <c r="I3284" s="19">
        <f t="shared" si="111"/>
        <v>0</v>
      </c>
      <c r="L3284" s="131"/>
      <c r="M3284" s="131"/>
      <c r="N3284" s="131"/>
    </row>
    <row r="3285" spans="1:14" hidden="1">
      <c r="A3285" s="100" t="s">
        <v>862</v>
      </c>
      <c r="B3285" s="101" t="s">
        <v>6078</v>
      </c>
      <c r="C3285" s="115" t="s">
        <v>6079</v>
      </c>
      <c r="D3285" s="38"/>
      <c r="E3285" s="42">
        <v>1</v>
      </c>
      <c r="F3285" s="9"/>
      <c r="G3285" s="8">
        <f t="shared" si="110"/>
        <v>2.7132000000000001</v>
      </c>
      <c r="H3285" s="188">
        <v>2.5840000000000001</v>
      </c>
      <c r="I3285" s="19">
        <f t="shared" si="111"/>
        <v>0</v>
      </c>
      <c r="L3285" s="131"/>
      <c r="M3285" s="131"/>
      <c r="N3285" s="131"/>
    </row>
    <row r="3286" spans="1:14" hidden="1">
      <c r="A3286" s="100" t="s">
        <v>862</v>
      </c>
      <c r="B3286" s="101" t="s">
        <v>6080</v>
      </c>
      <c r="C3286" s="115" t="s">
        <v>6081</v>
      </c>
      <c r="D3286" s="38"/>
      <c r="E3286" s="42">
        <v>1</v>
      </c>
      <c r="F3286" s="9"/>
      <c r="G3286" s="8">
        <f t="shared" si="110"/>
        <v>4.0057499999999999</v>
      </c>
      <c r="H3286" s="188">
        <v>3.8149999999999999</v>
      </c>
      <c r="I3286" s="19">
        <f t="shared" si="111"/>
        <v>0</v>
      </c>
      <c r="L3286" s="131"/>
      <c r="M3286" s="131"/>
      <c r="N3286" s="131"/>
    </row>
    <row r="3287" spans="1:14" hidden="1">
      <c r="A3287" s="100" t="s">
        <v>862</v>
      </c>
      <c r="B3287" s="101" t="s">
        <v>6082</v>
      </c>
      <c r="C3287" s="115" t="s">
        <v>6083</v>
      </c>
      <c r="D3287" s="38"/>
      <c r="E3287" s="42">
        <v>1</v>
      </c>
      <c r="F3287" s="9"/>
      <c r="G3287" s="8">
        <f t="shared" si="110"/>
        <v>7.9799999999999996E-2</v>
      </c>
      <c r="H3287" s="188">
        <v>7.5999999999999998E-2</v>
      </c>
      <c r="I3287" s="19">
        <f t="shared" si="111"/>
        <v>0</v>
      </c>
      <c r="L3287" s="131"/>
      <c r="M3287" s="131"/>
      <c r="N3287" s="131"/>
    </row>
    <row r="3288" spans="1:14" hidden="1">
      <c r="A3288" s="100" t="s">
        <v>862</v>
      </c>
      <c r="B3288" s="101" t="s">
        <v>6084</v>
      </c>
      <c r="C3288" s="115" t="s">
        <v>6085</v>
      </c>
      <c r="D3288" s="38"/>
      <c r="E3288" s="42">
        <v>1</v>
      </c>
      <c r="F3288" s="9"/>
      <c r="G3288" s="8">
        <f t="shared" si="110"/>
        <v>2.2601249999999999</v>
      </c>
      <c r="H3288" s="188">
        <v>2.1524999999999999</v>
      </c>
      <c r="I3288" s="19">
        <f t="shared" si="111"/>
        <v>0</v>
      </c>
      <c r="L3288" s="131"/>
      <c r="M3288" s="131"/>
      <c r="N3288" s="131"/>
    </row>
    <row r="3289" spans="1:14" hidden="1">
      <c r="A3289" s="100" t="s">
        <v>862</v>
      </c>
      <c r="B3289" s="101" t="s">
        <v>6086</v>
      </c>
      <c r="C3289" s="115" t="s">
        <v>6087</v>
      </c>
      <c r="D3289" s="38"/>
      <c r="E3289" s="42">
        <v>1</v>
      </c>
      <c r="F3289" s="9"/>
      <c r="G3289" s="8">
        <f t="shared" si="110"/>
        <v>3.3379499999999998</v>
      </c>
      <c r="H3289" s="188">
        <v>3.1789999999999998</v>
      </c>
      <c r="I3289" s="19">
        <f t="shared" si="111"/>
        <v>0</v>
      </c>
      <c r="L3289" s="131"/>
      <c r="M3289" s="131"/>
      <c r="N3289" s="131"/>
    </row>
    <row r="3290" spans="1:14" hidden="1">
      <c r="A3290" s="100" t="s">
        <v>862</v>
      </c>
      <c r="B3290" s="101" t="s">
        <v>6088</v>
      </c>
      <c r="C3290" s="115" t="s">
        <v>6089</v>
      </c>
      <c r="D3290" s="38"/>
      <c r="E3290" s="42">
        <v>1</v>
      </c>
      <c r="F3290" s="9"/>
      <c r="G3290" s="8">
        <f t="shared" si="110"/>
        <v>28.501199999999997</v>
      </c>
      <c r="H3290" s="188">
        <v>27.143999999999998</v>
      </c>
      <c r="I3290" s="19">
        <f t="shared" si="111"/>
        <v>0</v>
      </c>
      <c r="L3290" s="131"/>
      <c r="M3290" s="131"/>
      <c r="N3290" s="131"/>
    </row>
    <row r="3291" spans="1:14" hidden="1">
      <c r="A3291" s="100" t="s">
        <v>862</v>
      </c>
      <c r="B3291" s="101" t="s">
        <v>6090</v>
      </c>
      <c r="C3291" s="115" t="s">
        <v>6091</v>
      </c>
      <c r="D3291" s="38"/>
      <c r="E3291" s="42">
        <v>1</v>
      </c>
      <c r="F3291" s="9"/>
      <c r="G3291" s="8">
        <f t="shared" si="110"/>
        <v>1.575E-2</v>
      </c>
      <c r="H3291" s="188">
        <v>1.4999999999999999E-2</v>
      </c>
      <c r="I3291" s="19">
        <f t="shared" si="111"/>
        <v>0</v>
      </c>
      <c r="L3291" s="131"/>
      <c r="M3291" s="131"/>
      <c r="N3291" s="131"/>
    </row>
    <row r="3292" spans="1:14" hidden="1">
      <c r="A3292" s="100" t="s">
        <v>862</v>
      </c>
      <c r="B3292" s="101" t="s">
        <v>6092</v>
      </c>
      <c r="C3292" s="115" t="s">
        <v>6093</v>
      </c>
      <c r="D3292" s="38"/>
      <c r="E3292" s="42">
        <v>1</v>
      </c>
      <c r="F3292" s="9"/>
      <c r="G3292" s="8">
        <f t="shared" si="110"/>
        <v>6.9824999999999998E-2</v>
      </c>
      <c r="H3292" s="188">
        <v>6.6500000000000004E-2</v>
      </c>
      <c r="I3292" s="19">
        <f t="shared" si="111"/>
        <v>0</v>
      </c>
      <c r="L3292" s="131"/>
      <c r="M3292" s="131"/>
      <c r="N3292" s="131"/>
    </row>
    <row r="3293" spans="1:14" hidden="1">
      <c r="A3293" s="100" t="s">
        <v>862</v>
      </c>
      <c r="B3293" s="101" t="s">
        <v>6094</v>
      </c>
      <c r="C3293" s="115" t="s">
        <v>6095</v>
      </c>
      <c r="D3293" s="38"/>
      <c r="E3293" s="42">
        <v>1</v>
      </c>
      <c r="F3293" s="9"/>
      <c r="G3293" s="8">
        <f t="shared" si="110"/>
        <v>1.938825</v>
      </c>
      <c r="H3293" s="188">
        <v>1.8465</v>
      </c>
      <c r="I3293" s="19">
        <f t="shared" si="111"/>
        <v>0</v>
      </c>
      <c r="L3293" s="131"/>
      <c r="M3293" s="131"/>
      <c r="N3293" s="131"/>
    </row>
    <row r="3294" spans="1:14" hidden="1">
      <c r="A3294" s="100" t="s">
        <v>862</v>
      </c>
      <c r="B3294" s="101" t="s">
        <v>6096</v>
      </c>
      <c r="C3294" s="115" t="s">
        <v>6097</v>
      </c>
      <c r="D3294" s="38"/>
      <c r="E3294" s="42">
        <v>1</v>
      </c>
      <c r="F3294" s="9"/>
      <c r="G3294" s="8">
        <f t="shared" si="110"/>
        <v>3.2602500000000001</v>
      </c>
      <c r="H3294" s="188">
        <v>3.105</v>
      </c>
      <c r="I3294" s="19">
        <f t="shared" si="111"/>
        <v>0</v>
      </c>
      <c r="L3294" s="131"/>
      <c r="M3294" s="131"/>
      <c r="N3294" s="131"/>
    </row>
    <row r="3295" spans="1:14" hidden="1">
      <c r="A3295" s="100" t="s">
        <v>862</v>
      </c>
      <c r="B3295" s="101" t="s">
        <v>6098</v>
      </c>
      <c r="C3295" s="115" t="s">
        <v>6099</v>
      </c>
      <c r="D3295" s="38" t="s">
        <v>1117</v>
      </c>
      <c r="E3295" s="42">
        <v>1</v>
      </c>
      <c r="F3295" s="9"/>
      <c r="G3295" s="8">
        <f t="shared" si="110"/>
        <v>600.85199999999998</v>
      </c>
      <c r="H3295" s="188">
        <v>572.24</v>
      </c>
      <c r="I3295" s="19">
        <f t="shared" si="111"/>
        <v>0</v>
      </c>
      <c r="L3295" s="131"/>
      <c r="M3295" s="131"/>
      <c r="N3295" s="131"/>
    </row>
    <row r="3296" spans="1:14" hidden="1">
      <c r="A3296" s="100" t="s">
        <v>862</v>
      </c>
      <c r="B3296" s="101" t="s">
        <v>6100</v>
      </c>
      <c r="C3296" s="115" t="s">
        <v>6101</v>
      </c>
      <c r="D3296" s="38" t="s">
        <v>1117</v>
      </c>
      <c r="E3296" s="42">
        <v>1</v>
      </c>
      <c r="F3296" s="9"/>
      <c r="G3296" s="8">
        <f t="shared" si="110"/>
        <v>747.40049999999997</v>
      </c>
      <c r="H3296" s="188">
        <v>711.81</v>
      </c>
      <c r="I3296" s="19">
        <f t="shared" si="111"/>
        <v>0</v>
      </c>
      <c r="L3296" s="131"/>
      <c r="M3296" s="131"/>
      <c r="N3296" s="131"/>
    </row>
    <row r="3297" spans="1:14" hidden="1">
      <c r="A3297" s="100" t="s">
        <v>862</v>
      </c>
      <c r="B3297" s="101" t="s">
        <v>6102</v>
      </c>
      <c r="C3297" s="115" t="s">
        <v>6103</v>
      </c>
      <c r="D3297" s="38" t="s">
        <v>1117</v>
      </c>
      <c r="E3297" s="42">
        <v>1</v>
      </c>
      <c r="F3297" s="9"/>
      <c r="G3297" s="8">
        <f t="shared" si="110"/>
        <v>893.94899999999996</v>
      </c>
      <c r="H3297" s="188">
        <v>851.38</v>
      </c>
      <c r="I3297" s="19">
        <f t="shared" si="111"/>
        <v>0</v>
      </c>
      <c r="L3297" s="131"/>
      <c r="M3297" s="131"/>
      <c r="N3297" s="131"/>
    </row>
    <row r="3298" spans="1:14" hidden="1">
      <c r="A3298" s="100" t="s">
        <v>862</v>
      </c>
      <c r="B3298" s="101" t="s">
        <v>6104</v>
      </c>
      <c r="C3298" s="115" t="s">
        <v>6105</v>
      </c>
      <c r="D3298" s="38"/>
      <c r="E3298" s="42">
        <v>1</v>
      </c>
      <c r="F3298" s="9"/>
      <c r="G3298" s="8">
        <f t="shared" si="110"/>
        <v>8.2860750000000003</v>
      </c>
      <c r="H3298" s="188">
        <v>7.8914999999999997</v>
      </c>
      <c r="I3298" s="19">
        <f t="shared" si="111"/>
        <v>0</v>
      </c>
      <c r="L3298" s="131"/>
      <c r="M3298" s="131"/>
      <c r="N3298" s="131"/>
    </row>
    <row r="3299" spans="1:14" hidden="1">
      <c r="A3299" s="100" t="s">
        <v>862</v>
      </c>
      <c r="B3299" s="101" t="s">
        <v>6106</v>
      </c>
      <c r="C3299" s="115" t="s">
        <v>6107</v>
      </c>
      <c r="D3299" s="38"/>
      <c r="E3299" s="42">
        <v>1</v>
      </c>
      <c r="F3299" s="9"/>
      <c r="G3299" s="8">
        <f t="shared" si="110"/>
        <v>0.33232499999999998</v>
      </c>
      <c r="H3299" s="188">
        <v>0.3165</v>
      </c>
      <c r="I3299" s="19">
        <f t="shared" si="111"/>
        <v>0</v>
      </c>
      <c r="L3299" s="131"/>
      <c r="M3299" s="131"/>
      <c r="N3299" s="131"/>
    </row>
    <row r="3300" spans="1:14" hidden="1">
      <c r="A3300" s="100" t="s">
        <v>862</v>
      </c>
      <c r="B3300" s="101" t="s">
        <v>6108</v>
      </c>
      <c r="C3300" s="115" t="s">
        <v>6109</v>
      </c>
      <c r="D3300" s="38"/>
      <c r="E3300" s="42">
        <v>1</v>
      </c>
      <c r="F3300" s="9"/>
      <c r="G3300" s="8">
        <f t="shared" si="110"/>
        <v>0.12494999999999999</v>
      </c>
      <c r="H3300" s="188">
        <v>0.11899999999999999</v>
      </c>
      <c r="I3300" s="19">
        <f t="shared" si="111"/>
        <v>0</v>
      </c>
      <c r="L3300" s="131"/>
      <c r="M3300" s="131"/>
      <c r="N3300" s="131"/>
    </row>
    <row r="3301" spans="1:14" hidden="1">
      <c r="A3301" s="100" t="s">
        <v>862</v>
      </c>
      <c r="B3301" s="101" t="s">
        <v>6110</v>
      </c>
      <c r="C3301" s="115" t="s">
        <v>6111</v>
      </c>
      <c r="D3301" s="38"/>
      <c r="E3301" s="42">
        <v>1</v>
      </c>
      <c r="F3301" s="9"/>
      <c r="G3301" s="8">
        <f t="shared" ref="G3301:G3364" si="112">H3301+(H3301*5%)</f>
        <v>5.1187500000000004</v>
      </c>
      <c r="H3301" s="188">
        <v>4.875</v>
      </c>
      <c r="I3301" s="19">
        <f t="shared" si="111"/>
        <v>0</v>
      </c>
      <c r="L3301" s="131"/>
      <c r="M3301" s="131"/>
      <c r="N3301" s="131"/>
    </row>
    <row r="3302" spans="1:14" hidden="1">
      <c r="A3302" s="100" t="s">
        <v>862</v>
      </c>
      <c r="B3302" s="101" t="s">
        <v>6112</v>
      </c>
      <c r="C3302" s="115" t="s">
        <v>6113</v>
      </c>
      <c r="D3302" s="38"/>
      <c r="E3302" s="42">
        <v>1</v>
      </c>
      <c r="F3302" s="9"/>
      <c r="G3302" s="8">
        <f t="shared" si="112"/>
        <v>5.1187500000000004</v>
      </c>
      <c r="H3302" s="188">
        <v>4.875</v>
      </c>
      <c r="I3302" s="19">
        <f t="shared" si="111"/>
        <v>0</v>
      </c>
      <c r="L3302" s="131"/>
      <c r="M3302" s="131"/>
      <c r="N3302" s="131"/>
    </row>
    <row r="3303" spans="1:14" hidden="1">
      <c r="A3303" s="100" t="s">
        <v>862</v>
      </c>
      <c r="B3303" s="101" t="s">
        <v>6114</v>
      </c>
      <c r="C3303" s="115" t="s">
        <v>6115</v>
      </c>
      <c r="D3303" s="38"/>
      <c r="E3303" s="42">
        <v>1</v>
      </c>
      <c r="F3303" s="9"/>
      <c r="G3303" s="8">
        <f t="shared" si="112"/>
        <v>5.1187500000000004</v>
      </c>
      <c r="H3303" s="188">
        <v>4.875</v>
      </c>
      <c r="I3303" s="19">
        <f t="shared" ref="I3303:I3366" si="113">G3303*F3303</f>
        <v>0</v>
      </c>
      <c r="L3303" s="131"/>
      <c r="M3303" s="131"/>
      <c r="N3303" s="131"/>
    </row>
    <row r="3304" spans="1:14" hidden="1">
      <c r="A3304" s="100" t="s">
        <v>862</v>
      </c>
      <c r="B3304" s="101" t="s">
        <v>6116</v>
      </c>
      <c r="C3304" s="115" t="s">
        <v>6117</v>
      </c>
      <c r="D3304" s="38"/>
      <c r="E3304" s="42">
        <v>1</v>
      </c>
      <c r="F3304" s="9"/>
      <c r="G3304" s="8">
        <f t="shared" si="112"/>
        <v>5.1187500000000004</v>
      </c>
      <c r="H3304" s="188">
        <v>4.875</v>
      </c>
      <c r="I3304" s="19">
        <f t="shared" si="113"/>
        <v>0</v>
      </c>
      <c r="L3304" s="131"/>
      <c r="M3304" s="131"/>
      <c r="N3304" s="131"/>
    </row>
    <row r="3305" spans="1:14" hidden="1">
      <c r="A3305" s="100" t="s">
        <v>862</v>
      </c>
      <c r="B3305" s="101" t="s">
        <v>6118</v>
      </c>
      <c r="C3305" s="115" t="s">
        <v>6119</v>
      </c>
      <c r="D3305" s="38"/>
      <c r="E3305" s="42">
        <v>1</v>
      </c>
      <c r="F3305" s="9"/>
      <c r="G3305" s="8">
        <f t="shared" si="112"/>
        <v>5.1187500000000004</v>
      </c>
      <c r="H3305" s="188">
        <v>4.875</v>
      </c>
      <c r="I3305" s="19">
        <f t="shared" si="113"/>
        <v>0</v>
      </c>
      <c r="L3305" s="131"/>
      <c r="M3305" s="131"/>
      <c r="N3305" s="131"/>
    </row>
    <row r="3306" spans="1:14" hidden="1">
      <c r="A3306" s="100" t="s">
        <v>862</v>
      </c>
      <c r="B3306" s="101" t="s">
        <v>6120</v>
      </c>
      <c r="C3306" s="115" t="s">
        <v>6121</v>
      </c>
      <c r="D3306" s="38"/>
      <c r="E3306" s="42">
        <v>1</v>
      </c>
      <c r="F3306" s="9"/>
      <c r="G3306" s="8">
        <f t="shared" si="112"/>
        <v>5.1187500000000004</v>
      </c>
      <c r="H3306" s="188">
        <v>4.875</v>
      </c>
      <c r="I3306" s="19">
        <f t="shared" si="113"/>
        <v>0</v>
      </c>
      <c r="L3306" s="131"/>
      <c r="M3306" s="131"/>
      <c r="N3306" s="131"/>
    </row>
    <row r="3307" spans="1:14" hidden="1">
      <c r="A3307" s="100" t="s">
        <v>862</v>
      </c>
      <c r="B3307" s="101" t="s">
        <v>6122</v>
      </c>
      <c r="C3307" s="115" t="s">
        <v>6123</v>
      </c>
      <c r="D3307" s="38"/>
      <c r="E3307" s="42">
        <v>1</v>
      </c>
      <c r="F3307" s="9"/>
      <c r="G3307" s="8">
        <f t="shared" si="112"/>
        <v>5.1187500000000004</v>
      </c>
      <c r="H3307" s="188">
        <v>4.875</v>
      </c>
      <c r="I3307" s="19">
        <f t="shared" si="113"/>
        <v>0</v>
      </c>
      <c r="L3307" s="131"/>
      <c r="M3307" s="131"/>
      <c r="N3307" s="131"/>
    </row>
    <row r="3308" spans="1:14" hidden="1">
      <c r="A3308" s="100" t="s">
        <v>862</v>
      </c>
      <c r="B3308" s="101" t="s">
        <v>6124</v>
      </c>
      <c r="C3308" s="115" t="s">
        <v>6125</v>
      </c>
      <c r="D3308" s="38"/>
      <c r="E3308" s="42">
        <v>1</v>
      </c>
      <c r="F3308" s="9"/>
      <c r="G3308" s="8">
        <f t="shared" si="112"/>
        <v>5.1187500000000004</v>
      </c>
      <c r="H3308" s="188">
        <v>4.875</v>
      </c>
      <c r="I3308" s="19">
        <f t="shared" si="113"/>
        <v>0</v>
      </c>
      <c r="L3308" s="131"/>
      <c r="M3308" s="131"/>
      <c r="N3308" s="131"/>
    </row>
    <row r="3309" spans="1:14" hidden="1">
      <c r="A3309" s="100" t="s">
        <v>862</v>
      </c>
      <c r="B3309" s="101" t="s">
        <v>6126</v>
      </c>
      <c r="C3309" s="115" t="s">
        <v>6127</v>
      </c>
      <c r="D3309" s="38"/>
      <c r="E3309" s="42">
        <v>1</v>
      </c>
      <c r="F3309" s="9"/>
      <c r="G3309" s="8">
        <f t="shared" si="112"/>
        <v>39.243749999999999</v>
      </c>
      <c r="H3309" s="188">
        <v>37.375</v>
      </c>
      <c r="I3309" s="19">
        <f t="shared" si="113"/>
        <v>0</v>
      </c>
      <c r="L3309" s="131"/>
      <c r="M3309" s="131"/>
      <c r="N3309" s="131"/>
    </row>
    <row r="3310" spans="1:14" hidden="1">
      <c r="A3310" s="100" t="s">
        <v>862</v>
      </c>
      <c r="B3310" s="101" t="s">
        <v>6128</v>
      </c>
      <c r="C3310" s="115" t="s">
        <v>6129</v>
      </c>
      <c r="D3310" s="38"/>
      <c r="E3310" s="42">
        <v>1</v>
      </c>
      <c r="F3310" s="9"/>
      <c r="G3310" s="8">
        <f t="shared" si="112"/>
        <v>3.4403250000000001</v>
      </c>
      <c r="H3310" s="188">
        <v>3.2765</v>
      </c>
      <c r="I3310" s="19">
        <f t="shared" si="113"/>
        <v>0</v>
      </c>
      <c r="L3310" s="131"/>
      <c r="M3310" s="131"/>
      <c r="N3310" s="131"/>
    </row>
    <row r="3311" spans="1:14" hidden="1">
      <c r="A3311" s="100" t="s">
        <v>862</v>
      </c>
      <c r="B3311" s="101" t="s">
        <v>6130</v>
      </c>
      <c r="C3311" s="115" t="s">
        <v>6131</v>
      </c>
      <c r="D3311" s="38"/>
      <c r="E3311" s="42">
        <v>1</v>
      </c>
      <c r="F3311" s="9"/>
      <c r="G3311" s="8">
        <f t="shared" si="112"/>
        <v>3.7946999999999997</v>
      </c>
      <c r="H3311" s="188">
        <v>3.6139999999999999</v>
      </c>
      <c r="I3311" s="19">
        <f t="shared" si="113"/>
        <v>0</v>
      </c>
      <c r="L3311" s="131"/>
      <c r="M3311" s="131"/>
      <c r="N3311" s="131"/>
    </row>
    <row r="3312" spans="1:14" hidden="1">
      <c r="A3312" s="100" t="s">
        <v>862</v>
      </c>
      <c r="B3312" s="101" t="s">
        <v>6132</v>
      </c>
      <c r="C3312" s="115" t="s">
        <v>6133</v>
      </c>
      <c r="D3312" s="38"/>
      <c r="E3312" s="42">
        <v>1</v>
      </c>
      <c r="F3312" s="9"/>
      <c r="G3312" s="8">
        <f t="shared" si="112"/>
        <v>32.76</v>
      </c>
      <c r="H3312" s="188">
        <v>31.2</v>
      </c>
      <c r="I3312" s="19">
        <f t="shared" si="113"/>
        <v>0</v>
      </c>
      <c r="L3312" s="131"/>
      <c r="M3312" s="131"/>
      <c r="N3312" s="131"/>
    </row>
    <row r="3313" spans="1:14" hidden="1">
      <c r="A3313" s="100" t="s">
        <v>862</v>
      </c>
      <c r="B3313" s="101" t="s">
        <v>6134</v>
      </c>
      <c r="C3313" s="115" t="s">
        <v>6135</v>
      </c>
      <c r="D3313" s="38"/>
      <c r="E3313" s="42">
        <v>1</v>
      </c>
      <c r="F3313" s="9"/>
      <c r="G3313" s="8">
        <f t="shared" si="112"/>
        <v>8.3307000000000002</v>
      </c>
      <c r="H3313" s="188">
        <v>7.9340000000000002</v>
      </c>
      <c r="I3313" s="19">
        <f t="shared" si="113"/>
        <v>0</v>
      </c>
      <c r="L3313" s="131"/>
      <c r="M3313" s="131"/>
      <c r="N3313" s="131"/>
    </row>
    <row r="3314" spans="1:14" hidden="1">
      <c r="A3314" s="100" t="s">
        <v>862</v>
      </c>
      <c r="B3314" s="101" t="s">
        <v>6136</v>
      </c>
      <c r="C3314" s="115" t="s">
        <v>6137</v>
      </c>
      <c r="D3314" s="38"/>
      <c r="E3314" s="42">
        <v>1</v>
      </c>
      <c r="F3314" s="9"/>
      <c r="G3314" s="8">
        <f t="shared" si="112"/>
        <v>8.323875000000001</v>
      </c>
      <c r="H3314" s="188">
        <v>7.9275000000000002</v>
      </c>
      <c r="I3314" s="19">
        <f t="shared" si="113"/>
        <v>0</v>
      </c>
      <c r="L3314" s="131"/>
      <c r="M3314" s="131"/>
      <c r="N3314" s="131"/>
    </row>
    <row r="3315" spans="1:14" hidden="1">
      <c r="A3315" s="100" t="s">
        <v>862</v>
      </c>
      <c r="B3315" s="101" t="s">
        <v>6138</v>
      </c>
      <c r="C3315" s="115" t="s">
        <v>6139</v>
      </c>
      <c r="D3315" s="38"/>
      <c r="E3315" s="42">
        <v>1</v>
      </c>
      <c r="F3315" s="9"/>
      <c r="G3315" s="8">
        <f t="shared" si="112"/>
        <v>8.1033749999999998</v>
      </c>
      <c r="H3315" s="188">
        <v>7.7175000000000002</v>
      </c>
      <c r="I3315" s="19">
        <f t="shared" si="113"/>
        <v>0</v>
      </c>
      <c r="L3315" s="131"/>
      <c r="M3315" s="131"/>
      <c r="N3315" s="131"/>
    </row>
    <row r="3316" spans="1:14" hidden="1">
      <c r="A3316" s="100" t="s">
        <v>862</v>
      </c>
      <c r="B3316" s="101" t="s">
        <v>6140</v>
      </c>
      <c r="C3316" s="115" t="s">
        <v>6141</v>
      </c>
      <c r="D3316" s="38"/>
      <c r="E3316" s="42">
        <v>1</v>
      </c>
      <c r="F3316" s="9"/>
      <c r="G3316" s="8">
        <f t="shared" si="112"/>
        <v>20.311199999999999</v>
      </c>
      <c r="H3316" s="188">
        <v>19.344000000000001</v>
      </c>
      <c r="I3316" s="19">
        <f t="shared" si="113"/>
        <v>0</v>
      </c>
      <c r="L3316" s="131"/>
      <c r="M3316" s="131"/>
      <c r="N3316" s="131"/>
    </row>
    <row r="3317" spans="1:14" hidden="1">
      <c r="A3317" s="100" t="s">
        <v>862</v>
      </c>
      <c r="B3317" s="101" t="s">
        <v>6142</v>
      </c>
      <c r="C3317" s="115" t="s">
        <v>6143</v>
      </c>
      <c r="D3317" s="38"/>
      <c r="E3317" s="42">
        <v>1</v>
      </c>
      <c r="F3317" s="9"/>
      <c r="G3317" s="8">
        <f t="shared" si="112"/>
        <v>0.88987500000000008</v>
      </c>
      <c r="H3317" s="188">
        <v>0.84750000000000003</v>
      </c>
      <c r="I3317" s="19">
        <f t="shared" si="113"/>
        <v>0</v>
      </c>
      <c r="L3317" s="131"/>
      <c r="M3317" s="131"/>
      <c r="N3317" s="131"/>
    </row>
    <row r="3318" spans="1:14" hidden="1">
      <c r="A3318" s="100" t="s">
        <v>862</v>
      </c>
      <c r="B3318" s="101" t="s">
        <v>6144</v>
      </c>
      <c r="C3318" s="115" t="s">
        <v>6145</v>
      </c>
      <c r="D3318" s="38"/>
      <c r="E3318" s="42">
        <v>1</v>
      </c>
      <c r="F3318" s="9"/>
      <c r="G3318" s="8">
        <f t="shared" si="112"/>
        <v>89.680499999999995</v>
      </c>
      <c r="H3318" s="188">
        <v>85.41</v>
      </c>
      <c r="I3318" s="19">
        <f t="shared" si="113"/>
        <v>0</v>
      </c>
      <c r="L3318" s="131"/>
      <c r="M3318" s="131"/>
      <c r="N3318" s="131"/>
    </row>
    <row r="3319" spans="1:14" hidden="1">
      <c r="A3319" s="100" t="s">
        <v>862</v>
      </c>
      <c r="B3319" s="101" t="s">
        <v>6146</v>
      </c>
      <c r="C3319" s="115" t="s">
        <v>6147</v>
      </c>
      <c r="D3319" s="38"/>
      <c r="E3319" s="42">
        <v>1</v>
      </c>
      <c r="F3319" s="9"/>
      <c r="G3319" s="8">
        <f t="shared" si="112"/>
        <v>1.5566249999999999</v>
      </c>
      <c r="H3319" s="188">
        <v>1.4824999999999999</v>
      </c>
      <c r="I3319" s="19">
        <f t="shared" si="113"/>
        <v>0</v>
      </c>
      <c r="L3319" s="131"/>
      <c r="M3319" s="131"/>
      <c r="N3319" s="131"/>
    </row>
    <row r="3320" spans="1:14" hidden="1">
      <c r="A3320" s="100" t="s">
        <v>862</v>
      </c>
      <c r="B3320" s="101" t="s">
        <v>6148</v>
      </c>
      <c r="C3320" s="115" t="s">
        <v>6149</v>
      </c>
      <c r="D3320" s="38"/>
      <c r="E3320" s="42">
        <v>1</v>
      </c>
      <c r="F3320" s="9"/>
      <c r="G3320" s="8">
        <f t="shared" si="112"/>
        <v>1.5566249999999999</v>
      </c>
      <c r="H3320" s="188">
        <v>1.4824999999999999</v>
      </c>
      <c r="I3320" s="19">
        <f t="shared" si="113"/>
        <v>0</v>
      </c>
      <c r="L3320" s="131"/>
      <c r="M3320" s="131"/>
      <c r="N3320" s="131"/>
    </row>
    <row r="3321" spans="1:14" hidden="1">
      <c r="A3321" s="100" t="s">
        <v>862</v>
      </c>
      <c r="B3321" s="101" t="s">
        <v>6150</v>
      </c>
      <c r="C3321" s="115" t="s">
        <v>6151</v>
      </c>
      <c r="D3321" s="38"/>
      <c r="E3321" s="42">
        <v>1</v>
      </c>
      <c r="F3321" s="9"/>
      <c r="G3321" s="8">
        <f t="shared" si="112"/>
        <v>1.5566249999999999</v>
      </c>
      <c r="H3321" s="188">
        <v>1.4824999999999999</v>
      </c>
      <c r="I3321" s="19">
        <f t="shared" si="113"/>
        <v>0</v>
      </c>
      <c r="L3321" s="131"/>
      <c r="M3321" s="131"/>
      <c r="N3321" s="131"/>
    </row>
    <row r="3322" spans="1:14" hidden="1">
      <c r="A3322" s="100" t="s">
        <v>862</v>
      </c>
      <c r="B3322" s="101" t="s">
        <v>6152</v>
      </c>
      <c r="C3322" s="115" t="s">
        <v>6153</v>
      </c>
      <c r="D3322" s="38"/>
      <c r="E3322" s="42">
        <v>1</v>
      </c>
      <c r="F3322" s="9"/>
      <c r="G3322" s="8">
        <f t="shared" si="112"/>
        <v>1.5566249999999999</v>
      </c>
      <c r="H3322" s="188">
        <v>1.4824999999999999</v>
      </c>
      <c r="I3322" s="19">
        <f t="shared" si="113"/>
        <v>0</v>
      </c>
      <c r="L3322" s="131"/>
      <c r="M3322" s="131"/>
      <c r="N3322" s="131"/>
    </row>
    <row r="3323" spans="1:14" hidden="1">
      <c r="A3323" s="100" t="s">
        <v>862</v>
      </c>
      <c r="B3323" s="101" t="s">
        <v>6154</v>
      </c>
      <c r="C3323" s="115" t="s">
        <v>6155</v>
      </c>
      <c r="D3323" s="38"/>
      <c r="E3323" s="42">
        <v>1</v>
      </c>
      <c r="F3323" s="9"/>
      <c r="G3323" s="8">
        <f t="shared" si="112"/>
        <v>4.7187000000000001</v>
      </c>
      <c r="H3323" s="188">
        <v>4.4939999999999998</v>
      </c>
      <c r="I3323" s="19">
        <f t="shared" si="113"/>
        <v>0</v>
      </c>
      <c r="L3323" s="131"/>
      <c r="M3323" s="131"/>
      <c r="N3323" s="131"/>
    </row>
    <row r="3324" spans="1:14" hidden="1">
      <c r="A3324" s="100" t="s">
        <v>862</v>
      </c>
      <c r="B3324" s="101" t="s">
        <v>6156</v>
      </c>
      <c r="C3324" s="115" t="s">
        <v>6157</v>
      </c>
      <c r="D3324" s="38"/>
      <c r="E3324" s="42">
        <v>1</v>
      </c>
      <c r="F3324" s="9"/>
      <c r="G3324" s="8">
        <f t="shared" si="112"/>
        <v>145.05225000000002</v>
      </c>
      <c r="H3324" s="188">
        <v>138.14500000000001</v>
      </c>
      <c r="I3324" s="19">
        <f t="shared" si="113"/>
        <v>0</v>
      </c>
      <c r="L3324" s="131"/>
      <c r="M3324" s="131"/>
      <c r="N3324" s="131"/>
    </row>
    <row r="3325" spans="1:14" hidden="1">
      <c r="A3325" s="100" t="s">
        <v>862</v>
      </c>
      <c r="B3325" s="101" t="s">
        <v>6158</v>
      </c>
      <c r="C3325" s="115" t="s">
        <v>6159</v>
      </c>
      <c r="D3325" s="38"/>
      <c r="E3325" s="42">
        <v>1</v>
      </c>
      <c r="F3325" s="9"/>
      <c r="G3325" s="8">
        <f t="shared" si="112"/>
        <v>17.925075</v>
      </c>
      <c r="H3325" s="188">
        <v>17.0715</v>
      </c>
      <c r="I3325" s="19">
        <f t="shared" si="113"/>
        <v>0</v>
      </c>
      <c r="L3325" s="131"/>
      <c r="M3325" s="131"/>
      <c r="N3325" s="131"/>
    </row>
    <row r="3326" spans="1:14" hidden="1">
      <c r="A3326" s="100" t="s">
        <v>862</v>
      </c>
      <c r="B3326" s="101" t="s">
        <v>6160</v>
      </c>
      <c r="C3326" s="115" t="s">
        <v>6161</v>
      </c>
      <c r="D3326" s="38"/>
      <c r="E3326" s="42">
        <v>1</v>
      </c>
      <c r="F3326" s="9"/>
      <c r="G3326" s="8">
        <f t="shared" si="112"/>
        <v>27.637575000000002</v>
      </c>
      <c r="H3326" s="188">
        <v>26.3215</v>
      </c>
      <c r="I3326" s="19">
        <f t="shared" si="113"/>
        <v>0</v>
      </c>
      <c r="L3326" s="131"/>
      <c r="M3326" s="131"/>
      <c r="N3326" s="131"/>
    </row>
    <row r="3327" spans="1:14" hidden="1">
      <c r="A3327" s="100" t="s">
        <v>862</v>
      </c>
      <c r="B3327" s="101" t="s">
        <v>6162</v>
      </c>
      <c r="C3327" s="115" t="s">
        <v>6163</v>
      </c>
      <c r="D3327" s="38"/>
      <c r="E3327" s="42">
        <v>1</v>
      </c>
      <c r="F3327" s="9"/>
      <c r="G3327" s="8">
        <f t="shared" si="112"/>
        <v>23.1</v>
      </c>
      <c r="H3327" s="188">
        <v>22</v>
      </c>
      <c r="I3327" s="19">
        <f t="shared" si="113"/>
        <v>0</v>
      </c>
      <c r="L3327" s="131"/>
      <c r="M3327" s="131"/>
      <c r="N3327" s="131"/>
    </row>
    <row r="3328" spans="1:14" hidden="1">
      <c r="A3328" s="100" t="s">
        <v>862</v>
      </c>
      <c r="B3328" s="101" t="s">
        <v>6164</v>
      </c>
      <c r="C3328" s="115" t="s">
        <v>6165</v>
      </c>
      <c r="D3328" s="38"/>
      <c r="E3328" s="42">
        <v>1</v>
      </c>
      <c r="F3328" s="9"/>
      <c r="G3328" s="8">
        <f t="shared" si="112"/>
        <v>397.27012500000001</v>
      </c>
      <c r="H3328" s="188">
        <v>378.35250000000002</v>
      </c>
      <c r="I3328" s="19">
        <f t="shared" si="113"/>
        <v>0</v>
      </c>
      <c r="L3328" s="131"/>
      <c r="M3328" s="131"/>
      <c r="N3328" s="131"/>
    </row>
    <row r="3329" spans="1:14" hidden="1">
      <c r="A3329" s="100" t="s">
        <v>862</v>
      </c>
      <c r="B3329" s="101" t="s">
        <v>6166</v>
      </c>
      <c r="C3329" s="115" t="s">
        <v>6167</v>
      </c>
      <c r="D3329" s="38"/>
      <c r="E3329" s="42">
        <v>1</v>
      </c>
      <c r="F3329" s="9"/>
      <c r="G3329" s="8">
        <f t="shared" si="112"/>
        <v>47.373375000000003</v>
      </c>
      <c r="H3329" s="188">
        <v>45.1175</v>
      </c>
      <c r="I3329" s="19">
        <f t="shared" si="113"/>
        <v>0</v>
      </c>
      <c r="L3329" s="131"/>
      <c r="M3329" s="131"/>
      <c r="N3329" s="131"/>
    </row>
    <row r="3330" spans="1:14" hidden="1">
      <c r="A3330" s="100" t="s">
        <v>862</v>
      </c>
      <c r="B3330" s="101" t="s">
        <v>6168</v>
      </c>
      <c r="C3330" s="115" t="s">
        <v>6169</v>
      </c>
      <c r="D3330" s="38"/>
      <c r="E3330" s="42">
        <v>1</v>
      </c>
      <c r="F3330" s="9"/>
      <c r="G3330" s="8">
        <f t="shared" si="112"/>
        <v>63.261450000000004</v>
      </c>
      <c r="H3330" s="188">
        <v>60.249000000000002</v>
      </c>
      <c r="I3330" s="19">
        <f t="shared" si="113"/>
        <v>0</v>
      </c>
      <c r="L3330" s="131"/>
      <c r="M3330" s="131"/>
      <c r="N3330" s="131"/>
    </row>
    <row r="3331" spans="1:14" hidden="1">
      <c r="A3331" s="100" t="s">
        <v>862</v>
      </c>
      <c r="B3331" s="101" t="s">
        <v>6170</v>
      </c>
      <c r="C3331" s="115" t="s">
        <v>6171</v>
      </c>
      <c r="D3331" s="38"/>
      <c r="E3331" s="42">
        <v>1</v>
      </c>
      <c r="F3331" s="9"/>
      <c r="G3331" s="8">
        <f t="shared" si="112"/>
        <v>0.62895000000000001</v>
      </c>
      <c r="H3331" s="188">
        <v>0.59899999999999998</v>
      </c>
      <c r="I3331" s="19">
        <f t="shared" si="113"/>
        <v>0</v>
      </c>
      <c r="L3331" s="131"/>
      <c r="M3331" s="131"/>
      <c r="N3331" s="131"/>
    </row>
    <row r="3332" spans="1:14" hidden="1">
      <c r="A3332" s="100" t="s">
        <v>862</v>
      </c>
      <c r="B3332" s="101" t="s">
        <v>6172</v>
      </c>
      <c r="C3332" s="115" t="s">
        <v>6173</v>
      </c>
      <c r="D3332" s="38"/>
      <c r="E3332" s="42">
        <v>1</v>
      </c>
      <c r="F3332" s="9"/>
      <c r="G3332" s="8">
        <f t="shared" si="112"/>
        <v>43.085699999999996</v>
      </c>
      <c r="H3332" s="188">
        <v>41.033999999999999</v>
      </c>
      <c r="I3332" s="19">
        <f t="shared" si="113"/>
        <v>0</v>
      </c>
      <c r="L3332" s="131"/>
      <c r="M3332" s="131"/>
      <c r="N3332" s="131"/>
    </row>
    <row r="3333" spans="1:14" hidden="1">
      <c r="A3333" s="100" t="s">
        <v>862</v>
      </c>
      <c r="B3333" s="101" t="s">
        <v>6174</v>
      </c>
      <c r="C3333" s="115" t="s">
        <v>6175</v>
      </c>
      <c r="D3333" s="38"/>
      <c r="E3333" s="42">
        <v>1</v>
      </c>
      <c r="F3333" s="9"/>
      <c r="G3333" s="8">
        <f t="shared" si="112"/>
        <v>20.933325</v>
      </c>
      <c r="H3333" s="188">
        <v>19.936499999999999</v>
      </c>
      <c r="I3333" s="19">
        <f t="shared" si="113"/>
        <v>0</v>
      </c>
      <c r="L3333" s="131"/>
      <c r="M3333" s="131"/>
      <c r="N3333" s="131"/>
    </row>
    <row r="3334" spans="1:14" hidden="1">
      <c r="A3334" s="100" t="s">
        <v>862</v>
      </c>
      <c r="B3334" s="101" t="s">
        <v>6176</v>
      </c>
      <c r="C3334" s="115" t="s">
        <v>6177</v>
      </c>
      <c r="D3334" s="38"/>
      <c r="E3334" s="42">
        <v>1</v>
      </c>
      <c r="F3334" s="9"/>
      <c r="G3334" s="8">
        <f t="shared" si="112"/>
        <v>39.099374999999995</v>
      </c>
      <c r="H3334" s="188">
        <v>37.237499999999997</v>
      </c>
      <c r="I3334" s="19">
        <f t="shared" si="113"/>
        <v>0</v>
      </c>
      <c r="L3334" s="131"/>
      <c r="M3334" s="131"/>
      <c r="N3334" s="131"/>
    </row>
    <row r="3335" spans="1:14" hidden="1">
      <c r="A3335" s="100" t="s">
        <v>862</v>
      </c>
      <c r="B3335" s="101" t="s">
        <v>6178</v>
      </c>
      <c r="C3335" s="115" t="s">
        <v>6179</v>
      </c>
      <c r="D3335" s="38"/>
      <c r="E3335" s="42">
        <v>1</v>
      </c>
      <c r="F3335" s="9"/>
      <c r="G3335" s="8">
        <f t="shared" si="112"/>
        <v>1.293075</v>
      </c>
      <c r="H3335" s="188">
        <v>1.2315</v>
      </c>
      <c r="I3335" s="19">
        <f t="shared" si="113"/>
        <v>0</v>
      </c>
      <c r="L3335" s="131"/>
      <c r="M3335" s="131"/>
      <c r="N3335" s="131"/>
    </row>
    <row r="3336" spans="1:14" hidden="1">
      <c r="A3336" s="100" t="s">
        <v>862</v>
      </c>
      <c r="B3336" s="114" t="s">
        <v>6180</v>
      </c>
      <c r="C3336" s="116" t="s">
        <v>6181</v>
      </c>
      <c r="D3336" s="38" t="s">
        <v>945</v>
      </c>
      <c r="E3336" s="42">
        <v>1</v>
      </c>
      <c r="F3336" s="9"/>
      <c r="G3336" s="8">
        <f t="shared" si="112"/>
        <v>6.9405000000000001</v>
      </c>
      <c r="H3336" s="188">
        <v>6.61</v>
      </c>
      <c r="I3336" s="19">
        <f t="shared" si="113"/>
        <v>0</v>
      </c>
      <c r="L3336" s="131"/>
      <c r="M3336" s="131"/>
      <c r="N3336" s="131"/>
    </row>
    <row r="3337" spans="1:14" hidden="1">
      <c r="A3337" s="100" t="s">
        <v>862</v>
      </c>
      <c r="B3337" s="101" t="s">
        <v>6182</v>
      </c>
      <c r="C3337" s="115" t="s">
        <v>6183</v>
      </c>
      <c r="D3337" s="38"/>
      <c r="E3337" s="42">
        <v>1</v>
      </c>
      <c r="F3337" s="9"/>
      <c r="G3337" s="8">
        <f t="shared" si="112"/>
        <v>71.137500000000003</v>
      </c>
      <c r="H3337" s="188">
        <v>67.75</v>
      </c>
      <c r="I3337" s="19">
        <f t="shared" si="113"/>
        <v>0</v>
      </c>
      <c r="L3337" s="131"/>
      <c r="M3337" s="131"/>
      <c r="N3337" s="131"/>
    </row>
    <row r="3338" spans="1:14" hidden="1">
      <c r="A3338" s="100" t="s">
        <v>862</v>
      </c>
      <c r="B3338" s="101" t="s">
        <v>6184</v>
      </c>
      <c r="C3338" s="115" t="s">
        <v>6185</v>
      </c>
      <c r="D3338" s="38"/>
      <c r="E3338" s="42">
        <v>1</v>
      </c>
      <c r="F3338" s="9"/>
      <c r="G3338" s="8">
        <f t="shared" si="112"/>
        <v>23.514749999999999</v>
      </c>
      <c r="H3338" s="188">
        <v>22.395</v>
      </c>
      <c r="I3338" s="19">
        <f t="shared" si="113"/>
        <v>0</v>
      </c>
      <c r="L3338" s="131"/>
      <c r="M3338" s="131"/>
      <c r="N3338" s="131"/>
    </row>
    <row r="3339" spans="1:14" hidden="1">
      <c r="A3339" s="100" t="s">
        <v>862</v>
      </c>
      <c r="B3339" s="101" t="s">
        <v>6186</v>
      </c>
      <c r="C3339" s="115" t="s">
        <v>6187</v>
      </c>
      <c r="D3339" s="38"/>
      <c r="E3339" s="42">
        <v>1</v>
      </c>
      <c r="F3339" s="9"/>
      <c r="G3339" s="8">
        <f t="shared" si="112"/>
        <v>6.2118000000000002</v>
      </c>
      <c r="H3339" s="188">
        <v>5.9160000000000004</v>
      </c>
      <c r="I3339" s="19">
        <f t="shared" si="113"/>
        <v>0</v>
      </c>
      <c r="L3339" s="131"/>
      <c r="M3339" s="131"/>
      <c r="N3339" s="131"/>
    </row>
    <row r="3340" spans="1:14" hidden="1">
      <c r="A3340" s="100" t="s">
        <v>862</v>
      </c>
      <c r="B3340" s="101" t="s">
        <v>6188</v>
      </c>
      <c r="C3340" s="115" t="s">
        <v>6189</v>
      </c>
      <c r="D3340" s="38"/>
      <c r="E3340" s="42">
        <v>1</v>
      </c>
      <c r="F3340" s="9"/>
      <c r="G3340" s="8">
        <f t="shared" si="112"/>
        <v>9.7581749999999996</v>
      </c>
      <c r="H3340" s="188">
        <v>9.2934999999999999</v>
      </c>
      <c r="I3340" s="19">
        <f t="shared" si="113"/>
        <v>0</v>
      </c>
      <c r="L3340" s="131"/>
      <c r="M3340" s="131"/>
      <c r="N3340" s="131"/>
    </row>
    <row r="3341" spans="1:14" hidden="1">
      <c r="A3341" s="100" t="s">
        <v>862</v>
      </c>
      <c r="B3341" s="101" t="s">
        <v>6190</v>
      </c>
      <c r="C3341" s="115" t="s">
        <v>6191</v>
      </c>
      <c r="D3341" s="38"/>
      <c r="E3341" s="42">
        <v>1</v>
      </c>
      <c r="F3341" s="9"/>
      <c r="G3341" s="8">
        <f t="shared" si="112"/>
        <v>149.26485000000002</v>
      </c>
      <c r="H3341" s="188">
        <v>142.15700000000001</v>
      </c>
      <c r="I3341" s="19">
        <f t="shared" si="113"/>
        <v>0</v>
      </c>
      <c r="L3341" s="131"/>
      <c r="M3341" s="131"/>
      <c r="N3341" s="131"/>
    </row>
    <row r="3342" spans="1:14" hidden="1">
      <c r="A3342" s="100" t="s">
        <v>862</v>
      </c>
      <c r="B3342" s="101" t="s">
        <v>6192</v>
      </c>
      <c r="C3342" s="115" t="s">
        <v>6193</v>
      </c>
      <c r="D3342" s="38"/>
      <c r="E3342" s="42">
        <v>1</v>
      </c>
      <c r="F3342" s="9"/>
      <c r="G3342" s="8">
        <f t="shared" si="112"/>
        <v>153.44280000000001</v>
      </c>
      <c r="H3342" s="188">
        <v>146.136</v>
      </c>
      <c r="I3342" s="19">
        <f t="shared" si="113"/>
        <v>0</v>
      </c>
      <c r="L3342" s="131"/>
      <c r="M3342" s="131"/>
      <c r="N3342" s="131"/>
    </row>
    <row r="3343" spans="1:14" hidden="1">
      <c r="A3343" s="100" t="s">
        <v>862</v>
      </c>
      <c r="B3343" s="114" t="s">
        <v>6194</v>
      </c>
      <c r="C3343" s="116" t="s">
        <v>6195</v>
      </c>
      <c r="D3343" s="38" t="s">
        <v>2488</v>
      </c>
      <c r="E3343" s="42">
        <v>1</v>
      </c>
      <c r="F3343" s="9"/>
      <c r="G3343" s="8">
        <f t="shared" si="112"/>
        <v>15.629249999999999</v>
      </c>
      <c r="H3343" s="188">
        <v>14.885</v>
      </c>
      <c r="I3343" s="19">
        <f t="shared" si="113"/>
        <v>0</v>
      </c>
      <c r="L3343" s="131"/>
      <c r="M3343" s="131"/>
      <c r="N3343" s="131"/>
    </row>
    <row r="3344" spans="1:14" hidden="1">
      <c r="A3344" s="100" t="s">
        <v>862</v>
      </c>
      <c r="B3344" s="101" t="s">
        <v>6196</v>
      </c>
      <c r="C3344" s="115" t="s">
        <v>6197</v>
      </c>
      <c r="D3344" s="38"/>
      <c r="E3344" s="42">
        <v>1</v>
      </c>
      <c r="F3344" s="9"/>
      <c r="G3344" s="8">
        <f t="shared" si="112"/>
        <v>17.7135</v>
      </c>
      <c r="H3344" s="188">
        <v>16.87</v>
      </c>
      <c r="I3344" s="19">
        <f t="shared" si="113"/>
        <v>0</v>
      </c>
      <c r="L3344" s="131"/>
      <c r="M3344" s="131"/>
      <c r="N3344" s="131"/>
    </row>
    <row r="3345" spans="1:14" hidden="1">
      <c r="A3345" s="100" t="s">
        <v>862</v>
      </c>
      <c r="B3345" s="101" t="s">
        <v>6198</v>
      </c>
      <c r="C3345" s="115" t="s">
        <v>6199</v>
      </c>
      <c r="D3345" s="38"/>
      <c r="E3345" s="42">
        <v>1</v>
      </c>
      <c r="F3345" s="9"/>
      <c r="G3345" s="8">
        <f t="shared" si="112"/>
        <v>17.7135</v>
      </c>
      <c r="H3345" s="188">
        <v>16.87</v>
      </c>
      <c r="I3345" s="19">
        <f t="shared" si="113"/>
        <v>0</v>
      </c>
      <c r="L3345" s="131"/>
      <c r="M3345" s="131"/>
      <c r="N3345" s="131"/>
    </row>
    <row r="3346" spans="1:14" hidden="1">
      <c r="A3346" s="100" t="s">
        <v>862</v>
      </c>
      <c r="B3346" s="114" t="s">
        <v>6200</v>
      </c>
      <c r="C3346" s="116" t="s">
        <v>6201</v>
      </c>
      <c r="D3346" s="38" t="s">
        <v>945</v>
      </c>
      <c r="E3346" s="42">
        <v>1</v>
      </c>
      <c r="F3346" s="9"/>
      <c r="G3346" s="8">
        <f t="shared" si="112"/>
        <v>62.858250000000005</v>
      </c>
      <c r="H3346" s="188">
        <v>59.865000000000002</v>
      </c>
      <c r="I3346" s="19">
        <f t="shared" si="113"/>
        <v>0</v>
      </c>
      <c r="L3346" s="131"/>
      <c r="M3346" s="131"/>
      <c r="N3346" s="131"/>
    </row>
    <row r="3347" spans="1:14" hidden="1">
      <c r="A3347" s="100" t="s">
        <v>862</v>
      </c>
      <c r="B3347" s="101" t="s">
        <v>6202</v>
      </c>
      <c r="C3347" s="115" t="s">
        <v>6203</v>
      </c>
      <c r="D3347" s="38"/>
      <c r="E3347" s="42">
        <v>1</v>
      </c>
      <c r="F3347" s="9"/>
      <c r="G3347" s="8">
        <f t="shared" si="112"/>
        <v>37.899749999999997</v>
      </c>
      <c r="H3347" s="188">
        <v>36.094999999999999</v>
      </c>
      <c r="I3347" s="19">
        <f t="shared" si="113"/>
        <v>0</v>
      </c>
      <c r="L3347" s="131"/>
      <c r="M3347" s="131"/>
      <c r="N3347" s="131"/>
    </row>
    <row r="3348" spans="1:14" hidden="1">
      <c r="A3348" s="100" t="s">
        <v>862</v>
      </c>
      <c r="B3348" s="101" t="s">
        <v>6204</v>
      </c>
      <c r="C3348" s="115" t="s">
        <v>6205</v>
      </c>
      <c r="D3348" s="38"/>
      <c r="E3348" s="42">
        <v>1</v>
      </c>
      <c r="F3348" s="9"/>
      <c r="G3348" s="8">
        <f t="shared" si="112"/>
        <v>435.40350000000001</v>
      </c>
      <c r="H3348" s="188">
        <v>414.67</v>
      </c>
      <c r="I3348" s="19">
        <f t="shared" si="113"/>
        <v>0</v>
      </c>
      <c r="L3348" s="131"/>
      <c r="M3348" s="131"/>
      <c r="N3348" s="131"/>
    </row>
    <row r="3349" spans="1:14" hidden="1">
      <c r="A3349" s="100" t="s">
        <v>862</v>
      </c>
      <c r="B3349" s="101" t="s">
        <v>6206</v>
      </c>
      <c r="C3349" s="115" t="s">
        <v>6207</v>
      </c>
      <c r="D3349" s="38"/>
      <c r="E3349" s="42">
        <v>1</v>
      </c>
      <c r="F3349" s="9"/>
      <c r="G3349" s="8">
        <f t="shared" si="112"/>
        <v>436.79475000000002</v>
      </c>
      <c r="H3349" s="188">
        <v>415.995</v>
      </c>
      <c r="I3349" s="19">
        <f t="shared" si="113"/>
        <v>0</v>
      </c>
      <c r="L3349" s="131"/>
      <c r="M3349" s="131"/>
      <c r="N3349" s="131"/>
    </row>
    <row r="3350" spans="1:14" hidden="1">
      <c r="A3350" s="100" t="s">
        <v>862</v>
      </c>
      <c r="B3350" s="101" t="s">
        <v>6208</v>
      </c>
      <c r="C3350" s="115" t="s">
        <v>6209</v>
      </c>
      <c r="D3350" s="38"/>
      <c r="E3350" s="42">
        <v>1</v>
      </c>
      <c r="F3350" s="9"/>
      <c r="G3350" s="8">
        <f t="shared" si="112"/>
        <v>437.49037500000003</v>
      </c>
      <c r="H3350" s="188">
        <v>416.65750000000003</v>
      </c>
      <c r="I3350" s="19">
        <f t="shared" si="113"/>
        <v>0</v>
      </c>
      <c r="L3350" s="131"/>
      <c r="M3350" s="131"/>
      <c r="N3350" s="131"/>
    </row>
    <row r="3351" spans="1:14" hidden="1">
      <c r="A3351" s="100" t="s">
        <v>862</v>
      </c>
      <c r="B3351" s="101" t="s">
        <v>6210</v>
      </c>
      <c r="C3351" s="115" t="s">
        <v>6211</v>
      </c>
      <c r="D3351" s="38"/>
      <c r="E3351" s="42">
        <v>1</v>
      </c>
      <c r="F3351" s="9"/>
      <c r="G3351" s="8">
        <f t="shared" si="112"/>
        <v>52.183949999999996</v>
      </c>
      <c r="H3351" s="188">
        <v>49.698999999999998</v>
      </c>
      <c r="I3351" s="19">
        <f t="shared" si="113"/>
        <v>0</v>
      </c>
      <c r="L3351" s="131"/>
      <c r="M3351" s="131"/>
      <c r="N3351" s="131"/>
    </row>
    <row r="3352" spans="1:14" hidden="1">
      <c r="A3352" s="100" t="s">
        <v>862</v>
      </c>
      <c r="B3352" s="101" t="s">
        <v>6212</v>
      </c>
      <c r="C3352" s="115" t="s">
        <v>6213</v>
      </c>
      <c r="D3352" s="38"/>
      <c r="E3352" s="42">
        <v>1</v>
      </c>
      <c r="F3352" s="9"/>
      <c r="G3352" s="8">
        <f t="shared" si="112"/>
        <v>1.0226999999999999</v>
      </c>
      <c r="H3352" s="188">
        <v>0.97399999999999998</v>
      </c>
      <c r="I3352" s="19">
        <f t="shared" si="113"/>
        <v>0</v>
      </c>
      <c r="L3352" s="131"/>
      <c r="M3352" s="131"/>
      <c r="N3352" s="131"/>
    </row>
    <row r="3353" spans="1:14" hidden="1">
      <c r="A3353" s="100" t="s">
        <v>862</v>
      </c>
      <c r="B3353" s="101" t="s">
        <v>6214</v>
      </c>
      <c r="C3353" s="115" t="s">
        <v>6215</v>
      </c>
      <c r="D3353" s="38"/>
      <c r="E3353" s="42">
        <v>1</v>
      </c>
      <c r="F3353" s="9"/>
      <c r="G3353" s="8">
        <f t="shared" si="112"/>
        <v>72.068849999999998</v>
      </c>
      <c r="H3353" s="188">
        <v>68.637</v>
      </c>
      <c r="I3353" s="19">
        <f t="shared" si="113"/>
        <v>0</v>
      </c>
      <c r="L3353" s="131"/>
      <c r="M3353" s="131"/>
      <c r="N3353" s="131"/>
    </row>
    <row r="3354" spans="1:14" hidden="1">
      <c r="A3354" s="100" t="s">
        <v>862</v>
      </c>
      <c r="B3354" s="101" t="s">
        <v>6216</v>
      </c>
      <c r="C3354" s="115" t="s">
        <v>6217</v>
      </c>
      <c r="D3354" s="38"/>
      <c r="E3354" s="42">
        <v>1</v>
      </c>
      <c r="F3354" s="9"/>
      <c r="G3354" s="8">
        <f t="shared" si="112"/>
        <v>72.068849999999998</v>
      </c>
      <c r="H3354" s="188">
        <v>68.637</v>
      </c>
      <c r="I3354" s="19">
        <f t="shared" si="113"/>
        <v>0</v>
      </c>
      <c r="L3354" s="131"/>
      <c r="M3354" s="131"/>
      <c r="N3354" s="131"/>
    </row>
    <row r="3355" spans="1:14" hidden="1">
      <c r="A3355" s="100" t="s">
        <v>862</v>
      </c>
      <c r="B3355" s="101" t="s">
        <v>6218</v>
      </c>
      <c r="C3355" s="115" t="s">
        <v>6219</v>
      </c>
      <c r="D3355" s="38"/>
      <c r="E3355" s="42">
        <v>1</v>
      </c>
      <c r="F3355" s="9"/>
      <c r="G3355" s="8">
        <f t="shared" si="112"/>
        <v>71.982225</v>
      </c>
      <c r="H3355" s="188">
        <v>68.554500000000004</v>
      </c>
      <c r="I3355" s="19">
        <f t="shared" si="113"/>
        <v>0</v>
      </c>
      <c r="L3355" s="131"/>
      <c r="M3355" s="131"/>
      <c r="N3355" s="131"/>
    </row>
    <row r="3356" spans="1:14" hidden="1">
      <c r="A3356" s="100" t="s">
        <v>862</v>
      </c>
      <c r="B3356" s="101" t="s">
        <v>6220</v>
      </c>
      <c r="C3356" s="115" t="s">
        <v>6221</v>
      </c>
      <c r="D3356" s="38"/>
      <c r="E3356" s="42">
        <v>1</v>
      </c>
      <c r="F3356" s="9"/>
      <c r="G3356" s="8">
        <f t="shared" si="112"/>
        <v>71.982225</v>
      </c>
      <c r="H3356" s="188">
        <v>68.554500000000004</v>
      </c>
      <c r="I3356" s="19">
        <f t="shared" si="113"/>
        <v>0</v>
      </c>
      <c r="L3356" s="131"/>
      <c r="M3356" s="131"/>
      <c r="N3356" s="131"/>
    </row>
    <row r="3357" spans="1:14" hidden="1">
      <c r="A3357" s="100" t="s">
        <v>862</v>
      </c>
      <c r="B3357" s="101" t="s">
        <v>6222</v>
      </c>
      <c r="C3357" s="115" t="s">
        <v>6223</v>
      </c>
      <c r="D3357" s="38"/>
      <c r="E3357" s="42">
        <v>1</v>
      </c>
      <c r="F3357" s="9"/>
      <c r="G3357" s="8">
        <f t="shared" si="112"/>
        <v>69.287400000000005</v>
      </c>
      <c r="H3357" s="188">
        <v>65.988</v>
      </c>
      <c r="I3357" s="19">
        <f t="shared" si="113"/>
        <v>0</v>
      </c>
      <c r="L3357" s="131"/>
      <c r="M3357" s="131"/>
      <c r="N3357" s="131"/>
    </row>
    <row r="3358" spans="1:14" hidden="1">
      <c r="A3358" s="100" t="s">
        <v>862</v>
      </c>
      <c r="B3358" s="101" t="s">
        <v>6224</v>
      </c>
      <c r="C3358" s="115" t="s">
        <v>6225</v>
      </c>
      <c r="D3358" s="38"/>
      <c r="E3358" s="42">
        <v>1</v>
      </c>
      <c r="F3358" s="9"/>
      <c r="G3358" s="8">
        <f t="shared" si="112"/>
        <v>69.287400000000005</v>
      </c>
      <c r="H3358" s="188">
        <v>65.988</v>
      </c>
      <c r="I3358" s="19">
        <f t="shared" si="113"/>
        <v>0</v>
      </c>
      <c r="L3358" s="131"/>
      <c r="M3358" s="131"/>
      <c r="N3358" s="131"/>
    </row>
    <row r="3359" spans="1:14" hidden="1">
      <c r="A3359" s="100" t="s">
        <v>862</v>
      </c>
      <c r="B3359" s="101" t="s">
        <v>6226</v>
      </c>
      <c r="C3359" s="115" t="s">
        <v>6227</v>
      </c>
      <c r="D3359" s="38"/>
      <c r="E3359" s="42">
        <v>1</v>
      </c>
      <c r="F3359" s="9"/>
      <c r="G3359" s="8">
        <f t="shared" si="112"/>
        <v>69.200775000000007</v>
      </c>
      <c r="H3359" s="188">
        <v>65.905500000000004</v>
      </c>
      <c r="I3359" s="19">
        <f t="shared" si="113"/>
        <v>0</v>
      </c>
      <c r="L3359" s="131"/>
      <c r="M3359" s="131"/>
      <c r="N3359" s="131"/>
    </row>
    <row r="3360" spans="1:14" hidden="1">
      <c r="A3360" s="100" t="s">
        <v>862</v>
      </c>
      <c r="B3360" s="101" t="s">
        <v>6228</v>
      </c>
      <c r="C3360" s="115" t="s">
        <v>6229</v>
      </c>
      <c r="D3360" s="38"/>
      <c r="E3360" s="42">
        <v>1</v>
      </c>
      <c r="F3360" s="9"/>
      <c r="G3360" s="8">
        <f t="shared" si="112"/>
        <v>69.200775000000007</v>
      </c>
      <c r="H3360" s="188">
        <v>65.905500000000004</v>
      </c>
      <c r="I3360" s="19">
        <f t="shared" si="113"/>
        <v>0</v>
      </c>
      <c r="L3360" s="131"/>
      <c r="M3360" s="131"/>
      <c r="N3360" s="131"/>
    </row>
    <row r="3361" spans="1:14" hidden="1">
      <c r="A3361" s="100" t="s">
        <v>862</v>
      </c>
      <c r="B3361" s="101" t="s">
        <v>6230</v>
      </c>
      <c r="C3361" s="115" t="s">
        <v>6231</v>
      </c>
      <c r="D3361" s="38"/>
      <c r="E3361" s="42">
        <v>1</v>
      </c>
      <c r="F3361" s="9"/>
      <c r="G3361" s="8">
        <f t="shared" si="112"/>
        <v>64.899450000000002</v>
      </c>
      <c r="H3361" s="188">
        <v>61.808999999999997</v>
      </c>
      <c r="I3361" s="19">
        <f t="shared" si="113"/>
        <v>0</v>
      </c>
      <c r="L3361" s="131"/>
      <c r="M3361" s="131"/>
      <c r="N3361" s="131"/>
    </row>
    <row r="3362" spans="1:14" hidden="1">
      <c r="A3362" s="100" t="s">
        <v>862</v>
      </c>
      <c r="B3362" s="101" t="s">
        <v>6232</v>
      </c>
      <c r="C3362" s="115" t="s">
        <v>6233</v>
      </c>
      <c r="D3362" s="38"/>
      <c r="E3362" s="42">
        <v>1</v>
      </c>
      <c r="F3362" s="9"/>
      <c r="G3362" s="8">
        <f t="shared" si="112"/>
        <v>64.899450000000002</v>
      </c>
      <c r="H3362" s="188">
        <v>61.808999999999997</v>
      </c>
      <c r="I3362" s="19">
        <f t="shared" si="113"/>
        <v>0</v>
      </c>
      <c r="L3362" s="131"/>
      <c r="M3362" s="131"/>
      <c r="N3362" s="131"/>
    </row>
    <row r="3363" spans="1:14" hidden="1">
      <c r="A3363" s="100" t="s">
        <v>862</v>
      </c>
      <c r="B3363" s="101" t="s">
        <v>6234</v>
      </c>
      <c r="C3363" s="115" t="s">
        <v>6235</v>
      </c>
      <c r="D3363" s="38"/>
      <c r="E3363" s="42">
        <v>1</v>
      </c>
      <c r="F3363" s="9"/>
      <c r="G3363" s="8">
        <f t="shared" si="112"/>
        <v>65.023875000000004</v>
      </c>
      <c r="H3363" s="188">
        <v>61.927500000000002</v>
      </c>
      <c r="I3363" s="19">
        <f t="shared" si="113"/>
        <v>0</v>
      </c>
      <c r="L3363" s="131"/>
      <c r="M3363" s="131"/>
      <c r="N3363" s="131"/>
    </row>
    <row r="3364" spans="1:14" hidden="1">
      <c r="A3364" s="100" t="s">
        <v>862</v>
      </c>
      <c r="B3364" s="101" t="s">
        <v>6236</v>
      </c>
      <c r="C3364" s="115" t="s">
        <v>6237</v>
      </c>
      <c r="D3364" s="38"/>
      <c r="E3364" s="42">
        <v>1</v>
      </c>
      <c r="F3364" s="9"/>
      <c r="G3364" s="8">
        <f t="shared" si="112"/>
        <v>65.023875000000004</v>
      </c>
      <c r="H3364" s="188">
        <v>61.927500000000002</v>
      </c>
      <c r="I3364" s="19">
        <f t="shared" si="113"/>
        <v>0</v>
      </c>
      <c r="L3364" s="131"/>
      <c r="M3364" s="131"/>
      <c r="N3364" s="131"/>
    </row>
    <row r="3365" spans="1:14" hidden="1">
      <c r="A3365" s="100" t="s">
        <v>862</v>
      </c>
      <c r="B3365" s="101" t="s">
        <v>6238</v>
      </c>
      <c r="C3365" s="115" t="s">
        <v>6239</v>
      </c>
      <c r="D3365" s="38"/>
      <c r="E3365" s="42">
        <v>1</v>
      </c>
      <c r="F3365" s="9"/>
      <c r="G3365" s="8">
        <f t="shared" ref="G3365:G3428" si="114">H3365+(H3365*5%)</f>
        <v>1.5014999999999998</v>
      </c>
      <c r="H3365" s="188">
        <v>1.43</v>
      </c>
      <c r="I3365" s="19">
        <f t="shared" si="113"/>
        <v>0</v>
      </c>
      <c r="L3365" s="131"/>
      <c r="M3365" s="131"/>
      <c r="N3365" s="131"/>
    </row>
    <row r="3366" spans="1:14" hidden="1">
      <c r="A3366" s="100" t="s">
        <v>862</v>
      </c>
      <c r="B3366" s="101" t="s">
        <v>6240</v>
      </c>
      <c r="C3366" s="115" t="s">
        <v>6241</v>
      </c>
      <c r="D3366" s="38"/>
      <c r="E3366" s="42">
        <v>1</v>
      </c>
      <c r="F3366" s="9"/>
      <c r="G3366" s="8">
        <f t="shared" si="114"/>
        <v>62.146349999999998</v>
      </c>
      <c r="H3366" s="188">
        <v>59.186999999999998</v>
      </c>
      <c r="I3366" s="19">
        <f t="shared" si="113"/>
        <v>0</v>
      </c>
      <c r="L3366" s="131"/>
      <c r="M3366" s="131"/>
      <c r="N3366" s="131"/>
    </row>
    <row r="3367" spans="1:14" hidden="1">
      <c r="A3367" s="100" t="s">
        <v>862</v>
      </c>
      <c r="B3367" s="101" t="s">
        <v>6242</v>
      </c>
      <c r="C3367" s="115" t="s">
        <v>6243</v>
      </c>
      <c r="D3367" s="38"/>
      <c r="E3367" s="42">
        <v>1</v>
      </c>
      <c r="F3367" s="9"/>
      <c r="G3367" s="8">
        <f t="shared" si="114"/>
        <v>62.270775</v>
      </c>
      <c r="H3367" s="188">
        <v>59.305500000000002</v>
      </c>
      <c r="I3367" s="19">
        <f t="shared" ref="I3367:I3430" si="115">G3367*F3367</f>
        <v>0</v>
      </c>
      <c r="L3367" s="131"/>
      <c r="M3367" s="131"/>
      <c r="N3367" s="131"/>
    </row>
    <row r="3368" spans="1:14" hidden="1">
      <c r="A3368" s="100" t="s">
        <v>862</v>
      </c>
      <c r="B3368" s="101" t="s">
        <v>6244</v>
      </c>
      <c r="C3368" s="115" t="s">
        <v>6245</v>
      </c>
      <c r="D3368" s="38"/>
      <c r="E3368" s="42">
        <v>1</v>
      </c>
      <c r="F3368" s="9"/>
      <c r="G3368" s="8">
        <f t="shared" si="114"/>
        <v>62.270775</v>
      </c>
      <c r="H3368" s="188">
        <v>59.305500000000002</v>
      </c>
      <c r="I3368" s="19">
        <f t="shared" si="115"/>
        <v>0</v>
      </c>
      <c r="L3368" s="131"/>
      <c r="M3368" s="131"/>
      <c r="N3368" s="131"/>
    </row>
    <row r="3369" spans="1:14" hidden="1">
      <c r="A3369" s="100" t="s">
        <v>862</v>
      </c>
      <c r="B3369" s="101" t="s">
        <v>6246</v>
      </c>
      <c r="C3369" s="115" t="s">
        <v>6247</v>
      </c>
      <c r="D3369" s="38"/>
      <c r="E3369" s="42">
        <v>1</v>
      </c>
      <c r="F3369" s="9"/>
      <c r="G3369" s="8">
        <f t="shared" si="114"/>
        <v>62.270775</v>
      </c>
      <c r="H3369" s="188">
        <v>59.305500000000002</v>
      </c>
      <c r="I3369" s="19">
        <f t="shared" si="115"/>
        <v>0</v>
      </c>
      <c r="L3369" s="131"/>
      <c r="M3369" s="131"/>
      <c r="N3369" s="131"/>
    </row>
    <row r="3370" spans="1:14" hidden="1">
      <c r="A3370" s="100" t="s">
        <v>862</v>
      </c>
      <c r="B3370" s="101" t="s">
        <v>6248</v>
      </c>
      <c r="C3370" s="115" t="s">
        <v>6249</v>
      </c>
      <c r="D3370" s="38"/>
      <c r="E3370" s="42">
        <v>1</v>
      </c>
      <c r="F3370" s="9"/>
      <c r="G3370" s="8">
        <f t="shared" si="114"/>
        <v>68.566050000000004</v>
      </c>
      <c r="H3370" s="188">
        <v>65.301000000000002</v>
      </c>
      <c r="I3370" s="19">
        <f t="shared" si="115"/>
        <v>0</v>
      </c>
      <c r="L3370" s="131"/>
      <c r="M3370" s="131"/>
      <c r="N3370" s="131"/>
    </row>
    <row r="3371" spans="1:14" hidden="1">
      <c r="A3371" s="100" t="s">
        <v>862</v>
      </c>
      <c r="B3371" s="101" t="s">
        <v>6250</v>
      </c>
      <c r="C3371" s="115" t="s">
        <v>6251</v>
      </c>
      <c r="D3371" s="38"/>
      <c r="E3371" s="42">
        <v>1</v>
      </c>
      <c r="F3371" s="9"/>
      <c r="G3371" s="8">
        <f t="shared" si="114"/>
        <v>68.566050000000004</v>
      </c>
      <c r="H3371" s="188">
        <v>65.301000000000002</v>
      </c>
      <c r="I3371" s="19">
        <f t="shared" si="115"/>
        <v>0</v>
      </c>
      <c r="L3371" s="131"/>
      <c r="M3371" s="131"/>
      <c r="N3371" s="131"/>
    </row>
    <row r="3372" spans="1:14" hidden="1">
      <c r="A3372" s="100" t="s">
        <v>862</v>
      </c>
      <c r="B3372" s="101" t="s">
        <v>6252</v>
      </c>
      <c r="C3372" s="115" t="s">
        <v>6253</v>
      </c>
      <c r="D3372" s="38"/>
      <c r="E3372" s="42">
        <v>1</v>
      </c>
      <c r="F3372" s="9"/>
      <c r="G3372" s="8">
        <f t="shared" si="114"/>
        <v>68.690474999999992</v>
      </c>
      <c r="H3372" s="188">
        <v>65.419499999999999</v>
      </c>
      <c r="I3372" s="19">
        <f t="shared" si="115"/>
        <v>0</v>
      </c>
      <c r="L3372" s="131"/>
      <c r="M3372" s="131"/>
      <c r="N3372" s="131"/>
    </row>
    <row r="3373" spans="1:14" hidden="1">
      <c r="A3373" s="100" t="s">
        <v>862</v>
      </c>
      <c r="B3373" s="101" t="s">
        <v>6254</v>
      </c>
      <c r="C3373" s="115" t="s">
        <v>6255</v>
      </c>
      <c r="D3373" s="38"/>
      <c r="E3373" s="42">
        <v>1</v>
      </c>
      <c r="F3373" s="9"/>
      <c r="G3373" s="8">
        <f t="shared" si="114"/>
        <v>68.690474999999992</v>
      </c>
      <c r="H3373" s="188">
        <v>65.419499999999999</v>
      </c>
      <c r="I3373" s="19">
        <f t="shared" si="115"/>
        <v>0</v>
      </c>
      <c r="L3373" s="131"/>
      <c r="M3373" s="131"/>
      <c r="N3373" s="131"/>
    </row>
    <row r="3374" spans="1:14" hidden="1">
      <c r="A3374" s="100" t="s">
        <v>862</v>
      </c>
      <c r="B3374" s="101" t="s">
        <v>6256</v>
      </c>
      <c r="C3374" s="115" t="s">
        <v>6257</v>
      </c>
      <c r="D3374" s="38"/>
      <c r="E3374" s="42">
        <v>1</v>
      </c>
      <c r="F3374" s="9"/>
      <c r="G3374" s="8">
        <f t="shared" si="114"/>
        <v>65.831850000000003</v>
      </c>
      <c r="H3374" s="188">
        <v>62.697000000000003</v>
      </c>
      <c r="I3374" s="19">
        <f t="shared" si="115"/>
        <v>0</v>
      </c>
      <c r="L3374" s="131"/>
      <c r="M3374" s="131"/>
      <c r="N3374" s="131"/>
    </row>
    <row r="3375" spans="1:14" hidden="1">
      <c r="A3375" s="100" t="s">
        <v>862</v>
      </c>
      <c r="B3375" s="101" t="s">
        <v>6258</v>
      </c>
      <c r="C3375" s="115" t="s">
        <v>6259</v>
      </c>
      <c r="D3375" s="38"/>
      <c r="E3375" s="42">
        <v>1</v>
      </c>
      <c r="F3375" s="9"/>
      <c r="G3375" s="8">
        <f t="shared" si="114"/>
        <v>65.831850000000003</v>
      </c>
      <c r="H3375" s="188">
        <v>62.697000000000003</v>
      </c>
      <c r="I3375" s="19">
        <f t="shared" si="115"/>
        <v>0</v>
      </c>
      <c r="L3375" s="131"/>
      <c r="M3375" s="131"/>
      <c r="N3375" s="131"/>
    </row>
    <row r="3376" spans="1:14" hidden="1">
      <c r="A3376" s="100" t="s">
        <v>862</v>
      </c>
      <c r="B3376" s="101" t="s">
        <v>6260</v>
      </c>
      <c r="C3376" s="115" t="s">
        <v>6261</v>
      </c>
      <c r="D3376" s="38"/>
      <c r="E3376" s="42">
        <v>1</v>
      </c>
      <c r="F3376" s="9"/>
      <c r="G3376" s="8">
        <f t="shared" si="114"/>
        <v>65.956275000000005</v>
      </c>
      <c r="H3376" s="188">
        <v>62.8155</v>
      </c>
      <c r="I3376" s="19">
        <f t="shared" si="115"/>
        <v>0</v>
      </c>
      <c r="L3376" s="131"/>
      <c r="M3376" s="131"/>
      <c r="N3376" s="131"/>
    </row>
    <row r="3377" spans="1:14" hidden="1">
      <c r="A3377" s="100" t="s">
        <v>862</v>
      </c>
      <c r="B3377" s="101" t="s">
        <v>6262</v>
      </c>
      <c r="C3377" s="115" t="s">
        <v>6263</v>
      </c>
      <c r="D3377" s="38"/>
      <c r="E3377" s="42">
        <v>1</v>
      </c>
      <c r="F3377" s="9"/>
      <c r="G3377" s="8">
        <f t="shared" si="114"/>
        <v>65.956275000000005</v>
      </c>
      <c r="H3377" s="188">
        <v>62.8155</v>
      </c>
      <c r="I3377" s="19">
        <f t="shared" si="115"/>
        <v>0</v>
      </c>
      <c r="L3377" s="131"/>
      <c r="M3377" s="131"/>
      <c r="N3377" s="131"/>
    </row>
    <row r="3378" spans="1:14" hidden="1">
      <c r="A3378" s="100" t="s">
        <v>862</v>
      </c>
      <c r="B3378" s="101" t="s">
        <v>6264</v>
      </c>
      <c r="C3378" s="115" t="s">
        <v>6265</v>
      </c>
      <c r="D3378" s="38"/>
      <c r="E3378" s="42">
        <v>1</v>
      </c>
      <c r="F3378" s="9"/>
      <c r="G3378" s="8">
        <f t="shared" si="114"/>
        <v>77.49315</v>
      </c>
      <c r="H3378" s="188">
        <v>73.802999999999997</v>
      </c>
      <c r="I3378" s="19">
        <f t="shared" si="115"/>
        <v>0</v>
      </c>
      <c r="L3378" s="131"/>
      <c r="M3378" s="131"/>
      <c r="N3378" s="131"/>
    </row>
    <row r="3379" spans="1:14" hidden="1">
      <c r="A3379" s="100" t="s">
        <v>862</v>
      </c>
      <c r="B3379" s="101" t="s">
        <v>6266</v>
      </c>
      <c r="C3379" s="115" t="s">
        <v>6267</v>
      </c>
      <c r="D3379" s="38"/>
      <c r="E3379" s="42">
        <v>1</v>
      </c>
      <c r="F3379" s="9"/>
      <c r="G3379" s="8">
        <f t="shared" si="114"/>
        <v>77.49315</v>
      </c>
      <c r="H3379" s="188">
        <v>73.802999999999997</v>
      </c>
      <c r="I3379" s="19">
        <f t="shared" si="115"/>
        <v>0</v>
      </c>
      <c r="L3379" s="131"/>
      <c r="M3379" s="131"/>
      <c r="N3379" s="131"/>
    </row>
    <row r="3380" spans="1:14" hidden="1">
      <c r="A3380" s="100" t="s">
        <v>862</v>
      </c>
      <c r="B3380" s="101" t="s">
        <v>6268</v>
      </c>
      <c r="C3380" s="115" t="s">
        <v>6269</v>
      </c>
      <c r="D3380" s="38"/>
      <c r="E3380" s="42">
        <v>1</v>
      </c>
      <c r="F3380" s="9"/>
      <c r="G3380" s="8">
        <f t="shared" si="114"/>
        <v>78.083775000000003</v>
      </c>
      <c r="H3380" s="188">
        <v>74.365499999999997</v>
      </c>
      <c r="I3380" s="19">
        <f t="shared" si="115"/>
        <v>0</v>
      </c>
      <c r="L3380" s="131"/>
      <c r="M3380" s="131"/>
      <c r="N3380" s="131"/>
    </row>
    <row r="3381" spans="1:14" hidden="1">
      <c r="A3381" s="100" t="s">
        <v>862</v>
      </c>
      <c r="B3381" s="101" t="s">
        <v>6270</v>
      </c>
      <c r="C3381" s="115" t="s">
        <v>6271</v>
      </c>
      <c r="D3381" s="38"/>
      <c r="E3381" s="42">
        <v>1</v>
      </c>
      <c r="F3381" s="9"/>
      <c r="G3381" s="8">
        <f t="shared" si="114"/>
        <v>78.083775000000003</v>
      </c>
      <c r="H3381" s="188">
        <v>74.365499999999997</v>
      </c>
      <c r="I3381" s="19">
        <f t="shared" si="115"/>
        <v>0</v>
      </c>
      <c r="L3381" s="131"/>
      <c r="M3381" s="131"/>
      <c r="N3381" s="131"/>
    </row>
    <row r="3382" spans="1:14" hidden="1">
      <c r="A3382" s="100" t="s">
        <v>862</v>
      </c>
      <c r="B3382" s="101" t="s">
        <v>6272</v>
      </c>
      <c r="C3382" s="115" t="s">
        <v>6273</v>
      </c>
      <c r="D3382" s="38"/>
      <c r="E3382" s="42">
        <v>1</v>
      </c>
      <c r="F3382" s="9"/>
      <c r="G3382" s="8">
        <f t="shared" si="114"/>
        <v>74.740049999999997</v>
      </c>
      <c r="H3382" s="188">
        <v>71.180999999999997</v>
      </c>
      <c r="I3382" s="19">
        <f t="shared" si="115"/>
        <v>0</v>
      </c>
      <c r="L3382" s="131"/>
      <c r="M3382" s="131"/>
      <c r="N3382" s="131"/>
    </row>
    <row r="3383" spans="1:14" hidden="1">
      <c r="A3383" s="100" t="s">
        <v>862</v>
      </c>
      <c r="B3383" s="101" t="s">
        <v>6274</v>
      </c>
      <c r="C3383" s="115" t="s">
        <v>6275</v>
      </c>
      <c r="D3383" s="38"/>
      <c r="E3383" s="42">
        <v>1</v>
      </c>
      <c r="F3383" s="9"/>
      <c r="G3383" s="8">
        <f t="shared" si="114"/>
        <v>74.740049999999997</v>
      </c>
      <c r="H3383" s="188">
        <v>71.180999999999997</v>
      </c>
      <c r="I3383" s="19">
        <f t="shared" si="115"/>
        <v>0</v>
      </c>
      <c r="L3383" s="131"/>
      <c r="M3383" s="131"/>
      <c r="N3383" s="131"/>
    </row>
    <row r="3384" spans="1:14" hidden="1">
      <c r="A3384" s="100" t="s">
        <v>862</v>
      </c>
      <c r="B3384" s="101" t="s">
        <v>6276</v>
      </c>
      <c r="C3384" s="115" t="s">
        <v>6277</v>
      </c>
      <c r="D3384" s="38"/>
      <c r="E3384" s="42">
        <v>1</v>
      </c>
      <c r="F3384" s="9"/>
      <c r="G3384" s="8">
        <f t="shared" si="114"/>
        <v>75.330674999999999</v>
      </c>
      <c r="H3384" s="188">
        <v>71.743499999999997</v>
      </c>
      <c r="I3384" s="19">
        <f t="shared" si="115"/>
        <v>0</v>
      </c>
      <c r="L3384" s="131"/>
      <c r="M3384" s="131"/>
      <c r="N3384" s="131"/>
    </row>
    <row r="3385" spans="1:14" hidden="1">
      <c r="A3385" s="100" t="s">
        <v>862</v>
      </c>
      <c r="B3385" s="101" t="s">
        <v>6278</v>
      </c>
      <c r="C3385" s="115" t="s">
        <v>6279</v>
      </c>
      <c r="D3385" s="38"/>
      <c r="E3385" s="42">
        <v>1</v>
      </c>
      <c r="F3385" s="9"/>
      <c r="G3385" s="8">
        <f t="shared" si="114"/>
        <v>75.330674999999999</v>
      </c>
      <c r="H3385" s="188">
        <v>71.743499999999997</v>
      </c>
      <c r="I3385" s="19">
        <f t="shared" si="115"/>
        <v>0</v>
      </c>
      <c r="L3385" s="131"/>
      <c r="M3385" s="131"/>
      <c r="N3385" s="131"/>
    </row>
    <row r="3386" spans="1:14" hidden="1">
      <c r="A3386" s="100" t="s">
        <v>862</v>
      </c>
      <c r="B3386" s="101" t="s">
        <v>6280</v>
      </c>
      <c r="C3386" s="115" t="s">
        <v>6281</v>
      </c>
      <c r="D3386" s="38"/>
      <c r="E3386" s="42">
        <v>1</v>
      </c>
      <c r="F3386" s="9"/>
      <c r="G3386" s="8">
        <f t="shared" si="114"/>
        <v>43.027424999999994</v>
      </c>
      <c r="H3386" s="188">
        <v>40.978499999999997</v>
      </c>
      <c r="I3386" s="19">
        <f t="shared" si="115"/>
        <v>0</v>
      </c>
      <c r="L3386" s="131"/>
      <c r="M3386" s="131"/>
      <c r="N3386" s="131"/>
    </row>
    <row r="3387" spans="1:14" hidden="1">
      <c r="A3387" s="100" t="s">
        <v>862</v>
      </c>
      <c r="B3387" s="101" t="s">
        <v>6282</v>
      </c>
      <c r="C3387" s="115" t="s">
        <v>6283</v>
      </c>
      <c r="D3387" s="38"/>
      <c r="E3387" s="42">
        <v>1</v>
      </c>
      <c r="F3387" s="9"/>
      <c r="G3387" s="8">
        <f t="shared" si="114"/>
        <v>50.749649999999995</v>
      </c>
      <c r="H3387" s="188">
        <v>48.332999999999998</v>
      </c>
      <c r="I3387" s="19">
        <f t="shared" si="115"/>
        <v>0</v>
      </c>
      <c r="L3387" s="131"/>
      <c r="M3387" s="131"/>
      <c r="N3387" s="131"/>
    </row>
    <row r="3388" spans="1:14" hidden="1">
      <c r="A3388" s="100" t="s">
        <v>862</v>
      </c>
      <c r="B3388" s="101" t="s">
        <v>6284</v>
      </c>
      <c r="C3388" s="115" t="s">
        <v>6285</v>
      </c>
      <c r="D3388" s="38"/>
      <c r="E3388" s="42">
        <v>1</v>
      </c>
      <c r="F3388" s="9"/>
      <c r="G3388" s="8">
        <f t="shared" si="114"/>
        <v>129.24607499999999</v>
      </c>
      <c r="H3388" s="188">
        <v>123.0915</v>
      </c>
      <c r="I3388" s="19">
        <f t="shared" si="115"/>
        <v>0</v>
      </c>
      <c r="L3388" s="131"/>
      <c r="M3388" s="131"/>
      <c r="N3388" s="131"/>
    </row>
    <row r="3389" spans="1:14" hidden="1">
      <c r="A3389" s="100" t="s">
        <v>862</v>
      </c>
      <c r="B3389" s="101" t="s">
        <v>6286</v>
      </c>
      <c r="C3389" s="115" t="s">
        <v>6287</v>
      </c>
      <c r="D3389" s="38"/>
      <c r="E3389" s="42">
        <v>1</v>
      </c>
      <c r="F3389" s="9"/>
      <c r="G3389" s="8">
        <f t="shared" si="114"/>
        <v>14.288400000000001</v>
      </c>
      <c r="H3389" s="188">
        <v>13.608000000000001</v>
      </c>
      <c r="I3389" s="19">
        <f t="shared" si="115"/>
        <v>0</v>
      </c>
      <c r="L3389" s="131"/>
      <c r="M3389" s="131"/>
      <c r="N3389" s="131"/>
    </row>
    <row r="3390" spans="1:14" hidden="1">
      <c r="A3390" s="100" t="s">
        <v>862</v>
      </c>
      <c r="B3390" s="101" t="s">
        <v>6288</v>
      </c>
      <c r="C3390" s="115" t="s">
        <v>6289</v>
      </c>
      <c r="D3390" s="38"/>
      <c r="E3390" s="42">
        <v>1</v>
      </c>
      <c r="F3390" s="9"/>
      <c r="G3390" s="8">
        <f t="shared" si="114"/>
        <v>14.329875000000001</v>
      </c>
      <c r="H3390" s="188">
        <v>13.647500000000001</v>
      </c>
      <c r="I3390" s="19">
        <f t="shared" si="115"/>
        <v>0</v>
      </c>
      <c r="L3390" s="131"/>
      <c r="M3390" s="131"/>
      <c r="N3390" s="131"/>
    </row>
    <row r="3391" spans="1:14" hidden="1">
      <c r="A3391" s="100" t="s">
        <v>862</v>
      </c>
      <c r="B3391" s="101" t="s">
        <v>6290</v>
      </c>
      <c r="C3391" s="115" t="s">
        <v>6291</v>
      </c>
      <c r="D3391" s="38"/>
      <c r="E3391" s="42">
        <v>1</v>
      </c>
      <c r="F3391" s="9"/>
      <c r="G3391" s="8">
        <f t="shared" si="114"/>
        <v>12.533325000000001</v>
      </c>
      <c r="H3391" s="188">
        <v>11.936500000000001</v>
      </c>
      <c r="I3391" s="19">
        <f t="shared" si="115"/>
        <v>0</v>
      </c>
      <c r="L3391" s="131"/>
      <c r="M3391" s="131"/>
      <c r="N3391" s="131"/>
    </row>
    <row r="3392" spans="1:14" hidden="1">
      <c r="A3392" s="100" t="s">
        <v>862</v>
      </c>
      <c r="B3392" s="101" t="s">
        <v>6292</v>
      </c>
      <c r="C3392" s="115" t="s">
        <v>6293</v>
      </c>
      <c r="D3392" s="38"/>
      <c r="E3392" s="42">
        <v>1</v>
      </c>
      <c r="F3392" s="9"/>
      <c r="G3392" s="8">
        <f t="shared" si="114"/>
        <v>12.5265</v>
      </c>
      <c r="H3392" s="188">
        <v>11.93</v>
      </c>
      <c r="I3392" s="19">
        <f t="shared" si="115"/>
        <v>0</v>
      </c>
      <c r="L3392" s="131"/>
      <c r="M3392" s="131"/>
      <c r="N3392" s="131"/>
    </row>
    <row r="3393" spans="1:14" hidden="1">
      <c r="A3393" s="100" t="s">
        <v>862</v>
      </c>
      <c r="B3393" s="101" t="s">
        <v>6294</v>
      </c>
      <c r="C3393" s="115" t="s">
        <v>6295</v>
      </c>
      <c r="D3393" s="38"/>
      <c r="E3393" s="42">
        <v>1</v>
      </c>
      <c r="F3393" s="9"/>
      <c r="G3393" s="8">
        <f t="shared" si="114"/>
        <v>5.5413749999999995</v>
      </c>
      <c r="H3393" s="188">
        <v>5.2774999999999999</v>
      </c>
      <c r="I3393" s="19">
        <f t="shared" si="115"/>
        <v>0</v>
      </c>
      <c r="L3393" s="131"/>
      <c r="M3393" s="131"/>
      <c r="N3393" s="131"/>
    </row>
    <row r="3394" spans="1:14" hidden="1">
      <c r="A3394" s="100" t="s">
        <v>862</v>
      </c>
      <c r="B3394" s="101" t="s">
        <v>6296</v>
      </c>
      <c r="C3394" s="115" t="s">
        <v>6297</v>
      </c>
      <c r="D3394" s="38"/>
      <c r="E3394" s="42">
        <v>1</v>
      </c>
      <c r="F3394" s="9"/>
      <c r="G3394" s="8">
        <f t="shared" si="114"/>
        <v>3.0234750000000004</v>
      </c>
      <c r="H3394" s="188">
        <v>2.8795000000000002</v>
      </c>
      <c r="I3394" s="19">
        <f t="shared" si="115"/>
        <v>0</v>
      </c>
      <c r="L3394" s="131"/>
      <c r="M3394" s="131"/>
      <c r="N3394" s="131"/>
    </row>
    <row r="3395" spans="1:14" hidden="1">
      <c r="A3395" s="100" t="s">
        <v>862</v>
      </c>
      <c r="B3395" s="101" t="s">
        <v>6298</v>
      </c>
      <c r="C3395" s="115" t="s">
        <v>6299</v>
      </c>
      <c r="D3395" s="38"/>
      <c r="E3395" s="42">
        <v>1</v>
      </c>
      <c r="F3395" s="9"/>
      <c r="G3395" s="8">
        <f t="shared" si="114"/>
        <v>2.2622249999999999</v>
      </c>
      <c r="H3395" s="188">
        <v>2.1545000000000001</v>
      </c>
      <c r="I3395" s="19">
        <f t="shared" si="115"/>
        <v>0</v>
      </c>
      <c r="L3395" s="131"/>
      <c r="M3395" s="131"/>
      <c r="N3395" s="131"/>
    </row>
    <row r="3396" spans="1:14" hidden="1">
      <c r="A3396" s="100" t="s">
        <v>862</v>
      </c>
      <c r="B3396" s="101" t="s">
        <v>6300</v>
      </c>
      <c r="C3396" s="115" t="s">
        <v>6301</v>
      </c>
      <c r="D3396" s="38" t="s">
        <v>2488</v>
      </c>
      <c r="E3396" s="42">
        <v>1</v>
      </c>
      <c r="F3396" s="9"/>
      <c r="G3396" s="8">
        <f t="shared" si="114"/>
        <v>19.937925</v>
      </c>
      <c r="H3396" s="188">
        <v>18.988499999999998</v>
      </c>
      <c r="I3396" s="19">
        <f t="shared" si="115"/>
        <v>0</v>
      </c>
      <c r="L3396" s="131"/>
      <c r="M3396" s="131"/>
      <c r="N3396" s="131"/>
    </row>
    <row r="3397" spans="1:14" hidden="1">
      <c r="A3397" s="100" t="s">
        <v>862</v>
      </c>
      <c r="B3397" s="101" t="s">
        <v>6302</v>
      </c>
      <c r="C3397" s="115" t="s">
        <v>6303</v>
      </c>
      <c r="D3397" s="38" t="s">
        <v>2488</v>
      </c>
      <c r="E3397" s="42">
        <v>1</v>
      </c>
      <c r="F3397" s="9"/>
      <c r="G3397" s="8">
        <f t="shared" si="114"/>
        <v>20.650350000000003</v>
      </c>
      <c r="H3397" s="188">
        <v>19.667000000000002</v>
      </c>
      <c r="I3397" s="19">
        <f t="shared" si="115"/>
        <v>0</v>
      </c>
      <c r="L3397" s="131"/>
      <c r="M3397" s="131"/>
      <c r="N3397" s="131"/>
    </row>
    <row r="3398" spans="1:14" hidden="1">
      <c r="A3398" s="100" t="s">
        <v>862</v>
      </c>
      <c r="B3398" s="101" t="s">
        <v>6304</v>
      </c>
      <c r="C3398" s="115" t="s">
        <v>6305</v>
      </c>
      <c r="D3398" s="38" t="s">
        <v>2488</v>
      </c>
      <c r="E3398" s="42">
        <v>1</v>
      </c>
      <c r="F3398" s="9"/>
      <c r="G3398" s="8">
        <f t="shared" si="114"/>
        <v>21.363299999999999</v>
      </c>
      <c r="H3398" s="188">
        <v>20.346</v>
      </c>
      <c r="I3398" s="19">
        <f t="shared" si="115"/>
        <v>0</v>
      </c>
      <c r="L3398" s="131"/>
      <c r="M3398" s="131"/>
      <c r="N3398" s="131"/>
    </row>
    <row r="3399" spans="1:14" hidden="1">
      <c r="A3399" s="100" t="s">
        <v>862</v>
      </c>
      <c r="B3399" s="101" t="s">
        <v>6306</v>
      </c>
      <c r="C3399" s="115" t="s">
        <v>6307</v>
      </c>
      <c r="D3399" s="38" t="s">
        <v>2488</v>
      </c>
      <c r="E3399" s="42">
        <v>1</v>
      </c>
      <c r="F3399" s="9"/>
      <c r="G3399" s="8">
        <f t="shared" si="114"/>
        <v>22.426950000000001</v>
      </c>
      <c r="H3399" s="188">
        <v>21.359000000000002</v>
      </c>
      <c r="I3399" s="19">
        <f t="shared" si="115"/>
        <v>0</v>
      </c>
      <c r="L3399" s="131"/>
      <c r="M3399" s="131"/>
      <c r="N3399" s="131"/>
    </row>
    <row r="3400" spans="1:14" hidden="1">
      <c r="A3400" s="100" t="s">
        <v>862</v>
      </c>
      <c r="B3400" s="101" t="s">
        <v>6308</v>
      </c>
      <c r="C3400" s="115" t="s">
        <v>6309</v>
      </c>
      <c r="D3400" s="38" t="s">
        <v>2488</v>
      </c>
      <c r="E3400" s="42">
        <v>1</v>
      </c>
      <c r="F3400" s="9"/>
      <c r="G3400" s="8">
        <f t="shared" si="114"/>
        <v>23.139900000000001</v>
      </c>
      <c r="H3400" s="188">
        <v>22.038</v>
      </c>
      <c r="I3400" s="19">
        <f t="shared" si="115"/>
        <v>0</v>
      </c>
      <c r="L3400" s="131"/>
      <c r="M3400" s="131"/>
      <c r="N3400" s="131"/>
    </row>
    <row r="3401" spans="1:14" hidden="1">
      <c r="A3401" s="100" t="s">
        <v>862</v>
      </c>
      <c r="B3401" s="101" t="s">
        <v>6310</v>
      </c>
      <c r="C3401" s="115" t="s">
        <v>6311</v>
      </c>
      <c r="D3401" s="38" t="s">
        <v>2488</v>
      </c>
      <c r="E3401" s="42">
        <v>1</v>
      </c>
      <c r="F3401" s="9"/>
      <c r="G3401" s="8">
        <f t="shared" si="114"/>
        <v>23.852325</v>
      </c>
      <c r="H3401" s="188">
        <v>22.7165</v>
      </c>
      <c r="I3401" s="19">
        <f t="shared" si="115"/>
        <v>0</v>
      </c>
      <c r="L3401" s="131"/>
      <c r="M3401" s="131"/>
      <c r="N3401" s="131"/>
    </row>
    <row r="3402" spans="1:14" hidden="1">
      <c r="A3402" s="100" t="s">
        <v>862</v>
      </c>
      <c r="B3402" s="101" t="s">
        <v>6312</v>
      </c>
      <c r="C3402" s="115" t="s">
        <v>6313</v>
      </c>
      <c r="D3402" s="38" t="s">
        <v>2488</v>
      </c>
      <c r="E3402" s="42">
        <v>1</v>
      </c>
      <c r="F3402" s="9"/>
      <c r="G3402" s="8">
        <f t="shared" si="114"/>
        <v>24.565275</v>
      </c>
      <c r="H3402" s="188">
        <v>23.395499999999998</v>
      </c>
      <c r="I3402" s="19">
        <f t="shared" si="115"/>
        <v>0</v>
      </c>
      <c r="L3402" s="131"/>
      <c r="M3402" s="131"/>
      <c r="N3402" s="131"/>
    </row>
    <row r="3403" spans="1:14" hidden="1">
      <c r="A3403" s="100" t="s">
        <v>862</v>
      </c>
      <c r="B3403" s="101" t="s">
        <v>6314</v>
      </c>
      <c r="C3403" s="115" t="s">
        <v>6315</v>
      </c>
      <c r="D3403" s="38" t="s">
        <v>2488</v>
      </c>
      <c r="E3403" s="42">
        <v>1</v>
      </c>
      <c r="F3403" s="9"/>
      <c r="G3403" s="8">
        <f t="shared" si="114"/>
        <v>26.341874999999998</v>
      </c>
      <c r="H3403" s="188">
        <v>25.087499999999999</v>
      </c>
      <c r="I3403" s="19">
        <f t="shared" si="115"/>
        <v>0</v>
      </c>
      <c r="L3403" s="131"/>
      <c r="M3403" s="131"/>
      <c r="N3403" s="131"/>
    </row>
    <row r="3404" spans="1:14" hidden="1">
      <c r="A3404" s="100" t="s">
        <v>862</v>
      </c>
      <c r="B3404" s="101" t="s">
        <v>6316</v>
      </c>
      <c r="C3404" s="115" t="s">
        <v>6317</v>
      </c>
      <c r="D3404" s="38" t="s">
        <v>2488</v>
      </c>
      <c r="E3404" s="42">
        <v>1</v>
      </c>
      <c r="F3404" s="9"/>
      <c r="G3404" s="8">
        <f t="shared" si="114"/>
        <v>27.767250000000001</v>
      </c>
      <c r="H3404" s="188">
        <v>26.445</v>
      </c>
      <c r="I3404" s="19">
        <f t="shared" si="115"/>
        <v>0</v>
      </c>
      <c r="L3404" s="131"/>
      <c r="M3404" s="131"/>
      <c r="N3404" s="131"/>
    </row>
    <row r="3405" spans="1:14" hidden="1">
      <c r="A3405" s="100" t="s">
        <v>862</v>
      </c>
      <c r="B3405" s="101" t="s">
        <v>6318</v>
      </c>
      <c r="C3405" s="115" t="s">
        <v>6319</v>
      </c>
      <c r="D3405" s="38" t="s">
        <v>2488</v>
      </c>
      <c r="E3405" s="42">
        <v>1</v>
      </c>
      <c r="F3405" s="9"/>
      <c r="G3405" s="8">
        <f t="shared" si="114"/>
        <v>19.632899999999999</v>
      </c>
      <c r="H3405" s="188">
        <v>18.698</v>
      </c>
      <c r="I3405" s="19">
        <f t="shared" si="115"/>
        <v>0</v>
      </c>
      <c r="L3405" s="131"/>
      <c r="M3405" s="131"/>
      <c r="N3405" s="131"/>
    </row>
    <row r="3406" spans="1:14" hidden="1">
      <c r="A3406" s="100" t="s">
        <v>862</v>
      </c>
      <c r="B3406" s="101" t="s">
        <v>6320</v>
      </c>
      <c r="C3406" s="115" t="s">
        <v>6321</v>
      </c>
      <c r="D3406" s="38" t="s">
        <v>2488</v>
      </c>
      <c r="E3406" s="42">
        <v>1</v>
      </c>
      <c r="F3406" s="9"/>
      <c r="G3406" s="8">
        <f t="shared" si="114"/>
        <v>20.345324999999999</v>
      </c>
      <c r="H3406" s="188">
        <v>19.3765</v>
      </c>
      <c r="I3406" s="19">
        <f t="shared" si="115"/>
        <v>0</v>
      </c>
      <c r="L3406" s="131"/>
      <c r="M3406" s="131"/>
      <c r="N3406" s="131"/>
    </row>
    <row r="3407" spans="1:14" hidden="1">
      <c r="A3407" s="100" t="s">
        <v>862</v>
      </c>
      <c r="B3407" s="101" t="s">
        <v>6322</v>
      </c>
      <c r="C3407" s="115" t="s">
        <v>6323</v>
      </c>
      <c r="D3407" s="38" t="s">
        <v>2488</v>
      </c>
      <c r="E3407" s="42">
        <v>1</v>
      </c>
      <c r="F3407" s="9"/>
      <c r="G3407" s="8">
        <f t="shared" si="114"/>
        <v>21.058274999999998</v>
      </c>
      <c r="H3407" s="188">
        <v>20.055499999999999</v>
      </c>
      <c r="I3407" s="19">
        <f t="shared" si="115"/>
        <v>0</v>
      </c>
      <c r="L3407" s="131"/>
      <c r="M3407" s="131"/>
      <c r="N3407" s="131"/>
    </row>
    <row r="3408" spans="1:14" hidden="1">
      <c r="A3408" s="100" t="s">
        <v>862</v>
      </c>
      <c r="B3408" s="101" t="s">
        <v>6324</v>
      </c>
      <c r="C3408" s="115" t="s">
        <v>6325</v>
      </c>
      <c r="D3408" s="38" t="s">
        <v>2488</v>
      </c>
      <c r="E3408" s="42">
        <v>1</v>
      </c>
      <c r="F3408" s="9"/>
      <c r="G3408" s="8">
        <f t="shared" si="114"/>
        <v>22.121925000000001</v>
      </c>
      <c r="H3408" s="188">
        <v>21.0685</v>
      </c>
      <c r="I3408" s="19">
        <f t="shared" si="115"/>
        <v>0</v>
      </c>
      <c r="L3408" s="131"/>
      <c r="M3408" s="131"/>
      <c r="N3408" s="131"/>
    </row>
    <row r="3409" spans="1:14" hidden="1">
      <c r="A3409" s="100" t="s">
        <v>862</v>
      </c>
      <c r="B3409" s="101" t="s">
        <v>6326</v>
      </c>
      <c r="C3409" s="115" t="s">
        <v>6327</v>
      </c>
      <c r="D3409" s="38" t="s">
        <v>2488</v>
      </c>
      <c r="E3409" s="42">
        <v>1</v>
      </c>
      <c r="F3409" s="9"/>
      <c r="G3409" s="8">
        <f t="shared" si="114"/>
        <v>22.834875</v>
      </c>
      <c r="H3409" s="188">
        <v>21.747499999999999</v>
      </c>
      <c r="I3409" s="19">
        <f t="shared" si="115"/>
        <v>0</v>
      </c>
      <c r="L3409" s="131"/>
      <c r="M3409" s="131"/>
      <c r="N3409" s="131"/>
    </row>
    <row r="3410" spans="1:14" hidden="1">
      <c r="A3410" s="100" t="s">
        <v>862</v>
      </c>
      <c r="B3410" s="101" t="s">
        <v>6328</v>
      </c>
      <c r="C3410" s="115" t="s">
        <v>6329</v>
      </c>
      <c r="D3410" s="38" t="s">
        <v>2488</v>
      </c>
      <c r="E3410" s="42">
        <v>1</v>
      </c>
      <c r="F3410" s="9"/>
      <c r="G3410" s="8">
        <f t="shared" si="114"/>
        <v>23.5473</v>
      </c>
      <c r="H3410" s="188">
        <v>22.425999999999998</v>
      </c>
      <c r="I3410" s="19">
        <f t="shared" si="115"/>
        <v>0</v>
      </c>
      <c r="L3410" s="131"/>
      <c r="M3410" s="131"/>
      <c r="N3410" s="131"/>
    </row>
    <row r="3411" spans="1:14" hidden="1">
      <c r="A3411" s="100" t="s">
        <v>862</v>
      </c>
      <c r="B3411" s="101" t="s">
        <v>6330</v>
      </c>
      <c r="C3411" s="115" t="s">
        <v>6331</v>
      </c>
      <c r="D3411" s="38" t="s">
        <v>2488</v>
      </c>
      <c r="E3411" s="42">
        <v>1</v>
      </c>
      <c r="F3411" s="9"/>
      <c r="G3411" s="8">
        <f t="shared" si="114"/>
        <v>24.260249999999999</v>
      </c>
      <c r="H3411" s="188">
        <v>23.105</v>
      </c>
      <c r="I3411" s="19">
        <f t="shared" si="115"/>
        <v>0</v>
      </c>
      <c r="L3411" s="131"/>
      <c r="M3411" s="131"/>
      <c r="N3411" s="131"/>
    </row>
    <row r="3412" spans="1:14" hidden="1">
      <c r="A3412" s="100" t="s">
        <v>862</v>
      </c>
      <c r="B3412" s="101" t="s">
        <v>6332</v>
      </c>
      <c r="C3412" s="115" t="s">
        <v>6333</v>
      </c>
      <c r="D3412" s="38" t="s">
        <v>2488</v>
      </c>
      <c r="E3412" s="42">
        <v>1</v>
      </c>
      <c r="F3412" s="9"/>
      <c r="G3412" s="8">
        <f t="shared" si="114"/>
        <v>26.036850000000001</v>
      </c>
      <c r="H3412" s="188">
        <v>24.797000000000001</v>
      </c>
      <c r="I3412" s="19">
        <f t="shared" si="115"/>
        <v>0</v>
      </c>
      <c r="L3412" s="131"/>
      <c r="M3412" s="131"/>
      <c r="N3412" s="131"/>
    </row>
    <row r="3413" spans="1:14" hidden="1">
      <c r="A3413" s="100" t="s">
        <v>862</v>
      </c>
      <c r="B3413" s="101" t="s">
        <v>6334</v>
      </c>
      <c r="C3413" s="115" t="s">
        <v>6335</v>
      </c>
      <c r="D3413" s="38" t="s">
        <v>2488</v>
      </c>
      <c r="E3413" s="42">
        <v>1</v>
      </c>
      <c r="F3413" s="9"/>
      <c r="G3413" s="8">
        <f t="shared" si="114"/>
        <v>27.462225</v>
      </c>
      <c r="H3413" s="188">
        <v>26.154499999999999</v>
      </c>
      <c r="I3413" s="19">
        <f t="shared" si="115"/>
        <v>0</v>
      </c>
      <c r="L3413" s="131"/>
      <c r="M3413" s="131"/>
      <c r="N3413" s="131"/>
    </row>
    <row r="3414" spans="1:14" hidden="1">
      <c r="A3414" s="100" t="s">
        <v>862</v>
      </c>
      <c r="B3414" s="101" t="s">
        <v>6336</v>
      </c>
      <c r="C3414" s="115" t="s">
        <v>6337</v>
      </c>
      <c r="D3414" s="38" t="s">
        <v>2488</v>
      </c>
      <c r="E3414" s="42">
        <v>1</v>
      </c>
      <c r="F3414" s="9"/>
      <c r="G3414" s="8">
        <f t="shared" si="114"/>
        <v>29.7255</v>
      </c>
      <c r="H3414" s="188">
        <v>28.31</v>
      </c>
      <c r="I3414" s="19">
        <f t="shared" si="115"/>
        <v>0</v>
      </c>
      <c r="L3414" s="131"/>
      <c r="M3414" s="131"/>
      <c r="N3414" s="131"/>
    </row>
    <row r="3415" spans="1:14" hidden="1">
      <c r="A3415" s="100" t="s">
        <v>862</v>
      </c>
      <c r="B3415" s="114" t="s">
        <v>6338</v>
      </c>
      <c r="C3415" s="116" t="s">
        <v>6339</v>
      </c>
      <c r="D3415" s="38" t="s">
        <v>945</v>
      </c>
      <c r="E3415" s="42">
        <v>1</v>
      </c>
      <c r="F3415" s="9"/>
      <c r="G3415" s="8">
        <f t="shared" si="114"/>
        <v>8.8462500000000013</v>
      </c>
      <c r="H3415" s="188">
        <v>8.4250000000000007</v>
      </c>
      <c r="I3415" s="19">
        <f t="shared" si="115"/>
        <v>0</v>
      </c>
      <c r="L3415" s="131"/>
      <c r="M3415" s="131"/>
      <c r="N3415" s="131"/>
    </row>
    <row r="3416" spans="1:14" hidden="1">
      <c r="A3416" s="100" t="s">
        <v>862</v>
      </c>
      <c r="B3416" s="101" t="s">
        <v>6340</v>
      </c>
      <c r="C3416" s="115" t="s">
        <v>6341</v>
      </c>
      <c r="D3416" s="38"/>
      <c r="E3416" s="42">
        <v>1</v>
      </c>
      <c r="F3416" s="9"/>
      <c r="G3416" s="8">
        <f t="shared" si="114"/>
        <v>34.699874999999999</v>
      </c>
      <c r="H3416" s="188">
        <v>33.047499999999999</v>
      </c>
      <c r="I3416" s="19">
        <f t="shared" si="115"/>
        <v>0</v>
      </c>
      <c r="L3416" s="131"/>
      <c r="M3416" s="131"/>
      <c r="N3416" s="131"/>
    </row>
    <row r="3417" spans="1:14" hidden="1">
      <c r="A3417" s="100" t="s">
        <v>862</v>
      </c>
      <c r="B3417" s="101" t="s">
        <v>6342</v>
      </c>
      <c r="C3417" s="115" t="s">
        <v>6343</v>
      </c>
      <c r="D3417" s="38"/>
      <c r="E3417" s="42">
        <v>1</v>
      </c>
      <c r="F3417" s="9"/>
      <c r="G3417" s="8">
        <f t="shared" si="114"/>
        <v>1.2368999999999999</v>
      </c>
      <c r="H3417" s="188">
        <v>1.1779999999999999</v>
      </c>
      <c r="I3417" s="19">
        <f t="shared" si="115"/>
        <v>0</v>
      </c>
      <c r="L3417" s="131"/>
      <c r="M3417" s="131"/>
      <c r="N3417" s="131"/>
    </row>
    <row r="3418" spans="1:14" hidden="1">
      <c r="A3418" s="100" t="s">
        <v>862</v>
      </c>
      <c r="B3418" s="101" t="s">
        <v>6344</v>
      </c>
      <c r="C3418" s="115" t="s">
        <v>6345</v>
      </c>
      <c r="D3418" s="38"/>
      <c r="E3418" s="42">
        <v>1</v>
      </c>
      <c r="F3418" s="9"/>
      <c r="G3418" s="8">
        <f t="shared" si="114"/>
        <v>1.3256250000000001</v>
      </c>
      <c r="H3418" s="188">
        <v>1.2625</v>
      </c>
      <c r="I3418" s="19">
        <f t="shared" si="115"/>
        <v>0</v>
      </c>
      <c r="L3418" s="131"/>
      <c r="M3418" s="131"/>
      <c r="N3418" s="131"/>
    </row>
    <row r="3419" spans="1:14" hidden="1">
      <c r="A3419" s="100" t="s">
        <v>862</v>
      </c>
      <c r="B3419" s="101" t="s">
        <v>6346</v>
      </c>
      <c r="C3419" s="115" t="s">
        <v>6347</v>
      </c>
      <c r="D3419" s="38" t="s">
        <v>945</v>
      </c>
      <c r="E3419" s="42">
        <v>1</v>
      </c>
      <c r="F3419" s="9"/>
      <c r="G3419" s="8">
        <f t="shared" si="114"/>
        <v>174.8271</v>
      </c>
      <c r="H3419" s="188">
        <v>166.50200000000001</v>
      </c>
      <c r="I3419" s="19">
        <f t="shared" si="115"/>
        <v>0</v>
      </c>
      <c r="L3419" s="131"/>
      <c r="M3419" s="131"/>
      <c r="N3419" s="131"/>
    </row>
    <row r="3420" spans="1:14" hidden="1">
      <c r="A3420" s="100" t="s">
        <v>862</v>
      </c>
      <c r="B3420" s="101" t="s">
        <v>6348</v>
      </c>
      <c r="C3420" s="115" t="s">
        <v>6349</v>
      </c>
      <c r="D3420" s="38" t="s">
        <v>945</v>
      </c>
      <c r="E3420" s="42">
        <v>1</v>
      </c>
      <c r="F3420" s="9"/>
      <c r="G3420" s="8">
        <f t="shared" si="114"/>
        <v>174.81345000000002</v>
      </c>
      <c r="H3420" s="188">
        <v>166.489</v>
      </c>
      <c r="I3420" s="19">
        <f t="shared" si="115"/>
        <v>0</v>
      </c>
      <c r="L3420" s="131"/>
      <c r="M3420" s="131"/>
      <c r="N3420" s="131"/>
    </row>
    <row r="3421" spans="1:14" hidden="1">
      <c r="A3421" s="100" t="s">
        <v>862</v>
      </c>
      <c r="B3421" s="101" t="s">
        <v>6350</v>
      </c>
      <c r="C3421" s="115" t="s">
        <v>6351</v>
      </c>
      <c r="D3421" s="38" t="s">
        <v>945</v>
      </c>
      <c r="E3421" s="42">
        <v>1</v>
      </c>
      <c r="F3421" s="9"/>
      <c r="G3421" s="8">
        <f t="shared" si="114"/>
        <v>176.217825</v>
      </c>
      <c r="H3421" s="188">
        <v>167.82650000000001</v>
      </c>
      <c r="I3421" s="19">
        <f t="shared" si="115"/>
        <v>0</v>
      </c>
      <c r="L3421" s="131"/>
      <c r="M3421" s="131"/>
      <c r="N3421" s="131"/>
    </row>
    <row r="3422" spans="1:14" hidden="1">
      <c r="A3422" s="100" t="s">
        <v>862</v>
      </c>
      <c r="B3422" s="101" t="s">
        <v>6352</v>
      </c>
      <c r="C3422" s="115" t="s">
        <v>6353</v>
      </c>
      <c r="D3422" s="38" t="s">
        <v>945</v>
      </c>
      <c r="E3422" s="42">
        <v>1</v>
      </c>
      <c r="F3422" s="9"/>
      <c r="G3422" s="8">
        <f t="shared" si="114"/>
        <v>176.20364999999998</v>
      </c>
      <c r="H3422" s="188">
        <v>167.81299999999999</v>
      </c>
      <c r="I3422" s="19">
        <f t="shared" si="115"/>
        <v>0</v>
      </c>
      <c r="L3422" s="131"/>
      <c r="M3422" s="131"/>
      <c r="N3422" s="131"/>
    </row>
    <row r="3423" spans="1:14" hidden="1">
      <c r="A3423" s="100" t="s">
        <v>862</v>
      </c>
      <c r="B3423" s="101" t="s">
        <v>6354</v>
      </c>
      <c r="C3423" s="115" t="s">
        <v>6355</v>
      </c>
      <c r="D3423" s="38"/>
      <c r="E3423" s="42">
        <v>1</v>
      </c>
      <c r="F3423" s="9"/>
      <c r="G3423" s="8">
        <f t="shared" si="114"/>
        <v>2.7972000000000001</v>
      </c>
      <c r="H3423" s="188">
        <v>2.6640000000000001</v>
      </c>
      <c r="I3423" s="19">
        <f t="shared" si="115"/>
        <v>0</v>
      </c>
      <c r="L3423" s="131"/>
      <c r="M3423" s="131"/>
      <c r="N3423" s="131"/>
    </row>
    <row r="3424" spans="1:14" hidden="1">
      <c r="A3424" s="100" t="s">
        <v>862</v>
      </c>
      <c r="B3424" s="101" t="s">
        <v>6356</v>
      </c>
      <c r="C3424" s="115" t="s">
        <v>6357</v>
      </c>
      <c r="D3424" s="38"/>
      <c r="E3424" s="42">
        <v>1</v>
      </c>
      <c r="F3424" s="9"/>
      <c r="G3424" s="8">
        <f t="shared" si="114"/>
        <v>7.0502250000000002</v>
      </c>
      <c r="H3424" s="188">
        <v>6.7145000000000001</v>
      </c>
      <c r="I3424" s="19">
        <f t="shared" si="115"/>
        <v>0</v>
      </c>
      <c r="L3424" s="131"/>
      <c r="M3424" s="131"/>
      <c r="N3424" s="131"/>
    </row>
    <row r="3425" spans="1:14" hidden="1">
      <c r="A3425" s="100" t="s">
        <v>862</v>
      </c>
      <c r="B3425" s="101" t="s">
        <v>6358</v>
      </c>
      <c r="C3425" s="115" t="s">
        <v>6359</v>
      </c>
      <c r="D3425" s="38"/>
      <c r="E3425" s="42">
        <v>1</v>
      </c>
      <c r="F3425" s="9"/>
      <c r="G3425" s="8">
        <f t="shared" si="114"/>
        <v>8.3958000000000013</v>
      </c>
      <c r="H3425" s="188">
        <v>7.9960000000000004</v>
      </c>
      <c r="I3425" s="19">
        <f t="shared" si="115"/>
        <v>0</v>
      </c>
      <c r="L3425" s="131"/>
      <c r="M3425" s="131"/>
      <c r="N3425" s="131"/>
    </row>
    <row r="3426" spans="1:14" hidden="1">
      <c r="A3426" s="100" t="s">
        <v>862</v>
      </c>
      <c r="B3426" s="101" t="s">
        <v>6360</v>
      </c>
      <c r="C3426" s="115" t="s">
        <v>6361</v>
      </c>
      <c r="D3426" s="38"/>
      <c r="E3426" s="42">
        <v>1</v>
      </c>
      <c r="F3426" s="9"/>
      <c r="G3426" s="8">
        <f t="shared" si="114"/>
        <v>2.1556500000000001</v>
      </c>
      <c r="H3426" s="188">
        <v>2.0529999999999999</v>
      </c>
      <c r="I3426" s="19">
        <f t="shared" si="115"/>
        <v>0</v>
      </c>
      <c r="L3426" s="131"/>
      <c r="M3426" s="131"/>
      <c r="N3426" s="131"/>
    </row>
    <row r="3427" spans="1:14" hidden="1">
      <c r="A3427" s="100" t="s">
        <v>862</v>
      </c>
      <c r="B3427" s="101" t="s">
        <v>6362</v>
      </c>
      <c r="C3427" s="115" t="s">
        <v>6363</v>
      </c>
      <c r="D3427" s="38"/>
      <c r="E3427" s="42">
        <v>1</v>
      </c>
      <c r="F3427" s="9"/>
      <c r="G3427" s="8">
        <f t="shared" si="114"/>
        <v>130.03462500000001</v>
      </c>
      <c r="H3427" s="188">
        <v>123.8425</v>
      </c>
      <c r="I3427" s="19">
        <f t="shared" si="115"/>
        <v>0</v>
      </c>
      <c r="L3427" s="131"/>
      <c r="M3427" s="131"/>
      <c r="N3427" s="131"/>
    </row>
    <row r="3428" spans="1:14" hidden="1">
      <c r="A3428" s="100" t="s">
        <v>862</v>
      </c>
      <c r="B3428" s="101" t="s">
        <v>6364</v>
      </c>
      <c r="C3428" s="115" t="s">
        <v>6365</v>
      </c>
      <c r="D3428" s="38"/>
      <c r="E3428" s="42">
        <v>1</v>
      </c>
      <c r="F3428" s="9"/>
      <c r="G3428" s="8">
        <f t="shared" si="114"/>
        <v>1.6432499999999999</v>
      </c>
      <c r="H3428" s="188">
        <v>1.5649999999999999</v>
      </c>
      <c r="I3428" s="19">
        <f t="shared" si="115"/>
        <v>0</v>
      </c>
      <c r="L3428" s="131"/>
      <c r="M3428" s="131"/>
      <c r="N3428" s="131"/>
    </row>
    <row r="3429" spans="1:14" hidden="1">
      <c r="A3429" s="100" t="s">
        <v>862</v>
      </c>
      <c r="B3429" s="101" t="s">
        <v>6366</v>
      </c>
      <c r="C3429" s="115" t="s">
        <v>6367</v>
      </c>
      <c r="D3429" s="38"/>
      <c r="E3429" s="42">
        <v>1</v>
      </c>
      <c r="F3429" s="9"/>
      <c r="G3429" s="8">
        <f t="shared" ref="G3429:G3492" si="116">H3429+(H3429*5%)</f>
        <v>1.6432499999999999</v>
      </c>
      <c r="H3429" s="188">
        <v>1.5649999999999999</v>
      </c>
      <c r="I3429" s="19">
        <f t="shared" si="115"/>
        <v>0</v>
      </c>
      <c r="L3429" s="131"/>
      <c r="M3429" s="131"/>
      <c r="N3429" s="131"/>
    </row>
    <row r="3430" spans="1:14" hidden="1">
      <c r="A3430" s="100" t="s">
        <v>862</v>
      </c>
      <c r="B3430" s="101" t="s">
        <v>6368</v>
      </c>
      <c r="C3430" s="115" t="s">
        <v>6369</v>
      </c>
      <c r="D3430" s="38"/>
      <c r="E3430" s="42">
        <v>1</v>
      </c>
      <c r="F3430" s="9"/>
      <c r="G3430" s="8">
        <f t="shared" si="116"/>
        <v>136.87800000000001</v>
      </c>
      <c r="H3430" s="188">
        <v>130.36000000000001</v>
      </c>
      <c r="I3430" s="19">
        <f t="shared" si="115"/>
        <v>0</v>
      </c>
      <c r="L3430" s="131"/>
      <c r="M3430" s="131"/>
      <c r="N3430" s="131"/>
    </row>
    <row r="3431" spans="1:14" hidden="1">
      <c r="A3431" s="100" t="s">
        <v>862</v>
      </c>
      <c r="B3431" s="101" t="s">
        <v>6370</v>
      </c>
      <c r="C3431" s="115" t="s">
        <v>6371</v>
      </c>
      <c r="D3431" s="38"/>
      <c r="E3431" s="42">
        <v>1</v>
      </c>
      <c r="F3431" s="9"/>
      <c r="G3431" s="8">
        <f t="shared" si="116"/>
        <v>338.17874999999998</v>
      </c>
      <c r="H3431" s="188">
        <v>322.07499999999999</v>
      </c>
      <c r="I3431" s="19">
        <f t="shared" ref="I3431:I3494" si="117">G3431*F3431</f>
        <v>0</v>
      </c>
      <c r="L3431" s="131"/>
      <c r="M3431" s="131"/>
      <c r="N3431" s="131"/>
    </row>
    <row r="3432" spans="1:14" hidden="1">
      <c r="A3432" s="100" t="s">
        <v>862</v>
      </c>
      <c r="B3432" s="101" t="s">
        <v>6372</v>
      </c>
      <c r="C3432" s="115" t="s">
        <v>6373</v>
      </c>
      <c r="D3432" s="38"/>
      <c r="E3432" s="42">
        <v>1</v>
      </c>
      <c r="F3432" s="9"/>
      <c r="G3432" s="8">
        <f t="shared" si="116"/>
        <v>467.63062500000001</v>
      </c>
      <c r="H3432" s="188">
        <v>445.36250000000001</v>
      </c>
      <c r="I3432" s="19">
        <f t="shared" si="117"/>
        <v>0</v>
      </c>
      <c r="L3432" s="131"/>
      <c r="M3432" s="131"/>
      <c r="N3432" s="131"/>
    </row>
    <row r="3433" spans="1:14" hidden="1">
      <c r="A3433" s="100" t="s">
        <v>862</v>
      </c>
      <c r="B3433" s="101" t="s">
        <v>6374</v>
      </c>
      <c r="C3433" s="115" t="s">
        <v>6375</v>
      </c>
      <c r="D3433" s="38"/>
      <c r="E3433" s="42">
        <v>1</v>
      </c>
      <c r="F3433" s="9"/>
      <c r="G3433" s="8">
        <f t="shared" si="116"/>
        <v>443.611875</v>
      </c>
      <c r="H3433" s="188">
        <v>422.48750000000001</v>
      </c>
      <c r="I3433" s="19">
        <f t="shared" si="117"/>
        <v>0</v>
      </c>
      <c r="L3433" s="131"/>
      <c r="M3433" s="131"/>
      <c r="N3433" s="131"/>
    </row>
    <row r="3434" spans="1:14" hidden="1">
      <c r="A3434" s="100" t="s">
        <v>862</v>
      </c>
      <c r="B3434" s="101" t="s">
        <v>6376</v>
      </c>
      <c r="C3434" s="115" t="s">
        <v>6377</v>
      </c>
      <c r="D3434" s="38"/>
      <c r="E3434" s="42">
        <v>1</v>
      </c>
      <c r="F3434" s="9"/>
      <c r="G3434" s="8">
        <f t="shared" si="116"/>
        <v>479.99437499999999</v>
      </c>
      <c r="H3434" s="188">
        <v>457.13749999999999</v>
      </c>
      <c r="I3434" s="19">
        <f t="shared" si="117"/>
        <v>0</v>
      </c>
      <c r="L3434" s="131"/>
      <c r="M3434" s="131"/>
      <c r="N3434" s="131"/>
    </row>
    <row r="3435" spans="1:14" hidden="1">
      <c r="A3435" s="100" t="s">
        <v>862</v>
      </c>
      <c r="B3435" s="101" t="s">
        <v>6378</v>
      </c>
      <c r="C3435" s="115" t="s">
        <v>6379</v>
      </c>
      <c r="D3435" s="38"/>
      <c r="E3435" s="42">
        <v>1</v>
      </c>
      <c r="F3435" s="9"/>
      <c r="G3435" s="8">
        <f t="shared" si="116"/>
        <v>455.98874999999998</v>
      </c>
      <c r="H3435" s="188">
        <v>434.27499999999998</v>
      </c>
      <c r="I3435" s="19">
        <f t="shared" si="117"/>
        <v>0</v>
      </c>
      <c r="L3435" s="131"/>
      <c r="M3435" s="131"/>
      <c r="N3435" s="131"/>
    </row>
    <row r="3436" spans="1:14" hidden="1">
      <c r="A3436" s="100" t="s">
        <v>862</v>
      </c>
      <c r="B3436" s="101" t="s">
        <v>6380</v>
      </c>
      <c r="C3436" s="115" t="s">
        <v>6381</v>
      </c>
      <c r="D3436" s="38"/>
      <c r="E3436" s="42">
        <v>1</v>
      </c>
      <c r="F3436" s="9"/>
      <c r="G3436" s="8">
        <f t="shared" si="116"/>
        <v>575.89875000000006</v>
      </c>
      <c r="H3436" s="188">
        <v>548.47500000000002</v>
      </c>
      <c r="I3436" s="19">
        <f t="shared" si="117"/>
        <v>0</v>
      </c>
      <c r="L3436" s="131"/>
      <c r="M3436" s="131"/>
      <c r="N3436" s="131"/>
    </row>
    <row r="3437" spans="1:14" hidden="1">
      <c r="A3437" s="100" t="s">
        <v>862</v>
      </c>
      <c r="B3437" s="101" t="s">
        <v>6382</v>
      </c>
      <c r="C3437" s="115" t="s">
        <v>6383</v>
      </c>
      <c r="D3437" s="38"/>
      <c r="E3437" s="42">
        <v>1</v>
      </c>
      <c r="F3437" s="9"/>
      <c r="G3437" s="8">
        <f t="shared" si="116"/>
        <v>553.88812500000006</v>
      </c>
      <c r="H3437" s="188">
        <v>527.51250000000005</v>
      </c>
      <c r="I3437" s="19">
        <f t="shared" si="117"/>
        <v>0</v>
      </c>
      <c r="L3437" s="131"/>
      <c r="M3437" s="131"/>
      <c r="N3437" s="131"/>
    </row>
    <row r="3438" spans="1:14" hidden="1">
      <c r="A3438" s="100" t="s">
        <v>862</v>
      </c>
      <c r="B3438" s="101" t="s">
        <v>6384</v>
      </c>
      <c r="C3438" s="115" t="s">
        <v>6385</v>
      </c>
      <c r="D3438" s="38"/>
      <c r="E3438" s="42">
        <v>1</v>
      </c>
      <c r="F3438" s="9"/>
      <c r="G3438" s="8">
        <f t="shared" si="116"/>
        <v>776.16000000000008</v>
      </c>
      <c r="H3438" s="188">
        <v>739.2</v>
      </c>
      <c r="I3438" s="19">
        <f t="shared" si="117"/>
        <v>0</v>
      </c>
      <c r="L3438" s="131"/>
      <c r="M3438" s="131"/>
      <c r="N3438" s="131"/>
    </row>
    <row r="3439" spans="1:14" hidden="1">
      <c r="A3439" s="100" t="s">
        <v>862</v>
      </c>
      <c r="B3439" s="101" t="s">
        <v>6386</v>
      </c>
      <c r="C3439" s="115" t="s">
        <v>6387</v>
      </c>
      <c r="D3439" s="38"/>
      <c r="E3439" s="42">
        <v>1</v>
      </c>
      <c r="F3439" s="9"/>
      <c r="G3439" s="8">
        <f t="shared" si="116"/>
        <v>754.14937499999996</v>
      </c>
      <c r="H3439" s="188">
        <v>718.23749999999995</v>
      </c>
      <c r="I3439" s="19">
        <f t="shared" si="117"/>
        <v>0</v>
      </c>
      <c r="L3439" s="131"/>
      <c r="M3439" s="131"/>
      <c r="N3439" s="131"/>
    </row>
    <row r="3440" spans="1:14" hidden="1">
      <c r="A3440" s="100" t="s">
        <v>862</v>
      </c>
      <c r="B3440" s="101" t="s">
        <v>6388</v>
      </c>
      <c r="C3440" s="115" t="s">
        <v>6389</v>
      </c>
      <c r="D3440" s="38"/>
      <c r="E3440" s="42">
        <v>1</v>
      </c>
      <c r="F3440" s="9"/>
      <c r="G3440" s="8">
        <f t="shared" si="116"/>
        <v>408.46312499999999</v>
      </c>
      <c r="H3440" s="188">
        <v>389.01249999999999</v>
      </c>
      <c r="I3440" s="19">
        <f t="shared" si="117"/>
        <v>0</v>
      </c>
      <c r="L3440" s="131"/>
      <c r="M3440" s="131"/>
      <c r="N3440" s="131"/>
    </row>
    <row r="3441" spans="1:14" hidden="1">
      <c r="A3441" s="100" t="s">
        <v>862</v>
      </c>
      <c r="B3441" s="101" t="s">
        <v>6390</v>
      </c>
      <c r="C3441" s="115" t="s">
        <v>6391</v>
      </c>
      <c r="D3441" s="38"/>
      <c r="E3441" s="42">
        <v>1</v>
      </c>
      <c r="F3441" s="9"/>
      <c r="G3441" s="8">
        <f t="shared" si="116"/>
        <v>9.0509999999999984</v>
      </c>
      <c r="H3441" s="188">
        <v>8.6199999999999992</v>
      </c>
      <c r="I3441" s="19">
        <f t="shared" si="117"/>
        <v>0</v>
      </c>
      <c r="L3441" s="131"/>
      <c r="M3441" s="131"/>
      <c r="N3441" s="131"/>
    </row>
    <row r="3442" spans="1:14" hidden="1">
      <c r="A3442" s="100" t="s">
        <v>862</v>
      </c>
      <c r="B3442" s="101" t="s">
        <v>6392</v>
      </c>
      <c r="C3442" s="115" t="s">
        <v>6393</v>
      </c>
      <c r="D3442" s="38"/>
      <c r="E3442" s="42">
        <v>1</v>
      </c>
      <c r="F3442" s="9"/>
      <c r="G3442" s="8">
        <f t="shared" si="116"/>
        <v>52.260075000000001</v>
      </c>
      <c r="H3442" s="188">
        <v>49.771500000000003</v>
      </c>
      <c r="I3442" s="19">
        <f t="shared" si="117"/>
        <v>0</v>
      </c>
      <c r="L3442" s="131"/>
      <c r="M3442" s="131"/>
      <c r="N3442" s="131"/>
    </row>
    <row r="3443" spans="1:14" hidden="1">
      <c r="A3443" s="100" t="s">
        <v>862</v>
      </c>
      <c r="B3443" s="101" t="s">
        <v>6394</v>
      </c>
      <c r="C3443" s="115" t="s">
        <v>6395</v>
      </c>
      <c r="D3443" s="38"/>
      <c r="E3443" s="42">
        <v>1</v>
      </c>
      <c r="F3443" s="9"/>
      <c r="G3443" s="8">
        <f t="shared" si="116"/>
        <v>17.609550000000002</v>
      </c>
      <c r="H3443" s="188">
        <v>16.771000000000001</v>
      </c>
      <c r="I3443" s="19">
        <f t="shared" si="117"/>
        <v>0</v>
      </c>
      <c r="L3443" s="131"/>
      <c r="M3443" s="131"/>
      <c r="N3443" s="131"/>
    </row>
    <row r="3444" spans="1:14" hidden="1">
      <c r="A3444" s="100" t="s">
        <v>862</v>
      </c>
      <c r="B3444" s="101" t="s">
        <v>6396</v>
      </c>
      <c r="C3444" s="115" t="s">
        <v>6397</v>
      </c>
      <c r="D3444" s="38"/>
      <c r="E3444" s="42">
        <v>1</v>
      </c>
      <c r="F3444" s="9"/>
      <c r="G3444" s="8">
        <f t="shared" si="116"/>
        <v>7.9715999999999996</v>
      </c>
      <c r="H3444" s="188">
        <v>7.5919999999999996</v>
      </c>
      <c r="I3444" s="19">
        <f t="shared" si="117"/>
        <v>0</v>
      </c>
      <c r="L3444" s="131"/>
      <c r="M3444" s="131"/>
      <c r="N3444" s="131"/>
    </row>
    <row r="3445" spans="1:14" hidden="1">
      <c r="A3445" s="100" t="s">
        <v>862</v>
      </c>
      <c r="B3445" s="101" t="s">
        <v>6398</v>
      </c>
      <c r="C3445" s="115" t="s">
        <v>6399</v>
      </c>
      <c r="D3445" s="38"/>
      <c r="E3445" s="42">
        <v>1</v>
      </c>
      <c r="F3445" s="9"/>
      <c r="G3445" s="8">
        <f t="shared" si="116"/>
        <v>7.9715999999999996</v>
      </c>
      <c r="H3445" s="188">
        <v>7.5919999999999996</v>
      </c>
      <c r="I3445" s="19">
        <f t="shared" si="117"/>
        <v>0</v>
      </c>
      <c r="L3445" s="131"/>
      <c r="M3445" s="131"/>
      <c r="N3445" s="131"/>
    </row>
    <row r="3446" spans="1:14" hidden="1">
      <c r="A3446" s="100" t="s">
        <v>862</v>
      </c>
      <c r="B3446" s="101" t="s">
        <v>6400</v>
      </c>
      <c r="C3446" s="115" t="s">
        <v>6401</v>
      </c>
      <c r="D3446" s="38"/>
      <c r="E3446" s="42">
        <v>1</v>
      </c>
      <c r="F3446" s="9"/>
      <c r="G3446" s="8">
        <f t="shared" si="116"/>
        <v>4.5732749999999998</v>
      </c>
      <c r="H3446" s="188">
        <v>4.3555000000000001</v>
      </c>
      <c r="I3446" s="19">
        <f t="shared" si="117"/>
        <v>0</v>
      </c>
      <c r="L3446" s="131"/>
      <c r="M3446" s="131"/>
      <c r="N3446" s="131"/>
    </row>
    <row r="3447" spans="1:14" hidden="1">
      <c r="A3447" s="100" t="s">
        <v>862</v>
      </c>
      <c r="B3447" s="101" t="s">
        <v>6402</v>
      </c>
      <c r="C3447" s="115" t="s">
        <v>6403</v>
      </c>
      <c r="D3447" s="38"/>
      <c r="E3447" s="42">
        <v>1</v>
      </c>
      <c r="F3447" s="9"/>
      <c r="G3447" s="8">
        <f t="shared" si="116"/>
        <v>4.5732749999999998</v>
      </c>
      <c r="H3447" s="188">
        <v>4.3555000000000001</v>
      </c>
      <c r="I3447" s="19">
        <f t="shared" si="117"/>
        <v>0</v>
      </c>
      <c r="L3447" s="131"/>
      <c r="M3447" s="131"/>
      <c r="N3447" s="131"/>
    </row>
    <row r="3448" spans="1:14" hidden="1">
      <c r="A3448" s="100" t="s">
        <v>862</v>
      </c>
      <c r="B3448" s="101" t="s">
        <v>6404</v>
      </c>
      <c r="C3448" s="115" t="s">
        <v>6405</v>
      </c>
      <c r="D3448" s="38" t="s">
        <v>2488</v>
      </c>
      <c r="E3448" s="42">
        <v>1</v>
      </c>
      <c r="F3448" s="9"/>
      <c r="G3448" s="8">
        <f t="shared" si="116"/>
        <v>26.790749999999999</v>
      </c>
      <c r="H3448" s="188">
        <v>25.515000000000001</v>
      </c>
      <c r="I3448" s="19">
        <f t="shared" si="117"/>
        <v>0</v>
      </c>
      <c r="L3448" s="131"/>
      <c r="M3448" s="131"/>
      <c r="N3448" s="131"/>
    </row>
    <row r="3449" spans="1:14" hidden="1">
      <c r="A3449" s="100" t="s">
        <v>862</v>
      </c>
      <c r="B3449" s="101" t="s">
        <v>6406</v>
      </c>
      <c r="C3449" s="115" t="s">
        <v>6407</v>
      </c>
      <c r="D3449" s="38" t="s">
        <v>2488</v>
      </c>
      <c r="E3449" s="42">
        <v>1</v>
      </c>
      <c r="F3449" s="9"/>
      <c r="G3449" s="8">
        <f t="shared" si="116"/>
        <v>28.097474999999999</v>
      </c>
      <c r="H3449" s="188">
        <v>26.759499999999999</v>
      </c>
      <c r="I3449" s="19">
        <f t="shared" si="117"/>
        <v>0</v>
      </c>
      <c r="L3449" s="131"/>
      <c r="M3449" s="131"/>
      <c r="N3449" s="131"/>
    </row>
    <row r="3450" spans="1:14" hidden="1">
      <c r="A3450" s="100" t="s">
        <v>862</v>
      </c>
      <c r="B3450" s="101" t="s">
        <v>6408</v>
      </c>
      <c r="C3450" s="115" t="s">
        <v>6409</v>
      </c>
      <c r="D3450" s="38" t="s">
        <v>2488</v>
      </c>
      <c r="E3450" s="42">
        <v>1</v>
      </c>
      <c r="F3450" s="9"/>
      <c r="G3450" s="8">
        <f t="shared" si="116"/>
        <v>29.40315</v>
      </c>
      <c r="H3450" s="188">
        <v>28.003</v>
      </c>
      <c r="I3450" s="19">
        <f t="shared" si="117"/>
        <v>0</v>
      </c>
      <c r="L3450" s="131"/>
      <c r="M3450" s="131"/>
      <c r="N3450" s="131"/>
    </row>
    <row r="3451" spans="1:14" hidden="1">
      <c r="A3451" s="100" t="s">
        <v>862</v>
      </c>
      <c r="B3451" s="101" t="s">
        <v>6410</v>
      </c>
      <c r="C3451" s="115" t="s">
        <v>6411</v>
      </c>
      <c r="D3451" s="38" t="s">
        <v>2488</v>
      </c>
      <c r="E3451" s="42">
        <v>1</v>
      </c>
      <c r="F3451" s="9"/>
      <c r="G3451" s="8">
        <f t="shared" si="116"/>
        <v>30.708299999999998</v>
      </c>
      <c r="H3451" s="188">
        <v>29.245999999999999</v>
      </c>
      <c r="I3451" s="19">
        <f t="shared" si="117"/>
        <v>0</v>
      </c>
      <c r="L3451" s="131"/>
      <c r="M3451" s="131"/>
      <c r="N3451" s="131"/>
    </row>
    <row r="3452" spans="1:14" hidden="1">
      <c r="A3452" s="100" t="s">
        <v>862</v>
      </c>
      <c r="B3452" s="101" t="s">
        <v>6412</v>
      </c>
      <c r="C3452" s="115" t="s">
        <v>6413</v>
      </c>
      <c r="D3452" s="38" t="s">
        <v>2488</v>
      </c>
      <c r="E3452" s="42">
        <v>1</v>
      </c>
      <c r="F3452" s="9"/>
      <c r="G3452" s="8">
        <f t="shared" si="116"/>
        <v>32.014499999999998</v>
      </c>
      <c r="H3452" s="188">
        <v>30.49</v>
      </c>
      <c r="I3452" s="19">
        <f t="shared" si="117"/>
        <v>0</v>
      </c>
      <c r="L3452" s="131"/>
      <c r="M3452" s="131"/>
      <c r="N3452" s="131"/>
    </row>
    <row r="3453" spans="1:14" hidden="1">
      <c r="A3453" s="100" t="s">
        <v>862</v>
      </c>
      <c r="B3453" s="101" t="s">
        <v>6414</v>
      </c>
      <c r="C3453" s="115" t="s">
        <v>6415</v>
      </c>
      <c r="D3453" s="38" t="s">
        <v>2488</v>
      </c>
      <c r="E3453" s="42">
        <v>1</v>
      </c>
      <c r="F3453" s="9"/>
      <c r="G3453" s="8">
        <f t="shared" si="116"/>
        <v>34.62585</v>
      </c>
      <c r="H3453" s="188">
        <v>32.976999999999997</v>
      </c>
      <c r="I3453" s="19">
        <f t="shared" si="117"/>
        <v>0</v>
      </c>
      <c r="L3453" s="131"/>
      <c r="M3453" s="131"/>
      <c r="N3453" s="131"/>
    </row>
    <row r="3454" spans="1:14" hidden="1">
      <c r="A3454" s="100" t="s">
        <v>862</v>
      </c>
      <c r="B3454" s="101" t="s">
        <v>6416</v>
      </c>
      <c r="C3454" s="115" t="s">
        <v>6417</v>
      </c>
      <c r="D3454" s="38" t="s">
        <v>2488</v>
      </c>
      <c r="E3454" s="42">
        <v>1</v>
      </c>
      <c r="F3454" s="9"/>
      <c r="G3454" s="8">
        <f t="shared" si="116"/>
        <v>37.237200000000001</v>
      </c>
      <c r="H3454" s="188">
        <v>35.463999999999999</v>
      </c>
      <c r="I3454" s="19">
        <f t="shared" si="117"/>
        <v>0</v>
      </c>
      <c r="L3454" s="131"/>
      <c r="M3454" s="131"/>
      <c r="N3454" s="131"/>
    </row>
    <row r="3455" spans="1:14" hidden="1">
      <c r="A3455" s="100" t="s">
        <v>862</v>
      </c>
      <c r="B3455" s="101" t="s">
        <v>6418</v>
      </c>
      <c r="C3455" s="115" t="s">
        <v>6419</v>
      </c>
      <c r="D3455" s="38"/>
      <c r="E3455" s="42">
        <v>1</v>
      </c>
      <c r="F3455" s="9"/>
      <c r="G3455" s="8">
        <f t="shared" si="116"/>
        <v>30.675750000000001</v>
      </c>
      <c r="H3455" s="188">
        <v>29.215</v>
      </c>
      <c r="I3455" s="19">
        <f t="shared" si="117"/>
        <v>0</v>
      </c>
      <c r="L3455" s="131"/>
      <c r="M3455" s="131"/>
      <c r="N3455" s="131"/>
    </row>
    <row r="3456" spans="1:14" hidden="1">
      <c r="A3456" s="100" t="s">
        <v>862</v>
      </c>
      <c r="B3456" s="101" t="s">
        <v>6420</v>
      </c>
      <c r="C3456" s="115" t="s">
        <v>6421</v>
      </c>
      <c r="D3456" s="38"/>
      <c r="E3456" s="42">
        <v>1</v>
      </c>
      <c r="F3456" s="9"/>
      <c r="G3456" s="8">
        <f t="shared" si="116"/>
        <v>18.983999999999998</v>
      </c>
      <c r="H3456" s="188">
        <v>18.079999999999998</v>
      </c>
      <c r="I3456" s="19">
        <f t="shared" si="117"/>
        <v>0</v>
      </c>
      <c r="L3456" s="131"/>
      <c r="M3456" s="131"/>
      <c r="N3456" s="131"/>
    </row>
    <row r="3457" spans="1:14" hidden="1">
      <c r="A3457" s="100" t="s">
        <v>862</v>
      </c>
      <c r="B3457" s="101" t="s">
        <v>6422</v>
      </c>
      <c r="C3457" s="115" t="s">
        <v>6423</v>
      </c>
      <c r="D3457" s="38" t="s">
        <v>945</v>
      </c>
      <c r="E3457" s="42">
        <v>1</v>
      </c>
      <c r="F3457" s="9"/>
      <c r="G3457" s="8">
        <f t="shared" si="116"/>
        <v>42.567</v>
      </c>
      <c r="H3457" s="188">
        <v>40.54</v>
      </c>
      <c r="I3457" s="19">
        <f t="shared" si="117"/>
        <v>0</v>
      </c>
      <c r="L3457" s="131"/>
      <c r="M3457" s="131"/>
      <c r="N3457" s="131"/>
    </row>
    <row r="3458" spans="1:14" hidden="1">
      <c r="A3458" s="100" t="s">
        <v>862</v>
      </c>
      <c r="B3458" s="101" t="s">
        <v>6424</v>
      </c>
      <c r="C3458" s="115" t="s">
        <v>6425</v>
      </c>
      <c r="D3458" s="38" t="s">
        <v>945</v>
      </c>
      <c r="E3458" s="42">
        <v>1</v>
      </c>
      <c r="F3458" s="9"/>
      <c r="G3458" s="8">
        <f t="shared" si="116"/>
        <v>40.150949999999995</v>
      </c>
      <c r="H3458" s="188">
        <v>38.238999999999997</v>
      </c>
      <c r="I3458" s="19">
        <f t="shared" si="117"/>
        <v>0</v>
      </c>
      <c r="L3458" s="131"/>
      <c r="M3458" s="131"/>
      <c r="N3458" s="131"/>
    </row>
    <row r="3459" spans="1:14" hidden="1">
      <c r="A3459" s="100" t="s">
        <v>862</v>
      </c>
      <c r="B3459" s="101" t="s">
        <v>6426</v>
      </c>
      <c r="C3459" s="115" t="s">
        <v>6427</v>
      </c>
      <c r="D3459" s="38" t="s">
        <v>945</v>
      </c>
      <c r="E3459" s="42">
        <v>1</v>
      </c>
      <c r="F3459" s="9"/>
      <c r="G3459" s="8">
        <f t="shared" si="116"/>
        <v>41.530125000000005</v>
      </c>
      <c r="H3459" s="188">
        <v>39.552500000000002</v>
      </c>
      <c r="I3459" s="19">
        <f t="shared" si="117"/>
        <v>0</v>
      </c>
      <c r="L3459" s="131"/>
      <c r="M3459" s="131"/>
      <c r="N3459" s="131"/>
    </row>
    <row r="3460" spans="1:14" hidden="1">
      <c r="A3460" s="100" t="s">
        <v>862</v>
      </c>
      <c r="B3460" s="101" t="s">
        <v>6428</v>
      </c>
      <c r="C3460" s="115" t="s">
        <v>6429</v>
      </c>
      <c r="D3460" s="38" t="s">
        <v>945</v>
      </c>
      <c r="E3460" s="42">
        <v>1</v>
      </c>
      <c r="F3460" s="9"/>
      <c r="G3460" s="8">
        <f t="shared" si="116"/>
        <v>39.114075</v>
      </c>
      <c r="H3460" s="188">
        <v>37.2515</v>
      </c>
      <c r="I3460" s="19">
        <f t="shared" si="117"/>
        <v>0</v>
      </c>
      <c r="L3460" s="131"/>
      <c r="M3460" s="131"/>
      <c r="N3460" s="131"/>
    </row>
    <row r="3461" spans="1:14" hidden="1">
      <c r="A3461" s="100" t="s">
        <v>862</v>
      </c>
      <c r="B3461" s="101" t="s">
        <v>6430</v>
      </c>
      <c r="C3461" s="115" t="s">
        <v>6431</v>
      </c>
      <c r="D3461" s="38" t="s">
        <v>945</v>
      </c>
      <c r="E3461" s="42">
        <v>1</v>
      </c>
      <c r="F3461" s="9"/>
      <c r="G3461" s="8">
        <f t="shared" si="116"/>
        <v>44.427075000000002</v>
      </c>
      <c r="H3461" s="188">
        <v>42.311500000000002</v>
      </c>
      <c r="I3461" s="19">
        <f t="shared" si="117"/>
        <v>0</v>
      </c>
      <c r="L3461" s="131"/>
      <c r="M3461" s="131"/>
      <c r="N3461" s="131"/>
    </row>
    <row r="3462" spans="1:14" hidden="1">
      <c r="A3462" s="100" t="s">
        <v>862</v>
      </c>
      <c r="B3462" s="101" t="s">
        <v>6432</v>
      </c>
      <c r="C3462" s="115" t="s">
        <v>6433</v>
      </c>
      <c r="D3462" s="38" t="s">
        <v>945</v>
      </c>
      <c r="E3462" s="42">
        <v>1</v>
      </c>
      <c r="F3462" s="9"/>
      <c r="G3462" s="8">
        <f t="shared" si="116"/>
        <v>42.0105</v>
      </c>
      <c r="H3462" s="188">
        <v>40.01</v>
      </c>
      <c r="I3462" s="19">
        <f t="shared" si="117"/>
        <v>0</v>
      </c>
      <c r="L3462" s="131"/>
      <c r="M3462" s="131"/>
      <c r="N3462" s="131"/>
    </row>
    <row r="3463" spans="1:14" hidden="1">
      <c r="A3463" s="100" t="s">
        <v>862</v>
      </c>
      <c r="B3463" s="101" t="s">
        <v>6434</v>
      </c>
      <c r="C3463" s="115" t="s">
        <v>6435</v>
      </c>
      <c r="D3463" s="38" t="s">
        <v>945</v>
      </c>
      <c r="E3463" s="42">
        <v>1</v>
      </c>
      <c r="F3463" s="9"/>
      <c r="G3463" s="8">
        <f t="shared" si="116"/>
        <v>42.639450000000004</v>
      </c>
      <c r="H3463" s="188">
        <v>40.609000000000002</v>
      </c>
      <c r="I3463" s="19">
        <f t="shared" si="117"/>
        <v>0</v>
      </c>
      <c r="L3463" s="131"/>
      <c r="M3463" s="131"/>
      <c r="N3463" s="131"/>
    </row>
    <row r="3464" spans="1:14" hidden="1">
      <c r="A3464" s="100" t="s">
        <v>862</v>
      </c>
      <c r="B3464" s="101" t="s">
        <v>6436</v>
      </c>
      <c r="C3464" s="115" t="s">
        <v>6437</v>
      </c>
      <c r="D3464" s="38" t="s">
        <v>945</v>
      </c>
      <c r="E3464" s="42">
        <v>1</v>
      </c>
      <c r="F3464" s="9"/>
      <c r="G3464" s="8">
        <f t="shared" si="116"/>
        <v>40.222874999999995</v>
      </c>
      <c r="H3464" s="188">
        <v>38.307499999999997</v>
      </c>
      <c r="I3464" s="19">
        <f t="shared" si="117"/>
        <v>0</v>
      </c>
      <c r="L3464" s="131"/>
      <c r="M3464" s="131"/>
      <c r="N3464" s="131"/>
    </row>
    <row r="3465" spans="1:14" hidden="1">
      <c r="A3465" s="100" t="s">
        <v>862</v>
      </c>
      <c r="B3465" s="101" t="s">
        <v>6438</v>
      </c>
      <c r="C3465" s="115" t="s">
        <v>6439</v>
      </c>
      <c r="D3465" s="38" t="s">
        <v>945</v>
      </c>
      <c r="E3465" s="42">
        <v>1</v>
      </c>
      <c r="F3465" s="9"/>
      <c r="G3465" s="8">
        <f t="shared" si="116"/>
        <v>41.426700000000004</v>
      </c>
      <c r="H3465" s="188">
        <v>39.454000000000001</v>
      </c>
      <c r="I3465" s="19">
        <f t="shared" si="117"/>
        <v>0</v>
      </c>
      <c r="L3465" s="131"/>
      <c r="M3465" s="131"/>
      <c r="N3465" s="131"/>
    </row>
    <row r="3466" spans="1:14" hidden="1">
      <c r="A3466" s="100" t="s">
        <v>862</v>
      </c>
      <c r="B3466" s="101" t="s">
        <v>6440</v>
      </c>
      <c r="C3466" s="115" t="s">
        <v>6441</v>
      </c>
      <c r="D3466" s="38" t="s">
        <v>945</v>
      </c>
      <c r="E3466" s="42">
        <v>1</v>
      </c>
      <c r="F3466" s="9"/>
      <c r="G3466" s="8">
        <f t="shared" si="116"/>
        <v>39.010125000000002</v>
      </c>
      <c r="H3466" s="188">
        <v>37.152500000000003</v>
      </c>
      <c r="I3466" s="19">
        <f t="shared" si="117"/>
        <v>0</v>
      </c>
      <c r="L3466" s="131"/>
      <c r="M3466" s="131"/>
      <c r="N3466" s="131"/>
    </row>
    <row r="3467" spans="1:14" hidden="1">
      <c r="A3467" s="100" t="s">
        <v>862</v>
      </c>
      <c r="B3467" s="101" t="s">
        <v>6442</v>
      </c>
      <c r="C3467" s="115" t="s">
        <v>6443</v>
      </c>
      <c r="D3467" s="38" t="s">
        <v>945</v>
      </c>
      <c r="E3467" s="42">
        <v>1</v>
      </c>
      <c r="F3467" s="9"/>
      <c r="G3467" s="8">
        <f t="shared" si="116"/>
        <v>43.934625000000004</v>
      </c>
      <c r="H3467" s="188">
        <v>41.842500000000001</v>
      </c>
      <c r="I3467" s="19">
        <f t="shared" si="117"/>
        <v>0</v>
      </c>
      <c r="L3467" s="131"/>
      <c r="M3467" s="131"/>
      <c r="N3467" s="131"/>
    </row>
    <row r="3468" spans="1:14" hidden="1">
      <c r="A3468" s="100" t="s">
        <v>862</v>
      </c>
      <c r="B3468" s="101" t="s">
        <v>6444</v>
      </c>
      <c r="C3468" s="115" t="s">
        <v>6445</v>
      </c>
      <c r="D3468" s="38" t="s">
        <v>945</v>
      </c>
      <c r="E3468" s="42">
        <v>1</v>
      </c>
      <c r="F3468" s="9"/>
      <c r="G3468" s="8">
        <f t="shared" si="116"/>
        <v>41.518574999999998</v>
      </c>
      <c r="H3468" s="188">
        <v>39.541499999999999</v>
      </c>
      <c r="I3468" s="19">
        <f t="shared" si="117"/>
        <v>0</v>
      </c>
      <c r="L3468" s="131"/>
      <c r="M3468" s="131"/>
      <c r="N3468" s="131"/>
    </row>
    <row r="3469" spans="1:14" hidden="1">
      <c r="A3469" s="100" t="s">
        <v>862</v>
      </c>
      <c r="B3469" s="101" t="s">
        <v>6446</v>
      </c>
      <c r="C3469" s="115" t="s">
        <v>6447</v>
      </c>
      <c r="D3469" s="38"/>
      <c r="E3469" s="42">
        <v>1</v>
      </c>
      <c r="F3469" s="9"/>
      <c r="G3469" s="8">
        <f t="shared" si="116"/>
        <v>13.188000000000001</v>
      </c>
      <c r="H3469" s="188">
        <v>12.56</v>
      </c>
      <c r="I3469" s="19">
        <f t="shared" si="117"/>
        <v>0</v>
      </c>
      <c r="L3469" s="131"/>
      <c r="M3469" s="131"/>
      <c r="N3469" s="131"/>
    </row>
    <row r="3470" spans="1:14" hidden="1">
      <c r="A3470" s="100" t="s">
        <v>862</v>
      </c>
      <c r="B3470" s="101" t="s">
        <v>6448</v>
      </c>
      <c r="C3470" s="115" t="s">
        <v>6449</v>
      </c>
      <c r="D3470" s="38"/>
      <c r="E3470" s="42">
        <v>1</v>
      </c>
      <c r="F3470" s="9"/>
      <c r="G3470" s="8">
        <f t="shared" si="116"/>
        <v>19.015499999999999</v>
      </c>
      <c r="H3470" s="188">
        <v>18.11</v>
      </c>
      <c r="I3470" s="19">
        <f t="shared" si="117"/>
        <v>0</v>
      </c>
      <c r="L3470" s="131"/>
      <c r="M3470" s="131"/>
      <c r="N3470" s="131"/>
    </row>
    <row r="3471" spans="1:14" hidden="1">
      <c r="A3471" s="100" t="s">
        <v>862</v>
      </c>
      <c r="B3471" s="101" t="s">
        <v>6450</v>
      </c>
      <c r="C3471" s="115" t="s">
        <v>6451</v>
      </c>
      <c r="D3471" s="38"/>
      <c r="E3471" s="42">
        <v>1</v>
      </c>
      <c r="F3471" s="9"/>
      <c r="G3471" s="8">
        <f t="shared" si="116"/>
        <v>26.305124999999997</v>
      </c>
      <c r="H3471" s="188">
        <v>25.052499999999998</v>
      </c>
      <c r="I3471" s="19">
        <f t="shared" si="117"/>
        <v>0</v>
      </c>
      <c r="L3471" s="131"/>
      <c r="M3471" s="131"/>
      <c r="N3471" s="131"/>
    </row>
    <row r="3472" spans="1:14" hidden="1">
      <c r="A3472" s="100" t="s">
        <v>862</v>
      </c>
      <c r="B3472" s="101" t="s">
        <v>6452</v>
      </c>
      <c r="C3472" s="115" t="s">
        <v>6453</v>
      </c>
      <c r="D3472" s="38"/>
      <c r="E3472" s="42">
        <v>1</v>
      </c>
      <c r="F3472" s="9"/>
      <c r="G3472" s="8">
        <f t="shared" si="116"/>
        <v>15.73635</v>
      </c>
      <c r="H3472" s="188">
        <v>14.987</v>
      </c>
      <c r="I3472" s="19">
        <f t="shared" si="117"/>
        <v>0</v>
      </c>
      <c r="L3472" s="131"/>
      <c r="M3472" s="131"/>
      <c r="N3472" s="131"/>
    </row>
    <row r="3473" spans="1:14" hidden="1">
      <c r="A3473" s="100" t="s">
        <v>862</v>
      </c>
      <c r="B3473" s="101" t="s">
        <v>6454</v>
      </c>
      <c r="C3473" s="115" t="s">
        <v>6455</v>
      </c>
      <c r="D3473" s="38"/>
      <c r="E3473" s="42">
        <v>1</v>
      </c>
      <c r="F3473" s="9"/>
      <c r="G3473" s="8">
        <f t="shared" si="116"/>
        <v>7.744275</v>
      </c>
      <c r="H3473" s="188">
        <v>7.3754999999999997</v>
      </c>
      <c r="I3473" s="19">
        <f t="shared" si="117"/>
        <v>0</v>
      </c>
      <c r="L3473" s="131"/>
      <c r="M3473" s="131"/>
      <c r="N3473" s="131"/>
    </row>
    <row r="3474" spans="1:14" hidden="1">
      <c r="A3474" s="100" t="s">
        <v>862</v>
      </c>
      <c r="B3474" s="101" t="s">
        <v>6456</v>
      </c>
      <c r="C3474" s="115" t="s">
        <v>6457</v>
      </c>
      <c r="D3474" s="38"/>
      <c r="E3474" s="42">
        <v>1</v>
      </c>
      <c r="F3474" s="9"/>
      <c r="G3474" s="8">
        <f t="shared" si="116"/>
        <v>32.295375</v>
      </c>
      <c r="H3474" s="188">
        <v>30.7575</v>
      </c>
      <c r="I3474" s="19">
        <f t="shared" si="117"/>
        <v>0</v>
      </c>
      <c r="L3474" s="131"/>
      <c r="M3474" s="131"/>
      <c r="N3474" s="131"/>
    </row>
    <row r="3475" spans="1:14" hidden="1">
      <c r="A3475" s="100" t="s">
        <v>862</v>
      </c>
      <c r="B3475" s="101" t="s">
        <v>6458</v>
      </c>
      <c r="C3475" s="115" t="s">
        <v>6459</v>
      </c>
      <c r="D3475" s="38" t="s">
        <v>945</v>
      </c>
      <c r="E3475" s="42">
        <v>1</v>
      </c>
      <c r="F3475" s="9"/>
      <c r="G3475" s="8">
        <f t="shared" si="116"/>
        <v>13.8096</v>
      </c>
      <c r="H3475" s="188">
        <v>13.151999999999999</v>
      </c>
      <c r="I3475" s="19">
        <f t="shared" si="117"/>
        <v>0</v>
      </c>
      <c r="L3475" s="131"/>
      <c r="M3475" s="131"/>
      <c r="N3475" s="131"/>
    </row>
    <row r="3476" spans="1:14" hidden="1">
      <c r="A3476" s="100" t="s">
        <v>862</v>
      </c>
      <c r="B3476" s="101" t="s">
        <v>6460</v>
      </c>
      <c r="C3476" s="115" t="s">
        <v>6461</v>
      </c>
      <c r="D3476" s="38" t="s">
        <v>945</v>
      </c>
      <c r="E3476" s="42">
        <v>1</v>
      </c>
      <c r="F3476" s="9"/>
      <c r="G3476" s="8">
        <f t="shared" si="116"/>
        <v>40.150949999999995</v>
      </c>
      <c r="H3476" s="188">
        <v>38.238999999999997</v>
      </c>
      <c r="I3476" s="19">
        <f t="shared" si="117"/>
        <v>0</v>
      </c>
      <c r="L3476" s="131"/>
      <c r="M3476" s="131"/>
      <c r="N3476" s="131"/>
    </row>
    <row r="3477" spans="1:14" hidden="1">
      <c r="A3477" s="100" t="s">
        <v>862</v>
      </c>
      <c r="B3477" s="101" t="s">
        <v>6462</v>
      </c>
      <c r="C3477" s="115" t="s">
        <v>6463</v>
      </c>
      <c r="D3477" s="38" t="s">
        <v>945</v>
      </c>
      <c r="E3477" s="42">
        <v>1</v>
      </c>
      <c r="F3477" s="9"/>
      <c r="G3477" s="8">
        <f t="shared" si="116"/>
        <v>40.150949999999995</v>
      </c>
      <c r="H3477" s="188">
        <v>38.238999999999997</v>
      </c>
      <c r="I3477" s="19">
        <f t="shared" si="117"/>
        <v>0</v>
      </c>
      <c r="L3477" s="131"/>
      <c r="M3477" s="131"/>
      <c r="N3477" s="131"/>
    </row>
    <row r="3478" spans="1:14" hidden="1">
      <c r="A3478" s="100" t="s">
        <v>862</v>
      </c>
      <c r="B3478" s="101" t="s">
        <v>6464</v>
      </c>
      <c r="C3478" s="115" t="s">
        <v>6465</v>
      </c>
      <c r="D3478" s="38" t="s">
        <v>945</v>
      </c>
      <c r="E3478" s="42">
        <v>1</v>
      </c>
      <c r="F3478" s="9"/>
      <c r="G3478" s="8">
        <f t="shared" si="116"/>
        <v>39.114075</v>
      </c>
      <c r="H3478" s="188">
        <v>37.2515</v>
      </c>
      <c r="I3478" s="19">
        <f t="shared" si="117"/>
        <v>0</v>
      </c>
      <c r="L3478" s="131"/>
      <c r="M3478" s="131"/>
      <c r="N3478" s="131"/>
    </row>
    <row r="3479" spans="1:14" hidden="1">
      <c r="A3479" s="100" t="s">
        <v>862</v>
      </c>
      <c r="B3479" s="101" t="s">
        <v>6466</v>
      </c>
      <c r="C3479" s="115" t="s">
        <v>6467</v>
      </c>
      <c r="D3479" s="38" t="s">
        <v>945</v>
      </c>
      <c r="E3479" s="42">
        <v>1</v>
      </c>
      <c r="F3479" s="9"/>
      <c r="G3479" s="8">
        <f t="shared" si="116"/>
        <v>39.114075</v>
      </c>
      <c r="H3479" s="188">
        <v>37.2515</v>
      </c>
      <c r="I3479" s="19">
        <f t="shared" si="117"/>
        <v>0</v>
      </c>
      <c r="L3479" s="131"/>
      <c r="M3479" s="131"/>
      <c r="N3479" s="131"/>
    </row>
    <row r="3480" spans="1:14" hidden="1">
      <c r="A3480" s="100" t="s">
        <v>862</v>
      </c>
      <c r="B3480" s="101" t="s">
        <v>6468</v>
      </c>
      <c r="C3480" s="115" t="s">
        <v>6469</v>
      </c>
      <c r="D3480" s="38" t="s">
        <v>945</v>
      </c>
      <c r="E3480" s="42">
        <v>1</v>
      </c>
      <c r="F3480" s="9"/>
      <c r="G3480" s="8">
        <f t="shared" si="116"/>
        <v>42.0105</v>
      </c>
      <c r="H3480" s="188">
        <v>40.01</v>
      </c>
      <c r="I3480" s="19">
        <f t="shared" si="117"/>
        <v>0</v>
      </c>
      <c r="L3480" s="131"/>
      <c r="M3480" s="131"/>
      <c r="N3480" s="131"/>
    </row>
    <row r="3481" spans="1:14" hidden="1">
      <c r="A3481" s="100" t="s">
        <v>862</v>
      </c>
      <c r="B3481" s="101" t="s">
        <v>6470</v>
      </c>
      <c r="C3481" s="115" t="s">
        <v>6471</v>
      </c>
      <c r="D3481" s="38" t="s">
        <v>945</v>
      </c>
      <c r="E3481" s="42">
        <v>1</v>
      </c>
      <c r="F3481" s="9"/>
      <c r="G3481" s="8">
        <f t="shared" si="116"/>
        <v>42.0105</v>
      </c>
      <c r="H3481" s="188">
        <v>40.01</v>
      </c>
      <c r="I3481" s="19">
        <f t="shared" si="117"/>
        <v>0</v>
      </c>
      <c r="L3481" s="131"/>
      <c r="M3481" s="131"/>
      <c r="N3481" s="131"/>
    </row>
    <row r="3482" spans="1:14" hidden="1">
      <c r="A3482" s="100" t="s">
        <v>862</v>
      </c>
      <c r="B3482" s="101" t="s">
        <v>6472</v>
      </c>
      <c r="C3482" s="115" t="s">
        <v>6473</v>
      </c>
      <c r="D3482" s="38" t="s">
        <v>945</v>
      </c>
      <c r="E3482" s="42">
        <v>1</v>
      </c>
      <c r="F3482" s="9"/>
      <c r="G3482" s="8">
        <f t="shared" si="116"/>
        <v>40.222874999999995</v>
      </c>
      <c r="H3482" s="188">
        <v>38.307499999999997</v>
      </c>
      <c r="I3482" s="19">
        <f t="shared" si="117"/>
        <v>0</v>
      </c>
      <c r="L3482" s="131"/>
      <c r="M3482" s="131"/>
      <c r="N3482" s="131"/>
    </row>
    <row r="3483" spans="1:14" hidden="1">
      <c r="A3483" s="100" t="s">
        <v>862</v>
      </c>
      <c r="B3483" s="101" t="s">
        <v>6474</v>
      </c>
      <c r="C3483" s="115" t="s">
        <v>6475</v>
      </c>
      <c r="D3483" s="38" t="s">
        <v>945</v>
      </c>
      <c r="E3483" s="42">
        <v>1</v>
      </c>
      <c r="F3483" s="9"/>
      <c r="G3483" s="8">
        <f t="shared" si="116"/>
        <v>40.222874999999995</v>
      </c>
      <c r="H3483" s="188">
        <v>38.307499999999997</v>
      </c>
      <c r="I3483" s="19">
        <f t="shared" si="117"/>
        <v>0</v>
      </c>
      <c r="L3483" s="131"/>
      <c r="M3483" s="131"/>
      <c r="N3483" s="131"/>
    </row>
    <row r="3484" spans="1:14" hidden="1">
      <c r="A3484" s="100" t="s">
        <v>862</v>
      </c>
      <c r="B3484" s="101" t="s">
        <v>6476</v>
      </c>
      <c r="C3484" s="115" t="s">
        <v>6477</v>
      </c>
      <c r="D3484" s="38" t="s">
        <v>945</v>
      </c>
      <c r="E3484" s="42">
        <v>1</v>
      </c>
      <c r="F3484" s="9"/>
      <c r="G3484" s="8">
        <f t="shared" si="116"/>
        <v>39.010125000000002</v>
      </c>
      <c r="H3484" s="188">
        <v>37.152500000000003</v>
      </c>
      <c r="I3484" s="19">
        <f t="shared" si="117"/>
        <v>0</v>
      </c>
      <c r="L3484" s="131"/>
      <c r="M3484" s="131"/>
      <c r="N3484" s="131"/>
    </row>
    <row r="3485" spans="1:14" hidden="1">
      <c r="A3485" s="100" t="s">
        <v>862</v>
      </c>
      <c r="B3485" s="101" t="s">
        <v>6478</v>
      </c>
      <c r="C3485" s="115" t="s">
        <v>6479</v>
      </c>
      <c r="D3485" s="38" t="s">
        <v>945</v>
      </c>
      <c r="E3485" s="42">
        <v>1</v>
      </c>
      <c r="F3485" s="9"/>
      <c r="G3485" s="8">
        <f t="shared" si="116"/>
        <v>39.010125000000002</v>
      </c>
      <c r="H3485" s="188">
        <v>37.152500000000003</v>
      </c>
      <c r="I3485" s="19">
        <f t="shared" si="117"/>
        <v>0</v>
      </c>
      <c r="L3485" s="131"/>
      <c r="M3485" s="131"/>
      <c r="N3485" s="131"/>
    </row>
    <row r="3486" spans="1:14" hidden="1">
      <c r="A3486" s="100" t="s">
        <v>862</v>
      </c>
      <c r="B3486" s="101" t="s">
        <v>6480</v>
      </c>
      <c r="C3486" s="115" t="s">
        <v>6481</v>
      </c>
      <c r="D3486" s="38" t="s">
        <v>945</v>
      </c>
      <c r="E3486" s="42">
        <v>1</v>
      </c>
      <c r="F3486" s="9"/>
      <c r="G3486" s="8">
        <f t="shared" si="116"/>
        <v>41.518574999999998</v>
      </c>
      <c r="H3486" s="188">
        <v>39.541499999999999</v>
      </c>
      <c r="I3486" s="19">
        <f t="shared" si="117"/>
        <v>0</v>
      </c>
      <c r="L3486" s="131"/>
      <c r="M3486" s="131"/>
      <c r="N3486" s="131"/>
    </row>
    <row r="3487" spans="1:14" hidden="1">
      <c r="A3487" s="100" t="s">
        <v>862</v>
      </c>
      <c r="B3487" s="101" t="s">
        <v>6482</v>
      </c>
      <c r="C3487" s="115" t="s">
        <v>6483</v>
      </c>
      <c r="D3487" s="38" t="s">
        <v>945</v>
      </c>
      <c r="E3487" s="42">
        <v>1</v>
      </c>
      <c r="F3487" s="9"/>
      <c r="G3487" s="8">
        <f t="shared" si="116"/>
        <v>41.518574999999998</v>
      </c>
      <c r="H3487" s="188">
        <v>39.541499999999999</v>
      </c>
      <c r="I3487" s="19">
        <f t="shared" si="117"/>
        <v>0</v>
      </c>
      <c r="L3487" s="131"/>
      <c r="M3487" s="131"/>
      <c r="N3487" s="131"/>
    </row>
    <row r="3488" spans="1:14" hidden="1">
      <c r="A3488" s="100" t="s">
        <v>862</v>
      </c>
      <c r="B3488" s="114" t="s">
        <v>6484</v>
      </c>
      <c r="C3488" s="116" t="s">
        <v>6485</v>
      </c>
      <c r="D3488" s="38"/>
      <c r="E3488" s="42">
        <v>1</v>
      </c>
      <c r="F3488" s="9"/>
      <c r="G3488" s="8">
        <f t="shared" si="116"/>
        <v>171.42824999999999</v>
      </c>
      <c r="H3488" s="188">
        <v>163.26499999999999</v>
      </c>
      <c r="I3488" s="19">
        <f t="shared" si="117"/>
        <v>0</v>
      </c>
      <c r="L3488" s="131"/>
      <c r="M3488" s="131"/>
      <c r="N3488" s="131"/>
    </row>
    <row r="3489" spans="1:14" hidden="1">
      <c r="A3489" s="100" t="s">
        <v>862</v>
      </c>
      <c r="B3489" s="101" t="s">
        <v>6486</v>
      </c>
      <c r="C3489" s="115" t="s">
        <v>6487</v>
      </c>
      <c r="D3489" s="38" t="s">
        <v>2488</v>
      </c>
      <c r="E3489" s="42">
        <v>1</v>
      </c>
      <c r="F3489" s="9"/>
      <c r="G3489" s="8">
        <f t="shared" si="116"/>
        <v>22.328250000000001</v>
      </c>
      <c r="H3489" s="188">
        <v>21.265000000000001</v>
      </c>
      <c r="I3489" s="19">
        <f t="shared" si="117"/>
        <v>0</v>
      </c>
      <c r="L3489" s="131"/>
      <c r="M3489" s="131"/>
      <c r="N3489" s="131"/>
    </row>
    <row r="3490" spans="1:14" hidden="1">
      <c r="A3490" s="100" t="s">
        <v>862</v>
      </c>
      <c r="B3490" s="101" t="s">
        <v>6488</v>
      </c>
      <c r="C3490" s="115" t="s">
        <v>6489</v>
      </c>
      <c r="D3490" s="38" t="s">
        <v>2488</v>
      </c>
      <c r="E3490" s="42">
        <v>1</v>
      </c>
      <c r="F3490" s="9"/>
      <c r="G3490" s="8">
        <f t="shared" si="116"/>
        <v>23.379825</v>
      </c>
      <c r="H3490" s="188">
        <v>22.266500000000001</v>
      </c>
      <c r="I3490" s="19">
        <f t="shared" si="117"/>
        <v>0</v>
      </c>
      <c r="L3490" s="131"/>
      <c r="M3490" s="131"/>
      <c r="N3490" s="131"/>
    </row>
    <row r="3491" spans="1:14" hidden="1">
      <c r="A3491" s="100" t="s">
        <v>862</v>
      </c>
      <c r="B3491" s="101" t="s">
        <v>6490</v>
      </c>
      <c r="C3491" s="115" t="s">
        <v>6491</v>
      </c>
      <c r="D3491" s="38" t="s">
        <v>2488</v>
      </c>
      <c r="E3491" s="42">
        <v>1</v>
      </c>
      <c r="F3491" s="9"/>
      <c r="G3491" s="8">
        <f t="shared" si="116"/>
        <v>24.430874999999997</v>
      </c>
      <c r="H3491" s="188">
        <v>23.267499999999998</v>
      </c>
      <c r="I3491" s="19">
        <f t="shared" si="117"/>
        <v>0</v>
      </c>
      <c r="L3491" s="131"/>
      <c r="M3491" s="131"/>
      <c r="N3491" s="131"/>
    </row>
    <row r="3492" spans="1:14" hidden="1">
      <c r="A3492" s="100" t="s">
        <v>862</v>
      </c>
      <c r="B3492" s="101" t="s">
        <v>6492</v>
      </c>
      <c r="C3492" s="115" t="s">
        <v>6493</v>
      </c>
      <c r="D3492" s="38" t="s">
        <v>2488</v>
      </c>
      <c r="E3492" s="42">
        <v>1</v>
      </c>
      <c r="F3492" s="9"/>
      <c r="G3492" s="8">
        <f t="shared" si="116"/>
        <v>25.481925</v>
      </c>
      <c r="H3492" s="188">
        <v>24.2685</v>
      </c>
      <c r="I3492" s="19">
        <f t="shared" si="117"/>
        <v>0</v>
      </c>
      <c r="L3492" s="131"/>
      <c r="M3492" s="131"/>
      <c r="N3492" s="131"/>
    </row>
    <row r="3493" spans="1:14" hidden="1">
      <c r="A3493" s="100" t="s">
        <v>862</v>
      </c>
      <c r="B3493" s="101" t="s">
        <v>6494</v>
      </c>
      <c r="C3493" s="115" t="s">
        <v>6495</v>
      </c>
      <c r="D3493" s="38" t="s">
        <v>2488</v>
      </c>
      <c r="E3493" s="42">
        <v>1</v>
      </c>
      <c r="F3493" s="9"/>
      <c r="G3493" s="8">
        <f t="shared" ref="G3493:G3556" si="118">H3493+(H3493*5%)</f>
        <v>26.532975</v>
      </c>
      <c r="H3493" s="188">
        <v>25.269500000000001</v>
      </c>
      <c r="I3493" s="19">
        <f t="shared" si="117"/>
        <v>0</v>
      </c>
      <c r="L3493" s="131"/>
      <c r="M3493" s="131"/>
      <c r="N3493" s="131"/>
    </row>
    <row r="3494" spans="1:14" hidden="1">
      <c r="A3494" s="100" t="s">
        <v>862</v>
      </c>
      <c r="B3494" s="101" t="s">
        <v>6496</v>
      </c>
      <c r="C3494" s="115" t="s">
        <v>6497</v>
      </c>
      <c r="D3494" s="38" t="s">
        <v>2488</v>
      </c>
      <c r="E3494" s="42">
        <v>1</v>
      </c>
      <c r="F3494" s="9"/>
      <c r="G3494" s="8">
        <f t="shared" si="118"/>
        <v>28.635599999999997</v>
      </c>
      <c r="H3494" s="188">
        <v>27.271999999999998</v>
      </c>
      <c r="I3494" s="19">
        <f t="shared" si="117"/>
        <v>0</v>
      </c>
      <c r="L3494" s="131"/>
      <c r="M3494" s="131"/>
      <c r="N3494" s="131"/>
    </row>
    <row r="3495" spans="1:14" hidden="1">
      <c r="A3495" s="100" t="s">
        <v>862</v>
      </c>
      <c r="B3495" s="101" t="s">
        <v>6498</v>
      </c>
      <c r="C3495" s="115" t="s">
        <v>6499</v>
      </c>
      <c r="D3495" s="38" t="s">
        <v>2488</v>
      </c>
      <c r="E3495" s="42">
        <v>1</v>
      </c>
      <c r="F3495" s="9"/>
      <c r="G3495" s="8">
        <f t="shared" si="118"/>
        <v>30.7377</v>
      </c>
      <c r="H3495" s="188">
        <v>29.274000000000001</v>
      </c>
      <c r="I3495" s="19">
        <f t="shared" ref="I3495:I3559" si="119">G3495*F3495</f>
        <v>0</v>
      </c>
      <c r="L3495" s="131"/>
      <c r="M3495" s="131"/>
      <c r="N3495" s="131"/>
    </row>
    <row r="3496" spans="1:14" hidden="1">
      <c r="A3496" s="100" t="s">
        <v>862</v>
      </c>
      <c r="B3496" s="101" t="s">
        <v>6500</v>
      </c>
      <c r="C3496" s="115" t="s">
        <v>6501</v>
      </c>
      <c r="D3496" s="38" t="s">
        <v>2488</v>
      </c>
      <c r="E3496" s="42">
        <v>1</v>
      </c>
      <c r="F3496" s="9"/>
      <c r="G3496" s="8">
        <f t="shared" si="118"/>
        <v>32.840325</v>
      </c>
      <c r="H3496" s="188">
        <v>31.276499999999999</v>
      </c>
      <c r="I3496" s="19">
        <f t="shared" si="119"/>
        <v>0</v>
      </c>
      <c r="L3496" s="131"/>
      <c r="M3496" s="131"/>
      <c r="N3496" s="131"/>
    </row>
    <row r="3497" spans="1:14" hidden="1">
      <c r="A3497" s="100" t="s">
        <v>862</v>
      </c>
      <c r="B3497" s="101" t="s">
        <v>6502</v>
      </c>
      <c r="C3497" s="115" t="s">
        <v>6503</v>
      </c>
      <c r="D3497" s="38"/>
      <c r="E3497" s="42">
        <v>1</v>
      </c>
      <c r="F3497" s="9"/>
      <c r="G3497" s="8">
        <f t="shared" si="118"/>
        <v>34.702500000000001</v>
      </c>
      <c r="H3497" s="188">
        <v>33.049999999999997</v>
      </c>
      <c r="I3497" s="19">
        <f t="shared" si="119"/>
        <v>0</v>
      </c>
      <c r="L3497" s="131"/>
      <c r="M3497" s="131"/>
      <c r="N3497" s="131"/>
    </row>
    <row r="3498" spans="1:14" hidden="1">
      <c r="A3498" s="100" t="s">
        <v>862</v>
      </c>
      <c r="B3498" s="101" t="s">
        <v>6504</v>
      </c>
      <c r="C3498" s="115" t="s">
        <v>6505</v>
      </c>
      <c r="D3498" s="38"/>
      <c r="E3498" s="42">
        <v>1</v>
      </c>
      <c r="F3498" s="9"/>
      <c r="G3498" s="8">
        <f t="shared" si="118"/>
        <v>53.949000000000005</v>
      </c>
      <c r="H3498" s="188">
        <v>51.38</v>
      </c>
      <c r="I3498" s="19">
        <f t="shared" si="119"/>
        <v>0</v>
      </c>
      <c r="L3498" s="131"/>
      <c r="M3498" s="131"/>
      <c r="N3498" s="131"/>
    </row>
    <row r="3499" spans="1:14" hidden="1">
      <c r="A3499" s="100" t="s">
        <v>862</v>
      </c>
      <c r="B3499" s="101" t="s">
        <v>6506</v>
      </c>
      <c r="C3499" s="115" t="s">
        <v>6507</v>
      </c>
      <c r="D3499" s="38" t="s">
        <v>945</v>
      </c>
      <c r="E3499" s="42">
        <v>1</v>
      </c>
      <c r="F3499" s="9"/>
      <c r="G3499" s="8">
        <f t="shared" si="118"/>
        <v>5.0819999999999999</v>
      </c>
      <c r="H3499" s="188">
        <v>4.84</v>
      </c>
      <c r="I3499" s="19">
        <f t="shared" si="119"/>
        <v>0</v>
      </c>
      <c r="L3499" s="131"/>
      <c r="M3499" s="131"/>
      <c r="N3499" s="131"/>
    </row>
    <row r="3500" spans="1:14" hidden="1">
      <c r="A3500" s="100" t="s">
        <v>862</v>
      </c>
      <c r="B3500" s="101" t="s">
        <v>6508</v>
      </c>
      <c r="C3500" s="115" t="s">
        <v>6509</v>
      </c>
      <c r="D3500" s="38" t="s">
        <v>945</v>
      </c>
      <c r="E3500" s="42">
        <v>1</v>
      </c>
      <c r="F3500" s="9"/>
      <c r="G3500" s="8">
        <f t="shared" si="118"/>
        <v>51.864750000000001</v>
      </c>
      <c r="H3500" s="188">
        <v>49.395000000000003</v>
      </c>
      <c r="I3500" s="19">
        <f t="shared" si="119"/>
        <v>0</v>
      </c>
      <c r="L3500" s="131"/>
      <c r="M3500" s="131"/>
      <c r="N3500" s="131"/>
    </row>
    <row r="3501" spans="1:14" hidden="1">
      <c r="A3501" s="100" t="s">
        <v>862</v>
      </c>
      <c r="B3501" s="101" t="s">
        <v>6510</v>
      </c>
      <c r="C3501" s="115" t="s">
        <v>6511</v>
      </c>
      <c r="D3501" s="38"/>
      <c r="E3501" s="42">
        <v>1</v>
      </c>
      <c r="F3501" s="9"/>
      <c r="G3501" s="8">
        <f t="shared" si="118"/>
        <v>9.0247500000000009</v>
      </c>
      <c r="H3501" s="188">
        <v>8.5950000000000006</v>
      </c>
      <c r="I3501" s="19">
        <f t="shared" si="119"/>
        <v>0</v>
      </c>
      <c r="L3501" s="131"/>
      <c r="M3501" s="131"/>
      <c r="N3501" s="131"/>
    </row>
    <row r="3502" spans="1:14" hidden="1">
      <c r="A3502" s="100" t="s">
        <v>862</v>
      </c>
      <c r="B3502" s="101" t="s">
        <v>6512</v>
      </c>
      <c r="C3502" s="115" t="s">
        <v>6513</v>
      </c>
      <c r="D3502" s="38"/>
      <c r="E3502" s="42">
        <v>1</v>
      </c>
      <c r="F3502" s="9"/>
      <c r="G3502" s="8">
        <f t="shared" si="118"/>
        <v>46.6935</v>
      </c>
      <c r="H3502" s="188">
        <v>44.47</v>
      </c>
      <c r="I3502" s="19">
        <f t="shared" si="119"/>
        <v>0</v>
      </c>
      <c r="L3502" s="131"/>
      <c r="M3502" s="131"/>
      <c r="N3502" s="131"/>
    </row>
    <row r="3503" spans="1:14" hidden="1">
      <c r="A3503" s="100" t="s">
        <v>862</v>
      </c>
      <c r="B3503" s="101" t="s">
        <v>6514</v>
      </c>
      <c r="C3503" s="115" t="s">
        <v>6515</v>
      </c>
      <c r="D3503" s="38" t="s">
        <v>945</v>
      </c>
      <c r="E3503" s="42">
        <v>1</v>
      </c>
      <c r="F3503" s="9"/>
      <c r="G3503" s="8">
        <f t="shared" si="118"/>
        <v>56.763000000000005</v>
      </c>
      <c r="H3503" s="188">
        <v>54.06</v>
      </c>
      <c r="I3503" s="19">
        <f t="shared" si="119"/>
        <v>0</v>
      </c>
      <c r="L3503" s="131"/>
      <c r="M3503" s="131"/>
      <c r="N3503" s="131"/>
    </row>
    <row r="3504" spans="1:14" hidden="1">
      <c r="A3504" s="100" t="s">
        <v>862</v>
      </c>
      <c r="B3504" s="101" t="s">
        <v>6516</v>
      </c>
      <c r="C3504" s="115" t="s">
        <v>6517</v>
      </c>
      <c r="D3504" s="38" t="s">
        <v>945</v>
      </c>
      <c r="E3504" s="42">
        <v>1</v>
      </c>
      <c r="F3504" s="9"/>
      <c r="G3504" s="8">
        <f t="shared" si="118"/>
        <v>59.120249999999999</v>
      </c>
      <c r="H3504" s="188">
        <v>56.305</v>
      </c>
      <c r="I3504" s="19">
        <f t="shared" si="119"/>
        <v>0</v>
      </c>
      <c r="L3504" s="131"/>
      <c r="M3504" s="131"/>
      <c r="N3504" s="131"/>
    </row>
    <row r="3505" spans="1:14" hidden="1">
      <c r="A3505" s="100" t="s">
        <v>862</v>
      </c>
      <c r="B3505" s="101" t="s">
        <v>6518</v>
      </c>
      <c r="C3505" s="115" t="s">
        <v>6519</v>
      </c>
      <c r="D3505" s="38"/>
      <c r="E3505" s="42">
        <v>1</v>
      </c>
      <c r="F3505" s="9"/>
      <c r="G3505" s="8">
        <f t="shared" si="118"/>
        <v>10.548825000000001</v>
      </c>
      <c r="H3505" s="188">
        <v>10.0465</v>
      </c>
      <c r="I3505" s="19">
        <f t="shared" si="119"/>
        <v>0</v>
      </c>
      <c r="L3505" s="131"/>
      <c r="M3505" s="131"/>
      <c r="N3505" s="131"/>
    </row>
    <row r="3506" spans="1:14" hidden="1">
      <c r="A3506" s="100" t="s">
        <v>862</v>
      </c>
      <c r="B3506" s="101" t="s">
        <v>6520</v>
      </c>
      <c r="C3506" s="115" t="s">
        <v>6521</v>
      </c>
      <c r="D3506" s="38"/>
      <c r="E3506" s="42">
        <v>1</v>
      </c>
      <c r="F3506" s="9"/>
      <c r="G3506" s="8">
        <f t="shared" si="118"/>
        <v>43.013250000000006</v>
      </c>
      <c r="H3506" s="188">
        <v>40.965000000000003</v>
      </c>
      <c r="I3506" s="19">
        <f t="shared" si="119"/>
        <v>0</v>
      </c>
      <c r="L3506" s="131"/>
      <c r="M3506" s="131"/>
      <c r="N3506" s="131"/>
    </row>
    <row r="3507" spans="1:14" hidden="1">
      <c r="A3507" s="100" t="s">
        <v>862</v>
      </c>
      <c r="B3507" s="101" t="s">
        <v>6522</v>
      </c>
      <c r="C3507" s="115" t="s">
        <v>6523</v>
      </c>
      <c r="D3507" s="38"/>
      <c r="E3507" s="42">
        <v>1</v>
      </c>
      <c r="F3507" s="9"/>
      <c r="G3507" s="8">
        <f t="shared" si="118"/>
        <v>82.161974999999998</v>
      </c>
      <c r="H3507" s="188">
        <v>78.249499999999998</v>
      </c>
      <c r="I3507" s="19">
        <f t="shared" si="119"/>
        <v>0</v>
      </c>
      <c r="L3507" s="131"/>
      <c r="M3507" s="131"/>
      <c r="N3507" s="131"/>
    </row>
    <row r="3508" spans="1:14">
      <c r="A3508" s="100" t="s">
        <v>862</v>
      </c>
      <c r="B3508" s="101" t="s">
        <v>6524</v>
      </c>
      <c r="C3508" s="115" t="s">
        <v>6525</v>
      </c>
      <c r="D3508" s="38"/>
      <c r="E3508" s="42">
        <v>1</v>
      </c>
      <c r="F3508" s="9">
        <v>19</v>
      </c>
      <c r="G3508" s="8">
        <f t="shared" si="118"/>
        <v>5.4915000000000003</v>
      </c>
      <c r="H3508" s="188">
        <v>5.23</v>
      </c>
      <c r="I3508" s="19">
        <f>G3508*F3508</f>
        <v>104.33850000000001</v>
      </c>
      <c r="L3508" s="131"/>
      <c r="M3508" s="131"/>
      <c r="N3508" s="131"/>
    </row>
    <row r="3509" spans="1:14" hidden="1">
      <c r="A3509" s="100" t="s">
        <v>862</v>
      </c>
      <c r="B3509" s="101" t="s">
        <v>6526</v>
      </c>
      <c r="C3509" s="115" t="s">
        <v>6527</v>
      </c>
      <c r="D3509" s="38"/>
      <c r="E3509" s="42">
        <v>1</v>
      </c>
      <c r="F3509" s="9"/>
      <c r="G3509" s="8">
        <f t="shared" si="118"/>
        <v>147.62894999999997</v>
      </c>
      <c r="H3509" s="188">
        <v>140.59899999999999</v>
      </c>
      <c r="I3509" s="19">
        <f t="shared" si="119"/>
        <v>0</v>
      </c>
      <c r="L3509" s="131"/>
      <c r="M3509" s="131"/>
      <c r="N3509" s="131"/>
    </row>
    <row r="3510" spans="1:14" hidden="1">
      <c r="A3510" s="100" t="s">
        <v>862</v>
      </c>
      <c r="B3510" s="101" t="s">
        <v>6528</v>
      </c>
      <c r="C3510" s="115" t="s">
        <v>6529</v>
      </c>
      <c r="D3510" s="38"/>
      <c r="E3510" s="42">
        <v>1</v>
      </c>
      <c r="F3510" s="9"/>
      <c r="G3510" s="8">
        <f t="shared" si="118"/>
        <v>142.35270000000003</v>
      </c>
      <c r="H3510" s="188">
        <v>135.57400000000001</v>
      </c>
      <c r="I3510" s="19">
        <f t="shared" si="119"/>
        <v>0</v>
      </c>
      <c r="L3510" s="131"/>
      <c r="M3510" s="131"/>
      <c r="N3510" s="131"/>
    </row>
    <row r="3511" spans="1:14" hidden="1">
      <c r="A3511" s="100" t="s">
        <v>862</v>
      </c>
      <c r="B3511" s="101" t="s">
        <v>6530</v>
      </c>
      <c r="C3511" s="115" t="s">
        <v>6531</v>
      </c>
      <c r="D3511" s="38"/>
      <c r="E3511" s="42">
        <v>1</v>
      </c>
      <c r="F3511" s="9"/>
      <c r="G3511" s="8">
        <f t="shared" si="118"/>
        <v>44.519999999999996</v>
      </c>
      <c r="H3511" s="188">
        <v>42.4</v>
      </c>
      <c r="I3511" s="19">
        <f t="shared" si="119"/>
        <v>0</v>
      </c>
      <c r="L3511" s="131"/>
      <c r="M3511" s="131"/>
      <c r="N3511" s="131"/>
    </row>
    <row r="3512" spans="1:14" hidden="1">
      <c r="A3512" s="100" t="s">
        <v>862</v>
      </c>
      <c r="B3512" s="101" t="s">
        <v>6532</v>
      </c>
      <c r="C3512" s="115" t="s">
        <v>6533</v>
      </c>
      <c r="D3512" s="38"/>
      <c r="E3512" s="42">
        <v>1</v>
      </c>
      <c r="F3512" s="9"/>
      <c r="G3512" s="8">
        <f t="shared" si="118"/>
        <v>20.5716</v>
      </c>
      <c r="H3512" s="188">
        <v>19.591999999999999</v>
      </c>
      <c r="I3512" s="19">
        <f t="shared" si="119"/>
        <v>0</v>
      </c>
      <c r="L3512" s="131"/>
      <c r="M3512" s="131"/>
      <c r="N3512" s="131"/>
    </row>
    <row r="3513" spans="1:14" hidden="1">
      <c r="A3513" s="100" t="s">
        <v>862</v>
      </c>
      <c r="B3513" s="101" t="s">
        <v>6534</v>
      </c>
      <c r="C3513" s="115" t="s">
        <v>6535</v>
      </c>
      <c r="D3513" s="38"/>
      <c r="E3513" s="42">
        <v>1</v>
      </c>
      <c r="F3513" s="9"/>
      <c r="G3513" s="8">
        <f t="shared" si="118"/>
        <v>20.880299999999998</v>
      </c>
      <c r="H3513" s="188">
        <v>19.885999999999999</v>
      </c>
      <c r="I3513" s="19">
        <f t="shared" si="119"/>
        <v>0</v>
      </c>
      <c r="L3513" s="131"/>
      <c r="M3513" s="131"/>
      <c r="N3513" s="131"/>
    </row>
    <row r="3514" spans="1:14" hidden="1">
      <c r="A3514" s="100" t="s">
        <v>862</v>
      </c>
      <c r="B3514" s="101" t="s">
        <v>6536</v>
      </c>
      <c r="C3514" s="115" t="s">
        <v>6537</v>
      </c>
      <c r="D3514" s="38"/>
      <c r="E3514" s="42">
        <v>1</v>
      </c>
      <c r="F3514" s="9"/>
      <c r="G3514" s="8">
        <f t="shared" si="118"/>
        <v>23.13045</v>
      </c>
      <c r="H3514" s="188">
        <v>22.029</v>
      </c>
      <c r="I3514" s="19">
        <f t="shared" si="119"/>
        <v>0</v>
      </c>
      <c r="L3514" s="131"/>
      <c r="M3514" s="131"/>
      <c r="N3514" s="131"/>
    </row>
    <row r="3515" spans="1:14" hidden="1">
      <c r="A3515" s="100" t="s">
        <v>862</v>
      </c>
      <c r="B3515" s="101" t="s">
        <v>6538</v>
      </c>
      <c r="C3515" s="115" t="s">
        <v>6539</v>
      </c>
      <c r="D3515" s="38"/>
      <c r="E3515" s="42">
        <v>1</v>
      </c>
      <c r="F3515" s="9"/>
      <c r="G3515" s="8">
        <f t="shared" si="118"/>
        <v>12.013050000000002</v>
      </c>
      <c r="H3515" s="188">
        <v>11.441000000000001</v>
      </c>
      <c r="I3515" s="19">
        <f t="shared" si="119"/>
        <v>0</v>
      </c>
      <c r="L3515" s="131"/>
      <c r="M3515" s="131"/>
      <c r="N3515" s="131"/>
    </row>
    <row r="3516" spans="1:14" hidden="1">
      <c r="A3516" s="100" t="s">
        <v>862</v>
      </c>
      <c r="B3516" s="101" t="s">
        <v>6540</v>
      </c>
      <c r="C3516" s="115" t="s">
        <v>6541</v>
      </c>
      <c r="D3516" s="38"/>
      <c r="E3516" s="42">
        <v>1</v>
      </c>
      <c r="F3516" s="9"/>
      <c r="G3516" s="8">
        <f t="shared" si="118"/>
        <v>12.013050000000002</v>
      </c>
      <c r="H3516" s="188">
        <v>11.441000000000001</v>
      </c>
      <c r="I3516" s="19">
        <f t="shared" si="119"/>
        <v>0</v>
      </c>
      <c r="L3516" s="131"/>
      <c r="M3516" s="131"/>
      <c r="N3516" s="131"/>
    </row>
    <row r="3517" spans="1:14" hidden="1">
      <c r="A3517" s="100" t="s">
        <v>862</v>
      </c>
      <c r="B3517" s="101" t="s">
        <v>6542</v>
      </c>
      <c r="C3517" s="115" t="s">
        <v>6543</v>
      </c>
      <c r="D3517" s="38"/>
      <c r="E3517" s="42">
        <v>1</v>
      </c>
      <c r="F3517" s="9"/>
      <c r="G3517" s="8">
        <f t="shared" si="118"/>
        <v>22.559249999999999</v>
      </c>
      <c r="H3517" s="188">
        <v>21.484999999999999</v>
      </c>
      <c r="I3517" s="19">
        <f t="shared" si="119"/>
        <v>0</v>
      </c>
      <c r="L3517" s="131"/>
      <c r="M3517" s="131"/>
      <c r="N3517" s="131"/>
    </row>
    <row r="3518" spans="1:14" hidden="1">
      <c r="A3518" s="100" t="s">
        <v>862</v>
      </c>
      <c r="B3518" s="101" t="s">
        <v>6544</v>
      </c>
      <c r="C3518" s="115" t="s">
        <v>6545</v>
      </c>
      <c r="D3518" s="38"/>
      <c r="E3518" s="42">
        <v>1</v>
      </c>
      <c r="F3518" s="9"/>
      <c r="G3518" s="8">
        <f t="shared" si="118"/>
        <v>22.559249999999999</v>
      </c>
      <c r="H3518" s="188">
        <v>21.484999999999999</v>
      </c>
      <c r="I3518" s="19">
        <f t="shared" si="119"/>
        <v>0</v>
      </c>
      <c r="L3518" s="131"/>
      <c r="M3518" s="131"/>
      <c r="N3518" s="131"/>
    </row>
    <row r="3519" spans="1:14" hidden="1">
      <c r="A3519" s="100" t="s">
        <v>862</v>
      </c>
      <c r="B3519" s="101" t="s">
        <v>6546</v>
      </c>
      <c r="C3519" s="115" t="s">
        <v>6547</v>
      </c>
      <c r="D3519" s="38"/>
      <c r="E3519" s="42">
        <v>1</v>
      </c>
      <c r="F3519" s="9"/>
      <c r="G3519" s="8">
        <f t="shared" si="118"/>
        <v>27.10155</v>
      </c>
      <c r="H3519" s="188">
        <v>25.811</v>
      </c>
      <c r="I3519" s="19">
        <f t="shared" si="119"/>
        <v>0</v>
      </c>
      <c r="L3519" s="131"/>
      <c r="M3519" s="131"/>
      <c r="N3519" s="131"/>
    </row>
    <row r="3520" spans="1:14" hidden="1">
      <c r="A3520" s="100" t="s">
        <v>862</v>
      </c>
      <c r="B3520" s="101" t="s">
        <v>6548</v>
      </c>
      <c r="C3520" s="115" t="s">
        <v>6549</v>
      </c>
      <c r="D3520" s="38"/>
      <c r="E3520" s="42">
        <v>1</v>
      </c>
      <c r="F3520" s="9"/>
      <c r="G3520" s="8">
        <f t="shared" si="118"/>
        <v>27.10155</v>
      </c>
      <c r="H3520" s="188">
        <v>25.811</v>
      </c>
      <c r="I3520" s="19">
        <f t="shared" si="119"/>
        <v>0</v>
      </c>
      <c r="L3520" s="131"/>
      <c r="M3520" s="131"/>
      <c r="N3520" s="131"/>
    </row>
    <row r="3521" spans="1:14" hidden="1">
      <c r="A3521" s="100" t="s">
        <v>862</v>
      </c>
      <c r="B3521" s="101" t="s">
        <v>6550</v>
      </c>
      <c r="C3521" s="115" t="s">
        <v>6551</v>
      </c>
      <c r="D3521" s="38"/>
      <c r="E3521" s="42">
        <v>1</v>
      </c>
      <c r="F3521" s="9"/>
      <c r="G3521" s="8">
        <f t="shared" si="118"/>
        <v>28.511700000000001</v>
      </c>
      <c r="H3521" s="188">
        <v>27.154</v>
      </c>
      <c r="I3521" s="19">
        <f t="shared" si="119"/>
        <v>0</v>
      </c>
      <c r="L3521" s="131"/>
      <c r="M3521" s="131"/>
      <c r="N3521" s="131"/>
    </row>
    <row r="3522" spans="1:14" hidden="1">
      <c r="A3522" s="100" t="s">
        <v>862</v>
      </c>
      <c r="B3522" s="101" t="s">
        <v>6552</v>
      </c>
      <c r="C3522" s="115" t="s">
        <v>6553</v>
      </c>
      <c r="D3522" s="38"/>
      <c r="E3522" s="42">
        <v>1</v>
      </c>
      <c r="F3522" s="9"/>
      <c r="G3522" s="8">
        <f t="shared" si="118"/>
        <v>28.511700000000001</v>
      </c>
      <c r="H3522" s="188">
        <v>27.154</v>
      </c>
      <c r="I3522" s="19">
        <f t="shared" si="119"/>
        <v>0</v>
      </c>
      <c r="L3522" s="131"/>
      <c r="M3522" s="131"/>
      <c r="N3522" s="131"/>
    </row>
    <row r="3523" spans="1:14" hidden="1">
      <c r="A3523" s="100" t="s">
        <v>862</v>
      </c>
      <c r="B3523" s="101" t="s">
        <v>6554</v>
      </c>
      <c r="C3523" s="115" t="s">
        <v>6555</v>
      </c>
      <c r="D3523" s="38"/>
      <c r="E3523" s="42">
        <v>1</v>
      </c>
      <c r="F3523" s="9"/>
      <c r="G3523" s="8">
        <f t="shared" si="118"/>
        <v>17.292974999999998</v>
      </c>
      <c r="H3523" s="188">
        <v>16.4695</v>
      </c>
      <c r="I3523" s="19">
        <f t="shared" si="119"/>
        <v>0</v>
      </c>
      <c r="L3523" s="131"/>
      <c r="M3523" s="131"/>
      <c r="N3523" s="131"/>
    </row>
    <row r="3524" spans="1:14" hidden="1">
      <c r="A3524" s="100" t="s">
        <v>862</v>
      </c>
      <c r="B3524" s="101" t="s">
        <v>6556</v>
      </c>
      <c r="C3524" s="115" t="s">
        <v>6557</v>
      </c>
      <c r="D3524" s="38"/>
      <c r="E3524" s="42">
        <v>1</v>
      </c>
      <c r="F3524" s="9"/>
      <c r="G3524" s="8">
        <f t="shared" si="118"/>
        <v>17.292974999999998</v>
      </c>
      <c r="H3524" s="188">
        <v>16.4695</v>
      </c>
      <c r="I3524" s="19">
        <f t="shared" si="119"/>
        <v>0</v>
      </c>
      <c r="L3524" s="131"/>
      <c r="M3524" s="131"/>
      <c r="N3524" s="131"/>
    </row>
    <row r="3525" spans="1:14" hidden="1">
      <c r="A3525" s="100" t="s">
        <v>862</v>
      </c>
      <c r="B3525" s="101" t="s">
        <v>6558</v>
      </c>
      <c r="C3525" s="115" t="s">
        <v>6559</v>
      </c>
      <c r="D3525" s="38"/>
      <c r="E3525" s="42">
        <v>1</v>
      </c>
      <c r="F3525" s="9"/>
      <c r="G3525" s="8">
        <f t="shared" si="118"/>
        <v>22.559249999999999</v>
      </c>
      <c r="H3525" s="188">
        <v>21.484999999999999</v>
      </c>
      <c r="I3525" s="19">
        <f t="shared" si="119"/>
        <v>0</v>
      </c>
      <c r="L3525" s="131"/>
      <c r="M3525" s="131"/>
      <c r="N3525" s="131"/>
    </row>
    <row r="3526" spans="1:14" hidden="1">
      <c r="A3526" s="100" t="s">
        <v>862</v>
      </c>
      <c r="B3526" s="101" t="s">
        <v>6560</v>
      </c>
      <c r="C3526" s="115" t="s">
        <v>6561</v>
      </c>
      <c r="D3526" s="38"/>
      <c r="E3526" s="42">
        <v>1</v>
      </c>
      <c r="F3526" s="9"/>
      <c r="G3526" s="8">
        <f t="shared" si="118"/>
        <v>22.559249999999999</v>
      </c>
      <c r="H3526" s="188">
        <v>21.484999999999999</v>
      </c>
      <c r="I3526" s="19">
        <f t="shared" si="119"/>
        <v>0</v>
      </c>
      <c r="L3526" s="131"/>
      <c r="M3526" s="131"/>
      <c r="N3526" s="131"/>
    </row>
    <row r="3527" spans="1:14" hidden="1">
      <c r="A3527" s="100" t="s">
        <v>862</v>
      </c>
      <c r="B3527" s="101" t="s">
        <v>6562</v>
      </c>
      <c r="C3527" s="115" t="s">
        <v>6563</v>
      </c>
      <c r="D3527" s="38"/>
      <c r="E3527" s="42">
        <v>1</v>
      </c>
      <c r="F3527" s="9"/>
      <c r="G3527" s="8">
        <f t="shared" si="118"/>
        <v>27.10155</v>
      </c>
      <c r="H3527" s="188">
        <v>25.811</v>
      </c>
      <c r="I3527" s="19">
        <f t="shared" si="119"/>
        <v>0</v>
      </c>
      <c r="L3527" s="131"/>
      <c r="M3527" s="131"/>
      <c r="N3527" s="131"/>
    </row>
    <row r="3528" spans="1:14" hidden="1">
      <c r="A3528" s="100" t="s">
        <v>862</v>
      </c>
      <c r="B3528" s="101" t="s">
        <v>6564</v>
      </c>
      <c r="C3528" s="115" t="s">
        <v>6565</v>
      </c>
      <c r="D3528" s="38"/>
      <c r="E3528" s="42">
        <v>1</v>
      </c>
      <c r="F3528" s="9"/>
      <c r="G3528" s="8">
        <f t="shared" si="118"/>
        <v>27.10155</v>
      </c>
      <c r="H3528" s="188">
        <v>25.811</v>
      </c>
      <c r="I3528" s="19">
        <f t="shared" si="119"/>
        <v>0</v>
      </c>
      <c r="L3528" s="131"/>
      <c r="M3528" s="131"/>
      <c r="N3528" s="131"/>
    </row>
    <row r="3529" spans="1:14" hidden="1">
      <c r="A3529" s="100" t="s">
        <v>862</v>
      </c>
      <c r="B3529" s="101" t="s">
        <v>6566</v>
      </c>
      <c r="C3529" s="115" t="s">
        <v>6567</v>
      </c>
      <c r="D3529" s="38"/>
      <c r="E3529" s="42">
        <v>1</v>
      </c>
      <c r="F3529" s="9"/>
      <c r="G3529" s="8">
        <f t="shared" si="118"/>
        <v>28.511700000000001</v>
      </c>
      <c r="H3529" s="188">
        <v>27.154</v>
      </c>
      <c r="I3529" s="19">
        <f t="shared" si="119"/>
        <v>0</v>
      </c>
      <c r="L3529" s="131"/>
      <c r="M3529" s="131"/>
      <c r="N3529" s="131"/>
    </row>
    <row r="3530" spans="1:14" hidden="1">
      <c r="A3530" s="100" t="s">
        <v>862</v>
      </c>
      <c r="B3530" s="101" t="s">
        <v>6568</v>
      </c>
      <c r="C3530" s="115" t="s">
        <v>6569</v>
      </c>
      <c r="D3530" s="38"/>
      <c r="E3530" s="42">
        <v>1</v>
      </c>
      <c r="F3530" s="9"/>
      <c r="G3530" s="8">
        <f t="shared" si="118"/>
        <v>28.511700000000001</v>
      </c>
      <c r="H3530" s="188">
        <v>27.154</v>
      </c>
      <c r="I3530" s="19">
        <f t="shared" si="119"/>
        <v>0</v>
      </c>
      <c r="L3530" s="131"/>
      <c r="M3530" s="131"/>
      <c r="N3530" s="131"/>
    </row>
    <row r="3531" spans="1:14" hidden="1">
      <c r="A3531" s="100" t="s">
        <v>862</v>
      </c>
      <c r="B3531" s="101" t="s">
        <v>6570</v>
      </c>
      <c r="C3531" s="115" t="s">
        <v>6571</v>
      </c>
      <c r="D3531" s="38"/>
      <c r="E3531" s="42">
        <v>1</v>
      </c>
      <c r="F3531" s="9"/>
      <c r="G3531" s="8">
        <f t="shared" si="118"/>
        <v>16.237200000000001</v>
      </c>
      <c r="H3531" s="188">
        <v>15.464</v>
      </c>
      <c r="I3531" s="19">
        <f t="shared" si="119"/>
        <v>0</v>
      </c>
      <c r="L3531" s="131"/>
      <c r="M3531" s="131"/>
      <c r="N3531" s="131"/>
    </row>
    <row r="3532" spans="1:14" hidden="1">
      <c r="A3532" s="100" t="s">
        <v>862</v>
      </c>
      <c r="B3532" s="101" t="s">
        <v>6572</v>
      </c>
      <c r="C3532" s="115" t="s">
        <v>6573</v>
      </c>
      <c r="D3532" s="38"/>
      <c r="E3532" s="42">
        <v>1</v>
      </c>
      <c r="F3532" s="9"/>
      <c r="G3532" s="8">
        <f t="shared" si="118"/>
        <v>16.237200000000001</v>
      </c>
      <c r="H3532" s="188">
        <v>15.464</v>
      </c>
      <c r="I3532" s="19">
        <f t="shared" si="119"/>
        <v>0</v>
      </c>
      <c r="L3532" s="131"/>
      <c r="M3532" s="131"/>
      <c r="N3532" s="131"/>
    </row>
    <row r="3533" spans="1:14" hidden="1">
      <c r="A3533" s="100" t="s">
        <v>862</v>
      </c>
      <c r="B3533" s="101" t="s">
        <v>6574</v>
      </c>
      <c r="C3533" s="115" t="s">
        <v>6575</v>
      </c>
      <c r="D3533" s="38"/>
      <c r="E3533" s="42">
        <v>1</v>
      </c>
      <c r="F3533" s="9"/>
      <c r="G3533" s="8">
        <f t="shared" si="118"/>
        <v>20.904975</v>
      </c>
      <c r="H3533" s="188">
        <v>19.909500000000001</v>
      </c>
      <c r="I3533" s="19">
        <f t="shared" si="119"/>
        <v>0</v>
      </c>
      <c r="L3533" s="131"/>
      <c r="M3533" s="131"/>
      <c r="N3533" s="131"/>
    </row>
    <row r="3534" spans="1:14" hidden="1">
      <c r="A3534" s="100" t="s">
        <v>862</v>
      </c>
      <c r="B3534" s="101" t="s">
        <v>6576</v>
      </c>
      <c r="C3534" s="115" t="s">
        <v>6577</v>
      </c>
      <c r="D3534" s="38"/>
      <c r="E3534" s="42">
        <v>1</v>
      </c>
      <c r="F3534" s="9"/>
      <c r="G3534" s="8">
        <f t="shared" si="118"/>
        <v>20.904975</v>
      </c>
      <c r="H3534" s="188">
        <v>19.909500000000001</v>
      </c>
      <c r="I3534" s="19">
        <f t="shared" si="119"/>
        <v>0</v>
      </c>
      <c r="L3534" s="131"/>
      <c r="M3534" s="131"/>
      <c r="N3534" s="131"/>
    </row>
    <row r="3535" spans="1:14" hidden="1">
      <c r="A3535" s="100" t="s">
        <v>862</v>
      </c>
      <c r="B3535" s="114" t="s">
        <v>6578</v>
      </c>
      <c r="C3535" s="116" t="s">
        <v>6579</v>
      </c>
      <c r="D3535" s="38" t="s">
        <v>945</v>
      </c>
      <c r="E3535" s="42">
        <v>1</v>
      </c>
      <c r="F3535" s="9"/>
      <c r="G3535" s="8">
        <f t="shared" si="118"/>
        <v>6.0059999999999993</v>
      </c>
      <c r="H3535" s="188">
        <v>5.72</v>
      </c>
      <c r="I3535" s="19">
        <f t="shared" si="119"/>
        <v>0</v>
      </c>
      <c r="L3535" s="131"/>
      <c r="M3535" s="131"/>
      <c r="N3535" s="131"/>
    </row>
    <row r="3536" spans="1:14" hidden="1">
      <c r="A3536" s="100" t="s">
        <v>862</v>
      </c>
      <c r="B3536" s="101" t="s">
        <v>6580</v>
      </c>
      <c r="C3536" s="115" t="s">
        <v>6581</v>
      </c>
      <c r="D3536" s="38"/>
      <c r="E3536" s="42">
        <v>1</v>
      </c>
      <c r="F3536" s="9"/>
      <c r="G3536" s="8">
        <f t="shared" si="118"/>
        <v>15.015000000000001</v>
      </c>
      <c r="H3536" s="188">
        <v>14.3</v>
      </c>
      <c r="I3536" s="19">
        <f t="shared" si="119"/>
        <v>0</v>
      </c>
      <c r="L3536" s="131"/>
      <c r="M3536" s="131"/>
      <c r="N3536" s="131"/>
    </row>
    <row r="3537" spans="1:14" hidden="1">
      <c r="A3537" s="100" t="s">
        <v>862</v>
      </c>
      <c r="B3537" s="101" t="s">
        <v>6582</v>
      </c>
      <c r="C3537" s="115" t="s">
        <v>6583</v>
      </c>
      <c r="D3537" s="38"/>
      <c r="E3537" s="42">
        <v>1</v>
      </c>
      <c r="F3537" s="9"/>
      <c r="G3537" s="8">
        <f t="shared" si="118"/>
        <v>12.0855</v>
      </c>
      <c r="H3537" s="188">
        <v>11.51</v>
      </c>
      <c r="I3537" s="19">
        <f t="shared" si="119"/>
        <v>0</v>
      </c>
      <c r="L3537" s="131"/>
      <c r="M3537" s="131"/>
      <c r="N3537" s="131"/>
    </row>
    <row r="3538" spans="1:14" hidden="1">
      <c r="A3538" s="100" t="s">
        <v>862</v>
      </c>
      <c r="B3538" s="101" t="s">
        <v>6584</v>
      </c>
      <c r="C3538" s="115" t="s">
        <v>6585</v>
      </c>
      <c r="D3538" s="38"/>
      <c r="E3538" s="42">
        <v>1</v>
      </c>
      <c r="F3538" s="9"/>
      <c r="G3538" s="8">
        <f t="shared" si="118"/>
        <v>29.552250000000001</v>
      </c>
      <c r="H3538" s="188">
        <v>28.145</v>
      </c>
      <c r="I3538" s="19">
        <f t="shared" si="119"/>
        <v>0</v>
      </c>
      <c r="L3538" s="131"/>
      <c r="M3538" s="131"/>
      <c r="N3538" s="131"/>
    </row>
    <row r="3539" spans="1:14" hidden="1">
      <c r="A3539" s="100" t="s">
        <v>862</v>
      </c>
      <c r="B3539" s="101" t="s">
        <v>6586</v>
      </c>
      <c r="C3539" s="115" t="s">
        <v>6587</v>
      </c>
      <c r="D3539" s="38" t="s">
        <v>945</v>
      </c>
      <c r="E3539" s="42">
        <v>1</v>
      </c>
      <c r="F3539" s="9"/>
      <c r="G3539" s="8">
        <f t="shared" si="118"/>
        <v>10.996650000000001</v>
      </c>
      <c r="H3539" s="188">
        <v>10.473000000000001</v>
      </c>
      <c r="I3539" s="19">
        <f t="shared" si="119"/>
        <v>0</v>
      </c>
      <c r="L3539" s="131"/>
      <c r="M3539" s="131"/>
      <c r="N3539" s="131"/>
    </row>
    <row r="3540" spans="1:14" hidden="1">
      <c r="A3540" s="100" t="s">
        <v>862</v>
      </c>
      <c r="B3540" s="101" t="s">
        <v>6588</v>
      </c>
      <c r="C3540" s="115" t="s">
        <v>6589</v>
      </c>
      <c r="D3540" s="38" t="s">
        <v>945</v>
      </c>
      <c r="E3540" s="42">
        <v>1</v>
      </c>
      <c r="F3540" s="9"/>
      <c r="G3540" s="8">
        <f t="shared" si="118"/>
        <v>13.041</v>
      </c>
      <c r="H3540" s="188">
        <v>12.42</v>
      </c>
      <c r="I3540" s="19">
        <f t="shared" si="119"/>
        <v>0</v>
      </c>
      <c r="L3540" s="131"/>
      <c r="M3540" s="131"/>
      <c r="N3540" s="131"/>
    </row>
    <row r="3541" spans="1:14" hidden="1">
      <c r="A3541" s="100" t="s">
        <v>862</v>
      </c>
      <c r="B3541" s="101" t="s">
        <v>6590</v>
      </c>
      <c r="C3541" s="115" t="s">
        <v>6591</v>
      </c>
      <c r="D3541" s="38" t="s">
        <v>945</v>
      </c>
      <c r="E3541" s="42">
        <v>1</v>
      </c>
      <c r="F3541" s="9"/>
      <c r="G3541" s="8">
        <f t="shared" si="118"/>
        <v>15.192975000000001</v>
      </c>
      <c r="H3541" s="188">
        <v>14.4695</v>
      </c>
      <c r="I3541" s="19">
        <f t="shared" si="119"/>
        <v>0</v>
      </c>
      <c r="L3541" s="131"/>
      <c r="M3541" s="131"/>
      <c r="N3541" s="131"/>
    </row>
    <row r="3542" spans="1:14" hidden="1">
      <c r="A3542" s="100" t="s">
        <v>862</v>
      </c>
      <c r="B3542" s="101" t="s">
        <v>6592</v>
      </c>
      <c r="C3542" s="115" t="s">
        <v>6593</v>
      </c>
      <c r="D3542" s="38" t="s">
        <v>945</v>
      </c>
      <c r="E3542" s="42">
        <v>1</v>
      </c>
      <c r="F3542" s="9"/>
      <c r="G3542" s="8">
        <f t="shared" si="118"/>
        <v>17.501925</v>
      </c>
      <c r="H3542" s="188">
        <v>16.668500000000002</v>
      </c>
      <c r="I3542" s="19">
        <f t="shared" si="119"/>
        <v>0</v>
      </c>
      <c r="L3542" s="131"/>
      <c r="M3542" s="131"/>
      <c r="N3542" s="131"/>
    </row>
    <row r="3543" spans="1:14" hidden="1">
      <c r="A3543" s="100" t="s">
        <v>862</v>
      </c>
      <c r="B3543" s="101" t="s">
        <v>6594</v>
      </c>
      <c r="C3543" s="115" t="s">
        <v>6595</v>
      </c>
      <c r="D3543" s="38" t="s">
        <v>945</v>
      </c>
      <c r="E3543" s="42">
        <v>1</v>
      </c>
      <c r="F3543" s="9"/>
      <c r="G3543" s="8">
        <f t="shared" si="118"/>
        <v>19.774124999999998</v>
      </c>
      <c r="H3543" s="188">
        <v>18.8325</v>
      </c>
      <c r="I3543" s="19">
        <f t="shared" si="119"/>
        <v>0</v>
      </c>
      <c r="L3543" s="131"/>
      <c r="M3543" s="131"/>
      <c r="N3543" s="131"/>
    </row>
    <row r="3544" spans="1:14" hidden="1">
      <c r="A3544" s="100" t="s">
        <v>862</v>
      </c>
      <c r="B3544" s="101" t="s">
        <v>6596</v>
      </c>
      <c r="C3544" s="115" t="s">
        <v>6597</v>
      </c>
      <c r="D3544" s="38" t="s">
        <v>945</v>
      </c>
      <c r="E3544" s="42">
        <v>1</v>
      </c>
      <c r="F3544" s="9"/>
      <c r="G3544" s="8">
        <f t="shared" si="118"/>
        <v>18.676875000000003</v>
      </c>
      <c r="H3544" s="188">
        <v>17.787500000000001</v>
      </c>
      <c r="I3544" s="19">
        <f t="shared" si="119"/>
        <v>0</v>
      </c>
      <c r="L3544" s="131"/>
      <c r="M3544" s="131"/>
      <c r="N3544" s="131"/>
    </row>
    <row r="3545" spans="1:14" hidden="1">
      <c r="A3545" s="100" t="s">
        <v>862</v>
      </c>
      <c r="B3545" s="101" t="s">
        <v>6598</v>
      </c>
      <c r="C3545" s="115" t="s">
        <v>6599</v>
      </c>
      <c r="D3545" s="38" t="s">
        <v>945</v>
      </c>
      <c r="E3545" s="42">
        <v>1</v>
      </c>
      <c r="F3545" s="9"/>
      <c r="G3545" s="8">
        <f t="shared" si="118"/>
        <v>20.72175</v>
      </c>
      <c r="H3545" s="188">
        <v>19.734999999999999</v>
      </c>
      <c r="I3545" s="19">
        <f t="shared" si="119"/>
        <v>0</v>
      </c>
      <c r="L3545" s="131"/>
      <c r="M3545" s="131"/>
      <c r="N3545" s="131"/>
    </row>
    <row r="3546" spans="1:14" hidden="1">
      <c r="A3546" s="100" t="s">
        <v>862</v>
      </c>
      <c r="B3546" s="101" t="s">
        <v>6600</v>
      </c>
      <c r="C3546" s="115" t="s">
        <v>6601</v>
      </c>
      <c r="D3546" s="38" t="s">
        <v>945</v>
      </c>
      <c r="E3546" s="42">
        <v>1</v>
      </c>
      <c r="F3546" s="9"/>
      <c r="G3546" s="8">
        <f t="shared" si="118"/>
        <v>23.014949999999999</v>
      </c>
      <c r="H3546" s="188">
        <v>21.919</v>
      </c>
      <c r="I3546" s="19">
        <f t="shared" si="119"/>
        <v>0</v>
      </c>
      <c r="L3546" s="131"/>
      <c r="M3546" s="131"/>
      <c r="N3546" s="131"/>
    </row>
    <row r="3547" spans="1:14" hidden="1">
      <c r="A3547" s="100" t="s">
        <v>862</v>
      </c>
      <c r="B3547" s="101" t="s">
        <v>6602</v>
      </c>
      <c r="C3547" s="115" t="s">
        <v>6603</v>
      </c>
      <c r="D3547" s="38" t="s">
        <v>945</v>
      </c>
      <c r="E3547" s="42">
        <v>1</v>
      </c>
      <c r="F3547" s="9"/>
      <c r="G3547" s="8">
        <f t="shared" si="118"/>
        <v>25.729725000000002</v>
      </c>
      <c r="H3547" s="188">
        <v>24.5045</v>
      </c>
      <c r="I3547" s="19">
        <f t="shared" si="119"/>
        <v>0</v>
      </c>
      <c r="L3547" s="131"/>
      <c r="M3547" s="131"/>
      <c r="N3547" s="131"/>
    </row>
    <row r="3548" spans="1:14" hidden="1">
      <c r="A3548" s="100" t="s">
        <v>862</v>
      </c>
      <c r="B3548" s="101" t="s">
        <v>6604</v>
      </c>
      <c r="C3548" s="115" t="s">
        <v>6605</v>
      </c>
      <c r="D3548" s="38" t="s">
        <v>945</v>
      </c>
      <c r="E3548" s="42">
        <v>1</v>
      </c>
      <c r="F3548" s="9"/>
      <c r="G3548" s="8">
        <f t="shared" si="118"/>
        <v>27.866999999999997</v>
      </c>
      <c r="H3548" s="188">
        <v>26.54</v>
      </c>
      <c r="I3548" s="19">
        <f t="shared" si="119"/>
        <v>0</v>
      </c>
      <c r="L3548" s="131"/>
      <c r="M3548" s="131"/>
      <c r="N3548" s="131"/>
    </row>
    <row r="3549" spans="1:14" hidden="1">
      <c r="A3549" s="100" t="s">
        <v>862</v>
      </c>
      <c r="B3549" s="101" t="s">
        <v>6606</v>
      </c>
      <c r="C3549" s="115" t="s">
        <v>6607</v>
      </c>
      <c r="D3549" s="38" t="s">
        <v>945</v>
      </c>
      <c r="E3549" s="42">
        <v>1</v>
      </c>
      <c r="F3549" s="9"/>
      <c r="G3549" s="8">
        <f t="shared" si="118"/>
        <v>22.786049999999999</v>
      </c>
      <c r="H3549" s="188">
        <v>21.701000000000001</v>
      </c>
      <c r="I3549" s="19">
        <f t="shared" si="119"/>
        <v>0</v>
      </c>
      <c r="L3549" s="131"/>
      <c r="M3549" s="131"/>
      <c r="N3549" s="131"/>
    </row>
    <row r="3550" spans="1:14" hidden="1">
      <c r="A3550" s="100" t="s">
        <v>862</v>
      </c>
      <c r="B3550" s="101" t="s">
        <v>6608</v>
      </c>
      <c r="C3550" s="115" t="s">
        <v>6609</v>
      </c>
      <c r="D3550" s="38" t="s">
        <v>945</v>
      </c>
      <c r="E3550" s="42">
        <v>1</v>
      </c>
      <c r="F3550" s="9"/>
      <c r="G3550" s="8">
        <f t="shared" si="118"/>
        <v>25.141199999999998</v>
      </c>
      <c r="H3550" s="188">
        <v>23.943999999999999</v>
      </c>
      <c r="I3550" s="19">
        <f t="shared" si="119"/>
        <v>0</v>
      </c>
      <c r="L3550" s="131"/>
      <c r="M3550" s="131"/>
      <c r="N3550" s="131"/>
    </row>
    <row r="3551" spans="1:14" hidden="1">
      <c r="A3551" s="100" t="s">
        <v>862</v>
      </c>
      <c r="B3551" s="101" t="s">
        <v>6610</v>
      </c>
      <c r="C3551" s="115" t="s">
        <v>6611</v>
      </c>
      <c r="D3551" s="38" t="s">
        <v>945</v>
      </c>
      <c r="E3551" s="42">
        <v>1</v>
      </c>
      <c r="F3551" s="9"/>
      <c r="G3551" s="8">
        <f t="shared" si="118"/>
        <v>27.222825</v>
      </c>
      <c r="H3551" s="188">
        <v>25.926500000000001</v>
      </c>
      <c r="I3551" s="19">
        <f t="shared" si="119"/>
        <v>0</v>
      </c>
      <c r="L3551" s="131"/>
      <c r="M3551" s="131"/>
      <c r="N3551" s="131"/>
    </row>
    <row r="3552" spans="1:14" hidden="1">
      <c r="A3552" s="100" t="s">
        <v>862</v>
      </c>
      <c r="B3552" s="101" t="s">
        <v>6612</v>
      </c>
      <c r="C3552" s="115" t="s">
        <v>6613</v>
      </c>
      <c r="D3552" s="38" t="s">
        <v>945</v>
      </c>
      <c r="E3552" s="42">
        <v>1</v>
      </c>
      <c r="F3552" s="9"/>
      <c r="G3552" s="8">
        <f t="shared" si="118"/>
        <v>29.577974999999999</v>
      </c>
      <c r="H3552" s="188">
        <v>28.169499999999999</v>
      </c>
      <c r="I3552" s="19">
        <f t="shared" si="119"/>
        <v>0</v>
      </c>
      <c r="L3552" s="131"/>
      <c r="M3552" s="131"/>
      <c r="N3552" s="131"/>
    </row>
    <row r="3553" spans="1:14" hidden="1">
      <c r="A3553" s="100" t="s">
        <v>862</v>
      </c>
      <c r="B3553" s="101" t="s">
        <v>6614</v>
      </c>
      <c r="C3553" s="115" t="s">
        <v>6615</v>
      </c>
      <c r="D3553" s="38" t="s">
        <v>945</v>
      </c>
      <c r="E3553" s="42">
        <v>1</v>
      </c>
      <c r="F3553" s="9"/>
      <c r="G3553" s="8">
        <f t="shared" si="118"/>
        <v>40.558350000000004</v>
      </c>
      <c r="H3553" s="188">
        <v>38.627000000000002</v>
      </c>
      <c r="I3553" s="19">
        <f t="shared" si="119"/>
        <v>0</v>
      </c>
      <c r="L3553" s="131"/>
      <c r="M3553" s="131"/>
      <c r="N3553" s="131"/>
    </row>
    <row r="3554" spans="1:14" hidden="1">
      <c r="A3554" s="100" t="s">
        <v>862</v>
      </c>
      <c r="B3554" s="101" t="s">
        <v>6616</v>
      </c>
      <c r="C3554" s="115" t="s">
        <v>6617</v>
      </c>
      <c r="D3554" s="38" t="s">
        <v>945</v>
      </c>
      <c r="E3554" s="42">
        <v>1</v>
      </c>
      <c r="F3554" s="9"/>
      <c r="G3554" s="8">
        <f t="shared" si="118"/>
        <v>42.913499999999999</v>
      </c>
      <c r="H3554" s="188">
        <v>40.869999999999997</v>
      </c>
      <c r="I3554" s="19">
        <f t="shared" si="119"/>
        <v>0</v>
      </c>
      <c r="L3554" s="131"/>
      <c r="M3554" s="131"/>
      <c r="N3554" s="131"/>
    </row>
    <row r="3555" spans="1:14" hidden="1">
      <c r="A3555" s="100" t="s">
        <v>862</v>
      </c>
      <c r="B3555" s="101" t="s">
        <v>6618</v>
      </c>
      <c r="C3555" s="115" t="s">
        <v>6619</v>
      </c>
      <c r="D3555" s="38"/>
      <c r="E3555" s="42">
        <v>1</v>
      </c>
      <c r="F3555" s="9"/>
      <c r="G3555" s="8">
        <f t="shared" si="118"/>
        <v>29.552250000000001</v>
      </c>
      <c r="H3555" s="188">
        <v>28.145</v>
      </c>
      <c r="I3555" s="19">
        <f t="shared" si="119"/>
        <v>0</v>
      </c>
      <c r="L3555" s="131"/>
      <c r="M3555" s="131"/>
      <c r="N3555" s="131"/>
    </row>
    <row r="3556" spans="1:14" hidden="1">
      <c r="A3556" s="100" t="s">
        <v>862</v>
      </c>
      <c r="B3556" s="101" t="s">
        <v>6620</v>
      </c>
      <c r="C3556" s="115" t="s">
        <v>6621</v>
      </c>
      <c r="D3556" s="38"/>
      <c r="E3556" s="42">
        <v>1</v>
      </c>
      <c r="F3556" s="9"/>
      <c r="G3556" s="8">
        <f t="shared" si="118"/>
        <v>19.526850000000003</v>
      </c>
      <c r="H3556" s="188">
        <v>18.597000000000001</v>
      </c>
      <c r="I3556" s="19">
        <f t="shared" si="119"/>
        <v>0</v>
      </c>
      <c r="L3556" s="131"/>
      <c r="M3556" s="131"/>
      <c r="N3556" s="131"/>
    </row>
    <row r="3557" spans="1:14" hidden="1">
      <c r="A3557" s="100" t="s">
        <v>862</v>
      </c>
      <c r="B3557" s="101" t="s">
        <v>6622</v>
      </c>
      <c r="C3557" s="115" t="s">
        <v>6623</v>
      </c>
      <c r="D3557" s="38"/>
      <c r="E3557" s="42">
        <v>1</v>
      </c>
      <c r="F3557" s="9"/>
      <c r="G3557" s="8">
        <f t="shared" ref="G3557:G3620" si="120">H3557+(H3557*5%)</f>
        <v>2.895375</v>
      </c>
      <c r="H3557" s="188">
        <v>2.7574999999999998</v>
      </c>
      <c r="I3557" s="19">
        <f t="shared" si="119"/>
        <v>0</v>
      </c>
      <c r="L3557" s="131"/>
      <c r="M3557" s="131"/>
      <c r="N3557" s="131"/>
    </row>
    <row r="3558" spans="1:14" hidden="1">
      <c r="A3558" s="100" t="s">
        <v>862</v>
      </c>
      <c r="B3558" s="101" t="s">
        <v>6624</v>
      </c>
      <c r="C3558" s="115" t="s">
        <v>6625</v>
      </c>
      <c r="D3558" s="38"/>
      <c r="E3558" s="42">
        <v>1</v>
      </c>
      <c r="F3558" s="9"/>
      <c r="G3558" s="8">
        <f t="shared" si="120"/>
        <v>0.79695000000000005</v>
      </c>
      <c r="H3558" s="188">
        <v>0.75900000000000001</v>
      </c>
      <c r="I3558" s="19">
        <f t="shared" si="119"/>
        <v>0</v>
      </c>
      <c r="L3558" s="131"/>
      <c r="M3558" s="131"/>
      <c r="N3558" s="131"/>
    </row>
    <row r="3559" spans="1:14" hidden="1">
      <c r="A3559" s="100" t="s">
        <v>862</v>
      </c>
      <c r="B3559" s="101" t="s">
        <v>6626</v>
      </c>
      <c r="C3559" s="115" t="s">
        <v>6627</v>
      </c>
      <c r="D3559" s="38"/>
      <c r="E3559" s="42">
        <v>1</v>
      </c>
      <c r="F3559" s="9"/>
      <c r="G3559" s="8">
        <f t="shared" si="120"/>
        <v>2.9783249999999999</v>
      </c>
      <c r="H3559" s="188">
        <v>2.8365</v>
      </c>
      <c r="I3559" s="19">
        <f t="shared" si="119"/>
        <v>0</v>
      </c>
      <c r="L3559" s="131"/>
      <c r="M3559" s="131"/>
      <c r="N3559" s="131"/>
    </row>
    <row r="3560" spans="1:14" hidden="1">
      <c r="A3560" s="100" t="s">
        <v>862</v>
      </c>
      <c r="B3560" s="101" t="s">
        <v>6628</v>
      </c>
      <c r="C3560" s="115" t="s">
        <v>6629</v>
      </c>
      <c r="D3560" s="38"/>
      <c r="E3560" s="42">
        <v>1</v>
      </c>
      <c r="F3560" s="9"/>
      <c r="G3560" s="8">
        <f t="shared" si="120"/>
        <v>0.8337</v>
      </c>
      <c r="H3560" s="188">
        <v>0.79400000000000004</v>
      </c>
      <c r="I3560" s="19">
        <f t="shared" ref="I3560:I3623" si="121">G3560*F3560</f>
        <v>0</v>
      </c>
      <c r="L3560" s="131"/>
      <c r="M3560" s="131"/>
      <c r="N3560" s="131"/>
    </row>
    <row r="3561" spans="1:14" hidden="1">
      <c r="A3561" s="100" t="s">
        <v>862</v>
      </c>
      <c r="B3561" s="101" t="s">
        <v>6630</v>
      </c>
      <c r="C3561" s="115" t="s">
        <v>6631</v>
      </c>
      <c r="D3561" s="38"/>
      <c r="E3561" s="42">
        <v>1</v>
      </c>
      <c r="F3561" s="9"/>
      <c r="G3561" s="8">
        <f t="shared" si="120"/>
        <v>7.8356250000000003</v>
      </c>
      <c r="H3561" s="188">
        <v>7.4625000000000004</v>
      </c>
      <c r="I3561" s="19">
        <f t="shared" si="121"/>
        <v>0</v>
      </c>
      <c r="L3561" s="131"/>
      <c r="M3561" s="131"/>
      <c r="N3561" s="131"/>
    </row>
    <row r="3562" spans="1:14" hidden="1">
      <c r="A3562" s="100" t="s">
        <v>862</v>
      </c>
      <c r="B3562" s="101" t="s">
        <v>6632</v>
      </c>
      <c r="C3562" s="115" t="s">
        <v>6633</v>
      </c>
      <c r="D3562" s="38"/>
      <c r="E3562" s="42">
        <v>1</v>
      </c>
      <c r="F3562" s="9"/>
      <c r="G3562" s="8">
        <f t="shared" si="120"/>
        <v>5.6364000000000001</v>
      </c>
      <c r="H3562" s="188">
        <v>5.3680000000000003</v>
      </c>
      <c r="I3562" s="19">
        <f t="shared" si="121"/>
        <v>0</v>
      </c>
      <c r="L3562" s="131"/>
      <c r="M3562" s="131"/>
      <c r="N3562" s="131"/>
    </row>
    <row r="3563" spans="1:14" hidden="1">
      <c r="A3563" s="100" t="s">
        <v>862</v>
      </c>
      <c r="B3563" s="101" t="s">
        <v>6634</v>
      </c>
      <c r="C3563" s="115" t="s">
        <v>6635</v>
      </c>
      <c r="D3563" s="38"/>
      <c r="E3563" s="42">
        <v>1</v>
      </c>
      <c r="F3563" s="9"/>
      <c r="G3563" s="8">
        <f t="shared" si="120"/>
        <v>37.861425000000004</v>
      </c>
      <c r="H3563" s="188">
        <v>36.058500000000002</v>
      </c>
      <c r="I3563" s="19">
        <f t="shared" si="121"/>
        <v>0</v>
      </c>
      <c r="L3563" s="131"/>
      <c r="M3563" s="131"/>
      <c r="N3563" s="131"/>
    </row>
    <row r="3564" spans="1:14" hidden="1">
      <c r="A3564" s="100" t="s">
        <v>862</v>
      </c>
      <c r="B3564" s="101" t="s">
        <v>6636</v>
      </c>
      <c r="C3564" s="115" t="s">
        <v>6637</v>
      </c>
      <c r="D3564" s="38"/>
      <c r="E3564" s="42">
        <v>1</v>
      </c>
      <c r="F3564" s="9"/>
      <c r="G3564" s="8">
        <f t="shared" si="120"/>
        <v>2.8077000000000001</v>
      </c>
      <c r="H3564" s="188">
        <v>2.6739999999999999</v>
      </c>
      <c r="I3564" s="19">
        <f t="shared" si="121"/>
        <v>0</v>
      </c>
      <c r="L3564" s="131"/>
      <c r="M3564" s="131"/>
      <c r="N3564" s="131"/>
    </row>
    <row r="3565" spans="1:14" hidden="1">
      <c r="A3565" s="100" t="s">
        <v>862</v>
      </c>
      <c r="B3565" s="101" t="s">
        <v>6638</v>
      </c>
      <c r="C3565" s="115" t="s">
        <v>6639</v>
      </c>
      <c r="D3565" s="38"/>
      <c r="E3565" s="42">
        <v>1</v>
      </c>
      <c r="F3565" s="9"/>
      <c r="G3565" s="8">
        <f t="shared" si="120"/>
        <v>3.6057000000000001</v>
      </c>
      <c r="H3565" s="188">
        <v>3.4340000000000002</v>
      </c>
      <c r="I3565" s="19">
        <f t="shared" si="121"/>
        <v>0</v>
      </c>
      <c r="L3565" s="131"/>
      <c r="M3565" s="131"/>
      <c r="N3565" s="131"/>
    </row>
    <row r="3566" spans="1:14" hidden="1">
      <c r="A3566" s="100" t="s">
        <v>862</v>
      </c>
      <c r="B3566" s="101" t="s">
        <v>6640</v>
      </c>
      <c r="C3566" s="115" t="s">
        <v>6641</v>
      </c>
      <c r="D3566" s="38"/>
      <c r="E3566" s="42">
        <v>1</v>
      </c>
      <c r="F3566" s="9"/>
      <c r="G3566" s="8">
        <f t="shared" si="120"/>
        <v>46.647824999999997</v>
      </c>
      <c r="H3566" s="188">
        <v>44.426499999999997</v>
      </c>
      <c r="I3566" s="19">
        <f t="shared" si="121"/>
        <v>0</v>
      </c>
      <c r="L3566" s="131"/>
      <c r="M3566" s="131"/>
      <c r="N3566" s="131"/>
    </row>
    <row r="3567" spans="1:14" hidden="1">
      <c r="A3567" s="100" t="s">
        <v>862</v>
      </c>
      <c r="B3567" s="101" t="s">
        <v>6642</v>
      </c>
      <c r="C3567" s="115" t="s">
        <v>6643</v>
      </c>
      <c r="D3567" s="38"/>
      <c r="E3567" s="42">
        <v>1</v>
      </c>
      <c r="F3567" s="9"/>
      <c r="G3567" s="8">
        <f t="shared" si="120"/>
        <v>57.064874999999994</v>
      </c>
      <c r="H3567" s="188">
        <v>54.347499999999997</v>
      </c>
      <c r="I3567" s="19">
        <f t="shared" si="121"/>
        <v>0</v>
      </c>
      <c r="L3567" s="131"/>
      <c r="M3567" s="131"/>
      <c r="N3567" s="131"/>
    </row>
    <row r="3568" spans="1:14" hidden="1">
      <c r="A3568" s="100" t="s">
        <v>862</v>
      </c>
      <c r="B3568" s="101" t="s">
        <v>6644</v>
      </c>
      <c r="C3568" s="115" t="s">
        <v>6645</v>
      </c>
      <c r="D3568" s="38"/>
      <c r="E3568" s="42">
        <v>1</v>
      </c>
      <c r="F3568" s="9"/>
      <c r="G3568" s="8">
        <f t="shared" si="120"/>
        <v>6.7263000000000002</v>
      </c>
      <c r="H3568" s="188">
        <v>6.4059999999999997</v>
      </c>
      <c r="I3568" s="19">
        <f t="shared" si="121"/>
        <v>0</v>
      </c>
      <c r="L3568" s="131"/>
      <c r="M3568" s="131"/>
      <c r="N3568" s="131"/>
    </row>
    <row r="3569" spans="1:14" hidden="1">
      <c r="A3569" s="100" t="s">
        <v>862</v>
      </c>
      <c r="B3569" s="101" t="s">
        <v>6646</v>
      </c>
      <c r="C3569" s="115" t="s">
        <v>6647</v>
      </c>
      <c r="D3569" s="38"/>
      <c r="E3569" s="42">
        <v>1</v>
      </c>
      <c r="F3569" s="9"/>
      <c r="G3569" s="8">
        <f t="shared" si="120"/>
        <v>35.686875000000001</v>
      </c>
      <c r="H3569" s="188">
        <v>33.987499999999997</v>
      </c>
      <c r="I3569" s="19">
        <f t="shared" si="121"/>
        <v>0</v>
      </c>
      <c r="L3569" s="131"/>
      <c r="M3569" s="131"/>
      <c r="N3569" s="131"/>
    </row>
    <row r="3570" spans="1:14">
      <c r="A3570" s="100" t="s">
        <v>862</v>
      </c>
      <c r="B3570" s="101" t="s">
        <v>6648</v>
      </c>
      <c r="C3570" s="115" t="s">
        <v>6649</v>
      </c>
      <c r="D3570" s="38"/>
      <c r="E3570" s="42">
        <v>1</v>
      </c>
      <c r="F3570" s="9">
        <v>5.5</v>
      </c>
      <c r="G3570" s="8">
        <f t="shared" si="120"/>
        <v>38.259900000000002</v>
      </c>
      <c r="H3570" s="188">
        <v>36.438000000000002</v>
      </c>
      <c r="I3570" s="19">
        <f t="shared" si="121"/>
        <v>210.42945</v>
      </c>
      <c r="L3570" s="131"/>
      <c r="M3570" s="131"/>
      <c r="N3570" s="131"/>
    </row>
    <row r="3571" spans="1:14" hidden="1">
      <c r="A3571" s="100" t="s">
        <v>862</v>
      </c>
      <c r="B3571" s="101" t="s">
        <v>6650</v>
      </c>
      <c r="C3571" s="115" t="s">
        <v>6651</v>
      </c>
      <c r="D3571" s="38" t="s">
        <v>945</v>
      </c>
      <c r="E3571" s="42">
        <v>1</v>
      </c>
      <c r="F3571" s="9"/>
      <c r="G3571" s="8">
        <f t="shared" si="120"/>
        <v>5.88</v>
      </c>
      <c r="H3571" s="188">
        <v>5.6</v>
      </c>
      <c r="I3571" s="19">
        <f t="shared" si="121"/>
        <v>0</v>
      </c>
      <c r="L3571" s="131"/>
      <c r="M3571" s="131"/>
      <c r="N3571" s="131"/>
    </row>
    <row r="3572" spans="1:14" hidden="1">
      <c r="A3572" s="100" t="s">
        <v>862</v>
      </c>
      <c r="B3572" s="101" t="s">
        <v>6652</v>
      </c>
      <c r="C3572" s="115" t="s">
        <v>6653</v>
      </c>
      <c r="D3572" s="38"/>
      <c r="E3572" s="42">
        <v>1</v>
      </c>
      <c r="F3572" s="9"/>
      <c r="G3572" s="8">
        <f t="shared" si="120"/>
        <v>23.07375</v>
      </c>
      <c r="H3572" s="188">
        <v>21.975000000000001</v>
      </c>
      <c r="I3572" s="19">
        <f t="shared" si="121"/>
        <v>0</v>
      </c>
      <c r="L3572" s="131"/>
      <c r="M3572" s="131"/>
      <c r="N3572" s="131"/>
    </row>
    <row r="3573" spans="1:14" hidden="1">
      <c r="A3573" s="100" t="s">
        <v>862</v>
      </c>
      <c r="B3573" s="114" t="s">
        <v>6654</v>
      </c>
      <c r="C3573" s="116" t="s">
        <v>6655</v>
      </c>
      <c r="D3573" s="38" t="s">
        <v>945</v>
      </c>
      <c r="E3573" s="42">
        <v>1</v>
      </c>
      <c r="F3573" s="9"/>
      <c r="G3573" s="8">
        <f t="shared" si="120"/>
        <v>73.342500000000001</v>
      </c>
      <c r="H3573" s="188">
        <v>69.849999999999994</v>
      </c>
      <c r="I3573" s="19">
        <f t="shared" si="121"/>
        <v>0</v>
      </c>
      <c r="L3573" s="131"/>
      <c r="M3573" s="131"/>
      <c r="N3573" s="131"/>
    </row>
    <row r="3574" spans="1:14" hidden="1">
      <c r="A3574" s="100" t="s">
        <v>862</v>
      </c>
      <c r="B3574" s="101" t="s">
        <v>6656</v>
      </c>
      <c r="C3574" s="115" t="s">
        <v>6657</v>
      </c>
      <c r="D3574" s="38"/>
      <c r="E3574" s="42">
        <v>1</v>
      </c>
      <c r="F3574" s="9"/>
      <c r="G3574" s="8">
        <f t="shared" si="120"/>
        <v>210.86047500000001</v>
      </c>
      <c r="H3574" s="188">
        <v>200.81950000000001</v>
      </c>
      <c r="I3574" s="19">
        <f t="shared" si="121"/>
        <v>0</v>
      </c>
      <c r="L3574" s="131"/>
      <c r="M3574" s="131"/>
      <c r="N3574" s="131"/>
    </row>
    <row r="3575" spans="1:14" hidden="1">
      <c r="A3575" s="100" t="s">
        <v>862</v>
      </c>
      <c r="B3575" s="101" t="s">
        <v>6658</v>
      </c>
      <c r="C3575" s="115" t="s">
        <v>6659</v>
      </c>
      <c r="D3575" s="38"/>
      <c r="E3575" s="42">
        <v>1</v>
      </c>
      <c r="F3575" s="9"/>
      <c r="G3575" s="8">
        <f t="shared" si="120"/>
        <v>207.6627</v>
      </c>
      <c r="H3575" s="188">
        <v>197.774</v>
      </c>
      <c r="I3575" s="19">
        <f t="shared" si="121"/>
        <v>0</v>
      </c>
      <c r="L3575" s="131"/>
      <c r="M3575" s="131"/>
      <c r="N3575" s="131"/>
    </row>
    <row r="3576" spans="1:14" hidden="1">
      <c r="A3576" s="100" t="s">
        <v>862</v>
      </c>
      <c r="B3576" s="101" t="s">
        <v>6660</v>
      </c>
      <c r="C3576" s="115" t="s">
        <v>6661</v>
      </c>
      <c r="D3576" s="38"/>
      <c r="E3576" s="42">
        <v>1</v>
      </c>
      <c r="F3576" s="9"/>
      <c r="G3576" s="8">
        <f t="shared" si="120"/>
        <v>59.0625</v>
      </c>
      <c r="H3576" s="188">
        <v>56.25</v>
      </c>
      <c r="I3576" s="19">
        <f t="shared" si="121"/>
        <v>0</v>
      </c>
      <c r="L3576" s="131"/>
      <c r="M3576" s="131"/>
      <c r="N3576" s="131"/>
    </row>
    <row r="3577" spans="1:14" hidden="1">
      <c r="A3577" s="100" t="s">
        <v>862</v>
      </c>
      <c r="B3577" s="101" t="s">
        <v>6662</v>
      </c>
      <c r="C3577" s="115" t="s">
        <v>6663</v>
      </c>
      <c r="D3577" s="38"/>
      <c r="E3577" s="42">
        <v>1</v>
      </c>
      <c r="F3577" s="9"/>
      <c r="G3577" s="8">
        <f t="shared" si="120"/>
        <v>124.02074999999999</v>
      </c>
      <c r="H3577" s="188">
        <v>118.11499999999999</v>
      </c>
      <c r="I3577" s="19">
        <f t="shared" si="121"/>
        <v>0</v>
      </c>
      <c r="L3577" s="131"/>
      <c r="M3577" s="131"/>
      <c r="N3577" s="131"/>
    </row>
    <row r="3578" spans="1:14" hidden="1">
      <c r="A3578" s="100" t="s">
        <v>862</v>
      </c>
      <c r="B3578" s="101" t="s">
        <v>6664</v>
      </c>
      <c r="C3578" s="115" t="s">
        <v>6665</v>
      </c>
      <c r="D3578" s="38"/>
      <c r="E3578" s="42">
        <v>1</v>
      </c>
      <c r="F3578" s="9"/>
      <c r="G3578" s="8">
        <f t="shared" si="120"/>
        <v>26.6553</v>
      </c>
      <c r="H3578" s="188">
        <v>25.385999999999999</v>
      </c>
      <c r="I3578" s="19">
        <f t="shared" si="121"/>
        <v>0</v>
      </c>
      <c r="L3578" s="131"/>
      <c r="M3578" s="131"/>
      <c r="N3578" s="131"/>
    </row>
    <row r="3579" spans="1:14" hidden="1">
      <c r="A3579" s="100" t="s">
        <v>862</v>
      </c>
      <c r="B3579" s="101" t="s">
        <v>6666</v>
      </c>
      <c r="C3579" s="115" t="s">
        <v>6667</v>
      </c>
      <c r="D3579" s="38"/>
      <c r="E3579" s="42">
        <v>1</v>
      </c>
      <c r="F3579" s="9"/>
      <c r="G3579" s="8">
        <f t="shared" si="120"/>
        <v>47.039475000000003</v>
      </c>
      <c r="H3579" s="188">
        <v>44.799500000000002</v>
      </c>
      <c r="I3579" s="19">
        <f t="shared" si="121"/>
        <v>0</v>
      </c>
      <c r="L3579" s="131"/>
      <c r="M3579" s="131"/>
      <c r="N3579" s="131"/>
    </row>
    <row r="3580" spans="1:14" hidden="1">
      <c r="A3580" s="100" t="s">
        <v>862</v>
      </c>
      <c r="B3580" s="101" t="s">
        <v>6668</v>
      </c>
      <c r="C3580" s="115" t="s">
        <v>6669</v>
      </c>
      <c r="D3580" s="38"/>
      <c r="E3580" s="42">
        <v>1</v>
      </c>
      <c r="F3580" s="9"/>
      <c r="G3580" s="8">
        <f t="shared" si="120"/>
        <v>26.6553</v>
      </c>
      <c r="H3580" s="188">
        <v>25.385999999999999</v>
      </c>
      <c r="I3580" s="19">
        <f t="shared" si="121"/>
        <v>0</v>
      </c>
      <c r="L3580" s="131"/>
      <c r="M3580" s="131"/>
      <c r="N3580" s="131"/>
    </row>
    <row r="3581" spans="1:14" hidden="1">
      <c r="A3581" s="100" t="s">
        <v>862</v>
      </c>
      <c r="B3581" s="101" t="s">
        <v>6670</v>
      </c>
      <c r="C3581" s="115" t="s">
        <v>6671</v>
      </c>
      <c r="D3581" s="38"/>
      <c r="E3581" s="42">
        <v>1</v>
      </c>
      <c r="F3581" s="9"/>
      <c r="G3581" s="8">
        <f t="shared" si="120"/>
        <v>47.039475000000003</v>
      </c>
      <c r="H3581" s="188">
        <v>44.799500000000002</v>
      </c>
      <c r="I3581" s="19">
        <f t="shared" si="121"/>
        <v>0</v>
      </c>
      <c r="L3581" s="131"/>
      <c r="M3581" s="131"/>
      <c r="N3581" s="131"/>
    </row>
    <row r="3582" spans="1:14" hidden="1">
      <c r="A3582" s="100" t="s">
        <v>862</v>
      </c>
      <c r="B3582" s="101" t="s">
        <v>6672</v>
      </c>
      <c r="C3582" s="115" t="s">
        <v>6673</v>
      </c>
      <c r="D3582" s="38"/>
      <c r="E3582" s="42">
        <v>1</v>
      </c>
      <c r="F3582" s="9"/>
      <c r="G3582" s="8">
        <f t="shared" si="120"/>
        <v>28.351575</v>
      </c>
      <c r="H3582" s="188">
        <v>27.0015</v>
      </c>
      <c r="I3582" s="19">
        <f t="shared" si="121"/>
        <v>0</v>
      </c>
      <c r="L3582" s="131"/>
      <c r="M3582" s="131"/>
      <c r="N3582" s="131"/>
    </row>
    <row r="3583" spans="1:14" hidden="1">
      <c r="A3583" s="100" t="s">
        <v>862</v>
      </c>
      <c r="B3583" s="101" t="s">
        <v>6674</v>
      </c>
      <c r="C3583" s="115" t="s">
        <v>6675</v>
      </c>
      <c r="D3583" s="38"/>
      <c r="E3583" s="42">
        <v>1</v>
      </c>
      <c r="F3583" s="9"/>
      <c r="G3583" s="8">
        <f t="shared" si="120"/>
        <v>50.03145</v>
      </c>
      <c r="H3583" s="188">
        <v>47.649000000000001</v>
      </c>
      <c r="I3583" s="19">
        <f t="shared" si="121"/>
        <v>0</v>
      </c>
      <c r="L3583" s="131"/>
      <c r="M3583" s="131"/>
      <c r="N3583" s="131"/>
    </row>
    <row r="3584" spans="1:14" hidden="1">
      <c r="A3584" s="100" t="s">
        <v>862</v>
      </c>
      <c r="B3584" s="101" t="s">
        <v>6676</v>
      </c>
      <c r="C3584" s="115" t="s">
        <v>6677</v>
      </c>
      <c r="D3584" s="38"/>
      <c r="E3584" s="42">
        <v>1</v>
      </c>
      <c r="F3584" s="9"/>
      <c r="G3584" s="8">
        <f t="shared" si="120"/>
        <v>28.351575</v>
      </c>
      <c r="H3584" s="188">
        <v>27.0015</v>
      </c>
      <c r="I3584" s="19">
        <f t="shared" si="121"/>
        <v>0</v>
      </c>
      <c r="L3584" s="131"/>
      <c r="M3584" s="131"/>
      <c r="N3584" s="131"/>
    </row>
    <row r="3585" spans="1:14" hidden="1">
      <c r="A3585" s="100" t="s">
        <v>862</v>
      </c>
      <c r="B3585" s="101" t="s">
        <v>6678</v>
      </c>
      <c r="C3585" s="115" t="s">
        <v>6679</v>
      </c>
      <c r="D3585" s="38"/>
      <c r="E3585" s="42">
        <v>1</v>
      </c>
      <c r="F3585" s="9"/>
      <c r="G3585" s="8">
        <f t="shared" si="120"/>
        <v>50.03145</v>
      </c>
      <c r="H3585" s="188">
        <v>47.649000000000001</v>
      </c>
      <c r="I3585" s="19">
        <f t="shared" si="121"/>
        <v>0</v>
      </c>
      <c r="L3585" s="131"/>
      <c r="M3585" s="131"/>
      <c r="N3585" s="131"/>
    </row>
    <row r="3586" spans="1:14" hidden="1">
      <c r="A3586" s="100" t="s">
        <v>862</v>
      </c>
      <c r="B3586" s="101" t="s">
        <v>6680</v>
      </c>
      <c r="C3586" s="115" t="s">
        <v>6681</v>
      </c>
      <c r="D3586" s="38"/>
      <c r="E3586" s="42">
        <v>1</v>
      </c>
      <c r="F3586" s="9"/>
      <c r="G3586" s="8">
        <f t="shared" si="120"/>
        <v>30.060450000000003</v>
      </c>
      <c r="H3586" s="188">
        <v>28.629000000000001</v>
      </c>
      <c r="I3586" s="19">
        <f t="shared" si="121"/>
        <v>0</v>
      </c>
      <c r="L3586" s="131"/>
      <c r="M3586" s="131"/>
      <c r="N3586" s="131"/>
    </row>
    <row r="3587" spans="1:14" hidden="1">
      <c r="A3587" s="100" t="s">
        <v>862</v>
      </c>
      <c r="B3587" s="101" t="s">
        <v>6682</v>
      </c>
      <c r="C3587" s="115" t="s">
        <v>6683</v>
      </c>
      <c r="D3587" s="38"/>
      <c r="E3587" s="42">
        <v>1</v>
      </c>
      <c r="F3587" s="9"/>
      <c r="G3587" s="8">
        <f t="shared" si="120"/>
        <v>53.049150000000004</v>
      </c>
      <c r="H3587" s="188">
        <v>50.523000000000003</v>
      </c>
      <c r="I3587" s="19">
        <f t="shared" si="121"/>
        <v>0</v>
      </c>
      <c r="L3587" s="131"/>
      <c r="M3587" s="131"/>
      <c r="N3587" s="131"/>
    </row>
    <row r="3588" spans="1:14" hidden="1">
      <c r="A3588" s="100" t="s">
        <v>862</v>
      </c>
      <c r="B3588" s="101" t="s">
        <v>6684</v>
      </c>
      <c r="C3588" s="115" t="s">
        <v>6685</v>
      </c>
      <c r="D3588" s="38"/>
      <c r="E3588" s="42">
        <v>1</v>
      </c>
      <c r="F3588" s="9"/>
      <c r="G3588" s="8">
        <f t="shared" si="120"/>
        <v>30.060450000000003</v>
      </c>
      <c r="H3588" s="188">
        <v>28.629000000000001</v>
      </c>
      <c r="I3588" s="19">
        <f t="shared" si="121"/>
        <v>0</v>
      </c>
      <c r="L3588" s="131"/>
      <c r="M3588" s="131"/>
      <c r="N3588" s="131"/>
    </row>
    <row r="3589" spans="1:14" hidden="1">
      <c r="A3589" s="100" t="s">
        <v>862</v>
      </c>
      <c r="B3589" s="101" t="s">
        <v>6686</v>
      </c>
      <c r="C3589" s="115" t="s">
        <v>6687</v>
      </c>
      <c r="D3589" s="38"/>
      <c r="E3589" s="42">
        <v>1</v>
      </c>
      <c r="F3589" s="9"/>
      <c r="G3589" s="8">
        <f t="shared" si="120"/>
        <v>53.049150000000004</v>
      </c>
      <c r="H3589" s="188">
        <v>50.523000000000003</v>
      </c>
      <c r="I3589" s="19">
        <f t="shared" si="121"/>
        <v>0</v>
      </c>
      <c r="L3589" s="131"/>
      <c r="M3589" s="131"/>
      <c r="N3589" s="131"/>
    </row>
    <row r="3590" spans="1:14" hidden="1">
      <c r="A3590" s="100" t="s">
        <v>862</v>
      </c>
      <c r="B3590" s="101" t="s">
        <v>6688</v>
      </c>
      <c r="C3590" s="115" t="s">
        <v>6689</v>
      </c>
      <c r="D3590" s="38"/>
      <c r="E3590" s="42">
        <v>1</v>
      </c>
      <c r="F3590" s="9"/>
      <c r="G3590" s="8">
        <f t="shared" si="120"/>
        <v>31.784549999999999</v>
      </c>
      <c r="H3590" s="188">
        <v>30.271000000000001</v>
      </c>
      <c r="I3590" s="19">
        <f t="shared" si="121"/>
        <v>0</v>
      </c>
      <c r="L3590" s="131"/>
      <c r="M3590" s="131"/>
      <c r="N3590" s="131"/>
    </row>
    <row r="3591" spans="1:14" hidden="1">
      <c r="A3591" s="100" t="s">
        <v>862</v>
      </c>
      <c r="B3591" s="101" t="s">
        <v>6690</v>
      </c>
      <c r="C3591" s="115" t="s">
        <v>6691</v>
      </c>
      <c r="D3591" s="38"/>
      <c r="E3591" s="42">
        <v>1</v>
      </c>
      <c r="F3591" s="9"/>
      <c r="G3591" s="8">
        <f t="shared" si="120"/>
        <v>56.091000000000001</v>
      </c>
      <c r="H3591" s="188">
        <v>53.42</v>
      </c>
      <c r="I3591" s="19">
        <f t="shared" si="121"/>
        <v>0</v>
      </c>
      <c r="L3591" s="131"/>
      <c r="M3591" s="131"/>
      <c r="N3591" s="131"/>
    </row>
    <row r="3592" spans="1:14" hidden="1">
      <c r="A3592" s="100" t="s">
        <v>862</v>
      </c>
      <c r="B3592" s="101" t="s">
        <v>6692</v>
      </c>
      <c r="C3592" s="115" t="s">
        <v>6693</v>
      </c>
      <c r="D3592" s="38"/>
      <c r="E3592" s="42">
        <v>1</v>
      </c>
      <c r="F3592" s="9"/>
      <c r="G3592" s="8">
        <f t="shared" si="120"/>
        <v>31.784549999999999</v>
      </c>
      <c r="H3592" s="188">
        <v>30.271000000000001</v>
      </c>
      <c r="I3592" s="19">
        <f t="shared" si="121"/>
        <v>0</v>
      </c>
      <c r="L3592" s="131"/>
      <c r="M3592" s="131"/>
      <c r="N3592" s="131"/>
    </row>
    <row r="3593" spans="1:14" hidden="1">
      <c r="A3593" s="100" t="s">
        <v>862</v>
      </c>
      <c r="B3593" s="101" t="s">
        <v>6694</v>
      </c>
      <c r="C3593" s="115" t="s">
        <v>6695</v>
      </c>
      <c r="D3593" s="38"/>
      <c r="E3593" s="42">
        <v>1</v>
      </c>
      <c r="F3593" s="9"/>
      <c r="G3593" s="8">
        <f t="shared" si="120"/>
        <v>56.091000000000001</v>
      </c>
      <c r="H3593" s="188">
        <v>53.42</v>
      </c>
      <c r="I3593" s="19">
        <f t="shared" si="121"/>
        <v>0</v>
      </c>
      <c r="L3593" s="131"/>
      <c r="M3593" s="131"/>
      <c r="N3593" s="131"/>
    </row>
    <row r="3594" spans="1:14" hidden="1">
      <c r="A3594" s="100" t="s">
        <v>862</v>
      </c>
      <c r="B3594" s="101" t="s">
        <v>6696</v>
      </c>
      <c r="C3594" s="115" t="s">
        <v>6697</v>
      </c>
      <c r="D3594" s="38"/>
      <c r="E3594" s="42">
        <v>1</v>
      </c>
      <c r="F3594" s="9"/>
      <c r="G3594" s="8">
        <f t="shared" si="120"/>
        <v>33.522824999999997</v>
      </c>
      <c r="H3594" s="188">
        <v>31.926500000000001</v>
      </c>
      <c r="I3594" s="19">
        <f t="shared" si="121"/>
        <v>0</v>
      </c>
      <c r="L3594" s="131"/>
      <c r="M3594" s="131"/>
      <c r="N3594" s="131"/>
    </row>
    <row r="3595" spans="1:14" hidden="1">
      <c r="A3595" s="100" t="s">
        <v>862</v>
      </c>
      <c r="B3595" s="101" t="s">
        <v>6698</v>
      </c>
      <c r="C3595" s="115" t="s">
        <v>6699</v>
      </c>
      <c r="D3595" s="38"/>
      <c r="E3595" s="42">
        <v>1</v>
      </c>
      <c r="F3595" s="9"/>
      <c r="G3595" s="8">
        <f t="shared" si="120"/>
        <v>59.158575000000006</v>
      </c>
      <c r="H3595" s="188">
        <v>56.341500000000003</v>
      </c>
      <c r="I3595" s="19">
        <f t="shared" si="121"/>
        <v>0</v>
      </c>
      <c r="L3595" s="131"/>
      <c r="M3595" s="131"/>
      <c r="N3595" s="131"/>
    </row>
    <row r="3596" spans="1:14" hidden="1">
      <c r="A3596" s="100" t="s">
        <v>862</v>
      </c>
      <c r="B3596" s="101" t="s">
        <v>6700</v>
      </c>
      <c r="C3596" s="115" t="s">
        <v>6701</v>
      </c>
      <c r="D3596" s="38"/>
      <c r="E3596" s="42">
        <v>1</v>
      </c>
      <c r="F3596" s="9"/>
      <c r="G3596" s="8">
        <f t="shared" si="120"/>
        <v>33.522824999999997</v>
      </c>
      <c r="H3596" s="188">
        <v>31.926500000000001</v>
      </c>
      <c r="I3596" s="19">
        <f t="shared" si="121"/>
        <v>0</v>
      </c>
      <c r="L3596" s="131"/>
      <c r="M3596" s="131"/>
      <c r="N3596" s="131"/>
    </row>
    <row r="3597" spans="1:14" hidden="1">
      <c r="A3597" s="100" t="s">
        <v>862</v>
      </c>
      <c r="B3597" s="101" t="s">
        <v>6702</v>
      </c>
      <c r="C3597" s="115" t="s">
        <v>6703</v>
      </c>
      <c r="D3597" s="38"/>
      <c r="E3597" s="42">
        <v>1</v>
      </c>
      <c r="F3597" s="9"/>
      <c r="G3597" s="8">
        <f t="shared" si="120"/>
        <v>59.158575000000006</v>
      </c>
      <c r="H3597" s="188">
        <v>56.341500000000003</v>
      </c>
      <c r="I3597" s="19">
        <f t="shared" si="121"/>
        <v>0</v>
      </c>
      <c r="L3597" s="131"/>
      <c r="M3597" s="131"/>
      <c r="N3597" s="131"/>
    </row>
    <row r="3598" spans="1:14" hidden="1">
      <c r="A3598" s="100" t="s">
        <v>862</v>
      </c>
      <c r="B3598" s="101" t="s">
        <v>6704</v>
      </c>
      <c r="C3598" s="115" t="s">
        <v>6705</v>
      </c>
      <c r="D3598" s="38"/>
      <c r="E3598" s="42">
        <v>1</v>
      </c>
      <c r="F3598" s="9"/>
      <c r="G3598" s="8">
        <f t="shared" si="120"/>
        <v>35.275799999999997</v>
      </c>
      <c r="H3598" s="188">
        <v>33.595999999999997</v>
      </c>
      <c r="I3598" s="19">
        <f t="shared" si="121"/>
        <v>0</v>
      </c>
      <c r="L3598" s="131"/>
      <c r="M3598" s="131"/>
      <c r="N3598" s="131"/>
    </row>
    <row r="3599" spans="1:14" hidden="1">
      <c r="A3599" s="100" t="s">
        <v>862</v>
      </c>
      <c r="B3599" s="101" t="s">
        <v>6706</v>
      </c>
      <c r="C3599" s="115" t="s">
        <v>6707</v>
      </c>
      <c r="D3599" s="38"/>
      <c r="E3599" s="42">
        <v>1</v>
      </c>
      <c r="F3599" s="9"/>
      <c r="G3599" s="8">
        <f t="shared" si="120"/>
        <v>62.250824999999999</v>
      </c>
      <c r="H3599" s="188">
        <v>59.286499999999997</v>
      </c>
      <c r="I3599" s="19">
        <f t="shared" si="121"/>
        <v>0</v>
      </c>
      <c r="L3599" s="131"/>
      <c r="M3599" s="131"/>
      <c r="N3599" s="131"/>
    </row>
    <row r="3600" spans="1:14" hidden="1">
      <c r="A3600" s="100" t="s">
        <v>862</v>
      </c>
      <c r="B3600" s="101" t="s">
        <v>6708</v>
      </c>
      <c r="C3600" s="115" t="s">
        <v>6709</v>
      </c>
      <c r="D3600" s="38"/>
      <c r="E3600" s="42">
        <v>1</v>
      </c>
      <c r="F3600" s="9"/>
      <c r="G3600" s="8">
        <f t="shared" si="120"/>
        <v>35.275799999999997</v>
      </c>
      <c r="H3600" s="188">
        <v>33.595999999999997</v>
      </c>
      <c r="I3600" s="19">
        <f t="shared" si="121"/>
        <v>0</v>
      </c>
      <c r="L3600" s="131"/>
      <c r="M3600" s="131"/>
      <c r="N3600" s="131"/>
    </row>
    <row r="3601" spans="1:14" hidden="1">
      <c r="A3601" s="100" t="s">
        <v>862</v>
      </c>
      <c r="B3601" s="101" t="s">
        <v>6710</v>
      </c>
      <c r="C3601" s="115" t="s">
        <v>6711</v>
      </c>
      <c r="D3601" s="38"/>
      <c r="E3601" s="42">
        <v>1</v>
      </c>
      <c r="F3601" s="9"/>
      <c r="G3601" s="8">
        <f t="shared" si="120"/>
        <v>62.250824999999999</v>
      </c>
      <c r="H3601" s="188">
        <v>59.286499999999997</v>
      </c>
      <c r="I3601" s="19">
        <f t="shared" si="121"/>
        <v>0</v>
      </c>
      <c r="L3601" s="131"/>
      <c r="M3601" s="131"/>
      <c r="N3601" s="131"/>
    </row>
    <row r="3602" spans="1:14" hidden="1">
      <c r="A3602" s="100" t="s">
        <v>862</v>
      </c>
      <c r="B3602" s="101" t="s">
        <v>6712</v>
      </c>
      <c r="C3602" s="115" t="s">
        <v>6713</v>
      </c>
      <c r="D3602" s="38"/>
      <c r="E3602" s="42">
        <v>1</v>
      </c>
      <c r="F3602" s="9"/>
      <c r="G3602" s="8">
        <f t="shared" si="120"/>
        <v>38.822699999999998</v>
      </c>
      <c r="H3602" s="188">
        <v>36.973999999999997</v>
      </c>
      <c r="I3602" s="19">
        <f t="shared" si="121"/>
        <v>0</v>
      </c>
      <c r="L3602" s="131"/>
      <c r="M3602" s="131"/>
      <c r="N3602" s="131"/>
    </row>
    <row r="3603" spans="1:14" hidden="1">
      <c r="A3603" s="100" t="s">
        <v>862</v>
      </c>
      <c r="B3603" s="101" t="s">
        <v>6714</v>
      </c>
      <c r="C3603" s="115" t="s">
        <v>6715</v>
      </c>
      <c r="D3603" s="38"/>
      <c r="E3603" s="42">
        <v>1</v>
      </c>
      <c r="F3603" s="9"/>
      <c r="G3603" s="8">
        <f t="shared" si="120"/>
        <v>68.511974999999993</v>
      </c>
      <c r="H3603" s="188">
        <v>65.249499999999998</v>
      </c>
      <c r="I3603" s="19">
        <f t="shared" si="121"/>
        <v>0</v>
      </c>
      <c r="L3603" s="131"/>
      <c r="M3603" s="131"/>
      <c r="N3603" s="131"/>
    </row>
    <row r="3604" spans="1:14" hidden="1">
      <c r="A3604" s="100" t="s">
        <v>862</v>
      </c>
      <c r="B3604" s="101" t="s">
        <v>6716</v>
      </c>
      <c r="C3604" s="115" t="s">
        <v>6717</v>
      </c>
      <c r="D3604" s="38"/>
      <c r="E3604" s="42">
        <v>1</v>
      </c>
      <c r="F3604" s="9"/>
      <c r="G3604" s="8">
        <f t="shared" si="120"/>
        <v>38.822699999999998</v>
      </c>
      <c r="H3604" s="188">
        <v>36.973999999999997</v>
      </c>
      <c r="I3604" s="19">
        <f t="shared" si="121"/>
        <v>0</v>
      </c>
      <c r="L3604" s="131"/>
      <c r="M3604" s="131"/>
      <c r="N3604" s="131"/>
    </row>
    <row r="3605" spans="1:14" hidden="1">
      <c r="A3605" s="100" t="s">
        <v>862</v>
      </c>
      <c r="B3605" s="101" t="s">
        <v>6718</v>
      </c>
      <c r="C3605" s="115" t="s">
        <v>6719</v>
      </c>
      <c r="D3605" s="38"/>
      <c r="E3605" s="42">
        <v>1</v>
      </c>
      <c r="F3605" s="9"/>
      <c r="G3605" s="8">
        <f t="shared" si="120"/>
        <v>68.511974999999993</v>
      </c>
      <c r="H3605" s="188">
        <v>65.249499999999998</v>
      </c>
      <c r="I3605" s="19">
        <f t="shared" si="121"/>
        <v>0</v>
      </c>
      <c r="L3605" s="131"/>
      <c r="M3605" s="131"/>
      <c r="N3605" s="131"/>
    </row>
    <row r="3606" spans="1:14" hidden="1">
      <c r="A3606" s="100" t="s">
        <v>862</v>
      </c>
      <c r="B3606" s="101" t="s">
        <v>6720</v>
      </c>
      <c r="C3606" s="115" t="s">
        <v>6721</v>
      </c>
      <c r="D3606" s="38"/>
      <c r="E3606" s="42">
        <v>1</v>
      </c>
      <c r="F3606" s="9"/>
      <c r="G3606" s="8">
        <f t="shared" si="120"/>
        <v>40.617675000000006</v>
      </c>
      <c r="H3606" s="188">
        <v>38.683500000000002</v>
      </c>
      <c r="I3606" s="19">
        <f t="shared" si="121"/>
        <v>0</v>
      </c>
      <c r="L3606" s="131"/>
      <c r="M3606" s="131"/>
      <c r="N3606" s="131"/>
    </row>
    <row r="3607" spans="1:14" hidden="1">
      <c r="A3607" s="100" t="s">
        <v>862</v>
      </c>
      <c r="B3607" s="101" t="s">
        <v>6722</v>
      </c>
      <c r="C3607" s="115" t="s">
        <v>6723</v>
      </c>
      <c r="D3607" s="38"/>
      <c r="E3607" s="42">
        <v>1</v>
      </c>
      <c r="F3607" s="9"/>
      <c r="G3607" s="8">
        <f t="shared" si="120"/>
        <v>71.679300000000012</v>
      </c>
      <c r="H3607" s="188">
        <v>68.266000000000005</v>
      </c>
      <c r="I3607" s="19">
        <f t="shared" si="121"/>
        <v>0</v>
      </c>
      <c r="L3607" s="131"/>
      <c r="M3607" s="131"/>
      <c r="N3607" s="131"/>
    </row>
    <row r="3608" spans="1:14" hidden="1">
      <c r="A3608" s="100" t="s">
        <v>862</v>
      </c>
      <c r="B3608" s="101" t="s">
        <v>6724</v>
      </c>
      <c r="C3608" s="115" t="s">
        <v>6725</v>
      </c>
      <c r="D3608" s="38"/>
      <c r="E3608" s="42">
        <v>1</v>
      </c>
      <c r="F3608" s="9"/>
      <c r="G3608" s="8">
        <f t="shared" si="120"/>
        <v>40.617675000000006</v>
      </c>
      <c r="H3608" s="188">
        <v>38.683500000000002</v>
      </c>
      <c r="I3608" s="19">
        <f t="shared" si="121"/>
        <v>0</v>
      </c>
      <c r="L3608" s="131"/>
      <c r="M3608" s="131"/>
      <c r="N3608" s="131"/>
    </row>
    <row r="3609" spans="1:14" hidden="1">
      <c r="A3609" s="100" t="s">
        <v>862</v>
      </c>
      <c r="B3609" s="101" t="s">
        <v>6726</v>
      </c>
      <c r="C3609" s="115" t="s">
        <v>6727</v>
      </c>
      <c r="D3609" s="38"/>
      <c r="E3609" s="42">
        <v>1</v>
      </c>
      <c r="F3609" s="9"/>
      <c r="G3609" s="8">
        <f t="shared" si="120"/>
        <v>71.679300000000012</v>
      </c>
      <c r="H3609" s="188">
        <v>68.266000000000005</v>
      </c>
      <c r="I3609" s="19">
        <f t="shared" si="121"/>
        <v>0</v>
      </c>
      <c r="L3609" s="131"/>
      <c r="M3609" s="131"/>
      <c r="N3609" s="131"/>
    </row>
    <row r="3610" spans="1:14" hidden="1">
      <c r="A3610" s="100" t="s">
        <v>862</v>
      </c>
      <c r="B3610" s="101" t="s">
        <v>6728</v>
      </c>
      <c r="C3610" s="115" t="s">
        <v>6729</v>
      </c>
      <c r="D3610" s="38"/>
      <c r="E3610" s="42">
        <v>1</v>
      </c>
      <c r="F3610" s="9"/>
      <c r="G3610" s="8">
        <f t="shared" si="120"/>
        <v>42.427875</v>
      </c>
      <c r="H3610" s="188">
        <v>40.407499999999999</v>
      </c>
      <c r="I3610" s="19">
        <f t="shared" si="121"/>
        <v>0</v>
      </c>
      <c r="L3610" s="131"/>
      <c r="M3610" s="131"/>
      <c r="N3610" s="131"/>
    </row>
    <row r="3611" spans="1:14" hidden="1">
      <c r="A3611" s="100" t="s">
        <v>862</v>
      </c>
      <c r="B3611" s="101" t="s">
        <v>6730</v>
      </c>
      <c r="C3611" s="115" t="s">
        <v>6731</v>
      </c>
      <c r="D3611" s="38"/>
      <c r="E3611" s="42">
        <v>1</v>
      </c>
      <c r="F3611" s="9"/>
      <c r="G3611" s="8">
        <f t="shared" si="120"/>
        <v>74.872349999999997</v>
      </c>
      <c r="H3611" s="188">
        <v>71.307000000000002</v>
      </c>
      <c r="I3611" s="19">
        <f t="shared" si="121"/>
        <v>0</v>
      </c>
      <c r="L3611" s="131"/>
      <c r="M3611" s="131"/>
      <c r="N3611" s="131"/>
    </row>
    <row r="3612" spans="1:14" hidden="1">
      <c r="A3612" s="100" t="s">
        <v>862</v>
      </c>
      <c r="B3612" s="101" t="s">
        <v>6732</v>
      </c>
      <c r="C3612" s="115" t="s">
        <v>6733</v>
      </c>
      <c r="D3612" s="38"/>
      <c r="E3612" s="42">
        <v>1</v>
      </c>
      <c r="F3612" s="9"/>
      <c r="G3612" s="8">
        <f t="shared" si="120"/>
        <v>42.427875</v>
      </c>
      <c r="H3612" s="188">
        <v>40.407499999999999</v>
      </c>
      <c r="I3612" s="19">
        <f t="shared" si="121"/>
        <v>0</v>
      </c>
      <c r="L3612" s="131"/>
      <c r="M3612" s="131"/>
      <c r="N3612" s="131"/>
    </row>
    <row r="3613" spans="1:14" hidden="1">
      <c r="A3613" s="100" t="s">
        <v>862</v>
      </c>
      <c r="B3613" s="101" t="s">
        <v>6734</v>
      </c>
      <c r="C3613" s="115" t="s">
        <v>6735</v>
      </c>
      <c r="D3613" s="38"/>
      <c r="E3613" s="42">
        <v>1</v>
      </c>
      <c r="F3613" s="9"/>
      <c r="G3613" s="8">
        <f t="shared" si="120"/>
        <v>74.872349999999997</v>
      </c>
      <c r="H3613" s="188">
        <v>71.307000000000002</v>
      </c>
      <c r="I3613" s="19">
        <f t="shared" si="121"/>
        <v>0</v>
      </c>
      <c r="L3613" s="131"/>
      <c r="M3613" s="131"/>
      <c r="N3613" s="131"/>
    </row>
    <row r="3614" spans="1:14" hidden="1">
      <c r="A3614" s="100" t="s">
        <v>862</v>
      </c>
      <c r="B3614" s="101" t="s">
        <v>6736</v>
      </c>
      <c r="C3614" s="115" t="s">
        <v>6737</v>
      </c>
      <c r="D3614" s="38"/>
      <c r="E3614" s="42">
        <v>1</v>
      </c>
      <c r="F3614" s="9"/>
      <c r="G3614" s="8">
        <f t="shared" si="120"/>
        <v>78.089025000000007</v>
      </c>
      <c r="H3614" s="188">
        <v>74.370500000000007</v>
      </c>
      <c r="I3614" s="19">
        <f t="shared" si="121"/>
        <v>0</v>
      </c>
      <c r="L3614" s="131"/>
      <c r="M3614" s="131"/>
      <c r="N3614" s="131"/>
    </row>
    <row r="3615" spans="1:14" hidden="1">
      <c r="A3615" s="100" t="s">
        <v>862</v>
      </c>
      <c r="B3615" s="101" t="s">
        <v>6738</v>
      </c>
      <c r="C3615" s="115" t="s">
        <v>6739</v>
      </c>
      <c r="D3615" s="38"/>
      <c r="E3615" s="42">
        <v>1</v>
      </c>
      <c r="F3615" s="9"/>
      <c r="G3615" s="8">
        <f t="shared" si="120"/>
        <v>78.089025000000007</v>
      </c>
      <c r="H3615" s="188">
        <v>74.370500000000007</v>
      </c>
      <c r="I3615" s="19">
        <f t="shared" si="121"/>
        <v>0</v>
      </c>
      <c r="L3615" s="131"/>
      <c r="M3615" s="131"/>
      <c r="N3615" s="131"/>
    </row>
    <row r="3616" spans="1:14" hidden="1">
      <c r="A3616" s="100" t="s">
        <v>862</v>
      </c>
      <c r="B3616" s="101" t="s">
        <v>6740</v>
      </c>
      <c r="C3616" s="115" t="s">
        <v>6741</v>
      </c>
      <c r="D3616" s="38"/>
      <c r="E3616" s="42">
        <v>1</v>
      </c>
      <c r="F3616" s="9"/>
      <c r="G3616" s="8">
        <f t="shared" si="120"/>
        <v>46.088699999999996</v>
      </c>
      <c r="H3616" s="188">
        <v>43.893999999999998</v>
      </c>
      <c r="I3616" s="19">
        <f t="shared" si="121"/>
        <v>0</v>
      </c>
      <c r="L3616" s="131"/>
      <c r="M3616" s="131"/>
      <c r="N3616" s="131"/>
    </row>
    <row r="3617" spans="1:14" hidden="1">
      <c r="A3617" s="100" t="s">
        <v>862</v>
      </c>
      <c r="B3617" s="101" t="s">
        <v>6742</v>
      </c>
      <c r="C3617" s="115" t="s">
        <v>6743</v>
      </c>
      <c r="D3617" s="38"/>
      <c r="E3617" s="42">
        <v>1</v>
      </c>
      <c r="F3617" s="9"/>
      <c r="G3617" s="8">
        <f t="shared" si="120"/>
        <v>81.331950000000006</v>
      </c>
      <c r="H3617" s="188">
        <v>77.459000000000003</v>
      </c>
      <c r="I3617" s="19">
        <f t="shared" si="121"/>
        <v>0</v>
      </c>
      <c r="L3617" s="131"/>
      <c r="M3617" s="131"/>
      <c r="N3617" s="131"/>
    </row>
    <row r="3618" spans="1:14" hidden="1">
      <c r="A3618" s="100" t="s">
        <v>862</v>
      </c>
      <c r="B3618" s="101" t="s">
        <v>6744</v>
      </c>
      <c r="C3618" s="115" t="s">
        <v>6745</v>
      </c>
      <c r="D3618" s="38"/>
      <c r="E3618" s="42">
        <v>1</v>
      </c>
      <c r="F3618" s="9"/>
      <c r="G3618" s="8">
        <f t="shared" si="120"/>
        <v>46.088699999999996</v>
      </c>
      <c r="H3618" s="188">
        <v>43.893999999999998</v>
      </c>
      <c r="I3618" s="19">
        <f t="shared" si="121"/>
        <v>0</v>
      </c>
      <c r="L3618" s="131"/>
      <c r="M3618" s="131"/>
      <c r="N3618" s="131"/>
    </row>
    <row r="3619" spans="1:14" hidden="1">
      <c r="A3619" s="100" t="s">
        <v>862</v>
      </c>
      <c r="B3619" s="101" t="s">
        <v>6746</v>
      </c>
      <c r="C3619" s="115" t="s">
        <v>6747</v>
      </c>
      <c r="D3619" s="38"/>
      <c r="E3619" s="42">
        <v>1</v>
      </c>
      <c r="F3619" s="9"/>
      <c r="G3619" s="8">
        <f t="shared" si="120"/>
        <v>81.331950000000006</v>
      </c>
      <c r="H3619" s="188">
        <v>77.459000000000003</v>
      </c>
      <c r="I3619" s="19">
        <f t="shared" si="121"/>
        <v>0</v>
      </c>
      <c r="L3619" s="131"/>
      <c r="M3619" s="131"/>
      <c r="N3619" s="131"/>
    </row>
    <row r="3620" spans="1:14" hidden="1">
      <c r="A3620" s="100" t="s">
        <v>862</v>
      </c>
      <c r="B3620" s="101" t="s">
        <v>6748</v>
      </c>
      <c r="C3620" s="115" t="s">
        <v>6749</v>
      </c>
      <c r="D3620" s="38"/>
      <c r="E3620" s="42">
        <v>1</v>
      </c>
      <c r="F3620" s="9"/>
      <c r="G3620" s="8">
        <f t="shared" si="120"/>
        <v>7.2843749999999998</v>
      </c>
      <c r="H3620" s="188">
        <v>6.9375</v>
      </c>
      <c r="I3620" s="19">
        <f t="shared" si="121"/>
        <v>0</v>
      </c>
      <c r="L3620" s="131"/>
      <c r="M3620" s="131"/>
      <c r="N3620" s="131"/>
    </row>
    <row r="3621" spans="1:14" hidden="1">
      <c r="A3621" s="100" t="s">
        <v>862</v>
      </c>
      <c r="B3621" s="101" t="s">
        <v>6750</v>
      </c>
      <c r="C3621" s="115" t="s">
        <v>6751</v>
      </c>
      <c r="D3621" s="38"/>
      <c r="E3621" s="42">
        <v>1</v>
      </c>
      <c r="F3621" s="9"/>
      <c r="G3621" s="8">
        <f t="shared" ref="G3621:G3684" si="122">H3621+(H3621*5%)</f>
        <v>7.5447750000000005</v>
      </c>
      <c r="H3621" s="188">
        <v>7.1855000000000002</v>
      </c>
      <c r="I3621" s="19">
        <f t="shared" si="121"/>
        <v>0</v>
      </c>
      <c r="L3621" s="131"/>
      <c r="M3621" s="131"/>
      <c r="N3621" s="131"/>
    </row>
    <row r="3622" spans="1:14" hidden="1">
      <c r="A3622" s="100" t="s">
        <v>862</v>
      </c>
      <c r="B3622" s="101" t="s">
        <v>6752</v>
      </c>
      <c r="C3622" s="115" t="s">
        <v>6753</v>
      </c>
      <c r="D3622" s="38"/>
      <c r="E3622" s="42">
        <v>1</v>
      </c>
      <c r="F3622" s="9"/>
      <c r="G3622" s="8">
        <f t="shared" si="122"/>
        <v>9.0473250000000007</v>
      </c>
      <c r="H3622" s="188">
        <v>8.6165000000000003</v>
      </c>
      <c r="I3622" s="19">
        <f t="shared" si="121"/>
        <v>0</v>
      </c>
      <c r="L3622" s="131"/>
      <c r="M3622" s="131"/>
      <c r="N3622" s="131"/>
    </row>
    <row r="3623" spans="1:14" hidden="1">
      <c r="A3623" s="100" t="s">
        <v>862</v>
      </c>
      <c r="B3623" s="101" t="s">
        <v>6754</v>
      </c>
      <c r="C3623" s="115" t="s">
        <v>6755</v>
      </c>
      <c r="D3623" s="38"/>
      <c r="E3623" s="42">
        <v>1</v>
      </c>
      <c r="F3623" s="9"/>
      <c r="G3623" s="8">
        <f t="shared" si="122"/>
        <v>9.8757750000000009</v>
      </c>
      <c r="H3623" s="188">
        <v>9.4055</v>
      </c>
      <c r="I3623" s="19">
        <f t="shared" si="121"/>
        <v>0</v>
      </c>
      <c r="L3623" s="131"/>
      <c r="M3623" s="131"/>
      <c r="N3623" s="131"/>
    </row>
    <row r="3624" spans="1:14" hidden="1">
      <c r="A3624" s="100" t="s">
        <v>862</v>
      </c>
      <c r="B3624" s="101" t="s">
        <v>6756</v>
      </c>
      <c r="C3624" s="115" t="s">
        <v>6757</v>
      </c>
      <c r="D3624" s="38"/>
      <c r="E3624" s="42">
        <v>1</v>
      </c>
      <c r="F3624" s="9"/>
      <c r="G3624" s="8">
        <f t="shared" si="122"/>
        <v>9.4499999999999993</v>
      </c>
      <c r="H3624" s="188">
        <v>9</v>
      </c>
      <c r="I3624" s="19">
        <f t="shared" ref="I3624:I3687" si="123">G3624*F3624</f>
        <v>0</v>
      </c>
      <c r="L3624" s="131"/>
      <c r="M3624" s="131"/>
      <c r="N3624" s="131"/>
    </row>
    <row r="3625" spans="1:14" hidden="1">
      <c r="A3625" s="100" t="s">
        <v>862</v>
      </c>
      <c r="B3625" s="101" t="s">
        <v>6758</v>
      </c>
      <c r="C3625" s="115" t="s">
        <v>6759</v>
      </c>
      <c r="D3625" s="38"/>
      <c r="E3625" s="42">
        <v>1</v>
      </c>
      <c r="F3625" s="9"/>
      <c r="G3625" s="8">
        <f t="shared" si="122"/>
        <v>8.2456499999999995</v>
      </c>
      <c r="H3625" s="188">
        <v>7.8529999999999998</v>
      </c>
      <c r="I3625" s="19">
        <f t="shared" si="123"/>
        <v>0</v>
      </c>
      <c r="L3625" s="131"/>
      <c r="M3625" s="131"/>
      <c r="N3625" s="131"/>
    </row>
    <row r="3626" spans="1:14" hidden="1">
      <c r="A3626" s="100" t="s">
        <v>862</v>
      </c>
      <c r="B3626" s="101" t="s">
        <v>6760</v>
      </c>
      <c r="C3626" s="115" t="s">
        <v>6761</v>
      </c>
      <c r="D3626" s="38"/>
      <c r="E3626" s="42">
        <v>1</v>
      </c>
      <c r="F3626" s="9"/>
      <c r="G3626" s="8">
        <f t="shared" si="122"/>
        <v>8.8982250000000001</v>
      </c>
      <c r="H3626" s="188">
        <v>8.4745000000000008</v>
      </c>
      <c r="I3626" s="19">
        <f t="shared" si="123"/>
        <v>0</v>
      </c>
      <c r="L3626" s="131"/>
      <c r="M3626" s="131"/>
      <c r="N3626" s="131"/>
    </row>
    <row r="3627" spans="1:14" hidden="1">
      <c r="A3627" s="100" t="s">
        <v>862</v>
      </c>
      <c r="B3627" s="101" t="s">
        <v>6762</v>
      </c>
      <c r="C3627" s="115" t="s">
        <v>6763</v>
      </c>
      <c r="D3627" s="38"/>
      <c r="E3627" s="42">
        <v>1</v>
      </c>
      <c r="F3627" s="9"/>
      <c r="G3627" s="8">
        <f t="shared" si="122"/>
        <v>10.340925</v>
      </c>
      <c r="H3627" s="188">
        <v>9.8484999999999996</v>
      </c>
      <c r="I3627" s="19">
        <f t="shared" si="123"/>
        <v>0</v>
      </c>
      <c r="L3627" s="131"/>
      <c r="M3627" s="131"/>
      <c r="N3627" s="131"/>
    </row>
    <row r="3628" spans="1:14" hidden="1">
      <c r="A3628" s="100" t="s">
        <v>862</v>
      </c>
      <c r="B3628" s="101" t="s">
        <v>6764</v>
      </c>
      <c r="C3628" s="115" t="s">
        <v>6765</v>
      </c>
      <c r="D3628" s="38"/>
      <c r="E3628" s="42">
        <v>1</v>
      </c>
      <c r="F3628" s="9"/>
      <c r="G3628" s="8">
        <f t="shared" si="122"/>
        <v>7.9569000000000001</v>
      </c>
      <c r="H3628" s="188">
        <v>7.5780000000000003</v>
      </c>
      <c r="I3628" s="19">
        <f t="shared" si="123"/>
        <v>0</v>
      </c>
      <c r="L3628" s="131"/>
      <c r="M3628" s="131"/>
      <c r="N3628" s="131"/>
    </row>
    <row r="3629" spans="1:14" hidden="1">
      <c r="A3629" s="100" t="s">
        <v>862</v>
      </c>
      <c r="B3629" s="101" t="s">
        <v>6766</v>
      </c>
      <c r="C3629" s="115" t="s">
        <v>6767</v>
      </c>
      <c r="D3629" s="38"/>
      <c r="E3629" s="42">
        <v>1</v>
      </c>
      <c r="F3629" s="9"/>
      <c r="G3629" s="8">
        <f t="shared" si="122"/>
        <v>8.2456499999999995</v>
      </c>
      <c r="H3629" s="188">
        <v>7.8529999999999998</v>
      </c>
      <c r="I3629" s="19">
        <f t="shared" si="123"/>
        <v>0</v>
      </c>
      <c r="L3629" s="131"/>
      <c r="M3629" s="131"/>
      <c r="N3629" s="131"/>
    </row>
    <row r="3630" spans="1:14" hidden="1">
      <c r="A3630" s="100" t="s">
        <v>862</v>
      </c>
      <c r="B3630" s="101" t="s">
        <v>6768</v>
      </c>
      <c r="C3630" s="115" t="s">
        <v>6769</v>
      </c>
      <c r="D3630" s="38"/>
      <c r="E3630" s="42">
        <v>1</v>
      </c>
      <c r="F3630" s="9"/>
      <c r="G3630" s="8">
        <f t="shared" si="122"/>
        <v>8.8982250000000001</v>
      </c>
      <c r="H3630" s="188">
        <v>8.4745000000000008</v>
      </c>
      <c r="I3630" s="19">
        <f t="shared" si="123"/>
        <v>0</v>
      </c>
      <c r="L3630" s="131"/>
      <c r="M3630" s="131"/>
      <c r="N3630" s="131"/>
    </row>
    <row r="3631" spans="1:14" hidden="1">
      <c r="A3631" s="100" t="s">
        <v>862</v>
      </c>
      <c r="B3631" s="101" t="s">
        <v>6770</v>
      </c>
      <c r="C3631" s="115" t="s">
        <v>6771</v>
      </c>
      <c r="D3631" s="38"/>
      <c r="E3631" s="42">
        <v>1</v>
      </c>
      <c r="F3631" s="9"/>
      <c r="G3631" s="8">
        <f t="shared" si="122"/>
        <v>10.817625</v>
      </c>
      <c r="H3631" s="188">
        <v>10.3025</v>
      </c>
      <c r="I3631" s="19">
        <f t="shared" si="123"/>
        <v>0</v>
      </c>
      <c r="L3631" s="131"/>
      <c r="M3631" s="131"/>
      <c r="N3631" s="131"/>
    </row>
    <row r="3632" spans="1:14" hidden="1">
      <c r="A3632" s="100" t="s">
        <v>862</v>
      </c>
      <c r="B3632" s="101" t="s">
        <v>6772</v>
      </c>
      <c r="C3632" s="115" t="s">
        <v>6773</v>
      </c>
      <c r="D3632" s="38"/>
      <c r="E3632" s="42">
        <v>1</v>
      </c>
      <c r="F3632" s="9"/>
      <c r="G3632" s="8">
        <f t="shared" si="122"/>
        <v>8.6252249999999986</v>
      </c>
      <c r="H3632" s="188">
        <v>8.2144999999999992</v>
      </c>
      <c r="I3632" s="19">
        <f t="shared" si="123"/>
        <v>0</v>
      </c>
      <c r="L3632" s="131"/>
      <c r="M3632" s="131"/>
      <c r="N3632" s="131"/>
    </row>
    <row r="3633" spans="1:14" hidden="1">
      <c r="A3633" s="100" t="s">
        <v>862</v>
      </c>
      <c r="B3633" s="101" t="s">
        <v>6774</v>
      </c>
      <c r="C3633" s="115" t="s">
        <v>6775</v>
      </c>
      <c r="D3633" s="38"/>
      <c r="E3633" s="42">
        <v>1</v>
      </c>
      <c r="F3633" s="9"/>
      <c r="G3633" s="8">
        <f t="shared" si="122"/>
        <v>8.9565000000000001</v>
      </c>
      <c r="H3633" s="188">
        <v>8.5299999999999994</v>
      </c>
      <c r="I3633" s="19">
        <f t="shared" si="123"/>
        <v>0</v>
      </c>
      <c r="L3633" s="131"/>
      <c r="M3633" s="131"/>
      <c r="N3633" s="131"/>
    </row>
    <row r="3634" spans="1:14" hidden="1">
      <c r="A3634" s="100" t="s">
        <v>862</v>
      </c>
      <c r="B3634" s="101" t="s">
        <v>6776</v>
      </c>
      <c r="C3634" s="115" t="s">
        <v>6777</v>
      </c>
      <c r="D3634" s="38"/>
      <c r="E3634" s="42">
        <v>1</v>
      </c>
      <c r="F3634" s="9"/>
      <c r="G3634" s="8">
        <f t="shared" si="122"/>
        <v>9.3150749999999984</v>
      </c>
      <c r="H3634" s="188">
        <v>8.8714999999999993</v>
      </c>
      <c r="I3634" s="19">
        <f t="shared" si="123"/>
        <v>0</v>
      </c>
      <c r="L3634" s="131"/>
      <c r="M3634" s="131"/>
      <c r="N3634" s="131"/>
    </row>
    <row r="3635" spans="1:14" hidden="1">
      <c r="A3635" s="100" t="s">
        <v>862</v>
      </c>
      <c r="B3635" s="101" t="s">
        <v>6778</v>
      </c>
      <c r="C3635" s="115" t="s">
        <v>6779</v>
      </c>
      <c r="D3635" s="38"/>
      <c r="E3635" s="42">
        <v>1</v>
      </c>
      <c r="F3635" s="9"/>
      <c r="G3635" s="8">
        <f t="shared" si="122"/>
        <v>10.097850000000001</v>
      </c>
      <c r="H3635" s="188">
        <v>9.6170000000000009</v>
      </c>
      <c r="I3635" s="19">
        <f t="shared" si="123"/>
        <v>0</v>
      </c>
      <c r="L3635" s="131"/>
      <c r="M3635" s="131"/>
      <c r="N3635" s="131"/>
    </row>
    <row r="3636" spans="1:14" hidden="1">
      <c r="A3636" s="100" t="s">
        <v>862</v>
      </c>
      <c r="B3636" s="101" t="s">
        <v>6780</v>
      </c>
      <c r="C3636" s="115" t="s">
        <v>6781</v>
      </c>
      <c r="D3636" s="38"/>
      <c r="E3636" s="42">
        <v>1</v>
      </c>
      <c r="F3636" s="9"/>
      <c r="G3636" s="8">
        <f t="shared" si="122"/>
        <v>10.973550000000001</v>
      </c>
      <c r="H3636" s="188">
        <v>10.451000000000001</v>
      </c>
      <c r="I3636" s="19">
        <f t="shared" si="123"/>
        <v>0</v>
      </c>
      <c r="L3636" s="131"/>
      <c r="M3636" s="131"/>
      <c r="N3636" s="131"/>
    </row>
    <row r="3637" spans="1:14" hidden="1">
      <c r="A3637" s="100" t="s">
        <v>862</v>
      </c>
      <c r="B3637" s="101" t="s">
        <v>6782</v>
      </c>
      <c r="C3637" s="115" t="s">
        <v>6783</v>
      </c>
      <c r="D3637" s="38"/>
      <c r="E3637" s="42">
        <v>1</v>
      </c>
      <c r="F3637" s="9"/>
      <c r="G3637" s="8">
        <f t="shared" si="122"/>
        <v>11.755799999999999</v>
      </c>
      <c r="H3637" s="188">
        <v>11.196</v>
      </c>
      <c r="I3637" s="19">
        <f t="shared" si="123"/>
        <v>0</v>
      </c>
      <c r="L3637" s="131"/>
      <c r="M3637" s="131"/>
      <c r="N3637" s="131"/>
    </row>
    <row r="3638" spans="1:14" hidden="1">
      <c r="A3638" s="100" t="s">
        <v>862</v>
      </c>
      <c r="B3638" s="101" t="s">
        <v>6784</v>
      </c>
      <c r="C3638" s="115" t="s">
        <v>6785</v>
      </c>
      <c r="D3638" s="38"/>
      <c r="E3638" s="42">
        <v>1</v>
      </c>
      <c r="F3638" s="9"/>
      <c r="G3638" s="8">
        <f t="shared" si="122"/>
        <v>8.6252249999999986</v>
      </c>
      <c r="H3638" s="188">
        <v>8.2144999999999992</v>
      </c>
      <c r="I3638" s="19">
        <f t="shared" si="123"/>
        <v>0</v>
      </c>
      <c r="L3638" s="131"/>
      <c r="M3638" s="131"/>
      <c r="N3638" s="131"/>
    </row>
    <row r="3639" spans="1:14" hidden="1">
      <c r="A3639" s="100" t="s">
        <v>862</v>
      </c>
      <c r="B3639" s="101" t="s">
        <v>6786</v>
      </c>
      <c r="C3639" s="115" t="s">
        <v>6787</v>
      </c>
      <c r="D3639" s="38"/>
      <c r="E3639" s="42">
        <v>1</v>
      </c>
      <c r="F3639" s="9"/>
      <c r="G3639" s="8">
        <f t="shared" si="122"/>
        <v>9.3150749999999984</v>
      </c>
      <c r="H3639" s="188">
        <v>8.8714999999999993</v>
      </c>
      <c r="I3639" s="19">
        <f t="shared" si="123"/>
        <v>0</v>
      </c>
      <c r="L3639" s="131"/>
      <c r="M3639" s="131"/>
      <c r="N3639" s="131"/>
    </row>
    <row r="3640" spans="1:14" hidden="1">
      <c r="A3640" s="100" t="s">
        <v>862</v>
      </c>
      <c r="B3640" s="101" t="s">
        <v>6788</v>
      </c>
      <c r="C3640" s="115" t="s">
        <v>6789</v>
      </c>
      <c r="D3640" s="38"/>
      <c r="E3640" s="42">
        <v>1</v>
      </c>
      <c r="F3640" s="9"/>
      <c r="G3640" s="8">
        <f t="shared" si="122"/>
        <v>9.6998999999999995</v>
      </c>
      <c r="H3640" s="188">
        <v>9.2379999999999995</v>
      </c>
      <c r="I3640" s="19">
        <f t="shared" si="123"/>
        <v>0</v>
      </c>
      <c r="L3640" s="131"/>
      <c r="M3640" s="131"/>
      <c r="N3640" s="131"/>
    </row>
    <row r="3641" spans="1:14" hidden="1">
      <c r="A3641" s="100" t="s">
        <v>862</v>
      </c>
      <c r="B3641" s="101" t="s">
        <v>6790</v>
      </c>
      <c r="C3641" s="115" t="s">
        <v>6791</v>
      </c>
      <c r="D3641" s="38"/>
      <c r="E3641" s="42">
        <v>1</v>
      </c>
      <c r="F3641" s="9"/>
      <c r="G3641" s="8">
        <f t="shared" si="122"/>
        <v>10.097850000000001</v>
      </c>
      <c r="H3641" s="188">
        <v>9.6170000000000009</v>
      </c>
      <c r="I3641" s="19">
        <f t="shared" si="123"/>
        <v>0</v>
      </c>
      <c r="L3641" s="131"/>
      <c r="M3641" s="131"/>
      <c r="N3641" s="131"/>
    </row>
    <row r="3642" spans="1:14" hidden="1">
      <c r="A3642" s="100" t="s">
        <v>862</v>
      </c>
      <c r="B3642" s="101" t="s">
        <v>6792</v>
      </c>
      <c r="C3642" s="115" t="s">
        <v>6793</v>
      </c>
      <c r="D3642" s="38"/>
      <c r="E3642" s="42">
        <v>1</v>
      </c>
      <c r="F3642" s="9"/>
      <c r="G3642" s="8">
        <f t="shared" si="122"/>
        <v>10.973550000000001</v>
      </c>
      <c r="H3642" s="188">
        <v>10.451000000000001</v>
      </c>
      <c r="I3642" s="19">
        <f t="shared" si="123"/>
        <v>0</v>
      </c>
      <c r="L3642" s="131"/>
      <c r="M3642" s="131"/>
      <c r="N3642" s="131"/>
    </row>
    <row r="3643" spans="1:14" hidden="1">
      <c r="A3643" s="100" t="s">
        <v>862</v>
      </c>
      <c r="B3643" s="101" t="s">
        <v>6794</v>
      </c>
      <c r="C3643" s="115" t="s">
        <v>6795</v>
      </c>
      <c r="D3643" s="38"/>
      <c r="E3643" s="42">
        <v>1</v>
      </c>
      <c r="F3643" s="9"/>
      <c r="G3643" s="8">
        <f t="shared" si="122"/>
        <v>12.326475</v>
      </c>
      <c r="H3643" s="188">
        <v>11.7395</v>
      </c>
      <c r="I3643" s="19">
        <f t="shared" si="123"/>
        <v>0</v>
      </c>
      <c r="L3643" s="131"/>
      <c r="M3643" s="131"/>
      <c r="N3643" s="131"/>
    </row>
    <row r="3644" spans="1:14" hidden="1">
      <c r="A3644" s="100" t="s">
        <v>862</v>
      </c>
      <c r="B3644" s="101" t="s">
        <v>6796</v>
      </c>
      <c r="C3644" s="115" t="s">
        <v>6797</v>
      </c>
      <c r="D3644" s="38"/>
      <c r="E3644" s="42">
        <v>1</v>
      </c>
      <c r="F3644" s="9"/>
      <c r="G3644" s="8">
        <f t="shared" si="122"/>
        <v>9.6862499999999994</v>
      </c>
      <c r="H3644" s="188">
        <v>9.2249999999999996</v>
      </c>
      <c r="I3644" s="19">
        <f t="shared" si="123"/>
        <v>0</v>
      </c>
      <c r="L3644" s="131"/>
      <c r="M3644" s="131"/>
      <c r="N3644" s="131"/>
    </row>
    <row r="3645" spans="1:14" hidden="1">
      <c r="A3645" s="100" t="s">
        <v>862</v>
      </c>
      <c r="B3645" s="101" t="s">
        <v>6798</v>
      </c>
      <c r="C3645" s="115" t="s">
        <v>6799</v>
      </c>
      <c r="D3645" s="38"/>
      <c r="E3645" s="42">
        <v>1</v>
      </c>
      <c r="F3645" s="9"/>
      <c r="G3645" s="8">
        <f t="shared" si="122"/>
        <v>10.063725</v>
      </c>
      <c r="H3645" s="188">
        <v>9.5845000000000002</v>
      </c>
      <c r="I3645" s="19">
        <f t="shared" si="123"/>
        <v>0</v>
      </c>
      <c r="L3645" s="131"/>
      <c r="M3645" s="131"/>
      <c r="N3645" s="131"/>
    </row>
    <row r="3646" spans="1:14" hidden="1">
      <c r="A3646" s="100" t="s">
        <v>862</v>
      </c>
      <c r="B3646" s="101" t="s">
        <v>6800</v>
      </c>
      <c r="C3646" s="115" t="s">
        <v>6801</v>
      </c>
      <c r="D3646" s="38"/>
      <c r="E3646" s="42">
        <v>1</v>
      </c>
      <c r="F3646" s="9"/>
      <c r="G3646" s="8">
        <f t="shared" si="122"/>
        <v>10.93155</v>
      </c>
      <c r="H3646" s="188">
        <v>10.411</v>
      </c>
      <c r="I3646" s="19">
        <f t="shared" si="123"/>
        <v>0</v>
      </c>
      <c r="L3646" s="131"/>
      <c r="M3646" s="131"/>
      <c r="N3646" s="131"/>
    </row>
    <row r="3647" spans="1:14" hidden="1">
      <c r="A3647" s="100" t="s">
        <v>862</v>
      </c>
      <c r="B3647" s="101" t="s">
        <v>6802</v>
      </c>
      <c r="C3647" s="115" t="s">
        <v>6803</v>
      </c>
      <c r="D3647" s="38"/>
      <c r="E3647" s="42">
        <v>1</v>
      </c>
      <c r="F3647" s="9"/>
      <c r="G3647" s="8">
        <f t="shared" si="122"/>
        <v>11.407200000000001</v>
      </c>
      <c r="H3647" s="188">
        <v>10.864000000000001</v>
      </c>
      <c r="I3647" s="19">
        <f t="shared" si="123"/>
        <v>0</v>
      </c>
      <c r="L3647" s="131"/>
      <c r="M3647" s="131"/>
      <c r="N3647" s="131"/>
    </row>
    <row r="3648" spans="1:14" hidden="1">
      <c r="A3648" s="100" t="s">
        <v>862</v>
      </c>
      <c r="B3648" s="101" t="s">
        <v>6804</v>
      </c>
      <c r="C3648" s="115" t="s">
        <v>6805</v>
      </c>
      <c r="D3648" s="38"/>
      <c r="E3648" s="42">
        <v>1</v>
      </c>
      <c r="F3648" s="9"/>
      <c r="G3648" s="8">
        <f t="shared" si="122"/>
        <v>12.456675000000001</v>
      </c>
      <c r="H3648" s="188">
        <v>11.8635</v>
      </c>
      <c r="I3648" s="19">
        <f t="shared" si="123"/>
        <v>0</v>
      </c>
      <c r="L3648" s="131"/>
      <c r="M3648" s="131"/>
      <c r="N3648" s="131"/>
    </row>
    <row r="3649" spans="1:14" hidden="1">
      <c r="A3649" s="100" t="s">
        <v>862</v>
      </c>
      <c r="B3649" s="101" t="s">
        <v>6806</v>
      </c>
      <c r="C3649" s="115" t="s">
        <v>6807</v>
      </c>
      <c r="D3649" s="38"/>
      <c r="E3649" s="42">
        <v>1</v>
      </c>
      <c r="F3649" s="9"/>
      <c r="G3649" s="8">
        <f t="shared" si="122"/>
        <v>9.6862499999999994</v>
      </c>
      <c r="H3649" s="188">
        <v>9.2249999999999996</v>
      </c>
      <c r="I3649" s="19">
        <f t="shared" si="123"/>
        <v>0</v>
      </c>
      <c r="L3649" s="131"/>
      <c r="M3649" s="131"/>
      <c r="N3649" s="131"/>
    </row>
    <row r="3650" spans="1:14" hidden="1">
      <c r="A3650" s="100" t="s">
        <v>862</v>
      </c>
      <c r="B3650" s="101" t="s">
        <v>6808</v>
      </c>
      <c r="C3650" s="115" t="s">
        <v>6809</v>
      </c>
      <c r="D3650" s="38"/>
      <c r="E3650" s="42">
        <v>1</v>
      </c>
      <c r="F3650" s="9"/>
      <c r="G3650" s="8">
        <f t="shared" si="122"/>
        <v>10.483725</v>
      </c>
      <c r="H3650" s="188">
        <v>9.9845000000000006</v>
      </c>
      <c r="I3650" s="19">
        <f t="shared" si="123"/>
        <v>0</v>
      </c>
      <c r="L3650" s="131"/>
      <c r="M3650" s="131"/>
      <c r="N3650" s="131"/>
    </row>
    <row r="3651" spans="1:14" hidden="1">
      <c r="A3651" s="100" t="s">
        <v>862</v>
      </c>
      <c r="B3651" s="101" t="s">
        <v>6810</v>
      </c>
      <c r="C3651" s="115" t="s">
        <v>6811</v>
      </c>
      <c r="D3651" s="38"/>
      <c r="E3651" s="42">
        <v>1</v>
      </c>
      <c r="F3651" s="9"/>
      <c r="G3651" s="8">
        <f t="shared" si="122"/>
        <v>11.924849999999999</v>
      </c>
      <c r="H3651" s="188">
        <v>11.356999999999999</v>
      </c>
      <c r="I3651" s="19">
        <f t="shared" si="123"/>
        <v>0</v>
      </c>
      <c r="L3651" s="131"/>
      <c r="M3651" s="131"/>
      <c r="N3651" s="131"/>
    </row>
    <row r="3652" spans="1:14" hidden="1">
      <c r="A3652" s="100" t="s">
        <v>862</v>
      </c>
      <c r="B3652" s="101" t="s">
        <v>6812</v>
      </c>
      <c r="C3652" s="115" t="s">
        <v>6813</v>
      </c>
      <c r="D3652" s="38"/>
      <c r="E3652" s="42">
        <v>1</v>
      </c>
      <c r="F3652" s="9"/>
      <c r="G3652" s="8">
        <f t="shared" si="122"/>
        <v>12.456675000000001</v>
      </c>
      <c r="H3652" s="188">
        <v>11.8635</v>
      </c>
      <c r="I3652" s="19">
        <f t="shared" si="123"/>
        <v>0</v>
      </c>
      <c r="L3652" s="131"/>
      <c r="M3652" s="131"/>
      <c r="N3652" s="131"/>
    </row>
    <row r="3653" spans="1:14" hidden="1">
      <c r="A3653" s="100" t="s">
        <v>862</v>
      </c>
      <c r="B3653" s="101" t="s">
        <v>6814</v>
      </c>
      <c r="C3653" s="115" t="s">
        <v>6815</v>
      </c>
      <c r="D3653" s="38"/>
      <c r="E3653" s="42">
        <v>1</v>
      </c>
      <c r="F3653" s="9"/>
      <c r="G3653" s="8">
        <f t="shared" si="122"/>
        <v>13.967625</v>
      </c>
      <c r="H3653" s="188">
        <v>13.3025</v>
      </c>
      <c r="I3653" s="19">
        <f t="shared" si="123"/>
        <v>0</v>
      </c>
      <c r="L3653" s="131"/>
      <c r="M3653" s="131"/>
      <c r="N3653" s="131"/>
    </row>
    <row r="3654" spans="1:14" hidden="1">
      <c r="A3654" s="100" t="s">
        <v>862</v>
      </c>
      <c r="B3654" s="101" t="s">
        <v>6816</v>
      </c>
      <c r="C3654" s="115" t="s">
        <v>6817</v>
      </c>
      <c r="D3654" s="38"/>
      <c r="E3654" s="42">
        <v>1</v>
      </c>
      <c r="F3654" s="9"/>
      <c r="G3654" s="8">
        <f t="shared" si="122"/>
        <v>10.797675</v>
      </c>
      <c r="H3654" s="188">
        <v>10.2835</v>
      </c>
      <c r="I3654" s="19">
        <f t="shared" si="123"/>
        <v>0</v>
      </c>
      <c r="L3654" s="131"/>
      <c r="M3654" s="131"/>
      <c r="N3654" s="131"/>
    </row>
    <row r="3655" spans="1:14" hidden="1">
      <c r="A3655" s="100" t="s">
        <v>862</v>
      </c>
      <c r="B3655" s="101" t="s">
        <v>6818</v>
      </c>
      <c r="C3655" s="115" t="s">
        <v>6819</v>
      </c>
      <c r="D3655" s="38"/>
      <c r="E3655" s="42">
        <v>1</v>
      </c>
      <c r="F3655" s="9"/>
      <c r="G3655" s="8">
        <f t="shared" si="122"/>
        <v>11.75475</v>
      </c>
      <c r="H3655" s="188">
        <v>11.195</v>
      </c>
      <c r="I3655" s="19">
        <f t="shared" si="123"/>
        <v>0</v>
      </c>
      <c r="L3655" s="131"/>
      <c r="M3655" s="131"/>
      <c r="N3655" s="131"/>
    </row>
    <row r="3656" spans="1:14" hidden="1">
      <c r="A3656" s="100" t="s">
        <v>862</v>
      </c>
      <c r="B3656" s="101" t="s">
        <v>6820</v>
      </c>
      <c r="C3656" s="115" t="s">
        <v>6821</v>
      </c>
      <c r="D3656" s="38"/>
      <c r="E3656" s="42">
        <v>1</v>
      </c>
      <c r="F3656" s="9"/>
      <c r="G3656" s="8">
        <f t="shared" si="122"/>
        <v>12.285</v>
      </c>
      <c r="H3656" s="188">
        <v>11.7</v>
      </c>
      <c r="I3656" s="19">
        <f t="shared" si="123"/>
        <v>0</v>
      </c>
      <c r="L3656" s="131"/>
      <c r="M3656" s="131"/>
      <c r="N3656" s="131"/>
    </row>
    <row r="3657" spans="1:14" hidden="1">
      <c r="A3657" s="100" t="s">
        <v>862</v>
      </c>
      <c r="B3657" s="101" t="s">
        <v>6822</v>
      </c>
      <c r="C3657" s="115" t="s">
        <v>6823</v>
      </c>
      <c r="D3657" s="38"/>
      <c r="E3657" s="42">
        <v>1</v>
      </c>
      <c r="F3657" s="9"/>
      <c r="G3657" s="8">
        <f t="shared" si="122"/>
        <v>12.844125</v>
      </c>
      <c r="H3657" s="188">
        <v>12.2325</v>
      </c>
      <c r="I3657" s="19">
        <f t="shared" si="123"/>
        <v>0</v>
      </c>
      <c r="L3657" s="131"/>
      <c r="M3657" s="131"/>
      <c r="N3657" s="131"/>
    </row>
    <row r="3658" spans="1:14" hidden="1">
      <c r="A3658" s="100" t="s">
        <v>862</v>
      </c>
      <c r="B3658" s="101" t="s">
        <v>6824</v>
      </c>
      <c r="C3658" s="115" t="s">
        <v>6825</v>
      </c>
      <c r="D3658" s="38"/>
      <c r="E3658" s="42">
        <v>1</v>
      </c>
      <c r="F3658" s="9"/>
      <c r="G3658" s="8">
        <f t="shared" si="122"/>
        <v>13.433175</v>
      </c>
      <c r="H3658" s="188">
        <v>12.7935</v>
      </c>
      <c r="I3658" s="19">
        <f t="shared" si="123"/>
        <v>0</v>
      </c>
      <c r="L3658" s="131"/>
      <c r="M3658" s="131"/>
      <c r="N3658" s="131"/>
    </row>
    <row r="3659" spans="1:14" hidden="1">
      <c r="A3659" s="100" t="s">
        <v>862</v>
      </c>
      <c r="B3659" s="101" t="s">
        <v>6826</v>
      </c>
      <c r="C3659" s="115" t="s">
        <v>6827</v>
      </c>
      <c r="D3659" s="38"/>
      <c r="E3659" s="42">
        <v>1</v>
      </c>
      <c r="F3659" s="9"/>
      <c r="G3659" s="8">
        <f t="shared" si="122"/>
        <v>14.066324999999999</v>
      </c>
      <c r="H3659" s="188">
        <v>13.3965</v>
      </c>
      <c r="I3659" s="19">
        <f t="shared" si="123"/>
        <v>0</v>
      </c>
      <c r="L3659" s="131"/>
      <c r="M3659" s="131"/>
      <c r="N3659" s="131"/>
    </row>
    <row r="3660" spans="1:14" hidden="1">
      <c r="A3660" s="100" t="s">
        <v>862</v>
      </c>
      <c r="B3660" s="101" t="s">
        <v>6828</v>
      </c>
      <c r="C3660" s="115" t="s">
        <v>6829</v>
      </c>
      <c r="D3660" s="38"/>
      <c r="E3660" s="42">
        <v>1</v>
      </c>
      <c r="F3660" s="9"/>
      <c r="G3660" s="8">
        <f t="shared" si="122"/>
        <v>14.9352</v>
      </c>
      <c r="H3660" s="188">
        <v>14.224</v>
      </c>
      <c r="I3660" s="19">
        <f t="shared" si="123"/>
        <v>0</v>
      </c>
      <c r="L3660" s="131"/>
      <c r="M3660" s="131"/>
      <c r="N3660" s="131"/>
    </row>
    <row r="3661" spans="1:14" hidden="1">
      <c r="A3661" s="100" t="s">
        <v>862</v>
      </c>
      <c r="B3661" s="101" t="s">
        <v>6830</v>
      </c>
      <c r="C3661" s="115" t="s">
        <v>6831</v>
      </c>
      <c r="D3661" s="38"/>
      <c r="E3661" s="42">
        <v>1</v>
      </c>
      <c r="F3661" s="9"/>
      <c r="G3661" s="8">
        <f t="shared" si="122"/>
        <v>10.797675</v>
      </c>
      <c r="H3661" s="188">
        <v>10.2835</v>
      </c>
      <c r="I3661" s="19">
        <f t="shared" si="123"/>
        <v>0</v>
      </c>
      <c r="L3661" s="131"/>
      <c r="M3661" s="131"/>
      <c r="N3661" s="131"/>
    </row>
    <row r="3662" spans="1:14" hidden="1">
      <c r="A3662" s="100" t="s">
        <v>862</v>
      </c>
      <c r="B3662" s="101" t="s">
        <v>6832</v>
      </c>
      <c r="C3662" s="115" t="s">
        <v>6833</v>
      </c>
      <c r="D3662" s="38"/>
      <c r="E3662" s="42">
        <v>1</v>
      </c>
      <c r="F3662" s="9"/>
      <c r="G3662" s="8">
        <f t="shared" si="122"/>
        <v>11.268599999999999</v>
      </c>
      <c r="H3662" s="188">
        <v>10.731999999999999</v>
      </c>
      <c r="I3662" s="19">
        <f t="shared" si="123"/>
        <v>0</v>
      </c>
      <c r="L3662" s="131"/>
      <c r="M3662" s="131"/>
      <c r="N3662" s="131"/>
    </row>
    <row r="3663" spans="1:14" hidden="1">
      <c r="A3663" s="100" t="s">
        <v>862</v>
      </c>
      <c r="B3663" s="101" t="s">
        <v>6834</v>
      </c>
      <c r="C3663" s="115" t="s">
        <v>6835</v>
      </c>
      <c r="D3663" s="38"/>
      <c r="E3663" s="42">
        <v>1</v>
      </c>
      <c r="F3663" s="9"/>
      <c r="G3663" s="8">
        <f t="shared" si="122"/>
        <v>11.75475</v>
      </c>
      <c r="H3663" s="188">
        <v>11.195</v>
      </c>
      <c r="I3663" s="19">
        <f t="shared" si="123"/>
        <v>0</v>
      </c>
      <c r="L3663" s="131"/>
      <c r="M3663" s="131"/>
      <c r="N3663" s="131"/>
    </row>
    <row r="3664" spans="1:14" hidden="1">
      <c r="A3664" s="100" t="s">
        <v>862</v>
      </c>
      <c r="B3664" s="101" t="s">
        <v>6836</v>
      </c>
      <c r="C3664" s="115" t="s">
        <v>6837</v>
      </c>
      <c r="D3664" s="38"/>
      <c r="E3664" s="42">
        <v>1</v>
      </c>
      <c r="F3664" s="9"/>
      <c r="G3664" s="8">
        <f t="shared" si="122"/>
        <v>12.844125</v>
      </c>
      <c r="H3664" s="188">
        <v>12.2325</v>
      </c>
      <c r="I3664" s="19">
        <f t="shared" si="123"/>
        <v>0</v>
      </c>
      <c r="L3664" s="131"/>
      <c r="M3664" s="131"/>
      <c r="N3664" s="131"/>
    </row>
    <row r="3665" spans="1:14" hidden="1">
      <c r="A3665" s="100" t="s">
        <v>862</v>
      </c>
      <c r="B3665" s="101" t="s">
        <v>6838</v>
      </c>
      <c r="C3665" s="115" t="s">
        <v>6839</v>
      </c>
      <c r="D3665" s="38"/>
      <c r="E3665" s="42">
        <v>1</v>
      </c>
      <c r="F3665" s="9"/>
      <c r="G3665" s="8">
        <f t="shared" si="122"/>
        <v>14.066324999999999</v>
      </c>
      <c r="H3665" s="188">
        <v>13.3965</v>
      </c>
      <c r="I3665" s="19">
        <f t="shared" si="123"/>
        <v>0</v>
      </c>
      <c r="L3665" s="131"/>
      <c r="M3665" s="131"/>
      <c r="N3665" s="131"/>
    </row>
    <row r="3666" spans="1:14" hidden="1">
      <c r="A3666" s="100" t="s">
        <v>862</v>
      </c>
      <c r="B3666" s="101" t="s">
        <v>6840</v>
      </c>
      <c r="C3666" s="115" t="s">
        <v>6841</v>
      </c>
      <c r="D3666" s="38"/>
      <c r="E3666" s="42">
        <v>1</v>
      </c>
      <c r="F3666" s="9"/>
      <c r="G3666" s="8">
        <f t="shared" si="122"/>
        <v>15.376725</v>
      </c>
      <c r="H3666" s="188">
        <v>14.644500000000001</v>
      </c>
      <c r="I3666" s="19">
        <f t="shared" si="123"/>
        <v>0</v>
      </c>
      <c r="L3666" s="131"/>
      <c r="M3666" s="131"/>
      <c r="N3666" s="131"/>
    </row>
    <row r="3667" spans="1:14" hidden="1">
      <c r="A3667" s="100" t="s">
        <v>862</v>
      </c>
      <c r="B3667" s="101" t="s">
        <v>6842</v>
      </c>
      <c r="C3667" s="115" t="s">
        <v>6843</v>
      </c>
      <c r="D3667" s="38"/>
      <c r="E3667" s="42">
        <v>1</v>
      </c>
      <c r="F3667" s="9"/>
      <c r="G3667" s="8">
        <f t="shared" si="122"/>
        <v>13.2888</v>
      </c>
      <c r="H3667" s="188">
        <v>12.656000000000001</v>
      </c>
      <c r="I3667" s="19">
        <f t="shared" si="123"/>
        <v>0</v>
      </c>
      <c r="L3667" s="131"/>
      <c r="M3667" s="131"/>
      <c r="N3667" s="131"/>
    </row>
    <row r="3668" spans="1:14" hidden="1">
      <c r="A3668" s="100" t="s">
        <v>862</v>
      </c>
      <c r="B3668" s="101" t="s">
        <v>6844</v>
      </c>
      <c r="C3668" s="115" t="s">
        <v>6845</v>
      </c>
      <c r="D3668" s="38"/>
      <c r="E3668" s="42">
        <v>1</v>
      </c>
      <c r="F3668" s="9"/>
      <c r="G3668" s="8">
        <f t="shared" si="122"/>
        <v>14.552999999999999</v>
      </c>
      <c r="H3668" s="188">
        <v>13.86</v>
      </c>
      <c r="I3668" s="19">
        <f t="shared" si="123"/>
        <v>0</v>
      </c>
      <c r="L3668" s="131"/>
      <c r="M3668" s="131"/>
      <c r="N3668" s="131"/>
    </row>
    <row r="3669" spans="1:14" hidden="1">
      <c r="A3669" s="100" t="s">
        <v>862</v>
      </c>
      <c r="B3669" s="101" t="s">
        <v>6846</v>
      </c>
      <c r="C3669" s="115" t="s">
        <v>6847</v>
      </c>
      <c r="D3669" s="38"/>
      <c r="E3669" s="42">
        <v>1</v>
      </c>
      <c r="F3669" s="9"/>
      <c r="G3669" s="8">
        <f t="shared" si="122"/>
        <v>15.978899999999999</v>
      </c>
      <c r="H3669" s="188">
        <v>15.218</v>
      </c>
      <c r="I3669" s="19">
        <f t="shared" si="123"/>
        <v>0</v>
      </c>
      <c r="L3669" s="131"/>
      <c r="M3669" s="131"/>
      <c r="N3669" s="131"/>
    </row>
    <row r="3670" spans="1:14" hidden="1">
      <c r="A3670" s="100" t="s">
        <v>862</v>
      </c>
      <c r="B3670" s="101" t="s">
        <v>6848</v>
      </c>
      <c r="C3670" s="115" t="s">
        <v>6849</v>
      </c>
      <c r="D3670" s="38"/>
      <c r="E3670" s="42">
        <v>1</v>
      </c>
      <c r="F3670" s="9"/>
      <c r="G3670" s="8">
        <f t="shared" si="122"/>
        <v>17.599575000000002</v>
      </c>
      <c r="H3670" s="188">
        <v>16.761500000000002</v>
      </c>
      <c r="I3670" s="19">
        <f t="shared" si="123"/>
        <v>0</v>
      </c>
      <c r="L3670" s="131"/>
      <c r="M3670" s="131"/>
      <c r="N3670" s="131"/>
    </row>
    <row r="3671" spans="1:14" hidden="1">
      <c r="A3671" s="100" t="s">
        <v>862</v>
      </c>
      <c r="B3671" s="101" t="s">
        <v>6850</v>
      </c>
      <c r="C3671" s="115" t="s">
        <v>6851</v>
      </c>
      <c r="D3671" s="38"/>
      <c r="E3671" s="42">
        <v>1</v>
      </c>
      <c r="F3671" s="9"/>
      <c r="G3671" s="8">
        <f t="shared" si="122"/>
        <v>18.47475</v>
      </c>
      <c r="H3671" s="188">
        <v>17.594999999999999</v>
      </c>
      <c r="I3671" s="19">
        <f t="shared" si="123"/>
        <v>0</v>
      </c>
      <c r="L3671" s="131"/>
      <c r="M3671" s="131"/>
      <c r="N3671" s="131"/>
    </row>
    <row r="3672" spans="1:14" hidden="1">
      <c r="A3672" s="100" t="s">
        <v>862</v>
      </c>
      <c r="B3672" s="101" t="s">
        <v>6852</v>
      </c>
      <c r="C3672" s="115" t="s">
        <v>6853</v>
      </c>
      <c r="D3672" s="38"/>
      <c r="E3672" s="42">
        <v>1</v>
      </c>
      <c r="F3672" s="9"/>
      <c r="G3672" s="8">
        <f t="shared" si="122"/>
        <v>13.2888</v>
      </c>
      <c r="H3672" s="188">
        <v>12.656000000000001</v>
      </c>
      <c r="I3672" s="19">
        <f t="shared" si="123"/>
        <v>0</v>
      </c>
      <c r="L3672" s="131"/>
      <c r="M3672" s="131"/>
      <c r="N3672" s="131"/>
    </row>
    <row r="3673" spans="1:14" hidden="1">
      <c r="A3673" s="100" t="s">
        <v>862</v>
      </c>
      <c r="B3673" s="101" t="s">
        <v>6854</v>
      </c>
      <c r="C3673" s="115" t="s">
        <v>6855</v>
      </c>
      <c r="D3673" s="38"/>
      <c r="E3673" s="42">
        <v>1</v>
      </c>
      <c r="F3673" s="9"/>
      <c r="G3673" s="8">
        <f t="shared" si="122"/>
        <v>13.904624999999999</v>
      </c>
      <c r="H3673" s="188">
        <v>13.2425</v>
      </c>
      <c r="I3673" s="19">
        <f t="shared" si="123"/>
        <v>0</v>
      </c>
      <c r="L3673" s="131"/>
      <c r="M3673" s="131"/>
      <c r="N3673" s="131"/>
    </row>
    <row r="3674" spans="1:14" hidden="1">
      <c r="A3674" s="100" t="s">
        <v>862</v>
      </c>
      <c r="B3674" s="101" t="s">
        <v>6856</v>
      </c>
      <c r="C3674" s="115" t="s">
        <v>6857</v>
      </c>
      <c r="D3674" s="38"/>
      <c r="E3674" s="42">
        <v>1</v>
      </c>
      <c r="F3674" s="9"/>
      <c r="G3674" s="8">
        <f t="shared" si="122"/>
        <v>14.552999999999999</v>
      </c>
      <c r="H3674" s="188">
        <v>13.86</v>
      </c>
      <c r="I3674" s="19">
        <f t="shared" si="123"/>
        <v>0</v>
      </c>
      <c r="L3674" s="131"/>
      <c r="M3674" s="131"/>
      <c r="N3674" s="131"/>
    </row>
    <row r="3675" spans="1:14" hidden="1">
      <c r="A3675" s="100" t="s">
        <v>862</v>
      </c>
      <c r="B3675" s="101" t="s">
        <v>6858</v>
      </c>
      <c r="C3675" s="115" t="s">
        <v>6859</v>
      </c>
      <c r="D3675" s="38"/>
      <c r="E3675" s="42">
        <v>1</v>
      </c>
      <c r="F3675" s="9"/>
      <c r="G3675" s="8">
        <f t="shared" si="122"/>
        <v>15.978899999999999</v>
      </c>
      <c r="H3675" s="188">
        <v>15.218</v>
      </c>
      <c r="I3675" s="19">
        <f t="shared" si="123"/>
        <v>0</v>
      </c>
      <c r="L3675" s="131"/>
      <c r="M3675" s="131"/>
      <c r="N3675" s="131"/>
    </row>
    <row r="3676" spans="1:14" hidden="1">
      <c r="A3676" s="100" t="s">
        <v>862</v>
      </c>
      <c r="B3676" s="101" t="s">
        <v>6860</v>
      </c>
      <c r="C3676" s="115" t="s">
        <v>6861</v>
      </c>
      <c r="D3676" s="38"/>
      <c r="E3676" s="42">
        <v>1</v>
      </c>
      <c r="F3676" s="9"/>
      <c r="G3676" s="8">
        <f t="shared" si="122"/>
        <v>16.75695</v>
      </c>
      <c r="H3676" s="188">
        <v>15.959</v>
      </c>
      <c r="I3676" s="19">
        <f t="shared" si="123"/>
        <v>0</v>
      </c>
      <c r="L3676" s="131"/>
      <c r="M3676" s="131"/>
      <c r="N3676" s="131"/>
    </row>
    <row r="3677" spans="1:14" hidden="1">
      <c r="A3677" s="100" t="s">
        <v>862</v>
      </c>
      <c r="B3677" s="101" t="s">
        <v>6862</v>
      </c>
      <c r="C3677" s="115" t="s">
        <v>6863</v>
      </c>
      <c r="D3677" s="38"/>
      <c r="E3677" s="42">
        <v>1</v>
      </c>
      <c r="F3677" s="9"/>
      <c r="G3677" s="8">
        <f t="shared" si="122"/>
        <v>17.599575000000002</v>
      </c>
      <c r="H3677" s="188">
        <v>16.761500000000002</v>
      </c>
      <c r="I3677" s="19">
        <f t="shared" si="123"/>
        <v>0</v>
      </c>
      <c r="L3677" s="131"/>
      <c r="M3677" s="131"/>
      <c r="N3677" s="131"/>
    </row>
    <row r="3678" spans="1:14" hidden="1">
      <c r="A3678" s="100" t="s">
        <v>862</v>
      </c>
      <c r="B3678" s="101" t="s">
        <v>6864</v>
      </c>
      <c r="C3678" s="115" t="s">
        <v>6865</v>
      </c>
      <c r="D3678" s="38"/>
      <c r="E3678" s="42">
        <v>1</v>
      </c>
      <c r="F3678" s="9"/>
      <c r="G3678" s="8">
        <f t="shared" si="122"/>
        <v>18.47475</v>
      </c>
      <c r="H3678" s="188">
        <v>17.594999999999999</v>
      </c>
      <c r="I3678" s="19">
        <f t="shared" si="123"/>
        <v>0</v>
      </c>
      <c r="L3678" s="131"/>
      <c r="M3678" s="131"/>
      <c r="N3678" s="131"/>
    </row>
    <row r="3679" spans="1:14" hidden="1">
      <c r="A3679" s="100" t="s">
        <v>862</v>
      </c>
      <c r="B3679" s="101" t="s">
        <v>6866</v>
      </c>
      <c r="C3679" s="115" t="s">
        <v>6867</v>
      </c>
      <c r="D3679" s="38"/>
      <c r="E3679" s="42">
        <v>1</v>
      </c>
      <c r="F3679" s="9"/>
      <c r="G3679" s="8">
        <f t="shared" si="122"/>
        <v>19.488525000000003</v>
      </c>
      <c r="H3679" s="188">
        <v>18.560500000000001</v>
      </c>
      <c r="I3679" s="19">
        <f t="shared" si="123"/>
        <v>0</v>
      </c>
      <c r="L3679" s="131"/>
      <c r="M3679" s="131"/>
      <c r="N3679" s="131"/>
    </row>
    <row r="3680" spans="1:14" hidden="1">
      <c r="A3680" s="100" t="s">
        <v>862</v>
      </c>
      <c r="B3680" s="101" t="s">
        <v>6868</v>
      </c>
      <c r="C3680" s="115" t="s">
        <v>6869</v>
      </c>
      <c r="D3680" s="38"/>
      <c r="E3680" s="42">
        <v>1</v>
      </c>
      <c r="F3680" s="9"/>
      <c r="G3680" s="8">
        <f t="shared" si="122"/>
        <v>16.017225</v>
      </c>
      <c r="H3680" s="188">
        <v>15.2545</v>
      </c>
      <c r="I3680" s="19">
        <f t="shared" si="123"/>
        <v>0</v>
      </c>
      <c r="L3680" s="131"/>
      <c r="M3680" s="131"/>
      <c r="N3680" s="131"/>
    </row>
    <row r="3681" spans="1:14" hidden="1">
      <c r="A3681" s="100" t="s">
        <v>862</v>
      </c>
      <c r="B3681" s="101" t="s">
        <v>6870</v>
      </c>
      <c r="C3681" s="115" t="s">
        <v>6871</v>
      </c>
      <c r="D3681" s="38"/>
      <c r="E3681" s="42">
        <v>1</v>
      </c>
      <c r="F3681" s="9"/>
      <c r="G3681" s="8">
        <f t="shared" si="122"/>
        <v>17.611125000000001</v>
      </c>
      <c r="H3681" s="188">
        <v>16.772500000000001</v>
      </c>
      <c r="I3681" s="19">
        <f t="shared" si="123"/>
        <v>0</v>
      </c>
      <c r="L3681" s="131"/>
      <c r="M3681" s="131"/>
      <c r="N3681" s="131"/>
    </row>
    <row r="3682" spans="1:14" hidden="1">
      <c r="A3682" s="100" t="s">
        <v>862</v>
      </c>
      <c r="B3682" s="101" t="s">
        <v>6872</v>
      </c>
      <c r="C3682" s="115" t="s">
        <v>6873</v>
      </c>
      <c r="D3682" s="38"/>
      <c r="E3682" s="42">
        <v>1</v>
      </c>
      <c r="F3682" s="9"/>
      <c r="G3682" s="8">
        <f t="shared" si="122"/>
        <v>19.417649999999998</v>
      </c>
      <c r="H3682" s="188">
        <v>18.492999999999999</v>
      </c>
      <c r="I3682" s="19">
        <f t="shared" si="123"/>
        <v>0</v>
      </c>
      <c r="L3682" s="131"/>
      <c r="M3682" s="131"/>
      <c r="N3682" s="131"/>
    </row>
    <row r="3683" spans="1:14" hidden="1">
      <c r="A3683" s="100" t="s">
        <v>862</v>
      </c>
      <c r="B3683" s="101" t="s">
        <v>6874</v>
      </c>
      <c r="C3683" s="115" t="s">
        <v>6875</v>
      </c>
      <c r="D3683" s="38"/>
      <c r="E3683" s="42">
        <v>1</v>
      </c>
      <c r="F3683" s="9"/>
      <c r="G3683" s="8">
        <f t="shared" si="122"/>
        <v>21.471975</v>
      </c>
      <c r="H3683" s="188">
        <v>20.4495</v>
      </c>
      <c r="I3683" s="19">
        <f t="shared" si="123"/>
        <v>0</v>
      </c>
      <c r="L3683" s="131"/>
      <c r="M3683" s="131"/>
      <c r="N3683" s="131"/>
    </row>
    <row r="3684" spans="1:14" hidden="1">
      <c r="A3684" s="100" t="s">
        <v>862</v>
      </c>
      <c r="B3684" s="101" t="s">
        <v>6876</v>
      </c>
      <c r="C3684" s="115" t="s">
        <v>6877</v>
      </c>
      <c r="D3684" s="38"/>
      <c r="E3684" s="42">
        <v>1</v>
      </c>
      <c r="F3684" s="9"/>
      <c r="G3684" s="8">
        <f t="shared" si="122"/>
        <v>17.611125000000001</v>
      </c>
      <c r="H3684" s="188">
        <v>16.772500000000001</v>
      </c>
      <c r="I3684" s="19">
        <f t="shared" si="123"/>
        <v>0</v>
      </c>
      <c r="L3684" s="131"/>
      <c r="M3684" s="131"/>
      <c r="N3684" s="131"/>
    </row>
    <row r="3685" spans="1:14" hidden="1">
      <c r="A3685" s="100" t="s">
        <v>862</v>
      </c>
      <c r="B3685" s="101" t="s">
        <v>6878</v>
      </c>
      <c r="C3685" s="115" t="s">
        <v>6879</v>
      </c>
      <c r="D3685" s="38"/>
      <c r="E3685" s="42">
        <v>1</v>
      </c>
      <c r="F3685" s="9"/>
      <c r="G3685" s="8">
        <f t="shared" ref="G3685:G3748" si="124">H3685+(H3685*5%)</f>
        <v>18.4968</v>
      </c>
      <c r="H3685" s="188">
        <v>17.616</v>
      </c>
      <c r="I3685" s="19">
        <f t="shared" si="123"/>
        <v>0</v>
      </c>
      <c r="L3685" s="131"/>
      <c r="M3685" s="131"/>
      <c r="N3685" s="131"/>
    </row>
    <row r="3686" spans="1:14" hidden="1">
      <c r="A3686" s="100" t="s">
        <v>862</v>
      </c>
      <c r="B3686" s="101" t="s">
        <v>6880</v>
      </c>
      <c r="C3686" s="115" t="s">
        <v>6881</v>
      </c>
      <c r="D3686" s="38"/>
      <c r="E3686" s="42">
        <v>1</v>
      </c>
      <c r="F3686" s="9"/>
      <c r="G3686" s="8">
        <f t="shared" si="124"/>
        <v>19.417649999999998</v>
      </c>
      <c r="H3686" s="188">
        <v>18.492999999999999</v>
      </c>
      <c r="I3686" s="19">
        <f t="shared" si="123"/>
        <v>0</v>
      </c>
      <c r="L3686" s="131"/>
      <c r="M3686" s="131"/>
      <c r="N3686" s="131"/>
    </row>
    <row r="3687" spans="1:14" hidden="1">
      <c r="A3687" s="100" t="s">
        <v>862</v>
      </c>
      <c r="B3687" s="101" t="s">
        <v>6882</v>
      </c>
      <c r="C3687" s="115" t="s">
        <v>6883</v>
      </c>
      <c r="D3687" s="38"/>
      <c r="E3687" s="42">
        <v>1</v>
      </c>
      <c r="F3687" s="9"/>
      <c r="G3687" s="8">
        <f t="shared" si="124"/>
        <v>20.409375000000001</v>
      </c>
      <c r="H3687" s="188">
        <v>19.4375</v>
      </c>
      <c r="I3687" s="19">
        <f t="shared" si="123"/>
        <v>0</v>
      </c>
      <c r="L3687" s="131"/>
      <c r="M3687" s="131"/>
      <c r="N3687" s="131"/>
    </row>
    <row r="3688" spans="1:14" hidden="1">
      <c r="A3688" s="100" t="s">
        <v>862</v>
      </c>
      <c r="B3688" s="101" t="s">
        <v>6884</v>
      </c>
      <c r="C3688" s="115" t="s">
        <v>6885</v>
      </c>
      <c r="D3688" s="38"/>
      <c r="E3688" s="42">
        <v>1</v>
      </c>
      <c r="F3688" s="9"/>
      <c r="G3688" s="8">
        <f t="shared" si="124"/>
        <v>21.471975</v>
      </c>
      <c r="H3688" s="188">
        <v>20.4495</v>
      </c>
      <c r="I3688" s="19">
        <f t="shared" ref="I3688:I3751" si="125">G3688*F3688</f>
        <v>0</v>
      </c>
      <c r="L3688" s="131"/>
      <c r="M3688" s="131"/>
      <c r="N3688" s="131"/>
    </row>
    <row r="3689" spans="1:14" hidden="1">
      <c r="A3689" s="100" t="s">
        <v>862</v>
      </c>
      <c r="B3689" s="101" t="s">
        <v>6886</v>
      </c>
      <c r="C3689" s="115" t="s">
        <v>6887</v>
      </c>
      <c r="D3689" s="38"/>
      <c r="E3689" s="42">
        <v>1</v>
      </c>
      <c r="F3689" s="9"/>
      <c r="G3689" s="8">
        <f t="shared" si="124"/>
        <v>23.845500000000001</v>
      </c>
      <c r="H3689" s="188">
        <v>22.71</v>
      </c>
      <c r="I3689" s="19">
        <f t="shared" si="125"/>
        <v>0</v>
      </c>
      <c r="L3689" s="131"/>
      <c r="M3689" s="131"/>
      <c r="N3689" s="131"/>
    </row>
    <row r="3690" spans="1:14" hidden="1">
      <c r="A3690" s="100" t="s">
        <v>862</v>
      </c>
      <c r="B3690" s="101" t="s">
        <v>6888</v>
      </c>
      <c r="C3690" s="115" t="s">
        <v>6889</v>
      </c>
      <c r="D3690" s="38"/>
      <c r="E3690" s="42">
        <v>1</v>
      </c>
      <c r="F3690" s="9"/>
      <c r="G3690" s="8">
        <f t="shared" si="124"/>
        <v>23.065875000000002</v>
      </c>
      <c r="H3690" s="188">
        <v>21.967500000000001</v>
      </c>
      <c r="I3690" s="19">
        <f t="shared" si="125"/>
        <v>0</v>
      </c>
      <c r="L3690" s="131"/>
      <c r="M3690" s="131"/>
      <c r="N3690" s="131"/>
    </row>
    <row r="3691" spans="1:14" hidden="1">
      <c r="A3691" s="100" t="s">
        <v>862</v>
      </c>
      <c r="B3691" s="101" t="s">
        <v>6890</v>
      </c>
      <c r="C3691" s="115" t="s">
        <v>6891</v>
      </c>
      <c r="D3691" s="38"/>
      <c r="E3691" s="42">
        <v>1</v>
      </c>
      <c r="F3691" s="9"/>
      <c r="G3691" s="8">
        <f t="shared" si="124"/>
        <v>25.566974999999999</v>
      </c>
      <c r="H3691" s="188">
        <v>24.349499999999999</v>
      </c>
      <c r="I3691" s="19">
        <f t="shared" si="125"/>
        <v>0</v>
      </c>
      <c r="L3691" s="131"/>
      <c r="M3691" s="131"/>
      <c r="N3691" s="131"/>
    </row>
    <row r="3692" spans="1:14" hidden="1">
      <c r="A3692" s="100" t="s">
        <v>862</v>
      </c>
      <c r="B3692" s="101" t="s">
        <v>6892</v>
      </c>
      <c r="C3692" s="115" t="s">
        <v>6893</v>
      </c>
      <c r="D3692" s="38"/>
      <c r="E3692" s="42">
        <v>1</v>
      </c>
      <c r="F3692" s="9"/>
      <c r="G3692" s="8">
        <f t="shared" si="124"/>
        <v>28.375724999999999</v>
      </c>
      <c r="H3692" s="188">
        <v>27.0245</v>
      </c>
      <c r="I3692" s="19">
        <f t="shared" si="125"/>
        <v>0</v>
      </c>
      <c r="L3692" s="131"/>
      <c r="M3692" s="131"/>
      <c r="N3692" s="131"/>
    </row>
    <row r="3693" spans="1:14" hidden="1">
      <c r="A3693" s="100" t="s">
        <v>862</v>
      </c>
      <c r="B3693" s="101" t="s">
        <v>6894</v>
      </c>
      <c r="C3693" s="115" t="s">
        <v>6895</v>
      </c>
      <c r="D3693" s="38"/>
      <c r="E3693" s="42">
        <v>1</v>
      </c>
      <c r="F3693" s="9"/>
      <c r="G3693" s="8">
        <f t="shared" si="124"/>
        <v>21.930825000000002</v>
      </c>
      <c r="H3693" s="188">
        <v>20.886500000000002</v>
      </c>
      <c r="I3693" s="19">
        <f t="shared" si="125"/>
        <v>0</v>
      </c>
      <c r="L3693" s="131"/>
      <c r="M3693" s="131"/>
      <c r="N3693" s="131"/>
    </row>
    <row r="3694" spans="1:14" hidden="1">
      <c r="A3694" s="100" t="s">
        <v>862</v>
      </c>
      <c r="B3694" s="101" t="s">
        <v>6896</v>
      </c>
      <c r="C3694" s="115" t="s">
        <v>6897</v>
      </c>
      <c r="D3694" s="38"/>
      <c r="E3694" s="42">
        <v>1</v>
      </c>
      <c r="F3694" s="9"/>
      <c r="G3694" s="8">
        <f t="shared" si="124"/>
        <v>25.566974999999999</v>
      </c>
      <c r="H3694" s="188">
        <v>24.349499999999999</v>
      </c>
      <c r="I3694" s="19">
        <f t="shared" si="125"/>
        <v>0</v>
      </c>
      <c r="L3694" s="131"/>
      <c r="M3694" s="131"/>
      <c r="N3694" s="131"/>
    </row>
    <row r="3695" spans="1:14" hidden="1">
      <c r="A3695" s="100" t="s">
        <v>862</v>
      </c>
      <c r="B3695" s="101" t="s">
        <v>6898</v>
      </c>
      <c r="C3695" s="115" t="s">
        <v>6899</v>
      </c>
      <c r="D3695" s="38"/>
      <c r="E3695" s="42">
        <v>1</v>
      </c>
      <c r="F3695" s="9"/>
      <c r="G3695" s="8">
        <f t="shared" si="124"/>
        <v>26.933025000000001</v>
      </c>
      <c r="H3695" s="188">
        <v>25.650500000000001</v>
      </c>
      <c r="I3695" s="19">
        <f t="shared" si="125"/>
        <v>0</v>
      </c>
      <c r="L3695" s="131"/>
      <c r="M3695" s="131"/>
      <c r="N3695" s="131"/>
    </row>
    <row r="3696" spans="1:14" hidden="1">
      <c r="A3696" s="100" t="s">
        <v>862</v>
      </c>
      <c r="B3696" s="101" t="s">
        <v>6900</v>
      </c>
      <c r="C3696" s="115" t="s">
        <v>6901</v>
      </c>
      <c r="D3696" s="38"/>
      <c r="E3696" s="42">
        <v>1</v>
      </c>
      <c r="F3696" s="9"/>
      <c r="G3696" s="8">
        <f t="shared" si="124"/>
        <v>20.723849999999999</v>
      </c>
      <c r="H3696" s="188">
        <v>19.736999999999998</v>
      </c>
      <c r="I3696" s="19">
        <f t="shared" si="125"/>
        <v>0</v>
      </c>
      <c r="L3696" s="131"/>
      <c r="M3696" s="131"/>
      <c r="N3696" s="131"/>
    </row>
    <row r="3697" spans="1:14" hidden="1">
      <c r="A3697" s="100" t="s">
        <v>862</v>
      </c>
      <c r="B3697" s="101" t="s">
        <v>6902</v>
      </c>
      <c r="C3697" s="115" t="s">
        <v>6903</v>
      </c>
      <c r="D3697" s="38"/>
      <c r="E3697" s="42">
        <v>1</v>
      </c>
      <c r="F3697" s="9"/>
      <c r="G3697" s="8">
        <f t="shared" si="124"/>
        <v>20.723849999999999</v>
      </c>
      <c r="H3697" s="188">
        <v>19.736999999999998</v>
      </c>
      <c r="I3697" s="19">
        <f t="shared" si="125"/>
        <v>0</v>
      </c>
      <c r="L3697" s="131"/>
      <c r="M3697" s="131"/>
      <c r="N3697" s="131"/>
    </row>
    <row r="3698" spans="1:14" hidden="1">
      <c r="A3698" s="100" t="s">
        <v>862</v>
      </c>
      <c r="B3698" s="101" t="s">
        <v>6904</v>
      </c>
      <c r="C3698" s="115" t="s">
        <v>6905</v>
      </c>
      <c r="D3698" s="38"/>
      <c r="E3698" s="42">
        <v>1</v>
      </c>
      <c r="F3698" s="9"/>
      <c r="G3698" s="8">
        <f t="shared" si="124"/>
        <v>21.927149999999997</v>
      </c>
      <c r="H3698" s="188">
        <v>20.882999999999999</v>
      </c>
      <c r="I3698" s="19">
        <f t="shared" si="125"/>
        <v>0</v>
      </c>
      <c r="L3698" s="131"/>
      <c r="M3698" s="131"/>
      <c r="N3698" s="131"/>
    </row>
    <row r="3699" spans="1:14" hidden="1">
      <c r="A3699" s="100" t="s">
        <v>862</v>
      </c>
      <c r="B3699" s="101" t="s">
        <v>6906</v>
      </c>
      <c r="C3699" s="115" t="s">
        <v>6907</v>
      </c>
      <c r="D3699" s="38"/>
      <c r="E3699" s="42">
        <v>1</v>
      </c>
      <c r="F3699" s="9"/>
      <c r="G3699" s="8">
        <f t="shared" si="124"/>
        <v>21.927149999999997</v>
      </c>
      <c r="H3699" s="188">
        <v>20.882999999999999</v>
      </c>
      <c r="I3699" s="19">
        <f t="shared" si="125"/>
        <v>0</v>
      </c>
      <c r="L3699" s="131"/>
      <c r="M3699" s="131"/>
      <c r="N3699" s="131"/>
    </row>
    <row r="3700" spans="1:14" hidden="1">
      <c r="A3700" s="100" t="s">
        <v>862</v>
      </c>
      <c r="B3700" s="101" t="s">
        <v>6908</v>
      </c>
      <c r="C3700" s="115" t="s">
        <v>6909</v>
      </c>
      <c r="D3700" s="38"/>
      <c r="E3700" s="42">
        <v>1</v>
      </c>
      <c r="F3700" s="9"/>
      <c r="G3700" s="8">
        <f t="shared" si="124"/>
        <v>11.610374999999999</v>
      </c>
      <c r="H3700" s="188">
        <v>11.057499999999999</v>
      </c>
      <c r="I3700" s="19">
        <f t="shared" si="125"/>
        <v>0</v>
      </c>
      <c r="L3700" s="131"/>
      <c r="M3700" s="131"/>
      <c r="N3700" s="131"/>
    </row>
    <row r="3701" spans="1:14" hidden="1">
      <c r="A3701" s="100" t="s">
        <v>862</v>
      </c>
      <c r="B3701" s="101" t="s">
        <v>6910</v>
      </c>
      <c r="C3701" s="115" t="s">
        <v>6911</v>
      </c>
      <c r="D3701" s="38"/>
      <c r="E3701" s="42">
        <v>1</v>
      </c>
      <c r="F3701" s="9"/>
      <c r="G3701" s="8">
        <f t="shared" si="124"/>
        <v>23.14095</v>
      </c>
      <c r="H3701" s="188">
        <v>22.039000000000001</v>
      </c>
      <c r="I3701" s="19">
        <f t="shared" si="125"/>
        <v>0</v>
      </c>
      <c r="L3701" s="131"/>
      <c r="M3701" s="131"/>
      <c r="N3701" s="131"/>
    </row>
    <row r="3702" spans="1:14" hidden="1">
      <c r="A3702" s="100" t="s">
        <v>862</v>
      </c>
      <c r="B3702" s="101" t="s">
        <v>6912</v>
      </c>
      <c r="C3702" s="115" t="s">
        <v>6913</v>
      </c>
      <c r="D3702" s="38"/>
      <c r="E3702" s="42">
        <v>1</v>
      </c>
      <c r="F3702" s="9"/>
      <c r="G3702" s="8">
        <f t="shared" si="124"/>
        <v>11.610374999999999</v>
      </c>
      <c r="H3702" s="188">
        <v>11.057499999999999</v>
      </c>
      <c r="I3702" s="19">
        <f t="shared" si="125"/>
        <v>0</v>
      </c>
      <c r="L3702" s="131"/>
      <c r="M3702" s="131"/>
      <c r="N3702" s="131"/>
    </row>
    <row r="3703" spans="1:14" hidden="1">
      <c r="A3703" s="100" t="s">
        <v>862</v>
      </c>
      <c r="B3703" s="101" t="s">
        <v>6914</v>
      </c>
      <c r="C3703" s="115" t="s">
        <v>6915</v>
      </c>
      <c r="D3703" s="38"/>
      <c r="E3703" s="42">
        <v>1</v>
      </c>
      <c r="F3703" s="9"/>
      <c r="G3703" s="8">
        <f t="shared" si="124"/>
        <v>23.14095</v>
      </c>
      <c r="H3703" s="188">
        <v>22.039000000000001</v>
      </c>
      <c r="I3703" s="19">
        <f t="shared" si="125"/>
        <v>0</v>
      </c>
      <c r="L3703" s="131"/>
      <c r="M3703" s="131"/>
      <c r="N3703" s="131"/>
    </row>
    <row r="3704" spans="1:14" hidden="1">
      <c r="A3704" s="100" t="s">
        <v>862</v>
      </c>
      <c r="B3704" s="101" t="s">
        <v>6916</v>
      </c>
      <c r="C3704" s="115" t="s">
        <v>6917</v>
      </c>
      <c r="D3704" s="38"/>
      <c r="E3704" s="42">
        <v>1</v>
      </c>
      <c r="F3704" s="9"/>
      <c r="G3704" s="8">
        <f t="shared" si="124"/>
        <v>16.324874999999999</v>
      </c>
      <c r="H3704" s="188">
        <v>15.547499999999999</v>
      </c>
      <c r="I3704" s="19">
        <f t="shared" si="125"/>
        <v>0</v>
      </c>
      <c r="L3704" s="131"/>
      <c r="M3704" s="131"/>
      <c r="N3704" s="131"/>
    </row>
    <row r="3705" spans="1:14" hidden="1">
      <c r="A3705" s="100" t="s">
        <v>862</v>
      </c>
      <c r="B3705" s="101" t="s">
        <v>6918</v>
      </c>
      <c r="C3705" s="115" t="s">
        <v>6919</v>
      </c>
      <c r="D3705" s="38"/>
      <c r="E3705" s="42">
        <v>1</v>
      </c>
      <c r="F3705" s="9"/>
      <c r="G3705" s="8">
        <f t="shared" si="124"/>
        <v>24.364725</v>
      </c>
      <c r="H3705" s="188">
        <v>23.204499999999999</v>
      </c>
      <c r="I3705" s="19">
        <f t="shared" si="125"/>
        <v>0</v>
      </c>
      <c r="L3705" s="131"/>
      <c r="M3705" s="131"/>
      <c r="N3705" s="131"/>
    </row>
    <row r="3706" spans="1:14" hidden="1">
      <c r="A3706" s="100" t="s">
        <v>862</v>
      </c>
      <c r="B3706" s="101" t="s">
        <v>6920</v>
      </c>
      <c r="C3706" s="115" t="s">
        <v>6921</v>
      </c>
      <c r="D3706" s="38"/>
      <c r="E3706" s="42">
        <v>1</v>
      </c>
      <c r="F3706" s="9"/>
      <c r="G3706" s="8">
        <f t="shared" si="124"/>
        <v>16.324874999999999</v>
      </c>
      <c r="H3706" s="188">
        <v>15.547499999999999</v>
      </c>
      <c r="I3706" s="19">
        <f t="shared" si="125"/>
        <v>0</v>
      </c>
      <c r="L3706" s="131"/>
      <c r="M3706" s="131"/>
      <c r="N3706" s="131"/>
    </row>
    <row r="3707" spans="1:14" hidden="1">
      <c r="A3707" s="100" t="s">
        <v>862</v>
      </c>
      <c r="B3707" s="101" t="s">
        <v>6922</v>
      </c>
      <c r="C3707" s="115" t="s">
        <v>6923</v>
      </c>
      <c r="D3707" s="38"/>
      <c r="E3707" s="42">
        <v>1</v>
      </c>
      <c r="F3707" s="9"/>
      <c r="G3707" s="8">
        <f t="shared" si="124"/>
        <v>24.364725</v>
      </c>
      <c r="H3707" s="188">
        <v>23.204499999999999</v>
      </c>
      <c r="I3707" s="19">
        <f t="shared" si="125"/>
        <v>0</v>
      </c>
      <c r="L3707" s="131"/>
      <c r="M3707" s="131"/>
      <c r="N3707" s="131"/>
    </row>
    <row r="3708" spans="1:14" hidden="1">
      <c r="A3708" s="100" t="s">
        <v>862</v>
      </c>
      <c r="B3708" s="101" t="s">
        <v>6924</v>
      </c>
      <c r="C3708" s="115" t="s">
        <v>6925</v>
      </c>
      <c r="D3708" s="38"/>
      <c r="E3708" s="42">
        <v>1</v>
      </c>
      <c r="F3708" s="9"/>
      <c r="G3708" s="8">
        <f t="shared" si="124"/>
        <v>13.704599999999999</v>
      </c>
      <c r="H3708" s="188">
        <v>13.052</v>
      </c>
      <c r="I3708" s="19">
        <f t="shared" si="125"/>
        <v>0</v>
      </c>
      <c r="L3708" s="131"/>
      <c r="M3708" s="131"/>
      <c r="N3708" s="131"/>
    </row>
    <row r="3709" spans="1:14" hidden="1">
      <c r="A3709" s="100" t="s">
        <v>862</v>
      </c>
      <c r="B3709" s="101" t="s">
        <v>6926</v>
      </c>
      <c r="C3709" s="115" t="s">
        <v>6927</v>
      </c>
      <c r="D3709" s="38"/>
      <c r="E3709" s="42">
        <v>1</v>
      </c>
      <c r="F3709" s="9"/>
      <c r="G3709" s="8">
        <f t="shared" si="124"/>
        <v>25.598475000000001</v>
      </c>
      <c r="H3709" s="188">
        <v>24.3795</v>
      </c>
      <c r="I3709" s="19">
        <f t="shared" si="125"/>
        <v>0</v>
      </c>
      <c r="L3709" s="131"/>
      <c r="M3709" s="131"/>
      <c r="N3709" s="131"/>
    </row>
    <row r="3710" spans="1:14" hidden="1">
      <c r="A3710" s="100" t="s">
        <v>862</v>
      </c>
      <c r="B3710" s="101" t="s">
        <v>6928</v>
      </c>
      <c r="C3710" s="115" t="s">
        <v>6929</v>
      </c>
      <c r="D3710" s="38"/>
      <c r="E3710" s="42">
        <v>1</v>
      </c>
      <c r="F3710" s="9"/>
      <c r="G3710" s="8">
        <f t="shared" si="124"/>
        <v>25.598475000000001</v>
      </c>
      <c r="H3710" s="188">
        <v>24.3795</v>
      </c>
      <c r="I3710" s="19">
        <f t="shared" si="125"/>
        <v>0</v>
      </c>
      <c r="L3710" s="131"/>
      <c r="M3710" s="131"/>
      <c r="N3710" s="131"/>
    </row>
    <row r="3711" spans="1:14" hidden="1">
      <c r="A3711" s="100" t="s">
        <v>862</v>
      </c>
      <c r="B3711" s="101" t="s">
        <v>6930</v>
      </c>
      <c r="C3711" s="115" t="s">
        <v>6931</v>
      </c>
      <c r="D3711" s="38"/>
      <c r="E3711" s="42">
        <v>1</v>
      </c>
      <c r="F3711" s="9"/>
      <c r="G3711" s="8">
        <f t="shared" si="124"/>
        <v>21.894600000000001</v>
      </c>
      <c r="H3711" s="188">
        <v>20.852</v>
      </c>
      <c r="I3711" s="19">
        <f t="shared" si="125"/>
        <v>0</v>
      </c>
      <c r="L3711" s="131"/>
      <c r="M3711" s="131"/>
      <c r="N3711" s="131"/>
    </row>
    <row r="3712" spans="1:14" hidden="1">
      <c r="A3712" s="100" t="s">
        <v>862</v>
      </c>
      <c r="B3712" s="101" t="s">
        <v>6932</v>
      </c>
      <c r="C3712" s="115" t="s">
        <v>6933</v>
      </c>
      <c r="D3712" s="38"/>
      <c r="E3712" s="42">
        <v>1</v>
      </c>
      <c r="F3712" s="9"/>
      <c r="G3712" s="8">
        <f t="shared" si="124"/>
        <v>26.842199999999998</v>
      </c>
      <c r="H3712" s="188">
        <v>25.564</v>
      </c>
      <c r="I3712" s="19">
        <f t="shared" si="125"/>
        <v>0</v>
      </c>
      <c r="L3712" s="131"/>
      <c r="M3712" s="131"/>
      <c r="N3712" s="131"/>
    </row>
    <row r="3713" spans="1:14" hidden="1">
      <c r="A3713" s="100" t="s">
        <v>862</v>
      </c>
      <c r="B3713" s="101" t="s">
        <v>6934</v>
      </c>
      <c r="C3713" s="115" t="s">
        <v>6935</v>
      </c>
      <c r="D3713" s="38"/>
      <c r="E3713" s="42">
        <v>1</v>
      </c>
      <c r="F3713" s="9"/>
      <c r="G3713" s="8">
        <f t="shared" si="124"/>
        <v>17.7576</v>
      </c>
      <c r="H3713" s="188">
        <v>16.911999999999999</v>
      </c>
      <c r="I3713" s="19">
        <f t="shared" si="125"/>
        <v>0</v>
      </c>
      <c r="L3713" s="131"/>
      <c r="M3713" s="131"/>
      <c r="N3713" s="131"/>
    </row>
    <row r="3714" spans="1:14" hidden="1">
      <c r="A3714" s="100" t="s">
        <v>862</v>
      </c>
      <c r="B3714" s="101" t="s">
        <v>6936</v>
      </c>
      <c r="C3714" s="115" t="s">
        <v>6937</v>
      </c>
      <c r="D3714" s="38"/>
      <c r="E3714" s="42">
        <v>1</v>
      </c>
      <c r="F3714" s="9"/>
      <c r="G3714" s="8">
        <f t="shared" si="124"/>
        <v>21.894600000000001</v>
      </c>
      <c r="H3714" s="188">
        <v>20.852</v>
      </c>
      <c r="I3714" s="19">
        <f t="shared" si="125"/>
        <v>0</v>
      </c>
      <c r="L3714" s="131"/>
      <c r="M3714" s="131"/>
      <c r="N3714" s="131"/>
    </row>
    <row r="3715" spans="1:14" hidden="1">
      <c r="A3715" s="100" t="s">
        <v>862</v>
      </c>
      <c r="B3715" s="101" t="s">
        <v>6938</v>
      </c>
      <c r="C3715" s="115" t="s">
        <v>6939</v>
      </c>
      <c r="D3715" s="38"/>
      <c r="E3715" s="42">
        <v>1</v>
      </c>
      <c r="F3715" s="9"/>
      <c r="G3715" s="8">
        <f t="shared" si="124"/>
        <v>26.842199999999998</v>
      </c>
      <c r="H3715" s="188">
        <v>25.564</v>
      </c>
      <c r="I3715" s="19">
        <f t="shared" si="125"/>
        <v>0</v>
      </c>
      <c r="L3715" s="131"/>
      <c r="M3715" s="131"/>
      <c r="N3715" s="131"/>
    </row>
    <row r="3716" spans="1:14" hidden="1">
      <c r="A3716" s="100" t="s">
        <v>862</v>
      </c>
      <c r="B3716" s="101" t="s">
        <v>6940</v>
      </c>
      <c r="C3716" s="115" t="s">
        <v>6941</v>
      </c>
      <c r="D3716" s="38"/>
      <c r="E3716" s="42">
        <v>1</v>
      </c>
      <c r="F3716" s="9"/>
      <c r="G3716" s="8">
        <f t="shared" si="124"/>
        <v>25.503450000000001</v>
      </c>
      <c r="H3716" s="188">
        <v>24.289000000000001</v>
      </c>
      <c r="I3716" s="19">
        <f t="shared" si="125"/>
        <v>0</v>
      </c>
      <c r="L3716" s="131"/>
      <c r="M3716" s="131"/>
      <c r="N3716" s="131"/>
    </row>
    <row r="3717" spans="1:14" hidden="1">
      <c r="A3717" s="100" t="s">
        <v>862</v>
      </c>
      <c r="B3717" s="101" t="s">
        <v>6942</v>
      </c>
      <c r="C3717" s="115" t="s">
        <v>6943</v>
      </c>
      <c r="D3717" s="38"/>
      <c r="E3717" s="42">
        <v>1</v>
      </c>
      <c r="F3717" s="9"/>
      <c r="G3717" s="8">
        <f t="shared" si="124"/>
        <v>29.360099999999999</v>
      </c>
      <c r="H3717" s="188">
        <v>27.962</v>
      </c>
      <c r="I3717" s="19">
        <f t="shared" si="125"/>
        <v>0</v>
      </c>
      <c r="L3717" s="131"/>
      <c r="M3717" s="131"/>
      <c r="N3717" s="131"/>
    </row>
    <row r="3718" spans="1:14" hidden="1">
      <c r="A3718" s="100" t="s">
        <v>862</v>
      </c>
      <c r="B3718" s="101" t="s">
        <v>6944</v>
      </c>
      <c r="C3718" s="115" t="s">
        <v>6945</v>
      </c>
      <c r="D3718" s="38"/>
      <c r="E3718" s="42">
        <v>1</v>
      </c>
      <c r="F3718" s="9"/>
      <c r="G3718" s="8">
        <f t="shared" si="124"/>
        <v>20.123249999999999</v>
      </c>
      <c r="H3718" s="188">
        <v>19.164999999999999</v>
      </c>
      <c r="I3718" s="19">
        <f t="shared" si="125"/>
        <v>0</v>
      </c>
      <c r="L3718" s="131"/>
      <c r="M3718" s="131"/>
      <c r="N3718" s="131"/>
    </row>
    <row r="3719" spans="1:14" hidden="1">
      <c r="A3719" s="100" t="s">
        <v>862</v>
      </c>
      <c r="B3719" s="101" t="s">
        <v>6946</v>
      </c>
      <c r="C3719" s="115" t="s">
        <v>6947</v>
      </c>
      <c r="D3719" s="38"/>
      <c r="E3719" s="42">
        <v>1</v>
      </c>
      <c r="F3719" s="9"/>
      <c r="G3719" s="8">
        <f t="shared" si="124"/>
        <v>29.360099999999999</v>
      </c>
      <c r="H3719" s="188">
        <v>27.962</v>
      </c>
      <c r="I3719" s="19">
        <f t="shared" si="125"/>
        <v>0</v>
      </c>
      <c r="L3719" s="131"/>
      <c r="M3719" s="131"/>
      <c r="N3719" s="131"/>
    </row>
    <row r="3720" spans="1:14" hidden="1">
      <c r="A3720" s="100" t="s">
        <v>862</v>
      </c>
      <c r="B3720" s="101" t="s">
        <v>6948</v>
      </c>
      <c r="C3720" s="115" t="s">
        <v>6949</v>
      </c>
      <c r="D3720" s="38"/>
      <c r="E3720" s="42">
        <v>1</v>
      </c>
      <c r="F3720" s="9"/>
      <c r="G3720" s="8">
        <f t="shared" si="124"/>
        <v>30.634274999999999</v>
      </c>
      <c r="H3720" s="188">
        <v>29.1755</v>
      </c>
      <c r="I3720" s="19">
        <f t="shared" si="125"/>
        <v>0</v>
      </c>
      <c r="L3720" s="131"/>
      <c r="M3720" s="131"/>
      <c r="N3720" s="131"/>
    </row>
    <row r="3721" spans="1:14" hidden="1">
      <c r="A3721" s="100" t="s">
        <v>862</v>
      </c>
      <c r="B3721" s="101" t="s">
        <v>6950</v>
      </c>
      <c r="C3721" s="115" t="s">
        <v>6951</v>
      </c>
      <c r="D3721" s="38"/>
      <c r="E3721" s="42">
        <v>1</v>
      </c>
      <c r="F3721" s="9"/>
      <c r="G3721" s="8">
        <f t="shared" si="124"/>
        <v>30.634274999999999</v>
      </c>
      <c r="H3721" s="188">
        <v>29.1755</v>
      </c>
      <c r="I3721" s="19">
        <f t="shared" si="125"/>
        <v>0</v>
      </c>
      <c r="L3721" s="131"/>
      <c r="M3721" s="131"/>
      <c r="N3721" s="131"/>
    </row>
    <row r="3722" spans="1:14" hidden="1">
      <c r="A3722" s="100" t="s">
        <v>862</v>
      </c>
      <c r="B3722" s="101" t="s">
        <v>6952</v>
      </c>
      <c r="C3722" s="115" t="s">
        <v>6953</v>
      </c>
      <c r="D3722" s="38"/>
      <c r="E3722" s="42">
        <v>1</v>
      </c>
      <c r="F3722" s="9"/>
      <c r="G3722" s="8">
        <f t="shared" si="124"/>
        <v>24.816750000000003</v>
      </c>
      <c r="H3722" s="188">
        <v>23.635000000000002</v>
      </c>
      <c r="I3722" s="19">
        <f t="shared" si="125"/>
        <v>0</v>
      </c>
      <c r="L3722" s="131"/>
      <c r="M3722" s="131"/>
      <c r="N3722" s="131"/>
    </row>
    <row r="3723" spans="1:14" hidden="1">
      <c r="A3723" s="100" t="s">
        <v>862</v>
      </c>
      <c r="B3723" s="101" t="s">
        <v>6954</v>
      </c>
      <c r="C3723" s="115" t="s">
        <v>6955</v>
      </c>
      <c r="D3723" s="38"/>
      <c r="E3723" s="42">
        <v>1</v>
      </c>
      <c r="F3723" s="9"/>
      <c r="G3723" s="8">
        <f t="shared" si="124"/>
        <v>31.918950000000002</v>
      </c>
      <c r="H3723" s="188">
        <v>30.399000000000001</v>
      </c>
      <c r="I3723" s="19">
        <f t="shared" si="125"/>
        <v>0</v>
      </c>
      <c r="L3723" s="131"/>
      <c r="M3723" s="131"/>
      <c r="N3723" s="131"/>
    </row>
    <row r="3724" spans="1:14" hidden="1">
      <c r="A3724" s="100" t="s">
        <v>862</v>
      </c>
      <c r="B3724" s="101" t="s">
        <v>6956</v>
      </c>
      <c r="C3724" s="115" t="s">
        <v>6957</v>
      </c>
      <c r="D3724" s="38"/>
      <c r="E3724" s="42">
        <v>1</v>
      </c>
      <c r="F3724" s="9"/>
      <c r="G3724" s="8">
        <f t="shared" si="124"/>
        <v>31.918950000000002</v>
      </c>
      <c r="H3724" s="188">
        <v>30.399000000000001</v>
      </c>
      <c r="I3724" s="19">
        <f t="shared" si="125"/>
        <v>0</v>
      </c>
      <c r="L3724" s="131"/>
      <c r="M3724" s="131"/>
      <c r="N3724" s="131"/>
    </row>
    <row r="3725" spans="1:14" hidden="1">
      <c r="A3725" s="100" t="s">
        <v>862</v>
      </c>
      <c r="B3725" s="101" t="s">
        <v>6958</v>
      </c>
      <c r="C3725" s="115" t="s">
        <v>6959</v>
      </c>
      <c r="D3725" s="38"/>
      <c r="E3725" s="42">
        <v>1</v>
      </c>
      <c r="F3725" s="9"/>
      <c r="G3725" s="8">
        <f t="shared" si="124"/>
        <v>34.517700000000005</v>
      </c>
      <c r="H3725" s="188">
        <v>32.874000000000002</v>
      </c>
      <c r="I3725" s="19">
        <f t="shared" si="125"/>
        <v>0</v>
      </c>
      <c r="L3725" s="131"/>
      <c r="M3725" s="131"/>
      <c r="N3725" s="131"/>
    </row>
    <row r="3726" spans="1:14" hidden="1">
      <c r="A3726" s="100" t="s">
        <v>862</v>
      </c>
      <c r="B3726" s="101" t="s">
        <v>6960</v>
      </c>
      <c r="C3726" s="115" t="s">
        <v>6961</v>
      </c>
      <c r="D3726" s="38"/>
      <c r="E3726" s="42">
        <v>1</v>
      </c>
      <c r="F3726" s="9"/>
      <c r="G3726" s="8">
        <f t="shared" si="124"/>
        <v>30.001125000000002</v>
      </c>
      <c r="H3726" s="188">
        <v>28.572500000000002</v>
      </c>
      <c r="I3726" s="19">
        <f t="shared" si="125"/>
        <v>0</v>
      </c>
      <c r="L3726" s="131"/>
      <c r="M3726" s="131"/>
      <c r="N3726" s="131"/>
    </row>
    <row r="3727" spans="1:14" hidden="1">
      <c r="A3727" s="100" t="s">
        <v>862</v>
      </c>
      <c r="B3727" s="101" t="s">
        <v>6962</v>
      </c>
      <c r="C3727" s="115" t="s">
        <v>6963</v>
      </c>
      <c r="D3727" s="38"/>
      <c r="E3727" s="42">
        <v>1</v>
      </c>
      <c r="F3727" s="9"/>
      <c r="G3727" s="8">
        <f t="shared" si="124"/>
        <v>34.517700000000005</v>
      </c>
      <c r="H3727" s="188">
        <v>32.874000000000002</v>
      </c>
      <c r="I3727" s="19">
        <f t="shared" si="125"/>
        <v>0</v>
      </c>
      <c r="L3727" s="131"/>
      <c r="M3727" s="131"/>
      <c r="N3727" s="131"/>
    </row>
    <row r="3728" spans="1:14" hidden="1">
      <c r="A3728" s="100" t="s">
        <v>862</v>
      </c>
      <c r="B3728" s="101" t="s">
        <v>6964</v>
      </c>
      <c r="C3728" s="115" t="s">
        <v>6965</v>
      </c>
      <c r="D3728" s="38"/>
      <c r="E3728" s="42">
        <v>1</v>
      </c>
      <c r="F3728" s="9"/>
      <c r="G3728" s="8">
        <f t="shared" si="124"/>
        <v>38.961300000000001</v>
      </c>
      <c r="H3728" s="188">
        <v>37.106000000000002</v>
      </c>
      <c r="I3728" s="19">
        <f t="shared" si="125"/>
        <v>0</v>
      </c>
      <c r="L3728" s="131"/>
      <c r="M3728" s="131"/>
      <c r="N3728" s="131"/>
    </row>
    <row r="3729" spans="1:14" hidden="1">
      <c r="A3729" s="100" t="s">
        <v>862</v>
      </c>
      <c r="B3729" s="101" t="s">
        <v>6966</v>
      </c>
      <c r="C3729" s="115" t="s">
        <v>6967</v>
      </c>
      <c r="D3729" s="38"/>
      <c r="E3729" s="42">
        <v>1</v>
      </c>
      <c r="F3729" s="9"/>
      <c r="G3729" s="8">
        <f t="shared" si="124"/>
        <v>68.756100000000004</v>
      </c>
      <c r="H3729" s="188">
        <v>65.481999999999999</v>
      </c>
      <c r="I3729" s="19">
        <f t="shared" si="125"/>
        <v>0</v>
      </c>
      <c r="L3729" s="131"/>
      <c r="M3729" s="131"/>
      <c r="N3729" s="131"/>
    </row>
    <row r="3730" spans="1:14" hidden="1">
      <c r="A3730" s="100" t="s">
        <v>862</v>
      </c>
      <c r="B3730" s="101" t="s">
        <v>6968</v>
      </c>
      <c r="C3730" s="115" t="s">
        <v>6969</v>
      </c>
      <c r="D3730" s="38"/>
      <c r="E3730" s="42">
        <v>1</v>
      </c>
      <c r="F3730" s="9"/>
      <c r="G3730" s="8">
        <f t="shared" si="124"/>
        <v>38.961300000000001</v>
      </c>
      <c r="H3730" s="188">
        <v>37.106000000000002</v>
      </c>
      <c r="I3730" s="19">
        <f t="shared" si="125"/>
        <v>0</v>
      </c>
      <c r="L3730" s="131"/>
      <c r="M3730" s="131"/>
      <c r="N3730" s="131"/>
    </row>
    <row r="3731" spans="1:14" hidden="1">
      <c r="A3731" s="100" t="s">
        <v>862</v>
      </c>
      <c r="B3731" s="101" t="s">
        <v>6970</v>
      </c>
      <c r="C3731" s="115" t="s">
        <v>6971</v>
      </c>
      <c r="D3731" s="38"/>
      <c r="E3731" s="42">
        <v>1</v>
      </c>
      <c r="F3731" s="9"/>
      <c r="G3731" s="8">
        <f t="shared" si="124"/>
        <v>68.756100000000004</v>
      </c>
      <c r="H3731" s="188">
        <v>65.481999999999999</v>
      </c>
      <c r="I3731" s="19">
        <f t="shared" si="125"/>
        <v>0</v>
      </c>
      <c r="L3731" s="131"/>
      <c r="M3731" s="131"/>
      <c r="N3731" s="131"/>
    </row>
    <row r="3732" spans="1:14" hidden="1">
      <c r="A3732" s="100" t="s">
        <v>862</v>
      </c>
      <c r="B3732" s="101" t="s">
        <v>6972</v>
      </c>
      <c r="C3732" s="115" t="s">
        <v>6973</v>
      </c>
      <c r="D3732" s="38"/>
      <c r="E3732" s="42">
        <v>1</v>
      </c>
      <c r="F3732" s="9"/>
      <c r="G3732" s="8">
        <f t="shared" si="124"/>
        <v>43.155524999999997</v>
      </c>
      <c r="H3732" s="188">
        <v>41.100499999999997</v>
      </c>
      <c r="I3732" s="19">
        <f t="shared" si="125"/>
        <v>0</v>
      </c>
      <c r="L3732" s="131"/>
      <c r="M3732" s="131"/>
      <c r="N3732" s="131"/>
    </row>
    <row r="3733" spans="1:14" hidden="1">
      <c r="A3733" s="100" t="s">
        <v>862</v>
      </c>
      <c r="B3733" s="101" t="s">
        <v>6974</v>
      </c>
      <c r="C3733" s="115" t="s">
        <v>6975</v>
      </c>
      <c r="D3733" s="38"/>
      <c r="E3733" s="42">
        <v>1</v>
      </c>
      <c r="F3733" s="9"/>
      <c r="G3733" s="8">
        <f t="shared" si="124"/>
        <v>76.156499999999994</v>
      </c>
      <c r="H3733" s="188">
        <v>72.53</v>
      </c>
      <c r="I3733" s="19">
        <f t="shared" si="125"/>
        <v>0</v>
      </c>
      <c r="L3733" s="131"/>
      <c r="M3733" s="131"/>
      <c r="N3733" s="131"/>
    </row>
    <row r="3734" spans="1:14" hidden="1">
      <c r="A3734" s="100" t="s">
        <v>862</v>
      </c>
      <c r="B3734" s="101" t="s">
        <v>6976</v>
      </c>
      <c r="C3734" s="115" t="s">
        <v>6977</v>
      </c>
      <c r="D3734" s="38"/>
      <c r="E3734" s="42">
        <v>1</v>
      </c>
      <c r="F3734" s="9"/>
      <c r="G3734" s="8">
        <f t="shared" si="124"/>
        <v>43.155524999999997</v>
      </c>
      <c r="H3734" s="188">
        <v>41.100499999999997</v>
      </c>
      <c r="I3734" s="19">
        <f t="shared" si="125"/>
        <v>0</v>
      </c>
      <c r="L3734" s="131"/>
      <c r="M3734" s="131"/>
      <c r="N3734" s="131"/>
    </row>
    <row r="3735" spans="1:14" hidden="1">
      <c r="A3735" s="100" t="s">
        <v>862</v>
      </c>
      <c r="B3735" s="101" t="s">
        <v>6978</v>
      </c>
      <c r="C3735" s="115" t="s">
        <v>6979</v>
      </c>
      <c r="D3735" s="38"/>
      <c r="E3735" s="42">
        <v>1</v>
      </c>
      <c r="F3735" s="9"/>
      <c r="G3735" s="8">
        <f t="shared" si="124"/>
        <v>76.156499999999994</v>
      </c>
      <c r="H3735" s="188">
        <v>72.53</v>
      </c>
      <c r="I3735" s="19">
        <f t="shared" si="125"/>
        <v>0</v>
      </c>
      <c r="L3735" s="131"/>
      <c r="M3735" s="131"/>
      <c r="N3735" s="131"/>
    </row>
    <row r="3736" spans="1:14" hidden="1">
      <c r="A3736" s="100" t="s">
        <v>862</v>
      </c>
      <c r="B3736" s="101" t="s">
        <v>6980</v>
      </c>
      <c r="C3736" s="115" t="s">
        <v>6981</v>
      </c>
      <c r="D3736" s="38"/>
      <c r="E3736" s="42">
        <v>1</v>
      </c>
      <c r="F3736" s="9"/>
      <c r="G3736" s="8">
        <f t="shared" si="124"/>
        <v>47.403300000000002</v>
      </c>
      <c r="H3736" s="188">
        <v>45.146000000000001</v>
      </c>
      <c r="I3736" s="19">
        <f t="shared" si="125"/>
        <v>0</v>
      </c>
      <c r="L3736" s="131"/>
      <c r="M3736" s="131"/>
      <c r="N3736" s="131"/>
    </row>
    <row r="3737" spans="1:14" hidden="1">
      <c r="A3737" s="100" t="s">
        <v>862</v>
      </c>
      <c r="B3737" s="101" t="s">
        <v>6982</v>
      </c>
      <c r="C3737" s="115" t="s">
        <v>6983</v>
      </c>
      <c r="D3737" s="38"/>
      <c r="E3737" s="42">
        <v>1</v>
      </c>
      <c r="F3737" s="9"/>
      <c r="G3737" s="8">
        <f t="shared" si="124"/>
        <v>83.653500000000008</v>
      </c>
      <c r="H3737" s="188">
        <v>79.67</v>
      </c>
      <c r="I3737" s="19">
        <f t="shared" si="125"/>
        <v>0</v>
      </c>
      <c r="L3737" s="131"/>
      <c r="M3737" s="131"/>
      <c r="N3737" s="131"/>
    </row>
    <row r="3738" spans="1:14" hidden="1">
      <c r="A3738" s="100" t="s">
        <v>862</v>
      </c>
      <c r="B3738" s="101" t="s">
        <v>6984</v>
      </c>
      <c r="C3738" s="115" t="s">
        <v>6985</v>
      </c>
      <c r="D3738" s="38"/>
      <c r="E3738" s="42">
        <v>1</v>
      </c>
      <c r="F3738" s="9"/>
      <c r="G3738" s="8">
        <f t="shared" si="124"/>
        <v>47.403300000000002</v>
      </c>
      <c r="H3738" s="188">
        <v>45.146000000000001</v>
      </c>
      <c r="I3738" s="19">
        <f t="shared" si="125"/>
        <v>0</v>
      </c>
      <c r="L3738" s="131"/>
      <c r="M3738" s="131"/>
      <c r="N3738" s="131"/>
    </row>
    <row r="3739" spans="1:14" hidden="1">
      <c r="A3739" s="100" t="s">
        <v>862</v>
      </c>
      <c r="B3739" s="101" t="s">
        <v>6986</v>
      </c>
      <c r="C3739" s="115" t="s">
        <v>6987</v>
      </c>
      <c r="D3739" s="38"/>
      <c r="E3739" s="42">
        <v>1</v>
      </c>
      <c r="F3739" s="9"/>
      <c r="G3739" s="8">
        <f t="shared" si="124"/>
        <v>83.653500000000008</v>
      </c>
      <c r="H3739" s="188">
        <v>79.67</v>
      </c>
      <c r="I3739" s="19">
        <f t="shared" si="125"/>
        <v>0</v>
      </c>
      <c r="L3739" s="131"/>
      <c r="M3739" s="131"/>
      <c r="N3739" s="131"/>
    </row>
    <row r="3740" spans="1:14" hidden="1">
      <c r="A3740" s="100" t="s">
        <v>862</v>
      </c>
      <c r="B3740" s="101" t="s">
        <v>6988</v>
      </c>
      <c r="C3740" s="115" t="s">
        <v>6989</v>
      </c>
      <c r="D3740" s="38"/>
      <c r="E3740" s="42">
        <v>1</v>
      </c>
      <c r="F3740" s="9"/>
      <c r="G3740" s="8">
        <f t="shared" si="124"/>
        <v>49.547924999999999</v>
      </c>
      <c r="H3740" s="188">
        <v>47.188499999999998</v>
      </c>
      <c r="I3740" s="19">
        <f t="shared" si="125"/>
        <v>0</v>
      </c>
      <c r="L3740" s="131"/>
      <c r="M3740" s="131"/>
      <c r="N3740" s="131"/>
    </row>
    <row r="3741" spans="1:14" hidden="1">
      <c r="A3741" s="100" t="s">
        <v>862</v>
      </c>
      <c r="B3741" s="101" t="s">
        <v>6990</v>
      </c>
      <c r="C3741" s="115" t="s">
        <v>6991</v>
      </c>
      <c r="D3741" s="38"/>
      <c r="E3741" s="42">
        <v>1</v>
      </c>
      <c r="F3741" s="9"/>
      <c r="G3741" s="8">
        <f t="shared" si="124"/>
        <v>87.437174999999996</v>
      </c>
      <c r="H3741" s="188">
        <v>83.273499999999999</v>
      </c>
      <c r="I3741" s="19">
        <f t="shared" si="125"/>
        <v>0</v>
      </c>
      <c r="L3741" s="131"/>
      <c r="M3741" s="131"/>
      <c r="N3741" s="131"/>
    </row>
    <row r="3742" spans="1:14" hidden="1">
      <c r="A3742" s="100" t="s">
        <v>862</v>
      </c>
      <c r="B3742" s="101" t="s">
        <v>6992</v>
      </c>
      <c r="C3742" s="115" t="s">
        <v>6993</v>
      </c>
      <c r="D3742" s="38"/>
      <c r="E3742" s="42">
        <v>1</v>
      </c>
      <c r="F3742" s="9"/>
      <c r="G3742" s="8">
        <f t="shared" si="124"/>
        <v>49.547924999999999</v>
      </c>
      <c r="H3742" s="188">
        <v>47.188499999999998</v>
      </c>
      <c r="I3742" s="19">
        <f t="shared" si="125"/>
        <v>0</v>
      </c>
      <c r="L3742" s="131"/>
      <c r="M3742" s="131"/>
      <c r="N3742" s="131"/>
    </row>
    <row r="3743" spans="1:14" hidden="1">
      <c r="A3743" s="100" t="s">
        <v>862</v>
      </c>
      <c r="B3743" s="101" t="s">
        <v>6994</v>
      </c>
      <c r="C3743" s="115" t="s">
        <v>6995</v>
      </c>
      <c r="D3743" s="38"/>
      <c r="E3743" s="42">
        <v>1</v>
      </c>
      <c r="F3743" s="9"/>
      <c r="G3743" s="8">
        <f t="shared" si="124"/>
        <v>87.437174999999996</v>
      </c>
      <c r="H3743" s="188">
        <v>83.273499999999999</v>
      </c>
      <c r="I3743" s="19">
        <f t="shared" si="125"/>
        <v>0</v>
      </c>
      <c r="L3743" s="131"/>
      <c r="M3743" s="131"/>
      <c r="N3743" s="131"/>
    </row>
    <row r="3744" spans="1:14" hidden="1">
      <c r="A3744" s="100" t="s">
        <v>862</v>
      </c>
      <c r="B3744" s="101" t="s">
        <v>6996</v>
      </c>
      <c r="C3744" s="115" t="s">
        <v>6997</v>
      </c>
      <c r="D3744" s="38"/>
      <c r="E3744" s="42">
        <v>1</v>
      </c>
      <c r="F3744" s="9"/>
      <c r="G3744" s="8">
        <f t="shared" si="124"/>
        <v>51.705674999999999</v>
      </c>
      <c r="H3744" s="188">
        <v>49.243499999999997</v>
      </c>
      <c r="I3744" s="19">
        <f t="shared" si="125"/>
        <v>0</v>
      </c>
      <c r="L3744" s="131"/>
      <c r="M3744" s="131"/>
      <c r="N3744" s="131"/>
    </row>
    <row r="3745" spans="1:14" hidden="1">
      <c r="A3745" s="100" t="s">
        <v>862</v>
      </c>
      <c r="B3745" s="101" t="s">
        <v>6998</v>
      </c>
      <c r="C3745" s="115" t="s">
        <v>6999</v>
      </c>
      <c r="D3745" s="38"/>
      <c r="E3745" s="42">
        <v>1</v>
      </c>
      <c r="F3745" s="9"/>
      <c r="G3745" s="8">
        <f t="shared" si="124"/>
        <v>91.245524999999986</v>
      </c>
      <c r="H3745" s="188">
        <v>86.900499999999994</v>
      </c>
      <c r="I3745" s="19">
        <f t="shared" si="125"/>
        <v>0</v>
      </c>
      <c r="L3745" s="131"/>
      <c r="M3745" s="131"/>
      <c r="N3745" s="131"/>
    </row>
    <row r="3746" spans="1:14" hidden="1">
      <c r="A3746" s="100" t="s">
        <v>862</v>
      </c>
      <c r="B3746" s="101" t="s">
        <v>7000</v>
      </c>
      <c r="C3746" s="115" t="s">
        <v>7001</v>
      </c>
      <c r="D3746" s="38"/>
      <c r="E3746" s="42">
        <v>1</v>
      </c>
      <c r="F3746" s="9"/>
      <c r="G3746" s="8">
        <f t="shared" si="124"/>
        <v>51.705674999999999</v>
      </c>
      <c r="H3746" s="188">
        <v>49.243499999999997</v>
      </c>
      <c r="I3746" s="19">
        <f t="shared" si="125"/>
        <v>0</v>
      </c>
      <c r="L3746" s="131"/>
      <c r="M3746" s="131"/>
      <c r="N3746" s="131"/>
    </row>
    <row r="3747" spans="1:14" hidden="1">
      <c r="A3747" s="100" t="s">
        <v>862</v>
      </c>
      <c r="B3747" s="101" t="s">
        <v>7002</v>
      </c>
      <c r="C3747" s="115" t="s">
        <v>7003</v>
      </c>
      <c r="D3747" s="38"/>
      <c r="E3747" s="42">
        <v>1</v>
      </c>
      <c r="F3747" s="9"/>
      <c r="G3747" s="8">
        <f t="shared" si="124"/>
        <v>91.245524999999986</v>
      </c>
      <c r="H3747" s="188">
        <v>86.900499999999994</v>
      </c>
      <c r="I3747" s="19">
        <f t="shared" si="125"/>
        <v>0</v>
      </c>
      <c r="L3747" s="131"/>
      <c r="M3747" s="131"/>
      <c r="N3747" s="131"/>
    </row>
    <row r="3748" spans="1:14" hidden="1">
      <c r="A3748" s="100" t="s">
        <v>862</v>
      </c>
      <c r="B3748" s="101" t="s">
        <v>7004</v>
      </c>
      <c r="C3748" s="115" t="s">
        <v>7005</v>
      </c>
      <c r="D3748" s="38"/>
      <c r="E3748" s="42">
        <v>1</v>
      </c>
      <c r="F3748" s="9"/>
      <c r="G3748" s="8">
        <f t="shared" si="124"/>
        <v>56.061600000000006</v>
      </c>
      <c r="H3748" s="188">
        <v>53.392000000000003</v>
      </c>
      <c r="I3748" s="19">
        <f t="shared" si="125"/>
        <v>0</v>
      </c>
      <c r="L3748" s="131"/>
      <c r="M3748" s="131"/>
      <c r="N3748" s="131"/>
    </row>
    <row r="3749" spans="1:14" hidden="1">
      <c r="A3749" s="100" t="s">
        <v>862</v>
      </c>
      <c r="B3749" s="101" t="s">
        <v>7006</v>
      </c>
      <c r="C3749" s="115" t="s">
        <v>7007</v>
      </c>
      <c r="D3749" s="38"/>
      <c r="E3749" s="42">
        <v>1</v>
      </c>
      <c r="F3749" s="9"/>
      <c r="G3749" s="8">
        <f t="shared" ref="G3749:G3812" si="126">H3749+(H3749*5%)</f>
        <v>98.932050000000004</v>
      </c>
      <c r="H3749" s="188">
        <v>94.221000000000004</v>
      </c>
      <c r="I3749" s="19">
        <f t="shared" si="125"/>
        <v>0</v>
      </c>
      <c r="L3749" s="131"/>
      <c r="M3749" s="131"/>
      <c r="N3749" s="131"/>
    </row>
    <row r="3750" spans="1:14" hidden="1">
      <c r="A3750" s="100" t="s">
        <v>862</v>
      </c>
      <c r="B3750" s="101" t="s">
        <v>7008</v>
      </c>
      <c r="C3750" s="115" t="s">
        <v>7009</v>
      </c>
      <c r="D3750" s="38"/>
      <c r="E3750" s="42">
        <v>1</v>
      </c>
      <c r="F3750" s="9"/>
      <c r="G3750" s="8">
        <f t="shared" si="126"/>
        <v>56.061600000000006</v>
      </c>
      <c r="H3750" s="188">
        <v>53.392000000000003</v>
      </c>
      <c r="I3750" s="19">
        <f t="shared" si="125"/>
        <v>0</v>
      </c>
      <c r="L3750" s="131"/>
      <c r="M3750" s="131"/>
      <c r="N3750" s="131"/>
    </row>
    <row r="3751" spans="1:14" hidden="1">
      <c r="A3751" s="100" t="s">
        <v>862</v>
      </c>
      <c r="B3751" s="101" t="s">
        <v>7010</v>
      </c>
      <c r="C3751" s="115" t="s">
        <v>7011</v>
      </c>
      <c r="D3751" s="38"/>
      <c r="E3751" s="42">
        <v>1</v>
      </c>
      <c r="F3751" s="9"/>
      <c r="G3751" s="8">
        <f t="shared" si="126"/>
        <v>98.932050000000004</v>
      </c>
      <c r="H3751" s="188">
        <v>94.221000000000004</v>
      </c>
      <c r="I3751" s="19">
        <f t="shared" si="125"/>
        <v>0</v>
      </c>
      <c r="L3751" s="131"/>
      <c r="M3751" s="131"/>
      <c r="N3751" s="131"/>
    </row>
    <row r="3752" spans="1:14" hidden="1">
      <c r="A3752" s="100" t="s">
        <v>862</v>
      </c>
      <c r="B3752" s="101" t="s">
        <v>7012</v>
      </c>
      <c r="C3752" s="115" t="s">
        <v>7013</v>
      </c>
      <c r="D3752" s="38"/>
      <c r="E3752" s="42">
        <v>1</v>
      </c>
      <c r="F3752" s="9"/>
      <c r="G3752" s="8">
        <f t="shared" si="126"/>
        <v>60.471599999999995</v>
      </c>
      <c r="H3752" s="188">
        <v>57.591999999999999</v>
      </c>
      <c r="I3752" s="19">
        <f t="shared" ref="I3752:I3815" si="127">G3752*F3752</f>
        <v>0</v>
      </c>
      <c r="L3752" s="131"/>
      <c r="M3752" s="131"/>
      <c r="N3752" s="131"/>
    </row>
    <row r="3753" spans="1:14" hidden="1">
      <c r="A3753" s="100" t="s">
        <v>862</v>
      </c>
      <c r="B3753" s="101" t="s">
        <v>7014</v>
      </c>
      <c r="C3753" s="115" t="s">
        <v>7015</v>
      </c>
      <c r="D3753" s="38"/>
      <c r="E3753" s="42">
        <v>1</v>
      </c>
      <c r="F3753" s="9"/>
      <c r="G3753" s="8">
        <f t="shared" si="126"/>
        <v>106.715175</v>
      </c>
      <c r="H3753" s="188">
        <v>101.6335</v>
      </c>
      <c r="I3753" s="19">
        <f t="shared" si="127"/>
        <v>0</v>
      </c>
      <c r="L3753" s="131"/>
      <c r="M3753" s="131"/>
      <c r="N3753" s="131"/>
    </row>
    <row r="3754" spans="1:14" hidden="1">
      <c r="A3754" s="100" t="s">
        <v>862</v>
      </c>
      <c r="B3754" s="101" t="s">
        <v>7016</v>
      </c>
      <c r="C3754" s="115" t="s">
        <v>7017</v>
      </c>
      <c r="D3754" s="38"/>
      <c r="E3754" s="42">
        <v>1</v>
      </c>
      <c r="F3754" s="9"/>
      <c r="G3754" s="8">
        <f t="shared" si="126"/>
        <v>60.471599999999995</v>
      </c>
      <c r="H3754" s="188">
        <v>57.591999999999999</v>
      </c>
      <c r="I3754" s="19">
        <f t="shared" si="127"/>
        <v>0</v>
      </c>
      <c r="L3754" s="131"/>
      <c r="M3754" s="131"/>
      <c r="N3754" s="131"/>
    </row>
    <row r="3755" spans="1:14" hidden="1">
      <c r="A3755" s="100" t="s">
        <v>862</v>
      </c>
      <c r="B3755" s="101" t="s">
        <v>7018</v>
      </c>
      <c r="C3755" s="115" t="s">
        <v>7019</v>
      </c>
      <c r="D3755" s="38"/>
      <c r="E3755" s="42">
        <v>1</v>
      </c>
      <c r="F3755" s="9"/>
      <c r="G3755" s="8">
        <f t="shared" si="126"/>
        <v>106.715175</v>
      </c>
      <c r="H3755" s="188">
        <v>101.6335</v>
      </c>
      <c r="I3755" s="19">
        <f t="shared" si="127"/>
        <v>0</v>
      </c>
      <c r="L3755" s="131"/>
      <c r="M3755" s="131"/>
      <c r="N3755" s="131"/>
    </row>
    <row r="3756" spans="1:14" hidden="1">
      <c r="A3756" s="100" t="s">
        <v>862</v>
      </c>
      <c r="B3756" s="101" t="s">
        <v>7020</v>
      </c>
      <c r="C3756" s="115" t="s">
        <v>7021</v>
      </c>
      <c r="D3756" s="38"/>
      <c r="E3756" s="42">
        <v>1</v>
      </c>
      <c r="F3756" s="9"/>
      <c r="G3756" s="8">
        <f t="shared" si="126"/>
        <v>20.685525000000002</v>
      </c>
      <c r="H3756" s="188">
        <v>19.700500000000002</v>
      </c>
      <c r="I3756" s="19">
        <f t="shared" si="127"/>
        <v>0</v>
      </c>
      <c r="L3756" s="131"/>
      <c r="M3756" s="131"/>
      <c r="N3756" s="131"/>
    </row>
    <row r="3757" spans="1:14" hidden="1">
      <c r="A3757" s="100" t="s">
        <v>862</v>
      </c>
      <c r="B3757" s="101" t="s">
        <v>7022</v>
      </c>
      <c r="C3757" s="115" t="s">
        <v>7023</v>
      </c>
      <c r="D3757" s="38"/>
      <c r="E3757" s="42">
        <v>1</v>
      </c>
      <c r="F3757" s="9"/>
      <c r="G3757" s="8">
        <f t="shared" si="126"/>
        <v>20.685525000000002</v>
      </c>
      <c r="H3757" s="188">
        <v>19.700500000000002</v>
      </c>
      <c r="I3757" s="19">
        <f t="shared" si="127"/>
        <v>0</v>
      </c>
      <c r="L3757" s="131"/>
      <c r="M3757" s="131"/>
      <c r="N3757" s="131"/>
    </row>
    <row r="3758" spans="1:14" hidden="1">
      <c r="A3758" s="100" t="s">
        <v>862</v>
      </c>
      <c r="B3758" s="101" t="s">
        <v>7024</v>
      </c>
      <c r="C3758" s="115" t="s">
        <v>7025</v>
      </c>
      <c r="D3758" s="38"/>
      <c r="E3758" s="42">
        <v>1</v>
      </c>
      <c r="F3758" s="9"/>
      <c r="G3758" s="8">
        <f t="shared" si="126"/>
        <v>13.301925000000001</v>
      </c>
      <c r="H3758" s="188">
        <v>12.6685</v>
      </c>
      <c r="I3758" s="19">
        <f t="shared" si="127"/>
        <v>0</v>
      </c>
      <c r="L3758" s="131"/>
      <c r="M3758" s="131"/>
      <c r="N3758" s="131"/>
    </row>
    <row r="3759" spans="1:14" hidden="1">
      <c r="A3759" s="100" t="s">
        <v>862</v>
      </c>
      <c r="B3759" s="101" t="s">
        <v>7026</v>
      </c>
      <c r="C3759" s="115" t="s">
        <v>7027</v>
      </c>
      <c r="D3759" s="38"/>
      <c r="E3759" s="42">
        <v>1</v>
      </c>
      <c r="F3759" s="9"/>
      <c r="G3759" s="8">
        <f t="shared" si="126"/>
        <v>18.796574999999997</v>
      </c>
      <c r="H3759" s="188">
        <v>17.901499999999999</v>
      </c>
      <c r="I3759" s="19">
        <f t="shared" si="127"/>
        <v>0</v>
      </c>
      <c r="L3759" s="131"/>
      <c r="M3759" s="131"/>
      <c r="N3759" s="131"/>
    </row>
    <row r="3760" spans="1:14" hidden="1">
      <c r="A3760" s="100" t="s">
        <v>862</v>
      </c>
      <c r="B3760" s="101" t="s">
        <v>7028</v>
      </c>
      <c r="C3760" s="115" t="s">
        <v>7029</v>
      </c>
      <c r="D3760" s="38"/>
      <c r="E3760" s="42">
        <v>1</v>
      </c>
      <c r="F3760" s="9"/>
      <c r="G3760" s="8">
        <f t="shared" si="126"/>
        <v>22.471574999999998</v>
      </c>
      <c r="H3760" s="188">
        <v>21.401499999999999</v>
      </c>
      <c r="I3760" s="19">
        <f t="shared" si="127"/>
        <v>0</v>
      </c>
      <c r="L3760" s="131"/>
      <c r="M3760" s="131"/>
      <c r="N3760" s="131"/>
    </row>
    <row r="3761" spans="1:14" hidden="1">
      <c r="A3761" s="100" t="s">
        <v>862</v>
      </c>
      <c r="B3761" s="101" t="s">
        <v>7030</v>
      </c>
      <c r="C3761" s="115" t="s">
        <v>7031</v>
      </c>
      <c r="D3761" s="38"/>
      <c r="E3761" s="42">
        <v>1</v>
      </c>
      <c r="F3761" s="9"/>
      <c r="G3761" s="8">
        <f t="shared" si="126"/>
        <v>13.301925000000001</v>
      </c>
      <c r="H3761" s="188">
        <v>12.6685</v>
      </c>
      <c r="I3761" s="19">
        <f t="shared" si="127"/>
        <v>0</v>
      </c>
      <c r="L3761" s="131"/>
      <c r="M3761" s="131"/>
      <c r="N3761" s="131"/>
    </row>
    <row r="3762" spans="1:14" hidden="1">
      <c r="A3762" s="100" t="s">
        <v>862</v>
      </c>
      <c r="B3762" s="101" t="s">
        <v>7032</v>
      </c>
      <c r="C3762" s="115" t="s">
        <v>7033</v>
      </c>
      <c r="D3762" s="38"/>
      <c r="E3762" s="42">
        <v>1</v>
      </c>
      <c r="F3762" s="9"/>
      <c r="G3762" s="8">
        <f t="shared" si="126"/>
        <v>18.796574999999997</v>
      </c>
      <c r="H3762" s="188">
        <v>17.901499999999999</v>
      </c>
      <c r="I3762" s="19">
        <f t="shared" si="127"/>
        <v>0</v>
      </c>
      <c r="L3762" s="131"/>
      <c r="M3762" s="131"/>
      <c r="N3762" s="131"/>
    </row>
    <row r="3763" spans="1:14" hidden="1">
      <c r="A3763" s="100" t="s">
        <v>862</v>
      </c>
      <c r="B3763" s="101" t="s">
        <v>7034</v>
      </c>
      <c r="C3763" s="115" t="s">
        <v>7035</v>
      </c>
      <c r="D3763" s="38"/>
      <c r="E3763" s="42">
        <v>1</v>
      </c>
      <c r="F3763" s="9"/>
      <c r="G3763" s="8">
        <f t="shared" si="126"/>
        <v>22.471574999999998</v>
      </c>
      <c r="H3763" s="188">
        <v>21.401499999999999</v>
      </c>
      <c r="I3763" s="19">
        <f t="shared" si="127"/>
        <v>0</v>
      </c>
      <c r="L3763" s="131"/>
      <c r="M3763" s="131"/>
      <c r="N3763" s="131"/>
    </row>
    <row r="3764" spans="1:14" hidden="1">
      <c r="A3764" s="100" t="s">
        <v>862</v>
      </c>
      <c r="B3764" s="101" t="s">
        <v>7036</v>
      </c>
      <c r="C3764" s="115" t="s">
        <v>7037</v>
      </c>
      <c r="D3764" s="38"/>
      <c r="E3764" s="42">
        <v>1</v>
      </c>
      <c r="F3764" s="9"/>
      <c r="G3764" s="8">
        <f t="shared" si="126"/>
        <v>16.994249999999997</v>
      </c>
      <c r="H3764" s="188">
        <v>16.184999999999999</v>
      </c>
      <c r="I3764" s="19">
        <f t="shared" si="127"/>
        <v>0</v>
      </c>
      <c r="L3764" s="131"/>
      <c r="M3764" s="131"/>
      <c r="N3764" s="131"/>
    </row>
    <row r="3765" spans="1:14" hidden="1">
      <c r="A3765" s="100" t="s">
        <v>862</v>
      </c>
      <c r="B3765" s="101" t="s">
        <v>7038</v>
      </c>
      <c r="C3765" s="115" t="s">
        <v>7039</v>
      </c>
      <c r="D3765" s="38"/>
      <c r="E3765" s="42">
        <v>1</v>
      </c>
      <c r="F3765" s="9"/>
      <c r="G3765" s="8">
        <f t="shared" si="126"/>
        <v>17.700375000000001</v>
      </c>
      <c r="H3765" s="188">
        <v>16.857500000000002</v>
      </c>
      <c r="I3765" s="19">
        <f t="shared" si="127"/>
        <v>0</v>
      </c>
      <c r="L3765" s="131"/>
      <c r="M3765" s="131"/>
      <c r="N3765" s="131"/>
    </row>
    <row r="3766" spans="1:14" hidden="1">
      <c r="A3766" s="100" t="s">
        <v>862</v>
      </c>
      <c r="B3766" s="101" t="s">
        <v>7040</v>
      </c>
      <c r="C3766" s="115" t="s">
        <v>7041</v>
      </c>
      <c r="D3766" s="38"/>
      <c r="E3766" s="42">
        <v>1</v>
      </c>
      <c r="F3766" s="9"/>
      <c r="G3766" s="8">
        <f t="shared" si="126"/>
        <v>18.427500000000002</v>
      </c>
      <c r="H3766" s="188">
        <v>17.55</v>
      </c>
      <c r="I3766" s="19">
        <f t="shared" si="127"/>
        <v>0</v>
      </c>
      <c r="L3766" s="131"/>
      <c r="M3766" s="131"/>
      <c r="N3766" s="131"/>
    </row>
    <row r="3767" spans="1:14" hidden="1">
      <c r="A3767" s="100" t="s">
        <v>862</v>
      </c>
      <c r="B3767" s="101" t="s">
        <v>7042</v>
      </c>
      <c r="C3767" s="115" t="s">
        <v>7043</v>
      </c>
      <c r="D3767" s="38"/>
      <c r="E3767" s="42">
        <v>1</v>
      </c>
      <c r="F3767" s="9"/>
      <c r="G3767" s="8">
        <f t="shared" si="126"/>
        <v>20.041874999999997</v>
      </c>
      <c r="H3767" s="188">
        <v>19.087499999999999</v>
      </c>
      <c r="I3767" s="19">
        <f t="shared" si="127"/>
        <v>0</v>
      </c>
      <c r="L3767" s="131"/>
      <c r="M3767" s="131"/>
      <c r="N3767" s="131"/>
    </row>
    <row r="3768" spans="1:14" hidden="1">
      <c r="A3768" s="100" t="s">
        <v>862</v>
      </c>
      <c r="B3768" s="101" t="s">
        <v>7044</v>
      </c>
      <c r="C3768" s="115" t="s">
        <v>7045</v>
      </c>
      <c r="D3768" s="38"/>
      <c r="E3768" s="42">
        <v>1</v>
      </c>
      <c r="F3768" s="9"/>
      <c r="G3768" s="8">
        <f t="shared" si="126"/>
        <v>20.910225000000001</v>
      </c>
      <c r="H3768" s="188">
        <v>19.9145</v>
      </c>
      <c r="I3768" s="19">
        <f t="shared" si="127"/>
        <v>0</v>
      </c>
      <c r="L3768" s="131"/>
      <c r="M3768" s="131"/>
      <c r="N3768" s="131"/>
    </row>
    <row r="3769" spans="1:14" hidden="1">
      <c r="A3769" s="100" t="s">
        <v>862</v>
      </c>
      <c r="B3769" s="101" t="s">
        <v>7046</v>
      </c>
      <c r="C3769" s="115" t="s">
        <v>7047</v>
      </c>
      <c r="D3769" s="38"/>
      <c r="E3769" s="42">
        <v>1</v>
      </c>
      <c r="F3769" s="9"/>
      <c r="G3769" s="8">
        <f t="shared" si="126"/>
        <v>22.807575</v>
      </c>
      <c r="H3769" s="188">
        <v>21.721499999999999</v>
      </c>
      <c r="I3769" s="19">
        <f t="shared" si="127"/>
        <v>0</v>
      </c>
      <c r="L3769" s="131"/>
      <c r="M3769" s="131"/>
      <c r="N3769" s="131"/>
    </row>
    <row r="3770" spans="1:14" hidden="1">
      <c r="A3770" s="100" t="s">
        <v>862</v>
      </c>
      <c r="B3770" s="101" t="s">
        <v>7048</v>
      </c>
      <c r="C3770" s="115" t="s">
        <v>7049</v>
      </c>
      <c r="D3770" s="38"/>
      <c r="E3770" s="42">
        <v>1</v>
      </c>
      <c r="F3770" s="9"/>
      <c r="G3770" s="8">
        <f t="shared" si="126"/>
        <v>32.355224999999997</v>
      </c>
      <c r="H3770" s="188">
        <v>30.814499999999999</v>
      </c>
      <c r="I3770" s="19">
        <f t="shared" si="127"/>
        <v>0</v>
      </c>
      <c r="L3770" s="131"/>
      <c r="M3770" s="131"/>
      <c r="N3770" s="131"/>
    </row>
    <row r="3771" spans="1:14" hidden="1">
      <c r="A3771" s="100" t="s">
        <v>862</v>
      </c>
      <c r="B3771" s="101" t="s">
        <v>7050</v>
      </c>
      <c r="C3771" s="115" t="s">
        <v>7051</v>
      </c>
      <c r="D3771" s="38"/>
      <c r="E3771" s="42">
        <v>1</v>
      </c>
      <c r="F3771" s="9"/>
      <c r="G3771" s="8">
        <f t="shared" si="126"/>
        <v>16.994249999999997</v>
      </c>
      <c r="H3771" s="188">
        <v>16.184999999999999</v>
      </c>
      <c r="I3771" s="19">
        <f t="shared" si="127"/>
        <v>0</v>
      </c>
      <c r="L3771" s="131"/>
      <c r="M3771" s="131"/>
      <c r="N3771" s="131"/>
    </row>
    <row r="3772" spans="1:14" hidden="1">
      <c r="A3772" s="100" t="s">
        <v>862</v>
      </c>
      <c r="B3772" s="101" t="s">
        <v>7052</v>
      </c>
      <c r="C3772" s="115" t="s">
        <v>7053</v>
      </c>
      <c r="D3772" s="38"/>
      <c r="E3772" s="42">
        <v>1</v>
      </c>
      <c r="F3772" s="9"/>
      <c r="G3772" s="8">
        <f t="shared" si="126"/>
        <v>17.700375000000001</v>
      </c>
      <c r="H3772" s="188">
        <v>16.857500000000002</v>
      </c>
      <c r="I3772" s="19">
        <f t="shared" si="127"/>
        <v>0</v>
      </c>
      <c r="L3772" s="131"/>
      <c r="M3772" s="131"/>
      <c r="N3772" s="131"/>
    </row>
    <row r="3773" spans="1:14" hidden="1">
      <c r="A3773" s="100" t="s">
        <v>862</v>
      </c>
      <c r="B3773" s="101" t="s">
        <v>7054</v>
      </c>
      <c r="C3773" s="115" t="s">
        <v>7055</v>
      </c>
      <c r="D3773" s="38"/>
      <c r="E3773" s="42">
        <v>1</v>
      </c>
      <c r="F3773" s="9"/>
      <c r="G3773" s="8">
        <f t="shared" si="126"/>
        <v>18.427500000000002</v>
      </c>
      <c r="H3773" s="188">
        <v>17.55</v>
      </c>
      <c r="I3773" s="19">
        <f t="shared" si="127"/>
        <v>0</v>
      </c>
      <c r="L3773" s="131"/>
      <c r="M3773" s="131"/>
      <c r="N3773" s="131"/>
    </row>
    <row r="3774" spans="1:14" hidden="1">
      <c r="A3774" s="100" t="s">
        <v>862</v>
      </c>
      <c r="B3774" s="101" t="s">
        <v>7056</v>
      </c>
      <c r="C3774" s="115" t="s">
        <v>7057</v>
      </c>
      <c r="D3774" s="38"/>
      <c r="E3774" s="42">
        <v>1</v>
      </c>
      <c r="F3774" s="9"/>
      <c r="G3774" s="8">
        <f t="shared" si="126"/>
        <v>20.041874999999997</v>
      </c>
      <c r="H3774" s="188">
        <v>19.087499999999999</v>
      </c>
      <c r="I3774" s="19">
        <f t="shared" si="127"/>
        <v>0</v>
      </c>
      <c r="L3774" s="131"/>
      <c r="M3774" s="131"/>
      <c r="N3774" s="131"/>
    </row>
    <row r="3775" spans="1:14" hidden="1">
      <c r="A3775" s="100" t="s">
        <v>862</v>
      </c>
      <c r="B3775" s="101" t="s">
        <v>7058</v>
      </c>
      <c r="C3775" s="115" t="s">
        <v>7059</v>
      </c>
      <c r="D3775" s="38"/>
      <c r="E3775" s="42">
        <v>1</v>
      </c>
      <c r="F3775" s="9"/>
      <c r="G3775" s="8">
        <f t="shared" si="126"/>
        <v>20.910225000000001</v>
      </c>
      <c r="H3775" s="188">
        <v>19.9145</v>
      </c>
      <c r="I3775" s="19">
        <f t="shared" si="127"/>
        <v>0</v>
      </c>
      <c r="L3775" s="131"/>
      <c r="M3775" s="131"/>
      <c r="N3775" s="131"/>
    </row>
    <row r="3776" spans="1:14" hidden="1">
      <c r="A3776" s="100" t="s">
        <v>862</v>
      </c>
      <c r="B3776" s="101" t="s">
        <v>7060</v>
      </c>
      <c r="C3776" s="115" t="s">
        <v>7061</v>
      </c>
      <c r="D3776" s="38"/>
      <c r="E3776" s="42">
        <v>1</v>
      </c>
      <c r="F3776" s="9"/>
      <c r="G3776" s="8">
        <f t="shared" si="126"/>
        <v>22.807575</v>
      </c>
      <c r="H3776" s="188">
        <v>21.721499999999999</v>
      </c>
      <c r="I3776" s="19">
        <f t="shared" si="127"/>
        <v>0</v>
      </c>
      <c r="L3776" s="131"/>
      <c r="M3776" s="131"/>
      <c r="N3776" s="131"/>
    </row>
    <row r="3777" spans="1:14" hidden="1">
      <c r="A3777" s="100" t="s">
        <v>862</v>
      </c>
      <c r="B3777" s="101" t="s">
        <v>7062</v>
      </c>
      <c r="C3777" s="115" t="s">
        <v>7063</v>
      </c>
      <c r="D3777" s="38"/>
      <c r="E3777" s="42">
        <v>1</v>
      </c>
      <c r="F3777" s="9"/>
      <c r="G3777" s="8">
        <f t="shared" si="126"/>
        <v>32.355224999999997</v>
      </c>
      <c r="H3777" s="188">
        <v>30.814499999999999</v>
      </c>
      <c r="I3777" s="19">
        <f t="shared" si="127"/>
        <v>0</v>
      </c>
      <c r="L3777" s="131"/>
      <c r="M3777" s="131"/>
      <c r="N3777" s="131"/>
    </row>
    <row r="3778" spans="1:14" hidden="1">
      <c r="A3778" s="100" t="s">
        <v>862</v>
      </c>
      <c r="B3778" s="101" t="s">
        <v>7064</v>
      </c>
      <c r="C3778" s="115" t="s">
        <v>7065</v>
      </c>
      <c r="D3778" s="38"/>
      <c r="E3778" s="42">
        <v>1</v>
      </c>
      <c r="F3778" s="9"/>
      <c r="G3778" s="8">
        <f t="shared" si="126"/>
        <v>18.7593</v>
      </c>
      <c r="H3778" s="188">
        <v>17.866</v>
      </c>
      <c r="I3778" s="19">
        <f t="shared" si="127"/>
        <v>0</v>
      </c>
      <c r="L3778" s="131"/>
      <c r="M3778" s="131"/>
      <c r="N3778" s="131"/>
    </row>
    <row r="3779" spans="1:14" hidden="1">
      <c r="A3779" s="100" t="s">
        <v>862</v>
      </c>
      <c r="B3779" s="101" t="s">
        <v>7066</v>
      </c>
      <c r="C3779" s="115" t="s">
        <v>7067</v>
      </c>
      <c r="D3779" s="38"/>
      <c r="E3779" s="42">
        <v>1</v>
      </c>
      <c r="F3779" s="9"/>
      <c r="G3779" s="8">
        <f t="shared" si="126"/>
        <v>20.405175</v>
      </c>
      <c r="H3779" s="188">
        <v>19.433499999999999</v>
      </c>
      <c r="I3779" s="19">
        <f t="shared" si="127"/>
        <v>0</v>
      </c>
      <c r="L3779" s="131"/>
      <c r="M3779" s="131"/>
      <c r="N3779" s="131"/>
    </row>
    <row r="3780" spans="1:14" hidden="1">
      <c r="A3780" s="100" t="s">
        <v>862</v>
      </c>
      <c r="B3780" s="101" t="s">
        <v>7068</v>
      </c>
      <c r="C3780" s="115" t="s">
        <v>7069</v>
      </c>
      <c r="D3780" s="38"/>
      <c r="E3780" s="42">
        <v>1</v>
      </c>
      <c r="F3780" s="9"/>
      <c r="G3780" s="8">
        <f t="shared" si="126"/>
        <v>21.291374999999999</v>
      </c>
      <c r="H3780" s="188">
        <v>20.2775</v>
      </c>
      <c r="I3780" s="19">
        <f t="shared" si="127"/>
        <v>0</v>
      </c>
      <c r="L3780" s="131"/>
      <c r="M3780" s="131"/>
      <c r="N3780" s="131"/>
    </row>
    <row r="3781" spans="1:14" hidden="1">
      <c r="A3781" s="100" t="s">
        <v>862</v>
      </c>
      <c r="B3781" s="101" t="s">
        <v>7070</v>
      </c>
      <c r="C3781" s="115" t="s">
        <v>7071</v>
      </c>
      <c r="D3781" s="38"/>
      <c r="E3781" s="42">
        <v>1</v>
      </c>
      <c r="F3781" s="9"/>
      <c r="G3781" s="8">
        <f t="shared" si="126"/>
        <v>22.240575</v>
      </c>
      <c r="H3781" s="188">
        <v>21.1815</v>
      </c>
      <c r="I3781" s="19">
        <f t="shared" si="127"/>
        <v>0</v>
      </c>
      <c r="L3781" s="131"/>
      <c r="M3781" s="131"/>
      <c r="N3781" s="131"/>
    </row>
    <row r="3782" spans="1:14" hidden="1">
      <c r="A3782" s="100" t="s">
        <v>862</v>
      </c>
      <c r="B3782" s="101" t="s">
        <v>7072</v>
      </c>
      <c r="C3782" s="115" t="s">
        <v>7073</v>
      </c>
      <c r="D3782" s="38"/>
      <c r="E3782" s="42">
        <v>1</v>
      </c>
      <c r="F3782" s="9"/>
      <c r="G3782" s="8">
        <f t="shared" si="126"/>
        <v>25.405275</v>
      </c>
      <c r="H3782" s="188">
        <v>24.195499999999999</v>
      </c>
      <c r="I3782" s="19">
        <f t="shared" si="127"/>
        <v>0</v>
      </c>
      <c r="L3782" s="131"/>
      <c r="M3782" s="131"/>
      <c r="N3782" s="131"/>
    </row>
    <row r="3783" spans="1:14" hidden="1">
      <c r="A3783" s="100" t="s">
        <v>862</v>
      </c>
      <c r="B3783" s="101" t="s">
        <v>7074</v>
      </c>
      <c r="C3783" s="115" t="s">
        <v>7075</v>
      </c>
      <c r="D3783" s="38"/>
      <c r="E3783" s="42">
        <v>1</v>
      </c>
      <c r="F3783" s="9"/>
      <c r="G3783" s="8">
        <f t="shared" si="126"/>
        <v>18.7593</v>
      </c>
      <c r="H3783" s="188">
        <v>17.866</v>
      </c>
      <c r="I3783" s="19">
        <f t="shared" si="127"/>
        <v>0</v>
      </c>
      <c r="L3783" s="131"/>
      <c r="M3783" s="131"/>
      <c r="N3783" s="131"/>
    </row>
    <row r="3784" spans="1:14" hidden="1">
      <c r="A3784" s="100" t="s">
        <v>862</v>
      </c>
      <c r="B3784" s="101" t="s">
        <v>7076</v>
      </c>
      <c r="C3784" s="115" t="s">
        <v>7077</v>
      </c>
      <c r="D3784" s="38"/>
      <c r="E3784" s="42">
        <v>1</v>
      </c>
      <c r="F3784" s="9"/>
      <c r="G3784" s="8">
        <f t="shared" si="126"/>
        <v>20.405175</v>
      </c>
      <c r="H3784" s="188">
        <v>19.433499999999999</v>
      </c>
      <c r="I3784" s="19">
        <f t="shared" si="127"/>
        <v>0</v>
      </c>
      <c r="L3784" s="131"/>
      <c r="M3784" s="131"/>
      <c r="N3784" s="131"/>
    </row>
    <row r="3785" spans="1:14" hidden="1">
      <c r="A3785" s="100" t="s">
        <v>862</v>
      </c>
      <c r="B3785" s="101" t="s">
        <v>7078</v>
      </c>
      <c r="C3785" s="115" t="s">
        <v>7079</v>
      </c>
      <c r="D3785" s="38"/>
      <c r="E3785" s="42">
        <v>1</v>
      </c>
      <c r="F3785" s="9"/>
      <c r="G3785" s="8">
        <f t="shared" si="126"/>
        <v>21.291374999999999</v>
      </c>
      <c r="H3785" s="188">
        <v>20.2775</v>
      </c>
      <c r="I3785" s="19">
        <f t="shared" si="127"/>
        <v>0</v>
      </c>
      <c r="L3785" s="131"/>
      <c r="M3785" s="131"/>
      <c r="N3785" s="131"/>
    </row>
    <row r="3786" spans="1:14" hidden="1">
      <c r="A3786" s="100" t="s">
        <v>862</v>
      </c>
      <c r="B3786" s="101" t="s">
        <v>7080</v>
      </c>
      <c r="C3786" s="115" t="s">
        <v>7081</v>
      </c>
      <c r="D3786" s="38"/>
      <c r="E3786" s="42">
        <v>1</v>
      </c>
      <c r="F3786" s="9"/>
      <c r="G3786" s="8">
        <f t="shared" si="126"/>
        <v>22.240575</v>
      </c>
      <c r="H3786" s="188">
        <v>21.1815</v>
      </c>
      <c r="I3786" s="19">
        <f t="shared" si="127"/>
        <v>0</v>
      </c>
      <c r="L3786" s="131"/>
      <c r="M3786" s="131"/>
      <c r="N3786" s="131"/>
    </row>
    <row r="3787" spans="1:14" hidden="1">
      <c r="A3787" s="100" t="s">
        <v>862</v>
      </c>
      <c r="B3787" s="101" t="s">
        <v>7082</v>
      </c>
      <c r="C3787" s="115" t="s">
        <v>7083</v>
      </c>
      <c r="D3787" s="38"/>
      <c r="E3787" s="42">
        <v>1</v>
      </c>
      <c r="F3787" s="9"/>
      <c r="G3787" s="8">
        <f t="shared" si="126"/>
        <v>25.405275</v>
      </c>
      <c r="H3787" s="188">
        <v>24.195499999999999</v>
      </c>
      <c r="I3787" s="19">
        <f t="shared" si="127"/>
        <v>0</v>
      </c>
      <c r="L3787" s="131"/>
      <c r="M3787" s="131"/>
      <c r="N3787" s="131"/>
    </row>
    <row r="3788" spans="1:14" hidden="1">
      <c r="A3788" s="100" t="s">
        <v>862</v>
      </c>
      <c r="B3788" s="101" t="s">
        <v>7084</v>
      </c>
      <c r="C3788" s="115" t="s">
        <v>7085</v>
      </c>
      <c r="D3788" s="38"/>
      <c r="E3788" s="42">
        <v>1</v>
      </c>
      <c r="F3788" s="9"/>
      <c r="G3788" s="8">
        <f t="shared" si="126"/>
        <v>21.511875</v>
      </c>
      <c r="H3788" s="188">
        <v>20.487500000000001</v>
      </c>
      <c r="I3788" s="19">
        <f t="shared" si="127"/>
        <v>0</v>
      </c>
      <c r="L3788" s="131"/>
      <c r="M3788" s="131"/>
      <c r="N3788" s="131"/>
    </row>
    <row r="3789" spans="1:14" hidden="1">
      <c r="A3789" s="100" t="s">
        <v>862</v>
      </c>
      <c r="B3789" s="101" t="s">
        <v>7086</v>
      </c>
      <c r="C3789" s="115" t="s">
        <v>7087</v>
      </c>
      <c r="D3789" s="38"/>
      <c r="E3789" s="42">
        <v>1</v>
      </c>
      <c r="F3789" s="9"/>
      <c r="G3789" s="8">
        <f t="shared" si="126"/>
        <v>22.458449999999999</v>
      </c>
      <c r="H3789" s="188">
        <v>21.388999999999999</v>
      </c>
      <c r="I3789" s="19">
        <f t="shared" si="127"/>
        <v>0</v>
      </c>
      <c r="L3789" s="131"/>
      <c r="M3789" s="131"/>
      <c r="N3789" s="131"/>
    </row>
    <row r="3790" spans="1:14" hidden="1">
      <c r="A3790" s="100" t="s">
        <v>862</v>
      </c>
      <c r="B3790" s="101" t="s">
        <v>7088</v>
      </c>
      <c r="C3790" s="115" t="s">
        <v>7089</v>
      </c>
      <c r="D3790" s="38"/>
      <c r="E3790" s="42">
        <v>1</v>
      </c>
      <c r="F3790" s="9"/>
      <c r="G3790" s="8">
        <f t="shared" si="126"/>
        <v>23.471699999999998</v>
      </c>
      <c r="H3790" s="188">
        <v>22.353999999999999</v>
      </c>
      <c r="I3790" s="19">
        <f t="shared" si="127"/>
        <v>0</v>
      </c>
      <c r="L3790" s="131"/>
      <c r="M3790" s="131"/>
      <c r="N3790" s="131"/>
    </row>
    <row r="3791" spans="1:14" hidden="1">
      <c r="A3791" s="100" t="s">
        <v>862</v>
      </c>
      <c r="B3791" s="101" t="s">
        <v>7090</v>
      </c>
      <c r="C3791" s="115" t="s">
        <v>7091</v>
      </c>
      <c r="D3791" s="38"/>
      <c r="E3791" s="42">
        <v>1</v>
      </c>
      <c r="F3791" s="9"/>
      <c r="G3791" s="8">
        <f t="shared" si="126"/>
        <v>24.528524999999998</v>
      </c>
      <c r="H3791" s="188">
        <v>23.360499999999998</v>
      </c>
      <c r="I3791" s="19">
        <f t="shared" si="127"/>
        <v>0</v>
      </c>
      <c r="L3791" s="131"/>
      <c r="M3791" s="131"/>
      <c r="N3791" s="131"/>
    </row>
    <row r="3792" spans="1:14" hidden="1">
      <c r="A3792" s="100" t="s">
        <v>862</v>
      </c>
      <c r="B3792" s="101" t="s">
        <v>7092</v>
      </c>
      <c r="C3792" s="115" t="s">
        <v>7093</v>
      </c>
      <c r="D3792" s="38"/>
      <c r="E3792" s="42">
        <v>1</v>
      </c>
      <c r="F3792" s="9"/>
      <c r="G3792" s="8">
        <f t="shared" si="126"/>
        <v>28.117425000000001</v>
      </c>
      <c r="H3792" s="188">
        <v>26.778500000000001</v>
      </c>
      <c r="I3792" s="19">
        <f t="shared" si="127"/>
        <v>0</v>
      </c>
      <c r="L3792" s="131"/>
      <c r="M3792" s="131"/>
      <c r="N3792" s="131"/>
    </row>
    <row r="3793" spans="1:14" hidden="1">
      <c r="A3793" s="100" t="s">
        <v>862</v>
      </c>
      <c r="B3793" s="101" t="s">
        <v>7094</v>
      </c>
      <c r="C3793" s="115" t="s">
        <v>7095</v>
      </c>
      <c r="D3793" s="38"/>
      <c r="E3793" s="42">
        <v>1</v>
      </c>
      <c r="F3793" s="9"/>
      <c r="G3793" s="8">
        <f t="shared" si="126"/>
        <v>34.920900000000003</v>
      </c>
      <c r="H3793" s="188">
        <v>33.258000000000003</v>
      </c>
      <c r="I3793" s="19">
        <f t="shared" si="127"/>
        <v>0</v>
      </c>
      <c r="L3793" s="131"/>
      <c r="M3793" s="131"/>
      <c r="N3793" s="131"/>
    </row>
    <row r="3794" spans="1:14" hidden="1">
      <c r="A3794" s="100" t="s">
        <v>862</v>
      </c>
      <c r="B3794" s="101" t="s">
        <v>7096</v>
      </c>
      <c r="C3794" s="115" t="s">
        <v>7097</v>
      </c>
      <c r="D3794" s="38"/>
      <c r="E3794" s="42">
        <v>1</v>
      </c>
      <c r="F3794" s="9"/>
      <c r="G3794" s="8">
        <f t="shared" si="126"/>
        <v>21.511875</v>
      </c>
      <c r="H3794" s="188">
        <v>20.487500000000001</v>
      </c>
      <c r="I3794" s="19">
        <f t="shared" si="127"/>
        <v>0</v>
      </c>
      <c r="L3794" s="131"/>
      <c r="M3794" s="131"/>
      <c r="N3794" s="131"/>
    </row>
    <row r="3795" spans="1:14" hidden="1">
      <c r="A3795" s="100" t="s">
        <v>862</v>
      </c>
      <c r="B3795" s="101" t="s">
        <v>7098</v>
      </c>
      <c r="C3795" s="115" t="s">
        <v>7099</v>
      </c>
      <c r="D3795" s="38"/>
      <c r="E3795" s="42">
        <v>1</v>
      </c>
      <c r="F3795" s="9"/>
      <c r="G3795" s="8">
        <f t="shared" si="126"/>
        <v>22.458449999999999</v>
      </c>
      <c r="H3795" s="188">
        <v>21.388999999999999</v>
      </c>
      <c r="I3795" s="19">
        <f t="shared" si="127"/>
        <v>0</v>
      </c>
      <c r="L3795" s="131"/>
      <c r="M3795" s="131"/>
      <c r="N3795" s="131"/>
    </row>
    <row r="3796" spans="1:14" hidden="1">
      <c r="A3796" s="100" t="s">
        <v>862</v>
      </c>
      <c r="B3796" s="101" t="s">
        <v>7100</v>
      </c>
      <c r="C3796" s="115" t="s">
        <v>7101</v>
      </c>
      <c r="D3796" s="38"/>
      <c r="E3796" s="42">
        <v>1</v>
      </c>
      <c r="F3796" s="9"/>
      <c r="G3796" s="8">
        <f t="shared" si="126"/>
        <v>23.471699999999998</v>
      </c>
      <c r="H3796" s="188">
        <v>22.353999999999999</v>
      </c>
      <c r="I3796" s="19">
        <f t="shared" si="127"/>
        <v>0</v>
      </c>
      <c r="L3796" s="131"/>
      <c r="M3796" s="131"/>
      <c r="N3796" s="131"/>
    </row>
    <row r="3797" spans="1:14" hidden="1">
      <c r="A3797" s="100" t="s">
        <v>862</v>
      </c>
      <c r="B3797" s="101" t="s">
        <v>7102</v>
      </c>
      <c r="C3797" s="115" t="s">
        <v>7103</v>
      </c>
      <c r="D3797" s="38"/>
      <c r="E3797" s="42">
        <v>1</v>
      </c>
      <c r="F3797" s="9"/>
      <c r="G3797" s="8">
        <f t="shared" si="126"/>
        <v>24.528524999999998</v>
      </c>
      <c r="H3797" s="188">
        <v>23.360499999999998</v>
      </c>
      <c r="I3797" s="19">
        <f t="shared" si="127"/>
        <v>0</v>
      </c>
      <c r="L3797" s="131"/>
      <c r="M3797" s="131"/>
      <c r="N3797" s="131"/>
    </row>
    <row r="3798" spans="1:14" hidden="1">
      <c r="A3798" s="100" t="s">
        <v>862</v>
      </c>
      <c r="B3798" s="101" t="s">
        <v>7104</v>
      </c>
      <c r="C3798" s="115" t="s">
        <v>7105</v>
      </c>
      <c r="D3798" s="38"/>
      <c r="E3798" s="42">
        <v>1</v>
      </c>
      <c r="F3798" s="9"/>
      <c r="G3798" s="8">
        <f t="shared" si="126"/>
        <v>28.117425000000001</v>
      </c>
      <c r="H3798" s="188">
        <v>26.778500000000001</v>
      </c>
      <c r="I3798" s="19">
        <f t="shared" si="127"/>
        <v>0</v>
      </c>
      <c r="L3798" s="131"/>
      <c r="M3798" s="131"/>
      <c r="N3798" s="131"/>
    </row>
    <row r="3799" spans="1:14" hidden="1">
      <c r="A3799" s="100" t="s">
        <v>862</v>
      </c>
      <c r="B3799" s="101" t="s">
        <v>7106</v>
      </c>
      <c r="C3799" s="115" t="s">
        <v>7107</v>
      </c>
      <c r="D3799" s="38"/>
      <c r="E3799" s="42">
        <v>1</v>
      </c>
      <c r="F3799" s="9"/>
      <c r="G3799" s="8">
        <f t="shared" si="126"/>
        <v>34.920900000000003</v>
      </c>
      <c r="H3799" s="188">
        <v>33.258000000000003</v>
      </c>
      <c r="I3799" s="19">
        <f t="shared" si="127"/>
        <v>0</v>
      </c>
      <c r="L3799" s="131"/>
      <c r="M3799" s="131"/>
      <c r="N3799" s="131"/>
    </row>
    <row r="3800" spans="1:14" hidden="1">
      <c r="A3800" s="100" t="s">
        <v>862</v>
      </c>
      <c r="B3800" s="101" t="s">
        <v>7108</v>
      </c>
      <c r="C3800" s="115" t="s">
        <v>7109</v>
      </c>
      <c r="D3800" s="38"/>
      <c r="E3800" s="42">
        <v>1</v>
      </c>
      <c r="F3800" s="9"/>
      <c r="G3800" s="8">
        <f t="shared" si="126"/>
        <v>24.555299999999999</v>
      </c>
      <c r="H3800" s="188">
        <v>23.385999999999999</v>
      </c>
      <c r="I3800" s="19">
        <f t="shared" si="127"/>
        <v>0</v>
      </c>
      <c r="L3800" s="131"/>
      <c r="M3800" s="131"/>
      <c r="N3800" s="131"/>
    </row>
    <row r="3801" spans="1:14" hidden="1">
      <c r="A3801" s="100" t="s">
        <v>862</v>
      </c>
      <c r="B3801" s="101" t="s">
        <v>7110</v>
      </c>
      <c r="C3801" s="115" t="s">
        <v>7111</v>
      </c>
      <c r="D3801" s="38"/>
      <c r="E3801" s="42">
        <v>1</v>
      </c>
      <c r="F3801" s="9"/>
      <c r="G3801" s="8">
        <f t="shared" si="126"/>
        <v>25.677225</v>
      </c>
      <c r="H3801" s="188">
        <v>24.454499999999999</v>
      </c>
      <c r="I3801" s="19">
        <f t="shared" si="127"/>
        <v>0</v>
      </c>
      <c r="L3801" s="131"/>
      <c r="M3801" s="131"/>
      <c r="N3801" s="131"/>
    </row>
    <row r="3802" spans="1:14" hidden="1">
      <c r="A3802" s="100" t="s">
        <v>862</v>
      </c>
      <c r="B3802" s="101" t="s">
        <v>7112</v>
      </c>
      <c r="C3802" s="115" t="s">
        <v>7113</v>
      </c>
      <c r="D3802" s="38"/>
      <c r="E3802" s="42">
        <v>1</v>
      </c>
      <c r="F3802" s="9"/>
      <c r="G3802" s="8">
        <f t="shared" si="126"/>
        <v>26.847449999999998</v>
      </c>
      <c r="H3802" s="188">
        <v>25.568999999999999</v>
      </c>
      <c r="I3802" s="19">
        <f t="shared" si="127"/>
        <v>0</v>
      </c>
      <c r="L3802" s="131"/>
      <c r="M3802" s="131"/>
      <c r="N3802" s="131"/>
    </row>
    <row r="3803" spans="1:14" hidden="1">
      <c r="A3803" s="100" t="s">
        <v>862</v>
      </c>
      <c r="B3803" s="101" t="s">
        <v>7114</v>
      </c>
      <c r="C3803" s="115" t="s">
        <v>7115</v>
      </c>
      <c r="D3803" s="38"/>
      <c r="E3803" s="42">
        <v>1</v>
      </c>
      <c r="F3803" s="9"/>
      <c r="G3803" s="8">
        <f t="shared" si="126"/>
        <v>28.1127</v>
      </c>
      <c r="H3803" s="188">
        <v>26.774000000000001</v>
      </c>
      <c r="I3803" s="19">
        <f t="shared" si="127"/>
        <v>0</v>
      </c>
      <c r="L3803" s="131"/>
      <c r="M3803" s="131"/>
      <c r="N3803" s="131"/>
    </row>
    <row r="3804" spans="1:14" hidden="1">
      <c r="A3804" s="100" t="s">
        <v>862</v>
      </c>
      <c r="B3804" s="101" t="s">
        <v>7116</v>
      </c>
      <c r="C3804" s="115" t="s">
        <v>7117</v>
      </c>
      <c r="D3804" s="38"/>
      <c r="E3804" s="42">
        <v>1</v>
      </c>
      <c r="F3804" s="9"/>
      <c r="G3804" s="8">
        <f t="shared" si="126"/>
        <v>29.425725</v>
      </c>
      <c r="H3804" s="188">
        <v>28.0245</v>
      </c>
      <c r="I3804" s="19">
        <f t="shared" si="127"/>
        <v>0</v>
      </c>
      <c r="L3804" s="131"/>
      <c r="M3804" s="131"/>
      <c r="N3804" s="131"/>
    </row>
    <row r="3805" spans="1:14" hidden="1">
      <c r="A3805" s="100" t="s">
        <v>862</v>
      </c>
      <c r="B3805" s="101" t="s">
        <v>7118</v>
      </c>
      <c r="C3805" s="115" t="s">
        <v>7119</v>
      </c>
      <c r="D3805" s="38"/>
      <c r="E3805" s="42">
        <v>1</v>
      </c>
      <c r="F3805" s="9"/>
      <c r="G3805" s="8">
        <f t="shared" si="126"/>
        <v>30.834299999999999</v>
      </c>
      <c r="H3805" s="188">
        <v>29.366</v>
      </c>
      <c r="I3805" s="19">
        <f t="shared" si="127"/>
        <v>0</v>
      </c>
      <c r="L3805" s="131"/>
      <c r="M3805" s="131"/>
      <c r="N3805" s="131"/>
    </row>
    <row r="3806" spans="1:14" hidden="1">
      <c r="A3806" s="100" t="s">
        <v>862</v>
      </c>
      <c r="B3806" s="101" t="s">
        <v>7120</v>
      </c>
      <c r="C3806" s="115" t="s">
        <v>7121</v>
      </c>
      <c r="D3806" s="38"/>
      <c r="E3806" s="42">
        <v>1</v>
      </c>
      <c r="F3806" s="9"/>
      <c r="G3806" s="8">
        <f t="shared" si="126"/>
        <v>32.314275000000002</v>
      </c>
      <c r="H3806" s="188">
        <v>30.775500000000001</v>
      </c>
      <c r="I3806" s="19">
        <f t="shared" si="127"/>
        <v>0</v>
      </c>
      <c r="L3806" s="131"/>
      <c r="M3806" s="131"/>
      <c r="N3806" s="131"/>
    </row>
    <row r="3807" spans="1:14" hidden="1">
      <c r="A3807" s="100" t="s">
        <v>862</v>
      </c>
      <c r="B3807" s="101" t="s">
        <v>7122</v>
      </c>
      <c r="C3807" s="115" t="s">
        <v>7123</v>
      </c>
      <c r="D3807" s="38"/>
      <c r="E3807" s="42">
        <v>1</v>
      </c>
      <c r="F3807" s="9"/>
      <c r="G3807" s="8">
        <f t="shared" si="126"/>
        <v>24.555299999999999</v>
      </c>
      <c r="H3807" s="188">
        <v>23.385999999999999</v>
      </c>
      <c r="I3807" s="19">
        <f t="shared" si="127"/>
        <v>0</v>
      </c>
      <c r="L3807" s="131"/>
      <c r="M3807" s="131"/>
      <c r="N3807" s="131"/>
    </row>
    <row r="3808" spans="1:14" hidden="1">
      <c r="A3808" s="100" t="s">
        <v>862</v>
      </c>
      <c r="B3808" s="101" t="s">
        <v>7124</v>
      </c>
      <c r="C3808" s="115" t="s">
        <v>7125</v>
      </c>
      <c r="D3808" s="38"/>
      <c r="E3808" s="42">
        <v>1</v>
      </c>
      <c r="F3808" s="9"/>
      <c r="G3808" s="8">
        <f t="shared" si="126"/>
        <v>25.677225</v>
      </c>
      <c r="H3808" s="188">
        <v>24.454499999999999</v>
      </c>
      <c r="I3808" s="19">
        <f t="shared" si="127"/>
        <v>0</v>
      </c>
      <c r="L3808" s="131"/>
      <c r="M3808" s="131"/>
      <c r="N3808" s="131"/>
    </row>
    <row r="3809" spans="1:14" hidden="1">
      <c r="A3809" s="100" t="s">
        <v>862</v>
      </c>
      <c r="B3809" s="101" t="s">
        <v>7126</v>
      </c>
      <c r="C3809" s="115" t="s">
        <v>7127</v>
      </c>
      <c r="D3809" s="38"/>
      <c r="E3809" s="42">
        <v>1</v>
      </c>
      <c r="F3809" s="9"/>
      <c r="G3809" s="8">
        <f t="shared" si="126"/>
        <v>26.847449999999998</v>
      </c>
      <c r="H3809" s="188">
        <v>25.568999999999999</v>
      </c>
      <c r="I3809" s="19">
        <f t="shared" si="127"/>
        <v>0</v>
      </c>
      <c r="L3809" s="131"/>
      <c r="M3809" s="131"/>
      <c r="N3809" s="131"/>
    </row>
    <row r="3810" spans="1:14" hidden="1">
      <c r="A3810" s="100" t="s">
        <v>862</v>
      </c>
      <c r="B3810" s="101" t="s">
        <v>7128</v>
      </c>
      <c r="C3810" s="115" t="s">
        <v>7129</v>
      </c>
      <c r="D3810" s="38"/>
      <c r="E3810" s="42">
        <v>1</v>
      </c>
      <c r="F3810" s="9"/>
      <c r="G3810" s="8">
        <f t="shared" si="126"/>
        <v>28.1127</v>
      </c>
      <c r="H3810" s="188">
        <v>26.774000000000001</v>
      </c>
      <c r="I3810" s="19">
        <f t="shared" si="127"/>
        <v>0</v>
      </c>
      <c r="L3810" s="131"/>
      <c r="M3810" s="131"/>
      <c r="N3810" s="131"/>
    </row>
    <row r="3811" spans="1:14" hidden="1">
      <c r="A3811" s="100" t="s">
        <v>862</v>
      </c>
      <c r="B3811" s="101" t="s">
        <v>7130</v>
      </c>
      <c r="C3811" s="115" t="s">
        <v>7131</v>
      </c>
      <c r="D3811" s="38"/>
      <c r="E3811" s="42">
        <v>1</v>
      </c>
      <c r="F3811" s="9"/>
      <c r="G3811" s="8">
        <f t="shared" si="126"/>
        <v>29.425725</v>
      </c>
      <c r="H3811" s="188">
        <v>28.0245</v>
      </c>
      <c r="I3811" s="19">
        <f t="shared" si="127"/>
        <v>0</v>
      </c>
      <c r="L3811" s="131"/>
      <c r="M3811" s="131"/>
      <c r="N3811" s="131"/>
    </row>
    <row r="3812" spans="1:14" hidden="1">
      <c r="A3812" s="100" t="s">
        <v>862</v>
      </c>
      <c r="B3812" s="101" t="s">
        <v>7132</v>
      </c>
      <c r="C3812" s="115" t="s">
        <v>7133</v>
      </c>
      <c r="D3812" s="38"/>
      <c r="E3812" s="42">
        <v>1</v>
      </c>
      <c r="F3812" s="9"/>
      <c r="G3812" s="8">
        <f t="shared" si="126"/>
        <v>30.834299999999999</v>
      </c>
      <c r="H3812" s="188">
        <v>29.366</v>
      </c>
      <c r="I3812" s="19">
        <f t="shared" si="127"/>
        <v>0</v>
      </c>
      <c r="L3812" s="131"/>
      <c r="M3812" s="131"/>
      <c r="N3812" s="131"/>
    </row>
    <row r="3813" spans="1:14" hidden="1">
      <c r="A3813" s="100" t="s">
        <v>862</v>
      </c>
      <c r="B3813" s="101" t="s">
        <v>7134</v>
      </c>
      <c r="C3813" s="115" t="s">
        <v>7135</v>
      </c>
      <c r="D3813" s="38"/>
      <c r="E3813" s="42">
        <v>1</v>
      </c>
      <c r="F3813" s="9"/>
      <c r="G3813" s="8">
        <f t="shared" ref="G3813:G3876" si="128">H3813+(H3813*5%)</f>
        <v>32.314275000000002</v>
      </c>
      <c r="H3813" s="188">
        <v>30.775500000000001</v>
      </c>
      <c r="I3813" s="19">
        <f t="shared" si="127"/>
        <v>0</v>
      </c>
      <c r="L3813" s="131"/>
      <c r="M3813" s="131"/>
      <c r="N3813" s="131"/>
    </row>
    <row r="3814" spans="1:14" hidden="1">
      <c r="A3814" s="100" t="s">
        <v>862</v>
      </c>
      <c r="B3814" s="101" t="s">
        <v>7136</v>
      </c>
      <c r="C3814" s="115" t="s">
        <v>7137</v>
      </c>
      <c r="D3814" s="38"/>
      <c r="E3814" s="42">
        <v>1</v>
      </c>
      <c r="F3814" s="9"/>
      <c r="G3814" s="8">
        <f t="shared" si="128"/>
        <v>34.586999999999996</v>
      </c>
      <c r="H3814" s="188">
        <v>32.94</v>
      </c>
      <c r="I3814" s="19">
        <f t="shared" si="127"/>
        <v>0</v>
      </c>
      <c r="L3814" s="131"/>
      <c r="M3814" s="131"/>
      <c r="N3814" s="131"/>
    </row>
    <row r="3815" spans="1:14" hidden="1">
      <c r="A3815" s="100" t="s">
        <v>862</v>
      </c>
      <c r="B3815" s="101" t="s">
        <v>7138</v>
      </c>
      <c r="C3815" s="115" t="s">
        <v>7139</v>
      </c>
      <c r="D3815" s="38"/>
      <c r="E3815" s="42">
        <v>1</v>
      </c>
      <c r="F3815" s="9"/>
      <c r="G3815" s="8">
        <f t="shared" si="128"/>
        <v>36.2607</v>
      </c>
      <c r="H3815" s="188">
        <v>34.533999999999999</v>
      </c>
      <c r="I3815" s="19">
        <f t="shared" si="127"/>
        <v>0</v>
      </c>
      <c r="L3815" s="131"/>
      <c r="M3815" s="131"/>
      <c r="N3815" s="131"/>
    </row>
    <row r="3816" spans="1:14" hidden="1">
      <c r="A3816" s="100" t="s">
        <v>862</v>
      </c>
      <c r="B3816" s="101" t="s">
        <v>7140</v>
      </c>
      <c r="C3816" s="115" t="s">
        <v>7141</v>
      </c>
      <c r="D3816" s="38"/>
      <c r="E3816" s="42">
        <v>1</v>
      </c>
      <c r="F3816" s="9"/>
      <c r="G3816" s="8">
        <f t="shared" si="128"/>
        <v>38.063549999999999</v>
      </c>
      <c r="H3816" s="188">
        <v>36.250999999999998</v>
      </c>
      <c r="I3816" s="19">
        <f t="shared" ref="I3816:I3879" si="129">G3816*F3816</f>
        <v>0</v>
      </c>
      <c r="L3816" s="131"/>
      <c r="M3816" s="131"/>
      <c r="N3816" s="131"/>
    </row>
    <row r="3817" spans="1:14" hidden="1">
      <c r="A3817" s="100" t="s">
        <v>862</v>
      </c>
      <c r="B3817" s="101" t="s">
        <v>7142</v>
      </c>
      <c r="C3817" s="115" t="s">
        <v>7143</v>
      </c>
      <c r="D3817" s="38"/>
      <c r="E3817" s="42">
        <v>1</v>
      </c>
      <c r="F3817" s="9"/>
      <c r="G3817" s="8">
        <f t="shared" si="128"/>
        <v>34.586999999999996</v>
      </c>
      <c r="H3817" s="188">
        <v>32.94</v>
      </c>
      <c r="I3817" s="19">
        <f t="shared" si="129"/>
        <v>0</v>
      </c>
      <c r="L3817" s="131"/>
      <c r="M3817" s="131"/>
      <c r="N3817" s="131"/>
    </row>
    <row r="3818" spans="1:14" hidden="1">
      <c r="A3818" s="100" t="s">
        <v>862</v>
      </c>
      <c r="B3818" s="101" t="s">
        <v>7144</v>
      </c>
      <c r="C3818" s="115" t="s">
        <v>7145</v>
      </c>
      <c r="D3818" s="38"/>
      <c r="E3818" s="42">
        <v>1</v>
      </c>
      <c r="F3818" s="9"/>
      <c r="G3818" s="8">
        <f t="shared" si="128"/>
        <v>36.2607</v>
      </c>
      <c r="H3818" s="188">
        <v>34.533999999999999</v>
      </c>
      <c r="I3818" s="19">
        <f t="shared" si="129"/>
        <v>0</v>
      </c>
      <c r="L3818" s="131"/>
      <c r="M3818" s="131"/>
      <c r="N3818" s="131"/>
    </row>
    <row r="3819" spans="1:14" hidden="1">
      <c r="A3819" s="100" t="s">
        <v>862</v>
      </c>
      <c r="B3819" s="101" t="s">
        <v>7146</v>
      </c>
      <c r="C3819" s="115" t="s">
        <v>7147</v>
      </c>
      <c r="D3819" s="38"/>
      <c r="E3819" s="42">
        <v>1</v>
      </c>
      <c r="F3819" s="9"/>
      <c r="G3819" s="8">
        <f t="shared" si="128"/>
        <v>38.063549999999999</v>
      </c>
      <c r="H3819" s="188">
        <v>36.250999999999998</v>
      </c>
      <c r="I3819" s="19">
        <f t="shared" si="129"/>
        <v>0</v>
      </c>
      <c r="L3819" s="131"/>
      <c r="M3819" s="131"/>
      <c r="N3819" s="131"/>
    </row>
    <row r="3820" spans="1:14" hidden="1">
      <c r="A3820" s="100" t="s">
        <v>862</v>
      </c>
      <c r="B3820" s="101" t="s">
        <v>7148</v>
      </c>
      <c r="C3820" s="115" t="s">
        <v>7149</v>
      </c>
      <c r="D3820" s="38"/>
      <c r="E3820" s="42">
        <v>1</v>
      </c>
      <c r="F3820" s="9"/>
      <c r="G3820" s="8">
        <f t="shared" si="128"/>
        <v>30.8658</v>
      </c>
      <c r="H3820" s="188">
        <v>29.396000000000001</v>
      </c>
      <c r="I3820" s="19">
        <f t="shared" si="129"/>
        <v>0</v>
      </c>
      <c r="L3820" s="131"/>
      <c r="M3820" s="131"/>
      <c r="N3820" s="131"/>
    </row>
    <row r="3821" spans="1:14" hidden="1">
      <c r="A3821" s="100" t="s">
        <v>862</v>
      </c>
      <c r="B3821" s="101" t="s">
        <v>7150</v>
      </c>
      <c r="C3821" s="115" t="s">
        <v>7151</v>
      </c>
      <c r="D3821" s="38"/>
      <c r="E3821" s="42">
        <v>1</v>
      </c>
      <c r="F3821" s="9"/>
      <c r="G3821" s="8">
        <f t="shared" si="128"/>
        <v>30.8658</v>
      </c>
      <c r="H3821" s="188">
        <v>29.396000000000001</v>
      </c>
      <c r="I3821" s="19">
        <f t="shared" si="129"/>
        <v>0</v>
      </c>
      <c r="L3821" s="131"/>
      <c r="M3821" s="131"/>
      <c r="N3821" s="131"/>
    </row>
    <row r="3822" spans="1:14" hidden="1">
      <c r="A3822" s="100" t="s">
        <v>862</v>
      </c>
      <c r="B3822" s="101" t="s">
        <v>7152</v>
      </c>
      <c r="C3822" s="115" t="s">
        <v>7153</v>
      </c>
      <c r="D3822" s="38"/>
      <c r="E3822" s="42">
        <v>1</v>
      </c>
      <c r="F3822" s="9"/>
      <c r="G3822" s="8">
        <f t="shared" si="128"/>
        <v>33.9024</v>
      </c>
      <c r="H3822" s="188">
        <v>32.287999999999997</v>
      </c>
      <c r="I3822" s="19">
        <f t="shared" si="129"/>
        <v>0</v>
      </c>
      <c r="L3822" s="131"/>
      <c r="M3822" s="131"/>
      <c r="N3822" s="131"/>
    </row>
    <row r="3823" spans="1:14" hidden="1">
      <c r="A3823" s="100" t="s">
        <v>862</v>
      </c>
      <c r="B3823" s="101" t="s">
        <v>7154</v>
      </c>
      <c r="C3823" s="115" t="s">
        <v>7155</v>
      </c>
      <c r="D3823" s="38"/>
      <c r="E3823" s="42">
        <v>1</v>
      </c>
      <c r="F3823" s="9"/>
      <c r="G3823" s="8">
        <f t="shared" si="128"/>
        <v>33.9024</v>
      </c>
      <c r="H3823" s="188">
        <v>32.287999999999997</v>
      </c>
      <c r="I3823" s="19">
        <f t="shared" si="129"/>
        <v>0</v>
      </c>
      <c r="L3823" s="131"/>
      <c r="M3823" s="131"/>
      <c r="N3823" s="131"/>
    </row>
    <row r="3824" spans="1:14" hidden="1">
      <c r="A3824" s="100" t="s">
        <v>862</v>
      </c>
      <c r="B3824" s="101" t="s">
        <v>7156</v>
      </c>
      <c r="C3824" s="115" t="s">
        <v>7157</v>
      </c>
      <c r="D3824" s="38"/>
      <c r="E3824" s="42">
        <v>1</v>
      </c>
      <c r="F3824" s="9"/>
      <c r="G3824" s="8">
        <f t="shared" si="128"/>
        <v>36.978900000000003</v>
      </c>
      <c r="H3824" s="188">
        <v>35.218000000000004</v>
      </c>
      <c r="I3824" s="19">
        <f t="shared" si="129"/>
        <v>0</v>
      </c>
      <c r="L3824" s="131"/>
      <c r="M3824" s="131"/>
      <c r="N3824" s="131"/>
    </row>
    <row r="3825" spans="1:14" hidden="1">
      <c r="A3825" s="100" t="s">
        <v>862</v>
      </c>
      <c r="B3825" s="101" t="s">
        <v>7158</v>
      </c>
      <c r="C3825" s="115" t="s">
        <v>7159</v>
      </c>
      <c r="D3825" s="38"/>
      <c r="E3825" s="42">
        <v>1</v>
      </c>
      <c r="F3825" s="9"/>
      <c r="G3825" s="8">
        <f t="shared" si="128"/>
        <v>36.978900000000003</v>
      </c>
      <c r="H3825" s="188">
        <v>35.218000000000004</v>
      </c>
      <c r="I3825" s="19">
        <f t="shared" si="129"/>
        <v>0</v>
      </c>
      <c r="L3825" s="131"/>
      <c r="M3825" s="131"/>
      <c r="N3825" s="131"/>
    </row>
    <row r="3826" spans="1:14" hidden="1">
      <c r="A3826" s="100" t="s">
        <v>862</v>
      </c>
      <c r="B3826" s="101" t="s">
        <v>7160</v>
      </c>
      <c r="C3826" s="115" t="s">
        <v>7161</v>
      </c>
      <c r="D3826" s="38"/>
      <c r="E3826" s="42">
        <v>1</v>
      </c>
      <c r="F3826" s="9"/>
      <c r="G3826" s="8">
        <f t="shared" si="128"/>
        <v>38.531325000000002</v>
      </c>
      <c r="H3826" s="188">
        <v>36.6965</v>
      </c>
      <c r="I3826" s="19">
        <f t="shared" si="129"/>
        <v>0</v>
      </c>
      <c r="L3826" s="131"/>
      <c r="M3826" s="131"/>
      <c r="N3826" s="131"/>
    </row>
    <row r="3827" spans="1:14" hidden="1">
      <c r="A3827" s="100" t="s">
        <v>862</v>
      </c>
      <c r="B3827" s="101" t="s">
        <v>7162</v>
      </c>
      <c r="C3827" s="115" t="s">
        <v>7163</v>
      </c>
      <c r="D3827" s="38"/>
      <c r="E3827" s="42">
        <v>1</v>
      </c>
      <c r="F3827" s="9"/>
      <c r="G3827" s="8">
        <f t="shared" si="128"/>
        <v>38.531325000000002</v>
      </c>
      <c r="H3827" s="188">
        <v>36.6965</v>
      </c>
      <c r="I3827" s="19">
        <f t="shared" si="129"/>
        <v>0</v>
      </c>
      <c r="L3827" s="131"/>
      <c r="M3827" s="131"/>
      <c r="N3827" s="131"/>
    </row>
    <row r="3828" spans="1:14" hidden="1">
      <c r="A3828" s="100" t="s">
        <v>862</v>
      </c>
      <c r="B3828" s="101" t="s">
        <v>7164</v>
      </c>
      <c r="C3828" s="115" t="s">
        <v>7165</v>
      </c>
      <c r="D3828" s="38"/>
      <c r="E3828" s="42">
        <v>1</v>
      </c>
      <c r="F3828" s="9"/>
      <c r="G3828" s="8">
        <f t="shared" si="128"/>
        <v>40.094250000000002</v>
      </c>
      <c r="H3828" s="188">
        <v>38.185000000000002</v>
      </c>
      <c r="I3828" s="19">
        <f t="shared" si="129"/>
        <v>0</v>
      </c>
      <c r="L3828" s="131"/>
      <c r="M3828" s="131"/>
      <c r="N3828" s="131"/>
    </row>
    <row r="3829" spans="1:14" hidden="1">
      <c r="A3829" s="100" t="s">
        <v>862</v>
      </c>
      <c r="B3829" s="101" t="s">
        <v>7166</v>
      </c>
      <c r="C3829" s="115" t="s">
        <v>7167</v>
      </c>
      <c r="D3829" s="38"/>
      <c r="E3829" s="42">
        <v>1</v>
      </c>
      <c r="F3829" s="9"/>
      <c r="G3829" s="8">
        <f t="shared" si="128"/>
        <v>40.094250000000002</v>
      </c>
      <c r="H3829" s="188">
        <v>38.185000000000002</v>
      </c>
      <c r="I3829" s="19">
        <f t="shared" si="129"/>
        <v>0</v>
      </c>
      <c r="L3829" s="131"/>
      <c r="M3829" s="131"/>
      <c r="N3829" s="131"/>
    </row>
    <row r="3830" spans="1:14" hidden="1">
      <c r="A3830" s="100" t="s">
        <v>862</v>
      </c>
      <c r="B3830" s="101" t="s">
        <v>7168</v>
      </c>
      <c r="C3830" s="115" t="s">
        <v>7169</v>
      </c>
      <c r="D3830" s="38"/>
      <c r="E3830" s="42">
        <v>1</v>
      </c>
      <c r="F3830" s="9"/>
      <c r="G3830" s="8">
        <f t="shared" si="128"/>
        <v>31.956225</v>
      </c>
      <c r="H3830" s="188">
        <v>30.4345</v>
      </c>
      <c r="I3830" s="19">
        <f t="shared" si="129"/>
        <v>0</v>
      </c>
      <c r="L3830" s="131"/>
      <c r="M3830" s="131"/>
      <c r="N3830" s="131"/>
    </row>
    <row r="3831" spans="1:14" hidden="1">
      <c r="A3831" s="100" t="s">
        <v>862</v>
      </c>
      <c r="B3831" s="101" t="s">
        <v>7170</v>
      </c>
      <c r="C3831" s="115" t="s">
        <v>7171</v>
      </c>
      <c r="D3831" s="38"/>
      <c r="E3831" s="42">
        <v>1</v>
      </c>
      <c r="F3831" s="9"/>
      <c r="G3831" s="8">
        <f t="shared" si="128"/>
        <v>43.248975000000002</v>
      </c>
      <c r="H3831" s="188">
        <v>41.189500000000002</v>
      </c>
      <c r="I3831" s="19">
        <f t="shared" si="129"/>
        <v>0</v>
      </c>
      <c r="L3831" s="131"/>
      <c r="M3831" s="131"/>
      <c r="N3831" s="131"/>
    </row>
    <row r="3832" spans="1:14" hidden="1">
      <c r="A3832" s="100" t="s">
        <v>862</v>
      </c>
      <c r="B3832" s="101" t="s">
        <v>7172</v>
      </c>
      <c r="C3832" s="115" t="s">
        <v>7173</v>
      </c>
      <c r="D3832" s="38"/>
      <c r="E3832" s="42">
        <v>1</v>
      </c>
      <c r="F3832" s="9"/>
      <c r="G3832" s="8">
        <f t="shared" si="128"/>
        <v>34.868925000000004</v>
      </c>
      <c r="H3832" s="188">
        <v>33.208500000000001</v>
      </c>
      <c r="I3832" s="19">
        <f t="shared" si="129"/>
        <v>0</v>
      </c>
      <c r="L3832" s="131"/>
      <c r="M3832" s="131"/>
      <c r="N3832" s="131"/>
    </row>
    <row r="3833" spans="1:14" hidden="1">
      <c r="A3833" s="100" t="s">
        <v>862</v>
      </c>
      <c r="B3833" s="101" t="s">
        <v>7174</v>
      </c>
      <c r="C3833" s="115" t="s">
        <v>7175</v>
      </c>
      <c r="D3833" s="38"/>
      <c r="E3833" s="42">
        <v>1</v>
      </c>
      <c r="F3833" s="9"/>
      <c r="G3833" s="8">
        <f t="shared" si="128"/>
        <v>43.248975000000002</v>
      </c>
      <c r="H3833" s="188">
        <v>41.189500000000002</v>
      </c>
      <c r="I3833" s="19">
        <f t="shared" si="129"/>
        <v>0</v>
      </c>
      <c r="L3833" s="131"/>
      <c r="M3833" s="131"/>
      <c r="N3833" s="131"/>
    </row>
    <row r="3834" spans="1:14" hidden="1">
      <c r="A3834" s="100" t="s">
        <v>862</v>
      </c>
      <c r="B3834" s="101" t="s">
        <v>7176</v>
      </c>
      <c r="C3834" s="115" t="s">
        <v>7177</v>
      </c>
      <c r="D3834" s="38"/>
      <c r="E3834" s="42">
        <v>1</v>
      </c>
      <c r="F3834" s="9"/>
      <c r="G3834" s="8">
        <f t="shared" si="128"/>
        <v>48.765149999999998</v>
      </c>
      <c r="H3834" s="188">
        <v>46.442999999999998</v>
      </c>
      <c r="I3834" s="19">
        <f t="shared" si="129"/>
        <v>0</v>
      </c>
      <c r="L3834" s="131"/>
      <c r="M3834" s="131"/>
      <c r="N3834" s="131"/>
    </row>
    <row r="3835" spans="1:14" hidden="1">
      <c r="A3835" s="100" t="s">
        <v>862</v>
      </c>
      <c r="B3835" s="101" t="s">
        <v>7178</v>
      </c>
      <c r="C3835" s="115" t="s">
        <v>7179</v>
      </c>
      <c r="D3835" s="38"/>
      <c r="E3835" s="42">
        <v>1</v>
      </c>
      <c r="F3835" s="9"/>
      <c r="G3835" s="8">
        <f t="shared" si="128"/>
        <v>46.443074999999993</v>
      </c>
      <c r="H3835" s="188">
        <v>44.231499999999997</v>
      </c>
      <c r="I3835" s="19">
        <f t="shared" si="129"/>
        <v>0</v>
      </c>
      <c r="L3835" s="131"/>
      <c r="M3835" s="131"/>
      <c r="N3835" s="131"/>
    </row>
    <row r="3836" spans="1:14" hidden="1">
      <c r="A3836" s="100" t="s">
        <v>862</v>
      </c>
      <c r="B3836" s="101" t="s">
        <v>7180</v>
      </c>
      <c r="C3836" s="115" t="s">
        <v>7181</v>
      </c>
      <c r="D3836" s="38"/>
      <c r="E3836" s="42">
        <v>1</v>
      </c>
      <c r="F3836" s="9"/>
      <c r="G3836" s="8">
        <f t="shared" si="128"/>
        <v>58.492350000000002</v>
      </c>
      <c r="H3836" s="188">
        <v>55.707000000000001</v>
      </c>
      <c r="I3836" s="19">
        <f t="shared" si="129"/>
        <v>0</v>
      </c>
      <c r="L3836" s="131"/>
      <c r="M3836" s="131"/>
      <c r="N3836" s="131"/>
    </row>
    <row r="3837" spans="1:14" hidden="1">
      <c r="A3837" s="100" t="s">
        <v>862</v>
      </c>
      <c r="B3837" s="101" t="s">
        <v>7182</v>
      </c>
      <c r="C3837" s="115" t="s">
        <v>7183</v>
      </c>
      <c r="D3837" s="38"/>
      <c r="E3837" s="42">
        <v>1</v>
      </c>
      <c r="F3837" s="9"/>
      <c r="G3837" s="8">
        <f t="shared" si="128"/>
        <v>103.22235000000001</v>
      </c>
      <c r="H3837" s="188">
        <v>98.307000000000002</v>
      </c>
      <c r="I3837" s="19">
        <f t="shared" si="129"/>
        <v>0</v>
      </c>
      <c r="L3837" s="131"/>
      <c r="M3837" s="131"/>
      <c r="N3837" s="131"/>
    </row>
    <row r="3838" spans="1:14" hidden="1">
      <c r="A3838" s="100" t="s">
        <v>862</v>
      </c>
      <c r="B3838" s="101" t="s">
        <v>7184</v>
      </c>
      <c r="C3838" s="115" t="s">
        <v>7185</v>
      </c>
      <c r="D3838" s="38"/>
      <c r="E3838" s="42">
        <v>1</v>
      </c>
      <c r="F3838" s="9"/>
      <c r="G3838" s="8">
        <f t="shared" si="128"/>
        <v>58.492350000000002</v>
      </c>
      <c r="H3838" s="188">
        <v>55.707000000000001</v>
      </c>
      <c r="I3838" s="19">
        <f t="shared" si="129"/>
        <v>0</v>
      </c>
      <c r="L3838" s="131"/>
      <c r="M3838" s="131"/>
      <c r="N3838" s="131"/>
    </row>
    <row r="3839" spans="1:14" hidden="1">
      <c r="A3839" s="100" t="s">
        <v>862</v>
      </c>
      <c r="B3839" s="101" t="s">
        <v>7186</v>
      </c>
      <c r="C3839" s="115" t="s">
        <v>7187</v>
      </c>
      <c r="D3839" s="38"/>
      <c r="E3839" s="42">
        <v>1</v>
      </c>
      <c r="F3839" s="9"/>
      <c r="G3839" s="8">
        <f t="shared" si="128"/>
        <v>103.22235000000001</v>
      </c>
      <c r="H3839" s="188">
        <v>98.307000000000002</v>
      </c>
      <c r="I3839" s="19">
        <f t="shared" si="129"/>
        <v>0</v>
      </c>
      <c r="L3839" s="131"/>
      <c r="M3839" s="131"/>
      <c r="N3839" s="131"/>
    </row>
    <row r="3840" spans="1:14" hidden="1">
      <c r="A3840" s="100" t="s">
        <v>862</v>
      </c>
      <c r="B3840" s="101" t="s">
        <v>7188</v>
      </c>
      <c r="C3840" s="115" t="s">
        <v>7189</v>
      </c>
      <c r="D3840" s="38"/>
      <c r="E3840" s="42">
        <v>1</v>
      </c>
      <c r="F3840" s="9"/>
      <c r="G3840" s="8">
        <f t="shared" si="128"/>
        <v>64.128225</v>
      </c>
      <c r="H3840" s="188">
        <v>61.0745</v>
      </c>
      <c r="I3840" s="19">
        <f t="shared" si="129"/>
        <v>0</v>
      </c>
      <c r="L3840" s="131"/>
      <c r="M3840" s="131"/>
      <c r="N3840" s="131"/>
    </row>
    <row r="3841" spans="1:14" hidden="1">
      <c r="A3841" s="100" t="s">
        <v>862</v>
      </c>
      <c r="B3841" s="101" t="s">
        <v>7190</v>
      </c>
      <c r="C3841" s="115" t="s">
        <v>7191</v>
      </c>
      <c r="D3841" s="38"/>
      <c r="E3841" s="42">
        <v>1</v>
      </c>
      <c r="F3841" s="9"/>
      <c r="G3841" s="8">
        <f t="shared" si="128"/>
        <v>113.16742499999999</v>
      </c>
      <c r="H3841" s="188">
        <v>107.77849999999999</v>
      </c>
      <c r="I3841" s="19">
        <f t="shared" si="129"/>
        <v>0</v>
      </c>
      <c r="L3841" s="131"/>
      <c r="M3841" s="131"/>
      <c r="N3841" s="131"/>
    </row>
    <row r="3842" spans="1:14" hidden="1">
      <c r="A3842" s="100" t="s">
        <v>862</v>
      </c>
      <c r="B3842" s="101" t="s">
        <v>7192</v>
      </c>
      <c r="C3842" s="115" t="s">
        <v>7193</v>
      </c>
      <c r="D3842" s="38"/>
      <c r="E3842" s="42">
        <v>1</v>
      </c>
      <c r="F3842" s="9"/>
      <c r="G3842" s="8">
        <f t="shared" si="128"/>
        <v>64.128225</v>
      </c>
      <c r="H3842" s="188">
        <v>61.0745</v>
      </c>
      <c r="I3842" s="19">
        <f t="shared" si="129"/>
        <v>0</v>
      </c>
      <c r="L3842" s="131"/>
      <c r="M3842" s="131"/>
      <c r="N3842" s="131"/>
    </row>
    <row r="3843" spans="1:14" hidden="1">
      <c r="A3843" s="100" t="s">
        <v>862</v>
      </c>
      <c r="B3843" s="101" t="s">
        <v>7194</v>
      </c>
      <c r="C3843" s="115" t="s">
        <v>7195</v>
      </c>
      <c r="D3843" s="38"/>
      <c r="E3843" s="42">
        <v>1</v>
      </c>
      <c r="F3843" s="9"/>
      <c r="G3843" s="8">
        <f t="shared" si="128"/>
        <v>113.16742499999999</v>
      </c>
      <c r="H3843" s="188">
        <v>107.77849999999999</v>
      </c>
      <c r="I3843" s="19">
        <f t="shared" si="129"/>
        <v>0</v>
      </c>
      <c r="L3843" s="131"/>
      <c r="M3843" s="131"/>
      <c r="N3843" s="131"/>
    </row>
    <row r="3844" spans="1:14" hidden="1">
      <c r="A3844" s="100" t="s">
        <v>862</v>
      </c>
      <c r="B3844" s="101" t="s">
        <v>7196</v>
      </c>
      <c r="C3844" s="115" t="s">
        <v>7197</v>
      </c>
      <c r="D3844" s="38"/>
      <c r="E3844" s="42">
        <v>1</v>
      </c>
      <c r="F3844" s="9"/>
      <c r="G3844" s="8">
        <f t="shared" si="128"/>
        <v>69.816600000000008</v>
      </c>
      <c r="H3844" s="188">
        <v>66.492000000000004</v>
      </c>
      <c r="I3844" s="19">
        <f t="shared" si="129"/>
        <v>0</v>
      </c>
      <c r="L3844" s="131"/>
      <c r="M3844" s="131"/>
      <c r="N3844" s="131"/>
    </row>
    <row r="3845" spans="1:14" hidden="1">
      <c r="A3845" s="100" t="s">
        <v>862</v>
      </c>
      <c r="B3845" s="101" t="s">
        <v>7198</v>
      </c>
      <c r="C3845" s="115" t="s">
        <v>7199</v>
      </c>
      <c r="D3845" s="38"/>
      <c r="E3845" s="42">
        <v>1</v>
      </c>
      <c r="F3845" s="9"/>
      <c r="G3845" s="8">
        <f t="shared" si="128"/>
        <v>69.816600000000008</v>
      </c>
      <c r="H3845" s="188">
        <v>66.492000000000004</v>
      </c>
      <c r="I3845" s="19">
        <f t="shared" si="129"/>
        <v>0</v>
      </c>
      <c r="L3845" s="131"/>
      <c r="M3845" s="131"/>
      <c r="N3845" s="131"/>
    </row>
    <row r="3846" spans="1:14" hidden="1">
      <c r="A3846" s="100" t="s">
        <v>862</v>
      </c>
      <c r="B3846" s="101" t="s">
        <v>7200</v>
      </c>
      <c r="C3846" s="115" t="s">
        <v>7201</v>
      </c>
      <c r="D3846" s="38"/>
      <c r="E3846" s="42">
        <v>1</v>
      </c>
      <c r="F3846" s="9"/>
      <c r="G3846" s="8">
        <f t="shared" si="128"/>
        <v>75.555899999999994</v>
      </c>
      <c r="H3846" s="188">
        <v>71.957999999999998</v>
      </c>
      <c r="I3846" s="19">
        <f t="shared" si="129"/>
        <v>0</v>
      </c>
      <c r="L3846" s="131"/>
      <c r="M3846" s="131"/>
      <c r="N3846" s="131"/>
    </row>
    <row r="3847" spans="1:14" hidden="1">
      <c r="A3847" s="100" t="s">
        <v>862</v>
      </c>
      <c r="B3847" s="101" t="s">
        <v>7202</v>
      </c>
      <c r="C3847" s="115" t="s">
        <v>7203</v>
      </c>
      <c r="D3847" s="38"/>
      <c r="E3847" s="42">
        <v>1</v>
      </c>
      <c r="F3847" s="9"/>
      <c r="G3847" s="8">
        <f t="shared" si="128"/>
        <v>75.555899999999994</v>
      </c>
      <c r="H3847" s="188">
        <v>71.957999999999998</v>
      </c>
      <c r="I3847" s="19">
        <f t="shared" si="129"/>
        <v>0</v>
      </c>
      <c r="L3847" s="131"/>
      <c r="M3847" s="131"/>
      <c r="N3847" s="131"/>
    </row>
    <row r="3848" spans="1:14" hidden="1">
      <c r="A3848" s="100" t="s">
        <v>862</v>
      </c>
      <c r="B3848" s="101" t="s">
        <v>7204</v>
      </c>
      <c r="C3848" s="115" t="s">
        <v>7205</v>
      </c>
      <c r="D3848" s="38"/>
      <c r="E3848" s="42">
        <v>1</v>
      </c>
      <c r="F3848" s="9"/>
      <c r="G3848" s="8">
        <f t="shared" si="128"/>
        <v>81.351375000000004</v>
      </c>
      <c r="H3848" s="188">
        <v>77.477500000000006</v>
      </c>
      <c r="I3848" s="19">
        <f t="shared" si="129"/>
        <v>0</v>
      </c>
      <c r="L3848" s="131"/>
      <c r="M3848" s="131"/>
      <c r="N3848" s="131"/>
    </row>
    <row r="3849" spans="1:14" hidden="1">
      <c r="A3849" s="100" t="s">
        <v>862</v>
      </c>
      <c r="B3849" s="101" t="s">
        <v>7206</v>
      </c>
      <c r="C3849" s="115" t="s">
        <v>7207</v>
      </c>
      <c r="D3849" s="38"/>
      <c r="E3849" s="42">
        <v>1</v>
      </c>
      <c r="F3849" s="9"/>
      <c r="G3849" s="8">
        <f t="shared" si="128"/>
        <v>143.559675</v>
      </c>
      <c r="H3849" s="188">
        <v>136.7235</v>
      </c>
      <c r="I3849" s="19">
        <f t="shared" si="129"/>
        <v>0</v>
      </c>
      <c r="L3849" s="131"/>
      <c r="M3849" s="131"/>
      <c r="N3849" s="131"/>
    </row>
    <row r="3850" spans="1:14" hidden="1">
      <c r="A3850" s="100" t="s">
        <v>862</v>
      </c>
      <c r="B3850" s="101" t="s">
        <v>7208</v>
      </c>
      <c r="C3850" s="115" t="s">
        <v>7209</v>
      </c>
      <c r="D3850" s="38"/>
      <c r="E3850" s="42">
        <v>1</v>
      </c>
      <c r="F3850" s="9"/>
      <c r="G3850" s="8">
        <f t="shared" si="128"/>
        <v>81.351375000000004</v>
      </c>
      <c r="H3850" s="188">
        <v>77.477500000000006</v>
      </c>
      <c r="I3850" s="19">
        <f t="shared" si="129"/>
        <v>0</v>
      </c>
      <c r="L3850" s="131"/>
      <c r="M3850" s="131"/>
      <c r="N3850" s="131"/>
    </row>
    <row r="3851" spans="1:14" hidden="1">
      <c r="A3851" s="100" t="s">
        <v>862</v>
      </c>
      <c r="B3851" s="101" t="s">
        <v>7210</v>
      </c>
      <c r="C3851" s="115" t="s">
        <v>7211</v>
      </c>
      <c r="D3851" s="38"/>
      <c r="E3851" s="42">
        <v>1</v>
      </c>
      <c r="F3851" s="9"/>
      <c r="G3851" s="8">
        <f t="shared" si="128"/>
        <v>143.559675</v>
      </c>
      <c r="H3851" s="188">
        <v>136.7235</v>
      </c>
      <c r="I3851" s="19">
        <f t="shared" si="129"/>
        <v>0</v>
      </c>
      <c r="L3851" s="131"/>
      <c r="M3851" s="131"/>
      <c r="N3851" s="131"/>
    </row>
    <row r="3852" spans="1:14" hidden="1">
      <c r="A3852" s="100" t="s">
        <v>862</v>
      </c>
      <c r="B3852" s="101" t="s">
        <v>7212</v>
      </c>
      <c r="C3852" s="115" t="s">
        <v>7213</v>
      </c>
      <c r="D3852" s="38"/>
      <c r="E3852" s="42">
        <v>1</v>
      </c>
      <c r="F3852" s="9"/>
      <c r="G3852" s="8">
        <f t="shared" si="128"/>
        <v>87.197249999999997</v>
      </c>
      <c r="H3852" s="188">
        <v>83.045000000000002</v>
      </c>
      <c r="I3852" s="19">
        <f t="shared" si="129"/>
        <v>0</v>
      </c>
      <c r="L3852" s="131"/>
      <c r="M3852" s="131"/>
      <c r="N3852" s="131"/>
    </row>
    <row r="3853" spans="1:14" hidden="1">
      <c r="A3853" s="100" t="s">
        <v>862</v>
      </c>
      <c r="B3853" s="101" t="s">
        <v>7214</v>
      </c>
      <c r="C3853" s="115" t="s">
        <v>7215</v>
      </c>
      <c r="D3853" s="38"/>
      <c r="E3853" s="42">
        <v>1</v>
      </c>
      <c r="F3853" s="9"/>
      <c r="G3853" s="8">
        <f t="shared" si="128"/>
        <v>153.8775</v>
      </c>
      <c r="H3853" s="188">
        <v>146.55000000000001</v>
      </c>
      <c r="I3853" s="19">
        <f t="shared" si="129"/>
        <v>0</v>
      </c>
      <c r="L3853" s="131"/>
      <c r="M3853" s="131"/>
      <c r="N3853" s="131"/>
    </row>
    <row r="3854" spans="1:14" hidden="1">
      <c r="A3854" s="100" t="s">
        <v>862</v>
      </c>
      <c r="B3854" s="101" t="s">
        <v>7216</v>
      </c>
      <c r="C3854" s="115" t="s">
        <v>7217</v>
      </c>
      <c r="D3854" s="38"/>
      <c r="E3854" s="42">
        <v>1</v>
      </c>
      <c r="F3854" s="9"/>
      <c r="G3854" s="8">
        <f t="shared" si="128"/>
        <v>87.197249999999997</v>
      </c>
      <c r="H3854" s="188">
        <v>83.045000000000002</v>
      </c>
      <c r="I3854" s="19">
        <f t="shared" si="129"/>
        <v>0</v>
      </c>
      <c r="L3854" s="131"/>
      <c r="M3854" s="131"/>
      <c r="N3854" s="131"/>
    </row>
    <row r="3855" spans="1:14" hidden="1">
      <c r="A3855" s="100" t="s">
        <v>862</v>
      </c>
      <c r="B3855" s="101" t="s">
        <v>7218</v>
      </c>
      <c r="C3855" s="115" t="s">
        <v>7219</v>
      </c>
      <c r="D3855" s="38"/>
      <c r="E3855" s="42">
        <v>1</v>
      </c>
      <c r="F3855" s="9"/>
      <c r="G3855" s="8">
        <f t="shared" si="128"/>
        <v>153.8775</v>
      </c>
      <c r="H3855" s="188">
        <v>146.55000000000001</v>
      </c>
      <c r="I3855" s="19">
        <f t="shared" si="129"/>
        <v>0</v>
      </c>
      <c r="L3855" s="131"/>
      <c r="M3855" s="131"/>
      <c r="N3855" s="131"/>
    </row>
    <row r="3856" spans="1:14" hidden="1">
      <c r="A3856" s="100" t="s">
        <v>862</v>
      </c>
      <c r="B3856" s="101" t="s">
        <v>7220</v>
      </c>
      <c r="C3856" s="115" t="s">
        <v>7221</v>
      </c>
      <c r="D3856" s="38"/>
      <c r="E3856" s="42">
        <v>1</v>
      </c>
      <c r="F3856" s="9"/>
      <c r="G3856" s="8">
        <f t="shared" si="128"/>
        <v>93.096149999999994</v>
      </c>
      <c r="H3856" s="188">
        <v>88.662999999999997</v>
      </c>
      <c r="I3856" s="19">
        <f t="shared" si="129"/>
        <v>0</v>
      </c>
      <c r="L3856" s="131"/>
      <c r="M3856" s="131"/>
      <c r="N3856" s="131"/>
    </row>
    <row r="3857" spans="1:14" hidden="1">
      <c r="A3857" s="100" t="s">
        <v>862</v>
      </c>
      <c r="B3857" s="101" t="s">
        <v>7222</v>
      </c>
      <c r="C3857" s="115" t="s">
        <v>7223</v>
      </c>
      <c r="D3857" s="38"/>
      <c r="E3857" s="42">
        <v>1</v>
      </c>
      <c r="F3857" s="9"/>
      <c r="G3857" s="8">
        <f t="shared" si="128"/>
        <v>164.28877499999999</v>
      </c>
      <c r="H3857" s="188">
        <v>156.46549999999999</v>
      </c>
      <c r="I3857" s="19">
        <f t="shared" si="129"/>
        <v>0</v>
      </c>
      <c r="L3857" s="131"/>
      <c r="M3857" s="131"/>
      <c r="N3857" s="131"/>
    </row>
    <row r="3858" spans="1:14" hidden="1">
      <c r="A3858" s="100" t="s">
        <v>862</v>
      </c>
      <c r="B3858" s="101" t="s">
        <v>7224</v>
      </c>
      <c r="C3858" s="115" t="s">
        <v>7225</v>
      </c>
      <c r="D3858" s="38"/>
      <c r="E3858" s="42">
        <v>1</v>
      </c>
      <c r="F3858" s="9"/>
      <c r="G3858" s="8">
        <f t="shared" si="128"/>
        <v>93.096149999999994</v>
      </c>
      <c r="H3858" s="188">
        <v>88.662999999999997</v>
      </c>
      <c r="I3858" s="19">
        <f t="shared" si="129"/>
        <v>0</v>
      </c>
      <c r="L3858" s="131"/>
      <c r="M3858" s="131"/>
      <c r="N3858" s="131"/>
    </row>
    <row r="3859" spans="1:14" hidden="1">
      <c r="A3859" s="100" t="s">
        <v>862</v>
      </c>
      <c r="B3859" s="101" t="s">
        <v>7226</v>
      </c>
      <c r="C3859" s="115" t="s">
        <v>7227</v>
      </c>
      <c r="D3859" s="38"/>
      <c r="E3859" s="42">
        <v>1</v>
      </c>
      <c r="F3859" s="9"/>
      <c r="G3859" s="8">
        <f t="shared" si="128"/>
        <v>164.28877499999999</v>
      </c>
      <c r="H3859" s="188">
        <v>156.46549999999999</v>
      </c>
      <c r="I3859" s="19">
        <f t="shared" si="129"/>
        <v>0</v>
      </c>
      <c r="L3859" s="131"/>
      <c r="M3859" s="131"/>
      <c r="N3859" s="131"/>
    </row>
    <row r="3860" spans="1:14" hidden="1">
      <c r="A3860" s="100" t="s">
        <v>862</v>
      </c>
      <c r="B3860" s="101" t="s">
        <v>7228</v>
      </c>
      <c r="C3860" s="115" t="s">
        <v>7229</v>
      </c>
      <c r="D3860" s="38"/>
      <c r="E3860" s="42">
        <v>1</v>
      </c>
      <c r="F3860" s="9"/>
      <c r="G3860" s="8">
        <f t="shared" si="128"/>
        <v>99.049124999999989</v>
      </c>
      <c r="H3860" s="188">
        <v>94.332499999999996</v>
      </c>
      <c r="I3860" s="19">
        <f t="shared" si="129"/>
        <v>0</v>
      </c>
      <c r="L3860" s="131"/>
      <c r="M3860" s="131"/>
      <c r="N3860" s="131"/>
    </row>
    <row r="3861" spans="1:14" hidden="1">
      <c r="A3861" s="100" t="s">
        <v>862</v>
      </c>
      <c r="B3861" s="101" t="s">
        <v>7230</v>
      </c>
      <c r="C3861" s="115" t="s">
        <v>7231</v>
      </c>
      <c r="D3861" s="38"/>
      <c r="E3861" s="42">
        <v>1</v>
      </c>
      <c r="F3861" s="9"/>
      <c r="G3861" s="8">
        <f t="shared" si="128"/>
        <v>99.049124999999989</v>
      </c>
      <c r="H3861" s="188">
        <v>94.332499999999996</v>
      </c>
      <c r="I3861" s="19">
        <f t="shared" si="129"/>
        <v>0</v>
      </c>
      <c r="L3861" s="131"/>
      <c r="M3861" s="131"/>
      <c r="N3861" s="131"/>
    </row>
    <row r="3862" spans="1:14" hidden="1">
      <c r="A3862" s="100" t="s">
        <v>862</v>
      </c>
      <c r="B3862" s="101" t="s">
        <v>7232</v>
      </c>
      <c r="C3862" s="115" t="s">
        <v>7233</v>
      </c>
      <c r="D3862" s="38"/>
      <c r="E3862" s="42">
        <v>1</v>
      </c>
      <c r="F3862" s="9"/>
      <c r="G3862" s="8">
        <f t="shared" si="128"/>
        <v>105.05407500000001</v>
      </c>
      <c r="H3862" s="188">
        <v>100.0515</v>
      </c>
      <c r="I3862" s="19">
        <f t="shared" si="129"/>
        <v>0</v>
      </c>
      <c r="L3862" s="131"/>
      <c r="M3862" s="131"/>
      <c r="N3862" s="131"/>
    </row>
    <row r="3863" spans="1:14" hidden="1">
      <c r="A3863" s="100" t="s">
        <v>862</v>
      </c>
      <c r="B3863" s="101" t="s">
        <v>7234</v>
      </c>
      <c r="C3863" s="115" t="s">
        <v>7235</v>
      </c>
      <c r="D3863" s="38"/>
      <c r="E3863" s="42">
        <v>1</v>
      </c>
      <c r="F3863" s="9"/>
      <c r="G3863" s="8">
        <f t="shared" si="128"/>
        <v>185.39010000000002</v>
      </c>
      <c r="H3863" s="188">
        <v>176.56200000000001</v>
      </c>
      <c r="I3863" s="19">
        <f t="shared" si="129"/>
        <v>0</v>
      </c>
      <c r="L3863" s="131"/>
      <c r="M3863" s="131"/>
      <c r="N3863" s="131"/>
    </row>
    <row r="3864" spans="1:14" hidden="1">
      <c r="A3864" s="100" t="s">
        <v>862</v>
      </c>
      <c r="B3864" s="101" t="s">
        <v>7236</v>
      </c>
      <c r="C3864" s="115" t="s">
        <v>7237</v>
      </c>
      <c r="D3864" s="38"/>
      <c r="E3864" s="42">
        <v>1</v>
      </c>
      <c r="F3864" s="9"/>
      <c r="G3864" s="8">
        <f t="shared" si="128"/>
        <v>105.05407500000001</v>
      </c>
      <c r="H3864" s="188">
        <v>100.0515</v>
      </c>
      <c r="I3864" s="19">
        <f t="shared" si="129"/>
        <v>0</v>
      </c>
      <c r="L3864" s="131"/>
      <c r="M3864" s="131"/>
      <c r="N3864" s="131"/>
    </row>
    <row r="3865" spans="1:14" hidden="1">
      <c r="A3865" s="100" t="s">
        <v>862</v>
      </c>
      <c r="B3865" s="101" t="s">
        <v>7238</v>
      </c>
      <c r="C3865" s="115" t="s">
        <v>7239</v>
      </c>
      <c r="D3865" s="38"/>
      <c r="E3865" s="42">
        <v>1</v>
      </c>
      <c r="F3865" s="9"/>
      <c r="G3865" s="8">
        <f t="shared" si="128"/>
        <v>185.39010000000002</v>
      </c>
      <c r="H3865" s="188">
        <v>176.56200000000001</v>
      </c>
      <c r="I3865" s="19">
        <f t="shared" si="129"/>
        <v>0</v>
      </c>
      <c r="L3865" s="131"/>
      <c r="M3865" s="131"/>
      <c r="N3865" s="131"/>
    </row>
    <row r="3866" spans="1:14" hidden="1">
      <c r="A3866" s="100" t="s">
        <v>862</v>
      </c>
      <c r="B3866" s="101" t="s">
        <v>7240</v>
      </c>
      <c r="C3866" s="115" t="s">
        <v>7241</v>
      </c>
      <c r="D3866" s="38"/>
      <c r="E3866" s="42">
        <v>1</v>
      </c>
      <c r="F3866" s="9"/>
      <c r="G3866" s="8">
        <f t="shared" si="128"/>
        <v>16.0566</v>
      </c>
      <c r="H3866" s="188">
        <v>15.292</v>
      </c>
      <c r="I3866" s="19">
        <f t="shared" si="129"/>
        <v>0</v>
      </c>
      <c r="L3866" s="131"/>
      <c r="M3866" s="131"/>
      <c r="N3866" s="131"/>
    </row>
    <row r="3867" spans="1:14" hidden="1">
      <c r="A3867" s="100" t="s">
        <v>862</v>
      </c>
      <c r="B3867" s="101" t="s">
        <v>7242</v>
      </c>
      <c r="C3867" s="115" t="s">
        <v>7243</v>
      </c>
      <c r="D3867" s="38"/>
      <c r="E3867" s="42">
        <v>1</v>
      </c>
      <c r="F3867" s="9"/>
      <c r="G3867" s="8">
        <f t="shared" si="128"/>
        <v>21.000525</v>
      </c>
      <c r="H3867" s="188">
        <v>20.000499999999999</v>
      </c>
      <c r="I3867" s="19">
        <f t="shared" si="129"/>
        <v>0</v>
      </c>
      <c r="L3867" s="131"/>
      <c r="M3867" s="131"/>
      <c r="N3867" s="131"/>
    </row>
    <row r="3868" spans="1:14" hidden="1">
      <c r="A3868" s="100" t="s">
        <v>862</v>
      </c>
      <c r="B3868" s="101" t="s">
        <v>7244</v>
      </c>
      <c r="C3868" s="115" t="s">
        <v>7245</v>
      </c>
      <c r="D3868" s="38"/>
      <c r="E3868" s="42">
        <v>1</v>
      </c>
      <c r="F3868" s="9"/>
      <c r="G3868" s="8">
        <f t="shared" si="128"/>
        <v>28.417200000000001</v>
      </c>
      <c r="H3868" s="188">
        <v>27.064</v>
      </c>
      <c r="I3868" s="19">
        <f t="shared" si="129"/>
        <v>0</v>
      </c>
      <c r="L3868" s="131"/>
      <c r="M3868" s="131"/>
      <c r="N3868" s="131"/>
    </row>
    <row r="3869" spans="1:14" hidden="1">
      <c r="A3869" s="100" t="s">
        <v>862</v>
      </c>
      <c r="B3869" s="101" t="s">
        <v>7246</v>
      </c>
      <c r="C3869" s="115" t="s">
        <v>7247</v>
      </c>
      <c r="D3869" s="38"/>
      <c r="E3869" s="42">
        <v>1</v>
      </c>
      <c r="F3869" s="9"/>
      <c r="G3869" s="8">
        <f t="shared" si="128"/>
        <v>45.721724999999999</v>
      </c>
      <c r="H3869" s="188">
        <v>43.544499999999999</v>
      </c>
      <c r="I3869" s="19">
        <f t="shared" si="129"/>
        <v>0</v>
      </c>
      <c r="L3869" s="131"/>
      <c r="M3869" s="131"/>
      <c r="N3869" s="131"/>
    </row>
    <row r="3870" spans="1:14" hidden="1">
      <c r="A3870" s="100" t="s">
        <v>862</v>
      </c>
      <c r="B3870" s="101" t="s">
        <v>7248</v>
      </c>
      <c r="C3870" s="115" t="s">
        <v>7249</v>
      </c>
      <c r="D3870" s="38"/>
      <c r="E3870" s="42">
        <v>1</v>
      </c>
      <c r="F3870" s="9"/>
      <c r="G3870" s="8">
        <f t="shared" si="128"/>
        <v>16.0566</v>
      </c>
      <c r="H3870" s="188">
        <v>15.292</v>
      </c>
      <c r="I3870" s="19">
        <f t="shared" si="129"/>
        <v>0</v>
      </c>
      <c r="L3870" s="131"/>
      <c r="M3870" s="131"/>
      <c r="N3870" s="131"/>
    </row>
    <row r="3871" spans="1:14" hidden="1">
      <c r="A3871" s="100" t="s">
        <v>862</v>
      </c>
      <c r="B3871" s="101" t="s">
        <v>7250</v>
      </c>
      <c r="C3871" s="115" t="s">
        <v>7251</v>
      </c>
      <c r="D3871" s="38"/>
      <c r="E3871" s="42">
        <v>1</v>
      </c>
      <c r="F3871" s="9"/>
      <c r="G3871" s="8">
        <f t="shared" si="128"/>
        <v>21.000525</v>
      </c>
      <c r="H3871" s="188">
        <v>20.000499999999999</v>
      </c>
      <c r="I3871" s="19">
        <f t="shared" si="129"/>
        <v>0</v>
      </c>
      <c r="L3871" s="131"/>
      <c r="M3871" s="131"/>
      <c r="N3871" s="131"/>
    </row>
    <row r="3872" spans="1:14" hidden="1">
      <c r="A3872" s="100" t="s">
        <v>862</v>
      </c>
      <c r="B3872" s="101" t="s">
        <v>7252</v>
      </c>
      <c r="C3872" s="115" t="s">
        <v>7253</v>
      </c>
      <c r="D3872" s="38"/>
      <c r="E3872" s="42">
        <v>1</v>
      </c>
      <c r="F3872" s="9"/>
      <c r="G3872" s="8">
        <f t="shared" si="128"/>
        <v>28.417200000000001</v>
      </c>
      <c r="H3872" s="188">
        <v>27.064</v>
      </c>
      <c r="I3872" s="19">
        <f t="shared" si="129"/>
        <v>0</v>
      </c>
      <c r="L3872" s="131"/>
      <c r="M3872" s="131"/>
      <c r="N3872" s="131"/>
    </row>
    <row r="3873" spans="1:14" hidden="1">
      <c r="A3873" s="100" t="s">
        <v>862</v>
      </c>
      <c r="B3873" s="101" t="s">
        <v>7254</v>
      </c>
      <c r="C3873" s="115" t="s">
        <v>7255</v>
      </c>
      <c r="D3873" s="38"/>
      <c r="E3873" s="42">
        <v>1</v>
      </c>
      <c r="F3873" s="9"/>
      <c r="G3873" s="8">
        <f t="shared" si="128"/>
        <v>45.721724999999999</v>
      </c>
      <c r="H3873" s="188">
        <v>43.544499999999999</v>
      </c>
      <c r="I3873" s="19">
        <f t="shared" si="129"/>
        <v>0</v>
      </c>
      <c r="L3873" s="131"/>
      <c r="M3873" s="131"/>
      <c r="N3873" s="131"/>
    </row>
    <row r="3874" spans="1:14" hidden="1">
      <c r="A3874" s="100" t="s">
        <v>862</v>
      </c>
      <c r="B3874" s="101" t="s">
        <v>7256</v>
      </c>
      <c r="C3874" s="115" t="s">
        <v>7257</v>
      </c>
      <c r="D3874" s="38"/>
      <c r="E3874" s="42">
        <v>1</v>
      </c>
      <c r="F3874" s="9"/>
      <c r="G3874" s="8">
        <f t="shared" si="128"/>
        <v>16.677675000000001</v>
      </c>
      <c r="H3874" s="188">
        <v>15.8835</v>
      </c>
      <c r="I3874" s="19">
        <f t="shared" si="129"/>
        <v>0</v>
      </c>
      <c r="L3874" s="131"/>
      <c r="M3874" s="131"/>
      <c r="N3874" s="131"/>
    </row>
    <row r="3875" spans="1:14" hidden="1">
      <c r="A3875" s="100" t="s">
        <v>862</v>
      </c>
      <c r="B3875" s="101" t="s">
        <v>7258</v>
      </c>
      <c r="C3875" s="115" t="s">
        <v>7259</v>
      </c>
      <c r="D3875" s="38"/>
      <c r="E3875" s="42">
        <v>1</v>
      </c>
      <c r="F3875" s="9"/>
      <c r="G3875" s="8">
        <f t="shared" si="128"/>
        <v>22.667400000000001</v>
      </c>
      <c r="H3875" s="188">
        <v>21.588000000000001</v>
      </c>
      <c r="I3875" s="19">
        <f t="shared" si="129"/>
        <v>0</v>
      </c>
      <c r="L3875" s="131"/>
      <c r="M3875" s="131"/>
      <c r="N3875" s="131"/>
    </row>
    <row r="3876" spans="1:14" hidden="1">
      <c r="A3876" s="100" t="s">
        <v>862</v>
      </c>
      <c r="B3876" s="101" t="s">
        <v>7260</v>
      </c>
      <c r="C3876" s="115" t="s">
        <v>7261</v>
      </c>
      <c r="D3876" s="38"/>
      <c r="E3876" s="42">
        <v>1</v>
      </c>
      <c r="F3876" s="9"/>
      <c r="G3876" s="8">
        <f t="shared" si="128"/>
        <v>25.377974999999999</v>
      </c>
      <c r="H3876" s="188">
        <v>24.169499999999999</v>
      </c>
      <c r="I3876" s="19">
        <f t="shared" si="129"/>
        <v>0</v>
      </c>
      <c r="L3876" s="131"/>
      <c r="M3876" s="131"/>
      <c r="N3876" s="131"/>
    </row>
    <row r="3877" spans="1:14" hidden="1">
      <c r="A3877" s="100" t="s">
        <v>862</v>
      </c>
      <c r="B3877" s="101" t="s">
        <v>7262</v>
      </c>
      <c r="C3877" s="115" t="s">
        <v>7263</v>
      </c>
      <c r="D3877" s="38"/>
      <c r="E3877" s="42">
        <v>1</v>
      </c>
      <c r="F3877" s="9"/>
      <c r="G3877" s="8">
        <f t="shared" ref="G3877:G3940" si="130">H3877+(H3877*5%)</f>
        <v>37.573725000000003</v>
      </c>
      <c r="H3877" s="188">
        <v>35.784500000000001</v>
      </c>
      <c r="I3877" s="19">
        <f t="shared" si="129"/>
        <v>0</v>
      </c>
      <c r="L3877" s="131"/>
      <c r="M3877" s="131"/>
      <c r="N3877" s="131"/>
    </row>
    <row r="3878" spans="1:14" hidden="1">
      <c r="A3878" s="100" t="s">
        <v>862</v>
      </c>
      <c r="B3878" s="101" t="s">
        <v>7264</v>
      </c>
      <c r="C3878" s="115" t="s">
        <v>7265</v>
      </c>
      <c r="D3878" s="38"/>
      <c r="E3878" s="42">
        <v>1</v>
      </c>
      <c r="F3878" s="9"/>
      <c r="G3878" s="8">
        <f t="shared" si="130"/>
        <v>49.769999999999996</v>
      </c>
      <c r="H3878" s="188">
        <v>47.4</v>
      </c>
      <c r="I3878" s="19">
        <f t="shared" si="129"/>
        <v>0</v>
      </c>
      <c r="L3878" s="131"/>
      <c r="M3878" s="131"/>
      <c r="N3878" s="131"/>
    </row>
    <row r="3879" spans="1:14" hidden="1">
      <c r="A3879" s="100" t="s">
        <v>862</v>
      </c>
      <c r="B3879" s="101" t="s">
        <v>7266</v>
      </c>
      <c r="C3879" s="115" t="s">
        <v>7267</v>
      </c>
      <c r="D3879" s="38"/>
      <c r="E3879" s="42">
        <v>1</v>
      </c>
      <c r="F3879" s="9"/>
      <c r="G3879" s="8">
        <f t="shared" si="130"/>
        <v>16.677675000000001</v>
      </c>
      <c r="H3879" s="188">
        <v>15.8835</v>
      </c>
      <c r="I3879" s="19">
        <f t="shared" si="129"/>
        <v>0</v>
      </c>
      <c r="L3879" s="131"/>
      <c r="M3879" s="131"/>
      <c r="N3879" s="131"/>
    </row>
    <row r="3880" spans="1:14" hidden="1">
      <c r="A3880" s="100" t="s">
        <v>862</v>
      </c>
      <c r="B3880" s="101" t="s">
        <v>7268</v>
      </c>
      <c r="C3880" s="115" t="s">
        <v>7269</v>
      </c>
      <c r="D3880" s="38"/>
      <c r="E3880" s="42">
        <v>1</v>
      </c>
      <c r="F3880" s="9"/>
      <c r="G3880" s="8">
        <f t="shared" si="130"/>
        <v>22.667400000000001</v>
      </c>
      <c r="H3880" s="188">
        <v>21.588000000000001</v>
      </c>
      <c r="I3880" s="19">
        <f t="shared" ref="I3880:I3943" si="131">G3880*F3880</f>
        <v>0</v>
      </c>
      <c r="L3880" s="131"/>
      <c r="M3880" s="131"/>
      <c r="N3880" s="131"/>
    </row>
    <row r="3881" spans="1:14" hidden="1">
      <c r="A3881" s="100" t="s">
        <v>862</v>
      </c>
      <c r="B3881" s="101" t="s">
        <v>7270</v>
      </c>
      <c r="C3881" s="115" t="s">
        <v>7271</v>
      </c>
      <c r="D3881" s="38"/>
      <c r="E3881" s="42">
        <v>1</v>
      </c>
      <c r="F3881" s="9"/>
      <c r="G3881" s="8">
        <f t="shared" si="130"/>
        <v>25.377974999999999</v>
      </c>
      <c r="H3881" s="188">
        <v>24.169499999999999</v>
      </c>
      <c r="I3881" s="19">
        <f t="shared" si="131"/>
        <v>0</v>
      </c>
      <c r="L3881" s="131"/>
      <c r="M3881" s="131"/>
      <c r="N3881" s="131"/>
    </row>
    <row r="3882" spans="1:14" hidden="1">
      <c r="A3882" s="100" t="s">
        <v>862</v>
      </c>
      <c r="B3882" s="101" t="s">
        <v>7272</v>
      </c>
      <c r="C3882" s="115" t="s">
        <v>7273</v>
      </c>
      <c r="D3882" s="38"/>
      <c r="E3882" s="42">
        <v>1</v>
      </c>
      <c r="F3882" s="9"/>
      <c r="G3882" s="8">
        <f t="shared" si="130"/>
        <v>37.573725000000003</v>
      </c>
      <c r="H3882" s="188">
        <v>35.784500000000001</v>
      </c>
      <c r="I3882" s="19">
        <f t="shared" si="131"/>
        <v>0</v>
      </c>
      <c r="L3882" s="131"/>
      <c r="M3882" s="131"/>
      <c r="N3882" s="131"/>
    </row>
    <row r="3883" spans="1:14" hidden="1">
      <c r="A3883" s="100" t="s">
        <v>862</v>
      </c>
      <c r="B3883" s="101" t="s">
        <v>7274</v>
      </c>
      <c r="C3883" s="115" t="s">
        <v>7275</v>
      </c>
      <c r="D3883" s="38"/>
      <c r="E3883" s="42">
        <v>1</v>
      </c>
      <c r="F3883" s="9"/>
      <c r="G3883" s="8">
        <f t="shared" si="130"/>
        <v>49.769999999999996</v>
      </c>
      <c r="H3883" s="188">
        <v>47.4</v>
      </c>
      <c r="I3883" s="19">
        <f t="shared" si="131"/>
        <v>0</v>
      </c>
      <c r="L3883" s="131"/>
      <c r="M3883" s="131"/>
      <c r="N3883" s="131"/>
    </row>
    <row r="3884" spans="1:14" hidden="1">
      <c r="A3884" s="100" t="s">
        <v>862</v>
      </c>
      <c r="B3884" s="101" t="s">
        <v>7276</v>
      </c>
      <c r="C3884" s="115" t="s">
        <v>7277</v>
      </c>
      <c r="D3884" s="38"/>
      <c r="E3884" s="42">
        <v>1</v>
      </c>
      <c r="F3884" s="9"/>
      <c r="G3884" s="8">
        <f t="shared" si="130"/>
        <v>22.19595</v>
      </c>
      <c r="H3884" s="188">
        <v>21.138999999999999</v>
      </c>
      <c r="I3884" s="19">
        <f t="shared" si="131"/>
        <v>0</v>
      </c>
      <c r="L3884" s="131"/>
      <c r="M3884" s="131"/>
      <c r="N3884" s="131"/>
    </row>
    <row r="3885" spans="1:14" hidden="1">
      <c r="A3885" s="100" t="s">
        <v>862</v>
      </c>
      <c r="B3885" s="101" t="s">
        <v>7278</v>
      </c>
      <c r="C3885" s="115" t="s">
        <v>7279</v>
      </c>
      <c r="D3885" s="38"/>
      <c r="E3885" s="42">
        <v>1</v>
      </c>
      <c r="F3885" s="9"/>
      <c r="G3885" s="8">
        <f t="shared" si="130"/>
        <v>24.261300000000002</v>
      </c>
      <c r="H3885" s="188">
        <v>23.106000000000002</v>
      </c>
      <c r="I3885" s="19">
        <f t="shared" si="131"/>
        <v>0</v>
      </c>
      <c r="L3885" s="131"/>
      <c r="M3885" s="131"/>
      <c r="N3885" s="131"/>
    </row>
    <row r="3886" spans="1:14" hidden="1">
      <c r="A3886" s="100" t="s">
        <v>862</v>
      </c>
      <c r="B3886" s="101" t="s">
        <v>7280</v>
      </c>
      <c r="C3886" s="115" t="s">
        <v>7281</v>
      </c>
      <c r="D3886" s="38"/>
      <c r="E3886" s="42">
        <v>1</v>
      </c>
      <c r="F3886" s="9"/>
      <c r="G3886" s="8">
        <f t="shared" si="130"/>
        <v>30.251025000000002</v>
      </c>
      <c r="H3886" s="188">
        <v>28.810500000000001</v>
      </c>
      <c r="I3886" s="19">
        <f t="shared" si="131"/>
        <v>0</v>
      </c>
      <c r="L3886" s="131"/>
      <c r="M3886" s="131"/>
      <c r="N3886" s="131"/>
    </row>
    <row r="3887" spans="1:14" hidden="1">
      <c r="A3887" s="100" t="s">
        <v>862</v>
      </c>
      <c r="B3887" s="101" t="s">
        <v>7282</v>
      </c>
      <c r="C3887" s="115" t="s">
        <v>7283</v>
      </c>
      <c r="D3887" s="38"/>
      <c r="E3887" s="42">
        <v>1</v>
      </c>
      <c r="F3887" s="9"/>
      <c r="G3887" s="8">
        <f t="shared" si="130"/>
        <v>35.680050000000001</v>
      </c>
      <c r="H3887" s="188">
        <v>33.981000000000002</v>
      </c>
      <c r="I3887" s="19">
        <f t="shared" si="131"/>
        <v>0</v>
      </c>
      <c r="L3887" s="131"/>
      <c r="M3887" s="131"/>
      <c r="N3887" s="131"/>
    </row>
    <row r="3888" spans="1:14" hidden="1">
      <c r="A3888" s="100" t="s">
        <v>862</v>
      </c>
      <c r="B3888" s="101" t="s">
        <v>7284</v>
      </c>
      <c r="C3888" s="115" t="s">
        <v>7285</v>
      </c>
      <c r="D3888" s="38"/>
      <c r="E3888" s="42">
        <v>1</v>
      </c>
      <c r="F3888" s="9"/>
      <c r="G3888" s="8">
        <f t="shared" si="130"/>
        <v>42.053550000000001</v>
      </c>
      <c r="H3888" s="188">
        <v>40.051000000000002</v>
      </c>
      <c r="I3888" s="19">
        <f t="shared" si="131"/>
        <v>0</v>
      </c>
      <c r="L3888" s="131"/>
      <c r="M3888" s="131"/>
      <c r="N3888" s="131"/>
    </row>
    <row r="3889" spans="1:14" hidden="1">
      <c r="A3889" s="100" t="s">
        <v>862</v>
      </c>
      <c r="B3889" s="101" t="s">
        <v>7286</v>
      </c>
      <c r="C3889" s="115" t="s">
        <v>7287</v>
      </c>
      <c r="D3889" s="38"/>
      <c r="E3889" s="42">
        <v>1</v>
      </c>
      <c r="F3889" s="9"/>
      <c r="G3889" s="8">
        <f t="shared" si="130"/>
        <v>52.380825000000002</v>
      </c>
      <c r="H3889" s="188">
        <v>49.886499999999998</v>
      </c>
      <c r="I3889" s="19">
        <f t="shared" si="131"/>
        <v>0</v>
      </c>
      <c r="L3889" s="131"/>
      <c r="M3889" s="131"/>
      <c r="N3889" s="131"/>
    </row>
    <row r="3890" spans="1:14" hidden="1">
      <c r="A3890" s="100" t="s">
        <v>862</v>
      </c>
      <c r="B3890" s="101" t="s">
        <v>7288</v>
      </c>
      <c r="C3890" s="115" t="s">
        <v>7289</v>
      </c>
      <c r="D3890" s="38"/>
      <c r="E3890" s="42">
        <v>1</v>
      </c>
      <c r="F3890" s="9"/>
      <c r="G3890" s="8">
        <f t="shared" si="130"/>
        <v>53.856074999999997</v>
      </c>
      <c r="H3890" s="188">
        <v>51.291499999999999</v>
      </c>
      <c r="I3890" s="19">
        <f t="shared" si="131"/>
        <v>0</v>
      </c>
      <c r="L3890" s="131"/>
      <c r="M3890" s="131"/>
      <c r="N3890" s="131"/>
    </row>
    <row r="3891" spans="1:14" hidden="1">
      <c r="A3891" s="100" t="s">
        <v>862</v>
      </c>
      <c r="B3891" s="101" t="s">
        <v>7290</v>
      </c>
      <c r="C3891" s="115" t="s">
        <v>7291</v>
      </c>
      <c r="D3891" s="38"/>
      <c r="E3891" s="42">
        <v>1</v>
      </c>
      <c r="F3891" s="9"/>
      <c r="G3891" s="8">
        <f t="shared" si="130"/>
        <v>22.19595</v>
      </c>
      <c r="H3891" s="188">
        <v>21.138999999999999</v>
      </c>
      <c r="I3891" s="19">
        <f t="shared" si="131"/>
        <v>0</v>
      </c>
      <c r="L3891" s="131"/>
      <c r="M3891" s="131"/>
      <c r="N3891" s="131"/>
    </row>
    <row r="3892" spans="1:14" hidden="1">
      <c r="A3892" s="100" t="s">
        <v>862</v>
      </c>
      <c r="B3892" s="101" t="s">
        <v>7292</v>
      </c>
      <c r="C3892" s="115" t="s">
        <v>7293</v>
      </c>
      <c r="D3892" s="38"/>
      <c r="E3892" s="42">
        <v>1</v>
      </c>
      <c r="F3892" s="9"/>
      <c r="G3892" s="8">
        <f t="shared" si="130"/>
        <v>24.261300000000002</v>
      </c>
      <c r="H3892" s="188">
        <v>23.106000000000002</v>
      </c>
      <c r="I3892" s="19">
        <f t="shared" si="131"/>
        <v>0</v>
      </c>
      <c r="L3892" s="131"/>
      <c r="M3892" s="131"/>
      <c r="N3892" s="131"/>
    </row>
    <row r="3893" spans="1:14" hidden="1">
      <c r="A3893" s="100" t="s">
        <v>862</v>
      </c>
      <c r="B3893" s="101" t="s">
        <v>7294</v>
      </c>
      <c r="C3893" s="115" t="s">
        <v>7295</v>
      </c>
      <c r="D3893" s="38"/>
      <c r="E3893" s="42">
        <v>1</v>
      </c>
      <c r="F3893" s="9"/>
      <c r="G3893" s="8">
        <f t="shared" si="130"/>
        <v>30.251025000000002</v>
      </c>
      <c r="H3893" s="188">
        <v>28.810500000000001</v>
      </c>
      <c r="I3893" s="19">
        <f t="shared" si="131"/>
        <v>0</v>
      </c>
      <c r="L3893" s="131"/>
      <c r="M3893" s="131"/>
      <c r="N3893" s="131"/>
    </row>
    <row r="3894" spans="1:14" hidden="1">
      <c r="A3894" s="100" t="s">
        <v>862</v>
      </c>
      <c r="B3894" s="101" t="s">
        <v>7296</v>
      </c>
      <c r="C3894" s="115" t="s">
        <v>7297</v>
      </c>
      <c r="D3894" s="38"/>
      <c r="E3894" s="42">
        <v>1</v>
      </c>
      <c r="F3894" s="9"/>
      <c r="G3894" s="8">
        <f t="shared" si="130"/>
        <v>35.680050000000001</v>
      </c>
      <c r="H3894" s="188">
        <v>33.981000000000002</v>
      </c>
      <c r="I3894" s="19">
        <f t="shared" si="131"/>
        <v>0</v>
      </c>
      <c r="L3894" s="131"/>
      <c r="M3894" s="131"/>
      <c r="N3894" s="131"/>
    </row>
    <row r="3895" spans="1:14" hidden="1">
      <c r="A3895" s="100" t="s">
        <v>862</v>
      </c>
      <c r="B3895" s="101" t="s">
        <v>7298</v>
      </c>
      <c r="C3895" s="115" t="s">
        <v>7299</v>
      </c>
      <c r="D3895" s="38"/>
      <c r="E3895" s="42">
        <v>1</v>
      </c>
      <c r="F3895" s="9"/>
      <c r="G3895" s="8">
        <f t="shared" si="130"/>
        <v>42.053550000000001</v>
      </c>
      <c r="H3895" s="188">
        <v>40.051000000000002</v>
      </c>
      <c r="I3895" s="19">
        <f t="shared" si="131"/>
        <v>0</v>
      </c>
      <c r="L3895" s="131"/>
      <c r="M3895" s="131"/>
      <c r="N3895" s="131"/>
    </row>
    <row r="3896" spans="1:14" hidden="1">
      <c r="A3896" s="100" t="s">
        <v>862</v>
      </c>
      <c r="B3896" s="101" t="s">
        <v>7300</v>
      </c>
      <c r="C3896" s="115" t="s">
        <v>7301</v>
      </c>
      <c r="D3896" s="38"/>
      <c r="E3896" s="42">
        <v>1</v>
      </c>
      <c r="F3896" s="9"/>
      <c r="G3896" s="8">
        <f t="shared" si="130"/>
        <v>52.380825000000002</v>
      </c>
      <c r="H3896" s="188">
        <v>49.886499999999998</v>
      </c>
      <c r="I3896" s="19">
        <f t="shared" si="131"/>
        <v>0</v>
      </c>
      <c r="L3896" s="131"/>
      <c r="M3896" s="131"/>
      <c r="N3896" s="131"/>
    </row>
    <row r="3897" spans="1:14" hidden="1">
      <c r="A3897" s="100" t="s">
        <v>862</v>
      </c>
      <c r="B3897" s="101" t="s">
        <v>7302</v>
      </c>
      <c r="C3897" s="115" t="s">
        <v>7303</v>
      </c>
      <c r="D3897" s="38"/>
      <c r="E3897" s="42">
        <v>1</v>
      </c>
      <c r="F3897" s="9"/>
      <c r="G3897" s="8">
        <f t="shared" si="130"/>
        <v>53.856074999999997</v>
      </c>
      <c r="H3897" s="188">
        <v>51.291499999999999</v>
      </c>
      <c r="I3897" s="19">
        <f t="shared" si="131"/>
        <v>0</v>
      </c>
      <c r="L3897" s="131"/>
      <c r="M3897" s="131"/>
      <c r="N3897" s="131"/>
    </row>
    <row r="3898" spans="1:14" hidden="1">
      <c r="A3898" s="100" t="s">
        <v>862</v>
      </c>
      <c r="B3898" s="101" t="s">
        <v>7304</v>
      </c>
      <c r="C3898" s="115" t="s">
        <v>7305</v>
      </c>
      <c r="D3898" s="38"/>
      <c r="E3898" s="42">
        <v>1</v>
      </c>
      <c r="F3898" s="9"/>
      <c r="G3898" s="8">
        <f t="shared" si="130"/>
        <v>20.396250000000002</v>
      </c>
      <c r="H3898" s="188">
        <v>19.425000000000001</v>
      </c>
      <c r="I3898" s="19">
        <f t="shared" si="131"/>
        <v>0</v>
      </c>
      <c r="L3898" s="131"/>
      <c r="M3898" s="131"/>
      <c r="N3898" s="131"/>
    </row>
    <row r="3899" spans="1:14" hidden="1">
      <c r="A3899" s="100" t="s">
        <v>862</v>
      </c>
      <c r="B3899" s="101" t="s">
        <v>7306</v>
      </c>
      <c r="C3899" s="115" t="s">
        <v>7307</v>
      </c>
      <c r="D3899" s="38"/>
      <c r="E3899" s="42">
        <v>1</v>
      </c>
      <c r="F3899" s="9"/>
      <c r="G3899" s="8">
        <f t="shared" si="130"/>
        <v>21.290324999999999</v>
      </c>
      <c r="H3899" s="188">
        <v>20.276499999999999</v>
      </c>
      <c r="I3899" s="19">
        <f t="shared" si="131"/>
        <v>0</v>
      </c>
      <c r="L3899" s="131"/>
      <c r="M3899" s="131"/>
      <c r="N3899" s="131"/>
    </row>
    <row r="3900" spans="1:14" hidden="1">
      <c r="A3900" s="100" t="s">
        <v>862</v>
      </c>
      <c r="B3900" s="101" t="s">
        <v>7308</v>
      </c>
      <c r="C3900" s="115" t="s">
        <v>7309</v>
      </c>
      <c r="D3900" s="38"/>
      <c r="E3900" s="42">
        <v>1</v>
      </c>
      <c r="F3900" s="9"/>
      <c r="G3900" s="8">
        <f t="shared" si="130"/>
        <v>22.216425000000001</v>
      </c>
      <c r="H3900" s="188">
        <v>21.1585</v>
      </c>
      <c r="I3900" s="19">
        <f t="shared" si="131"/>
        <v>0</v>
      </c>
      <c r="L3900" s="131"/>
      <c r="M3900" s="131"/>
      <c r="N3900" s="131"/>
    </row>
    <row r="3901" spans="1:14" hidden="1">
      <c r="A3901" s="100" t="s">
        <v>862</v>
      </c>
      <c r="B3901" s="101" t="s">
        <v>7310</v>
      </c>
      <c r="C3901" s="115" t="s">
        <v>7311</v>
      </c>
      <c r="D3901" s="38"/>
      <c r="E3901" s="42">
        <v>1</v>
      </c>
      <c r="F3901" s="9"/>
      <c r="G3901" s="8">
        <f t="shared" si="130"/>
        <v>24.29175</v>
      </c>
      <c r="H3901" s="188">
        <v>23.135000000000002</v>
      </c>
      <c r="I3901" s="19">
        <f t="shared" si="131"/>
        <v>0</v>
      </c>
      <c r="L3901" s="131"/>
      <c r="M3901" s="131"/>
      <c r="N3901" s="131"/>
    </row>
    <row r="3902" spans="1:14" hidden="1">
      <c r="A3902" s="100" t="s">
        <v>862</v>
      </c>
      <c r="B3902" s="101" t="s">
        <v>7312</v>
      </c>
      <c r="C3902" s="115" t="s">
        <v>7313</v>
      </c>
      <c r="D3902" s="38"/>
      <c r="E3902" s="42">
        <v>1</v>
      </c>
      <c r="F3902" s="9"/>
      <c r="G3902" s="8">
        <f t="shared" si="130"/>
        <v>26.590724999999999</v>
      </c>
      <c r="H3902" s="188">
        <v>25.3245</v>
      </c>
      <c r="I3902" s="19">
        <f t="shared" si="131"/>
        <v>0</v>
      </c>
      <c r="L3902" s="131"/>
      <c r="M3902" s="131"/>
      <c r="N3902" s="131"/>
    </row>
    <row r="3903" spans="1:14" hidden="1">
      <c r="A3903" s="100" t="s">
        <v>862</v>
      </c>
      <c r="B3903" s="101" t="s">
        <v>7314</v>
      </c>
      <c r="C3903" s="115" t="s">
        <v>7315</v>
      </c>
      <c r="D3903" s="38"/>
      <c r="E3903" s="42">
        <v>1</v>
      </c>
      <c r="F3903" s="9"/>
      <c r="G3903" s="8">
        <f t="shared" si="130"/>
        <v>29.177399999999999</v>
      </c>
      <c r="H3903" s="188">
        <v>27.788</v>
      </c>
      <c r="I3903" s="19">
        <f t="shared" si="131"/>
        <v>0</v>
      </c>
      <c r="L3903" s="131"/>
      <c r="M3903" s="131"/>
      <c r="N3903" s="131"/>
    </row>
    <row r="3904" spans="1:14" hidden="1">
      <c r="A3904" s="100" t="s">
        <v>862</v>
      </c>
      <c r="B3904" s="101" t="s">
        <v>7316</v>
      </c>
      <c r="C3904" s="115" t="s">
        <v>7317</v>
      </c>
      <c r="D3904" s="38"/>
      <c r="E3904" s="42">
        <v>1</v>
      </c>
      <c r="F3904" s="9"/>
      <c r="G3904" s="8">
        <f t="shared" si="130"/>
        <v>32.083275</v>
      </c>
      <c r="H3904" s="188">
        <v>30.555499999999999</v>
      </c>
      <c r="I3904" s="19">
        <f t="shared" si="131"/>
        <v>0</v>
      </c>
      <c r="L3904" s="131"/>
      <c r="M3904" s="131"/>
      <c r="N3904" s="131"/>
    </row>
    <row r="3905" spans="1:14" hidden="1">
      <c r="A3905" s="100" t="s">
        <v>862</v>
      </c>
      <c r="B3905" s="101" t="s">
        <v>7318</v>
      </c>
      <c r="C3905" s="115" t="s">
        <v>7319</v>
      </c>
      <c r="D3905" s="38"/>
      <c r="E3905" s="42">
        <v>1</v>
      </c>
      <c r="F3905" s="9"/>
      <c r="G3905" s="8">
        <f t="shared" si="130"/>
        <v>35.340375000000002</v>
      </c>
      <c r="H3905" s="188">
        <v>33.657499999999999</v>
      </c>
      <c r="I3905" s="19">
        <f t="shared" si="131"/>
        <v>0</v>
      </c>
      <c r="L3905" s="131"/>
      <c r="M3905" s="131"/>
      <c r="N3905" s="131"/>
    </row>
    <row r="3906" spans="1:14" hidden="1">
      <c r="A3906" s="100" t="s">
        <v>862</v>
      </c>
      <c r="B3906" s="101" t="s">
        <v>7320</v>
      </c>
      <c r="C3906" s="115" t="s">
        <v>7321</v>
      </c>
      <c r="D3906" s="38"/>
      <c r="E3906" s="42">
        <v>1</v>
      </c>
      <c r="F3906" s="9"/>
      <c r="G3906" s="8">
        <f t="shared" si="130"/>
        <v>42.014175000000002</v>
      </c>
      <c r="H3906" s="188">
        <v>40.013500000000001</v>
      </c>
      <c r="I3906" s="19">
        <f t="shared" si="131"/>
        <v>0</v>
      </c>
      <c r="L3906" s="131"/>
      <c r="M3906" s="131"/>
      <c r="N3906" s="131"/>
    </row>
    <row r="3907" spans="1:14" hidden="1">
      <c r="A3907" s="100" t="s">
        <v>862</v>
      </c>
      <c r="B3907" s="101" t="s">
        <v>7322</v>
      </c>
      <c r="C3907" s="115" t="s">
        <v>7323</v>
      </c>
      <c r="D3907" s="38"/>
      <c r="E3907" s="42">
        <v>1</v>
      </c>
      <c r="F3907" s="9"/>
      <c r="G3907" s="8">
        <f t="shared" si="130"/>
        <v>51.593325</v>
      </c>
      <c r="H3907" s="188">
        <v>49.136499999999998</v>
      </c>
      <c r="I3907" s="19">
        <f t="shared" si="131"/>
        <v>0</v>
      </c>
      <c r="L3907" s="131"/>
      <c r="M3907" s="131"/>
      <c r="N3907" s="131"/>
    </row>
    <row r="3908" spans="1:14" hidden="1">
      <c r="A3908" s="100" t="s">
        <v>862</v>
      </c>
      <c r="B3908" s="101" t="s">
        <v>7324</v>
      </c>
      <c r="C3908" s="115" t="s">
        <v>7325</v>
      </c>
      <c r="D3908" s="38"/>
      <c r="E3908" s="42">
        <v>1</v>
      </c>
      <c r="F3908" s="9"/>
      <c r="G3908" s="8">
        <f t="shared" si="130"/>
        <v>57.979950000000002</v>
      </c>
      <c r="H3908" s="188">
        <v>55.219000000000001</v>
      </c>
      <c r="I3908" s="19">
        <f t="shared" si="131"/>
        <v>0</v>
      </c>
      <c r="L3908" s="131"/>
      <c r="M3908" s="131"/>
      <c r="N3908" s="131"/>
    </row>
    <row r="3909" spans="1:14" hidden="1">
      <c r="A3909" s="100" t="s">
        <v>862</v>
      </c>
      <c r="B3909" s="101" t="s">
        <v>7326</v>
      </c>
      <c r="C3909" s="115" t="s">
        <v>7327</v>
      </c>
      <c r="D3909" s="38"/>
      <c r="E3909" s="42">
        <v>1</v>
      </c>
      <c r="F3909" s="9"/>
      <c r="G3909" s="8">
        <f t="shared" si="130"/>
        <v>20.396250000000002</v>
      </c>
      <c r="H3909" s="188">
        <v>19.425000000000001</v>
      </c>
      <c r="I3909" s="19">
        <f t="shared" si="131"/>
        <v>0</v>
      </c>
      <c r="L3909" s="131"/>
      <c r="M3909" s="131"/>
      <c r="N3909" s="131"/>
    </row>
    <row r="3910" spans="1:14" hidden="1">
      <c r="A3910" s="100" t="s">
        <v>862</v>
      </c>
      <c r="B3910" s="101" t="s">
        <v>7328</v>
      </c>
      <c r="C3910" s="115" t="s">
        <v>7329</v>
      </c>
      <c r="D3910" s="38"/>
      <c r="E3910" s="42">
        <v>1</v>
      </c>
      <c r="F3910" s="9"/>
      <c r="G3910" s="8">
        <f t="shared" si="130"/>
        <v>22.216425000000001</v>
      </c>
      <c r="H3910" s="188">
        <v>21.1585</v>
      </c>
      <c r="I3910" s="19">
        <f t="shared" si="131"/>
        <v>0</v>
      </c>
      <c r="L3910" s="131"/>
      <c r="M3910" s="131"/>
      <c r="N3910" s="131"/>
    </row>
    <row r="3911" spans="1:14" hidden="1">
      <c r="A3911" s="100" t="s">
        <v>862</v>
      </c>
      <c r="B3911" s="101" t="s">
        <v>7330</v>
      </c>
      <c r="C3911" s="115" t="s">
        <v>7331</v>
      </c>
      <c r="D3911" s="38"/>
      <c r="E3911" s="42">
        <v>1</v>
      </c>
      <c r="F3911" s="9"/>
      <c r="G3911" s="8">
        <f t="shared" si="130"/>
        <v>23.238074999999998</v>
      </c>
      <c r="H3911" s="188">
        <v>22.131499999999999</v>
      </c>
      <c r="I3911" s="19">
        <f t="shared" si="131"/>
        <v>0</v>
      </c>
      <c r="L3911" s="131"/>
      <c r="M3911" s="131"/>
      <c r="N3911" s="131"/>
    </row>
    <row r="3912" spans="1:14" hidden="1">
      <c r="A3912" s="100" t="s">
        <v>862</v>
      </c>
      <c r="B3912" s="101" t="s">
        <v>7332</v>
      </c>
      <c r="C3912" s="115" t="s">
        <v>7333</v>
      </c>
      <c r="D3912" s="38"/>
      <c r="E3912" s="42">
        <v>1</v>
      </c>
      <c r="F3912" s="9"/>
      <c r="G3912" s="8">
        <f t="shared" si="130"/>
        <v>24.29175</v>
      </c>
      <c r="H3912" s="188">
        <v>23.135000000000002</v>
      </c>
      <c r="I3912" s="19">
        <f t="shared" si="131"/>
        <v>0</v>
      </c>
      <c r="L3912" s="131"/>
      <c r="M3912" s="131"/>
      <c r="N3912" s="131"/>
    </row>
    <row r="3913" spans="1:14" hidden="1">
      <c r="A3913" s="100" t="s">
        <v>862</v>
      </c>
      <c r="B3913" s="101" t="s">
        <v>7334</v>
      </c>
      <c r="C3913" s="115" t="s">
        <v>7335</v>
      </c>
      <c r="D3913" s="38"/>
      <c r="E3913" s="42">
        <v>1</v>
      </c>
      <c r="F3913" s="9"/>
      <c r="G3913" s="8">
        <f t="shared" si="130"/>
        <v>25.409475</v>
      </c>
      <c r="H3913" s="188">
        <v>24.1995</v>
      </c>
      <c r="I3913" s="19">
        <f t="shared" si="131"/>
        <v>0</v>
      </c>
      <c r="L3913" s="131"/>
      <c r="M3913" s="131"/>
      <c r="N3913" s="131"/>
    </row>
    <row r="3914" spans="1:14" hidden="1">
      <c r="A3914" s="100" t="s">
        <v>862</v>
      </c>
      <c r="B3914" s="101" t="s">
        <v>7336</v>
      </c>
      <c r="C3914" s="115" t="s">
        <v>7337</v>
      </c>
      <c r="D3914" s="38"/>
      <c r="E3914" s="42">
        <v>1</v>
      </c>
      <c r="F3914" s="9"/>
      <c r="G3914" s="8">
        <f t="shared" si="130"/>
        <v>26.590724999999999</v>
      </c>
      <c r="H3914" s="188">
        <v>25.3245</v>
      </c>
      <c r="I3914" s="19">
        <f t="shared" si="131"/>
        <v>0</v>
      </c>
      <c r="L3914" s="131"/>
      <c r="M3914" s="131"/>
      <c r="N3914" s="131"/>
    </row>
    <row r="3915" spans="1:14" hidden="1">
      <c r="A3915" s="100" t="s">
        <v>862</v>
      </c>
      <c r="B3915" s="101" t="s">
        <v>7338</v>
      </c>
      <c r="C3915" s="115" t="s">
        <v>7339</v>
      </c>
      <c r="D3915" s="38"/>
      <c r="E3915" s="42">
        <v>1</v>
      </c>
      <c r="F3915" s="9"/>
      <c r="G3915" s="8">
        <f t="shared" si="130"/>
        <v>29.177399999999999</v>
      </c>
      <c r="H3915" s="188">
        <v>27.788</v>
      </c>
      <c r="I3915" s="19">
        <f t="shared" si="131"/>
        <v>0</v>
      </c>
      <c r="L3915" s="131"/>
      <c r="M3915" s="131"/>
      <c r="N3915" s="131"/>
    </row>
    <row r="3916" spans="1:14" hidden="1">
      <c r="A3916" s="100" t="s">
        <v>862</v>
      </c>
      <c r="B3916" s="101" t="s">
        <v>7340</v>
      </c>
      <c r="C3916" s="115" t="s">
        <v>7341</v>
      </c>
      <c r="D3916" s="38"/>
      <c r="E3916" s="42">
        <v>1</v>
      </c>
      <c r="F3916" s="9"/>
      <c r="G3916" s="8">
        <f t="shared" si="130"/>
        <v>32.083275</v>
      </c>
      <c r="H3916" s="188">
        <v>30.555499999999999</v>
      </c>
      <c r="I3916" s="19">
        <f t="shared" si="131"/>
        <v>0</v>
      </c>
      <c r="L3916" s="131"/>
      <c r="M3916" s="131"/>
      <c r="N3916" s="131"/>
    </row>
    <row r="3917" spans="1:14" hidden="1">
      <c r="A3917" s="100" t="s">
        <v>862</v>
      </c>
      <c r="B3917" s="101" t="s">
        <v>7342</v>
      </c>
      <c r="C3917" s="115" t="s">
        <v>7343</v>
      </c>
      <c r="D3917" s="38"/>
      <c r="E3917" s="42">
        <v>1</v>
      </c>
      <c r="F3917" s="9"/>
      <c r="G3917" s="8">
        <f t="shared" si="130"/>
        <v>35.340375000000002</v>
      </c>
      <c r="H3917" s="188">
        <v>33.657499999999999</v>
      </c>
      <c r="I3917" s="19">
        <f t="shared" si="131"/>
        <v>0</v>
      </c>
      <c r="L3917" s="131"/>
      <c r="M3917" s="131"/>
      <c r="N3917" s="131"/>
    </row>
    <row r="3918" spans="1:14" hidden="1">
      <c r="A3918" s="100" t="s">
        <v>862</v>
      </c>
      <c r="B3918" s="101" t="s">
        <v>7344</v>
      </c>
      <c r="C3918" s="115" t="s">
        <v>7345</v>
      </c>
      <c r="D3918" s="38"/>
      <c r="E3918" s="42">
        <v>1</v>
      </c>
      <c r="F3918" s="9"/>
      <c r="G3918" s="8">
        <f t="shared" si="130"/>
        <v>42.014175000000002</v>
      </c>
      <c r="H3918" s="188">
        <v>40.013500000000001</v>
      </c>
      <c r="I3918" s="19">
        <f t="shared" si="131"/>
        <v>0</v>
      </c>
      <c r="L3918" s="131"/>
      <c r="M3918" s="131"/>
      <c r="N3918" s="131"/>
    </row>
    <row r="3919" spans="1:14" hidden="1">
      <c r="A3919" s="100" t="s">
        <v>862</v>
      </c>
      <c r="B3919" s="101" t="s">
        <v>7346</v>
      </c>
      <c r="C3919" s="115" t="s">
        <v>7347</v>
      </c>
      <c r="D3919" s="38"/>
      <c r="E3919" s="42">
        <v>1</v>
      </c>
      <c r="F3919" s="9"/>
      <c r="G3919" s="8">
        <f t="shared" si="130"/>
        <v>51.593325</v>
      </c>
      <c r="H3919" s="188">
        <v>49.136499999999998</v>
      </c>
      <c r="I3919" s="19">
        <f t="shared" si="131"/>
        <v>0</v>
      </c>
      <c r="L3919" s="131"/>
      <c r="M3919" s="131"/>
      <c r="N3919" s="131"/>
    </row>
    <row r="3920" spans="1:14" hidden="1">
      <c r="A3920" s="100" t="s">
        <v>862</v>
      </c>
      <c r="B3920" s="101" t="s">
        <v>7348</v>
      </c>
      <c r="C3920" s="115" t="s">
        <v>7349</v>
      </c>
      <c r="D3920" s="38"/>
      <c r="E3920" s="42">
        <v>1</v>
      </c>
      <c r="F3920" s="9"/>
      <c r="G3920" s="8">
        <f t="shared" si="130"/>
        <v>57.979950000000002</v>
      </c>
      <c r="H3920" s="188">
        <v>55.219000000000001</v>
      </c>
      <c r="I3920" s="19">
        <f t="shared" si="131"/>
        <v>0</v>
      </c>
      <c r="L3920" s="131"/>
      <c r="M3920" s="131"/>
      <c r="N3920" s="131"/>
    </row>
    <row r="3921" spans="1:14" hidden="1">
      <c r="A3921" s="100" t="s">
        <v>862</v>
      </c>
      <c r="B3921" s="101" t="s">
        <v>7350</v>
      </c>
      <c r="C3921" s="115" t="s">
        <v>7351</v>
      </c>
      <c r="D3921" s="38"/>
      <c r="E3921" s="42">
        <v>1</v>
      </c>
      <c r="F3921" s="9"/>
      <c r="G3921" s="8">
        <f t="shared" si="130"/>
        <v>23.739450000000001</v>
      </c>
      <c r="H3921" s="188">
        <v>22.609000000000002</v>
      </c>
      <c r="I3921" s="19">
        <f t="shared" si="131"/>
        <v>0</v>
      </c>
      <c r="L3921" s="131"/>
      <c r="M3921" s="131"/>
      <c r="N3921" s="131"/>
    </row>
    <row r="3922" spans="1:14" hidden="1">
      <c r="A3922" s="100" t="s">
        <v>862</v>
      </c>
      <c r="B3922" s="101" t="s">
        <v>7352</v>
      </c>
      <c r="C3922" s="115" t="s">
        <v>7353</v>
      </c>
      <c r="D3922" s="38"/>
      <c r="E3922" s="42">
        <v>1</v>
      </c>
      <c r="F3922" s="9"/>
      <c r="G3922" s="8">
        <f t="shared" si="130"/>
        <v>25.973849999999999</v>
      </c>
      <c r="H3922" s="188">
        <v>24.736999999999998</v>
      </c>
      <c r="I3922" s="19">
        <f t="shared" si="131"/>
        <v>0</v>
      </c>
      <c r="L3922" s="131"/>
      <c r="M3922" s="131"/>
      <c r="N3922" s="131"/>
    </row>
    <row r="3923" spans="1:14" hidden="1">
      <c r="A3923" s="100" t="s">
        <v>862</v>
      </c>
      <c r="B3923" s="101" t="s">
        <v>7354</v>
      </c>
      <c r="C3923" s="115" t="s">
        <v>7355</v>
      </c>
      <c r="D3923" s="38"/>
      <c r="E3923" s="42">
        <v>1</v>
      </c>
      <c r="F3923" s="9"/>
      <c r="G3923" s="8">
        <f t="shared" si="130"/>
        <v>27.177149999999997</v>
      </c>
      <c r="H3923" s="188">
        <v>25.882999999999999</v>
      </c>
      <c r="I3923" s="19">
        <f t="shared" si="131"/>
        <v>0</v>
      </c>
      <c r="L3923" s="131"/>
      <c r="M3923" s="131"/>
      <c r="N3923" s="131"/>
    </row>
    <row r="3924" spans="1:14" hidden="1">
      <c r="A3924" s="100" t="s">
        <v>862</v>
      </c>
      <c r="B3924" s="101" t="s">
        <v>7356</v>
      </c>
      <c r="C3924" s="115" t="s">
        <v>7357</v>
      </c>
      <c r="D3924" s="38"/>
      <c r="E3924" s="42">
        <v>1</v>
      </c>
      <c r="F3924" s="9"/>
      <c r="G3924" s="8">
        <f t="shared" si="130"/>
        <v>28.449224999999998</v>
      </c>
      <c r="H3924" s="188">
        <v>27.0945</v>
      </c>
      <c r="I3924" s="19">
        <f t="shared" si="131"/>
        <v>0</v>
      </c>
      <c r="L3924" s="131"/>
      <c r="M3924" s="131"/>
      <c r="N3924" s="131"/>
    </row>
    <row r="3925" spans="1:14" hidden="1">
      <c r="A3925" s="100" t="s">
        <v>862</v>
      </c>
      <c r="B3925" s="101" t="s">
        <v>7358</v>
      </c>
      <c r="C3925" s="115" t="s">
        <v>7359</v>
      </c>
      <c r="D3925" s="38"/>
      <c r="E3925" s="42">
        <v>1</v>
      </c>
      <c r="F3925" s="9"/>
      <c r="G3925" s="8">
        <f t="shared" si="130"/>
        <v>29.824724999999997</v>
      </c>
      <c r="H3925" s="188">
        <v>28.404499999999999</v>
      </c>
      <c r="I3925" s="19">
        <f t="shared" si="131"/>
        <v>0</v>
      </c>
      <c r="L3925" s="131"/>
      <c r="M3925" s="131"/>
      <c r="N3925" s="131"/>
    </row>
    <row r="3926" spans="1:14" hidden="1">
      <c r="A3926" s="100" t="s">
        <v>862</v>
      </c>
      <c r="B3926" s="101" t="s">
        <v>7360</v>
      </c>
      <c r="C3926" s="115" t="s">
        <v>7361</v>
      </c>
      <c r="D3926" s="38"/>
      <c r="E3926" s="42">
        <v>1</v>
      </c>
      <c r="F3926" s="9"/>
      <c r="G3926" s="8">
        <f t="shared" si="130"/>
        <v>31.234349999999999</v>
      </c>
      <c r="H3926" s="188">
        <v>29.747</v>
      </c>
      <c r="I3926" s="19">
        <f t="shared" si="131"/>
        <v>0</v>
      </c>
      <c r="L3926" s="131"/>
      <c r="M3926" s="131"/>
      <c r="N3926" s="131"/>
    </row>
    <row r="3927" spans="1:14" hidden="1">
      <c r="A3927" s="100" t="s">
        <v>862</v>
      </c>
      <c r="B3927" s="101" t="s">
        <v>7362</v>
      </c>
      <c r="C3927" s="115" t="s">
        <v>7363</v>
      </c>
      <c r="D3927" s="38"/>
      <c r="E3927" s="42">
        <v>1</v>
      </c>
      <c r="F3927" s="9"/>
      <c r="G3927" s="8">
        <f t="shared" si="130"/>
        <v>34.362825000000001</v>
      </c>
      <c r="H3927" s="188">
        <v>32.726500000000001</v>
      </c>
      <c r="I3927" s="19">
        <f t="shared" si="131"/>
        <v>0</v>
      </c>
      <c r="L3927" s="131"/>
      <c r="M3927" s="131"/>
      <c r="N3927" s="131"/>
    </row>
    <row r="3928" spans="1:14" hidden="1">
      <c r="A3928" s="100" t="s">
        <v>862</v>
      </c>
      <c r="B3928" s="101" t="s">
        <v>7364</v>
      </c>
      <c r="C3928" s="115" t="s">
        <v>7365</v>
      </c>
      <c r="D3928" s="38"/>
      <c r="E3928" s="42">
        <v>1</v>
      </c>
      <c r="F3928" s="9"/>
      <c r="G3928" s="8">
        <f t="shared" si="130"/>
        <v>37.869300000000003</v>
      </c>
      <c r="H3928" s="188">
        <v>36.066000000000003</v>
      </c>
      <c r="I3928" s="19">
        <f t="shared" si="131"/>
        <v>0</v>
      </c>
      <c r="L3928" s="131"/>
      <c r="M3928" s="131"/>
      <c r="N3928" s="131"/>
    </row>
    <row r="3929" spans="1:14" hidden="1">
      <c r="A3929" s="100" t="s">
        <v>862</v>
      </c>
      <c r="B3929" s="101" t="s">
        <v>7366</v>
      </c>
      <c r="C3929" s="115" t="s">
        <v>7367</v>
      </c>
      <c r="D3929" s="38"/>
      <c r="E3929" s="42">
        <v>1</v>
      </c>
      <c r="F3929" s="9"/>
      <c r="G3929" s="8">
        <f t="shared" si="130"/>
        <v>41.78895</v>
      </c>
      <c r="H3929" s="188">
        <v>39.798999999999999</v>
      </c>
      <c r="I3929" s="19">
        <f t="shared" si="131"/>
        <v>0</v>
      </c>
      <c r="L3929" s="131"/>
      <c r="M3929" s="131"/>
      <c r="N3929" s="131"/>
    </row>
    <row r="3930" spans="1:14" hidden="1">
      <c r="A3930" s="100" t="s">
        <v>862</v>
      </c>
      <c r="B3930" s="101" t="s">
        <v>7368</v>
      </c>
      <c r="C3930" s="115" t="s">
        <v>7369</v>
      </c>
      <c r="D3930" s="38"/>
      <c r="E3930" s="42">
        <v>1</v>
      </c>
      <c r="F3930" s="9"/>
      <c r="G3930" s="8">
        <f t="shared" si="130"/>
        <v>46.154850000000003</v>
      </c>
      <c r="H3930" s="188">
        <v>43.957000000000001</v>
      </c>
      <c r="I3930" s="19">
        <f t="shared" si="131"/>
        <v>0</v>
      </c>
      <c r="L3930" s="131"/>
      <c r="M3930" s="131"/>
      <c r="N3930" s="131"/>
    </row>
    <row r="3931" spans="1:14" hidden="1">
      <c r="A3931" s="100" t="s">
        <v>862</v>
      </c>
      <c r="B3931" s="101" t="s">
        <v>7370</v>
      </c>
      <c r="C3931" s="115" t="s">
        <v>7371</v>
      </c>
      <c r="D3931" s="38"/>
      <c r="E3931" s="42">
        <v>1</v>
      </c>
      <c r="F3931" s="9"/>
      <c r="G3931" s="8">
        <f t="shared" si="130"/>
        <v>51.827475</v>
      </c>
      <c r="H3931" s="188">
        <v>49.359499999999997</v>
      </c>
      <c r="I3931" s="19">
        <f t="shared" si="131"/>
        <v>0</v>
      </c>
      <c r="L3931" s="131"/>
      <c r="M3931" s="131"/>
      <c r="N3931" s="131"/>
    </row>
    <row r="3932" spans="1:14" hidden="1">
      <c r="A3932" s="100" t="s">
        <v>862</v>
      </c>
      <c r="B3932" s="101" t="s">
        <v>7372</v>
      </c>
      <c r="C3932" s="115" t="s">
        <v>7373</v>
      </c>
      <c r="D3932" s="38"/>
      <c r="E3932" s="42">
        <v>1</v>
      </c>
      <c r="F3932" s="9"/>
      <c r="G3932" s="8">
        <f t="shared" si="130"/>
        <v>62.141624999999998</v>
      </c>
      <c r="H3932" s="188">
        <v>59.182499999999997</v>
      </c>
      <c r="I3932" s="19">
        <f t="shared" si="131"/>
        <v>0</v>
      </c>
      <c r="L3932" s="131"/>
      <c r="M3932" s="131"/>
      <c r="N3932" s="131"/>
    </row>
    <row r="3933" spans="1:14" hidden="1">
      <c r="A3933" s="100" t="s">
        <v>862</v>
      </c>
      <c r="B3933" s="101" t="s">
        <v>7374</v>
      </c>
      <c r="C3933" s="115" t="s">
        <v>7375</v>
      </c>
      <c r="D3933" s="38"/>
      <c r="E3933" s="42">
        <v>1</v>
      </c>
      <c r="F3933" s="9"/>
      <c r="G3933" s="8">
        <f t="shared" si="130"/>
        <v>23.739450000000001</v>
      </c>
      <c r="H3933" s="188">
        <v>22.609000000000002</v>
      </c>
      <c r="I3933" s="19">
        <f t="shared" si="131"/>
        <v>0</v>
      </c>
      <c r="L3933" s="131"/>
      <c r="M3933" s="131"/>
      <c r="N3933" s="131"/>
    </row>
    <row r="3934" spans="1:14" hidden="1">
      <c r="A3934" s="100" t="s">
        <v>862</v>
      </c>
      <c r="B3934" s="101" t="s">
        <v>7376</v>
      </c>
      <c r="C3934" s="115" t="s">
        <v>7377</v>
      </c>
      <c r="D3934" s="38"/>
      <c r="E3934" s="42">
        <v>1</v>
      </c>
      <c r="F3934" s="9"/>
      <c r="G3934" s="8">
        <f t="shared" si="130"/>
        <v>25.973849999999999</v>
      </c>
      <c r="H3934" s="188">
        <v>24.736999999999998</v>
      </c>
      <c r="I3934" s="19">
        <f t="shared" si="131"/>
        <v>0</v>
      </c>
      <c r="L3934" s="131"/>
      <c r="M3934" s="131"/>
      <c r="N3934" s="131"/>
    </row>
    <row r="3935" spans="1:14" hidden="1">
      <c r="A3935" s="100" t="s">
        <v>862</v>
      </c>
      <c r="B3935" s="101" t="s">
        <v>7378</v>
      </c>
      <c r="C3935" s="115" t="s">
        <v>7379</v>
      </c>
      <c r="D3935" s="38"/>
      <c r="E3935" s="42">
        <v>1</v>
      </c>
      <c r="F3935" s="9"/>
      <c r="G3935" s="8">
        <f t="shared" si="130"/>
        <v>28.449224999999998</v>
      </c>
      <c r="H3935" s="188">
        <v>27.0945</v>
      </c>
      <c r="I3935" s="19">
        <f t="shared" si="131"/>
        <v>0</v>
      </c>
      <c r="L3935" s="131"/>
      <c r="M3935" s="131"/>
      <c r="N3935" s="131"/>
    </row>
    <row r="3936" spans="1:14" hidden="1">
      <c r="A3936" s="100" t="s">
        <v>862</v>
      </c>
      <c r="B3936" s="101" t="s">
        <v>7380</v>
      </c>
      <c r="C3936" s="115" t="s">
        <v>7381</v>
      </c>
      <c r="D3936" s="38"/>
      <c r="E3936" s="42">
        <v>1</v>
      </c>
      <c r="F3936" s="9"/>
      <c r="G3936" s="8">
        <f t="shared" si="130"/>
        <v>31.234349999999999</v>
      </c>
      <c r="H3936" s="188">
        <v>29.747</v>
      </c>
      <c r="I3936" s="19">
        <f t="shared" si="131"/>
        <v>0</v>
      </c>
      <c r="L3936" s="131"/>
      <c r="M3936" s="131"/>
      <c r="N3936" s="131"/>
    </row>
    <row r="3937" spans="1:14" hidden="1">
      <c r="A3937" s="100" t="s">
        <v>862</v>
      </c>
      <c r="B3937" s="101" t="s">
        <v>7382</v>
      </c>
      <c r="C3937" s="115" t="s">
        <v>7383</v>
      </c>
      <c r="D3937" s="38"/>
      <c r="E3937" s="42">
        <v>1</v>
      </c>
      <c r="F3937" s="9"/>
      <c r="G3937" s="8">
        <f t="shared" si="130"/>
        <v>32.780999999999999</v>
      </c>
      <c r="H3937" s="188">
        <v>31.22</v>
      </c>
      <c r="I3937" s="19">
        <f t="shared" si="131"/>
        <v>0</v>
      </c>
      <c r="L3937" s="131"/>
      <c r="M3937" s="131"/>
      <c r="N3937" s="131"/>
    </row>
    <row r="3938" spans="1:14" hidden="1">
      <c r="A3938" s="100" t="s">
        <v>862</v>
      </c>
      <c r="B3938" s="101" t="s">
        <v>7384</v>
      </c>
      <c r="C3938" s="115" t="s">
        <v>7385</v>
      </c>
      <c r="D3938" s="38"/>
      <c r="E3938" s="42">
        <v>1</v>
      </c>
      <c r="F3938" s="9"/>
      <c r="G3938" s="8">
        <f t="shared" si="130"/>
        <v>34.362825000000001</v>
      </c>
      <c r="H3938" s="188">
        <v>32.726500000000001</v>
      </c>
      <c r="I3938" s="19">
        <f t="shared" si="131"/>
        <v>0</v>
      </c>
      <c r="L3938" s="131"/>
      <c r="M3938" s="131"/>
      <c r="N3938" s="131"/>
    </row>
    <row r="3939" spans="1:14" hidden="1">
      <c r="A3939" s="100" t="s">
        <v>862</v>
      </c>
      <c r="B3939" s="101" t="s">
        <v>7386</v>
      </c>
      <c r="C3939" s="115" t="s">
        <v>7387</v>
      </c>
      <c r="D3939" s="38"/>
      <c r="E3939" s="42">
        <v>1</v>
      </c>
      <c r="F3939" s="9"/>
      <c r="G3939" s="8">
        <f t="shared" si="130"/>
        <v>37.869300000000003</v>
      </c>
      <c r="H3939" s="188">
        <v>36.066000000000003</v>
      </c>
      <c r="I3939" s="19">
        <f t="shared" si="131"/>
        <v>0</v>
      </c>
      <c r="L3939" s="131"/>
      <c r="M3939" s="131"/>
      <c r="N3939" s="131"/>
    </row>
    <row r="3940" spans="1:14" hidden="1">
      <c r="A3940" s="100" t="s">
        <v>862</v>
      </c>
      <c r="B3940" s="101" t="s">
        <v>7388</v>
      </c>
      <c r="C3940" s="115" t="s">
        <v>7389</v>
      </c>
      <c r="D3940" s="38"/>
      <c r="E3940" s="42">
        <v>1</v>
      </c>
      <c r="F3940" s="9"/>
      <c r="G3940" s="8">
        <f t="shared" si="130"/>
        <v>41.78895</v>
      </c>
      <c r="H3940" s="188">
        <v>39.798999999999999</v>
      </c>
      <c r="I3940" s="19">
        <f t="shared" si="131"/>
        <v>0</v>
      </c>
      <c r="L3940" s="131"/>
      <c r="M3940" s="131"/>
      <c r="N3940" s="131"/>
    </row>
    <row r="3941" spans="1:14" hidden="1">
      <c r="A3941" s="100" t="s">
        <v>862</v>
      </c>
      <c r="B3941" s="101" t="s">
        <v>7390</v>
      </c>
      <c r="C3941" s="115" t="s">
        <v>7391</v>
      </c>
      <c r="D3941" s="38"/>
      <c r="E3941" s="42">
        <v>1</v>
      </c>
      <c r="F3941" s="9"/>
      <c r="G3941" s="8">
        <f t="shared" ref="G3941:G4004" si="132">H3941+(H3941*5%)</f>
        <v>46.154850000000003</v>
      </c>
      <c r="H3941" s="188">
        <v>43.957000000000001</v>
      </c>
      <c r="I3941" s="19">
        <f t="shared" si="131"/>
        <v>0</v>
      </c>
      <c r="L3941" s="131"/>
      <c r="M3941" s="131"/>
      <c r="N3941" s="131"/>
    </row>
    <row r="3942" spans="1:14" hidden="1">
      <c r="A3942" s="100" t="s">
        <v>862</v>
      </c>
      <c r="B3942" s="101" t="s">
        <v>7392</v>
      </c>
      <c r="C3942" s="115" t="s">
        <v>7393</v>
      </c>
      <c r="D3942" s="38"/>
      <c r="E3942" s="42">
        <v>1</v>
      </c>
      <c r="F3942" s="9"/>
      <c r="G3942" s="8">
        <f t="shared" si="132"/>
        <v>51.827475</v>
      </c>
      <c r="H3942" s="188">
        <v>49.359499999999997</v>
      </c>
      <c r="I3942" s="19">
        <f t="shared" si="131"/>
        <v>0</v>
      </c>
      <c r="L3942" s="131"/>
      <c r="M3942" s="131"/>
      <c r="N3942" s="131"/>
    </row>
    <row r="3943" spans="1:14" hidden="1">
      <c r="A3943" s="100" t="s">
        <v>862</v>
      </c>
      <c r="B3943" s="101" t="s">
        <v>7394</v>
      </c>
      <c r="C3943" s="115" t="s">
        <v>7395</v>
      </c>
      <c r="D3943" s="38"/>
      <c r="E3943" s="42">
        <v>1</v>
      </c>
      <c r="F3943" s="9"/>
      <c r="G3943" s="8">
        <f t="shared" si="132"/>
        <v>62.141624999999998</v>
      </c>
      <c r="H3943" s="188">
        <v>59.182499999999997</v>
      </c>
      <c r="I3943" s="19">
        <f t="shared" si="131"/>
        <v>0</v>
      </c>
      <c r="L3943" s="131"/>
      <c r="M3943" s="131"/>
      <c r="N3943" s="131"/>
    </row>
    <row r="3944" spans="1:14" hidden="1">
      <c r="A3944" s="100" t="s">
        <v>862</v>
      </c>
      <c r="B3944" s="101" t="s">
        <v>7396</v>
      </c>
      <c r="C3944" s="115" t="s">
        <v>7397</v>
      </c>
      <c r="D3944" s="38"/>
      <c r="E3944" s="42">
        <v>1</v>
      </c>
      <c r="F3944" s="9"/>
      <c r="G3944" s="8">
        <f t="shared" si="132"/>
        <v>32.733750000000001</v>
      </c>
      <c r="H3944" s="188">
        <v>31.175000000000001</v>
      </c>
      <c r="I3944" s="19">
        <f t="shared" ref="I3944:I4007" si="133">G3944*F3944</f>
        <v>0</v>
      </c>
      <c r="L3944" s="131"/>
      <c r="M3944" s="131"/>
      <c r="N3944" s="131"/>
    </row>
    <row r="3945" spans="1:14" hidden="1">
      <c r="A3945" s="100" t="s">
        <v>862</v>
      </c>
      <c r="B3945" s="101" t="s">
        <v>7398</v>
      </c>
      <c r="C3945" s="115" t="s">
        <v>7399</v>
      </c>
      <c r="D3945" s="38"/>
      <c r="E3945" s="42">
        <v>1</v>
      </c>
      <c r="F3945" s="9"/>
      <c r="G3945" s="8">
        <f t="shared" si="132"/>
        <v>36.013424999999998</v>
      </c>
      <c r="H3945" s="188">
        <v>34.298499999999997</v>
      </c>
      <c r="I3945" s="19">
        <f t="shared" si="133"/>
        <v>0</v>
      </c>
      <c r="L3945" s="131"/>
      <c r="M3945" s="131"/>
      <c r="N3945" s="131"/>
    </row>
    <row r="3946" spans="1:14" hidden="1">
      <c r="A3946" s="100" t="s">
        <v>862</v>
      </c>
      <c r="B3946" s="101" t="s">
        <v>7400</v>
      </c>
      <c r="C3946" s="115" t="s">
        <v>7401</v>
      </c>
      <c r="D3946" s="38"/>
      <c r="E3946" s="42">
        <v>1</v>
      </c>
      <c r="F3946" s="9"/>
      <c r="G3946" s="8">
        <f t="shared" si="132"/>
        <v>37.782149999999994</v>
      </c>
      <c r="H3946" s="188">
        <v>35.982999999999997</v>
      </c>
      <c r="I3946" s="19">
        <f t="shared" si="133"/>
        <v>0</v>
      </c>
      <c r="L3946" s="131"/>
      <c r="M3946" s="131"/>
      <c r="N3946" s="131"/>
    </row>
    <row r="3947" spans="1:14" hidden="1">
      <c r="A3947" s="100" t="s">
        <v>862</v>
      </c>
      <c r="B3947" s="101" t="s">
        <v>7402</v>
      </c>
      <c r="C3947" s="115" t="s">
        <v>7403</v>
      </c>
      <c r="D3947" s="38"/>
      <c r="E3947" s="42">
        <v>1</v>
      </c>
      <c r="F3947" s="9"/>
      <c r="G3947" s="8">
        <f t="shared" si="132"/>
        <v>39.661650000000002</v>
      </c>
      <c r="H3947" s="188">
        <v>37.773000000000003</v>
      </c>
      <c r="I3947" s="19">
        <f t="shared" si="133"/>
        <v>0</v>
      </c>
      <c r="L3947" s="131"/>
      <c r="M3947" s="131"/>
      <c r="N3947" s="131"/>
    </row>
    <row r="3948" spans="1:14" hidden="1">
      <c r="A3948" s="100" t="s">
        <v>862</v>
      </c>
      <c r="B3948" s="101" t="s">
        <v>7404</v>
      </c>
      <c r="C3948" s="115" t="s">
        <v>7405</v>
      </c>
      <c r="D3948" s="38"/>
      <c r="E3948" s="42">
        <v>1</v>
      </c>
      <c r="F3948" s="9"/>
      <c r="G3948" s="8">
        <f t="shared" si="132"/>
        <v>41.651924999999999</v>
      </c>
      <c r="H3948" s="188">
        <v>39.668500000000002</v>
      </c>
      <c r="I3948" s="19">
        <f t="shared" si="133"/>
        <v>0</v>
      </c>
      <c r="L3948" s="131"/>
      <c r="M3948" s="131"/>
      <c r="N3948" s="131"/>
    </row>
    <row r="3949" spans="1:14" hidden="1">
      <c r="A3949" s="100" t="s">
        <v>862</v>
      </c>
      <c r="B3949" s="101" t="s">
        <v>7406</v>
      </c>
      <c r="C3949" s="115" t="s">
        <v>7407</v>
      </c>
      <c r="D3949" s="38"/>
      <c r="E3949" s="42">
        <v>1</v>
      </c>
      <c r="F3949" s="9"/>
      <c r="G3949" s="8">
        <f t="shared" si="132"/>
        <v>43.751925</v>
      </c>
      <c r="H3949" s="188">
        <v>41.668500000000002</v>
      </c>
      <c r="I3949" s="19">
        <f t="shared" si="133"/>
        <v>0</v>
      </c>
      <c r="L3949" s="131"/>
      <c r="M3949" s="131"/>
      <c r="N3949" s="131"/>
    </row>
    <row r="3950" spans="1:14" hidden="1">
      <c r="A3950" s="100" t="s">
        <v>862</v>
      </c>
      <c r="B3950" s="101" t="s">
        <v>7408</v>
      </c>
      <c r="C3950" s="115" t="s">
        <v>7409</v>
      </c>
      <c r="D3950" s="38"/>
      <c r="E3950" s="42">
        <v>1</v>
      </c>
      <c r="F3950" s="9"/>
      <c r="G3950" s="8">
        <f t="shared" si="132"/>
        <v>48.358274999999999</v>
      </c>
      <c r="H3950" s="188">
        <v>46.055500000000002</v>
      </c>
      <c r="I3950" s="19">
        <f t="shared" si="133"/>
        <v>0</v>
      </c>
      <c r="L3950" s="131"/>
      <c r="M3950" s="131"/>
      <c r="N3950" s="131"/>
    </row>
    <row r="3951" spans="1:14" hidden="1">
      <c r="A3951" s="100" t="s">
        <v>862</v>
      </c>
      <c r="B3951" s="101" t="s">
        <v>7410</v>
      </c>
      <c r="C3951" s="115" t="s">
        <v>7411</v>
      </c>
      <c r="D3951" s="38"/>
      <c r="E3951" s="42">
        <v>1</v>
      </c>
      <c r="F3951" s="9"/>
      <c r="G3951" s="8">
        <f t="shared" si="132"/>
        <v>53.517450000000004</v>
      </c>
      <c r="H3951" s="188">
        <v>50.969000000000001</v>
      </c>
      <c r="I3951" s="19">
        <f t="shared" si="133"/>
        <v>0</v>
      </c>
      <c r="L3951" s="131"/>
      <c r="M3951" s="131"/>
      <c r="N3951" s="131"/>
    </row>
    <row r="3952" spans="1:14" hidden="1">
      <c r="A3952" s="100" t="s">
        <v>862</v>
      </c>
      <c r="B3952" s="101" t="s">
        <v>7412</v>
      </c>
      <c r="C3952" s="115" t="s">
        <v>7413</v>
      </c>
      <c r="D3952" s="38"/>
      <c r="E3952" s="42">
        <v>1</v>
      </c>
      <c r="F3952" s="9"/>
      <c r="G3952" s="8">
        <f t="shared" si="132"/>
        <v>59.266200000000005</v>
      </c>
      <c r="H3952" s="188">
        <v>56.444000000000003</v>
      </c>
      <c r="I3952" s="19">
        <f t="shared" si="133"/>
        <v>0</v>
      </c>
      <c r="L3952" s="131"/>
      <c r="M3952" s="131"/>
      <c r="N3952" s="131"/>
    </row>
    <row r="3953" spans="1:14" hidden="1">
      <c r="A3953" s="100" t="s">
        <v>862</v>
      </c>
      <c r="B3953" s="101" t="s">
        <v>7414</v>
      </c>
      <c r="C3953" s="115" t="s">
        <v>7415</v>
      </c>
      <c r="D3953" s="38"/>
      <c r="E3953" s="42">
        <v>1</v>
      </c>
      <c r="F3953" s="9"/>
      <c r="G3953" s="8">
        <f t="shared" si="132"/>
        <v>66.341624999999993</v>
      </c>
      <c r="H3953" s="188">
        <v>63.182499999999997</v>
      </c>
      <c r="I3953" s="19">
        <f t="shared" si="133"/>
        <v>0</v>
      </c>
      <c r="L3953" s="131"/>
      <c r="M3953" s="131"/>
      <c r="N3953" s="131"/>
    </row>
    <row r="3954" spans="1:14" hidden="1">
      <c r="A3954" s="100" t="s">
        <v>862</v>
      </c>
      <c r="B3954" s="101" t="s">
        <v>7416</v>
      </c>
      <c r="C3954" s="115" t="s">
        <v>7417</v>
      </c>
      <c r="D3954" s="38"/>
      <c r="E3954" s="42">
        <v>1</v>
      </c>
      <c r="F3954" s="9"/>
      <c r="G3954" s="8">
        <f t="shared" si="132"/>
        <v>32.733750000000001</v>
      </c>
      <c r="H3954" s="188">
        <v>31.175000000000001</v>
      </c>
      <c r="I3954" s="19">
        <f t="shared" si="133"/>
        <v>0</v>
      </c>
      <c r="L3954" s="131"/>
      <c r="M3954" s="131"/>
      <c r="N3954" s="131"/>
    </row>
    <row r="3955" spans="1:14" hidden="1">
      <c r="A3955" s="100" t="s">
        <v>862</v>
      </c>
      <c r="B3955" s="101" t="s">
        <v>7418</v>
      </c>
      <c r="C3955" s="115" t="s">
        <v>7419</v>
      </c>
      <c r="D3955" s="38"/>
      <c r="E3955" s="42">
        <v>1</v>
      </c>
      <c r="F3955" s="9"/>
      <c r="G3955" s="8">
        <f t="shared" si="132"/>
        <v>36.013424999999998</v>
      </c>
      <c r="H3955" s="188">
        <v>34.298499999999997</v>
      </c>
      <c r="I3955" s="19">
        <f t="shared" si="133"/>
        <v>0</v>
      </c>
      <c r="L3955" s="131"/>
      <c r="M3955" s="131"/>
      <c r="N3955" s="131"/>
    </row>
    <row r="3956" spans="1:14" hidden="1">
      <c r="A3956" s="100" t="s">
        <v>862</v>
      </c>
      <c r="B3956" s="101" t="s">
        <v>7420</v>
      </c>
      <c r="C3956" s="115" t="s">
        <v>7421</v>
      </c>
      <c r="D3956" s="38"/>
      <c r="E3956" s="42">
        <v>1</v>
      </c>
      <c r="F3956" s="9"/>
      <c r="G3956" s="8">
        <f t="shared" si="132"/>
        <v>39.661650000000002</v>
      </c>
      <c r="H3956" s="188">
        <v>37.773000000000003</v>
      </c>
      <c r="I3956" s="19">
        <f t="shared" si="133"/>
        <v>0</v>
      </c>
      <c r="L3956" s="131"/>
      <c r="M3956" s="131"/>
      <c r="N3956" s="131"/>
    </row>
    <row r="3957" spans="1:14" hidden="1">
      <c r="A3957" s="100" t="s">
        <v>862</v>
      </c>
      <c r="B3957" s="101" t="s">
        <v>7422</v>
      </c>
      <c r="C3957" s="115" t="s">
        <v>7423</v>
      </c>
      <c r="D3957" s="38"/>
      <c r="E3957" s="42">
        <v>1</v>
      </c>
      <c r="F3957" s="9"/>
      <c r="G3957" s="8">
        <f t="shared" si="132"/>
        <v>43.125600000000006</v>
      </c>
      <c r="H3957" s="188">
        <v>41.072000000000003</v>
      </c>
      <c r="I3957" s="19">
        <f t="shared" si="133"/>
        <v>0</v>
      </c>
      <c r="L3957" s="131"/>
      <c r="M3957" s="131"/>
      <c r="N3957" s="131"/>
    </row>
    <row r="3958" spans="1:14" hidden="1">
      <c r="A3958" s="100" t="s">
        <v>862</v>
      </c>
      <c r="B3958" s="101" t="s">
        <v>7424</v>
      </c>
      <c r="C3958" s="115" t="s">
        <v>7425</v>
      </c>
      <c r="D3958" s="38"/>
      <c r="E3958" s="42">
        <v>1</v>
      </c>
      <c r="F3958" s="9"/>
      <c r="G3958" s="8">
        <f t="shared" si="132"/>
        <v>43.751925</v>
      </c>
      <c r="H3958" s="188">
        <v>41.668500000000002</v>
      </c>
      <c r="I3958" s="19">
        <f t="shared" si="133"/>
        <v>0</v>
      </c>
      <c r="L3958" s="131"/>
      <c r="M3958" s="131"/>
      <c r="N3958" s="131"/>
    </row>
    <row r="3959" spans="1:14" hidden="1">
      <c r="A3959" s="100" t="s">
        <v>862</v>
      </c>
      <c r="B3959" s="101" t="s">
        <v>7426</v>
      </c>
      <c r="C3959" s="115" t="s">
        <v>7427</v>
      </c>
      <c r="D3959" s="38"/>
      <c r="E3959" s="42">
        <v>1</v>
      </c>
      <c r="F3959" s="9"/>
      <c r="G3959" s="8">
        <f t="shared" si="132"/>
        <v>45.999974999999999</v>
      </c>
      <c r="H3959" s="188">
        <v>43.8095</v>
      </c>
      <c r="I3959" s="19">
        <f t="shared" si="133"/>
        <v>0</v>
      </c>
      <c r="L3959" s="131"/>
      <c r="M3959" s="131"/>
      <c r="N3959" s="131"/>
    </row>
    <row r="3960" spans="1:14" hidden="1">
      <c r="A3960" s="100" t="s">
        <v>862</v>
      </c>
      <c r="B3960" s="101" t="s">
        <v>7428</v>
      </c>
      <c r="C3960" s="115" t="s">
        <v>7429</v>
      </c>
      <c r="D3960" s="38"/>
      <c r="E3960" s="42">
        <v>1</v>
      </c>
      <c r="F3960" s="9"/>
      <c r="G3960" s="8">
        <f t="shared" si="132"/>
        <v>48.358274999999999</v>
      </c>
      <c r="H3960" s="188">
        <v>46.055500000000002</v>
      </c>
      <c r="I3960" s="19">
        <f t="shared" si="133"/>
        <v>0</v>
      </c>
      <c r="L3960" s="131"/>
      <c r="M3960" s="131"/>
      <c r="N3960" s="131"/>
    </row>
    <row r="3961" spans="1:14" hidden="1">
      <c r="A3961" s="100" t="s">
        <v>862</v>
      </c>
      <c r="B3961" s="101" t="s">
        <v>7430</v>
      </c>
      <c r="C3961" s="115" t="s">
        <v>7431</v>
      </c>
      <c r="D3961" s="38"/>
      <c r="E3961" s="42">
        <v>1</v>
      </c>
      <c r="F3961" s="9"/>
      <c r="G3961" s="8">
        <f t="shared" si="132"/>
        <v>53.517450000000004</v>
      </c>
      <c r="H3961" s="188">
        <v>50.969000000000001</v>
      </c>
      <c r="I3961" s="19">
        <f t="shared" si="133"/>
        <v>0</v>
      </c>
      <c r="L3961" s="131"/>
      <c r="M3961" s="131"/>
      <c r="N3961" s="131"/>
    </row>
    <row r="3962" spans="1:14" hidden="1">
      <c r="A3962" s="100" t="s">
        <v>862</v>
      </c>
      <c r="B3962" s="101" t="s">
        <v>7432</v>
      </c>
      <c r="C3962" s="115" t="s">
        <v>7433</v>
      </c>
      <c r="D3962" s="38"/>
      <c r="E3962" s="42">
        <v>1</v>
      </c>
      <c r="F3962" s="9"/>
      <c r="G3962" s="8">
        <f t="shared" si="132"/>
        <v>59.266200000000005</v>
      </c>
      <c r="H3962" s="188">
        <v>56.444000000000003</v>
      </c>
      <c r="I3962" s="19">
        <f t="shared" si="133"/>
        <v>0</v>
      </c>
      <c r="L3962" s="131"/>
      <c r="M3962" s="131"/>
      <c r="N3962" s="131"/>
    </row>
    <row r="3963" spans="1:14" hidden="1">
      <c r="A3963" s="100" t="s">
        <v>862</v>
      </c>
      <c r="B3963" s="101" t="s">
        <v>7434</v>
      </c>
      <c r="C3963" s="115" t="s">
        <v>7435</v>
      </c>
      <c r="D3963" s="38"/>
      <c r="E3963" s="42">
        <v>1</v>
      </c>
      <c r="F3963" s="9"/>
      <c r="G3963" s="8">
        <f t="shared" si="132"/>
        <v>66.341624999999993</v>
      </c>
      <c r="H3963" s="188">
        <v>63.182499999999997</v>
      </c>
      <c r="I3963" s="19">
        <f t="shared" si="133"/>
        <v>0</v>
      </c>
      <c r="L3963" s="131"/>
      <c r="M3963" s="131"/>
      <c r="N3963" s="131"/>
    </row>
    <row r="3964" spans="1:14" hidden="1">
      <c r="A3964" s="100" t="s">
        <v>862</v>
      </c>
      <c r="B3964" s="101" t="s">
        <v>7436</v>
      </c>
      <c r="C3964" s="115" t="s">
        <v>7437</v>
      </c>
      <c r="D3964" s="38"/>
      <c r="E3964" s="42">
        <v>1</v>
      </c>
      <c r="F3964" s="9"/>
      <c r="G3964" s="8">
        <f t="shared" si="132"/>
        <v>36.979950000000002</v>
      </c>
      <c r="H3964" s="188">
        <v>35.219000000000001</v>
      </c>
      <c r="I3964" s="19">
        <f t="shared" si="133"/>
        <v>0</v>
      </c>
      <c r="L3964" s="131"/>
      <c r="M3964" s="131"/>
      <c r="N3964" s="131"/>
    </row>
    <row r="3965" spans="1:14" hidden="1">
      <c r="A3965" s="100" t="s">
        <v>862</v>
      </c>
      <c r="B3965" s="101" t="s">
        <v>7438</v>
      </c>
      <c r="C3965" s="115" t="s">
        <v>7439</v>
      </c>
      <c r="D3965" s="38"/>
      <c r="E3965" s="42">
        <v>1</v>
      </c>
      <c r="F3965" s="9"/>
      <c r="G3965" s="8">
        <f t="shared" si="132"/>
        <v>40.717950000000002</v>
      </c>
      <c r="H3965" s="188">
        <v>38.779000000000003</v>
      </c>
      <c r="I3965" s="19">
        <f t="shared" si="133"/>
        <v>0</v>
      </c>
      <c r="L3965" s="131"/>
      <c r="M3965" s="131"/>
      <c r="N3965" s="131"/>
    </row>
    <row r="3966" spans="1:14" hidden="1">
      <c r="A3966" s="100" t="s">
        <v>862</v>
      </c>
      <c r="B3966" s="101" t="s">
        <v>7440</v>
      </c>
      <c r="C3966" s="115" t="s">
        <v>7441</v>
      </c>
      <c r="D3966" s="38"/>
      <c r="E3966" s="42">
        <v>1</v>
      </c>
      <c r="F3966" s="9"/>
      <c r="G3966" s="8">
        <f t="shared" si="132"/>
        <v>44.927399999999999</v>
      </c>
      <c r="H3966" s="188">
        <v>42.787999999999997</v>
      </c>
      <c r="I3966" s="19">
        <f t="shared" si="133"/>
        <v>0</v>
      </c>
      <c r="L3966" s="131"/>
      <c r="M3966" s="131"/>
      <c r="N3966" s="131"/>
    </row>
    <row r="3967" spans="1:14" hidden="1">
      <c r="A3967" s="100" t="s">
        <v>862</v>
      </c>
      <c r="B3967" s="101" t="s">
        <v>7442</v>
      </c>
      <c r="C3967" s="115" t="s">
        <v>7443</v>
      </c>
      <c r="D3967" s="38"/>
      <c r="E3967" s="42">
        <v>1</v>
      </c>
      <c r="F3967" s="9"/>
      <c r="G3967" s="8">
        <f t="shared" si="132"/>
        <v>49.648724999999999</v>
      </c>
      <c r="H3967" s="188">
        <v>47.284500000000001</v>
      </c>
      <c r="I3967" s="19">
        <f t="shared" si="133"/>
        <v>0</v>
      </c>
      <c r="L3967" s="131"/>
      <c r="M3967" s="131"/>
      <c r="N3967" s="131"/>
    </row>
    <row r="3968" spans="1:14" hidden="1">
      <c r="A3968" s="100" t="s">
        <v>862</v>
      </c>
      <c r="B3968" s="101" t="s">
        <v>7444</v>
      </c>
      <c r="C3968" s="115" t="s">
        <v>7445</v>
      </c>
      <c r="D3968" s="38"/>
      <c r="E3968" s="42">
        <v>1</v>
      </c>
      <c r="F3968" s="9"/>
      <c r="G3968" s="8">
        <f t="shared" si="132"/>
        <v>51.497774999999997</v>
      </c>
      <c r="H3968" s="188">
        <v>49.045499999999997</v>
      </c>
      <c r="I3968" s="19">
        <f t="shared" si="133"/>
        <v>0</v>
      </c>
      <c r="L3968" s="131"/>
      <c r="M3968" s="131"/>
      <c r="N3968" s="131"/>
    </row>
    <row r="3969" spans="1:14" hidden="1">
      <c r="A3969" s="100" t="s">
        <v>862</v>
      </c>
      <c r="B3969" s="101" t="s">
        <v>7446</v>
      </c>
      <c r="C3969" s="115" t="s">
        <v>7447</v>
      </c>
      <c r="D3969" s="38"/>
      <c r="E3969" s="42">
        <v>1</v>
      </c>
      <c r="F3969" s="9"/>
      <c r="G3969" s="8">
        <f t="shared" si="132"/>
        <v>54.920775000000006</v>
      </c>
      <c r="H3969" s="188">
        <v>52.305500000000002</v>
      </c>
      <c r="I3969" s="19">
        <f t="shared" si="133"/>
        <v>0</v>
      </c>
      <c r="L3969" s="131"/>
      <c r="M3969" s="131"/>
      <c r="N3969" s="131"/>
    </row>
    <row r="3970" spans="1:14" hidden="1">
      <c r="A3970" s="100" t="s">
        <v>862</v>
      </c>
      <c r="B3970" s="101" t="s">
        <v>7448</v>
      </c>
      <c r="C3970" s="115" t="s">
        <v>7449</v>
      </c>
      <c r="D3970" s="38"/>
      <c r="E3970" s="42">
        <v>1</v>
      </c>
      <c r="F3970" s="9"/>
      <c r="G3970" s="8">
        <f t="shared" si="132"/>
        <v>60.821775000000002</v>
      </c>
      <c r="H3970" s="188">
        <v>57.9255</v>
      </c>
      <c r="I3970" s="19">
        <f t="shared" si="133"/>
        <v>0</v>
      </c>
      <c r="L3970" s="131"/>
      <c r="M3970" s="131"/>
      <c r="N3970" s="131"/>
    </row>
    <row r="3971" spans="1:14" hidden="1">
      <c r="A3971" s="100" t="s">
        <v>862</v>
      </c>
      <c r="B3971" s="101" t="s">
        <v>7450</v>
      </c>
      <c r="C3971" s="115" t="s">
        <v>7451</v>
      </c>
      <c r="D3971" s="38"/>
      <c r="E3971" s="42">
        <v>1</v>
      </c>
      <c r="F3971" s="9"/>
      <c r="G3971" s="8">
        <f t="shared" si="132"/>
        <v>67.431525000000008</v>
      </c>
      <c r="H3971" s="188">
        <v>64.220500000000001</v>
      </c>
      <c r="I3971" s="19">
        <f t="shared" si="133"/>
        <v>0</v>
      </c>
      <c r="L3971" s="131"/>
      <c r="M3971" s="131"/>
      <c r="N3971" s="131"/>
    </row>
    <row r="3972" spans="1:14" hidden="1">
      <c r="A3972" s="100" t="s">
        <v>862</v>
      </c>
      <c r="B3972" s="101" t="s">
        <v>7452</v>
      </c>
      <c r="C3972" s="115" t="s">
        <v>7453</v>
      </c>
      <c r="D3972" s="38"/>
      <c r="E3972" s="42">
        <v>1</v>
      </c>
      <c r="F3972" s="9"/>
      <c r="G3972" s="8">
        <f t="shared" si="132"/>
        <v>70.578900000000004</v>
      </c>
      <c r="H3972" s="188">
        <v>67.218000000000004</v>
      </c>
      <c r="I3972" s="19">
        <f t="shared" si="133"/>
        <v>0</v>
      </c>
      <c r="L3972" s="131"/>
      <c r="M3972" s="131"/>
      <c r="N3972" s="131"/>
    </row>
    <row r="3973" spans="1:14" hidden="1">
      <c r="A3973" s="100" t="s">
        <v>862</v>
      </c>
      <c r="B3973" s="101" t="s">
        <v>7454</v>
      </c>
      <c r="C3973" s="115" t="s">
        <v>7455</v>
      </c>
      <c r="D3973" s="38"/>
      <c r="E3973" s="42">
        <v>1</v>
      </c>
      <c r="F3973" s="9"/>
      <c r="G3973" s="8">
        <f t="shared" si="132"/>
        <v>36.979950000000002</v>
      </c>
      <c r="H3973" s="188">
        <v>35.219000000000001</v>
      </c>
      <c r="I3973" s="19">
        <f t="shared" si="133"/>
        <v>0</v>
      </c>
      <c r="L3973" s="131"/>
      <c r="M3973" s="131"/>
      <c r="N3973" s="131"/>
    </row>
    <row r="3974" spans="1:14" hidden="1">
      <c r="A3974" s="100" t="s">
        <v>862</v>
      </c>
      <c r="B3974" s="101" t="s">
        <v>7456</v>
      </c>
      <c r="C3974" s="115" t="s">
        <v>7457</v>
      </c>
      <c r="D3974" s="38"/>
      <c r="E3974" s="42">
        <v>1</v>
      </c>
      <c r="F3974" s="9"/>
      <c r="G3974" s="8">
        <f t="shared" si="132"/>
        <v>40.717950000000002</v>
      </c>
      <c r="H3974" s="188">
        <v>38.779000000000003</v>
      </c>
      <c r="I3974" s="19">
        <f t="shared" si="133"/>
        <v>0</v>
      </c>
      <c r="L3974" s="131"/>
      <c r="M3974" s="131"/>
      <c r="N3974" s="131"/>
    </row>
    <row r="3975" spans="1:14" hidden="1">
      <c r="A3975" s="100" t="s">
        <v>862</v>
      </c>
      <c r="B3975" s="101" t="s">
        <v>7458</v>
      </c>
      <c r="C3975" s="115" t="s">
        <v>7459</v>
      </c>
      <c r="D3975" s="38"/>
      <c r="E3975" s="42">
        <v>1</v>
      </c>
      <c r="F3975" s="9"/>
      <c r="G3975" s="8">
        <f t="shared" si="132"/>
        <v>44.927399999999999</v>
      </c>
      <c r="H3975" s="188">
        <v>42.787999999999997</v>
      </c>
      <c r="I3975" s="19">
        <f t="shared" si="133"/>
        <v>0</v>
      </c>
      <c r="L3975" s="131"/>
      <c r="M3975" s="131"/>
      <c r="N3975" s="131"/>
    </row>
    <row r="3976" spans="1:14" hidden="1">
      <c r="A3976" s="100" t="s">
        <v>862</v>
      </c>
      <c r="B3976" s="101" t="s">
        <v>7460</v>
      </c>
      <c r="C3976" s="115" t="s">
        <v>7461</v>
      </c>
      <c r="D3976" s="38"/>
      <c r="E3976" s="42">
        <v>1</v>
      </c>
      <c r="F3976" s="9"/>
      <c r="G3976" s="8">
        <f t="shared" si="132"/>
        <v>47.209049999999998</v>
      </c>
      <c r="H3976" s="188">
        <v>44.960999999999999</v>
      </c>
      <c r="I3976" s="19">
        <f t="shared" si="133"/>
        <v>0</v>
      </c>
      <c r="L3976" s="131"/>
      <c r="M3976" s="131"/>
      <c r="N3976" s="131"/>
    </row>
    <row r="3977" spans="1:14" hidden="1">
      <c r="A3977" s="100" t="s">
        <v>862</v>
      </c>
      <c r="B3977" s="101" t="s">
        <v>7462</v>
      </c>
      <c r="C3977" s="115" t="s">
        <v>7463</v>
      </c>
      <c r="D3977" s="38"/>
      <c r="E3977" s="42">
        <v>1</v>
      </c>
      <c r="F3977" s="9"/>
      <c r="G3977" s="8">
        <f t="shared" si="132"/>
        <v>49.648724999999999</v>
      </c>
      <c r="H3977" s="188">
        <v>47.284500000000001</v>
      </c>
      <c r="I3977" s="19">
        <f t="shared" si="133"/>
        <v>0</v>
      </c>
      <c r="L3977" s="131"/>
      <c r="M3977" s="131"/>
      <c r="N3977" s="131"/>
    </row>
    <row r="3978" spans="1:14" hidden="1">
      <c r="A3978" s="100" t="s">
        <v>862</v>
      </c>
      <c r="B3978" s="101" t="s">
        <v>7464</v>
      </c>
      <c r="C3978" s="115" t="s">
        <v>7465</v>
      </c>
      <c r="D3978" s="38"/>
      <c r="E3978" s="42">
        <v>1</v>
      </c>
      <c r="F3978" s="9"/>
      <c r="G3978" s="8">
        <f t="shared" si="132"/>
        <v>52.205999999999996</v>
      </c>
      <c r="H3978" s="188">
        <v>49.72</v>
      </c>
      <c r="I3978" s="19">
        <f t="shared" si="133"/>
        <v>0</v>
      </c>
      <c r="L3978" s="131"/>
      <c r="M3978" s="131"/>
      <c r="N3978" s="131"/>
    </row>
    <row r="3979" spans="1:14" hidden="1">
      <c r="A3979" s="100" t="s">
        <v>862</v>
      </c>
      <c r="B3979" s="101" t="s">
        <v>7466</v>
      </c>
      <c r="C3979" s="115" t="s">
        <v>7467</v>
      </c>
      <c r="D3979" s="38"/>
      <c r="E3979" s="42">
        <v>1</v>
      </c>
      <c r="F3979" s="9"/>
      <c r="G3979" s="8">
        <f t="shared" si="132"/>
        <v>54.920775000000006</v>
      </c>
      <c r="H3979" s="188">
        <v>52.305500000000002</v>
      </c>
      <c r="I3979" s="19">
        <f t="shared" si="133"/>
        <v>0</v>
      </c>
      <c r="L3979" s="131"/>
      <c r="M3979" s="131"/>
      <c r="N3979" s="131"/>
    </row>
    <row r="3980" spans="1:14" hidden="1">
      <c r="A3980" s="100" t="s">
        <v>862</v>
      </c>
      <c r="B3980" s="101" t="s">
        <v>7468</v>
      </c>
      <c r="C3980" s="115" t="s">
        <v>7469</v>
      </c>
      <c r="D3980" s="38"/>
      <c r="E3980" s="42">
        <v>1</v>
      </c>
      <c r="F3980" s="9"/>
      <c r="G3980" s="8">
        <f t="shared" si="132"/>
        <v>57.871274999999997</v>
      </c>
      <c r="H3980" s="188">
        <v>55.115499999999997</v>
      </c>
      <c r="I3980" s="19">
        <f t="shared" si="133"/>
        <v>0</v>
      </c>
      <c r="L3980" s="131"/>
      <c r="M3980" s="131"/>
      <c r="N3980" s="131"/>
    </row>
    <row r="3981" spans="1:14" hidden="1">
      <c r="A3981" s="100" t="s">
        <v>862</v>
      </c>
      <c r="B3981" s="101" t="s">
        <v>7470</v>
      </c>
      <c r="C3981" s="115" t="s">
        <v>7471</v>
      </c>
      <c r="D3981" s="38"/>
      <c r="E3981" s="42">
        <v>1</v>
      </c>
      <c r="F3981" s="9"/>
      <c r="G3981" s="8">
        <f t="shared" si="132"/>
        <v>60.821775000000002</v>
      </c>
      <c r="H3981" s="188">
        <v>57.9255</v>
      </c>
      <c r="I3981" s="19">
        <f t="shared" si="133"/>
        <v>0</v>
      </c>
      <c r="L3981" s="131"/>
      <c r="M3981" s="131"/>
      <c r="N3981" s="131"/>
    </row>
    <row r="3982" spans="1:14" hidden="1">
      <c r="A3982" s="100" t="s">
        <v>862</v>
      </c>
      <c r="B3982" s="101" t="s">
        <v>7472</v>
      </c>
      <c r="C3982" s="115" t="s">
        <v>7473</v>
      </c>
      <c r="D3982" s="38"/>
      <c r="E3982" s="42">
        <v>1</v>
      </c>
      <c r="F3982" s="9"/>
      <c r="G3982" s="8">
        <f t="shared" si="132"/>
        <v>67.431525000000008</v>
      </c>
      <c r="H3982" s="188">
        <v>64.220500000000001</v>
      </c>
      <c r="I3982" s="19">
        <f t="shared" si="133"/>
        <v>0</v>
      </c>
      <c r="L3982" s="131"/>
      <c r="M3982" s="131"/>
      <c r="N3982" s="131"/>
    </row>
    <row r="3983" spans="1:14" hidden="1">
      <c r="A3983" s="100" t="s">
        <v>862</v>
      </c>
      <c r="B3983" s="101" t="s">
        <v>7474</v>
      </c>
      <c r="C3983" s="115" t="s">
        <v>7475</v>
      </c>
      <c r="D3983" s="38"/>
      <c r="E3983" s="42">
        <v>1</v>
      </c>
      <c r="F3983" s="9"/>
      <c r="G3983" s="8">
        <f t="shared" si="132"/>
        <v>70.578900000000004</v>
      </c>
      <c r="H3983" s="188">
        <v>67.218000000000004</v>
      </c>
      <c r="I3983" s="19">
        <f t="shared" si="133"/>
        <v>0</v>
      </c>
      <c r="L3983" s="131"/>
      <c r="M3983" s="131"/>
      <c r="N3983" s="131"/>
    </row>
    <row r="3984" spans="1:14" hidden="1">
      <c r="A3984" s="100" t="s">
        <v>862</v>
      </c>
      <c r="B3984" s="101" t="s">
        <v>7476</v>
      </c>
      <c r="C3984" s="115" t="s">
        <v>7477</v>
      </c>
      <c r="D3984" s="38"/>
      <c r="E3984" s="42">
        <v>1</v>
      </c>
      <c r="F3984" s="9"/>
      <c r="G3984" s="8">
        <f t="shared" si="132"/>
        <v>50.033025000000002</v>
      </c>
      <c r="H3984" s="188">
        <v>47.650500000000001</v>
      </c>
      <c r="I3984" s="19">
        <f t="shared" si="133"/>
        <v>0</v>
      </c>
      <c r="L3984" s="131"/>
      <c r="M3984" s="131"/>
      <c r="N3984" s="131"/>
    </row>
    <row r="3985" spans="1:14" hidden="1">
      <c r="A3985" s="100" t="s">
        <v>862</v>
      </c>
      <c r="B3985" s="101" t="s">
        <v>7478</v>
      </c>
      <c r="C3985" s="115" t="s">
        <v>7479</v>
      </c>
      <c r="D3985" s="38"/>
      <c r="E3985" s="42">
        <v>1</v>
      </c>
      <c r="F3985" s="9"/>
      <c r="G3985" s="8">
        <f t="shared" si="132"/>
        <v>55.307175000000001</v>
      </c>
      <c r="H3985" s="188">
        <v>52.673499999999997</v>
      </c>
      <c r="I3985" s="19">
        <f t="shared" si="133"/>
        <v>0</v>
      </c>
      <c r="L3985" s="131"/>
      <c r="M3985" s="131"/>
      <c r="N3985" s="131"/>
    </row>
    <row r="3986" spans="1:14" hidden="1">
      <c r="A3986" s="100" t="s">
        <v>862</v>
      </c>
      <c r="B3986" s="101" t="s">
        <v>7480</v>
      </c>
      <c r="C3986" s="115" t="s">
        <v>7481</v>
      </c>
      <c r="D3986" s="38"/>
      <c r="E3986" s="42">
        <v>1</v>
      </c>
      <c r="F3986" s="9"/>
      <c r="G3986" s="8">
        <f t="shared" si="132"/>
        <v>61.250700000000002</v>
      </c>
      <c r="H3986" s="188">
        <v>58.334000000000003</v>
      </c>
      <c r="I3986" s="19">
        <f t="shared" si="133"/>
        <v>0</v>
      </c>
      <c r="L3986" s="131"/>
      <c r="M3986" s="131"/>
      <c r="N3986" s="131"/>
    </row>
    <row r="3987" spans="1:14" hidden="1">
      <c r="A3987" s="100" t="s">
        <v>862</v>
      </c>
      <c r="B3987" s="101" t="s">
        <v>7482</v>
      </c>
      <c r="C3987" s="115" t="s">
        <v>7483</v>
      </c>
      <c r="D3987" s="38"/>
      <c r="E3987" s="42">
        <v>1</v>
      </c>
      <c r="F3987" s="9"/>
      <c r="G3987" s="8">
        <f t="shared" si="132"/>
        <v>64.473675</v>
      </c>
      <c r="H3987" s="188">
        <v>61.403500000000001</v>
      </c>
      <c r="I3987" s="19">
        <f t="shared" si="133"/>
        <v>0</v>
      </c>
      <c r="L3987" s="131"/>
      <c r="M3987" s="131"/>
      <c r="N3987" s="131"/>
    </row>
    <row r="3988" spans="1:14" hidden="1">
      <c r="A3988" s="100" t="s">
        <v>862</v>
      </c>
      <c r="B3988" s="101" t="s">
        <v>7484</v>
      </c>
      <c r="C3988" s="115" t="s">
        <v>7485</v>
      </c>
      <c r="D3988" s="38"/>
      <c r="E3988" s="42">
        <v>1</v>
      </c>
      <c r="F3988" s="9"/>
      <c r="G3988" s="8">
        <f t="shared" si="132"/>
        <v>67.864124999999987</v>
      </c>
      <c r="H3988" s="188">
        <v>64.632499999999993</v>
      </c>
      <c r="I3988" s="19">
        <f t="shared" si="133"/>
        <v>0</v>
      </c>
      <c r="L3988" s="131"/>
      <c r="M3988" s="131"/>
      <c r="N3988" s="131"/>
    </row>
    <row r="3989" spans="1:14" hidden="1">
      <c r="A3989" s="100" t="s">
        <v>862</v>
      </c>
      <c r="B3989" s="101" t="s">
        <v>7486</v>
      </c>
      <c r="C3989" s="115" t="s">
        <v>7487</v>
      </c>
      <c r="D3989" s="38"/>
      <c r="E3989" s="42">
        <v>1</v>
      </c>
      <c r="F3989" s="9"/>
      <c r="G3989" s="8">
        <f t="shared" si="132"/>
        <v>74.854500000000002</v>
      </c>
      <c r="H3989" s="188">
        <v>71.290000000000006</v>
      </c>
      <c r="I3989" s="19">
        <f t="shared" si="133"/>
        <v>0</v>
      </c>
      <c r="L3989" s="131"/>
      <c r="M3989" s="131"/>
      <c r="N3989" s="131"/>
    </row>
    <row r="3990" spans="1:14" hidden="1">
      <c r="A3990" s="100" t="s">
        <v>862</v>
      </c>
      <c r="B3990" s="101" t="s">
        <v>7488</v>
      </c>
      <c r="C3990" s="115" t="s">
        <v>7489</v>
      </c>
      <c r="D3990" s="38"/>
      <c r="E3990" s="42">
        <v>1</v>
      </c>
      <c r="F3990" s="9"/>
      <c r="G3990" s="8">
        <f t="shared" si="132"/>
        <v>50.033025000000002</v>
      </c>
      <c r="H3990" s="188">
        <v>47.650500000000001</v>
      </c>
      <c r="I3990" s="19">
        <f t="shared" si="133"/>
        <v>0</v>
      </c>
      <c r="L3990" s="131"/>
      <c r="M3990" s="131"/>
      <c r="N3990" s="131"/>
    </row>
    <row r="3991" spans="1:14" hidden="1">
      <c r="A3991" s="100" t="s">
        <v>862</v>
      </c>
      <c r="B3991" s="101" t="s">
        <v>7490</v>
      </c>
      <c r="C3991" s="115" t="s">
        <v>7491</v>
      </c>
      <c r="D3991" s="38"/>
      <c r="E3991" s="42">
        <v>1</v>
      </c>
      <c r="F3991" s="9"/>
      <c r="G3991" s="8">
        <f t="shared" si="132"/>
        <v>55.307175000000001</v>
      </c>
      <c r="H3991" s="188">
        <v>52.673499999999997</v>
      </c>
      <c r="I3991" s="19">
        <f t="shared" si="133"/>
        <v>0</v>
      </c>
      <c r="L3991" s="131"/>
      <c r="M3991" s="131"/>
      <c r="N3991" s="131"/>
    </row>
    <row r="3992" spans="1:14" hidden="1">
      <c r="A3992" s="100" t="s">
        <v>862</v>
      </c>
      <c r="B3992" s="101" t="s">
        <v>7492</v>
      </c>
      <c r="C3992" s="115" t="s">
        <v>7493</v>
      </c>
      <c r="D3992" s="38"/>
      <c r="E3992" s="42">
        <v>1</v>
      </c>
      <c r="F3992" s="9"/>
      <c r="G3992" s="8">
        <f t="shared" si="132"/>
        <v>61.250700000000002</v>
      </c>
      <c r="H3992" s="188">
        <v>58.334000000000003</v>
      </c>
      <c r="I3992" s="19">
        <f t="shared" si="133"/>
        <v>0</v>
      </c>
      <c r="L3992" s="131"/>
      <c r="M3992" s="131"/>
      <c r="N3992" s="131"/>
    </row>
    <row r="3993" spans="1:14" hidden="1">
      <c r="A3993" s="100" t="s">
        <v>862</v>
      </c>
      <c r="B3993" s="101" t="s">
        <v>7494</v>
      </c>
      <c r="C3993" s="115" t="s">
        <v>7495</v>
      </c>
      <c r="D3993" s="38"/>
      <c r="E3993" s="42">
        <v>1</v>
      </c>
      <c r="F3993" s="9"/>
      <c r="G3993" s="8">
        <f t="shared" si="132"/>
        <v>67.864124999999987</v>
      </c>
      <c r="H3993" s="188">
        <v>64.632499999999993</v>
      </c>
      <c r="I3993" s="19">
        <f t="shared" si="133"/>
        <v>0</v>
      </c>
      <c r="L3993" s="131"/>
      <c r="M3993" s="131"/>
      <c r="N3993" s="131"/>
    </row>
    <row r="3994" spans="1:14" hidden="1">
      <c r="A3994" s="100" t="s">
        <v>862</v>
      </c>
      <c r="B3994" s="101" t="s">
        <v>7496</v>
      </c>
      <c r="C3994" s="115" t="s">
        <v>7497</v>
      </c>
      <c r="D3994" s="38"/>
      <c r="E3994" s="42">
        <v>1</v>
      </c>
      <c r="F3994" s="9"/>
      <c r="G3994" s="8">
        <f t="shared" si="132"/>
        <v>74.854500000000002</v>
      </c>
      <c r="H3994" s="188">
        <v>71.290000000000006</v>
      </c>
      <c r="I3994" s="19">
        <f t="shared" si="133"/>
        <v>0</v>
      </c>
      <c r="L3994" s="131"/>
      <c r="M3994" s="131"/>
      <c r="N3994" s="131"/>
    </row>
    <row r="3995" spans="1:14" hidden="1">
      <c r="A3995" s="100" t="s">
        <v>862</v>
      </c>
      <c r="B3995" s="101" t="s">
        <v>7498</v>
      </c>
      <c r="C3995" s="115" t="s">
        <v>7499</v>
      </c>
      <c r="D3995" s="38"/>
      <c r="E3995" s="42">
        <v>1</v>
      </c>
      <c r="F3995" s="9"/>
      <c r="G3995" s="8">
        <f t="shared" si="132"/>
        <v>54.795299999999997</v>
      </c>
      <c r="H3995" s="188">
        <v>52.186</v>
      </c>
      <c r="I3995" s="19">
        <f t="shared" si="133"/>
        <v>0</v>
      </c>
      <c r="L3995" s="131"/>
      <c r="M3995" s="131"/>
      <c r="N3995" s="131"/>
    </row>
    <row r="3996" spans="1:14" hidden="1">
      <c r="A3996" s="100" t="s">
        <v>862</v>
      </c>
      <c r="B3996" s="101" t="s">
        <v>7500</v>
      </c>
      <c r="C3996" s="115" t="s">
        <v>7501</v>
      </c>
      <c r="D3996" s="38"/>
      <c r="E3996" s="42">
        <v>1</v>
      </c>
      <c r="F3996" s="9"/>
      <c r="G3996" s="8">
        <f t="shared" si="132"/>
        <v>60.655350000000006</v>
      </c>
      <c r="H3996" s="188">
        <v>57.767000000000003</v>
      </c>
      <c r="I3996" s="19">
        <f t="shared" si="133"/>
        <v>0</v>
      </c>
      <c r="L3996" s="131"/>
      <c r="M3996" s="131"/>
      <c r="N3996" s="131"/>
    </row>
    <row r="3997" spans="1:14" hidden="1">
      <c r="A3997" s="100" t="s">
        <v>862</v>
      </c>
      <c r="B3997" s="101" t="s">
        <v>7502</v>
      </c>
      <c r="C3997" s="115" t="s">
        <v>7503</v>
      </c>
      <c r="D3997" s="38"/>
      <c r="E3997" s="42">
        <v>1</v>
      </c>
      <c r="F3997" s="9"/>
      <c r="G3997" s="8">
        <f t="shared" si="132"/>
        <v>67.181624999999997</v>
      </c>
      <c r="H3997" s="188">
        <v>63.982500000000002</v>
      </c>
      <c r="I3997" s="19">
        <f t="shared" si="133"/>
        <v>0</v>
      </c>
      <c r="L3997" s="131"/>
      <c r="M3997" s="131"/>
      <c r="N3997" s="131"/>
    </row>
    <row r="3998" spans="1:14" hidden="1">
      <c r="A3998" s="100" t="s">
        <v>862</v>
      </c>
      <c r="B3998" s="101" t="s">
        <v>7504</v>
      </c>
      <c r="C3998" s="115" t="s">
        <v>7505</v>
      </c>
      <c r="D3998" s="38"/>
      <c r="E3998" s="42">
        <v>1</v>
      </c>
      <c r="F3998" s="9"/>
      <c r="G3998" s="8">
        <f t="shared" si="132"/>
        <v>74.506425000000007</v>
      </c>
      <c r="H3998" s="188">
        <v>70.958500000000001</v>
      </c>
      <c r="I3998" s="19">
        <f t="shared" si="133"/>
        <v>0</v>
      </c>
      <c r="L3998" s="131"/>
      <c r="M3998" s="131"/>
      <c r="N3998" s="131"/>
    </row>
    <row r="3999" spans="1:14" hidden="1">
      <c r="A3999" s="100" t="s">
        <v>862</v>
      </c>
      <c r="B3999" s="101" t="s">
        <v>7506</v>
      </c>
      <c r="C3999" s="115" t="s">
        <v>7507</v>
      </c>
      <c r="D3999" s="38"/>
      <c r="E3999" s="42">
        <v>1</v>
      </c>
      <c r="F3999" s="9"/>
      <c r="G3999" s="8">
        <f t="shared" si="132"/>
        <v>79.168424999999999</v>
      </c>
      <c r="H3999" s="188">
        <v>75.398499999999999</v>
      </c>
      <c r="I3999" s="19">
        <f t="shared" si="133"/>
        <v>0</v>
      </c>
      <c r="L3999" s="131"/>
      <c r="M3999" s="131"/>
      <c r="N3999" s="131"/>
    </row>
    <row r="4000" spans="1:14" hidden="1">
      <c r="A4000" s="100" t="s">
        <v>862</v>
      </c>
      <c r="B4000" s="101" t="s">
        <v>7508</v>
      </c>
      <c r="C4000" s="115" t="s">
        <v>7509</v>
      </c>
      <c r="D4000" s="38"/>
      <c r="E4000" s="42">
        <v>1</v>
      </c>
      <c r="F4000" s="9"/>
      <c r="G4000" s="8">
        <f t="shared" si="132"/>
        <v>54.795299999999997</v>
      </c>
      <c r="H4000" s="188">
        <v>52.186</v>
      </c>
      <c r="I4000" s="19">
        <f t="shared" si="133"/>
        <v>0</v>
      </c>
      <c r="L4000" s="131"/>
      <c r="M4000" s="131"/>
      <c r="N4000" s="131"/>
    </row>
    <row r="4001" spans="1:14" hidden="1">
      <c r="A4001" s="100" t="s">
        <v>862</v>
      </c>
      <c r="B4001" s="101" t="s">
        <v>7510</v>
      </c>
      <c r="C4001" s="115" t="s">
        <v>7511</v>
      </c>
      <c r="D4001" s="38"/>
      <c r="E4001" s="42">
        <v>1</v>
      </c>
      <c r="F4001" s="9"/>
      <c r="G4001" s="8">
        <f t="shared" si="132"/>
        <v>60.655350000000006</v>
      </c>
      <c r="H4001" s="188">
        <v>57.767000000000003</v>
      </c>
      <c r="I4001" s="19">
        <f t="shared" si="133"/>
        <v>0</v>
      </c>
      <c r="L4001" s="131"/>
      <c r="M4001" s="131"/>
      <c r="N4001" s="131"/>
    </row>
    <row r="4002" spans="1:14" hidden="1">
      <c r="A4002" s="100" t="s">
        <v>862</v>
      </c>
      <c r="B4002" s="101" t="s">
        <v>7512</v>
      </c>
      <c r="C4002" s="115" t="s">
        <v>7513</v>
      </c>
      <c r="D4002" s="38"/>
      <c r="E4002" s="42">
        <v>1</v>
      </c>
      <c r="F4002" s="9"/>
      <c r="G4002" s="8">
        <f t="shared" si="132"/>
        <v>67.181624999999997</v>
      </c>
      <c r="H4002" s="188">
        <v>63.982500000000002</v>
      </c>
      <c r="I4002" s="19">
        <f t="shared" si="133"/>
        <v>0</v>
      </c>
      <c r="L4002" s="131"/>
      <c r="M4002" s="131"/>
      <c r="N4002" s="131"/>
    </row>
    <row r="4003" spans="1:14" hidden="1">
      <c r="A4003" s="100" t="s">
        <v>862</v>
      </c>
      <c r="B4003" s="101" t="s">
        <v>7514</v>
      </c>
      <c r="C4003" s="115" t="s">
        <v>7515</v>
      </c>
      <c r="D4003" s="38"/>
      <c r="E4003" s="42">
        <v>1</v>
      </c>
      <c r="F4003" s="9"/>
      <c r="G4003" s="8">
        <f t="shared" si="132"/>
        <v>74.506425000000007</v>
      </c>
      <c r="H4003" s="188">
        <v>70.958500000000001</v>
      </c>
      <c r="I4003" s="19">
        <f t="shared" si="133"/>
        <v>0</v>
      </c>
      <c r="L4003" s="131"/>
      <c r="M4003" s="131"/>
      <c r="N4003" s="131"/>
    </row>
    <row r="4004" spans="1:14" hidden="1">
      <c r="A4004" s="100" t="s">
        <v>862</v>
      </c>
      <c r="B4004" s="101" t="s">
        <v>7516</v>
      </c>
      <c r="C4004" s="115" t="s">
        <v>7517</v>
      </c>
      <c r="D4004" s="38"/>
      <c r="E4004" s="42">
        <v>1</v>
      </c>
      <c r="F4004" s="9"/>
      <c r="G4004" s="8">
        <f t="shared" si="132"/>
        <v>79.168424999999999</v>
      </c>
      <c r="H4004" s="188">
        <v>75.398499999999999</v>
      </c>
      <c r="I4004" s="19">
        <f t="shared" si="133"/>
        <v>0</v>
      </c>
      <c r="L4004" s="131"/>
      <c r="M4004" s="131"/>
      <c r="N4004" s="131"/>
    </row>
    <row r="4005" spans="1:14" hidden="1">
      <c r="A4005" s="100" t="s">
        <v>862</v>
      </c>
      <c r="B4005" s="101" t="s">
        <v>7518</v>
      </c>
      <c r="C4005" s="115" t="s">
        <v>7519</v>
      </c>
      <c r="D4005" s="38"/>
      <c r="E4005" s="42">
        <v>1</v>
      </c>
      <c r="F4005" s="9"/>
      <c r="G4005" s="8">
        <f t="shared" ref="G4005:G4068" si="134">H4005+(H4005*5%)</f>
        <v>72.625875000000008</v>
      </c>
      <c r="H4005" s="188">
        <v>69.167500000000004</v>
      </c>
      <c r="I4005" s="19">
        <f t="shared" si="133"/>
        <v>0</v>
      </c>
      <c r="L4005" s="131"/>
      <c r="M4005" s="131"/>
      <c r="N4005" s="131"/>
    </row>
    <row r="4006" spans="1:14" hidden="1">
      <c r="A4006" s="100" t="s">
        <v>862</v>
      </c>
      <c r="B4006" s="101" t="s">
        <v>7520</v>
      </c>
      <c r="C4006" s="115" t="s">
        <v>7521</v>
      </c>
      <c r="D4006" s="38"/>
      <c r="E4006" s="42">
        <v>1</v>
      </c>
      <c r="F4006" s="9"/>
      <c r="G4006" s="8">
        <f t="shared" si="134"/>
        <v>80.561250000000001</v>
      </c>
      <c r="H4006" s="188">
        <v>76.724999999999994</v>
      </c>
      <c r="I4006" s="19">
        <f t="shared" si="133"/>
        <v>0</v>
      </c>
      <c r="L4006" s="131"/>
      <c r="M4006" s="131"/>
      <c r="N4006" s="131"/>
    </row>
    <row r="4007" spans="1:14" hidden="1">
      <c r="A4007" s="100" t="s">
        <v>862</v>
      </c>
      <c r="B4007" s="101" t="s">
        <v>7522</v>
      </c>
      <c r="C4007" s="115" t="s">
        <v>7523</v>
      </c>
      <c r="D4007" s="38"/>
      <c r="E4007" s="42">
        <v>1</v>
      </c>
      <c r="F4007" s="9"/>
      <c r="G4007" s="8">
        <f t="shared" si="134"/>
        <v>83.519625000000005</v>
      </c>
      <c r="H4007" s="188">
        <v>79.542500000000004</v>
      </c>
      <c r="I4007" s="19">
        <f t="shared" si="133"/>
        <v>0</v>
      </c>
      <c r="L4007" s="131"/>
      <c r="M4007" s="131"/>
      <c r="N4007" s="131"/>
    </row>
    <row r="4008" spans="1:14" hidden="1">
      <c r="A4008" s="100" t="s">
        <v>862</v>
      </c>
      <c r="B4008" s="101" t="s">
        <v>7524</v>
      </c>
      <c r="C4008" s="115" t="s">
        <v>7525</v>
      </c>
      <c r="D4008" s="38"/>
      <c r="E4008" s="42">
        <v>1</v>
      </c>
      <c r="F4008" s="9"/>
      <c r="G4008" s="8">
        <f t="shared" si="134"/>
        <v>72.625875000000008</v>
      </c>
      <c r="H4008" s="188">
        <v>69.167500000000004</v>
      </c>
      <c r="I4008" s="19">
        <f t="shared" ref="I4008:I4071" si="135">G4008*F4008</f>
        <v>0</v>
      </c>
      <c r="L4008" s="131"/>
      <c r="M4008" s="131"/>
      <c r="N4008" s="131"/>
    </row>
    <row r="4009" spans="1:14" hidden="1">
      <c r="A4009" s="100" t="s">
        <v>862</v>
      </c>
      <c r="B4009" s="101" t="s">
        <v>7526</v>
      </c>
      <c r="C4009" s="115" t="s">
        <v>7527</v>
      </c>
      <c r="D4009" s="38"/>
      <c r="E4009" s="42">
        <v>1</v>
      </c>
      <c r="F4009" s="9"/>
      <c r="G4009" s="8">
        <f t="shared" si="134"/>
        <v>84.589574999999996</v>
      </c>
      <c r="H4009" s="188">
        <v>80.561499999999995</v>
      </c>
      <c r="I4009" s="19">
        <f t="shared" si="135"/>
        <v>0</v>
      </c>
      <c r="L4009" s="131"/>
      <c r="M4009" s="131"/>
      <c r="N4009" s="131"/>
    </row>
    <row r="4010" spans="1:14" hidden="1">
      <c r="A4010" s="100" t="s">
        <v>862</v>
      </c>
      <c r="B4010" s="101" t="s">
        <v>7528</v>
      </c>
      <c r="C4010" s="115" t="s">
        <v>7529</v>
      </c>
      <c r="D4010" s="38"/>
      <c r="E4010" s="42">
        <v>1</v>
      </c>
      <c r="F4010" s="9"/>
      <c r="G4010" s="8">
        <f t="shared" si="134"/>
        <v>83.519625000000005</v>
      </c>
      <c r="H4010" s="188">
        <v>79.542500000000004</v>
      </c>
      <c r="I4010" s="19">
        <f t="shared" si="135"/>
        <v>0</v>
      </c>
      <c r="L4010" s="131"/>
      <c r="M4010" s="131"/>
      <c r="N4010" s="131"/>
    </row>
    <row r="4011" spans="1:14" hidden="1">
      <c r="A4011" s="100" t="s">
        <v>862</v>
      </c>
      <c r="B4011" s="101" t="s">
        <v>7530</v>
      </c>
      <c r="C4011" s="115" t="s">
        <v>7531</v>
      </c>
      <c r="D4011" s="38"/>
      <c r="E4011" s="42">
        <v>1</v>
      </c>
      <c r="F4011" s="9"/>
      <c r="G4011" s="8">
        <f t="shared" si="134"/>
        <v>126.589575</v>
      </c>
      <c r="H4011" s="188">
        <v>120.5615</v>
      </c>
      <c r="I4011" s="19">
        <f t="shared" si="135"/>
        <v>0</v>
      </c>
      <c r="L4011" s="131"/>
      <c r="M4011" s="131"/>
      <c r="N4011" s="131"/>
    </row>
    <row r="4012" spans="1:14" hidden="1">
      <c r="A4012" s="100" t="s">
        <v>862</v>
      </c>
      <c r="B4012" s="101" t="s">
        <v>7532</v>
      </c>
      <c r="C4012" s="115" t="s">
        <v>7533</v>
      </c>
      <c r="D4012" s="38"/>
      <c r="E4012" s="42">
        <v>1</v>
      </c>
      <c r="F4012" s="9"/>
      <c r="G4012" s="8">
        <f t="shared" si="134"/>
        <v>126.589575</v>
      </c>
      <c r="H4012" s="188">
        <v>120.5615</v>
      </c>
      <c r="I4012" s="19">
        <f t="shared" si="135"/>
        <v>0</v>
      </c>
      <c r="L4012" s="131"/>
      <c r="M4012" s="131"/>
      <c r="N4012" s="131"/>
    </row>
    <row r="4013" spans="1:14" hidden="1">
      <c r="A4013" s="100" t="s">
        <v>862</v>
      </c>
      <c r="B4013" s="101" t="s">
        <v>7534</v>
      </c>
      <c r="C4013" s="115" t="s">
        <v>7535</v>
      </c>
      <c r="D4013" s="38"/>
      <c r="E4013" s="42">
        <v>1</v>
      </c>
      <c r="F4013" s="9"/>
      <c r="G4013" s="8">
        <f t="shared" si="134"/>
        <v>135.45262500000001</v>
      </c>
      <c r="H4013" s="188">
        <v>129.0025</v>
      </c>
      <c r="I4013" s="19">
        <f t="shared" si="135"/>
        <v>0</v>
      </c>
      <c r="L4013" s="131"/>
      <c r="M4013" s="131"/>
      <c r="N4013" s="131"/>
    </row>
    <row r="4014" spans="1:14" hidden="1">
      <c r="A4014" s="100" t="s">
        <v>862</v>
      </c>
      <c r="B4014" s="101" t="s">
        <v>7536</v>
      </c>
      <c r="C4014" s="115" t="s">
        <v>7537</v>
      </c>
      <c r="D4014" s="38"/>
      <c r="E4014" s="42">
        <v>1</v>
      </c>
      <c r="F4014" s="9"/>
      <c r="G4014" s="8">
        <f t="shared" si="134"/>
        <v>135.45262500000001</v>
      </c>
      <c r="H4014" s="188">
        <v>129.0025</v>
      </c>
      <c r="I4014" s="19">
        <f t="shared" si="135"/>
        <v>0</v>
      </c>
      <c r="L4014" s="131"/>
      <c r="M4014" s="131"/>
      <c r="N4014" s="131"/>
    </row>
    <row r="4015" spans="1:14" hidden="1">
      <c r="A4015" s="100" t="s">
        <v>862</v>
      </c>
      <c r="B4015" s="101" t="s">
        <v>7538</v>
      </c>
      <c r="C4015" s="115" t="s">
        <v>7539</v>
      </c>
      <c r="D4015" s="38"/>
      <c r="E4015" s="42">
        <v>1</v>
      </c>
      <c r="F4015" s="9"/>
      <c r="G4015" s="8">
        <f t="shared" si="134"/>
        <v>144.36765</v>
      </c>
      <c r="H4015" s="188">
        <v>137.49299999999999</v>
      </c>
      <c r="I4015" s="19">
        <f t="shared" si="135"/>
        <v>0</v>
      </c>
      <c r="L4015" s="131"/>
      <c r="M4015" s="131"/>
      <c r="N4015" s="131"/>
    </row>
    <row r="4016" spans="1:14" hidden="1">
      <c r="A4016" s="100" t="s">
        <v>862</v>
      </c>
      <c r="B4016" s="101" t="s">
        <v>7540</v>
      </c>
      <c r="C4016" s="115" t="s">
        <v>7541</v>
      </c>
      <c r="D4016" s="38"/>
      <c r="E4016" s="42">
        <v>1</v>
      </c>
      <c r="F4016" s="9"/>
      <c r="G4016" s="8">
        <f t="shared" si="134"/>
        <v>144.36765</v>
      </c>
      <c r="H4016" s="188">
        <v>137.49299999999999</v>
      </c>
      <c r="I4016" s="19">
        <f t="shared" si="135"/>
        <v>0</v>
      </c>
      <c r="L4016" s="131"/>
      <c r="M4016" s="131"/>
      <c r="N4016" s="131"/>
    </row>
    <row r="4017" spans="1:14" hidden="1">
      <c r="A4017" s="100" t="s">
        <v>862</v>
      </c>
      <c r="B4017" s="101" t="s">
        <v>7542</v>
      </c>
      <c r="C4017" s="115" t="s">
        <v>7543</v>
      </c>
      <c r="D4017" s="38"/>
      <c r="E4017" s="42">
        <v>1</v>
      </c>
      <c r="F4017" s="9"/>
      <c r="G4017" s="8">
        <f t="shared" si="134"/>
        <v>153.3357</v>
      </c>
      <c r="H4017" s="188">
        <v>146.03399999999999</v>
      </c>
      <c r="I4017" s="19">
        <f t="shared" si="135"/>
        <v>0</v>
      </c>
      <c r="L4017" s="131"/>
      <c r="M4017" s="131"/>
      <c r="N4017" s="131"/>
    </row>
    <row r="4018" spans="1:14" hidden="1">
      <c r="A4018" s="100" t="s">
        <v>862</v>
      </c>
      <c r="B4018" s="101" t="s">
        <v>7544</v>
      </c>
      <c r="C4018" s="115" t="s">
        <v>7545</v>
      </c>
      <c r="D4018" s="38"/>
      <c r="E4018" s="42">
        <v>1</v>
      </c>
      <c r="F4018" s="9"/>
      <c r="G4018" s="8">
        <f t="shared" si="134"/>
        <v>153.3357</v>
      </c>
      <c r="H4018" s="188">
        <v>146.03399999999999</v>
      </c>
      <c r="I4018" s="19">
        <f t="shared" si="135"/>
        <v>0</v>
      </c>
      <c r="L4018" s="131"/>
      <c r="M4018" s="131"/>
      <c r="N4018" s="131"/>
    </row>
    <row r="4019" spans="1:14" hidden="1">
      <c r="A4019" s="100" t="s">
        <v>862</v>
      </c>
      <c r="B4019" s="101" t="s">
        <v>7546</v>
      </c>
      <c r="C4019" s="115" t="s">
        <v>7547</v>
      </c>
      <c r="D4019" s="38"/>
      <c r="E4019" s="42">
        <v>1</v>
      </c>
      <c r="F4019" s="9"/>
      <c r="G4019" s="8">
        <f t="shared" si="134"/>
        <v>162.35782499999999</v>
      </c>
      <c r="H4019" s="188">
        <v>154.62649999999999</v>
      </c>
      <c r="I4019" s="19">
        <f t="shared" si="135"/>
        <v>0</v>
      </c>
      <c r="L4019" s="131"/>
      <c r="M4019" s="131"/>
      <c r="N4019" s="131"/>
    </row>
    <row r="4020" spans="1:14" hidden="1">
      <c r="A4020" s="100" t="s">
        <v>862</v>
      </c>
      <c r="B4020" s="101" t="s">
        <v>7548</v>
      </c>
      <c r="C4020" s="115" t="s">
        <v>7549</v>
      </c>
      <c r="D4020" s="38"/>
      <c r="E4020" s="42">
        <v>1</v>
      </c>
      <c r="F4020" s="9"/>
      <c r="G4020" s="8">
        <f t="shared" si="134"/>
        <v>286.51192499999996</v>
      </c>
      <c r="H4020" s="188">
        <v>272.86849999999998</v>
      </c>
      <c r="I4020" s="19">
        <f t="shared" si="135"/>
        <v>0</v>
      </c>
      <c r="L4020" s="131"/>
      <c r="M4020" s="131"/>
      <c r="N4020" s="131"/>
    </row>
    <row r="4021" spans="1:14" hidden="1">
      <c r="A4021" s="100" t="s">
        <v>862</v>
      </c>
      <c r="B4021" s="101" t="s">
        <v>7550</v>
      </c>
      <c r="C4021" s="115" t="s">
        <v>7551</v>
      </c>
      <c r="D4021" s="38"/>
      <c r="E4021" s="42">
        <v>1</v>
      </c>
      <c r="F4021" s="9"/>
      <c r="G4021" s="8">
        <f t="shared" si="134"/>
        <v>162.35782499999999</v>
      </c>
      <c r="H4021" s="188">
        <v>154.62649999999999</v>
      </c>
      <c r="I4021" s="19">
        <f t="shared" si="135"/>
        <v>0</v>
      </c>
      <c r="L4021" s="131"/>
      <c r="M4021" s="131"/>
      <c r="N4021" s="131"/>
    </row>
    <row r="4022" spans="1:14" hidden="1">
      <c r="A4022" s="100" t="s">
        <v>862</v>
      </c>
      <c r="B4022" s="101" t="s">
        <v>7552</v>
      </c>
      <c r="C4022" s="115" t="s">
        <v>7553</v>
      </c>
      <c r="D4022" s="38"/>
      <c r="E4022" s="42">
        <v>1</v>
      </c>
      <c r="F4022" s="9"/>
      <c r="G4022" s="8">
        <f t="shared" si="134"/>
        <v>171.43087500000001</v>
      </c>
      <c r="H4022" s="188">
        <v>163.26750000000001</v>
      </c>
      <c r="I4022" s="19">
        <f t="shared" si="135"/>
        <v>0</v>
      </c>
      <c r="L4022" s="131"/>
      <c r="M4022" s="131"/>
      <c r="N4022" s="131"/>
    </row>
    <row r="4023" spans="1:14" hidden="1">
      <c r="A4023" s="100" t="s">
        <v>862</v>
      </c>
      <c r="B4023" s="101" t="s">
        <v>7554</v>
      </c>
      <c r="C4023" s="115" t="s">
        <v>7555</v>
      </c>
      <c r="D4023" s="38"/>
      <c r="E4023" s="42">
        <v>1</v>
      </c>
      <c r="F4023" s="9"/>
      <c r="G4023" s="8">
        <f t="shared" si="134"/>
        <v>302.52547500000003</v>
      </c>
      <c r="H4023" s="188">
        <v>288.11950000000002</v>
      </c>
      <c r="I4023" s="19">
        <f t="shared" si="135"/>
        <v>0</v>
      </c>
      <c r="L4023" s="131"/>
      <c r="M4023" s="131"/>
      <c r="N4023" s="131"/>
    </row>
    <row r="4024" spans="1:14" hidden="1">
      <c r="A4024" s="100" t="s">
        <v>862</v>
      </c>
      <c r="B4024" s="101" t="s">
        <v>7556</v>
      </c>
      <c r="C4024" s="115" t="s">
        <v>7557</v>
      </c>
      <c r="D4024" s="38"/>
      <c r="E4024" s="42">
        <v>1</v>
      </c>
      <c r="F4024" s="9"/>
      <c r="G4024" s="8">
        <f t="shared" si="134"/>
        <v>171.43087500000001</v>
      </c>
      <c r="H4024" s="188">
        <v>163.26750000000001</v>
      </c>
      <c r="I4024" s="19">
        <f t="shared" si="135"/>
        <v>0</v>
      </c>
      <c r="L4024" s="131"/>
      <c r="M4024" s="131"/>
      <c r="N4024" s="131"/>
    </row>
    <row r="4025" spans="1:14" hidden="1">
      <c r="A4025" s="100" t="s">
        <v>862</v>
      </c>
      <c r="B4025" s="101" t="s">
        <v>7558</v>
      </c>
      <c r="C4025" s="115" t="s">
        <v>7559</v>
      </c>
      <c r="D4025" s="38"/>
      <c r="E4025" s="42">
        <v>1</v>
      </c>
      <c r="F4025" s="9"/>
      <c r="G4025" s="8">
        <f t="shared" si="134"/>
        <v>302.52547500000003</v>
      </c>
      <c r="H4025" s="188">
        <v>288.11950000000002</v>
      </c>
      <c r="I4025" s="19">
        <f t="shared" si="135"/>
        <v>0</v>
      </c>
      <c r="L4025" s="131"/>
      <c r="M4025" s="131"/>
      <c r="N4025" s="131"/>
    </row>
    <row r="4026" spans="1:14" hidden="1">
      <c r="A4026" s="100" t="s">
        <v>862</v>
      </c>
      <c r="B4026" s="101" t="s">
        <v>7560</v>
      </c>
      <c r="C4026" s="115" t="s">
        <v>7561</v>
      </c>
      <c r="D4026" s="38"/>
      <c r="E4026" s="42">
        <v>1</v>
      </c>
      <c r="F4026" s="9"/>
      <c r="G4026" s="8">
        <f t="shared" si="134"/>
        <v>180.55800000000002</v>
      </c>
      <c r="H4026" s="188">
        <v>171.96</v>
      </c>
      <c r="I4026" s="19">
        <f t="shared" si="135"/>
        <v>0</v>
      </c>
      <c r="L4026" s="131"/>
      <c r="M4026" s="131"/>
      <c r="N4026" s="131"/>
    </row>
    <row r="4027" spans="1:14" hidden="1">
      <c r="A4027" s="100" t="s">
        <v>862</v>
      </c>
      <c r="B4027" s="101" t="s">
        <v>7562</v>
      </c>
      <c r="C4027" s="115" t="s">
        <v>7563</v>
      </c>
      <c r="D4027" s="38"/>
      <c r="E4027" s="42">
        <v>1</v>
      </c>
      <c r="F4027" s="9"/>
      <c r="G4027" s="8">
        <f t="shared" si="134"/>
        <v>318.632475</v>
      </c>
      <c r="H4027" s="188">
        <v>303.45949999999999</v>
      </c>
      <c r="I4027" s="19">
        <f t="shared" si="135"/>
        <v>0</v>
      </c>
      <c r="L4027" s="131"/>
      <c r="M4027" s="131"/>
      <c r="N4027" s="131"/>
    </row>
    <row r="4028" spans="1:14" hidden="1">
      <c r="A4028" s="100" t="s">
        <v>862</v>
      </c>
      <c r="B4028" s="101" t="s">
        <v>7564</v>
      </c>
      <c r="C4028" s="115" t="s">
        <v>7565</v>
      </c>
      <c r="D4028" s="38"/>
      <c r="E4028" s="42">
        <v>1</v>
      </c>
      <c r="F4028" s="9"/>
      <c r="G4028" s="8">
        <f t="shared" si="134"/>
        <v>180.55800000000002</v>
      </c>
      <c r="H4028" s="188">
        <v>171.96</v>
      </c>
      <c r="I4028" s="19">
        <f t="shared" si="135"/>
        <v>0</v>
      </c>
      <c r="L4028" s="131"/>
      <c r="M4028" s="131"/>
      <c r="N4028" s="131"/>
    </row>
    <row r="4029" spans="1:14" hidden="1">
      <c r="A4029" s="100" t="s">
        <v>862</v>
      </c>
      <c r="B4029" s="101" t="s">
        <v>7566</v>
      </c>
      <c r="C4029" s="115" t="s">
        <v>7567</v>
      </c>
      <c r="D4029" s="38"/>
      <c r="E4029" s="42">
        <v>1</v>
      </c>
      <c r="F4029" s="9"/>
      <c r="G4029" s="8">
        <f t="shared" si="134"/>
        <v>318.632475</v>
      </c>
      <c r="H4029" s="188">
        <v>303.45949999999999</v>
      </c>
      <c r="I4029" s="19">
        <f t="shared" si="135"/>
        <v>0</v>
      </c>
      <c r="L4029" s="131"/>
      <c r="M4029" s="131"/>
      <c r="N4029" s="131"/>
    </row>
    <row r="4030" spans="1:14" hidden="1">
      <c r="A4030" s="100" t="s">
        <v>862</v>
      </c>
      <c r="B4030" s="101" t="s">
        <v>7568</v>
      </c>
      <c r="C4030" s="115" t="s">
        <v>7569</v>
      </c>
      <c r="D4030" s="38"/>
      <c r="E4030" s="42">
        <v>1</v>
      </c>
      <c r="F4030" s="9"/>
      <c r="G4030" s="8">
        <f t="shared" si="134"/>
        <v>189.73920000000001</v>
      </c>
      <c r="H4030" s="188">
        <v>180.70400000000001</v>
      </c>
      <c r="I4030" s="19">
        <f t="shared" si="135"/>
        <v>0</v>
      </c>
      <c r="L4030" s="131"/>
      <c r="M4030" s="131"/>
      <c r="N4030" s="131"/>
    </row>
    <row r="4031" spans="1:14" hidden="1">
      <c r="A4031" s="100" t="s">
        <v>862</v>
      </c>
      <c r="B4031" s="101" t="s">
        <v>7570</v>
      </c>
      <c r="C4031" s="115" t="s">
        <v>7571</v>
      </c>
      <c r="D4031" s="38"/>
      <c r="E4031" s="42">
        <v>1</v>
      </c>
      <c r="F4031" s="9"/>
      <c r="G4031" s="8">
        <f t="shared" si="134"/>
        <v>334.83292500000005</v>
      </c>
      <c r="H4031" s="188">
        <v>318.88850000000002</v>
      </c>
      <c r="I4031" s="19">
        <f t="shared" si="135"/>
        <v>0</v>
      </c>
      <c r="L4031" s="131"/>
      <c r="M4031" s="131"/>
      <c r="N4031" s="131"/>
    </row>
    <row r="4032" spans="1:14" hidden="1">
      <c r="A4032" s="100" t="s">
        <v>862</v>
      </c>
      <c r="B4032" s="101" t="s">
        <v>7572</v>
      </c>
      <c r="C4032" s="115" t="s">
        <v>7573</v>
      </c>
      <c r="D4032" s="38"/>
      <c r="E4032" s="42">
        <v>1</v>
      </c>
      <c r="F4032" s="9"/>
      <c r="G4032" s="8">
        <f t="shared" si="134"/>
        <v>189.73920000000001</v>
      </c>
      <c r="H4032" s="188">
        <v>180.70400000000001</v>
      </c>
      <c r="I4032" s="19">
        <f t="shared" si="135"/>
        <v>0</v>
      </c>
      <c r="L4032" s="131"/>
      <c r="M4032" s="131"/>
      <c r="N4032" s="131"/>
    </row>
    <row r="4033" spans="1:14" hidden="1">
      <c r="A4033" s="100" t="s">
        <v>862</v>
      </c>
      <c r="B4033" s="101" t="s">
        <v>7574</v>
      </c>
      <c r="C4033" s="115" t="s">
        <v>7575</v>
      </c>
      <c r="D4033" s="38"/>
      <c r="E4033" s="42">
        <v>1</v>
      </c>
      <c r="F4033" s="9"/>
      <c r="G4033" s="8">
        <f t="shared" si="134"/>
        <v>334.83292500000005</v>
      </c>
      <c r="H4033" s="188">
        <v>318.88850000000002</v>
      </c>
      <c r="I4033" s="19">
        <f t="shared" si="135"/>
        <v>0</v>
      </c>
      <c r="L4033" s="131"/>
      <c r="M4033" s="131"/>
      <c r="N4033" s="131"/>
    </row>
    <row r="4034" spans="1:14" hidden="1">
      <c r="A4034" s="100" t="s">
        <v>862</v>
      </c>
      <c r="B4034" s="101" t="s">
        <v>7576</v>
      </c>
      <c r="C4034" s="115" t="s">
        <v>7577</v>
      </c>
      <c r="D4034" s="38"/>
      <c r="E4034" s="42">
        <v>1</v>
      </c>
      <c r="F4034" s="9"/>
      <c r="G4034" s="8">
        <f t="shared" si="134"/>
        <v>198.97132500000001</v>
      </c>
      <c r="H4034" s="188">
        <v>189.4965</v>
      </c>
      <c r="I4034" s="19">
        <f t="shared" si="135"/>
        <v>0</v>
      </c>
      <c r="L4034" s="131"/>
      <c r="M4034" s="131"/>
      <c r="N4034" s="131"/>
    </row>
    <row r="4035" spans="1:14" hidden="1">
      <c r="A4035" s="100" t="s">
        <v>862</v>
      </c>
      <c r="B4035" s="101" t="s">
        <v>7578</v>
      </c>
      <c r="C4035" s="115" t="s">
        <v>7579</v>
      </c>
      <c r="D4035" s="38"/>
      <c r="E4035" s="42">
        <v>1</v>
      </c>
      <c r="F4035" s="9"/>
      <c r="G4035" s="8">
        <f t="shared" si="134"/>
        <v>351.126825</v>
      </c>
      <c r="H4035" s="188">
        <v>334.40649999999999</v>
      </c>
      <c r="I4035" s="19">
        <f t="shared" si="135"/>
        <v>0</v>
      </c>
      <c r="L4035" s="131"/>
      <c r="M4035" s="131"/>
      <c r="N4035" s="131"/>
    </row>
    <row r="4036" spans="1:14" hidden="1">
      <c r="A4036" s="100" t="s">
        <v>862</v>
      </c>
      <c r="B4036" s="101" t="s">
        <v>7580</v>
      </c>
      <c r="C4036" s="115" t="s">
        <v>7581</v>
      </c>
      <c r="D4036" s="38"/>
      <c r="E4036" s="42">
        <v>1</v>
      </c>
      <c r="F4036" s="9"/>
      <c r="G4036" s="8">
        <f t="shared" si="134"/>
        <v>198.97132500000001</v>
      </c>
      <c r="H4036" s="188">
        <v>189.4965</v>
      </c>
      <c r="I4036" s="19">
        <f t="shared" si="135"/>
        <v>0</v>
      </c>
      <c r="L4036" s="131"/>
      <c r="M4036" s="131"/>
      <c r="N4036" s="131"/>
    </row>
    <row r="4037" spans="1:14" hidden="1">
      <c r="A4037" s="100" t="s">
        <v>862</v>
      </c>
      <c r="B4037" s="101" t="s">
        <v>7582</v>
      </c>
      <c r="C4037" s="115" t="s">
        <v>7583</v>
      </c>
      <c r="D4037" s="38"/>
      <c r="E4037" s="42">
        <v>1</v>
      </c>
      <c r="F4037" s="9"/>
      <c r="G4037" s="8">
        <f t="shared" si="134"/>
        <v>351.126825</v>
      </c>
      <c r="H4037" s="188">
        <v>334.40649999999999</v>
      </c>
      <c r="I4037" s="19">
        <f t="shared" si="135"/>
        <v>0</v>
      </c>
      <c r="L4037" s="131"/>
      <c r="M4037" s="131"/>
      <c r="N4037" s="131"/>
    </row>
    <row r="4038" spans="1:14" hidden="1">
      <c r="A4038" s="100" t="s">
        <v>862</v>
      </c>
      <c r="B4038" s="101" t="s">
        <v>7584</v>
      </c>
      <c r="C4038" s="115" t="s">
        <v>7585</v>
      </c>
      <c r="D4038" s="38"/>
      <c r="E4038" s="42">
        <v>1</v>
      </c>
      <c r="F4038" s="9"/>
      <c r="G4038" s="8">
        <f t="shared" si="134"/>
        <v>208.25805</v>
      </c>
      <c r="H4038" s="188">
        <v>198.34100000000001</v>
      </c>
      <c r="I4038" s="19">
        <f t="shared" si="135"/>
        <v>0</v>
      </c>
      <c r="L4038" s="131"/>
      <c r="M4038" s="131"/>
      <c r="N4038" s="131"/>
    </row>
    <row r="4039" spans="1:14" hidden="1">
      <c r="A4039" s="100" t="s">
        <v>862</v>
      </c>
      <c r="B4039" s="101" t="s">
        <v>7586</v>
      </c>
      <c r="C4039" s="115" t="s">
        <v>7587</v>
      </c>
      <c r="D4039" s="38"/>
      <c r="E4039" s="42">
        <v>1</v>
      </c>
      <c r="F4039" s="9"/>
      <c r="G4039" s="8">
        <f t="shared" si="134"/>
        <v>367.51260000000002</v>
      </c>
      <c r="H4039" s="188">
        <v>350.012</v>
      </c>
      <c r="I4039" s="19">
        <f t="shared" si="135"/>
        <v>0</v>
      </c>
      <c r="L4039" s="131"/>
      <c r="M4039" s="131"/>
      <c r="N4039" s="131"/>
    </row>
    <row r="4040" spans="1:14" hidden="1">
      <c r="A4040" s="100" t="s">
        <v>862</v>
      </c>
      <c r="B4040" s="101" t="s">
        <v>7588</v>
      </c>
      <c r="C4040" s="115" t="s">
        <v>7589</v>
      </c>
      <c r="D4040" s="38"/>
      <c r="E4040" s="42">
        <v>1</v>
      </c>
      <c r="F4040" s="9"/>
      <c r="G4040" s="8">
        <f t="shared" si="134"/>
        <v>208.25805</v>
      </c>
      <c r="H4040" s="188">
        <v>198.34100000000001</v>
      </c>
      <c r="I4040" s="19">
        <f t="shared" si="135"/>
        <v>0</v>
      </c>
      <c r="L4040" s="131"/>
      <c r="M4040" s="131"/>
      <c r="N4040" s="131"/>
    </row>
    <row r="4041" spans="1:14" hidden="1">
      <c r="A4041" s="100" t="s">
        <v>862</v>
      </c>
      <c r="B4041" s="101" t="s">
        <v>7590</v>
      </c>
      <c r="C4041" s="115" t="s">
        <v>7591</v>
      </c>
      <c r="D4041" s="38"/>
      <c r="E4041" s="42">
        <v>1</v>
      </c>
      <c r="F4041" s="9"/>
      <c r="G4041" s="8">
        <f t="shared" si="134"/>
        <v>367.51260000000002</v>
      </c>
      <c r="H4041" s="188">
        <v>350.012</v>
      </c>
      <c r="I4041" s="19">
        <f t="shared" si="135"/>
        <v>0</v>
      </c>
      <c r="L4041" s="131"/>
      <c r="M4041" s="131"/>
      <c r="N4041" s="131"/>
    </row>
    <row r="4042" spans="1:14" hidden="1">
      <c r="A4042" s="100" t="s">
        <v>862</v>
      </c>
      <c r="B4042" s="101" t="s">
        <v>7592</v>
      </c>
      <c r="C4042" s="115" t="s">
        <v>7593</v>
      </c>
      <c r="D4042" s="38"/>
      <c r="E4042" s="42">
        <v>1</v>
      </c>
      <c r="F4042" s="9"/>
      <c r="G4042" s="8">
        <f t="shared" si="134"/>
        <v>38.3628</v>
      </c>
      <c r="H4042" s="188">
        <v>36.536000000000001</v>
      </c>
      <c r="I4042" s="19">
        <f t="shared" si="135"/>
        <v>0</v>
      </c>
      <c r="L4042" s="131"/>
      <c r="M4042" s="131"/>
      <c r="N4042" s="131"/>
    </row>
    <row r="4043" spans="1:14" hidden="1">
      <c r="A4043" s="100" t="s">
        <v>862</v>
      </c>
      <c r="B4043" s="101" t="s">
        <v>7594</v>
      </c>
      <c r="C4043" s="115" t="s">
        <v>7595</v>
      </c>
      <c r="D4043" s="38"/>
      <c r="E4043" s="42">
        <v>1</v>
      </c>
      <c r="F4043" s="9"/>
      <c r="G4043" s="8">
        <f t="shared" si="134"/>
        <v>44.636025000000004</v>
      </c>
      <c r="H4043" s="188">
        <v>42.5105</v>
      </c>
      <c r="I4043" s="19">
        <f t="shared" si="135"/>
        <v>0</v>
      </c>
      <c r="L4043" s="131"/>
      <c r="M4043" s="131"/>
      <c r="N4043" s="131"/>
    </row>
    <row r="4044" spans="1:14" hidden="1">
      <c r="A4044" s="100" t="s">
        <v>862</v>
      </c>
      <c r="B4044" s="101" t="s">
        <v>7596</v>
      </c>
      <c r="C4044" s="115" t="s">
        <v>7597</v>
      </c>
      <c r="D4044" s="38"/>
      <c r="E4044" s="42">
        <v>1</v>
      </c>
      <c r="F4044" s="9"/>
      <c r="G4044" s="8">
        <f t="shared" si="134"/>
        <v>52.074750000000002</v>
      </c>
      <c r="H4044" s="188">
        <v>49.594999999999999</v>
      </c>
      <c r="I4044" s="19">
        <f t="shared" si="135"/>
        <v>0</v>
      </c>
      <c r="L4044" s="131"/>
      <c r="M4044" s="131"/>
      <c r="N4044" s="131"/>
    </row>
    <row r="4045" spans="1:14" hidden="1">
      <c r="A4045" s="100" t="s">
        <v>862</v>
      </c>
      <c r="B4045" s="101" t="s">
        <v>7598</v>
      </c>
      <c r="C4045" s="115" t="s">
        <v>7599</v>
      </c>
      <c r="D4045" s="38"/>
      <c r="E4045" s="42">
        <v>1</v>
      </c>
      <c r="F4045" s="9"/>
      <c r="G4045" s="8">
        <f t="shared" si="134"/>
        <v>62.567399999999999</v>
      </c>
      <c r="H4045" s="188">
        <v>59.588000000000001</v>
      </c>
      <c r="I4045" s="19">
        <f t="shared" si="135"/>
        <v>0</v>
      </c>
      <c r="L4045" s="131"/>
      <c r="M4045" s="131"/>
      <c r="N4045" s="131"/>
    </row>
    <row r="4046" spans="1:14" hidden="1">
      <c r="A4046" s="100" t="s">
        <v>862</v>
      </c>
      <c r="B4046" s="101" t="s">
        <v>7600</v>
      </c>
      <c r="C4046" s="115" t="s">
        <v>7601</v>
      </c>
      <c r="D4046" s="38"/>
      <c r="E4046" s="42">
        <v>1</v>
      </c>
      <c r="F4046" s="9"/>
      <c r="G4046" s="8">
        <f t="shared" si="134"/>
        <v>99.263325000000009</v>
      </c>
      <c r="H4046" s="188">
        <v>94.536500000000004</v>
      </c>
      <c r="I4046" s="19">
        <f t="shared" si="135"/>
        <v>0</v>
      </c>
      <c r="L4046" s="131"/>
      <c r="M4046" s="131"/>
      <c r="N4046" s="131"/>
    </row>
    <row r="4047" spans="1:14" hidden="1">
      <c r="A4047" s="100" t="s">
        <v>862</v>
      </c>
      <c r="B4047" s="101" t="s">
        <v>7602</v>
      </c>
      <c r="C4047" s="115" t="s">
        <v>7603</v>
      </c>
      <c r="D4047" s="38"/>
      <c r="E4047" s="42">
        <v>1</v>
      </c>
      <c r="F4047" s="9"/>
      <c r="G4047" s="8">
        <f t="shared" si="134"/>
        <v>38.3628</v>
      </c>
      <c r="H4047" s="188">
        <v>36.536000000000001</v>
      </c>
      <c r="I4047" s="19">
        <f t="shared" si="135"/>
        <v>0</v>
      </c>
      <c r="L4047" s="131"/>
      <c r="M4047" s="131"/>
      <c r="N4047" s="131"/>
    </row>
    <row r="4048" spans="1:14" hidden="1">
      <c r="A4048" s="100" t="s">
        <v>862</v>
      </c>
      <c r="B4048" s="101" t="s">
        <v>7604</v>
      </c>
      <c r="C4048" s="115" t="s">
        <v>7605</v>
      </c>
      <c r="D4048" s="38"/>
      <c r="E4048" s="42">
        <v>1</v>
      </c>
      <c r="F4048" s="9"/>
      <c r="G4048" s="8">
        <f t="shared" si="134"/>
        <v>44.636025000000004</v>
      </c>
      <c r="H4048" s="188">
        <v>42.5105</v>
      </c>
      <c r="I4048" s="19">
        <f t="shared" si="135"/>
        <v>0</v>
      </c>
      <c r="L4048" s="131"/>
      <c r="M4048" s="131"/>
      <c r="N4048" s="131"/>
    </row>
    <row r="4049" spans="1:14" hidden="1">
      <c r="A4049" s="100" t="s">
        <v>862</v>
      </c>
      <c r="B4049" s="101" t="s">
        <v>7606</v>
      </c>
      <c r="C4049" s="115" t="s">
        <v>7607</v>
      </c>
      <c r="D4049" s="38"/>
      <c r="E4049" s="42">
        <v>1</v>
      </c>
      <c r="F4049" s="9"/>
      <c r="G4049" s="8">
        <f t="shared" si="134"/>
        <v>52.074750000000002</v>
      </c>
      <c r="H4049" s="188">
        <v>49.594999999999999</v>
      </c>
      <c r="I4049" s="19">
        <f t="shared" si="135"/>
        <v>0</v>
      </c>
      <c r="L4049" s="131"/>
      <c r="M4049" s="131"/>
      <c r="N4049" s="131"/>
    </row>
    <row r="4050" spans="1:14" hidden="1">
      <c r="A4050" s="100" t="s">
        <v>862</v>
      </c>
      <c r="B4050" s="101" t="s">
        <v>7608</v>
      </c>
      <c r="C4050" s="115" t="s">
        <v>7609</v>
      </c>
      <c r="D4050" s="38"/>
      <c r="E4050" s="42">
        <v>1</v>
      </c>
      <c r="F4050" s="9"/>
      <c r="G4050" s="8">
        <f t="shared" si="134"/>
        <v>62.567399999999999</v>
      </c>
      <c r="H4050" s="188">
        <v>59.588000000000001</v>
      </c>
      <c r="I4050" s="19">
        <f t="shared" si="135"/>
        <v>0</v>
      </c>
      <c r="L4050" s="131"/>
      <c r="M4050" s="131"/>
      <c r="N4050" s="131"/>
    </row>
    <row r="4051" spans="1:14" hidden="1">
      <c r="A4051" s="100" t="s">
        <v>862</v>
      </c>
      <c r="B4051" s="101" t="s">
        <v>7610</v>
      </c>
      <c r="C4051" s="115" t="s">
        <v>7611</v>
      </c>
      <c r="D4051" s="38"/>
      <c r="E4051" s="42">
        <v>1</v>
      </c>
      <c r="F4051" s="9"/>
      <c r="G4051" s="8">
        <f t="shared" si="134"/>
        <v>99.263325000000009</v>
      </c>
      <c r="H4051" s="188">
        <v>94.536500000000004</v>
      </c>
      <c r="I4051" s="19">
        <f t="shared" si="135"/>
        <v>0</v>
      </c>
      <c r="L4051" s="131"/>
      <c r="M4051" s="131"/>
      <c r="N4051" s="131"/>
    </row>
    <row r="4052" spans="1:14" hidden="1">
      <c r="A4052" s="100" t="s">
        <v>862</v>
      </c>
      <c r="B4052" s="101" t="s">
        <v>7612</v>
      </c>
      <c r="C4052" s="115" t="s">
        <v>7613</v>
      </c>
      <c r="D4052" s="38"/>
      <c r="E4052" s="42">
        <v>1</v>
      </c>
      <c r="F4052" s="9"/>
      <c r="G4052" s="8">
        <f t="shared" si="134"/>
        <v>48.6066</v>
      </c>
      <c r="H4052" s="188">
        <v>46.292000000000002</v>
      </c>
      <c r="I4052" s="19">
        <f t="shared" si="135"/>
        <v>0</v>
      </c>
      <c r="L4052" s="131"/>
      <c r="M4052" s="131"/>
      <c r="N4052" s="131"/>
    </row>
    <row r="4053" spans="1:14" hidden="1">
      <c r="A4053" s="100" t="s">
        <v>862</v>
      </c>
      <c r="B4053" s="101" t="s">
        <v>7614</v>
      </c>
      <c r="C4053" s="115" t="s">
        <v>7615</v>
      </c>
      <c r="D4053" s="38"/>
      <c r="E4053" s="42">
        <v>1</v>
      </c>
      <c r="F4053" s="9"/>
      <c r="G4053" s="8">
        <f t="shared" si="134"/>
        <v>56.922600000000003</v>
      </c>
      <c r="H4053" s="188">
        <v>54.212000000000003</v>
      </c>
      <c r="I4053" s="19">
        <f t="shared" si="135"/>
        <v>0</v>
      </c>
      <c r="L4053" s="131"/>
      <c r="M4053" s="131"/>
      <c r="N4053" s="131"/>
    </row>
    <row r="4054" spans="1:14" hidden="1">
      <c r="A4054" s="100" t="s">
        <v>862</v>
      </c>
      <c r="B4054" s="101" t="s">
        <v>7616</v>
      </c>
      <c r="C4054" s="115" t="s">
        <v>7617</v>
      </c>
      <c r="D4054" s="38"/>
      <c r="E4054" s="42">
        <v>1</v>
      </c>
      <c r="F4054" s="9"/>
      <c r="G4054" s="8">
        <f t="shared" si="134"/>
        <v>64.288349999999994</v>
      </c>
      <c r="H4054" s="188">
        <v>61.226999999999997</v>
      </c>
      <c r="I4054" s="19">
        <f t="shared" si="135"/>
        <v>0</v>
      </c>
      <c r="L4054" s="131"/>
      <c r="M4054" s="131"/>
      <c r="N4054" s="131"/>
    </row>
    <row r="4055" spans="1:14" hidden="1">
      <c r="A4055" s="100" t="s">
        <v>862</v>
      </c>
      <c r="B4055" s="101" t="s">
        <v>7618</v>
      </c>
      <c r="C4055" s="115" t="s">
        <v>7619</v>
      </c>
      <c r="D4055" s="38"/>
      <c r="E4055" s="42">
        <v>1</v>
      </c>
      <c r="F4055" s="9"/>
      <c r="G4055" s="8">
        <f t="shared" si="134"/>
        <v>72.248400000000004</v>
      </c>
      <c r="H4055" s="188">
        <v>68.808000000000007</v>
      </c>
      <c r="I4055" s="19">
        <f t="shared" si="135"/>
        <v>0</v>
      </c>
      <c r="L4055" s="131"/>
      <c r="M4055" s="131"/>
      <c r="N4055" s="131"/>
    </row>
    <row r="4056" spans="1:14" hidden="1">
      <c r="A4056" s="100" t="s">
        <v>862</v>
      </c>
      <c r="B4056" s="101" t="s">
        <v>7620</v>
      </c>
      <c r="C4056" s="115" t="s">
        <v>7621</v>
      </c>
      <c r="D4056" s="38"/>
      <c r="E4056" s="42">
        <v>1</v>
      </c>
      <c r="F4056" s="9"/>
      <c r="G4056" s="8">
        <f t="shared" si="134"/>
        <v>82.108949999999993</v>
      </c>
      <c r="H4056" s="188">
        <v>78.198999999999998</v>
      </c>
      <c r="I4056" s="19">
        <f t="shared" si="135"/>
        <v>0</v>
      </c>
      <c r="L4056" s="131"/>
      <c r="M4056" s="131"/>
      <c r="N4056" s="131"/>
    </row>
    <row r="4057" spans="1:14" hidden="1">
      <c r="A4057" s="100" t="s">
        <v>862</v>
      </c>
      <c r="B4057" s="101" t="s">
        <v>7622</v>
      </c>
      <c r="C4057" s="115" t="s">
        <v>7623</v>
      </c>
      <c r="D4057" s="38"/>
      <c r="E4057" s="42">
        <v>1</v>
      </c>
      <c r="F4057" s="9"/>
      <c r="G4057" s="8">
        <f t="shared" si="134"/>
        <v>99.929550000000006</v>
      </c>
      <c r="H4057" s="188">
        <v>95.171000000000006</v>
      </c>
      <c r="I4057" s="19">
        <f t="shared" si="135"/>
        <v>0</v>
      </c>
      <c r="L4057" s="131"/>
      <c r="M4057" s="131"/>
      <c r="N4057" s="131"/>
    </row>
    <row r="4058" spans="1:14" hidden="1">
      <c r="A4058" s="100" t="s">
        <v>862</v>
      </c>
      <c r="B4058" s="101" t="s">
        <v>7624</v>
      </c>
      <c r="C4058" s="115" t="s">
        <v>7625</v>
      </c>
      <c r="D4058" s="38"/>
      <c r="E4058" s="42">
        <v>1</v>
      </c>
      <c r="F4058" s="9"/>
      <c r="G4058" s="8">
        <f t="shared" si="134"/>
        <v>105.86992500000001</v>
      </c>
      <c r="H4058" s="188">
        <v>100.82850000000001</v>
      </c>
      <c r="I4058" s="19">
        <f t="shared" si="135"/>
        <v>0</v>
      </c>
      <c r="L4058" s="131"/>
      <c r="M4058" s="131"/>
      <c r="N4058" s="131"/>
    </row>
    <row r="4059" spans="1:14" hidden="1">
      <c r="A4059" s="100" t="s">
        <v>862</v>
      </c>
      <c r="B4059" s="101" t="s">
        <v>7626</v>
      </c>
      <c r="C4059" s="115" t="s">
        <v>7627</v>
      </c>
      <c r="D4059" s="38"/>
      <c r="E4059" s="42">
        <v>1</v>
      </c>
      <c r="F4059" s="9"/>
      <c r="G4059" s="8">
        <f t="shared" si="134"/>
        <v>48.6066</v>
      </c>
      <c r="H4059" s="188">
        <v>46.292000000000002</v>
      </c>
      <c r="I4059" s="19">
        <f t="shared" si="135"/>
        <v>0</v>
      </c>
      <c r="L4059" s="131"/>
      <c r="M4059" s="131"/>
      <c r="N4059" s="131"/>
    </row>
    <row r="4060" spans="1:14" hidden="1">
      <c r="A4060" s="100" t="s">
        <v>862</v>
      </c>
      <c r="B4060" s="101" t="s">
        <v>7628</v>
      </c>
      <c r="C4060" s="115" t="s">
        <v>7629</v>
      </c>
      <c r="D4060" s="38"/>
      <c r="E4060" s="42">
        <v>1</v>
      </c>
      <c r="F4060" s="9"/>
      <c r="G4060" s="8">
        <f t="shared" si="134"/>
        <v>56.922600000000003</v>
      </c>
      <c r="H4060" s="188">
        <v>54.212000000000003</v>
      </c>
      <c r="I4060" s="19">
        <f t="shared" si="135"/>
        <v>0</v>
      </c>
      <c r="L4060" s="131"/>
      <c r="M4060" s="131"/>
      <c r="N4060" s="131"/>
    </row>
    <row r="4061" spans="1:14" hidden="1">
      <c r="A4061" s="100" t="s">
        <v>862</v>
      </c>
      <c r="B4061" s="101" t="s">
        <v>7630</v>
      </c>
      <c r="C4061" s="115" t="s">
        <v>7631</v>
      </c>
      <c r="D4061" s="38"/>
      <c r="E4061" s="42">
        <v>1</v>
      </c>
      <c r="F4061" s="9"/>
      <c r="G4061" s="8">
        <f t="shared" si="134"/>
        <v>64.288349999999994</v>
      </c>
      <c r="H4061" s="188">
        <v>61.226999999999997</v>
      </c>
      <c r="I4061" s="19">
        <f t="shared" si="135"/>
        <v>0</v>
      </c>
      <c r="L4061" s="131"/>
      <c r="M4061" s="131"/>
      <c r="N4061" s="131"/>
    </row>
    <row r="4062" spans="1:14" hidden="1">
      <c r="A4062" s="100" t="s">
        <v>862</v>
      </c>
      <c r="B4062" s="101" t="s">
        <v>7632</v>
      </c>
      <c r="C4062" s="115" t="s">
        <v>7633</v>
      </c>
      <c r="D4062" s="38"/>
      <c r="E4062" s="42">
        <v>1</v>
      </c>
      <c r="F4062" s="9"/>
      <c r="G4062" s="8">
        <f t="shared" si="134"/>
        <v>72.248400000000004</v>
      </c>
      <c r="H4062" s="188">
        <v>68.808000000000007</v>
      </c>
      <c r="I4062" s="19">
        <f t="shared" si="135"/>
        <v>0</v>
      </c>
      <c r="L4062" s="131"/>
      <c r="M4062" s="131"/>
      <c r="N4062" s="131"/>
    </row>
    <row r="4063" spans="1:14" hidden="1">
      <c r="A4063" s="100" t="s">
        <v>862</v>
      </c>
      <c r="B4063" s="101" t="s">
        <v>7634</v>
      </c>
      <c r="C4063" s="115" t="s">
        <v>7635</v>
      </c>
      <c r="D4063" s="38"/>
      <c r="E4063" s="42">
        <v>1</v>
      </c>
      <c r="F4063" s="9"/>
      <c r="G4063" s="8">
        <f t="shared" si="134"/>
        <v>82.108949999999993</v>
      </c>
      <c r="H4063" s="188">
        <v>78.198999999999998</v>
      </c>
      <c r="I4063" s="19">
        <f t="shared" si="135"/>
        <v>0</v>
      </c>
      <c r="L4063" s="131"/>
      <c r="M4063" s="131"/>
      <c r="N4063" s="131"/>
    </row>
    <row r="4064" spans="1:14" hidden="1">
      <c r="A4064" s="100" t="s">
        <v>862</v>
      </c>
      <c r="B4064" s="101" t="s">
        <v>7636</v>
      </c>
      <c r="C4064" s="115" t="s">
        <v>7637</v>
      </c>
      <c r="D4064" s="38"/>
      <c r="E4064" s="42">
        <v>1</v>
      </c>
      <c r="F4064" s="9"/>
      <c r="G4064" s="8">
        <f t="shared" si="134"/>
        <v>99.929550000000006</v>
      </c>
      <c r="H4064" s="188">
        <v>95.171000000000006</v>
      </c>
      <c r="I4064" s="19">
        <f t="shared" si="135"/>
        <v>0</v>
      </c>
      <c r="L4064" s="131"/>
      <c r="M4064" s="131"/>
      <c r="N4064" s="131"/>
    </row>
    <row r="4065" spans="1:14" hidden="1">
      <c r="A4065" s="100" t="s">
        <v>862</v>
      </c>
      <c r="B4065" s="101" t="s">
        <v>7638</v>
      </c>
      <c r="C4065" s="115" t="s">
        <v>7639</v>
      </c>
      <c r="D4065" s="38"/>
      <c r="E4065" s="42">
        <v>1</v>
      </c>
      <c r="F4065" s="9"/>
      <c r="G4065" s="8">
        <f t="shared" si="134"/>
        <v>105.86992500000001</v>
      </c>
      <c r="H4065" s="188">
        <v>100.82850000000001</v>
      </c>
      <c r="I4065" s="19">
        <f t="shared" si="135"/>
        <v>0</v>
      </c>
      <c r="L4065" s="131"/>
      <c r="M4065" s="131"/>
      <c r="N4065" s="131"/>
    </row>
    <row r="4066" spans="1:14" hidden="1">
      <c r="A4066" s="100" t="s">
        <v>862</v>
      </c>
      <c r="B4066" s="101" t="s">
        <v>7640</v>
      </c>
      <c r="C4066" s="115" t="s">
        <v>7641</v>
      </c>
      <c r="D4066" s="38"/>
      <c r="E4066" s="42">
        <v>1</v>
      </c>
      <c r="F4066" s="9"/>
      <c r="G4066" s="8">
        <f t="shared" si="134"/>
        <v>57.181950000000001</v>
      </c>
      <c r="H4066" s="188">
        <v>54.459000000000003</v>
      </c>
      <c r="I4066" s="19">
        <f t="shared" si="135"/>
        <v>0</v>
      </c>
      <c r="L4066" s="131"/>
      <c r="M4066" s="131"/>
      <c r="N4066" s="131"/>
    </row>
    <row r="4067" spans="1:14" hidden="1">
      <c r="A4067" s="100" t="s">
        <v>862</v>
      </c>
      <c r="B4067" s="101" t="s">
        <v>7642</v>
      </c>
      <c r="C4067" s="115" t="s">
        <v>7643</v>
      </c>
      <c r="D4067" s="38"/>
      <c r="E4067" s="42">
        <v>1</v>
      </c>
      <c r="F4067" s="9"/>
      <c r="G4067" s="8">
        <f t="shared" si="134"/>
        <v>67.058250000000001</v>
      </c>
      <c r="H4067" s="188">
        <v>63.865000000000002</v>
      </c>
      <c r="I4067" s="19">
        <f t="shared" si="135"/>
        <v>0</v>
      </c>
      <c r="L4067" s="131"/>
      <c r="M4067" s="131"/>
      <c r="N4067" s="131"/>
    </row>
    <row r="4068" spans="1:14" hidden="1">
      <c r="A4068" s="100" t="s">
        <v>862</v>
      </c>
      <c r="B4068" s="101" t="s">
        <v>7644</v>
      </c>
      <c r="C4068" s="115" t="s">
        <v>7645</v>
      </c>
      <c r="D4068" s="38"/>
      <c r="E4068" s="42">
        <v>1</v>
      </c>
      <c r="F4068" s="9"/>
      <c r="G4068" s="8">
        <f t="shared" si="134"/>
        <v>69.400800000000004</v>
      </c>
      <c r="H4068" s="188">
        <v>66.096000000000004</v>
      </c>
      <c r="I4068" s="19">
        <f t="shared" si="135"/>
        <v>0</v>
      </c>
      <c r="L4068" s="131"/>
      <c r="M4068" s="131"/>
      <c r="N4068" s="131"/>
    </row>
    <row r="4069" spans="1:14" hidden="1">
      <c r="A4069" s="100" t="s">
        <v>862</v>
      </c>
      <c r="B4069" s="101" t="s">
        <v>7646</v>
      </c>
      <c r="C4069" s="115" t="s">
        <v>7647</v>
      </c>
      <c r="D4069" s="38"/>
      <c r="E4069" s="42">
        <v>1</v>
      </c>
      <c r="F4069" s="9"/>
      <c r="G4069" s="8">
        <f t="shared" ref="G4069:G4132" si="136">H4069+(H4069*5%)</f>
        <v>76.048350000000013</v>
      </c>
      <c r="H4069" s="188">
        <v>72.427000000000007</v>
      </c>
      <c r="I4069" s="19">
        <f t="shared" si="135"/>
        <v>0</v>
      </c>
      <c r="L4069" s="131"/>
      <c r="M4069" s="131"/>
      <c r="N4069" s="131"/>
    </row>
    <row r="4070" spans="1:14" hidden="1">
      <c r="A4070" s="100" t="s">
        <v>862</v>
      </c>
      <c r="B4070" s="101" t="s">
        <v>7648</v>
      </c>
      <c r="C4070" s="115" t="s">
        <v>7649</v>
      </c>
      <c r="D4070" s="38"/>
      <c r="E4070" s="42">
        <v>1</v>
      </c>
      <c r="F4070" s="9"/>
      <c r="G4070" s="8">
        <f t="shared" si="136"/>
        <v>80.859975000000006</v>
      </c>
      <c r="H4070" s="188">
        <v>77.009500000000003</v>
      </c>
      <c r="I4070" s="19">
        <f t="shared" si="135"/>
        <v>0</v>
      </c>
      <c r="L4070" s="131"/>
      <c r="M4070" s="131"/>
      <c r="N4070" s="131"/>
    </row>
    <row r="4071" spans="1:14" hidden="1">
      <c r="A4071" s="100" t="s">
        <v>862</v>
      </c>
      <c r="B4071" s="101" t="s">
        <v>7650</v>
      </c>
      <c r="C4071" s="115" t="s">
        <v>7651</v>
      </c>
      <c r="D4071" s="38"/>
      <c r="E4071" s="42">
        <v>1</v>
      </c>
      <c r="F4071" s="9"/>
      <c r="G4071" s="8">
        <f t="shared" si="136"/>
        <v>99.853425000000001</v>
      </c>
      <c r="H4071" s="188">
        <v>95.098500000000001</v>
      </c>
      <c r="I4071" s="19">
        <f t="shared" si="135"/>
        <v>0</v>
      </c>
      <c r="L4071" s="131"/>
      <c r="M4071" s="131"/>
      <c r="N4071" s="131"/>
    </row>
    <row r="4072" spans="1:14" hidden="1">
      <c r="A4072" s="100" t="s">
        <v>862</v>
      </c>
      <c r="B4072" s="101" t="s">
        <v>7652</v>
      </c>
      <c r="C4072" s="115" t="s">
        <v>7653</v>
      </c>
      <c r="D4072" s="38"/>
      <c r="E4072" s="42">
        <v>1</v>
      </c>
      <c r="F4072" s="9"/>
      <c r="G4072" s="8">
        <f t="shared" si="136"/>
        <v>112.5159</v>
      </c>
      <c r="H4072" s="188">
        <v>107.158</v>
      </c>
      <c r="I4072" s="19">
        <f t="shared" ref="I4072:I4135" si="137">G4072*F4072</f>
        <v>0</v>
      </c>
      <c r="L4072" s="131"/>
      <c r="M4072" s="131"/>
      <c r="N4072" s="131"/>
    </row>
    <row r="4073" spans="1:14" hidden="1">
      <c r="A4073" s="100" t="s">
        <v>862</v>
      </c>
      <c r="B4073" s="101" t="s">
        <v>7654</v>
      </c>
      <c r="C4073" s="115" t="s">
        <v>7655</v>
      </c>
      <c r="D4073" s="38"/>
      <c r="E4073" s="42">
        <v>1</v>
      </c>
      <c r="F4073" s="9"/>
      <c r="G4073" s="8">
        <f t="shared" si="136"/>
        <v>57.181950000000001</v>
      </c>
      <c r="H4073" s="188">
        <v>54.459000000000003</v>
      </c>
      <c r="I4073" s="19">
        <f t="shared" si="137"/>
        <v>0</v>
      </c>
      <c r="L4073" s="131"/>
      <c r="M4073" s="131"/>
      <c r="N4073" s="131"/>
    </row>
    <row r="4074" spans="1:14" hidden="1">
      <c r="A4074" s="100" t="s">
        <v>862</v>
      </c>
      <c r="B4074" s="101" t="s">
        <v>7656</v>
      </c>
      <c r="C4074" s="115" t="s">
        <v>7657</v>
      </c>
      <c r="D4074" s="38"/>
      <c r="E4074" s="42">
        <v>1</v>
      </c>
      <c r="F4074" s="9"/>
      <c r="G4074" s="8">
        <f t="shared" si="136"/>
        <v>67.058250000000001</v>
      </c>
      <c r="H4074" s="188">
        <v>63.865000000000002</v>
      </c>
      <c r="I4074" s="19">
        <f t="shared" si="137"/>
        <v>0</v>
      </c>
      <c r="L4074" s="131"/>
      <c r="M4074" s="131"/>
      <c r="N4074" s="131"/>
    </row>
    <row r="4075" spans="1:14" hidden="1">
      <c r="A4075" s="100" t="s">
        <v>862</v>
      </c>
      <c r="B4075" s="101" t="s">
        <v>7658</v>
      </c>
      <c r="C4075" s="115" t="s">
        <v>7659</v>
      </c>
      <c r="D4075" s="38"/>
      <c r="E4075" s="42">
        <v>1</v>
      </c>
      <c r="F4075" s="9"/>
      <c r="G4075" s="8">
        <f t="shared" si="136"/>
        <v>73.769325000000009</v>
      </c>
      <c r="H4075" s="188">
        <v>70.256500000000003</v>
      </c>
      <c r="I4075" s="19">
        <f t="shared" si="137"/>
        <v>0</v>
      </c>
      <c r="L4075" s="131"/>
      <c r="M4075" s="131"/>
      <c r="N4075" s="131"/>
    </row>
    <row r="4076" spans="1:14" hidden="1">
      <c r="A4076" s="100" t="s">
        <v>862</v>
      </c>
      <c r="B4076" s="101" t="s">
        <v>7660</v>
      </c>
      <c r="C4076" s="115" t="s">
        <v>7661</v>
      </c>
      <c r="D4076" s="38"/>
      <c r="E4076" s="42">
        <v>1</v>
      </c>
      <c r="F4076" s="9"/>
      <c r="G4076" s="8">
        <f t="shared" si="136"/>
        <v>76.048350000000013</v>
      </c>
      <c r="H4076" s="188">
        <v>72.427000000000007</v>
      </c>
      <c r="I4076" s="19">
        <f t="shared" si="137"/>
        <v>0</v>
      </c>
      <c r="L4076" s="131"/>
      <c r="M4076" s="131"/>
      <c r="N4076" s="131"/>
    </row>
    <row r="4077" spans="1:14" hidden="1">
      <c r="A4077" s="100" t="s">
        <v>862</v>
      </c>
      <c r="B4077" s="101" t="s">
        <v>7662</v>
      </c>
      <c r="C4077" s="115" t="s">
        <v>7663</v>
      </c>
      <c r="D4077" s="38"/>
      <c r="E4077" s="42">
        <v>1</v>
      </c>
      <c r="F4077" s="9"/>
      <c r="G4077" s="8">
        <f t="shared" si="136"/>
        <v>80.859975000000006</v>
      </c>
      <c r="H4077" s="188">
        <v>77.009500000000003</v>
      </c>
      <c r="I4077" s="19">
        <f t="shared" si="137"/>
        <v>0</v>
      </c>
      <c r="L4077" s="131"/>
      <c r="M4077" s="131"/>
      <c r="N4077" s="131"/>
    </row>
    <row r="4078" spans="1:14" hidden="1">
      <c r="A4078" s="100" t="s">
        <v>862</v>
      </c>
      <c r="B4078" s="101" t="s">
        <v>7664</v>
      </c>
      <c r="C4078" s="115" t="s">
        <v>7665</v>
      </c>
      <c r="D4078" s="38"/>
      <c r="E4078" s="42">
        <v>1</v>
      </c>
      <c r="F4078" s="9"/>
      <c r="G4078" s="8">
        <f t="shared" si="136"/>
        <v>99.853425000000001</v>
      </c>
      <c r="H4078" s="188">
        <v>95.098500000000001</v>
      </c>
      <c r="I4078" s="19">
        <f t="shared" si="137"/>
        <v>0</v>
      </c>
      <c r="L4078" s="131"/>
      <c r="M4078" s="131"/>
      <c r="N4078" s="131"/>
    </row>
    <row r="4079" spans="1:14" hidden="1">
      <c r="A4079" s="100" t="s">
        <v>862</v>
      </c>
      <c r="B4079" s="101" t="s">
        <v>7666</v>
      </c>
      <c r="C4079" s="115" t="s">
        <v>7667</v>
      </c>
      <c r="D4079" s="38"/>
      <c r="E4079" s="42">
        <v>1</v>
      </c>
      <c r="F4079" s="9"/>
      <c r="G4079" s="8">
        <f t="shared" si="136"/>
        <v>112.5159</v>
      </c>
      <c r="H4079" s="188">
        <v>107.158</v>
      </c>
      <c r="I4079" s="19">
        <f t="shared" si="137"/>
        <v>0</v>
      </c>
      <c r="L4079" s="131"/>
      <c r="M4079" s="131"/>
      <c r="N4079" s="131"/>
    </row>
    <row r="4080" spans="1:14" hidden="1">
      <c r="A4080" s="100" t="s">
        <v>862</v>
      </c>
      <c r="B4080" s="101" t="s">
        <v>7668</v>
      </c>
      <c r="C4080" s="115" t="s">
        <v>7669</v>
      </c>
      <c r="D4080" s="38"/>
      <c r="E4080" s="42">
        <v>1</v>
      </c>
      <c r="F4080" s="9"/>
      <c r="G4080" s="8">
        <f t="shared" si="136"/>
        <v>66.145800000000008</v>
      </c>
      <c r="H4080" s="188">
        <v>62.996000000000002</v>
      </c>
      <c r="I4080" s="19">
        <f t="shared" si="137"/>
        <v>0</v>
      </c>
      <c r="L4080" s="131"/>
      <c r="M4080" s="131"/>
      <c r="N4080" s="131"/>
    </row>
    <row r="4081" spans="1:14" hidden="1">
      <c r="A4081" s="100" t="s">
        <v>862</v>
      </c>
      <c r="B4081" s="101" t="s">
        <v>7670</v>
      </c>
      <c r="C4081" s="115" t="s">
        <v>7671</v>
      </c>
      <c r="D4081" s="38"/>
      <c r="E4081" s="42">
        <v>1</v>
      </c>
      <c r="F4081" s="9"/>
      <c r="G4081" s="8">
        <f t="shared" si="136"/>
        <v>71.727074999999999</v>
      </c>
      <c r="H4081" s="188">
        <v>68.311499999999995</v>
      </c>
      <c r="I4081" s="19">
        <f t="shared" si="137"/>
        <v>0</v>
      </c>
      <c r="L4081" s="131"/>
      <c r="M4081" s="131"/>
      <c r="N4081" s="131"/>
    </row>
    <row r="4082" spans="1:14" hidden="1">
      <c r="A4082" s="100" t="s">
        <v>862</v>
      </c>
      <c r="B4082" s="101" t="s">
        <v>7672</v>
      </c>
      <c r="C4082" s="115" t="s">
        <v>7673</v>
      </c>
      <c r="D4082" s="38"/>
      <c r="E4082" s="42">
        <v>1</v>
      </c>
      <c r="F4082" s="9"/>
      <c r="G4082" s="8">
        <f t="shared" si="136"/>
        <v>77.778750000000002</v>
      </c>
      <c r="H4082" s="188">
        <v>74.075000000000003</v>
      </c>
      <c r="I4082" s="19">
        <f t="shared" si="137"/>
        <v>0</v>
      </c>
      <c r="L4082" s="131"/>
      <c r="M4082" s="131"/>
      <c r="N4082" s="131"/>
    </row>
    <row r="4083" spans="1:14" hidden="1">
      <c r="A4083" s="100" t="s">
        <v>862</v>
      </c>
      <c r="B4083" s="101" t="s">
        <v>7674</v>
      </c>
      <c r="C4083" s="115" t="s">
        <v>7675</v>
      </c>
      <c r="D4083" s="38"/>
      <c r="E4083" s="42">
        <v>1</v>
      </c>
      <c r="F4083" s="9"/>
      <c r="G4083" s="8">
        <f t="shared" si="136"/>
        <v>84.435750000000013</v>
      </c>
      <c r="H4083" s="188">
        <v>80.415000000000006</v>
      </c>
      <c r="I4083" s="19">
        <f t="shared" si="137"/>
        <v>0</v>
      </c>
      <c r="L4083" s="131"/>
      <c r="M4083" s="131"/>
      <c r="N4083" s="131"/>
    </row>
    <row r="4084" spans="1:14" hidden="1">
      <c r="A4084" s="100" t="s">
        <v>862</v>
      </c>
      <c r="B4084" s="101" t="s">
        <v>7676</v>
      </c>
      <c r="C4084" s="115" t="s">
        <v>7677</v>
      </c>
      <c r="D4084" s="38"/>
      <c r="E4084" s="42">
        <v>1</v>
      </c>
      <c r="F4084" s="9"/>
      <c r="G4084" s="8">
        <f t="shared" si="136"/>
        <v>91.765275000000003</v>
      </c>
      <c r="H4084" s="188">
        <v>87.395499999999998</v>
      </c>
      <c r="I4084" s="19">
        <f t="shared" si="137"/>
        <v>0</v>
      </c>
      <c r="L4084" s="131"/>
      <c r="M4084" s="131"/>
      <c r="N4084" s="131"/>
    </row>
    <row r="4085" spans="1:14" hidden="1">
      <c r="A4085" s="100" t="s">
        <v>862</v>
      </c>
      <c r="B4085" s="101" t="s">
        <v>7678</v>
      </c>
      <c r="C4085" s="115" t="s">
        <v>7679</v>
      </c>
      <c r="D4085" s="38"/>
      <c r="E4085" s="42">
        <v>1</v>
      </c>
      <c r="F4085" s="9"/>
      <c r="G4085" s="8">
        <f t="shared" si="136"/>
        <v>102.390225</v>
      </c>
      <c r="H4085" s="188">
        <v>97.514499999999998</v>
      </c>
      <c r="I4085" s="19">
        <f t="shared" si="137"/>
        <v>0</v>
      </c>
      <c r="L4085" s="131"/>
      <c r="M4085" s="131"/>
      <c r="N4085" s="131"/>
    </row>
    <row r="4086" spans="1:14" hidden="1">
      <c r="A4086" s="100" t="s">
        <v>862</v>
      </c>
      <c r="B4086" s="101" t="s">
        <v>7680</v>
      </c>
      <c r="C4086" s="115" t="s">
        <v>7681</v>
      </c>
      <c r="D4086" s="38"/>
      <c r="E4086" s="42">
        <v>1</v>
      </c>
      <c r="F4086" s="9"/>
      <c r="G4086" s="8">
        <f t="shared" si="136"/>
        <v>119.20072500000001</v>
      </c>
      <c r="H4086" s="188">
        <v>113.5245</v>
      </c>
      <c r="I4086" s="19">
        <f t="shared" si="137"/>
        <v>0</v>
      </c>
      <c r="L4086" s="131"/>
      <c r="M4086" s="131"/>
      <c r="N4086" s="131"/>
    </row>
    <row r="4087" spans="1:14" hidden="1">
      <c r="A4087" s="100" t="s">
        <v>862</v>
      </c>
      <c r="B4087" s="101" t="s">
        <v>7682</v>
      </c>
      <c r="C4087" s="115" t="s">
        <v>7683</v>
      </c>
      <c r="D4087" s="38"/>
      <c r="E4087" s="42">
        <v>1</v>
      </c>
      <c r="F4087" s="9"/>
      <c r="G4087" s="8">
        <f t="shared" si="136"/>
        <v>66.145800000000008</v>
      </c>
      <c r="H4087" s="188">
        <v>62.996000000000002</v>
      </c>
      <c r="I4087" s="19">
        <f t="shared" si="137"/>
        <v>0</v>
      </c>
      <c r="L4087" s="131"/>
      <c r="M4087" s="131"/>
      <c r="N4087" s="131"/>
    </row>
    <row r="4088" spans="1:14" hidden="1">
      <c r="A4088" s="100" t="s">
        <v>862</v>
      </c>
      <c r="B4088" s="101" t="s">
        <v>7684</v>
      </c>
      <c r="C4088" s="115" t="s">
        <v>7685</v>
      </c>
      <c r="D4088" s="38"/>
      <c r="E4088" s="42">
        <v>1</v>
      </c>
      <c r="F4088" s="9"/>
      <c r="G4088" s="8">
        <f t="shared" si="136"/>
        <v>71.727074999999999</v>
      </c>
      <c r="H4088" s="188">
        <v>68.311499999999995</v>
      </c>
      <c r="I4088" s="19">
        <f t="shared" si="137"/>
        <v>0</v>
      </c>
      <c r="L4088" s="131"/>
      <c r="M4088" s="131"/>
      <c r="N4088" s="131"/>
    </row>
    <row r="4089" spans="1:14" hidden="1">
      <c r="A4089" s="100" t="s">
        <v>862</v>
      </c>
      <c r="B4089" s="101" t="s">
        <v>7686</v>
      </c>
      <c r="C4089" s="115" t="s">
        <v>7687</v>
      </c>
      <c r="D4089" s="38"/>
      <c r="E4089" s="42">
        <v>1</v>
      </c>
      <c r="F4089" s="9"/>
      <c r="G4089" s="8">
        <f t="shared" si="136"/>
        <v>77.778750000000002</v>
      </c>
      <c r="H4089" s="188">
        <v>74.075000000000003</v>
      </c>
      <c r="I4089" s="19">
        <f t="shared" si="137"/>
        <v>0</v>
      </c>
      <c r="L4089" s="131"/>
      <c r="M4089" s="131"/>
      <c r="N4089" s="131"/>
    </row>
    <row r="4090" spans="1:14" hidden="1">
      <c r="A4090" s="100" t="s">
        <v>862</v>
      </c>
      <c r="B4090" s="101" t="s">
        <v>7688</v>
      </c>
      <c r="C4090" s="115" t="s">
        <v>7689</v>
      </c>
      <c r="D4090" s="38"/>
      <c r="E4090" s="42">
        <v>1</v>
      </c>
      <c r="F4090" s="9"/>
      <c r="G4090" s="8">
        <f t="shared" si="136"/>
        <v>84.435750000000013</v>
      </c>
      <c r="H4090" s="188">
        <v>80.415000000000006</v>
      </c>
      <c r="I4090" s="19">
        <f t="shared" si="137"/>
        <v>0</v>
      </c>
      <c r="L4090" s="131"/>
      <c r="M4090" s="131"/>
      <c r="N4090" s="131"/>
    </row>
    <row r="4091" spans="1:14" hidden="1">
      <c r="A4091" s="100" t="s">
        <v>862</v>
      </c>
      <c r="B4091" s="101" t="s">
        <v>7690</v>
      </c>
      <c r="C4091" s="115" t="s">
        <v>7691</v>
      </c>
      <c r="D4091" s="38"/>
      <c r="E4091" s="42">
        <v>1</v>
      </c>
      <c r="F4091" s="9"/>
      <c r="G4091" s="8">
        <f t="shared" si="136"/>
        <v>91.765275000000003</v>
      </c>
      <c r="H4091" s="188">
        <v>87.395499999999998</v>
      </c>
      <c r="I4091" s="19">
        <f t="shared" si="137"/>
        <v>0</v>
      </c>
      <c r="L4091" s="131"/>
      <c r="M4091" s="131"/>
      <c r="N4091" s="131"/>
    </row>
    <row r="4092" spans="1:14" hidden="1">
      <c r="A4092" s="100" t="s">
        <v>862</v>
      </c>
      <c r="B4092" s="101" t="s">
        <v>7692</v>
      </c>
      <c r="C4092" s="115" t="s">
        <v>7693</v>
      </c>
      <c r="D4092" s="38"/>
      <c r="E4092" s="42">
        <v>1</v>
      </c>
      <c r="F4092" s="9"/>
      <c r="G4092" s="8">
        <f t="shared" si="136"/>
        <v>102.390225</v>
      </c>
      <c r="H4092" s="188">
        <v>97.514499999999998</v>
      </c>
      <c r="I4092" s="19">
        <f t="shared" si="137"/>
        <v>0</v>
      </c>
      <c r="L4092" s="131"/>
      <c r="M4092" s="131"/>
      <c r="N4092" s="131"/>
    </row>
    <row r="4093" spans="1:14" hidden="1">
      <c r="A4093" s="100" t="s">
        <v>862</v>
      </c>
      <c r="B4093" s="101" t="s">
        <v>7694</v>
      </c>
      <c r="C4093" s="115" t="s">
        <v>7695</v>
      </c>
      <c r="D4093" s="38"/>
      <c r="E4093" s="42">
        <v>1</v>
      </c>
      <c r="F4093" s="9"/>
      <c r="G4093" s="8">
        <f t="shared" si="136"/>
        <v>119.20072500000001</v>
      </c>
      <c r="H4093" s="188">
        <v>113.5245</v>
      </c>
      <c r="I4093" s="19">
        <f t="shared" si="137"/>
        <v>0</v>
      </c>
      <c r="L4093" s="131"/>
      <c r="M4093" s="131"/>
      <c r="N4093" s="131"/>
    </row>
    <row r="4094" spans="1:14" hidden="1">
      <c r="A4094" s="100" t="s">
        <v>862</v>
      </c>
      <c r="B4094" s="101" t="s">
        <v>7696</v>
      </c>
      <c r="C4094" s="115" t="s">
        <v>7697</v>
      </c>
      <c r="D4094" s="38"/>
      <c r="E4094" s="42">
        <v>1</v>
      </c>
      <c r="F4094" s="9"/>
      <c r="G4094" s="8">
        <f t="shared" si="136"/>
        <v>69.535725000000014</v>
      </c>
      <c r="H4094" s="188">
        <v>66.224500000000006</v>
      </c>
      <c r="I4094" s="19">
        <f t="shared" si="137"/>
        <v>0</v>
      </c>
      <c r="L4094" s="131"/>
      <c r="M4094" s="131"/>
      <c r="N4094" s="131"/>
    </row>
    <row r="4095" spans="1:14" hidden="1">
      <c r="A4095" s="100" t="s">
        <v>862</v>
      </c>
      <c r="B4095" s="101" t="s">
        <v>7698</v>
      </c>
      <c r="C4095" s="115" t="s">
        <v>7699</v>
      </c>
      <c r="D4095" s="38"/>
      <c r="E4095" s="42">
        <v>1</v>
      </c>
      <c r="F4095" s="9"/>
      <c r="G4095" s="8">
        <f t="shared" si="136"/>
        <v>75.374249999999989</v>
      </c>
      <c r="H4095" s="188">
        <v>71.784999999999997</v>
      </c>
      <c r="I4095" s="19">
        <f t="shared" si="137"/>
        <v>0</v>
      </c>
      <c r="L4095" s="131"/>
      <c r="M4095" s="131"/>
      <c r="N4095" s="131"/>
    </row>
    <row r="4096" spans="1:14" hidden="1">
      <c r="A4096" s="100" t="s">
        <v>862</v>
      </c>
      <c r="B4096" s="101" t="s">
        <v>7700</v>
      </c>
      <c r="C4096" s="115" t="s">
        <v>7701</v>
      </c>
      <c r="D4096" s="38"/>
      <c r="E4096" s="42">
        <v>1</v>
      </c>
      <c r="F4096" s="9"/>
      <c r="G4096" s="8">
        <f t="shared" si="136"/>
        <v>81.781874999999999</v>
      </c>
      <c r="H4096" s="188">
        <v>77.887500000000003</v>
      </c>
      <c r="I4096" s="19">
        <f t="shared" si="137"/>
        <v>0</v>
      </c>
      <c r="L4096" s="131"/>
      <c r="M4096" s="131"/>
      <c r="N4096" s="131"/>
    </row>
    <row r="4097" spans="1:14" hidden="1">
      <c r="A4097" s="100" t="s">
        <v>862</v>
      </c>
      <c r="B4097" s="101" t="s">
        <v>7702</v>
      </c>
      <c r="C4097" s="115" t="s">
        <v>7703</v>
      </c>
      <c r="D4097" s="38"/>
      <c r="E4097" s="42">
        <v>1</v>
      </c>
      <c r="F4097" s="9"/>
      <c r="G4097" s="8">
        <f t="shared" si="136"/>
        <v>88.830524999999994</v>
      </c>
      <c r="H4097" s="188">
        <v>84.600499999999997</v>
      </c>
      <c r="I4097" s="19">
        <f t="shared" si="137"/>
        <v>0</v>
      </c>
      <c r="L4097" s="131"/>
      <c r="M4097" s="131"/>
      <c r="N4097" s="131"/>
    </row>
    <row r="4098" spans="1:14" hidden="1">
      <c r="A4098" s="100" t="s">
        <v>862</v>
      </c>
      <c r="B4098" s="101" t="s">
        <v>7704</v>
      </c>
      <c r="C4098" s="115" t="s">
        <v>7705</v>
      </c>
      <c r="D4098" s="38"/>
      <c r="E4098" s="42">
        <v>1</v>
      </c>
      <c r="F4098" s="9"/>
      <c r="G4098" s="8">
        <f t="shared" si="136"/>
        <v>96.520200000000003</v>
      </c>
      <c r="H4098" s="188">
        <v>91.924000000000007</v>
      </c>
      <c r="I4098" s="19">
        <f t="shared" si="137"/>
        <v>0</v>
      </c>
      <c r="L4098" s="131"/>
      <c r="M4098" s="131"/>
      <c r="N4098" s="131"/>
    </row>
    <row r="4099" spans="1:14" hidden="1">
      <c r="A4099" s="100" t="s">
        <v>862</v>
      </c>
      <c r="B4099" s="101" t="s">
        <v>7706</v>
      </c>
      <c r="C4099" s="115" t="s">
        <v>7707</v>
      </c>
      <c r="D4099" s="38"/>
      <c r="E4099" s="42">
        <v>1</v>
      </c>
      <c r="F4099" s="9"/>
      <c r="G4099" s="8">
        <f t="shared" si="136"/>
        <v>104.99265</v>
      </c>
      <c r="H4099" s="188">
        <v>99.992999999999995</v>
      </c>
      <c r="I4099" s="19">
        <f t="shared" si="137"/>
        <v>0</v>
      </c>
      <c r="L4099" s="131"/>
      <c r="M4099" s="131"/>
      <c r="N4099" s="131"/>
    </row>
    <row r="4100" spans="1:14" hidden="1">
      <c r="A4100" s="100" t="s">
        <v>862</v>
      </c>
      <c r="B4100" s="101" t="s">
        <v>7708</v>
      </c>
      <c r="C4100" s="115" t="s">
        <v>7709</v>
      </c>
      <c r="D4100" s="38"/>
      <c r="E4100" s="42">
        <v>1</v>
      </c>
      <c r="F4100" s="9"/>
      <c r="G4100" s="8">
        <f t="shared" si="136"/>
        <v>115.245375</v>
      </c>
      <c r="H4100" s="188">
        <v>109.75749999999999</v>
      </c>
      <c r="I4100" s="19">
        <f t="shared" si="137"/>
        <v>0</v>
      </c>
      <c r="L4100" s="131"/>
      <c r="M4100" s="131"/>
      <c r="N4100" s="131"/>
    </row>
    <row r="4101" spans="1:14" hidden="1">
      <c r="A4101" s="100" t="s">
        <v>862</v>
      </c>
      <c r="B4101" s="101" t="s">
        <v>7710</v>
      </c>
      <c r="C4101" s="115" t="s">
        <v>7711</v>
      </c>
      <c r="D4101" s="38"/>
      <c r="E4101" s="42">
        <v>1</v>
      </c>
      <c r="F4101" s="9"/>
      <c r="G4101" s="8">
        <f t="shared" si="136"/>
        <v>125.92545</v>
      </c>
      <c r="H4101" s="188">
        <v>119.929</v>
      </c>
      <c r="I4101" s="19">
        <f t="shared" si="137"/>
        <v>0</v>
      </c>
      <c r="L4101" s="131"/>
      <c r="M4101" s="131"/>
      <c r="N4101" s="131"/>
    </row>
    <row r="4102" spans="1:14" hidden="1">
      <c r="A4102" s="100" t="s">
        <v>862</v>
      </c>
      <c r="B4102" s="101" t="s">
        <v>7712</v>
      </c>
      <c r="C4102" s="115" t="s">
        <v>7713</v>
      </c>
      <c r="D4102" s="38"/>
      <c r="E4102" s="42">
        <v>1</v>
      </c>
      <c r="F4102" s="9"/>
      <c r="G4102" s="8">
        <f t="shared" si="136"/>
        <v>69.535725000000014</v>
      </c>
      <c r="H4102" s="188">
        <v>66.224500000000006</v>
      </c>
      <c r="I4102" s="19">
        <f t="shared" si="137"/>
        <v>0</v>
      </c>
      <c r="L4102" s="131"/>
      <c r="M4102" s="131"/>
      <c r="N4102" s="131"/>
    </row>
    <row r="4103" spans="1:14" hidden="1">
      <c r="A4103" s="100" t="s">
        <v>862</v>
      </c>
      <c r="B4103" s="101" t="s">
        <v>7714</v>
      </c>
      <c r="C4103" s="115" t="s">
        <v>7715</v>
      </c>
      <c r="D4103" s="38"/>
      <c r="E4103" s="42">
        <v>1</v>
      </c>
      <c r="F4103" s="9"/>
      <c r="G4103" s="8">
        <f t="shared" si="136"/>
        <v>75.374249999999989</v>
      </c>
      <c r="H4103" s="188">
        <v>71.784999999999997</v>
      </c>
      <c r="I4103" s="19">
        <f t="shared" si="137"/>
        <v>0</v>
      </c>
      <c r="L4103" s="131"/>
      <c r="M4103" s="131"/>
      <c r="N4103" s="131"/>
    </row>
    <row r="4104" spans="1:14" hidden="1">
      <c r="A4104" s="100" t="s">
        <v>862</v>
      </c>
      <c r="B4104" s="101" t="s">
        <v>7716</v>
      </c>
      <c r="C4104" s="115" t="s">
        <v>7717</v>
      </c>
      <c r="D4104" s="38"/>
      <c r="E4104" s="42">
        <v>1</v>
      </c>
      <c r="F4104" s="9"/>
      <c r="G4104" s="8">
        <f t="shared" si="136"/>
        <v>81.781874999999999</v>
      </c>
      <c r="H4104" s="188">
        <v>77.887500000000003</v>
      </c>
      <c r="I4104" s="19">
        <f t="shared" si="137"/>
        <v>0</v>
      </c>
      <c r="L4104" s="131"/>
      <c r="M4104" s="131"/>
      <c r="N4104" s="131"/>
    </row>
    <row r="4105" spans="1:14" hidden="1">
      <c r="A4105" s="100" t="s">
        <v>862</v>
      </c>
      <c r="B4105" s="101" t="s">
        <v>7718</v>
      </c>
      <c r="C4105" s="115" t="s">
        <v>7719</v>
      </c>
      <c r="D4105" s="38"/>
      <c r="E4105" s="42">
        <v>1</v>
      </c>
      <c r="F4105" s="9"/>
      <c r="G4105" s="8">
        <f t="shared" si="136"/>
        <v>88.830524999999994</v>
      </c>
      <c r="H4105" s="188">
        <v>84.600499999999997</v>
      </c>
      <c r="I4105" s="19">
        <f t="shared" si="137"/>
        <v>0</v>
      </c>
      <c r="L4105" s="131"/>
      <c r="M4105" s="131"/>
      <c r="N4105" s="131"/>
    </row>
    <row r="4106" spans="1:14" hidden="1">
      <c r="A4106" s="100" t="s">
        <v>862</v>
      </c>
      <c r="B4106" s="101" t="s">
        <v>7720</v>
      </c>
      <c r="C4106" s="115" t="s">
        <v>7721</v>
      </c>
      <c r="D4106" s="38"/>
      <c r="E4106" s="42">
        <v>1</v>
      </c>
      <c r="F4106" s="9"/>
      <c r="G4106" s="8">
        <f t="shared" si="136"/>
        <v>96.520200000000003</v>
      </c>
      <c r="H4106" s="188">
        <v>91.924000000000007</v>
      </c>
      <c r="I4106" s="19">
        <f t="shared" si="137"/>
        <v>0</v>
      </c>
      <c r="L4106" s="131"/>
      <c r="M4106" s="131"/>
      <c r="N4106" s="131"/>
    </row>
    <row r="4107" spans="1:14" hidden="1">
      <c r="A4107" s="100" t="s">
        <v>862</v>
      </c>
      <c r="B4107" s="101" t="s">
        <v>7722</v>
      </c>
      <c r="C4107" s="115" t="s">
        <v>7723</v>
      </c>
      <c r="D4107" s="38"/>
      <c r="E4107" s="42">
        <v>1</v>
      </c>
      <c r="F4107" s="9"/>
      <c r="G4107" s="8">
        <f t="shared" si="136"/>
        <v>104.99265</v>
      </c>
      <c r="H4107" s="188">
        <v>99.992999999999995</v>
      </c>
      <c r="I4107" s="19">
        <f t="shared" si="137"/>
        <v>0</v>
      </c>
      <c r="L4107" s="131"/>
      <c r="M4107" s="131"/>
      <c r="N4107" s="131"/>
    </row>
    <row r="4108" spans="1:14" hidden="1">
      <c r="A4108" s="100" t="s">
        <v>862</v>
      </c>
      <c r="B4108" s="101" t="s">
        <v>7724</v>
      </c>
      <c r="C4108" s="115" t="s">
        <v>7725</v>
      </c>
      <c r="D4108" s="38"/>
      <c r="E4108" s="42">
        <v>1</v>
      </c>
      <c r="F4108" s="9"/>
      <c r="G4108" s="8">
        <f t="shared" si="136"/>
        <v>115.245375</v>
      </c>
      <c r="H4108" s="188">
        <v>109.75749999999999</v>
      </c>
      <c r="I4108" s="19">
        <f t="shared" si="137"/>
        <v>0</v>
      </c>
      <c r="L4108" s="131"/>
      <c r="M4108" s="131"/>
      <c r="N4108" s="131"/>
    </row>
    <row r="4109" spans="1:14" hidden="1">
      <c r="A4109" s="100" t="s">
        <v>862</v>
      </c>
      <c r="B4109" s="101" t="s">
        <v>7726</v>
      </c>
      <c r="C4109" s="115" t="s">
        <v>7727</v>
      </c>
      <c r="D4109" s="38"/>
      <c r="E4109" s="42">
        <v>1</v>
      </c>
      <c r="F4109" s="9"/>
      <c r="G4109" s="8">
        <f t="shared" si="136"/>
        <v>125.92545</v>
      </c>
      <c r="H4109" s="188">
        <v>119.929</v>
      </c>
      <c r="I4109" s="19">
        <f t="shared" si="137"/>
        <v>0</v>
      </c>
      <c r="L4109" s="131"/>
      <c r="M4109" s="131"/>
      <c r="N4109" s="131"/>
    </row>
    <row r="4110" spans="1:14" hidden="1">
      <c r="A4110" s="100" t="s">
        <v>862</v>
      </c>
      <c r="B4110" s="101" t="s">
        <v>7728</v>
      </c>
      <c r="C4110" s="115" t="s">
        <v>7729</v>
      </c>
      <c r="D4110" s="38"/>
      <c r="E4110" s="42">
        <v>1</v>
      </c>
      <c r="F4110" s="9"/>
      <c r="G4110" s="8">
        <f t="shared" si="136"/>
        <v>72.096149999999994</v>
      </c>
      <c r="H4110" s="188">
        <v>68.662999999999997</v>
      </c>
      <c r="I4110" s="19">
        <f t="shared" si="137"/>
        <v>0</v>
      </c>
      <c r="L4110" s="131"/>
      <c r="M4110" s="131"/>
      <c r="N4110" s="131"/>
    </row>
    <row r="4111" spans="1:14" hidden="1">
      <c r="A4111" s="100" t="s">
        <v>862</v>
      </c>
      <c r="B4111" s="101" t="s">
        <v>7730</v>
      </c>
      <c r="C4111" s="115" t="s">
        <v>7731</v>
      </c>
      <c r="D4111" s="38"/>
      <c r="E4111" s="42">
        <v>1</v>
      </c>
      <c r="F4111" s="9"/>
      <c r="G4111" s="8">
        <f t="shared" si="136"/>
        <v>78.110025000000007</v>
      </c>
      <c r="H4111" s="188">
        <v>74.390500000000003</v>
      </c>
      <c r="I4111" s="19">
        <f t="shared" si="137"/>
        <v>0</v>
      </c>
      <c r="L4111" s="131"/>
      <c r="M4111" s="131"/>
      <c r="N4111" s="131"/>
    </row>
    <row r="4112" spans="1:14" hidden="1">
      <c r="A4112" s="100" t="s">
        <v>862</v>
      </c>
      <c r="B4112" s="101" t="s">
        <v>7732</v>
      </c>
      <c r="C4112" s="115" t="s">
        <v>7733</v>
      </c>
      <c r="D4112" s="38"/>
      <c r="E4112" s="42">
        <v>1</v>
      </c>
      <c r="F4112" s="9"/>
      <c r="G4112" s="8">
        <f t="shared" si="136"/>
        <v>84.726075000000009</v>
      </c>
      <c r="H4112" s="188">
        <v>80.691500000000005</v>
      </c>
      <c r="I4112" s="19">
        <f t="shared" si="137"/>
        <v>0</v>
      </c>
      <c r="L4112" s="131"/>
      <c r="M4112" s="131"/>
      <c r="N4112" s="131"/>
    </row>
    <row r="4113" spans="1:14" hidden="1">
      <c r="A4113" s="100" t="s">
        <v>862</v>
      </c>
      <c r="B4113" s="101" t="s">
        <v>7734</v>
      </c>
      <c r="C4113" s="115" t="s">
        <v>7735</v>
      </c>
      <c r="D4113" s="38"/>
      <c r="E4113" s="42">
        <v>1</v>
      </c>
      <c r="F4113" s="9"/>
      <c r="G4113" s="8">
        <f t="shared" si="136"/>
        <v>92.018325000000004</v>
      </c>
      <c r="H4113" s="188">
        <v>87.636499999999998</v>
      </c>
      <c r="I4113" s="19">
        <f t="shared" si="137"/>
        <v>0</v>
      </c>
      <c r="L4113" s="131"/>
      <c r="M4113" s="131"/>
      <c r="N4113" s="131"/>
    </row>
    <row r="4114" spans="1:14" hidden="1">
      <c r="A4114" s="100" t="s">
        <v>862</v>
      </c>
      <c r="B4114" s="101" t="s">
        <v>7736</v>
      </c>
      <c r="C4114" s="115" t="s">
        <v>7737</v>
      </c>
      <c r="D4114" s="38"/>
      <c r="E4114" s="42">
        <v>1</v>
      </c>
      <c r="F4114" s="9"/>
      <c r="G4114" s="8">
        <f t="shared" si="136"/>
        <v>96.303375000000003</v>
      </c>
      <c r="H4114" s="188">
        <v>91.717500000000001</v>
      </c>
      <c r="I4114" s="19">
        <f t="shared" si="137"/>
        <v>0</v>
      </c>
      <c r="L4114" s="131"/>
      <c r="M4114" s="131"/>
      <c r="N4114" s="131"/>
    </row>
    <row r="4115" spans="1:14" hidden="1">
      <c r="A4115" s="100" t="s">
        <v>862</v>
      </c>
      <c r="B4115" s="101" t="s">
        <v>7738</v>
      </c>
      <c r="C4115" s="115" t="s">
        <v>7739</v>
      </c>
      <c r="D4115" s="38"/>
      <c r="E4115" s="42">
        <v>1</v>
      </c>
      <c r="F4115" s="9"/>
      <c r="G4115" s="8">
        <f t="shared" si="136"/>
        <v>99.986774999999994</v>
      </c>
      <c r="H4115" s="188">
        <v>95.225499999999997</v>
      </c>
      <c r="I4115" s="19">
        <f t="shared" si="137"/>
        <v>0</v>
      </c>
      <c r="L4115" s="131"/>
      <c r="M4115" s="131"/>
      <c r="N4115" s="131"/>
    </row>
    <row r="4116" spans="1:14" hidden="1">
      <c r="A4116" s="100" t="s">
        <v>862</v>
      </c>
      <c r="B4116" s="101" t="s">
        <v>7740</v>
      </c>
      <c r="C4116" s="115" t="s">
        <v>7741</v>
      </c>
      <c r="D4116" s="38"/>
      <c r="E4116" s="42">
        <v>1</v>
      </c>
      <c r="F4116" s="9"/>
      <c r="G4116" s="8">
        <f t="shared" si="136"/>
        <v>104.873475</v>
      </c>
      <c r="H4116" s="188">
        <v>99.879499999999993</v>
      </c>
      <c r="I4116" s="19">
        <f t="shared" si="137"/>
        <v>0</v>
      </c>
      <c r="L4116" s="131"/>
      <c r="M4116" s="131"/>
      <c r="N4116" s="131"/>
    </row>
    <row r="4117" spans="1:14" hidden="1">
      <c r="A4117" s="100" t="s">
        <v>862</v>
      </c>
      <c r="B4117" s="101" t="s">
        <v>7742</v>
      </c>
      <c r="C4117" s="115" t="s">
        <v>7743</v>
      </c>
      <c r="D4117" s="38"/>
      <c r="E4117" s="42">
        <v>1</v>
      </c>
      <c r="F4117" s="9"/>
      <c r="G4117" s="8">
        <f t="shared" si="136"/>
        <v>108.70755000000001</v>
      </c>
      <c r="H4117" s="188">
        <v>103.53100000000001</v>
      </c>
      <c r="I4117" s="19">
        <f t="shared" si="137"/>
        <v>0</v>
      </c>
      <c r="L4117" s="131"/>
      <c r="M4117" s="131"/>
      <c r="N4117" s="131"/>
    </row>
    <row r="4118" spans="1:14" hidden="1">
      <c r="A4118" s="100" t="s">
        <v>862</v>
      </c>
      <c r="B4118" s="101" t="s">
        <v>7744</v>
      </c>
      <c r="C4118" s="115" t="s">
        <v>7745</v>
      </c>
      <c r="D4118" s="38"/>
      <c r="E4118" s="42">
        <v>1</v>
      </c>
      <c r="F4118" s="9"/>
      <c r="G4118" s="8">
        <f t="shared" si="136"/>
        <v>118.2552</v>
      </c>
      <c r="H4118" s="188">
        <v>112.624</v>
      </c>
      <c r="I4118" s="19">
        <f t="shared" si="137"/>
        <v>0</v>
      </c>
      <c r="L4118" s="131"/>
      <c r="M4118" s="131"/>
      <c r="N4118" s="131"/>
    </row>
    <row r="4119" spans="1:14" hidden="1">
      <c r="A4119" s="100" t="s">
        <v>862</v>
      </c>
      <c r="B4119" s="101" t="s">
        <v>7746</v>
      </c>
      <c r="C4119" s="115" t="s">
        <v>7747</v>
      </c>
      <c r="D4119" s="38"/>
      <c r="E4119" s="42">
        <v>1</v>
      </c>
      <c r="F4119" s="9"/>
      <c r="G4119" s="8">
        <f t="shared" si="136"/>
        <v>128.93054999999998</v>
      </c>
      <c r="H4119" s="188">
        <v>122.791</v>
      </c>
      <c r="I4119" s="19">
        <f t="shared" si="137"/>
        <v>0</v>
      </c>
      <c r="L4119" s="131"/>
      <c r="M4119" s="131"/>
      <c r="N4119" s="131"/>
    </row>
    <row r="4120" spans="1:14" hidden="1">
      <c r="A4120" s="100" t="s">
        <v>862</v>
      </c>
      <c r="B4120" s="101" t="s">
        <v>7748</v>
      </c>
      <c r="C4120" s="115" t="s">
        <v>7749</v>
      </c>
      <c r="D4120" s="38"/>
      <c r="E4120" s="42">
        <v>1</v>
      </c>
      <c r="F4120" s="9"/>
      <c r="G4120" s="8">
        <f t="shared" si="136"/>
        <v>132.68955</v>
      </c>
      <c r="H4120" s="188">
        <v>126.371</v>
      </c>
      <c r="I4120" s="19">
        <f t="shared" si="137"/>
        <v>0</v>
      </c>
      <c r="L4120" s="131"/>
      <c r="M4120" s="131"/>
      <c r="N4120" s="131"/>
    </row>
    <row r="4121" spans="1:14" hidden="1">
      <c r="A4121" s="100" t="s">
        <v>862</v>
      </c>
      <c r="B4121" s="101" t="s">
        <v>7750</v>
      </c>
      <c r="C4121" s="115" t="s">
        <v>7751</v>
      </c>
      <c r="D4121" s="38"/>
      <c r="E4121" s="42">
        <v>1</v>
      </c>
      <c r="F4121" s="9"/>
      <c r="G4121" s="8">
        <f t="shared" si="136"/>
        <v>72.096149999999994</v>
      </c>
      <c r="H4121" s="188">
        <v>68.662999999999997</v>
      </c>
      <c r="I4121" s="19">
        <f t="shared" si="137"/>
        <v>0</v>
      </c>
      <c r="L4121" s="131"/>
      <c r="M4121" s="131"/>
      <c r="N4121" s="131"/>
    </row>
    <row r="4122" spans="1:14" hidden="1">
      <c r="A4122" s="100" t="s">
        <v>862</v>
      </c>
      <c r="B4122" s="101" t="s">
        <v>7752</v>
      </c>
      <c r="C4122" s="115" t="s">
        <v>7753</v>
      </c>
      <c r="D4122" s="38"/>
      <c r="E4122" s="42">
        <v>1</v>
      </c>
      <c r="F4122" s="9"/>
      <c r="G4122" s="8">
        <f t="shared" si="136"/>
        <v>78.110025000000007</v>
      </c>
      <c r="H4122" s="188">
        <v>74.390500000000003</v>
      </c>
      <c r="I4122" s="19">
        <f t="shared" si="137"/>
        <v>0</v>
      </c>
      <c r="L4122" s="131"/>
      <c r="M4122" s="131"/>
      <c r="N4122" s="131"/>
    </row>
    <row r="4123" spans="1:14" hidden="1">
      <c r="A4123" s="100" t="s">
        <v>862</v>
      </c>
      <c r="B4123" s="101" t="s">
        <v>7754</v>
      </c>
      <c r="C4123" s="115" t="s">
        <v>7755</v>
      </c>
      <c r="D4123" s="38"/>
      <c r="E4123" s="42">
        <v>1</v>
      </c>
      <c r="F4123" s="9"/>
      <c r="G4123" s="8">
        <f t="shared" si="136"/>
        <v>84.726075000000009</v>
      </c>
      <c r="H4123" s="188">
        <v>80.691500000000005</v>
      </c>
      <c r="I4123" s="19">
        <f t="shared" si="137"/>
        <v>0</v>
      </c>
      <c r="L4123" s="131"/>
      <c r="M4123" s="131"/>
      <c r="N4123" s="131"/>
    </row>
    <row r="4124" spans="1:14" hidden="1">
      <c r="A4124" s="100" t="s">
        <v>862</v>
      </c>
      <c r="B4124" s="101" t="s">
        <v>7756</v>
      </c>
      <c r="C4124" s="115" t="s">
        <v>7757</v>
      </c>
      <c r="D4124" s="38"/>
      <c r="E4124" s="42">
        <v>1</v>
      </c>
      <c r="F4124" s="9"/>
      <c r="G4124" s="8">
        <f t="shared" si="136"/>
        <v>92.018325000000004</v>
      </c>
      <c r="H4124" s="188">
        <v>87.636499999999998</v>
      </c>
      <c r="I4124" s="19">
        <f t="shared" si="137"/>
        <v>0</v>
      </c>
      <c r="L4124" s="131"/>
      <c r="M4124" s="131"/>
      <c r="N4124" s="131"/>
    </row>
    <row r="4125" spans="1:14" hidden="1">
      <c r="A4125" s="100" t="s">
        <v>862</v>
      </c>
      <c r="B4125" s="101" t="s">
        <v>7758</v>
      </c>
      <c r="C4125" s="115" t="s">
        <v>7759</v>
      </c>
      <c r="D4125" s="38"/>
      <c r="E4125" s="42">
        <v>1</v>
      </c>
      <c r="F4125" s="9"/>
      <c r="G4125" s="8">
        <f t="shared" si="136"/>
        <v>94.423874999999995</v>
      </c>
      <c r="H4125" s="188">
        <v>89.927499999999995</v>
      </c>
      <c r="I4125" s="19">
        <f t="shared" si="137"/>
        <v>0</v>
      </c>
      <c r="L4125" s="131"/>
      <c r="M4125" s="131"/>
      <c r="N4125" s="131"/>
    </row>
    <row r="4126" spans="1:14" hidden="1">
      <c r="A4126" s="100" t="s">
        <v>862</v>
      </c>
      <c r="B4126" s="101" t="s">
        <v>7760</v>
      </c>
      <c r="C4126" s="115" t="s">
        <v>7761</v>
      </c>
      <c r="D4126" s="38"/>
      <c r="E4126" s="42">
        <v>1</v>
      </c>
      <c r="F4126" s="9"/>
      <c r="G4126" s="8">
        <f t="shared" si="136"/>
        <v>99.986774999999994</v>
      </c>
      <c r="H4126" s="188">
        <v>95.225499999999997</v>
      </c>
      <c r="I4126" s="19">
        <f t="shared" si="137"/>
        <v>0</v>
      </c>
      <c r="L4126" s="131"/>
      <c r="M4126" s="131"/>
      <c r="N4126" s="131"/>
    </row>
    <row r="4127" spans="1:14" hidden="1">
      <c r="A4127" s="100" t="s">
        <v>862</v>
      </c>
      <c r="B4127" s="101" t="s">
        <v>7762</v>
      </c>
      <c r="C4127" s="115" t="s">
        <v>7763</v>
      </c>
      <c r="D4127" s="38"/>
      <c r="E4127" s="42">
        <v>1</v>
      </c>
      <c r="F4127" s="9"/>
      <c r="G4127" s="8">
        <f t="shared" si="136"/>
        <v>103.36987500000001</v>
      </c>
      <c r="H4127" s="188">
        <v>98.447500000000005</v>
      </c>
      <c r="I4127" s="19">
        <f t="shared" si="137"/>
        <v>0</v>
      </c>
      <c r="L4127" s="131"/>
      <c r="M4127" s="131"/>
      <c r="N4127" s="131"/>
    </row>
    <row r="4128" spans="1:14" hidden="1">
      <c r="A4128" s="100" t="s">
        <v>862</v>
      </c>
      <c r="B4128" s="101" t="s">
        <v>7764</v>
      </c>
      <c r="C4128" s="115" t="s">
        <v>7765</v>
      </c>
      <c r="D4128" s="38"/>
      <c r="E4128" s="42">
        <v>1</v>
      </c>
      <c r="F4128" s="9"/>
      <c r="G4128" s="8">
        <f t="shared" si="136"/>
        <v>108.70755000000001</v>
      </c>
      <c r="H4128" s="188">
        <v>103.53100000000001</v>
      </c>
      <c r="I4128" s="19">
        <f t="shared" si="137"/>
        <v>0</v>
      </c>
      <c r="L4128" s="131"/>
      <c r="M4128" s="131"/>
      <c r="N4128" s="131"/>
    </row>
    <row r="4129" spans="1:14" hidden="1">
      <c r="A4129" s="100" t="s">
        <v>862</v>
      </c>
      <c r="B4129" s="101" t="s">
        <v>7766</v>
      </c>
      <c r="C4129" s="115" t="s">
        <v>7767</v>
      </c>
      <c r="D4129" s="38"/>
      <c r="E4129" s="42">
        <v>1</v>
      </c>
      <c r="F4129" s="9"/>
      <c r="G4129" s="8">
        <f t="shared" si="136"/>
        <v>118.2552</v>
      </c>
      <c r="H4129" s="188">
        <v>112.624</v>
      </c>
      <c r="I4129" s="19">
        <f t="shared" si="137"/>
        <v>0</v>
      </c>
      <c r="L4129" s="131"/>
      <c r="M4129" s="131"/>
      <c r="N4129" s="131"/>
    </row>
    <row r="4130" spans="1:14" hidden="1">
      <c r="A4130" s="100" t="s">
        <v>862</v>
      </c>
      <c r="B4130" s="101" t="s">
        <v>7768</v>
      </c>
      <c r="C4130" s="115" t="s">
        <v>7767</v>
      </c>
      <c r="D4130" s="38"/>
      <c r="E4130" s="42">
        <v>1</v>
      </c>
      <c r="F4130" s="9"/>
      <c r="G4130" s="8">
        <f t="shared" si="136"/>
        <v>128.93054999999998</v>
      </c>
      <c r="H4130" s="188">
        <v>122.791</v>
      </c>
      <c r="I4130" s="19">
        <f t="shared" si="137"/>
        <v>0</v>
      </c>
      <c r="L4130" s="131"/>
      <c r="M4130" s="131"/>
      <c r="N4130" s="131"/>
    </row>
    <row r="4131" spans="1:14" hidden="1">
      <c r="A4131" s="100" t="s">
        <v>862</v>
      </c>
      <c r="B4131" s="101" t="s">
        <v>7769</v>
      </c>
      <c r="C4131" s="115" t="s">
        <v>7770</v>
      </c>
      <c r="D4131" s="38"/>
      <c r="E4131" s="42">
        <v>1</v>
      </c>
      <c r="F4131" s="9"/>
      <c r="G4131" s="8">
        <f t="shared" si="136"/>
        <v>132.68955</v>
      </c>
      <c r="H4131" s="188">
        <v>126.371</v>
      </c>
      <c r="I4131" s="19">
        <f t="shared" si="137"/>
        <v>0</v>
      </c>
      <c r="L4131" s="131"/>
      <c r="M4131" s="131"/>
      <c r="N4131" s="131"/>
    </row>
    <row r="4132" spans="1:14" hidden="1">
      <c r="A4132" s="100" t="s">
        <v>862</v>
      </c>
      <c r="B4132" s="101" t="s">
        <v>7771</v>
      </c>
      <c r="C4132" s="115" t="s">
        <v>7772</v>
      </c>
      <c r="D4132" s="38"/>
      <c r="E4132" s="42">
        <v>1</v>
      </c>
      <c r="F4132" s="9"/>
      <c r="G4132" s="8">
        <f t="shared" si="136"/>
        <v>96.0351</v>
      </c>
      <c r="H4132" s="188">
        <v>91.462000000000003</v>
      </c>
      <c r="I4132" s="19">
        <f t="shared" si="137"/>
        <v>0</v>
      </c>
      <c r="L4132" s="131"/>
      <c r="M4132" s="131"/>
      <c r="N4132" s="131"/>
    </row>
    <row r="4133" spans="1:14" hidden="1">
      <c r="A4133" s="100" t="s">
        <v>862</v>
      </c>
      <c r="B4133" s="101" t="s">
        <v>7773</v>
      </c>
      <c r="C4133" s="115" t="s">
        <v>7774</v>
      </c>
      <c r="D4133" s="38"/>
      <c r="E4133" s="42">
        <v>1</v>
      </c>
      <c r="F4133" s="9"/>
      <c r="G4133" s="8">
        <f t="shared" ref="G4133:G4164" si="138">H4133+(H4133*5%)</f>
        <v>104.291775</v>
      </c>
      <c r="H4133" s="188">
        <v>99.325500000000005</v>
      </c>
      <c r="I4133" s="19">
        <f t="shared" si="137"/>
        <v>0</v>
      </c>
      <c r="L4133" s="131"/>
      <c r="M4133" s="131"/>
      <c r="N4133" s="131"/>
    </row>
    <row r="4134" spans="1:14" hidden="1">
      <c r="A4134" s="100" t="s">
        <v>862</v>
      </c>
      <c r="B4134" s="101" t="s">
        <v>7775</v>
      </c>
      <c r="C4134" s="115" t="s">
        <v>7776</v>
      </c>
      <c r="D4134" s="38"/>
      <c r="E4134" s="42">
        <v>1</v>
      </c>
      <c r="F4134" s="9"/>
      <c r="G4134" s="8">
        <f t="shared" si="138"/>
        <v>113.35799999999999</v>
      </c>
      <c r="H4134" s="188">
        <v>107.96</v>
      </c>
      <c r="I4134" s="19">
        <f t="shared" si="137"/>
        <v>0</v>
      </c>
      <c r="L4134" s="131"/>
      <c r="M4134" s="131"/>
      <c r="N4134" s="131"/>
    </row>
    <row r="4135" spans="1:14" hidden="1">
      <c r="A4135" s="100" t="s">
        <v>862</v>
      </c>
      <c r="B4135" s="101" t="s">
        <v>7777</v>
      </c>
      <c r="C4135" s="115" t="s">
        <v>7778</v>
      </c>
      <c r="D4135" s="38"/>
      <c r="E4135" s="42">
        <v>1</v>
      </c>
      <c r="F4135" s="9"/>
      <c r="G4135" s="8">
        <f t="shared" si="138"/>
        <v>117.56744999999999</v>
      </c>
      <c r="H4135" s="188">
        <v>111.96899999999999</v>
      </c>
      <c r="I4135" s="19">
        <f t="shared" si="137"/>
        <v>0</v>
      </c>
      <c r="L4135" s="131"/>
      <c r="M4135" s="131"/>
      <c r="N4135" s="131"/>
    </row>
    <row r="4136" spans="1:14" hidden="1">
      <c r="A4136" s="100" t="s">
        <v>862</v>
      </c>
      <c r="B4136" s="101" t="s">
        <v>7779</v>
      </c>
      <c r="C4136" s="115" t="s">
        <v>7780</v>
      </c>
      <c r="D4136" s="38"/>
      <c r="E4136" s="42">
        <v>1</v>
      </c>
      <c r="F4136" s="9"/>
      <c r="G4136" s="8">
        <f t="shared" si="138"/>
        <v>123.31515</v>
      </c>
      <c r="H4136" s="188">
        <v>117.443</v>
      </c>
      <c r="I4136" s="19">
        <f t="shared" ref="I4136:I4164" si="139">G4136*F4136</f>
        <v>0</v>
      </c>
      <c r="L4136" s="131"/>
      <c r="M4136" s="131"/>
      <c r="N4136" s="131"/>
    </row>
    <row r="4137" spans="1:14" hidden="1">
      <c r="A4137" s="100" t="s">
        <v>862</v>
      </c>
      <c r="B4137" s="101" t="s">
        <v>7781</v>
      </c>
      <c r="C4137" s="115" t="s">
        <v>7782</v>
      </c>
      <c r="D4137" s="38"/>
      <c r="E4137" s="42">
        <v>1</v>
      </c>
      <c r="F4137" s="9"/>
      <c r="G4137" s="8">
        <f t="shared" si="138"/>
        <v>134.24302499999999</v>
      </c>
      <c r="H4137" s="188">
        <v>127.8505</v>
      </c>
      <c r="I4137" s="19">
        <f t="shared" si="139"/>
        <v>0</v>
      </c>
      <c r="L4137" s="131"/>
      <c r="M4137" s="131"/>
      <c r="N4137" s="131"/>
    </row>
    <row r="4138" spans="1:14" hidden="1">
      <c r="A4138" s="100" t="s">
        <v>862</v>
      </c>
      <c r="B4138" s="101" t="s">
        <v>7783</v>
      </c>
      <c r="C4138" s="115" t="s">
        <v>7784</v>
      </c>
      <c r="D4138" s="38"/>
      <c r="E4138" s="42">
        <v>1</v>
      </c>
      <c r="F4138" s="9"/>
      <c r="G4138" s="8">
        <f t="shared" si="138"/>
        <v>142.49969999999999</v>
      </c>
      <c r="H4138" s="188">
        <v>135.714</v>
      </c>
      <c r="I4138" s="19">
        <f t="shared" si="139"/>
        <v>0</v>
      </c>
      <c r="L4138" s="131"/>
      <c r="M4138" s="131"/>
      <c r="N4138" s="131"/>
    </row>
    <row r="4139" spans="1:14" hidden="1">
      <c r="A4139" s="100" t="s">
        <v>862</v>
      </c>
      <c r="B4139" s="101" t="s">
        <v>7785</v>
      </c>
      <c r="C4139" s="115" t="s">
        <v>7786</v>
      </c>
      <c r="D4139" s="38"/>
      <c r="E4139" s="42">
        <v>1</v>
      </c>
      <c r="F4139" s="9"/>
      <c r="G4139" s="8">
        <f t="shared" si="138"/>
        <v>96.0351</v>
      </c>
      <c r="H4139" s="188">
        <v>91.462000000000003</v>
      </c>
      <c r="I4139" s="19">
        <f t="shared" si="139"/>
        <v>0</v>
      </c>
      <c r="L4139" s="131"/>
      <c r="M4139" s="131"/>
      <c r="N4139" s="131"/>
    </row>
    <row r="4140" spans="1:14" hidden="1">
      <c r="A4140" s="100" t="s">
        <v>862</v>
      </c>
      <c r="B4140" s="101" t="s">
        <v>7787</v>
      </c>
      <c r="C4140" s="115" t="s">
        <v>7788</v>
      </c>
      <c r="D4140" s="38"/>
      <c r="E4140" s="42">
        <v>1</v>
      </c>
      <c r="F4140" s="9"/>
      <c r="G4140" s="8">
        <f t="shared" si="138"/>
        <v>104.291775</v>
      </c>
      <c r="H4140" s="188">
        <v>99.325500000000005</v>
      </c>
      <c r="I4140" s="19">
        <f t="shared" si="139"/>
        <v>0</v>
      </c>
      <c r="L4140" s="131"/>
      <c r="M4140" s="131"/>
      <c r="N4140" s="131"/>
    </row>
    <row r="4141" spans="1:14" hidden="1">
      <c r="A4141" s="100" t="s">
        <v>862</v>
      </c>
      <c r="B4141" s="101" t="s">
        <v>7789</v>
      </c>
      <c r="C4141" s="115" t="s">
        <v>7790</v>
      </c>
      <c r="D4141" s="38"/>
      <c r="E4141" s="42">
        <v>1</v>
      </c>
      <c r="F4141" s="9"/>
      <c r="G4141" s="8">
        <f t="shared" si="138"/>
        <v>113.35799999999999</v>
      </c>
      <c r="H4141" s="188">
        <v>107.96</v>
      </c>
      <c r="I4141" s="19">
        <f t="shared" si="139"/>
        <v>0</v>
      </c>
      <c r="L4141" s="131"/>
      <c r="M4141" s="131"/>
      <c r="N4141" s="131"/>
    </row>
    <row r="4142" spans="1:14" hidden="1">
      <c r="A4142" s="100" t="s">
        <v>862</v>
      </c>
      <c r="B4142" s="101" t="s">
        <v>7791</v>
      </c>
      <c r="C4142" s="115" t="s">
        <v>7792</v>
      </c>
      <c r="D4142" s="38"/>
      <c r="E4142" s="42">
        <v>1</v>
      </c>
      <c r="F4142" s="9"/>
      <c r="G4142" s="8">
        <f t="shared" si="138"/>
        <v>116.92012500000001</v>
      </c>
      <c r="H4142" s="188">
        <v>111.35250000000001</v>
      </c>
      <c r="I4142" s="19">
        <f t="shared" si="139"/>
        <v>0</v>
      </c>
      <c r="L4142" s="131"/>
      <c r="M4142" s="131"/>
      <c r="N4142" s="131"/>
    </row>
    <row r="4143" spans="1:14" hidden="1">
      <c r="A4143" s="100" t="s">
        <v>862</v>
      </c>
      <c r="B4143" s="101" t="s">
        <v>7793</v>
      </c>
      <c r="C4143" s="115" t="s">
        <v>7794</v>
      </c>
      <c r="D4143" s="38"/>
      <c r="E4143" s="42">
        <v>1</v>
      </c>
      <c r="F4143" s="9"/>
      <c r="G4143" s="8">
        <f t="shared" si="138"/>
        <v>123.31515</v>
      </c>
      <c r="H4143" s="188">
        <v>117.443</v>
      </c>
      <c r="I4143" s="19">
        <f t="shared" si="139"/>
        <v>0</v>
      </c>
      <c r="L4143" s="131"/>
      <c r="M4143" s="131"/>
      <c r="N4143" s="131"/>
    </row>
    <row r="4144" spans="1:14" hidden="1">
      <c r="A4144" s="100" t="s">
        <v>862</v>
      </c>
      <c r="B4144" s="101" t="s">
        <v>7795</v>
      </c>
      <c r="C4144" s="115" t="s">
        <v>7796</v>
      </c>
      <c r="D4144" s="38"/>
      <c r="E4144" s="42">
        <v>1</v>
      </c>
      <c r="F4144" s="9"/>
      <c r="G4144" s="8">
        <f t="shared" si="138"/>
        <v>134.24302499999999</v>
      </c>
      <c r="H4144" s="188">
        <v>127.8505</v>
      </c>
      <c r="I4144" s="19">
        <f t="shared" si="139"/>
        <v>0</v>
      </c>
      <c r="L4144" s="131"/>
      <c r="M4144" s="131"/>
      <c r="N4144" s="131"/>
    </row>
    <row r="4145" spans="1:15" hidden="1">
      <c r="A4145" s="100" t="s">
        <v>862</v>
      </c>
      <c r="B4145" s="101" t="s">
        <v>7797</v>
      </c>
      <c r="C4145" s="115" t="s">
        <v>7798</v>
      </c>
      <c r="D4145" s="38"/>
      <c r="E4145" s="42">
        <v>1</v>
      </c>
      <c r="F4145" s="9"/>
      <c r="G4145" s="8">
        <f t="shared" si="138"/>
        <v>142.49969999999999</v>
      </c>
      <c r="H4145" s="188">
        <v>135.714</v>
      </c>
      <c r="I4145" s="19">
        <f t="shared" si="139"/>
        <v>0</v>
      </c>
      <c r="L4145" s="131"/>
      <c r="M4145" s="131"/>
      <c r="N4145" s="131"/>
    </row>
    <row r="4146" spans="1:15" hidden="1">
      <c r="A4146" s="100" t="s">
        <v>862</v>
      </c>
      <c r="B4146" s="101" t="s">
        <v>7799</v>
      </c>
      <c r="C4146" s="115" t="s">
        <v>7800</v>
      </c>
      <c r="D4146" s="38"/>
      <c r="E4146" s="42">
        <v>1</v>
      </c>
      <c r="F4146" s="9"/>
      <c r="G4146" s="8">
        <f t="shared" si="138"/>
        <v>111.216525</v>
      </c>
      <c r="H4146" s="188">
        <v>105.9205</v>
      </c>
      <c r="I4146" s="19">
        <f t="shared" si="139"/>
        <v>0</v>
      </c>
      <c r="L4146" s="131"/>
      <c r="M4146" s="131"/>
      <c r="N4146" s="131"/>
    </row>
    <row r="4147" spans="1:15" hidden="1">
      <c r="A4147" s="100" t="s">
        <v>862</v>
      </c>
      <c r="B4147" s="101" t="s">
        <v>7801</v>
      </c>
      <c r="C4147" s="115" t="s">
        <v>7802</v>
      </c>
      <c r="D4147" s="38"/>
      <c r="E4147" s="42">
        <v>1</v>
      </c>
      <c r="F4147" s="9"/>
      <c r="G4147" s="8">
        <f t="shared" si="138"/>
        <v>124.401375</v>
      </c>
      <c r="H4147" s="188">
        <v>118.47750000000001</v>
      </c>
      <c r="I4147" s="19">
        <f t="shared" si="139"/>
        <v>0</v>
      </c>
      <c r="L4147" s="131"/>
      <c r="M4147" s="131"/>
      <c r="N4147" s="131"/>
    </row>
    <row r="4148" spans="1:15" hidden="1">
      <c r="A4148" s="100" t="s">
        <v>862</v>
      </c>
      <c r="B4148" s="101" t="s">
        <v>7803</v>
      </c>
      <c r="C4148" s="115" t="s">
        <v>7804</v>
      </c>
      <c r="D4148" s="38"/>
      <c r="E4148" s="42">
        <v>1</v>
      </c>
      <c r="F4148" s="9"/>
      <c r="G4148" s="8">
        <f t="shared" si="138"/>
        <v>135.37492500000002</v>
      </c>
      <c r="H4148" s="188">
        <v>128.92850000000001</v>
      </c>
      <c r="I4148" s="19">
        <f t="shared" si="139"/>
        <v>0</v>
      </c>
      <c r="L4148" s="131"/>
      <c r="M4148" s="131"/>
      <c r="N4148" s="131"/>
    </row>
    <row r="4149" spans="1:15" hidden="1">
      <c r="A4149" s="100" t="s">
        <v>862</v>
      </c>
      <c r="B4149" s="101" t="s">
        <v>7805</v>
      </c>
      <c r="C4149" s="115" t="s">
        <v>7806</v>
      </c>
      <c r="D4149" s="38"/>
      <c r="E4149" s="42">
        <v>1</v>
      </c>
      <c r="F4149" s="9"/>
      <c r="G4149" s="8">
        <f t="shared" si="138"/>
        <v>149.49532499999998</v>
      </c>
      <c r="H4149" s="188">
        <v>142.37649999999999</v>
      </c>
      <c r="I4149" s="19">
        <f t="shared" si="139"/>
        <v>0</v>
      </c>
      <c r="L4149" s="131"/>
      <c r="M4149" s="131"/>
      <c r="N4149" s="131"/>
    </row>
    <row r="4150" spans="1:15" hidden="1">
      <c r="A4150" s="100" t="s">
        <v>862</v>
      </c>
      <c r="B4150" s="101" t="s">
        <v>7807</v>
      </c>
      <c r="C4150" s="115" t="s">
        <v>7808</v>
      </c>
      <c r="D4150" s="38"/>
      <c r="E4150" s="42">
        <v>1</v>
      </c>
      <c r="F4150" s="9"/>
      <c r="G4150" s="8">
        <f t="shared" si="138"/>
        <v>111.216525</v>
      </c>
      <c r="H4150" s="188">
        <v>105.9205</v>
      </c>
      <c r="I4150" s="19">
        <f t="shared" si="139"/>
        <v>0</v>
      </c>
      <c r="L4150" s="131"/>
      <c r="M4150" s="131"/>
      <c r="N4150" s="131"/>
      <c r="O4150" s="131"/>
    </row>
    <row r="4151" spans="1:15" hidden="1">
      <c r="A4151" s="100" t="s">
        <v>862</v>
      </c>
      <c r="B4151" s="101" t="s">
        <v>7809</v>
      </c>
      <c r="C4151" s="115" t="s">
        <v>7810</v>
      </c>
      <c r="D4151" s="38"/>
      <c r="E4151" s="42">
        <v>1</v>
      </c>
      <c r="F4151" s="9"/>
      <c r="G4151" s="8">
        <f t="shared" si="138"/>
        <v>124.401375</v>
      </c>
      <c r="H4151" s="188">
        <v>118.47750000000001</v>
      </c>
      <c r="I4151" s="19">
        <f t="shared" si="139"/>
        <v>0</v>
      </c>
      <c r="L4151" s="131"/>
      <c r="M4151" s="131"/>
      <c r="N4151" s="131"/>
    </row>
    <row r="4152" spans="1:15" hidden="1">
      <c r="A4152" s="100" t="s">
        <v>862</v>
      </c>
      <c r="B4152" s="101" t="s">
        <v>7811</v>
      </c>
      <c r="C4152" s="115" t="s">
        <v>7812</v>
      </c>
      <c r="D4152" s="38"/>
      <c r="E4152" s="42">
        <v>1</v>
      </c>
      <c r="F4152" s="9"/>
      <c r="G4152" s="8">
        <f t="shared" si="138"/>
        <v>135.37492500000002</v>
      </c>
      <c r="H4152" s="188">
        <v>128.92850000000001</v>
      </c>
      <c r="I4152" s="19">
        <f t="shared" si="139"/>
        <v>0</v>
      </c>
      <c r="L4152" s="131"/>
      <c r="M4152" s="131"/>
      <c r="N4152" s="131"/>
    </row>
    <row r="4153" spans="1:15" hidden="1">
      <c r="A4153" s="100" t="s">
        <v>862</v>
      </c>
      <c r="B4153" s="101" t="s">
        <v>7813</v>
      </c>
      <c r="C4153" s="115" t="s">
        <v>7814</v>
      </c>
      <c r="D4153" s="38"/>
      <c r="E4153" s="42">
        <v>1</v>
      </c>
      <c r="F4153" s="9"/>
      <c r="G4153" s="8">
        <f t="shared" si="138"/>
        <v>149.49532499999998</v>
      </c>
      <c r="H4153" s="188">
        <v>142.37649999999999</v>
      </c>
      <c r="I4153" s="19">
        <f t="shared" si="139"/>
        <v>0</v>
      </c>
      <c r="L4153" s="131"/>
      <c r="M4153" s="131"/>
      <c r="N4153" s="131"/>
    </row>
    <row r="4154" spans="1:15" hidden="1">
      <c r="A4154" s="100" t="s">
        <v>862</v>
      </c>
      <c r="B4154" s="101" t="s">
        <v>7815</v>
      </c>
      <c r="C4154" s="115" t="s">
        <v>7816</v>
      </c>
      <c r="D4154" s="38"/>
      <c r="E4154" s="42">
        <v>1</v>
      </c>
      <c r="F4154" s="9"/>
      <c r="G4154" s="8">
        <f t="shared" si="138"/>
        <v>131.73247499999999</v>
      </c>
      <c r="H4154" s="188">
        <v>125.45950000000001</v>
      </c>
      <c r="I4154" s="19">
        <f t="shared" si="139"/>
        <v>0</v>
      </c>
      <c r="L4154" s="131"/>
      <c r="M4154" s="131"/>
      <c r="N4154" s="131"/>
    </row>
    <row r="4155" spans="1:15" hidden="1">
      <c r="A4155" s="100" t="s">
        <v>862</v>
      </c>
      <c r="B4155" s="101" t="s">
        <v>7817</v>
      </c>
      <c r="C4155" s="115" t="s">
        <v>7818</v>
      </c>
      <c r="D4155" s="38"/>
      <c r="E4155" s="42">
        <v>1</v>
      </c>
      <c r="F4155" s="9"/>
      <c r="G4155" s="8">
        <f t="shared" si="138"/>
        <v>143.41845000000001</v>
      </c>
      <c r="H4155" s="188">
        <v>136.589</v>
      </c>
      <c r="I4155" s="19">
        <f t="shared" si="139"/>
        <v>0</v>
      </c>
      <c r="L4155" s="131"/>
      <c r="M4155" s="131"/>
      <c r="N4155" s="131"/>
    </row>
    <row r="4156" spans="1:15" hidden="1">
      <c r="A4156" s="100" t="s">
        <v>862</v>
      </c>
      <c r="B4156" s="101" t="s">
        <v>7819</v>
      </c>
      <c r="C4156" s="115" t="s">
        <v>7820</v>
      </c>
      <c r="D4156" s="38"/>
      <c r="E4156" s="42">
        <v>1</v>
      </c>
      <c r="F4156" s="9"/>
      <c r="G4156" s="8">
        <f t="shared" si="138"/>
        <v>156.53084999999999</v>
      </c>
      <c r="H4156" s="188">
        <v>149.077</v>
      </c>
      <c r="I4156" s="19">
        <f t="shared" si="139"/>
        <v>0</v>
      </c>
      <c r="L4156" s="131"/>
      <c r="M4156" s="131"/>
      <c r="N4156" s="131"/>
    </row>
    <row r="4157" spans="1:15" hidden="1">
      <c r="A4157" s="100" t="s">
        <v>862</v>
      </c>
      <c r="B4157" s="101" t="s">
        <v>7821</v>
      </c>
      <c r="C4157" s="115" t="s">
        <v>7822</v>
      </c>
      <c r="D4157" s="38"/>
      <c r="E4157" s="42">
        <v>1</v>
      </c>
      <c r="F4157" s="9"/>
      <c r="G4157" s="8">
        <f t="shared" si="138"/>
        <v>131.73247499999999</v>
      </c>
      <c r="H4157" s="188">
        <v>125.45950000000001</v>
      </c>
      <c r="I4157" s="19">
        <f t="shared" si="139"/>
        <v>0</v>
      </c>
      <c r="L4157" s="131"/>
      <c r="M4157" s="131"/>
      <c r="N4157" s="131"/>
    </row>
    <row r="4158" spans="1:15" hidden="1">
      <c r="A4158" s="100" t="s">
        <v>862</v>
      </c>
      <c r="B4158" s="101" t="s">
        <v>7823</v>
      </c>
      <c r="C4158" s="115" t="s">
        <v>7824</v>
      </c>
      <c r="D4158" s="38"/>
      <c r="E4158" s="42">
        <v>1</v>
      </c>
      <c r="F4158" s="9"/>
      <c r="G4158" s="8">
        <f t="shared" si="138"/>
        <v>143.41845000000001</v>
      </c>
      <c r="H4158" s="188">
        <v>136.589</v>
      </c>
      <c r="I4158" s="19">
        <f t="shared" si="139"/>
        <v>0</v>
      </c>
      <c r="L4158" s="131"/>
      <c r="M4158" s="131"/>
      <c r="N4158" s="131"/>
    </row>
    <row r="4159" spans="1:15" hidden="1">
      <c r="A4159" s="100" t="s">
        <v>862</v>
      </c>
      <c r="B4159" s="101" t="s">
        <v>7825</v>
      </c>
      <c r="C4159" s="115" t="s">
        <v>7826</v>
      </c>
      <c r="D4159" s="38"/>
      <c r="E4159" s="42">
        <v>1</v>
      </c>
      <c r="F4159" s="9"/>
      <c r="G4159" s="8">
        <f t="shared" si="138"/>
        <v>156.53084999999999</v>
      </c>
      <c r="H4159" s="188">
        <v>149.077</v>
      </c>
      <c r="I4159" s="19">
        <f t="shared" si="139"/>
        <v>0</v>
      </c>
      <c r="L4159" s="131"/>
      <c r="M4159" s="131"/>
      <c r="N4159" s="131"/>
    </row>
    <row r="4160" spans="1:15" hidden="1">
      <c r="A4160" s="100" t="s">
        <v>862</v>
      </c>
      <c r="B4160" s="101" t="s">
        <v>7827</v>
      </c>
      <c r="C4160" s="115" t="s">
        <v>7828</v>
      </c>
      <c r="D4160" s="38"/>
      <c r="E4160" s="42">
        <v>1</v>
      </c>
      <c r="F4160" s="9"/>
      <c r="G4160" s="8">
        <f t="shared" si="138"/>
        <v>163.60679999999999</v>
      </c>
      <c r="H4160" s="188">
        <v>155.816</v>
      </c>
      <c r="I4160" s="19">
        <f t="shared" si="139"/>
        <v>0</v>
      </c>
      <c r="L4160" s="131"/>
      <c r="M4160" s="131"/>
      <c r="N4160" s="131"/>
    </row>
    <row r="4161" spans="1:14" hidden="1">
      <c r="A4161" s="100" t="s">
        <v>862</v>
      </c>
      <c r="B4161" s="101" t="s">
        <v>7829</v>
      </c>
      <c r="C4161" s="115" t="s">
        <v>7830</v>
      </c>
      <c r="D4161" s="38"/>
      <c r="E4161" s="42">
        <v>1</v>
      </c>
      <c r="F4161" s="9"/>
      <c r="G4161" s="8">
        <f t="shared" si="138"/>
        <v>163.60679999999999</v>
      </c>
      <c r="H4161" s="188">
        <v>155.816</v>
      </c>
      <c r="I4161" s="19">
        <f t="shared" si="139"/>
        <v>0</v>
      </c>
      <c r="L4161" s="131"/>
      <c r="M4161" s="131"/>
      <c r="N4161" s="131"/>
    </row>
    <row r="4162" spans="1:14" hidden="1">
      <c r="A4162" s="100" t="s">
        <v>862</v>
      </c>
      <c r="B4162" s="101" t="s">
        <v>7831</v>
      </c>
      <c r="C4162" s="115" t="s">
        <v>7832</v>
      </c>
      <c r="D4162" s="38"/>
      <c r="E4162" s="42">
        <v>1</v>
      </c>
      <c r="F4162" s="9"/>
      <c r="G4162" s="8">
        <f t="shared" si="138"/>
        <v>11.450249999999999</v>
      </c>
      <c r="H4162" s="188">
        <v>10.904999999999999</v>
      </c>
      <c r="I4162" s="19">
        <f t="shared" si="139"/>
        <v>0</v>
      </c>
      <c r="L4162" s="131"/>
      <c r="M4162" s="131"/>
      <c r="N4162" s="131"/>
    </row>
    <row r="4163" spans="1:14" hidden="1">
      <c r="A4163" s="100" t="s">
        <v>862</v>
      </c>
      <c r="B4163" s="101"/>
      <c r="C4163" s="115" t="s">
        <v>7833</v>
      </c>
      <c r="D4163" s="38"/>
      <c r="E4163" s="42">
        <v>1</v>
      </c>
      <c r="F4163" s="9"/>
      <c r="G4163" s="8">
        <f t="shared" si="138"/>
        <v>21</v>
      </c>
      <c r="H4163" s="188">
        <v>20</v>
      </c>
      <c r="I4163" s="19">
        <f t="shared" si="139"/>
        <v>0</v>
      </c>
      <c r="L4163" s="131"/>
      <c r="M4163" s="131"/>
      <c r="N4163" s="131"/>
    </row>
    <row r="4164" spans="1:14" hidden="1">
      <c r="A4164" s="100" t="s">
        <v>862</v>
      </c>
      <c r="B4164" s="101"/>
      <c r="C4164" s="115" t="s">
        <v>7834</v>
      </c>
      <c r="D4164" s="38"/>
      <c r="E4164" s="42">
        <v>1</v>
      </c>
      <c r="F4164" s="9"/>
      <c r="G4164" s="8">
        <f t="shared" si="138"/>
        <v>13.125</v>
      </c>
      <c r="H4164" s="188">
        <v>12.5</v>
      </c>
      <c r="I4164" s="19">
        <f t="shared" si="139"/>
        <v>0</v>
      </c>
      <c r="L4164" s="131"/>
      <c r="M4164" s="131"/>
      <c r="N4164" s="131"/>
    </row>
    <row r="4165" spans="1:14">
      <c r="A4165" s="100" t="s">
        <v>862</v>
      </c>
      <c r="B4165" s="101"/>
      <c r="C4165" s="115" t="s">
        <v>7835</v>
      </c>
      <c r="D4165" s="38"/>
      <c r="E4165" s="42">
        <v>1</v>
      </c>
      <c r="F4165" s="9">
        <v>3</v>
      </c>
      <c r="G4165" s="8"/>
      <c r="H4165" s="188">
        <v>950</v>
      </c>
      <c r="I4165" s="19">
        <f>H4165*F4165</f>
        <v>2850</v>
      </c>
      <c r="L4165" s="131"/>
      <c r="M4165" s="131"/>
      <c r="N4165" s="131"/>
    </row>
    <row r="4166" spans="1:14" hidden="1">
      <c r="A4166" s="51" t="s">
        <v>7836</v>
      </c>
      <c r="B4166" s="5">
        <v>143048</v>
      </c>
      <c r="C4166" s="38" t="s">
        <v>7837</v>
      </c>
      <c r="D4166" s="38"/>
      <c r="E4166" s="42">
        <v>1</v>
      </c>
      <c r="F4166" s="9"/>
      <c r="G4166" s="8"/>
      <c r="H4166" s="187">
        <v>3.72</v>
      </c>
      <c r="I4166" s="19">
        <f>F4166*H4166</f>
        <v>0</v>
      </c>
      <c r="J4166" s="63"/>
    </row>
    <row r="4167" spans="1:14" ht="15.6">
      <c r="A4167" s="51" t="s">
        <v>7836</v>
      </c>
      <c r="B4167" s="5">
        <v>108533</v>
      </c>
      <c r="C4167" s="38" t="s">
        <v>7838</v>
      </c>
      <c r="D4167" s="38"/>
      <c r="E4167" s="104">
        <v>1</v>
      </c>
      <c r="F4167" s="9">
        <v>18</v>
      </c>
      <c r="G4167" s="8"/>
      <c r="H4167" s="187">
        <v>87.45</v>
      </c>
      <c r="I4167" s="19">
        <f t="shared" ref="I4167:I4911" si="140">F4167*H4167</f>
        <v>1574.1000000000001</v>
      </c>
    </row>
    <row r="4168" spans="1:14" ht="15.6" hidden="1">
      <c r="A4168" s="51" t="s">
        <v>7836</v>
      </c>
      <c r="B4168" s="5">
        <v>142134</v>
      </c>
      <c r="C4168" s="38" t="s">
        <v>7839</v>
      </c>
      <c r="D4168" s="38"/>
      <c r="E4168" s="104">
        <v>1</v>
      </c>
      <c r="F4168" s="9"/>
      <c r="G4168" s="8"/>
      <c r="H4168" s="187">
        <v>36.04</v>
      </c>
      <c r="I4168" s="19">
        <f t="shared" si="140"/>
        <v>0</v>
      </c>
    </row>
    <row r="4169" spans="1:14" ht="15.6" hidden="1">
      <c r="A4169" s="51" t="s">
        <v>7836</v>
      </c>
      <c r="B4169" s="5">
        <v>141150</v>
      </c>
      <c r="C4169" s="38" t="s">
        <v>7840</v>
      </c>
      <c r="D4169" s="38"/>
      <c r="E4169" s="104">
        <v>1</v>
      </c>
      <c r="F4169" s="9"/>
      <c r="G4169" s="8"/>
      <c r="H4169" s="187">
        <v>43.79</v>
      </c>
      <c r="I4169" s="19">
        <f t="shared" si="140"/>
        <v>0</v>
      </c>
    </row>
    <row r="4170" spans="1:14" ht="15.6" hidden="1">
      <c r="A4170" s="51" t="s">
        <v>7836</v>
      </c>
      <c r="B4170" s="5">
        <v>141167</v>
      </c>
      <c r="C4170" s="38" t="s">
        <v>7841</v>
      </c>
      <c r="D4170" s="38"/>
      <c r="E4170" s="104">
        <v>1</v>
      </c>
      <c r="F4170" s="9"/>
      <c r="G4170" s="8"/>
      <c r="H4170" s="187">
        <v>53.52</v>
      </c>
      <c r="I4170" s="19">
        <f t="shared" si="140"/>
        <v>0</v>
      </c>
    </row>
    <row r="4171" spans="1:14" ht="15.6" hidden="1">
      <c r="A4171" s="51" t="s">
        <v>7836</v>
      </c>
      <c r="B4171" s="5">
        <v>142133</v>
      </c>
      <c r="C4171" s="38" t="s">
        <v>7842</v>
      </c>
      <c r="D4171" s="38"/>
      <c r="E4171" s="104">
        <v>1</v>
      </c>
      <c r="F4171" s="9"/>
      <c r="G4171" s="8"/>
      <c r="H4171" s="187">
        <v>20.420000000000002</v>
      </c>
      <c r="I4171" s="19">
        <f t="shared" si="140"/>
        <v>0</v>
      </c>
    </row>
    <row r="4172" spans="1:14" ht="15.6" hidden="1">
      <c r="A4172" s="51" t="s">
        <v>7836</v>
      </c>
      <c r="B4172" s="5">
        <v>130808</v>
      </c>
      <c r="C4172" s="38" t="s">
        <v>7843</v>
      </c>
      <c r="D4172" s="38"/>
      <c r="E4172" s="104">
        <v>1</v>
      </c>
      <c r="F4172" s="9"/>
      <c r="G4172" s="8"/>
      <c r="H4172" s="187">
        <v>34.03</v>
      </c>
      <c r="I4172" s="19">
        <f t="shared" si="140"/>
        <v>0</v>
      </c>
    </row>
    <row r="4173" spans="1:14" ht="15.6" hidden="1">
      <c r="A4173" s="51" t="s">
        <v>7836</v>
      </c>
      <c r="B4173" s="5">
        <v>141166</v>
      </c>
      <c r="C4173" s="38" t="s">
        <v>7844</v>
      </c>
      <c r="D4173" s="38"/>
      <c r="E4173" s="104">
        <v>1</v>
      </c>
      <c r="F4173" s="9"/>
      <c r="G4173" s="8"/>
      <c r="H4173" s="187">
        <v>38.909999999999997</v>
      </c>
      <c r="I4173" s="19">
        <f t="shared" si="140"/>
        <v>0</v>
      </c>
    </row>
    <row r="4174" spans="1:14" ht="15.6" hidden="1">
      <c r="A4174" s="51" t="s">
        <v>7836</v>
      </c>
      <c r="B4174" s="5">
        <v>142132</v>
      </c>
      <c r="C4174" s="38" t="s">
        <v>7845</v>
      </c>
      <c r="D4174" s="38" t="s">
        <v>589</v>
      </c>
      <c r="E4174" s="104">
        <v>1</v>
      </c>
      <c r="F4174" s="9"/>
      <c r="G4174" s="8"/>
      <c r="H4174" s="187">
        <v>27.15</v>
      </c>
      <c r="I4174" s="19">
        <f t="shared" si="140"/>
        <v>0</v>
      </c>
    </row>
    <row r="4175" spans="1:14" ht="15.6" hidden="1">
      <c r="A4175" s="51" t="s">
        <v>7836</v>
      </c>
      <c r="B4175" s="5">
        <v>109306</v>
      </c>
      <c r="C4175" s="38" t="s">
        <v>7846</v>
      </c>
      <c r="D4175" s="38" t="s">
        <v>589</v>
      </c>
      <c r="E4175" s="104">
        <v>1</v>
      </c>
      <c r="F4175" s="9"/>
      <c r="G4175" s="8"/>
      <c r="H4175" s="187">
        <v>26.58</v>
      </c>
      <c r="I4175" s="19">
        <f t="shared" si="140"/>
        <v>0</v>
      </c>
    </row>
    <row r="4176" spans="1:14" ht="15.6" hidden="1">
      <c r="A4176" s="51" t="s">
        <v>7836</v>
      </c>
      <c r="B4176" s="5">
        <v>142131</v>
      </c>
      <c r="C4176" s="38" t="s">
        <v>7847</v>
      </c>
      <c r="D4176" s="38" t="s">
        <v>589</v>
      </c>
      <c r="E4176" s="104">
        <v>1</v>
      </c>
      <c r="F4176" s="9"/>
      <c r="G4176" s="8"/>
      <c r="H4176" s="187">
        <v>27.45</v>
      </c>
      <c r="I4176" s="19">
        <f t="shared" si="140"/>
        <v>0</v>
      </c>
    </row>
    <row r="4177" spans="1:9" ht="15.6" hidden="1">
      <c r="A4177" s="51" t="s">
        <v>7836</v>
      </c>
      <c r="B4177" s="5">
        <v>109293</v>
      </c>
      <c r="C4177" s="38" t="s">
        <v>7848</v>
      </c>
      <c r="D4177" s="38" t="s">
        <v>589</v>
      </c>
      <c r="E4177" s="104">
        <v>1</v>
      </c>
      <c r="F4177" s="9"/>
      <c r="G4177" s="8"/>
      <c r="H4177" s="187">
        <v>29.43</v>
      </c>
      <c r="I4177" s="19">
        <f t="shared" si="140"/>
        <v>0</v>
      </c>
    </row>
    <row r="4178" spans="1:9" ht="15.6" hidden="1">
      <c r="A4178" s="51" t="s">
        <v>7836</v>
      </c>
      <c r="B4178" s="5">
        <v>109295</v>
      </c>
      <c r="C4178" s="38" t="s">
        <v>7849</v>
      </c>
      <c r="D4178" s="38" t="s">
        <v>589</v>
      </c>
      <c r="E4178" s="104">
        <v>1</v>
      </c>
      <c r="F4178" s="9"/>
      <c r="G4178" s="8"/>
      <c r="H4178" s="187">
        <v>40.72</v>
      </c>
      <c r="I4178" s="19">
        <f t="shared" si="140"/>
        <v>0</v>
      </c>
    </row>
    <row r="4179" spans="1:9" ht="15.6" hidden="1">
      <c r="A4179" s="51" t="s">
        <v>7836</v>
      </c>
      <c r="B4179" s="5">
        <v>109294</v>
      </c>
      <c r="C4179" s="38" t="s">
        <v>7850</v>
      </c>
      <c r="D4179" s="38" t="s">
        <v>589</v>
      </c>
      <c r="E4179" s="104">
        <v>1</v>
      </c>
      <c r="F4179" s="9"/>
      <c r="G4179" s="8"/>
      <c r="H4179" s="187">
        <v>40.46</v>
      </c>
      <c r="I4179" s="19">
        <f t="shared" si="140"/>
        <v>0</v>
      </c>
    </row>
    <row r="4180" spans="1:9" ht="15.6" hidden="1">
      <c r="A4180" s="51" t="s">
        <v>7836</v>
      </c>
      <c r="B4180" s="5">
        <v>142127</v>
      </c>
      <c r="C4180" s="38" t="s">
        <v>7851</v>
      </c>
      <c r="D4180" s="38" t="s">
        <v>589</v>
      </c>
      <c r="E4180" s="104">
        <v>1</v>
      </c>
      <c r="F4180" s="9"/>
      <c r="G4180" s="8"/>
      <c r="H4180" s="187">
        <v>48.69</v>
      </c>
      <c r="I4180" s="19">
        <f t="shared" si="140"/>
        <v>0</v>
      </c>
    </row>
    <row r="4181" spans="1:9" ht="15.6" hidden="1">
      <c r="A4181" s="51" t="s">
        <v>7836</v>
      </c>
      <c r="B4181" s="5">
        <v>109287</v>
      </c>
      <c r="C4181" s="38" t="s">
        <v>7852</v>
      </c>
      <c r="D4181" s="38" t="s">
        <v>589</v>
      </c>
      <c r="E4181" s="104">
        <v>1</v>
      </c>
      <c r="F4181" s="9"/>
      <c r="G4181" s="8"/>
      <c r="H4181" s="43">
        <v>42.63</v>
      </c>
      <c r="I4181" s="19">
        <f t="shared" si="140"/>
        <v>0</v>
      </c>
    </row>
    <row r="4182" spans="1:9" ht="15.6" hidden="1">
      <c r="A4182" s="51" t="s">
        <v>7836</v>
      </c>
      <c r="B4182" s="5">
        <v>131636</v>
      </c>
      <c r="C4182" s="38" t="s">
        <v>7853</v>
      </c>
      <c r="D4182" s="38" t="s">
        <v>589</v>
      </c>
      <c r="E4182" s="104">
        <v>1</v>
      </c>
      <c r="F4182" s="9"/>
      <c r="G4182" s="8"/>
      <c r="H4182" s="43">
        <v>36.909999999999997</v>
      </c>
      <c r="I4182" s="19">
        <f t="shared" si="140"/>
        <v>0</v>
      </c>
    </row>
    <row r="4183" spans="1:9" ht="15.6" hidden="1">
      <c r="A4183" s="51" t="s">
        <v>7836</v>
      </c>
      <c r="B4183" s="5">
        <v>140032</v>
      </c>
      <c r="C4183" s="38" t="s">
        <v>7854</v>
      </c>
      <c r="D4183" s="38" t="s">
        <v>589</v>
      </c>
      <c r="E4183" s="104">
        <v>1</v>
      </c>
      <c r="F4183" s="9"/>
      <c r="G4183" s="8"/>
      <c r="H4183" s="43">
        <v>39.979999999999997</v>
      </c>
      <c r="I4183" s="19">
        <f t="shared" si="140"/>
        <v>0</v>
      </c>
    </row>
    <row r="4184" spans="1:9" ht="15.6" hidden="1">
      <c r="A4184" s="51" t="s">
        <v>7836</v>
      </c>
      <c r="B4184" s="5">
        <v>109273</v>
      </c>
      <c r="C4184" s="38" t="s">
        <v>7855</v>
      </c>
      <c r="D4184" s="38" t="s">
        <v>589</v>
      </c>
      <c r="E4184" s="104">
        <v>1</v>
      </c>
      <c r="F4184" s="9"/>
      <c r="G4184" s="8"/>
      <c r="H4184" s="43">
        <v>33.22</v>
      </c>
      <c r="I4184" s="19">
        <f t="shared" si="140"/>
        <v>0</v>
      </c>
    </row>
    <row r="4185" spans="1:9" ht="15.6" hidden="1">
      <c r="A4185" s="51" t="s">
        <v>7836</v>
      </c>
      <c r="B4185" s="5">
        <v>109274</v>
      </c>
      <c r="C4185" s="38" t="s">
        <v>7856</v>
      </c>
      <c r="D4185" s="38" t="s">
        <v>589</v>
      </c>
      <c r="E4185" s="104">
        <v>1</v>
      </c>
      <c r="F4185" s="9"/>
      <c r="G4185" s="8"/>
      <c r="H4185" s="43">
        <v>30.85</v>
      </c>
      <c r="I4185" s="19">
        <f t="shared" si="140"/>
        <v>0</v>
      </c>
    </row>
    <row r="4186" spans="1:9" ht="15.6" hidden="1">
      <c r="A4186" s="51" t="s">
        <v>7836</v>
      </c>
      <c r="B4186" s="5">
        <v>109268</v>
      </c>
      <c r="C4186" s="38" t="s">
        <v>7857</v>
      </c>
      <c r="D4186" s="38" t="s">
        <v>589</v>
      </c>
      <c r="E4186" s="104">
        <v>1</v>
      </c>
      <c r="F4186" s="9"/>
      <c r="G4186" s="8"/>
      <c r="H4186" s="43">
        <v>24.44</v>
      </c>
      <c r="I4186" s="19">
        <f t="shared" si="140"/>
        <v>0</v>
      </c>
    </row>
    <row r="4187" spans="1:9" ht="15.6" hidden="1">
      <c r="A4187" s="51" t="s">
        <v>7836</v>
      </c>
      <c r="B4187" s="5">
        <v>109269</v>
      </c>
      <c r="C4187" s="38" t="s">
        <v>7858</v>
      </c>
      <c r="D4187" s="38" t="s">
        <v>589</v>
      </c>
      <c r="E4187" s="104">
        <v>1</v>
      </c>
      <c r="F4187" s="9"/>
      <c r="G4187" s="8"/>
      <c r="H4187" s="43">
        <v>26.9</v>
      </c>
      <c r="I4187" s="19">
        <f t="shared" si="140"/>
        <v>0</v>
      </c>
    </row>
    <row r="4188" spans="1:9" ht="15.6" hidden="1">
      <c r="A4188" s="51" t="s">
        <v>7836</v>
      </c>
      <c r="B4188" s="5">
        <v>109270</v>
      </c>
      <c r="C4188" s="38" t="s">
        <v>7859</v>
      </c>
      <c r="D4188" s="38" t="s">
        <v>589</v>
      </c>
      <c r="E4188" s="104">
        <v>1</v>
      </c>
      <c r="F4188" s="9"/>
      <c r="G4188" s="8"/>
      <c r="H4188" s="43">
        <v>23.79</v>
      </c>
      <c r="I4188" s="19">
        <f t="shared" si="140"/>
        <v>0</v>
      </c>
    </row>
    <row r="4189" spans="1:9" ht="15.6" hidden="1">
      <c r="A4189" s="51" t="s">
        <v>7836</v>
      </c>
      <c r="B4189" s="5">
        <v>142130</v>
      </c>
      <c r="C4189" s="38" t="s">
        <v>7860</v>
      </c>
      <c r="D4189" s="38" t="s">
        <v>589</v>
      </c>
      <c r="E4189" s="104">
        <v>1</v>
      </c>
      <c r="F4189" s="9"/>
      <c r="G4189" s="8"/>
      <c r="H4189" s="43">
        <v>40.630000000000003</v>
      </c>
      <c r="I4189" s="19">
        <f t="shared" si="140"/>
        <v>0</v>
      </c>
    </row>
    <row r="4190" spans="1:9" ht="15.6" hidden="1">
      <c r="A4190" s="51" t="s">
        <v>7836</v>
      </c>
      <c r="B4190" s="5">
        <v>109255</v>
      </c>
      <c r="C4190" s="38" t="s">
        <v>7861</v>
      </c>
      <c r="D4190" s="38" t="s">
        <v>589</v>
      </c>
      <c r="E4190" s="104">
        <v>1</v>
      </c>
      <c r="F4190" s="9"/>
      <c r="G4190" s="8"/>
      <c r="H4190" s="43">
        <v>41.71</v>
      </c>
      <c r="I4190" s="19">
        <f t="shared" si="140"/>
        <v>0</v>
      </c>
    </row>
    <row r="4191" spans="1:9" ht="15.6" hidden="1">
      <c r="A4191" s="51" t="s">
        <v>7836</v>
      </c>
      <c r="B4191" s="5">
        <v>142129</v>
      </c>
      <c r="C4191" s="38" t="s">
        <v>7862</v>
      </c>
      <c r="D4191" s="38" t="s">
        <v>589</v>
      </c>
      <c r="E4191" s="104">
        <v>1</v>
      </c>
      <c r="F4191" s="9"/>
      <c r="G4191" s="8"/>
      <c r="H4191" s="43">
        <v>20.49</v>
      </c>
      <c r="I4191" s="19">
        <f t="shared" si="140"/>
        <v>0</v>
      </c>
    </row>
    <row r="4192" spans="1:9" ht="15.6" hidden="1">
      <c r="A4192" s="51" t="s">
        <v>7836</v>
      </c>
      <c r="B4192" s="5">
        <v>109247</v>
      </c>
      <c r="C4192" s="38" t="s">
        <v>7863</v>
      </c>
      <c r="D4192" s="38" t="s">
        <v>589</v>
      </c>
      <c r="E4192" s="104">
        <v>1</v>
      </c>
      <c r="F4192" s="9"/>
      <c r="G4192" s="8"/>
      <c r="H4192" s="43">
        <v>44.06</v>
      </c>
      <c r="I4192" s="19">
        <f t="shared" si="140"/>
        <v>0</v>
      </c>
    </row>
    <row r="4193" spans="1:9" ht="15.6" hidden="1">
      <c r="A4193" s="51" t="s">
        <v>7836</v>
      </c>
      <c r="B4193" s="5">
        <v>109248</v>
      </c>
      <c r="C4193" s="38" t="s">
        <v>7864</v>
      </c>
      <c r="D4193" s="38" t="s">
        <v>589</v>
      </c>
      <c r="E4193" s="104">
        <v>1</v>
      </c>
      <c r="F4193" s="9"/>
      <c r="G4193" s="8"/>
      <c r="H4193" s="43">
        <v>45.05</v>
      </c>
      <c r="I4193" s="19">
        <f t="shared" si="140"/>
        <v>0</v>
      </c>
    </row>
    <row r="4194" spans="1:9" ht="15.6" hidden="1">
      <c r="A4194" s="51" t="s">
        <v>7836</v>
      </c>
      <c r="B4194" s="5">
        <v>109236</v>
      </c>
      <c r="C4194" s="38" t="s">
        <v>7865</v>
      </c>
      <c r="D4194" s="38" t="s">
        <v>589</v>
      </c>
      <c r="E4194" s="104">
        <v>1</v>
      </c>
      <c r="F4194" s="9"/>
      <c r="G4194" s="8"/>
      <c r="H4194" s="43">
        <v>40.81</v>
      </c>
      <c r="I4194" s="19">
        <f t="shared" si="140"/>
        <v>0</v>
      </c>
    </row>
    <row r="4195" spans="1:9" ht="15.6" hidden="1">
      <c r="A4195" s="51" t="s">
        <v>7836</v>
      </c>
      <c r="B4195" s="5">
        <v>109224</v>
      </c>
      <c r="C4195" s="38" t="s">
        <v>7866</v>
      </c>
      <c r="D4195" s="38" t="s">
        <v>589</v>
      </c>
      <c r="E4195" s="104">
        <v>1</v>
      </c>
      <c r="F4195" s="9"/>
      <c r="G4195" s="8"/>
      <c r="H4195" s="43">
        <v>39.25</v>
      </c>
      <c r="I4195" s="19">
        <f t="shared" si="140"/>
        <v>0</v>
      </c>
    </row>
    <row r="4196" spans="1:9" ht="15.6" hidden="1">
      <c r="A4196" s="51" t="s">
        <v>7836</v>
      </c>
      <c r="B4196" s="5">
        <v>109226</v>
      </c>
      <c r="C4196" s="38" t="s">
        <v>7867</v>
      </c>
      <c r="D4196" s="38" t="s">
        <v>589</v>
      </c>
      <c r="E4196" s="104">
        <v>1</v>
      </c>
      <c r="F4196" s="9"/>
      <c r="G4196" s="8"/>
      <c r="H4196" s="43">
        <v>30.62</v>
      </c>
      <c r="I4196" s="19">
        <f t="shared" si="140"/>
        <v>0</v>
      </c>
    </row>
    <row r="4197" spans="1:9" ht="15.6" hidden="1">
      <c r="A4197" s="51" t="s">
        <v>7836</v>
      </c>
      <c r="B4197" s="5">
        <v>109228</v>
      </c>
      <c r="C4197" s="38" t="s">
        <v>7868</v>
      </c>
      <c r="D4197" s="38" t="s">
        <v>589</v>
      </c>
      <c r="E4197" s="104">
        <v>1</v>
      </c>
      <c r="F4197" s="9"/>
      <c r="G4197" s="8"/>
      <c r="H4197" s="43">
        <v>37.9</v>
      </c>
      <c r="I4197" s="19">
        <f t="shared" si="140"/>
        <v>0</v>
      </c>
    </row>
    <row r="4198" spans="1:9" ht="15.6" hidden="1">
      <c r="A4198" s="51" t="s">
        <v>7836</v>
      </c>
      <c r="B4198" s="5">
        <v>109225</v>
      </c>
      <c r="C4198" s="38" t="s">
        <v>7869</v>
      </c>
      <c r="D4198" s="38" t="s">
        <v>589</v>
      </c>
      <c r="E4198" s="104">
        <v>1</v>
      </c>
      <c r="F4198" s="9"/>
      <c r="G4198" s="8"/>
      <c r="H4198" s="43">
        <v>26.32</v>
      </c>
      <c r="I4198" s="19">
        <f t="shared" si="140"/>
        <v>0</v>
      </c>
    </row>
    <row r="4199" spans="1:9" ht="15.6" hidden="1">
      <c r="A4199" s="51" t="s">
        <v>7836</v>
      </c>
      <c r="B4199" s="5">
        <v>109231</v>
      </c>
      <c r="C4199" s="38" t="s">
        <v>7870</v>
      </c>
      <c r="D4199" s="38" t="s">
        <v>589</v>
      </c>
      <c r="E4199" s="104">
        <v>1</v>
      </c>
      <c r="F4199" s="9"/>
      <c r="G4199" s="8"/>
      <c r="H4199" s="43">
        <v>38.54</v>
      </c>
      <c r="I4199" s="19">
        <f t="shared" si="140"/>
        <v>0</v>
      </c>
    </row>
    <row r="4200" spans="1:9" ht="15.6" hidden="1">
      <c r="A4200" s="51" t="s">
        <v>7836</v>
      </c>
      <c r="B4200" s="5">
        <v>142128</v>
      </c>
      <c r="C4200" s="38" t="s">
        <v>7871</v>
      </c>
      <c r="D4200" s="38" t="s">
        <v>589</v>
      </c>
      <c r="E4200" s="104">
        <v>1</v>
      </c>
      <c r="F4200" s="9"/>
      <c r="G4200" s="8"/>
      <c r="H4200" s="43">
        <v>30.01</v>
      </c>
      <c r="I4200" s="19">
        <f t="shared" si="140"/>
        <v>0</v>
      </c>
    </row>
    <row r="4201" spans="1:9" ht="15.6" hidden="1">
      <c r="A4201" s="51" t="s">
        <v>7836</v>
      </c>
      <c r="B4201" s="5">
        <v>143485</v>
      </c>
      <c r="C4201" s="38" t="s">
        <v>7872</v>
      </c>
      <c r="D4201" s="38" t="s">
        <v>589</v>
      </c>
      <c r="E4201" s="104">
        <v>1</v>
      </c>
      <c r="F4201" s="9"/>
      <c r="G4201" s="8"/>
      <c r="H4201" s="43">
        <v>49.81</v>
      </c>
      <c r="I4201" s="19">
        <f t="shared" si="140"/>
        <v>0</v>
      </c>
    </row>
    <row r="4202" spans="1:9" ht="15.6" hidden="1">
      <c r="A4202" s="51" t="s">
        <v>7836</v>
      </c>
      <c r="B4202" s="5">
        <v>143486</v>
      </c>
      <c r="C4202" s="38" t="s">
        <v>7873</v>
      </c>
      <c r="D4202" s="38" t="s">
        <v>589</v>
      </c>
      <c r="E4202" s="104">
        <v>1</v>
      </c>
      <c r="F4202" s="9"/>
      <c r="G4202" s="8"/>
      <c r="H4202" s="43">
        <v>49.81</v>
      </c>
      <c r="I4202" s="19">
        <f t="shared" si="140"/>
        <v>0</v>
      </c>
    </row>
    <row r="4203" spans="1:9" ht="15.6" hidden="1">
      <c r="A4203" s="51" t="s">
        <v>7836</v>
      </c>
      <c r="B4203" s="5">
        <v>143487</v>
      </c>
      <c r="C4203" s="38" t="s">
        <v>7874</v>
      </c>
      <c r="D4203" s="38" t="s">
        <v>589</v>
      </c>
      <c r="E4203" s="104">
        <v>1</v>
      </c>
      <c r="F4203" s="9"/>
      <c r="G4203" s="8"/>
      <c r="H4203" s="43">
        <v>49.81</v>
      </c>
      <c r="I4203" s="19">
        <f t="shared" si="140"/>
        <v>0</v>
      </c>
    </row>
    <row r="4204" spans="1:9" ht="15.6" hidden="1">
      <c r="A4204" s="51" t="s">
        <v>7836</v>
      </c>
      <c r="B4204" s="5">
        <v>143503</v>
      </c>
      <c r="C4204" s="38" t="s">
        <v>7875</v>
      </c>
      <c r="D4204" s="38"/>
      <c r="E4204" s="104">
        <v>1</v>
      </c>
      <c r="F4204" s="9"/>
      <c r="G4204" s="8"/>
      <c r="H4204" s="43">
        <v>60.13</v>
      </c>
      <c r="I4204" s="19">
        <f t="shared" si="140"/>
        <v>0</v>
      </c>
    </row>
    <row r="4205" spans="1:9" ht="15.6" hidden="1">
      <c r="A4205" s="51" t="s">
        <v>7836</v>
      </c>
      <c r="B4205" s="5">
        <v>143504</v>
      </c>
      <c r="C4205" s="38" t="s">
        <v>7876</v>
      </c>
      <c r="D4205" s="38"/>
      <c r="E4205" s="104">
        <v>1</v>
      </c>
      <c r="F4205" s="9"/>
      <c r="G4205" s="8"/>
      <c r="H4205" s="43">
        <v>60.13</v>
      </c>
      <c r="I4205" s="19">
        <f t="shared" si="140"/>
        <v>0</v>
      </c>
    </row>
    <row r="4206" spans="1:9" ht="15.6" hidden="1">
      <c r="A4206" s="51" t="s">
        <v>7836</v>
      </c>
      <c r="B4206" s="5">
        <v>143505</v>
      </c>
      <c r="C4206" s="38" t="s">
        <v>7877</v>
      </c>
      <c r="D4206" s="38"/>
      <c r="E4206" s="104">
        <v>1</v>
      </c>
      <c r="F4206" s="9"/>
      <c r="G4206" s="8"/>
      <c r="H4206" s="43">
        <v>60.13</v>
      </c>
      <c r="I4206" s="19">
        <f t="shared" si="140"/>
        <v>0</v>
      </c>
    </row>
    <row r="4207" spans="1:9" ht="15.6" hidden="1">
      <c r="A4207" s="51" t="s">
        <v>7836</v>
      </c>
      <c r="B4207" s="5">
        <v>109371</v>
      </c>
      <c r="C4207" s="38" t="s">
        <v>7878</v>
      </c>
      <c r="D4207" s="38" t="s">
        <v>589</v>
      </c>
      <c r="E4207" s="104">
        <v>1</v>
      </c>
      <c r="F4207" s="9"/>
      <c r="G4207" s="8"/>
      <c r="H4207" s="43">
        <v>54.81</v>
      </c>
      <c r="I4207" s="19">
        <f t="shared" si="140"/>
        <v>0</v>
      </c>
    </row>
    <row r="4208" spans="1:9" ht="15.6" hidden="1">
      <c r="A4208" s="51" t="s">
        <v>7836</v>
      </c>
      <c r="B4208" s="5">
        <v>109370</v>
      </c>
      <c r="C4208" s="38" t="s">
        <v>7879</v>
      </c>
      <c r="D4208" s="38" t="s">
        <v>589</v>
      </c>
      <c r="E4208" s="104">
        <v>1</v>
      </c>
      <c r="F4208" s="9"/>
      <c r="G4208" s="8"/>
      <c r="H4208" s="43">
        <v>32.72</v>
      </c>
      <c r="I4208" s="19">
        <f t="shared" si="140"/>
        <v>0</v>
      </c>
    </row>
    <row r="4209" spans="1:9" ht="15.6" hidden="1">
      <c r="A4209" s="51" t="s">
        <v>7836</v>
      </c>
      <c r="B4209" s="5">
        <v>109374</v>
      </c>
      <c r="C4209" s="38" t="s">
        <v>7880</v>
      </c>
      <c r="D4209" s="38" t="s">
        <v>589</v>
      </c>
      <c r="E4209" s="104">
        <v>1</v>
      </c>
      <c r="F4209" s="9"/>
      <c r="G4209" s="8"/>
      <c r="H4209" s="43">
        <v>54.81</v>
      </c>
      <c r="I4209" s="19">
        <f t="shared" si="140"/>
        <v>0</v>
      </c>
    </row>
    <row r="4210" spans="1:9" ht="15.6" hidden="1">
      <c r="A4210" s="51" t="s">
        <v>7836</v>
      </c>
      <c r="B4210" s="5">
        <v>109373</v>
      </c>
      <c r="C4210" s="38" t="s">
        <v>7881</v>
      </c>
      <c r="D4210" s="38" t="s">
        <v>589</v>
      </c>
      <c r="E4210" s="104">
        <v>1</v>
      </c>
      <c r="F4210" s="9"/>
      <c r="G4210" s="8"/>
      <c r="H4210" s="43">
        <v>32.72</v>
      </c>
      <c r="I4210" s="19">
        <f t="shared" si="140"/>
        <v>0</v>
      </c>
    </row>
    <row r="4211" spans="1:9" ht="15.6" hidden="1">
      <c r="A4211" s="51" t="s">
        <v>7836</v>
      </c>
      <c r="B4211" s="5">
        <v>109377</v>
      </c>
      <c r="C4211" s="38" t="s">
        <v>7882</v>
      </c>
      <c r="D4211" s="38" t="s">
        <v>589</v>
      </c>
      <c r="E4211" s="104">
        <v>1</v>
      </c>
      <c r="F4211" s="9"/>
      <c r="G4211" s="8"/>
      <c r="H4211" s="43">
        <v>94.14</v>
      </c>
      <c r="I4211" s="19">
        <f t="shared" si="140"/>
        <v>0</v>
      </c>
    </row>
    <row r="4212" spans="1:9" ht="15.6" hidden="1">
      <c r="A4212" s="51" t="s">
        <v>7836</v>
      </c>
      <c r="B4212" s="5">
        <v>109381</v>
      </c>
      <c r="C4212" s="38" t="s">
        <v>7883</v>
      </c>
      <c r="D4212" s="38" t="s">
        <v>589</v>
      </c>
      <c r="E4212" s="104">
        <v>1</v>
      </c>
      <c r="F4212" s="9"/>
      <c r="G4212" s="8"/>
      <c r="H4212" s="43">
        <v>35.61</v>
      </c>
      <c r="I4212" s="19">
        <f t="shared" si="140"/>
        <v>0</v>
      </c>
    </row>
    <row r="4213" spans="1:9" ht="15.6" hidden="1">
      <c r="A4213" s="51" t="s">
        <v>7836</v>
      </c>
      <c r="B4213" s="5">
        <v>109382</v>
      </c>
      <c r="C4213" s="38" t="s">
        <v>7884</v>
      </c>
      <c r="D4213" s="38" t="s">
        <v>589</v>
      </c>
      <c r="E4213" s="104">
        <v>1</v>
      </c>
      <c r="F4213" s="9"/>
      <c r="G4213" s="8"/>
      <c r="H4213" s="43">
        <v>64.67</v>
      </c>
      <c r="I4213" s="19">
        <f t="shared" si="140"/>
        <v>0</v>
      </c>
    </row>
    <row r="4214" spans="1:9" ht="15.6" hidden="1">
      <c r="A4214" s="51" t="s">
        <v>7836</v>
      </c>
      <c r="B4214" s="5">
        <v>139967</v>
      </c>
      <c r="C4214" s="38" t="s">
        <v>7885</v>
      </c>
      <c r="D4214" s="38" t="s">
        <v>589</v>
      </c>
      <c r="E4214" s="104">
        <v>1</v>
      </c>
      <c r="F4214" s="9"/>
      <c r="G4214" s="8"/>
      <c r="H4214" s="43">
        <v>36.99</v>
      </c>
      <c r="I4214" s="19">
        <f t="shared" si="140"/>
        <v>0</v>
      </c>
    </row>
    <row r="4215" spans="1:9" ht="15.6" hidden="1">
      <c r="A4215" s="51" t="s">
        <v>7836</v>
      </c>
      <c r="B4215" s="5">
        <v>139966</v>
      </c>
      <c r="C4215" s="38" t="s">
        <v>7886</v>
      </c>
      <c r="D4215" s="38" t="s">
        <v>589</v>
      </c>
      <c r="E4215" s="104">
        <v>1</v>
      </c>
      <c r="F4215" s="9"/>
      <c r="G4215" s="8"/>
      <c r="H4215" s="43">
        <v>32.770000000000003</v>
      </c>
      <c r="I4215" s="19">
        <f t="shared" si="140"/>
        <v>0</v>
      </c>
    </row>
    <row r="4216" spans="1:9" ht="15.6" hidden="1">
      <c r="A4216" s="51" t="s">
        <v>7836</v>
      </c>
      <c r="B4216" s="5">
        <v>139968</v>
      </c>
      <c r="C4216" s="38" t="s">
        <v>7887</v>
      </c>
      <c r="D4216" s="38" t="s">
        <v>589</v>
      </c>
      <c r="E4216" s="104">
        <v>1</v>
      </c>
      <c r="F4216" s="9"/>
      <c r="G4216" s="8"/>
      <c r="H4216" s="43">
        <v>76.84</v>
      </c>
      <c r="I4216" s="19">
        <f t="shared" si="140"/>
        <v>0</v>
      </c>
    </row>
    <row r="4217" spans="1:9" ht="15.6" hidden="1">
      <c r="A4217" s="51" t="s">
        <v>7836</v>
      </c>
      <c r="B4217" s="5">
        <v>139970</v>
      </c>
      <c r="C4217" s="38" t="s">
        <v>7888</v>
      </c>
      <c r="D4217" s="38" t="s">
        <v>589</v>
      </c>
      <c r="E4217" s="104">
        <v>1</v>
      </c>
      <c r="F4217" s="9"/>
      <c r="G4217" s="8"/>
      <c r="H4217" s="43">
        <v>36.99</v>
      </c>
      <c r="I4217" s="19">
        <f t="shared" si="140"/>
        <v>0</v>
      </c>
    </row>
    <row r="4218" spans="1:9" ht="15.6" hidden="1">
      <c r="A4218" s="51" t="s">
        <v>7836</v>
      </c>
      <c r="B4218" s="5">
        <v>139972</v>
      </c>
      <c r="C4218" s="38" t="s">
        <v>7888</v>
      </c>
      <c r="D4218" s="38" t="s">
        <v>589</v>
      </c>
      <c r="E4218" s="104">
        <v>1</v>
      </c>
      <c r="F4218" s="9"/>
      <c r="G4218" s="8"/>
      <c r="H4218" s="43">
        <v>43.66</v>
      </c>
      <c r="I4218" s="19">
        <f t="shared" si="140"/>
        <v>0</v>
      </c>
    </row>
    <row r="4219" spans="1:9" ht="15.6" hidden="1">
      <c r="A4219" s="51" t="s">
        <v>7836</v>
      </c>
      <c r="B4219" s="5">
        <v>139969</v>
      </c>
      <c r="C4219" s="38" t="s">
        <v>7889</v>
      </c>
      <c r="D4219" s="38" t="s">
        <v>589</v>
      </c>
      <c r="E4219" s="104">
        <v>1</v>
      </c>
      <c r="F4219" s="9"/>
      <c r="G4219" s="8"/>
      <c r="H4219" s="43">
        <v>32.770000000000003</v>
      </c>
      <c r="I4219" s="19">
        <f t="shared" si="140"/>
        <v>0</v>
      </c>
    </row>
    <row r="4220" spans="1:9" ht="15.6" hidden="1">
      <c r="A4220" s="51" t="s">
        <v>7836</v>
      </c>
      <c r="B4220" s="5">
        <v>139971</v>
      </c>
      <c r="C4220" s="38" t="s">
        <v>7890</v>
      </c>
      <c r="D4220" s="38" t="s">
        <v>589</v>
      </c>
      <c r="E4220" s="104">
        <v>1</v>
      </c>
      <c r="F4220" s="9"/>
      <c r="G4220" s="8"/>
      <c r="H4220" s="43">
        <v>83.4</v>
      </c>
      <c r="I4220" s="19">
        <f t="shared" si="140"/>
        <v>0</v>
      </c>
    </row>
    <row r="4221" spans="1:9" ht="15.6" hidden="1">
      <c r="A4221" s="51" t="s">
        <v>7836</v>
      </c>
      <c r="B4221" s="5">
        <v>130519</v>
      </c>
      <c r="C4221" s="38" t="s">
        <v>7891</v>
      </c>
      <c r="D4221" s="38" t="s">
        <v>589</v>
      </c>
      <c r="E4221" s="104">
        <v>1</v>
      </c>
      <c r="F4221" s="9"/>
      <c r="G4221" s="8"/>
      <c r="H4221" s="43">
        <v>39.85</v>
      </c>
      <c r="I4221" s="19">
        <f t="shared" si="140"/>
        <v>0</v>
      </c>
    </row>
    <row r="4222" spans="1:9" ht="15.6" hidden="1">
      <c r="A4222" s="51" t="s">
        <v>7836</v>
      </c>
      <c r="B4222" s="5">
        <v>109342</v>
      </c>
      <c r="C4222" s="38" t="s">
        <v>7892</v>
      </c>
      <c r="D4222" s="38" t="s">
        <v>589</v>
      </c>
      <c r="E4222" s="104">
        <v>1</v>
      </c>
      <c r="F4222" s="9"/>
      <c r="G4222" s="8"/>
      <c r="H4222" s="43">
        <v>32.270000000000003</v>
      </c>
      <c r="I4222" s="19">
        <f t="shared" si="140"/>
        <v>0</v>
      </c>
    </row>
    <row r="4223" spans="1:9" ht="15.6" hidden="1">
      <c r="A4223" s="51" t="s">
        <v>7836</v>
      </c>
      <c r="B4223" s="5">
        <v>109341</v>
      </c>
      <c r="C4223" s="38" t="s">
        <v>7893</v>
      </c>
      <c r="D4223" s="38" t="s">
        <v>589</v>
      </c>
      <c r="E4223" s="104">
        <v>1</v>
      </c>
      <c r="F4223" s="9"/>
      <c r="G4223" s="8"/>
      <c r="H4223" s="43">
        <v>28.18</v>
      </c>
      <c r="I4223" s="19">
        <f t="shared" si="140"/>
        <v>0</v>
      </c>
    </row>
    <row r="4224" spans="1:9" ht="15.6" hidden="1">
      <c r="A4224" s="51" t="s">
        <v>7836</v>
      </c>
      <c r="B4224" s="5">
        <v>109345</v>
      </c>
      <c r="C4224" s="38" t="s">
        <v>7894</v>
      </c>
      <c r="D4224" s="38" t="s">
        <v>589</v>
      </c>
      <c r="E4224" s="104">
        <v>1</v>
      </c>
      <c r="F4224" s="9"/>
      <c r="G4224" s="8"/>
      <c r="H4224" s="43">
        <v>72.790000000000006</v>
      </c>
      <c r="I4224" s="19">
        <f t="shared" si="140"/>
        <v>0</v>
      </c>
    </row>
    <row r="4225" spans="1:9" ht="15.6" hidden="1">
      <c r="A4225" s="51" t="s">
        <v>7836</v>
      </c>
      <c r="B4225" s="5">
        <v>109344</v>
      </c>
      <c r="C4225" s="38" t="s">
        <v>7895</v>
      </c>
      <c r="D4225" s="38" t="s">
        <v>589</v>
      </c>
      <c r="E4225" s="104">
        <v>1</v>
      </c>
      <c r="F4225" s="9"/>
      <c r="G4225" s="8"/>
      <c r="H4225" s="43">
        <v>60.81</v>
      </c>
      <c r="I4225" s="19">
        <f t="shared" si="140"/>
        <v>0</v>
      </c>
    </row>
    <row r="4226" spans="1:9" ht="15.6" hidden="1">
      <c r="A4226" s="51" t="s">
        <v>7836</v>
      </c>
      <c r="B4226" s="5">
        <v>130518</v>
      </c>
      <c r="C4226" s="38" t="s">
        <v>7896</v>
      </c>
      <c r="D4226" s="38" t="s">
        <v>589</v>
      </c>
      <c r="E4226" s="104">
        <v>1</v>
      </c>
      <c r="F4226" s="9"/>
      <c r="G4226" s="8"/>
      <c r="H4226" s="43">
        <v>38.68</v>
      </c>
      <c r="I4226" s="19">
        <f t="shared" si="140"/>
        <v>0</v>
      </c>
    </row>
    <row r="4227" spans="1:9" ht="15.6" hidden="1">
      <c r="A4227" s="51" t="s">
        <v>7836</v>
      </c>
      <c r="B4227" s="5">
        <v>109349</v>
      </c>
      <c r="C4227" s="38" t="s">
        <v>7897</v>
      </c>
      <c r="D4227" s="38" t="s">
        <v>589</v>
      </c>
      <c r="E4227" s="104">
        <v>1</v>
      </c>
      <c r="F4227" s="9"/>
      <c r="G4227" s="8"/>
      <c r="H4227" s="43">
        <v>32.270000000000003</v>
      </c>
      <c r="I4227" s="19">
        <f t="shared" si="140"/>
        <v>0</v>
      </c>
    </row>
    <row r="4228" spans="1:9" ht="15.6" hidden="1">
      <c r="A4228" s="51" t="s">
        <v>7836</v>
      </c>
      <c r="B4228" s="5">
        <v>109348</v>
      </c>
      <c r="C4228" s="38" t="s">
        <v>7898</v>
      </c>
      <c r="D4228" s="38" t="s">
        <v>589</v>
      </c>
      <c r="E4228" s="104">
        <v>1</v>
      </c>
      <c r="F4228" s="9"/>
      <c r="G4228" s="8"/>
      <c r="H4228" s="43">
        <v>28.18</v>
      </c>
      <c r="I4228" s="19">
        <f t="shared" si="140"/>
        <v>0</v>
      </c>
    </row>
    <row r="4229" spans="1:9" ht="15.6" hidden="1">
      <c r="A4229" s="51" t="s">
        <v>7836</v>
      </c>
      <c r="B4229" s="5">
        <v>109351</v>
      </c>
      <c r="C4229" s="38" t="s">
        <v>7899</v>
      </c>
      <c r="D4229" s="38" t="s">
        <v>589</v>
      </c>
      <c r="E4229" s="104">
        <v>1</v>
      </c>
      <c r="F4229" s="9"/>
      <c r="G4229" s="8"/>
      <c r="H4229" s="43">
        <v>72.790000000000006</v>
      </c>
      <c r="I4229" s="19">
        <f t="shared" si="140"/>
        <v>0</v>
      </c>
    </row>
    <row r="4230" spans="1:9" ht="15.6" hidden="1">
      <c r="A4230" s="51" t="s">
        <v>7836</v>
      </c>
      <c r="B4230" s="5">
        <v>109350</v>
      </c>
      <c r="C4230" s="38" t="s">
        <v>7900</v>
      </c>
      <c r="D4230" s="38" t="s">
        <v>589</v>
      </c>
      <c r="E4230" s="104">
        <v>1</v>
      </c>
      <c r="F4230" s="9"/>
      <c r="G4230" s="8"/>
      <c r="H4230" s="43">
        <v>61.85</v>
      </c>
      <c r="I4230" s="19">
        <f t="shared" si="140"/>
        <v>0</v>
      </c>
    </row>
    <row r="4231" spans="1:9" ht="15.6" hidden="1">
      <c r="A4231" s="51" t="s">
        <v>7836</v>
      </c>
      <c r="B4231" s="5">
        <v>130513</v>
      </c>
      <c r="C4231" s="38" t="s">
        <v>7901</v>
      </c>
      <c r="D4231" s="38" t="s">
        <v>589</v>
      </c>
      <c r="E4231" s="104">
        <v>1</v>
      </c>
      <c r="F4231" s="9"/>
      <c r="G4231" s="8"/>
      <c r="H4231" s="43">
        <v>45.93</v>
      </c>
      <c r="I4231" s="19">
        <f t="shared" si="140"/>
        <v>0</v>
      </c>
    </row>
    <row r="4232" spans="1:9" ht="15.6" hidden="1">
      <c r="A4232" s="51" t="s">
        <v>7836</v>
      </c>
      <c r="B4232" s="5">
        <v>109354</v>
      </c>
      <c r="C4232" s="38" t="s">
        <v>7902</v>
      </c>
      <c r="D4232" s="38" t="s">
        <v>589</v>
      </c>
      <c r="E4232" s="104">
        <v>1</v>
      </c>
      <c r="F4232" s="9"/>
      <c r="G4232" s="8"/>
      <c r="H4232" s="43">
        <v>30.91</v>
      </c>
      <c r="I4232" s="19">
        <f t="shared" si="140"/>
        <v>0</v>
      </c>
    </row>
    <row r="4233" spans="1:9" ht="15.6" hidden="1">
      <c r="A4233" s="51" t="s">
        <v>7836</v>
      </c>
      <c r="B4233" s="5">
        <v>109355</v>
      </c>
      <c r="C4233" s="38" t="s">
        <v>7903</v>
      </c>
      <c r="D4233" s="38" t="s">
        <v>589</v>
      </c>
      <c r="E4233" s="104">
        <v>1</v>
      </c>
      <c r="F4233" s="9"/>
      <c r="G4233" s="8"/>
      <c r="H4233" s="43">
        <v>37.28</v>
      </c>
      <c r="I4233" s="19">
        <f t="shared" si="140"/>
        <v>0</v>
      </c>
    </row>
    <row r="4234" spans="1:9" ht="15.6" hidden="1">
      <c r="A4234" s="51" t="s">
        <v>7836</v>
      </c>
      <c r="B4234" s="5">
        <v>109356</v>
      </c>
      <c r="C4234" s="38" t="s">
        <v>7904</v>
      </c>
      <c r="D4234" s="38" t="s">
        <v>589</v>
      </c>
      <c r="E4234" s="104">
        <v>1</v>
      </c>
      <c r="F4234" s="9"/>
      <c r="G4234" s="8"/>
      <c r="H4234" s="43">
        <v>63.68</v>
      </c>
      <c r="I4234" s="19">
        <f t="shared" si="140"/>
        <v>0</v>
      </c>
    </row>
    <row r="4235" spans="1:9" ht="15.6" hidden="1">
      <c r="A4235" s="51" t="s">
        <v>7836</v>
      </c>
      <c r="B4235" s="5">
        <v>109357</v>
      </c>
      <c r="C4235" s="38" t="s">
        <v>7905</v>
      </c>
      <c r="D4235" s="38" t="s">
        <v>589</v>
      </c>
      <c r="E4235" s="104">
        <v>1</v>
      </c>
      <c r="F4235" s="9"/>
      <c r="G4235" s="8"/>
      <c r="H4235" s="43">
        <v>72.150000000000006</v>
      </c>
      <c r="I4235" s="19">
        <f t="shared" si="140"/>
        <v>0</v>
      </c>
    </row>
    <row r="4236" spans="1:9" ht="15.6" hidden="1">
      <c r="A4236" s="51" t="s">
        <v>7836</v>
      </c>
      <c r="B4236" s="5">
        <v>109360</v>
      </c>
      <c r="C4236" s="38" t="s">
        <v>7906</v>
      </c>
      <c r="D4236" s="38" t="s">
        <v>589</v>
      </c>
      <c r="E4236" s="104">
        <v>1</v>
      </c>
      <c r="F4236" s="9"/>
      <c r="G4236" s="8"/>
      <c r="H4236" s="43">
        <v>61.4</v>
      </c>
      <c r="I4236" s="19">
        <f t="shared" si="140"/>
        <v>0</v>
      </c>
    </row>
    <row r="4237" spans="1:9" ht="15.6" hidden="1">
      <c r="A4237" s="51" t="s">
        <v>7836</v>
      </c>
      <c r="B4237" s="5">
        <v>109368</v>
      </c>
      <c r="C4237" s="38" t="s">
        <v>7907</v>
      </c>
      <c r="D4237" s="38" t="s">
        <v>589</v>
      </c>
      <c r="E4237" s="104">
        <v>1</v>
      </c>
      <c r="F4237" s="9"/>
      <c r="G4237" s="8"/>
      <c r="H4237" s="43">
        <v>80.52</v>
      </c>
      <c r="I4237" s="19">
        <f t="shared" si="140"/>
        <v>0</v>
      </c>
    </row>
    <row r="4238" spans="1:9" ht="15.6" hidden="1">
      <c r="A4238" s="51" t="s">
        <v>7836</v>
      </c>
      <c r="B4238" s="5">
        <v>109401</v>
      </c>
      <c r="C4238" s="38" t="s">
        <v>7908</v>
      </c>
      <c r="D4238" s="38"/>
      <c r="E4238" s="104">
        <v>1</v>
      </c>
      <c r="F4238" s="9"/>
      <c r="G4238" s="8"/>
      <c r="H4238" s="43">
        <v>98.27</v>
      </c>
      <c r="I4238" s="19">
        <f t="shared" si="140"/>
        <v>0</v>
      </c>
    </row>
    <row r="4239" spans="1:9" ht="15.6" hidden="1">
      <c r="A4239" s="51" t="s">
        <v>7836</v>
      </c>
      <c r="B4239" s="5">
        <v>109403</v>
      </c>
      <c r="C4239" s="38" t="s">
        <v>7909</v>
      </c>
      <c r="D4239" s="38"/>
      <c r="E4239" s="104">
        <v>1</v>
      </c>
      <c r="F4239" s="9"/>
      <c r="G4239" s="8"/>
      <c r="H4239" s="43">
        <v>192.36</v>
      </c>
      <c r="I4239" s="19">
        <f t="shared" si="140"/>
        <v>0</v>
      </c>
    </row>
    <row r="4240" spans="1:9" ht="15.6" hidden="1">
      <c r="A4240" s="51" t="s">
        <v>7836</v>
      </c>
      <c r="B4240" s="5">
        <v>109395</v>
      </c>
      <c r="C4240" s="38" t="s">
        <v>7910</v>
      </c>
      <c r="D4240" s="38"/>
      <c r="E4240" s="104">
        <v>1</v>
      </c>
      <c r="F4240" s="9"/>
      <c r="G4240" s="8"/>
      <c r="H4240" s="43">
        <v>49.11</v>
      </c>
      <c r="I4240" s="19">
        <f t="shared" si="140"/>
        <v>0</v>
      </c>
    </row>
    <row r="4241" spans="1:9" ht="15.6" hidden="1">
      <c r="A4241" s="51" t="s">
        <v>7836</v>
      </c>
      <c r="B4241" s="5">
        <v>109397</v>
      </c>
      <c r="C4241" s="38" t="s">
        <v>7911</v>
      </c>
      <c r="D4241" s="38"/>
      <c r="E4241" s="104">
        <v>1</v>
      </c>
      <c r="F4241" s="9"/>
      <c r="G4241" s="8"/>
      <c r="H4241" s="43">
        <v>88.45</v>
      </c>
      <c r="I4241" s="19">
        <f t="shared" si="140"/>
        <v>0</v>
      </c>
    </row>
    <row r="4242" spans="1:9" ht="15.6" hidden="1">
      <c r="A4242" s="51" t="s">
        <v>7836</v>
      </c>
      <c r="B4242" s="5">
        <v>109399</v>
      </c>
      <c r="C4242" s="38" t="s">
        <v>7912</v>
      </c>
      <c r="D4242" s="38"/>
      <c r="E4242" s="104">
        <v>1</v>
      </c>
      <c r="F4242" s="9"/>
      <c r="G4242" s="8"/>
      <c r="H4242" s="43">
        <v>29.45</v>
      </c>
      <c r="I4242" s="19">
        <f t="shared" si="140"/>
        <v>0</v>
      </c>
    </row>
    <row r="4243" spans="1:9" ht="15.6" hidden="1">
      <c r="A4243" s="51" t="s">
        <v>7836</v>
      </c>
      <c r="B4243" s="5">
        <v>109400</v>
      </c>
      <c r="C4243" s="38" t="s">
        <v>7913</v>
      </c>
      <c r="D4243" s="38"/>
      <c r="E4243" s="104">
        <v>1</v>
      </c>
      <c r="F4243" s="9"/>
      <c r="G4243" s="8"/>
      <c r="H4243" s="43">
        <v>49.12</v>
      </c>
      <c r="I4243" s="19">
        <f t="shared" si="140"/>
        <v>0</v>
      </c>
    </row>
    <row r="4244" spans="1:9" ht="15.6" hidden="1">
      <c r="A4244" s="51" t="s">
        <v>7836</v>
      </c>
      <c r="B4244" s="5">
        <v>109387</v>
      </c>
      <c r="C4244" s="38" t="s">
        <v>7914</v>
      </c>
      <c r="D4244" s="38"/>
      <c r="E4244" s="104">
        <v>1</v>
      </c>
      <c r="F4244" s="9"/>
      <c r="G4244" s="8"/>
      <c r="H4244" s="43">
        <v>50.6</v>
      </c>
      <c r="I4244" s="19">
        <f t="shared" si="140"/>
        <v>0</v>
      </c>
    </row>
    <row r="4245" spans="1:9" ht="15.6" hidden="1">
      <c r="A4245" s="51" t="s">
        <v>7836</v>
      </c>
      <c r="B4245" s="5">
        <v>109388</v>
      </c>
      <c r="C4245" s="38" t="s">
        <v>7915</v>
      </c>
      <c r="D4245" s="38"/>
      <c r="E4245" s="104"/>
      <c r="F4245" s="9"/>
      <c r="G4245" s="8"/>
      <c r="H4245" s="43">
        <v>177.77</v>
      </c>
      <c r="I4245" s="19">
        <f t="shared" si="140"/>
        <v>0</v>
      </c>
    </row>
    <row r="4246" spans="1:9" ht="15.6" hidden="1">
      <c r="A4246" s="51" t="s">
        <v>7836</v>
      </c>
      <c r="B4246" s="5">
        <v>139812</v>
      </c>
      <c r="C4246" s="38" t="s">
        <v>7916</v>
      </c>
      <c r="D4246" s="38" t="s">
        <v>589</v>
      </c>
      <c r="E4246" s="104">
        <v>1</v>
      </c>
      <c r="F4246" s="9"/>
      <c r="G4246" s="8"/>
      <c r="H4246" s="43">
        <v>68.760000000000005</v>
      </c>
      <c r="I4246" s="19">
        <f t="shared" si="140"/>
        <v>0</v>
      </c>
    </row>
    <row r="4247" spans="1:9" ht="15.6" hidden="1">
      <c r="A4247" s="51" t="s">
        <v>7836</v>
      </c>
      <c r="B4247" s="5">
        <v>139827</v>
      </c>
      <c r="C4247" s="38" t="s">
        <v>7917</v>
      </c>
      <c r="D4247" s="38" t="s">
        <v>589</v>
      </c>
      <c r="E4247" s="104">
        <v>1</v>
      </c>
      <c r="F4247" s="9"/>
      <c r="G4247" s="8"/>
      <c r="H4247" s="43">
        <v>66.760000000000005</v>
      </c>
      <c r="I4247" s="19">
        <f t="shared" si="140"/>
        <v>0</v>
      </c>
    </row>
    <row r="4248" spans="1:9" ht="15.6" hidden="1">
      <c r="A4248" s="51" t="s">
        <v>7836</v>
      </c>
      <c r="B4248" s="5">
        <v>139823</v>
      </c>
      <c r="C4248" s="38" t="s">
        <v>7918</v>
      </c>
      <c r="D4248" s="38" t="s">
        <v>589</v>
      </c>
      <c r="E4248" s="104">
        <v>1</v>
      </c>
      <c r="F4248" s="9"/>
      <c r="G4248" s="8"/>
      <c r="H4248" s="43">
        <v>66.760000000000005</v>
      </c>
      <c r="I4248" s="19">
        <f t="shared" si="140"/>
        <v>0</v>
      </c>
    </row>
    <row r="4249" spans="1:9" ht="15.6" hidden="1">
      <c r="A4249" s="51" t="s">
        <v>7836</v>
      </c>
      <c r="B4249" s="5">
        <v>139820</v>
      </c>
      <c r="C4249" s="38" t="s">
        <v>7919</v>
      </c>
      <c r="D4249" s="38" t="s">
        <v>589</v>
      </c>
      <c r="E4249" s="104">
        <v>1</v>
      </c>
      <c r="F4249" s="9"/>
      <c r="G4249" s="8"/>
      <c r="H4249" s="43">
        <v>66.760000000000005</v>
      </c>
      <c r="I4249" s="19">
        <f t="shared" si="140"/>
        <v>0</v>
      </c>
    </row>
    <row r="4250" spans="1:9" ht="15.6" hidden="1">
      <c r="A4250" s="51" t="s">
        <v>7836</v>
      </c>
      <c r="B4250" s="5">
        <v>139818</v>
      </c>
      <c r="C4250" s="38" t="s">
        <v>7920</v>
      </c>
      <c r="D4250" s="38" t="s">
        <v>589</v>
      </c>
      <c r="E4250" s="104">
        <v>1</v>
      </c>
      <c r="F4250" s="9"/>
      <c r="G4250" s="8"/>
      <c r="H4250" s="43">
        <v>75.73</v>
      </c>
      <c r="I4250" s="19">
        <f t="shared" si="140"/>
        <v>0</v>
      </c>
    </row>
    <row r="4251" spans="1:9" ht="15.6" hidden="1">
      <c r="A4251" s="51" t="s">
        <v>7836</v>
      </c>
      <c r="B4251" s="5">
        <v>139816</v>
      </c>
      <c r="C4251" s="38" t="s">
        <v>7921</v>
      </c>
      <c r="D4251" s="38" t="s">
        <v>589</v>
      </c>
      <c r="E4251" s="104">
        <v>1</v>
      </c>
      <c r="F4251" s="9"/>
      <c r="G4251" s="8"/>
      <c r="H4251" s="43">
        <v>66.760000000000005</v>
      </c>
      <c r="I4251" s="19">
        <f t="shared" si="140"/>
        <v>0</v>
      </c>
    </row>
    <row r="4252" spans="1:9" ht="15.6" hidden="1">
      <c r="A4252" s="51" t="s">
        <v>7836</v>
      </c>
      <c r="B4252" s="5">
        <v>139815</v>
      </c>
      <c r="C4252" s="38" t="s">
        <v>7922</v>
      </c>
      <c r="D4252" s="38" t="s">
        <v>589</v>
      </c>
      <c r="E4252" s="104">
        <v>1</v>
      </c>
      <c r="F4252" s="9"/>
      <c r="G4252" s="8"/>
      <c r="H4252" s="43">
        <v>66.760000000000005</v>
      </c>
      <c r="I4252" s="19">
        <f t="shared" si="140"/>
        <v>0</v>
      </c>
    </row>
    <row r="4253" spans="1:9" ht="15.6" hidden="1">
      <c r="A4253" s="51" t="s">
        <v>7836</v>
      </c>
      <c r="B4253" s="5">
        <v>139819</v>
      </c>
      <c r="C4253" s="38" t="s">
        <v>7923</v>
      </c>
      <c r="D4253" s="38" t="s">
        <v>589</v>
      </c>
      <c r="E4253" s="104">
        <v>1</v>
      </c>
      <c r="F4253" s="9"/>
      <c r="G4253" s="8"/>
      <c r="H4253" s="43">
        <v>66.760000000000005</v>
      </c>
      <c r="I4253" s="19">
        <f t="shared" si="140"/>
        <v>0</v>
      </c>
    </row>
    <row r="4254" spans="1:9" ht="15.6" hidden="1">
      <c r="A4254" s="51" t="s">
        <v>7836</v>
      </c>
      <c r="B4254" s="5">
        <v>139813</v>
      </c>
      <c r="C4254" s="38" t="s">
        <v>7924</v>
      </c>
      <c r="D4254" s="38" t="s">
        <v>589</v>
      </c>
      <c r="E4254" s="104">
        <v>1</v>
      </c>
      <c r="F4254" s="9"/>
      <c r="G4254" s="8"/>
      <c r="H4254" s="43">
        <v>66.760000000000005</v>
      </c>
      <c r="I4254" s="19">
        <f t="shared" si="140"/>
        <v>0</v>
      </c>
    </row>
    <row r="4255" spans="1:9" ht="15.6" hidden="1">
      <c r="A4255" s="51" t="s">
        <v>7836</v>
      </c>
      <c r="B4255" s="5">
        <v>139817</v>
      </c>
      <c r="C4255" s="38" t="s">
        <v>7925</v>
      </c>
      <c r="D4255" s="38" t="s">
        <v>589</v>
      </c>
      <c r="E4255" s="104">
        <v>1</v>
      </c>
      <c r="F4255" s="9"/>
      <c r="G4255" s="8"/>
      <c r="H4255" s="43">
        <v>66.760000000000005</v>
      </c>
      <c r="I4255" s="19">
        <f t="shared" si="140"/>
        <v>0</v>
      </c>
    </row>
    <row r="4256" spans="1:9" ht="15.6" hidden="1">
      <c r="A4256" s="51" t="s">
        <v>7836</v>
      </c>
      <c r="B4256" s="5">
        <v>139814</v>
      </c>
      <c r="C4256" s="38" t="s">
        <v>7926</v>
      </c>
      <c r="D4256" s="38" t="s">
        <v>589</v>
      </c>
      <c r="E4256" s="104">
        <v>1</v>
      </c>
      <c r="F4256" s="9"/>
      <c r="G4256" s="8"/>
      <c r="H4256" s="43">
        <v>68.760000000000005</v>
      </c>
      <c r="I4256" s="19">
        <f t="shared" si="140"/>
        <v>0</v>
      </c>
    </row>
    <row r="4257" spans="1:9" ht="15.6" hidden="1">
      <c r="A4257" s="51" t="s">
        <v>7836</v>
      </c>
      <c r="B4257" s="5">
        <v>139825</v>
      </c>
      <c r="C4257" s="38" t="s">
        <v>7927</v>
      </c>
      <c r="D4257" s="38" t="s">
        <v>589</v>
      </c>
      <c r="E4257" s="104">
        <v>1</v>
      </c>
      <c r="F4257" s="9"/>
      <c r="G4257" s="8"/>
      <c r="H4257" s="43">
        <v>75.73</v>
      </c>
      <c r="I4257" s="19">
        <f t="shared" si="140"/>
        <v>0</v>
      </c>
    </row>
    <row r="4258" spans="1:9" ht="15.6" hidden="1">
      <c r="A4258" s="51" t="s">
        <v>7836</v>
      </c>
      <c r="B4258" s="5">
        <v>139829</v>
      </c>
      <c r="C4258" s="38" t="s">
        <v>7928</v>
      </c>
      <c r="D4258" s="38" t="s">
        <v>589</v>
      </c>
      <c r="E4258" s="104">
        <v>1</v>
      </c>
      <c r="F4258" s="9"/>
      <c r="G4258" s="8"/>
      <c r="H4258" s="43">
        <v>83.71</v>
      </c>
      <c r="I4258" s="19">
        <f t="shared" si="140"/>
        <v>0</v>
      </c>
    </row>
    <row r="4259" spans="1:9" ht="15.6" hidden="1">
      <c r="A4259" s="51" t="s">
        <v>7836</v>
      </c>
      <c r="B4259" s="5">
        <v>139821</v>
      </c>
      <c r="C4259" s="38" t="s">
        <v>7929</v>
      </c>
      <c r="D4259" s="38" t="s">
        <v>589</v>
      </c>
      <c r="E4259" s="104">
        <v>1</v>
      </c>
      <c r="F4259" s="9"/>
      <c r="G4259" s="8"/>
      <c r="H4259" s="43">
        <v>66.760000000000005</v>
      </c>
      <c r="I4259" s="19">
        <f t="shared" si="140"/>
        <v>0</v>
      </c>
    </row>
    <row r="4260" spans="1:9" ht="15.6" hidden="1">
      <c r="A4260" s="51" t="s">
        <v>7836</v>
      </c>
      <c r="B4260" s="5">
        <v>139826</v>
      </c>
      <c r="C4260" s="38" t="s">
        <v>7930</v>
      </c>
      <c r="D4260" s="38" t="s">
        <v>589</v>
      </c>
      <c r="E4260" s="104">
        <v>1</v>
      </c>
      <c r="F4260" s="9"/>
      <c r="G4260" s="8"/>
      <c r="H4260" s="43">
        <v>84.24</v>
      </c>
      <c r="I4260" s="19">
        <f t="shared" si="140"/>
        <v>0</v>
      </c>
    </row>
    <row r="4261" spans="1:9" ht="15.6" hidden="1">
      <c r="A4261" s="51" t="s">
        <v>7836</v>
      </c>
      <c r="B4261" s="5">
        <v>139824</v>
      </c>
      <c r="C4261" s="38" t="s">
        <v>7931</v>
      </c>
      <c r="D4261" s="38" t="s">
        <v>589</v>
      </c>
      <c r="E4261" s="104">
        <v>1</v>
      </c>
      <c r="F4261" s="9"/>
      <c r="G4261" s="8"/>
      <c r="H4261" s="43">
        <v>75.73</v>
      </c>
      <c r="I4261" s="19">
        <f t="shared" si="140"/>
        <v>0</v>
      </c>
    </row>
    <row r="4262" spans="1:9" ht="15.6" hidden="1">
      <c r="A4262" s="51" t="s">
        <v>7836</v>
      </c>
      <c r="B4262" s="5">
        <v>139828</v>
      </c>
      <c r="C4262" s="38" t="s">
        <v>7932</v>
      </c>
      <c r="D4262" s="38" t="s">
        <v>589</v>
      </c>
      <c r="E4262" s="104">
        <v>1</v>
      </c>
      <c r="F4262" s="9"/>
      <c r="G4262" s="8"/>
      <c r="H4262" s="43">
        <v>75.73</v>
      </c>
      <c r="I4262" s="19">
        <f t="shared" si="140"/>
        <v>0</v>
      </c>
    </row>
    <row r="4263" spans="1:9" ht="15.6" hidden="1">
      <c r="A4263" s="51" t="s">
        <v>7836</v>
      </c>
      <c r="B4263" s="5">
        <v>139822</v>
      </c>
      <c r="C4263" s="38" t="s">
        <v>7933</v>
      </c>
      <c r="D4263" s="38" t="s">
        <v>589</v>
      </c>
      <c r="E4263" s="104">
        <v>1</v>
      </c>
      <c r="F4263" s="9"/>
      <c r="G4263" s="8"/>
      <c r="H4263" s="43">
        <v>66.760000000000005</v>
      </c>
      <c r="I4263" s="19">
        <f t="shared" si="140"/>
        <v>0</v>
      </c>
    </row>
    <row r="4264" spans="1:9" ht="15.6" hidden="1">
      <c r="A4264" s="51" t="s">
        <v>7836</v>
      </c>
      <c r="B4264" s="5">
        <v>139845</v>
      </c>
      <c r="C4264" s="38" t="s">
        <v>7934</v>
      </c>
      <c r="D4264" s="38" t="s">
        <v>589</v>
      </c>
      <c r="E4264" s="104">
        <v>1</v>
      </c>
      <c r="F4264" s="9"/>
      <c r="G4264" s="8"/>
      <c r="H4264" s="43">
        <v>82.1</v>
      </c>
      <c r="I4264" s="19">
        <f t="shared" si="140"/>
        <v>0</v>
      </c>
    </row>
    <row r="4265" spans="1:9" ht="15.6" hidden="1">
      <c r="A4265" s="51" t="s">
        <v>7836</v>
      </c>
      <c r="B4265" s="5">
        <v>139836</v>
      </c>
      <c r="C4265" s="38" t="s">
        <v>7935</v>
      </c>
      <c r="D4265" s="38" t="s">
        <v>589</v>
      </c>
      <c r="E4265" s="104">
        <v>1</v>
      </c>
      <c r="F4265" s="9"/>
      <c r="G4265" s="8"/>
      <c r="H4265" s="43">
        <v>90.31</v>
      </c>
      <c r="I4265" s="19">
        <f t="shared" si="140"/>
        <v>0</v>
      </c>
    </row>
    <row r="4266" spans="1:9" ht="15.6" hidden="1">
      <c r="A4266" s="51" t="s">
        <v>7836</v>
      </c>
      <c r="B4266" s="5">
        <v>139833</v>
      </c>
      <c r="C4266" s="38" t="s">
        <v>7936</v>
      </c>
      <c r="D4266" s="38" t="s">
        <v>589</v>
      </c>
      <c r="E4266" s="104">
        <v>1</v>
      </c>
      <c r="F4266" s="9"/>
      <c r="G4266" s="8"/>
      <c r="H4266" s="43">
        <v>79.72</v>
      </c>
      <c r="I4266" s="19">
        <f t="shared" si="140"/>
        <v>0</v>
      </c>
    </row>
    <row r="4267" spans="1:9" ht="15.6" hidden="1">
      <c r="A4267" s="51" t="s">
        <v>7836</v>
      </c>
      <c r="B4267" s="5">
        <v>139843</v>
      </c>
      <c r="C4267" s="38" t="s">
        <v>7937</v>
      </c>
      <c r="D4267" s="38" t="s">
        <v>589</v>
      </c>
      <c r="E4267" s="104">
        <v>1</v>
      </c>
      <c r="F4267" s="9"/>
      <c r="G4267" s="8"/>
      <c r="H4267" s="43">
        <v>87.68</v>
      </c>
      <c r="I4267" s="19">
        <f t="shared" si="140"/>
        <v>0</v>
      </c>
    </row>
    <row r="4268" spans="1:9" ht="15.6" hidden="1">
      <c r="A4268" s="51" t="s">
        <v>7836</v>
      </c>
      <c r="B4268" s="5">
        <v>139842</v>
      </c>
      <c r="C4268" s="38" t="s">
        <v>7938</v>
      </c>
      <c r="D4268" s="38" t="s">
        <v>589</v>
      </c>
      <c r="E4268" s="104">
        <v>1</v>
      </c>
      <c r="F4268" s="9"/>
      <c r="G4268" s="8"/>
      <c r="H4268" s="43">
        <v>90.31</v>
      </c>
      <c r="I4268" s="19">
        <f t="shared" si="140"/>
        <v>0</v>
      </c>
    </row>
    <row r="4269" spans="1:9" ht="15.6" hidden="1">
      <c r="A4269" s="51" t="s">
        <v>7836</v>
      </c>
      <c r="B4269" s="5">
        <v>139851</v>
      </c>
      <c r="C4269" s="38" t="s">
        <v>7939</v>
      </c>
      <c r="D4269" s="38" t="s">
        <v>589</v>
      </c>
      <c r="E4269" s="104">
        <v>1</v>
      </c>
      <c r="F4269" s="9"/>
      <c r="G4269" s="8"/>
      <c r="H4269" s="43">
        <v>65.69</v>
      </c>
      <c r="I4269" s="19">
        <f t="shared" si="140"/>
        <v>0</v>
      </c>
    </row>
    <row r="4270" spans="1:9" ht="15.6" hidden="1">
      <c r="A4270" s="51" t="s">
        <v>7836</v>
      </c>
      <c r="B4270" s="5">
        <v>139866</v>
      </c>
      <c r="C4270" s="38" t="s">
        <v>7940</v>
      </c>
      <c r="D4270" s="38" t="s">
        <v>589</v>
      </c>
      <c r="E4270" s="104">
        <v>1</v>
      </c>
      <c r="F4270" s="9"/>
      <c r="G4270" s="8"/>
      <c r="H4270" s="43">
        <v>65.69</v>
      </c>
      <c r="I4270" s="19">
        <f t="shared" si="140"/>
        <v>0</v>
      </c>
    </row>
    <row r="4271" spans="1:9" ht="15.6" hidden="1">
      <c r="A4271" s="51" t="s">
        <v>7836</v>
      </c>
      <c r="B4271" s="5">
        <v>139862</v>
      </c>
      <c r="C4271" s="38" t="s">
        <v>7941</v>
      </c>
      <c r="D4271" s="38" t="s">
        <v>589</v>
      </c>
      <c r="E4271" s="104">
        <v>1</v>
      </c>
      <c r="F4271" s="9"/>
      <c r="G4271" s="8"/>
      <c r="H4271" s="43">
        <v>65.69</v>
      </c>
      <c r="I4271" s="19">
        <f t="shared" si="140"/>
        <v>0</v>
      </c>
    </row>
    <row r="4272" spans="1:9" ht="15.6" hidden="1">
      <c r="A4272" s="51" t="s">
        <v>7836</v>
      </c>
      <c r="B4272" s="5">
        <v>139859</v>
      </c>
      <c r="C4272" s="38" t="s">
        <v>7942</v>
      </c>
      <c r="D4272" s="38" t="s">
        <v>589</v>
      </c>
      <c r="E4272" s="104">
        <v>1</v>
      </c>
      <c r="F4272" s="9"/>
      <c r="G4272" s="8"/>
      <c r="H4272" s="43">
        <v>65.69</v>
      </c>
      <c r="I4272" s="19">
        <f t="shared" si="140"/>
        <v>0</v>
      </c>
    </row>
    <row r="4273" spans="1:9" ht="15.6" hidden="1">
      <c r="A4273" s="51" t="s">
        <v>7836</v>
      </c>
      <c r="B4273" s="5">
        <v>139857</v>
      </c>
      <c r="C4273" s="38" t="s">
        <v>7943</v>
      </c>
      <c r="D4273" s="38" t="s">
        <v>589</v>
      </c>
      <c r="E4273" s="104">
        <v>1</v>
      </c>
      <c r="F4273" s="9"/>
      <c r="G4273" s="8"/>
      <c r="H4273" s="43">
        <v>71.739999999999995</v>
      </c>
      <c r="I4273" s="19">
        <f t="shared" si="140"/>
        <v>0</v>
      </c>
    </row>
    <row r="4274" spans="1:9" ht="15.6" hidden="1">
      <c r="A4274" s="51" t="s">
        <v>7836</v>
      </c>
      <c r="B4274" s="5">
        <v>139855</v>
      </c>
      <c r="C4274" s="38" t="s">
        <v>7944</v>
      </c>
      <c r="D4274" s="38" t="s">
        <v>589</v>
      </c>
      <c r="E4274" s="104">
        <v>1</v>
      </c>
      <c r="F4274" s="9"/>
      <c r="G4274" s="8"/>
      <c r="H4274" s="43">
        <v>65.69</v>
      </c>
      <c r="I4274" s="19">
        <f t="shared" si="140"/>
        <v>0</v>
      </c>
    </row>
    <row r="4275" spans="1:9" ht="15.6" hidden="1">
      <c r="A4275" s="51" t="s">
        <v>7836</v>
      </c>
      <c r="B4275" s="5">
        <v>139854</v>
      </c>
      <c r="C4275" s="38" t="s">
        <v>7945</v>
      </c>
      <c r="D4275" s="38" t="s">
        <v>589</v>
      </c>
      <c r="E4275" s="104">
        <v>1</v>
      </c>
      <c r="F4275" s="9"/>
      <c r="G4275" s="8"/>
      <c r="H4275" s="43">
        <v>63.77</v>
      </c>
      <c r="I4275" s="19">
        <f t="shared" si="140"/>
        <v>0</v>
      </c>
    </row>
    <row r="4276" spans="1:9" ht="15.6" hidden="1">
      <c r="A4276" s="51" t="s">
        <v>7836</v>
      </c>
      <c r="B4276" s="5">
        <v>139858</v>
      </c>
      <c r="C4276" s="38" t="s">
        <v>7946</v>
      </c>
      <c r="D4276" s="38" t="s">
        <v>589</v>
      </c>
      <c r="E4276" s="104">
        <v>1</v>
      </c>
      <c r="F4276" s="9"/>
      <c r="G4276" s="8"/>
      <c r="H4276" s="43">
        <v>65.69</v>
      </c>
      <c r="I4276" s="19">
        <f t="shared" si="140"/>
        <v>0</v>
      </c>
    </row>
    <row r="4277" spans="1:9" ht="15.6" hidden="1">
      <c r="A4277" s="51" t="s">
        <v>7836</v>
      </c>
      <c r="B4277" s="5">
        <v>139852</v>
      </c>
      <c r="C4277" s="38" t="s">
        <v>7947</v>
      </c>
      <c r="D4277" s="38" t="s">
        <v>589</v>
      </c>
      <c r="E4277" s="104">
        <v>1</v>
      </c>
      <c r="F4277" s="9"/>
      <c r="G4277" s="8"/>
      <c r="H4277" s="43">
        <v>65.69</v>
      </c>
      <c r="I4277" s="19">
        <f t="shared" si="140"/>
        <v>0</v>
      </c>
    </row>
    <row r="4278" spans="1:9" ht="15.6" hidden="1">
      <c r="A4278" s="51" t="s">
        <v>7836</v>
      </c>
      <c r="B4278" s="5">
        <v>139856</v>
      </c>
      <c r="C4278" s="38" t="s">
        <v>7948</v>
      </c>
      <c r="D4278" s="38" t="s">
        <v>589</v>
      </c>
      <c r="E4278" s="104">
        <v>1</v>
      </c>
      <c r="F4278" s="9"/>
      <c r="G4278" s="8"/>
      <c r="H4278" s="43">
        <v>65.69</v>
      </c>
      <c r="I4278" s="19">
        <f t="shared" si="140"/>
        <v>0</v>
      </c>
    </row>
    <row r="4279" spans="1:9" ht="15.6" hidden="1">
      <c r="A4279" s="51" t="s">
        <v>7836</v>
      </c>
      <c r="B4279" s="5">
        <v>139853</v>
      </c>
      <c r="C4279" s="38" t="s">
        <v>7949</v>
      </c>
      <c r="D4279" s="38" t="s">
        <v>589</v>
      </c>
      <c r="E4279" s="104">
        <v>1</v>
      </c>
      <c r="F4279" s="9"/>
      <c r="G4279" s="8"/>
      <c r="H4279" s="43">
        <v>65.69</v>
      </c>
      <c r="I4279" s="19">
        <f t="shared" si="140"/>
        <v>0</v>
      </c>
    </row>
    <row r="4280" spans="1:9" ht="15.6" hidden="1">
      <c r="A4280" s="51" t="s">
        <v>7836</v>
      </c>
      <c r="B4280" s="5">
        <v>139864</v>
      </c>
      <c r="C4280" s="38" t="s">
        <v>7950</v>
      </c>
      <c r="D4280" s="38" t="s">
        <v>589</v>
      </c>
      <c r="E4280" s="104">
        <v>1</v>
      </c>
      <c r="F4280" s="9"/>
      <c r="G4280" s="8"/>
      <c r="H4280" s="43">
        <v>71.739999999999995</v>
      </c>
      <c r="I4280" s="19">
        <f t="shared" si="140"/>
        <v>0</v>
      </c>
    </row>
    <row r="4281" spans="1:9" ht="15.6" hidden="1">
      <c r="A4281" s="51" t="s">
        <v>7836</v>
      </c>
      <c r="B4281" s="5">
        <v>139868</v>
      </c>
      <c r="C4281" s="38" t="s">
        <v>7951</v>
      </c>
      <c r="D4281" s="38" t="s">
        <v>589</v>
      </c>
      <c r="E4281" s="104">
        <v>1</v>
      </c>
      <c r="F4281" s="9"/>
      <c r="G4281" s="8"/>
      <c r="H4281" s="43">
        <v>79.72</v>
      </c>
      <c r="I4281" s="19">
        <f t="shared" si="140"/>
        <v>0</v>
      </c>
    </row>
    <row r="4282" spans="1:9" ht="15.6" hidden="1">
      <c r="A4282" s="51" t="s">
        <v>7836</v>
      </c>
      <c r="B4282" s="5">
        <v>139860</v>
      </c>
      <c r="C4282" s="38" t="s">
        <v>7952</v>
      </c>
      <c r="D4282" s="38" t="s">
        <v>589</v>
      </c>
      <c r="E4282" s="104">
        <v>1</v>
      </c>
      <c r="F4282" s="9"/>
      <c r="G4282" s="8"/>
      <c r="H4282" s="43">
        <v>65.69</v>
      </c>
      <c r="I4282" s="19">
        <f t="shared" si="140"/>
        <v>0</v>
      </c>
    </row>
    <row r="4283" spans="1:9" ht="15.6" hidden="1">
      <c r="A4283" s="51" t="s">
        <v>7836</v>
      </c>
      <c r="B4283" s="5">
        <v>139865</v>
      </c>
      <c r="C4283" s="38" t="s">
        <v>7953</v>
      </c>
      <c r="D4283" s="38" t="s">
        <v>589</v>
      </c>
      <c r="E4283" s="104">
        <v>1</v>
      </c>
      <c r="F4283" s="9"/>
      <c r="G4283" s="8"/>
      <c r="H4283" s="43">
        <v>82.1</v>
      </c>
      <c r="I4283" s="19">
        <f t="shared" si="140"/>
        <v>0</v>
      </c>
    </row>
    <row r="4284" spans="1:9" ht="15.6" hidden="1">
      <c r="A4284" s="51" t="s">
        <v>7836</v>
      </c>
      <c r="B4284" s="5">
        <v>139863</v>
      </c>
      <c r="C4284" s="38" t="s">
        <v>7954</v>
      </c>
      <c r="D4284" s="38" t="s">
        <v>589</v>
      </c>
      <c r="E4284" s="104">
        <v>1</v>
      </c>
      <c r="F4284" s="9"/>
      <c r="G4284" s="8"/>
      <c r="H4284" s="43">
        <v>71.739999999999995</v>
      </c>
      <c r="I4284" s="19">
        <f t="shared" si="140"/>
        <v>0</v>
      </c>
    </row>
    <row r="4285" spans="1:9" ht="15.6" hidden="1">
      <c r="A4285" s="51" t="s">
        <v>7836</v>
      </c>
      <c r="B4285" s="5">
        <v>139867</v>
      </c>
      <c r="C4285" s="38" t="s">
        <v>7955</v>
      </c>
      <c r="D4285" s="38" t="s">
        <v>589</v>
      </c>
      <c r="E4285" s="104">
        <v>1</v>
      </c>
      <c r="F4285" s="9"/>
      <c r="G4285" s="8"/>
      <c r="H4285" s="43">
        <v>73.900000000000006</v>
      </c>
      <c r="I4285" s="19">
        <f t="shared" si="140"/>
        <v>0</v>
      </c>
    </row>
    <row r="4286" spans="1:9" ht="15.6" hidden="1">
      <c r="A4286" s="51" t="s">
        <v>7836</v>
      </c>
      <c r="B4286" s="5">
        <v>139861</v>
      </c>
      <c r="C4286" s="38" t="s">
        <v>7956</v>
      </c>
      <c r="D4286" s="38" t="s">
        <v>589</v>
      </c>
      <c r="E4286" s="104">
        <v>1</v>
      </c>
      <c r="F4286" s="9"/>
      <c r="G4286" s="8"/>
      <c r="H4286" s="43">
        <v>65.69</v>
      </c>
      <c r="I4286" s="19">
        <f t="shared" si="140"/>
        <v>0</v>
      </c>
    </row>
    <row r="4287" spans="1:9" ht="15.6" hidden="1">
      <c r="A4287" s="51" t="s">
        <v>7836</v>
      </c>
      <c r="B4287" s="5">
        <v>139942</v>
      </c>
      <c r="C4287" s="38" t="s">
        <v>7957</v>
      </c>
      <c r="D4287" s="38"/>
      <c r="E4287" s="104">
        <v>1</v>
      </c>
      <c r="F4287" s="9"/>
      <c r="G4287" s="8"/>
      <c r="H4287" s="43">
        <v>25.7</v>
      </c>
      <c r="I4287" s="19">
        <f t="shared" si="140"/>
        <v>0</v>
      </c>
    </row>
    <row r="4288" spans="1:9" ht="15.6" hidden="1">
      <c r="A4288" s="51" t="s">
        <v>7836</v>
      </c>
      <c r="B4288" s="5">
        <v>139957</v>
      </c>
      <c r="C4288" s="38" t="s">
        <v>7958</v>
      </c>
      <c r="D4288" s="38"/>
      <c r="E4288" s="104">
        <v>1</v>
      </c>
      <c r="F4288" s="9"/>
      <c r="G4288" s="8"/>
      <c r="H4288" s="43">
        <v>25.7</v>
      </c>
      <c r="I4288" s="19">
        <f t="shared" si="140"/>
        <v>0</v>
      </c>
    </row>
    <row r="4289" spans="1:9" ht="15.6" hidden="1">
      <c r="A4289" s="51" t="s">
        <v>7836</v>
      </c>
      <c r="B4289" s="5">
        <v>139953</v>
      </c>
      <c r="C4289" s="38" t="s">
        <v>7959</v>
      </c>
      <c r="D4289" s="38"/>
      <c r="E4289" s="104">
        <v>1</v>
      </c>
      <c r="F4289" s="9"/>
      <c r="G4289" s="8"/>
      <c r="H4289" s="43">
        <v>25.7</v>
      </c>
      <c r="I4289" s="19">
        <f t="shared" si="140"/>
        <v>0</v>
      </c>
    </row>
    <row r="4290" spans="1:9" ht="15.6" hidden="1">
      <c r="A4290" s="51" t="s">
        <v>7836</v>
      </c>
      <c r="B4290" s="5">
        <v>139950</v>
      </c>
      <c r="C4290" s="38" t="s">
        <v>7960</v>
      </c>
      <c r="D4290" s="38"/>
      <c r="E4290" s="104">
        <v>1</v>
      </c>
      <c r="F4290" s="9"/>
      <c r="G4290" s="8"/>
      <c r="H4290" s="43">
        <v>25.7</v>
      </c>
      <c r="I4290" s="19">
        <f t="shared" si="140"/>
        <v>0</v>
      </c>
    </row>
    <row r="4291" spans="1:9" ht="15.6" hidden="1">
      <c r="A4291" s="51" t="s">
        <v>7836</v>
      </c>
      <c r="B4291" s="5">
        <v>139948</v>
      </c>
      <c r="C4291" s="38" t="s">
        <v>7961</v>
      </c>
      <c r="D4291" s="38"/>
      <c r="E4291" s="104">
        <v>1</v>
      </c>
      <c r="F4291" s="9"/>
      <c r="G4291" s="8"/>
      <c r="H4291" s="43">
        <v>24.95</v>
      </c>
      <c r="I4291" s="19">
        <f t="shared" si="140"/>
        <v>0</v>
      </c>
    </row>
    <row r="4292" spans="1:9" ht="15.6" hidden="1">
      <c r="A4292" s="51" t="s">
        <v>7836</v>
      </c>
      <c r="B4292" s="5">
        <v>139946</v>
      </c>
      <c r="C4292" s="38" t="s">
        <v>7962</v>
      </c>
      <c r="D4292" s="38"/>
      <c r="E4292" s="104">
        <v>1</v>
      </c>
      <c r="F4292" s="9"/>
      <c r="G4292" s="8"/>
      <c r="H4292" s="43">
        <v>25.7</v>
      </c>
      <c r="I4292" s="19">
        <f t="shared" si="140"/>
        <v>0</v>
      </c>
    </row>
    <row r="4293" spans="1:9" ht="15.6" hidden="1">
      <c r="A4293" s="51" t="s">
        <v>7836</v>
      </c>
      <c r="B4293" s="5">
        <v>139945</v>
      </c>
      <c r="C4293" s="38" t="s">
        <v>7963</v>
      </c>
      <c r="D4293" s="38"/>
      <c r="E4293" s="104">
        <v>1</v>
      </c>
      <c r="F4293" s="9"/>
      <c r="G4293" s="8"/>
      <c r="H4293" s="43">
        <v>25.7</v>
      </c>
      <c r="I4293" s="19">
        <f t="shared" si="140"/>
        <v>0</v>
      </c>
    </row>
    <row r="4294" spans="1:9" ht="15.6" hidden="1">
      <c r="A4294" s="51" t="s">
        <v>7836</v>
      </c>
      <c r="B4294" s="5">
        <v>139949</v>
      </c>
      <c r="C4294" s="38" t="s">
        <v>7964</v>
      </c>
      <c r="D4294" s="38"/>
      <c r="E4294" s="104">
        <v>1</v>
      </c>
      <c r="F4294" s="9"/>
      <c r="G4294" s="8"/>
      <c r="H4294" s="43">
        <v>25.7</v>
      </c>
      <c r="I4294" s="19">
        <f t="shared" si="140"/>
        <v>0</v>
      </c>
    </row>
    <row r="4295" spans="1:9" ht="15.6" hidden="1">
      <c r="A4295" s="51" t="s">
        <v>7836</v>
      </c>
      <c r="B4295" s="5">
        <v>139943</v>
      </c>
      <c r="C4295" s="38" t="s">
        <v>7965</v>
      </c>
      <c r="D4295" s="38"/>
      <c r="E4295" s="104">
        <v>1</v>
      </c>
      <c r="F4295" s="9"/>
      <c r="G4295" s="8"/>
      <c r="H4295" s="43">
        <v>25.7</v>
      </c>
      <c r="I4295" s="19">
        <f t="shared" si="140"/>
        <v>0</v>
      </c>
    </row>
    <row r="4296" spans="1:9" ht="15.6" hidden="1">
      <c r="A4296" s="51" t="s">
        <v>7836</v>
      </c>
      <c r="B4296" s="5">
        <v>139947</v>
      </c>
      <c r="C4296" s="38" t="s">
        <v>7966</v>
      </c>
      <c r="D4296" s="38"/>
      <c r="E4296" s="104">
        <v>1</v>
      </c>
      <c r="F4296" s="9"/>
      <c r="G4296" s="8"/>
      <c r="H4296" s="43">
        <v>25.7</v>
      </c>
      <c r="I4296" s="19">
        <f t="shared" si="140"/>
        <v>0</v>
      </c>
    </row>
    <row r="4297" spans="1:9" ht="15.6" hidden="1">
      <c r="A4297" s="51" t="s">
        <v>7836</v>
      </c>
      <c r="B4297" s="5">
        <v>139944</v>
      </c>
      <c r="C4297" s="38" t="s">
        <v>7967</v>
      </c>
      <c r="D4297" s="38"/>
      <c r="E4297" s="104">
        <v>1</v>
      </c>
      <c r="F4297" s="9"/>
      <c r="G4297" s="8"/>
      <c r="H4297" s="43">
        <v>25.7</v>
      </c>
      <c r="I4297" s="19">
        <f t="shared" si="140"/>
        <v>0</v>
      </c>
    </row>
    <row r="4298" spans="1:9" ht="15.6" hidden="1">
      <c r="A4298" s="51" t="s">
        <v>7836</v>
      </c>
      <c r="B4298" s="5">
        <v>139955</v>
      </c>
      <c r="C4298" s="38" t="s">
        <v>7968</v>
      </c>
      <c r="D4298" s="38"/>
      <c r="E4298" s="104">
        <v>1</v>
      </c>
      <c r="F4298" s="9"/>
      <c r="G4298" s="8"/>
      <c r="H4298" s="43">
        <v>24.95</v>
      </c>
      <c r="I4298" s="19">
        <f t="shared" si="140"/>
        <v>0</v>
      </c>
    </row>
    <row r="4299" spans="1:9" ht="15.6" hidden="1">
      <c r="A4299" s="51" t="s">
        <v>7836</v>
      </c>
      <c r="B4299" s="5">
        <v>139959</v>
      </c>
      <c r="C4299" s="38" t="s">
        <v>7969</v>
      </c>
      <c r="D4299" s="38"/>
      <c r="E4299" s="104">
        <v>1</v>
      </c>
      <c r="F4299" s="9"/>
      <c r="G4299" s="8"/>
      <c r="H4299" s="43">
        <v>24.95</v>
      </c>
      <c r="I4299" s="19">
        <f t="shared" si="140"/>
        <v>0</v>
      </c>
    </row>
    <row r="4300" spans="1:9" ht="15.6" hidden="1">
      <c r="A4300" s="51" t="s">
        <v>7836</v>
      </c>
      <c r="B4300" s="5">
        <v>139951</v>
      </c>
      <c r="C4300" s="38" t="s">
        <v>7970</v>
      </c>
      <c r="D4300" s="38"/>
      <c r="E4300" s="104">
        <v>1</v>
      </c>
      <c r="F4300" s="9"/>
      <c r="G4300" s="8"/>
      <c r="H4300" s="43">
        <v>25.7</v>
      </c>
      <c r="I4300" s="19">
        <f t="shared" si="140"/>
        <v>0</v>
      </c>
    </row>
    <row r="4301" spans="1:9" ht="15.6" hidden="1">
      <c r="A4301" s="51" t="s">
        <v>7836</v>
      </c>
      <c r="B4301" s="5">
        <v>105502</v>
      </c>
      <c r="C4301" s="38" t="s">
        <v>7971</v>
      </c>
      <c r="D4301" s="38"/>
      <c r="E4301" s="104">
        <v>1</v>
      </c>
      <c r="F4301" s="9"/>
      <c r="G4301" s="8"/>
      <c r="H4301" s="43">
        <v>2.59</v>
      </c>
      <c r="I4301" s="19">
        <f t="shared" si="140"/>
        <v>0</v>
      </c>
    </row>
    <row r="4302" spans="1:9" ht="15.6" hidden="1">
      <c r="A4302" s="51" t="s">
        <v>7836</v>
      </c>
      <c r="B4302" s="5">
        <v>105895</v>
      </c>
      <c r="C4302" s="38" t="s">
        <v>7972</v>
      </c>
      <c r="D4302" s="38"/>
      <c r="E4302" s="104">
        <v>1</v>
      </c>
      <c r="F4302" s="9"/>
      <c r="G4302" s="8"/>
      <c r="H4302" s="43">
        <v>3.32</v>
      </c>
      <c r="I4302" s="19">
        <f t="shared" si="140"/>
        <v>0</v>
      </c>
    </row>
    <row r="4303" spans="1:9" ht="15.6" hidden="1">
      <c r="A4303" s="51" t="s">
        <v>7836</v>
      </c>
      <c r="B4303" s="5">
        <v>105897</v>
      </c>
      <c r="C4303" s="38" t="s">
        <v>7973</v>
      </c>
      <c r="D4303" s="38"/>
      <c r="E4303" s="104">
        <v>1</v>
      </c>
      <c r="F4303" s="9"/>
      <c r="G4303" s="8"/>
      <c r="H4303" s="43">
        <v>3.71</v>
      </c>
      <c r="I4303" s="19">
        <f t="shared" si="140"/>
        <v>0</v>
      </c>
    </row>
    <row r="4304" spans="1:9" ht="15.6" hidden="1">
      <c r="A4304" s="51" t="s">
        <v>7836</v>
      </c>
      <c r="B4304" s="5">
        <v>106072</v>
      </c>
      <c r="C4304" s="38" t="s">
        <v>7974</v>
      </c>
      <c r="D4304" s="38"/>
      <c r="E4304" s="104">
        <v>1</v>
      </c>
      <c r="F4304" s="9"/>
      <c r="G4304" s="8"/>
      <c r="H4304" s="43">
        <v>7.06</v>
      </c>
      <c r="I4304" s="19">
        <f t="shared" si="140"/>
        <v>0</v>
      </c>
    </row>
    <row r="4305" spans="1:9" ht="15.6" hidden="1">
      <c r="A4305" s="51" t="s">
        <v>7836</v>
      </c>
      <c r="B4305" s="5">
        <v>106102</v>
      </c>
      <c r="C4305" s="38" t="s">
        <v>7975</v>
      </c>
      <c r="D4305" s="38"/>
      <c r="E4305" s="104">
        <v>1</v>
      </c>
      <c r="F4305" s="9"/>
      <c r="G4305" s="8"/>
      <c r="H4305" s="43">
        <v>16.34</v>
      </c>
      <c r="I4305" s="19">
        <f t="shared" si="140"/>
        <v>0</v>
      </c>
    </row>
    <row r="4306" spans="1:9" ht="15.6" hidden="1">
      <c r="A4306" s="51" t="s">
        <v>7836</v>
      </c>
      <c r="B4306" s="5">
        <v>106106</v>
      </c>
      <c r="C4306" s="38" t="s">
        <v>7976</v>
      </c>
      <c r="D4306" s="38"/>
      <c r="E4306" s="104">
        <v>1</v>
      </c>
      <c r="F4306" s="9"/>
      <c r="G4306" s="8"/>
      <c r="H4306" s="43">
        <v>17.34</v>
      </c>
      <c r="I4306" s="19">
        <f t="shared" si="140"/>
        <v>0</v>
      </c>
    </row>
    <row r="4307" spans="1:9" ht="15.6" hidden="1">
      <c r="A4307" s="51" t="s">
        <v>7836</v>
      </c>
      <c r="B4307" s="5">
        <v>106131</v>
      </c>
      <c r="C4307" s="38" t="s">
        <v>7977</v>
      </c>
      <c r="D4307" s="38"/>
      <c r="E4307" s="104">
        <v>1</v>
      </c>
      <c r="F4307" s="9"/>
      <c r="G4307" s="8"/>
      <c r="H4307" s="43">
        <v>7.74</v>
      </c>
      <c r="I4307" s="19">
        <f t="shared" si="140"/>
        <v>0</v>
      </c>
    </row>
    <row r="4308" spans="1:9" ht="15.6" hidden="1">
      <c r="A4308" s="51" t="s">
        <v>7836</v>
      </c>
      <c r="B4308" s="5">
        <v>106203</v>
      </c>
      <c r="C4308" s="38" t="s">
        <v>7978</v>
      </c>
      <c r="D4308" s="38"/>
      <c r="E4308" s="104">
        <v>1</v>
      </c>
      <c r="F4308" s="9"/>
      <c r="G4308" s="8"/>
      <c r="H4308" s="43">
        <v>5.41</v>
      </c>
      <c r="I4308" s="19">
        <f t="shared" si="140"/>
        <v>0</v>
      </c>
    </row>
    <row r="4309" spans="1:9" ht="15.6" hidden="1">
      <c r="A4309" s="51" t="s">
        <v>7836</v>
      </c>
      <c r="B4309" s="5">
        <v>106232</v>
      </c>
      <c r="C4309" s="38" t="s">
        <v>7979</v>
      </c>
      <c r="D4309" s="38"/>
      <c r="E4309" s="104">
        <v>1</v>
      </c>
      <c r="F4309" s="9"/>
      <c r="G4309" s="8"/>
      <c r="H4309" s="43">
        <v>11.46</v>
      </c>
      <c r="I4309" s="19">
        <f t="shared" si="140"/>
        <v>0</v>
      </c>
    </row>
    <row r="4310" spans="1:9" ht="15.6" hidden="1">
      <c r="A4310" s="51" t="s">
        <v>7836</v>
      </c>
      <c r="B4310" s="5">
        <v>106340</v>
      </c>
      <c r="C4310" s="38" t="s">
        <v>7980</v>
      </c>
      <c r="D4310" s="38"/>
      <c r="E4310" s="104">
        <v>1</v>
      </c>
      <c r="F4310" s="9"/>
      <c r="G4310" s="8"/>
      <c r="H4310" s="43">
        <v>6.38</v>
      </c>
      <c r="I4310" s="19">
        <f t="shared" si="140"/>
        <v>0</v>
      </c>
    </row>
    <row r="4311" spans="1:9" ht="15.6" hidden="1">
      <c r="A4311" s="51" t="s">
        <v>7836</v>
      </c>
      <c r="B4311" s="5">
        <v>106365</v>
      </c>
      <c r="C4311" s="38" t="s">
        <v>7981</v>
      </c>
      <c r="D4311" s="38"/>
      <c r="E4311" s="104">
        <v>1</v>
      </c>
      <c r="F4311" s="9"/>
      <c r="G4311" s="8"/>
      <c r="H4311" s="43">
        <v>10.91</v>
      </c>
      <c r="I4311" s="19">
        <f t="shared" si="140"/>
        <v>0</v>
      </c>
    </row>
    <row r="4312" spans="1:9" ht="15.6" hidden="1">
      <c r="A4312" s="51" t="s">
        <v>7836</v>
      </c>
      <c r="B4312" s="5">
        <v>106375</v>
      </c>
      <c r="C4312" s="38" t="s">
        <v>7982</v>
      </c>
      <c r="D4312" s="38"/>
      <c r="E4312" s="104">
        <v>1</v>
      </c>
      <c r="F4312" s="9"/>
      <c r="G4312" s="8"/>
      <c r="H4312" s="43">
        <v>8.08</v>
      </c>
      <c r="I4312" s="19">
        <f t="shared" si="140"/>
        <v>0</v>
      </c>
    </row>
    <row r="4313" spans="1:9" ht="15.6" hidden="1">
      <c r="A4313" s="51" t="s">
        <v>7836</v>
      </c>
      <c r="B4313" s="5">
        <v>128736</v>
      </c>
      <c r="C4313" s="38" t="s">
        <v>7983</v>
      </c>
      <c r="D4313" s="38"/>
      <c r="E4313" s="104">
        <v>1</v>
      </c>
      <c r="F4313" s="9"/>
      <c r="G4313" s="8"/>
      <c r="H4313" s="43">
        <v>4.63</v>
      </c>
      <c r="I4313" s="19">
        <f t="shared" si="140"/>
        <v>0</v>
      </c>
    </row>
    <row r="4314" spans="1:9" ht="15.6" hidden="1">
      <c r="A4314" s="51" t="s">
        <v>7836</v>
      </c>
      <c r="B4314" s="5">
        <v>133871</v>
      </c>
      <c r="C4314" s="38" t="s">
        <v>7984</v>
      </c>
      <c r="D4314" s="38"/>
      <c r="E4314" s="104">
        <v>1</v>
      </c>
      <c r="F4314" s="9"/>
      <c r="G4314" s="8"/>
      <c r="H4314" s="43">
        <v>9.9700000000000006</v>
      </c>
      <c r="I4314" s="19">
        <f t="shared" si="140"/>
        <v>0</v>
      </c>
    </row>
    <row r="4315" spans="1:9" ht="15.6" hidden="1">
      <c r="A4315" s="51" t="s">
        <v>7836</v>
      </c>
      <c r="B4315" s="5">
        <v>133873</v>
      </c>
      <c r="C4315" s="38" t="s">
        <v>7985</v>
      </c>
      <c r="D4315" s="38"/>
      <c r="E4315" s="104">
        <v>1</v>
      </c>
      <c r="F4315" s="9"/>
      <c r="G4315" s="8"/>
      <c r="H4315" s="43">
        <v>6.06</v>
      </c>
      <c r="I4315" s="19">
        <f t="shared" si="140"/>
        <v>0</v>
      </c>
    </row>
    <row r="4316" spans="1:9" ht="15.6" hidden="1">
      <c r="A4316" s="51" t="s">
        <v>7836</v>
      </c>
      <c r="B4316" s="5">
        <v>133875</v>
      </c>
      <c r="C4316" s="38" t="s">
        <v>7986</v>
      </c>
      <c r="D4316" s="38"/>
      <c r="E4316" s="104">
        <v>1</v>
      </c>
      <c r="F4316" s="9"/>
      <c r="G4316" s="8"/>
      <c r="H4316" s="43">
        <v>11.09</v>
      </c>
      <c r="I4316" s="19">
        <f t="shared" si="140"/>
        <v>0</v>
      </c>
    </row>
    <row r="4317" spans="1:9" ht="15.6" hidden="1">
      <c r="A4317" s="51" t="s">
        <v>7836</v>
      </c>
      <c r="B4317" s="5">
        <v>139185</v>
      </c>
      <c r="C4317" s="38" t="s">
        <v>7987</v>
      </c>
      <c r="D4317" s="38"/>
      <c r="E4317" s="104">
        <v>1</v>
      </c>
      <c r="F4317" s="9"/>
      <c r="G4317" s="8"/>
      <c r="H4317" s="43">
        <v>6.58</v>
      </c>
      <c r="I4317" s="19">
        <f t="shared" si="140"/>
        <v>0</v>
      </c>
    </row>
    <row r="4318" spans="1:9" ht="15.6" hidden="1">
      <c r="A4318" s="51" t="s">
        <v>7836</v>
      </c>
      <c r="B4318" s="5">
        <v>140990</v>
      </c>
      <c r="C4318" s="38" t="s">
        <v>7988</v>
      </c>
      <c r="D4318" s="38"/>
      <c r="E4318" s="104">
        <v>1</v>
      </c>
      <c r="F4318" s="9"/>
      <c r="G4318" s="8"/>
      <c r="H4318" s="43">
        <v>6.54</v>
      </c>
      <c r="I4318" s="19">
        <f t="shared" si="140"/>
        <v>0</v>
      </c>
    </row>
    <row r="4319" spans="1:9" ht="15.6" hidden="1">
      <c r="A4319" s="51" t="s">
        <v>7836</v>
      </c>
      <c r="B4319" s="5">
        <v>142031</v>
      </c>
      <c r="C4319" s="38" t="s">
        <v>7989</v>
      </c>
      <c r="D4319" s="38"/>
      <c r="E4319" s="104">
        <v>1</v>
      </c>
      <c r="F4319" s="9"/>
      <c r="G4319" s="8"/>
      <c r="H4319" s="43">
        <v>6.08</v>
      </c>
      <c r="I4319" s="19">
        <f t="shared" si="140"/>
        <v>0</v>
      </c>
    </row>
    <row r="4320" spans="1:9" ht="15.6" hidden="1">
      <c r="A4320" s="51" t="s">
        <v>7836</v>
      </c>
      <c r="B4320" s="5">
        <v>142865</v>
      </c>
      <c r="C4320" s="38" t="s">
        <v>7990</v>
      </c>
      <c r="D4320" s="38"/>
      <c r="E4320" s="104">
        <v>1</v>
      </c>
      <c r="F4320" s="9"/>
      <c r="G4320" s="8"/>
      <c r="H4320" s="43">
        <v>3.86</v>
      </c>
      <c r="I4320" s="19">
        <f t="shared" si="140"/>
        <v>0</v>
      </c>
    </row>
    <row r="4321" spans="1:9" ht="15.6" hidden="1">
      <c r="A4321" s="51" t="s">
        <v>7836</v>
      </c>
      <c r="B4321" s="5">
        <v>106237</v>
      </c>
      <c r="C4321" s="38" t="s">
        <v>7991</v>
      </c>
      <c r="D4321" s="38"/>
      <c r="E4321" s="104">
        <v>1</v>
      </c>
      <c r="F4321" s="9"/>
      <c r="G4321" s="8"/>
      <c r="H4321" s="43">
        <v>8.43</v>
      </c>
      <c r="I4321" s="19">
        <f t="shared" si="140"/>
        <v>0</v>
      </c>
    </row>
    <row r="4322" spans="1:9" ht="15.6" hidden="1">
      <c r="A4322" s="51" t="s">
        <v>7836</v>
      </c>
      <c r="B4322" s="5">
        <v>105911</v>
      </c>
      <c r="C4322" s="38" t="s">
        <v>7992</v>
      </c>
      <c r="D4322" s="38"/>
      <c r="E4322" s="104">
        <v>1</v>
      </c>
      <c r="F4322" s="9"/>
      <c r="G4322" s="8"/>
      <c r="H4322" s="43">
        <v>3.69</v>
      </c>
      <c r="I4322" s="19">
        <f t="shared" si="140"/>
        <v>0</v>
      </c>
    </row>
    <row r="4323" spans="1:9" ht="15.6" hidden="1">
      <c r="A4323" s="51" t="s">
        <v>7836</v>
      </c>
      <c r="B4323" s="5">
        <v>141693</v>
      </c>
      <c r="C4323" s="38" t="s">
        <v>7993</v>
      </c>
      <c r="D4323" s="38"/>
      <c r="E4323" s="104">
        <v>1</v>
      </c>
      <c r="F4323" s="9"/>
      <c r="G4323" s="8"/>
      <c r="H4323" s="43">
        <v>9.86</v>
      </c>
      <c r="I4323" s="19">
        <f t="shared" si="140"/>
        <v>0</v>
      </c>
    </row>
    <row r="4324" spans="1:9" ht="15.6" hidden="1">
      <c r="A4324" s="51" t="s">
        <v>7836</v>
      </c>
      <c r="B4324" s="5">
        <v>105910</v>
      </c>
      <c r="C4324" s="38" t="s">
        <v>7994</v>
      </c>
      <c r="D4324" s="38"/>
      <c r="E4324" s="104">
        <v>1</v>
      </c>
      <c r="F4324" s="9"/>
      <c r="G4324" s="8"/>
      <c r="H4324" s="43">
        <v>6.06</v>
      </c>
      <c r="I4324" s="19">
        <f t="shared" si="140"/>
        <v>0</v>
      </c>
    </row>
    <row r="4325" spans="1:9" ht="15.6" hidden="1">
      <c r="A4325" s="51" t="s">
        <v>7836</v>
      </c>
      <c r="B4325" s="5">
        <v>105901</v>
      </c>
      <c r="C4325" s="38" t="s">
        <v>7995</v>
      </c>
      <c r="D4325" s="38"/>
      <c r="E4325" s="104">
        <v>1</v>
      </c>
      <c r="F4325" s="9"/>
      <c r="G4325" s="8"/>
      <c r="H4325" s="43">
        <v>3.71</v>
      </c>
      <c r="I4325" s="19">
        <f t="shared" si="140"/>
        <v>0</v>
      </c>
    </row>
    <row r="4326" spans="1:9" ht="15.6" hidden="1">
      <c r="A4326" s="51" t="s">
        <v>7836</v>
      </c>
      <c r="B4326" s="5">
        <v>105907</v>
      </c>
      <c r="C4326" s="38" t="s">
        <v>7996</v>
      </c>
      <c r="D4326" s="38"/>
      <c r="E4326" s="104">
        <v>1</v>
      </c>
      <c r="F4326" s="9"/>
      <c r="G4326" s="8"/>
      <c r="H4326" s="43">
        <v>6.28</v>
      </c>
      <c r="I4326" s="19">
        <f t="shared" si="140"/>
        <v>0</v>
      </c>
    </row>
    <row r="4327" spans="1:9" ht="15.6" hidden="1">
      <c r="A4327" s="51" t="s">
        <v>7836</v>
      </c>
      <c r="B4327" s="5">
        <v>106074</v>
      </c>
      <c r="C4327" s="38" t="s">
        <v>7997</v>
      </c>
      <c r="D4327" s="38"/>
      <c r="E4327" s="104">
        <v>1</v>
      </c>
      <c r="F4327" s="9"/>
      <c r="G4327" s="8"/>
      <c r="H4327" s="43">
        <v>7.01</v>
      </c>
      <c r="I4327" s="19">
        <f t="shared" si="140"/>
        <v>0</v>
      </c>
    </row>
    <row r="4328" spans="1:9" ht="15.6" hidden="1">
      <c r="A4328" s="51" t="s">
        <v>7836</v>
      </c>
      <c r="B4328" s="5">
        <v>106078</v>
      </c>
      <c r="C4328" s="38" t="s">
        <v>7998</v>
      </c>
      <c r="D4328" s="38"/>
      <c r="E4328" s="104">
        <v>1</v>
      </c>
      <c r="F4328" s="9"/>
      <c r="G4328" s="8"/>
      <c r="H4328" s="43">
        <v>10.67</v>
      </c>
      <c r="I4328" s="19">
        <f t="shared" si="140"/>
        <v>0</v>
      </c>
    </row>
    <row r="4329" spans="1:9" ht="15.6" hidden="1">
      <c r="A4329" s="51" t="s">
        <v>7836</v>
      </c>
      <c r="B4329" s="5">
        <v>106132</v>
      </c>
      <c r="C4329" s="38" t="s">
        <v>7999</v>
      </c>
      <c r="D4329" s="38"/>
      <c r="E4329" s="104">
        <v>1</v>
      </c>
      <c r="F4329" s="9"/>
      <c r="G4329" s="8"/>
      <c r="H4329" s="43">
        <v>7.74</v>
      </c>
      <c r="I4329" s="19">
        <f t="shared" si="140"/>
        <v>0</v>
      </c>
    </row>
    <row r="4330" spans="1:9" ht="15.6" hidden="1">
      <c r="A4330" s="51" t="s">
        <v>7836</v>
      </c>
      <c r="B4330" s="5">
        <v>106244</v>
      </c>
      <c r="C4330" s="38" t="s">
        <v>8000</v>
      </c>
      <c r="D4330" s="38"/>
      <c r="E4330" s="104">
        <v>1</v>
      </c>
      <c r="F4330" s="9"/>
      <c r="G4330" s="8"/>
      <c r="H4330" s="43">
        <v>18.809999999999999</v>
      </c>
      <c r="I4330" s="19">
        <f t="shared" si="140"/>
        <v>0</v>
      </c>
    </row>
    <row r="4331" spans="1:9" ht="15.6" hidden="1">
      <c r="A4331" s="51" t="s">
        <v>7836</v>
      </c>
      <c r="B4331" s="5">
        <v>133425</v>
      </c>
      <c r="C4331" s="38" t="s">
        <v>8001</v>
      </c>
      <c r="D4331" s="38"/>
      <c r="E4331" s="104">
        <v>1</v>
      </c>
      <c r="F4331" s="9"/>
      <c r="G4331" s="8"/>
      <c r="H4331" s="43">
        <v>8.01</v>
      </c>
      <c r="I4331" s="19">
        <f t="shared" si="140"/>
        <v>0</v>
      </c>
    </row>
    <row r="4332" spans="1:9" ht="15.6" hidden="1">
      <c r="A4332" s="51" t="s">
        <v>7836</v>
      </c>
      <c r="B4332" s="5">
        <v>133870</v>
      </c>
      <c r="C4332" s="38" t="s">
        <v>8002</v>
      </c>
      <c r="D4332" s="38"/>
      <c r="E4332" s="104">
        <v>1</v>
      </c>
      <c r="F4332" s="9"/>
      <c r="G4332" s="8"/>
      <c r="H4332" s="43">
        <v>9.99</v>
      </c>
      <c r="I4332" s="19">
        <f t="shared" si="140"/>
        <v>0</v>
      </c>
    </row>
    <row r="4333" spans="1:9" ht="15.6" hidden="1">
      <c r="A4333" s="51" t="s">
        <v>7836</v>
      </c>
      <c r="B4333" s="5">
        <v>133872</v>
      </c>
      <c r="C4333" s="38" t="s">
        <v>8003</v>
      </c>
      <c r="D4333" s="38"/>
      <c r="E4333" s="104">
        <v>1</v>
      </c>
      <c r="F4333" s="9"/>
      <c r="G4333" s="8"/>
      <c r="H4333" s="43">
        <v>6.87</v>
      </c>
      <c r="I4333" s="19">
        <f t="shared" si="140"/>
        <v>0</v>
      </c>
    </row>
    <row r="4334" spans="1:9" ht="15.6" hidden="1">
      <c r="A4334" s="51" t="s">
        <v>7836</v>
      </c>
      <c r="B4334" s="5">
        <v>133874</v>
      </c>
      <c r="C4334" s="38" t="s">
        <v>8004</v>
      </c>
      <c r="D4334" s="38"/>
      <c r="E4334" s="104">
        <v>1</v>
      </c>
      <c r="F4334" s="9"/>
      <c r="G4334" s="8"/>
      <c r="H4334" s="43">
        <v>11.46</v>
      </c>
      <c r="I4334" s="19">
        <f t="shared" si="140"/>
        <v>0</v>
      </c>
    </row>
    <row r="4335" spans="1:9" ht="15.6" hidden="1">
      <c r="A4335" s="51" t="s">
        <v>7836</v>
      </c>
      <c r="B4335" s="5">
        <v>105914</v>
      </c>
      <c r="C4335" s="38" t="s">
        <v>8005</v>
      </c>
      <c r="D4335" s="38"/>
      <c r="E4335" s="104">
        <v>1</v>
      </c>
      <c r="F4335" s="9"/>
      <c r="G4335" s="8"/>
      <c r="H4335" s="43">
        <v>2.88</v>
      </c>
      <c r="I4335" s="19">
        <f t="shared" si="140"/>
        <v>0</v>
      </c>
    </row>
    <row r="4336" spans="1:9" ht="15.6" hidden="1">
      <c r="A4336" s="51" t="s">
        <v>7836</v>
      </c>
      <c r="B4336" s="5">
        <v>105915</v>
      </c>
      <c r="C4336" s="38" t="s">
        <v>8006</v>
      </c>
      <c r="D4336" s="38"/>
      <c r="E4336" s="104">
        <v>1</v>
      </c>
      <c r="F4336" s="9"/>
      <c r="G4336" s="8"/>
      <c r="H4336" s="43">
        <v>2.2400000000000002</v>
      </c>
      <c r="I4336" s="19">
        <f t="shared" si="140"/>
        <v>0</v>
      </c>
    </row>
    <row r="4337" spans="1:9" ht="15.6" hidden="1">
      <c r="A4337" s="51" t="s">
        <v>7836</v>
      </c>
      <c r="B4337" s="5">
        <v>134307</v>
      </c>
      <c r="C4337" s="38" t="s">
        <v>8007</v>
      </c>
      <c r="D4337" s="38"/>
      <c r="E4337" s="104">
        <v>1</v>
      </c>
      <c r="F4337" s="9"/>
      <c r="G4337" s="8"/>
      <c r="H4337" s="43">
        <v>4.0199999999999996</v>
      </c>
      <c r="I4337" s="19">
        <f t="shared" si="140"/>
        <v>0</v>
      </c>
    </row>
    <row r="4338" spans="1:9" ht="15.6" hidden="1">
      <c r="A4338" s="51" t="s">
        <v>7836</v>
      </c>
      <c r="B4338" s="5">
        <v>134720</v>
      </c>
      <c r="C4338" s="38" t="s">
        <v>8008</v>
      </c>
      <c r="D4338" s="38"/>
      <c r="E4338" s="104">
        <v>1</v>
      </c>
      <c r="F4338" s="9"/>
      <c r="G4338" s="8"/>
      <c r="H4338" s="43">
        <v>1.9</v>
      </c>
      <c r="I4338" s="19">
        <f t="shared" si="140"/>
        <v>0</v>
      </c>
    </row>
    <row r="4339" spans="1:9" ht="15.6" hidden="1">
      <c r="A4339" s="51" t="s">
        <v>7836</v>
      </c>
      <c r="B4339" s="5">
        <v>140351</v>
      </c>
      <c r="C4339" s="38" t="s">
        <v>8007</v>
      </c>
      <c r="D4339" s="38"/>
      <c r="E4339" s="104">
        <v>1</v>
      </c>
      <c r="F4339" s="9"/>
      <c r="G4339" s="8"/>
      <c r="H4339" s="43">
        <v>4.0199999999999996</v>
      </c>
      <c r="I4339" s="19">
        <f t="shared" si="140"/>
        <v>0</v>
      </c>
    </row>
    <row r="4340" spans="1:9" ht="15.6" hidden="1">
      <c r="A4340" s="51" t="s">
        <v>7836</v>
      </c>
      <c r="B4340" s="5">
        <v>142866</v>
      </c>
      <c r="C4340" s="38" t="s">
        <v>8009</v>
      </c>
      <c r="D4340" s="38"/>
      <c r="E4340" s="104">
        <v>1</v>
      </c>
      <c r="F4340" s="9"/>
      <c r="G4340" s="8"/>
      <c r="H4340" s="43">
        <v>2.38</v>
      </c>
      <c r="I4340" s="19">
        <f t="shared" si="140"/>
        <v>0</v>
      </c>
    </row>
    <row r="4341" spans="1:9" ht="15.6" hidden="1">
      <c r="A4341" s="51" t="s">
        <v>7836</v>
      </c>
      <c r="B4341" s="5">
        <v>105891</v>
      </c>
      <c r="C4341" s="38" t="s">
        <v>8010</v>
      </c>
      <c r="D4341" s="38"/>
      <c r="E4341" s="104">
        <v>1</v>
      </c>
      <c r="F4341" s="9"/>
      <c r="G4341" s="8"/>
      <c r="H4341" s="43">
        <v>3.69</v>
      </c>
      <c r="I4341" s="19">
        <f t="shared" si="140"/>
        <v>0</v>
      </c>
    </row>
    <row r="4342" spans="1:9" ht="15.6" hidden="1">
      <c r="A4342" s="51" t="s">
        <v>7836</v>
      </c>
      <c r="B4342" s="5">
        <v>105892</v>
      </c>
      <c r="C4342" s="38" t="s">
        <v>8011</v>
      </c>
      <c r="D4342" s="38"/>
      <c r="E4342" s="104">
        <v>1</v>
      </c>
      <c r="F4342" s="9"/>
      <c r="G4342" s="8"/>
      <c r="H4342" s="43">
        <v>3.69</v>
      </c>
      <c r="I4342" s="19">
        <f t="shared" si="140"/>
        <v>0</v>
      </c>
    </row>
    <row r="4343" spans="1:9" ht="15.6" hidden="1">
      <c r="A4343" s="51" t="s">
        <v>7836</v>
      </c>
      <c r="B4343" s="5">
        <v>105893</v>
      </c>
      <c r="C4343" s="38" t="s">
        <v>8012</v>
      </c>
      <c r="D4343" s="38"/>
      <c r="E4343" s="104">
        <v>1</v>
      </c>
      <c r="F4343" s="9"/>
      <c r="G4343" s="8"/>
      <c r="H4343" s="43">
        <v>3.69</v>
      </c>
      <c r="I4343" s="19">
        <f t="shared" si="140"/>
        <v>0</v>
      </c>
    </row>
    <row r="4344" spans="1:9" ht="15.6" hidden="1">
      <c r="A4344" s="51" t="s">
        <v>7836</v>
      </c>
      <c r="B4344" s="5">
        <v>133467</v>
      </c>
      <c r="C4344" s="38" t="s">
        <v>8013</v>
      </c>
      <c r="D4344" s="38"/>
      <c r="E4344" s="104">
        <v>1</v>
      </c>
      <c r="F4344" s="9"/>
      <c r="G4344" s="8"/>
      <c r="H4344" s="43">
        <v>8.01</v>
      </c>
      <c r="I4344" s="19">
        <f t="shared" si="140"/>
        <v>0</v>
      </c>
    </row>
    <row r="4345" spans="1:9" ht="15.6" hidden="1">
      <c r="A4345" s="51" t="s">
        <v>7836</v>
      </c>
      <c r="B4345" s="5">
        <v>133468</v>
      </c>
      <c r="C4345" s="38" t="s">
        <v>8014</v>
      </c>
      <c r="D4345" s="38"/>
      <c r="E4345" s="104">
        <v>1</v>
      </c>
      <c r="F4345" s="9"/>
      <c r="G4345" s="8"/>
      <c r="H4345" s="43">
        <v>8.01</v>
      </c>
      <c r="I4345" s="19">
        <f t="shared" si="140"/>
        <v>0</v>
      </c>
    </row>
    <row r="4346" spans="1:9" ht="15.6" hidden="1">
      <c r="A4346" s="51" t="s">
        <v>7836</v>
      </c>
      <c r="B4346" s="5">
        <v>133469</v>
      </c>
      <c r="C4346" s="38" t="s">
        <v>8015</v>
      </c>
      <c r="D4346" s="38"/>
      <c r="E4346" s="104">
        <v>1</v>
      </c>
      <c r="F4346" s="9"/>
      <c r="G4346" s="8"/>
      <c r="H4346" s="43">
        <v>8.01</v>
      </c>
      <c r="I4346" s="19">
        <f t="shared" si="140"/>
        <v>0</v>
      </c>
    </row>
    <row r="4347" spans="1:9" ht="15.6" hidden="1">
      <c r="A4347" s="51" t="s">
        <v>7836</v>
      </c>
      <c r="B4347" s="5">
        <v>137875</v>
      </c>
      <c r="C4347" s="38" t="s">
        <v>8016</v>
      </c>
      <c r="D4347" s="38"/>
      <c r="E4347" s="104">
        <v>1</v>
      </c>
      <c r="F4347" s="9"/>
      <c r="G4347" s="8"/>
      <c r="H4347" s="43">
        <v>5.38</v>
      </c>
      <c r="I4347" s="19">
        <f t="shared" si="140"/>
        <v>0</v>
      </c>
    </row>
    <row r="4348" spans="1:9" ht="15.6" hidden="1">
      <c r="A4348" s="51" t="s">
        <v>7836</v>
      </c>
      <c r="B4348" s="5">
        <v>137876</v>
      </c>
      <c r="C4348" s="38" t="s">
        <v>8017</v>
      </c>
      <c r="D4348" s="38"/>
      <c r="E4348" s="104">
        <v>1</v>
      </c>
      <c r="F4348" s="9"/>
      <c r="G4348" s="8"/>
      <c r="H4348" s="43">
        <v>5.38</v>
      </c>
      <c r="I4348" s="19">
        <f t="shared" si="140"/>
        <v>0</v>
      </c>
    </row>
    <row r="4349" spans="1:9" ht="15.6" hidden="1">
      <c r="A4349" s="51" t="s">
        <v>7836</v>
      </c>
      <c r="B4349" s="5">
        <v>137877</v>
      </c>
      <c r="C4349" s="38" t="s">
        <v>8018</v>
      </c>
      <c r="D4349" s="38"/>
      <c r="E4349" s="104">
        <v>1</v>
      </c>
      <c r="F4349" s="9"/>
      <c r="G4349" s="8"/>
      <c r="H4349" s="43">
        <v>5.38</v>
      </c>
      <c r="I4349" s="19">
        <f t="shared" si="140"/>
        <v>0</v>
      </c>
    </row>
    <row r="4350" spans="1:9" ht="15.6" hidden="1">
      <c r="A4350" s="51" t="s">
        <v>7836</v>
      </c>
      <c r="B4350" s="5">
        <v>143142</v>
      </c>
      <c r="C4350" s="38" t="s">
        <v>8019</v>
      </c>
      <c r="D4350" s="38"/>
      <c r="E4350" s="104">
        <v>1</v>
      </c>
      <c r="F4350" s="9"/>
      <c r="G4350" s="8"/>
      <c r="H4350" s="43">
        <v>7.06</v>
      </c>
      <c r="I4350" s="19">
        <f t="shared" si="140"/>
        <v>0</v>
      </c>
    </row>
    <row r="4351" spans="1:9" ht="15.6" hidden="1">
      <c r="A4351" s="51" t="s">
        <v>7836</v>
      </c>
      <c r="B4351" s="5">
        <v>143143</v>
      </c>
      <c r="C4351" s="38" t="s">
        <v>8020</v>
      </c>
      <c r="D4351" s="38"/>
      <c r="E4351" s="104">
        <v>1</v>
      </c>
      <c r="F4351" s="9"/>
      <c r="G4351" s="8"/>
      <c r="H4351" s="43">
        <v>7.06</v>
      </c>
      <c r="I4351" s="19">
        <f t="shared" si="140"/>
        <v>0</v>
      </c>
    </row>
    <row r="4352" spans="1:9" ht="15.6" hidden="1">
      <c r="A4352" s="51" t="s">
        <v>7836</v>
      </c>
      <c r="B4352" s="5">
        <v>143144</v>
      </c>
      <c r="C4352" s="38" t="s">
        <v>8021</v>
      </c>
      <c r="D4352" s="38"/>
      <c r="E4352" s="104">
        <v>1</v>
      </c>
      <c r="F4352" s="9"/>
      <c r="G4352" s="8"/>
      <c r="H4352" s="43">
        <v>7.06</v>
      </c>
      <c r="I4352" s="19">
        <f t="shared" si="140"/>
        <v>0</v>
      </c>
    </row>
    <row r="4353" spans="1:9" ht="15.6" hidden="1">
      <c r="A4353" s="51" t="s">
        <v>7836</v>
      </c>
      <c r="B4353" s="5">
        <v>143145</v>
      </c>
      <c r="C4353" s="38" t="s">
        <v>8022</v>
      </c>
      <c r="D4353" s="38"/>
      <c r="E4353" s="104">
        <v>1</v>
      </c>
      <c r="F4353" s="9"/>
      <c r="G4353" s="8"/>
      <c r="H4353" s="43">
        <v>7.06</v>
      </c>
      <c r="I4353" s="19">
        <f t="shared" si="140"/>
        <v>0</v>
      </c>
    </row>
    <row r="4354" spans="1:9" ht="15.6" hidden="1">
      <c r="A4354" s="51" t="s">
        <v>7836</v>
      </c>
      <c r="B4354" s="5">
        <v>143146</v>
      </c>
      <c r="C4354" s="38" t="s">
        <v>8023</v>
      </c>
      <c r="D4354" s="38"/>
      <c r="E4354" s="104">
        <v>1</v>
      </c>
      <c r="F4354" s="9"/>
      <c r="G4354" s="8"/>
      <c r="H4354" s="43">
        <v>19.940000000000001</v>
      </c>
      <c r="I4354" s="19">
        <f t="shared" si="140"/>
        <v>0</v>
      </c>
    </row>
    <row r="4355" spans="1:9" ht="15.6" hidden="1">
      <c r="A4355" s="51" t="s">
        <v>7836</v>
      </c>
      <c r="B4355" s="5">
        <v>143147</v>
      </c>
      <c r="C4355" s="38" t="s">
        <v>8024</v>
      </c>
      <c r="D4355" s="38"/>
      <c r="E4355" s="104">
        <v>1</v>
      </c>
      <c r="F4355" s="9"/>
      <c r="G4355" s="8"/>
      <c r="H4355" s="43">
        <v>19.940000000000001</v>
      </c>
      <c r="I4355" s="19">
        <f t="shared" si="140"/>
        <v>0</v>
      </c>
    </row>
    <row r="4356" spans="1:9" ht="15.6" hidden="1">
      <c r="A4356" s="51" t="s">
        <v>7836</v>
      </c>
      <c r="B4356" s="5">
        <v>143148</v>
      </c>
      <c r="C4356" s="38" t="s">
        <v>8025</v>
      </c>
      <c r="D4356" s="38"/>
      <c r="E4356" s="104">
        <v>1</v>
      </c>
      <c r="F4356" s="9"/>
      <c r="G4356" s="8"/>
      <c r="H4356" s="43">
        <v>19.940000000000001</v>
      </c>
      <c r="I4356" s="19">
        <f t="shared" si="140"/>
        <v>0</v>
      </c>
    </row>
    <row r="4357" spans="1:9" ht="15.6" hidden="1">
      <c r="A4357" s="51" t="s">
        <v>7836</v>
      </c>
      <c r="B4357" s="5">
        <v>143149</v>
      </c>
      <c r="C4357" s="38" t="s">
        <v>8026</v>
      </c>
      <c r="D4357" s="38"/>
      <c r="E4357" s="104">
        <v>1</v>
      </c>
      <c r="F4357" s="9"/>
      <c r="G4357" s="8"/>
      <c r="H4357" s="43">
        <v>19.940000000000001</v>
      </c>
      <c r="I4357" s="19">
        <f t="shared" si="140"/>
        <v>0</v>
      </c>
    </row>
    <row r="4358" spans="1:9" ht="15.6" hidden="1">
      <c r="A4358" s="51" t="s">
        <v>7836</v>
      </c>
      <c r="B4358" s="5">
        <v>142708</v>
      </c>
      <c r="C4358" s="38" t="s">
        <v>8027</v>
      </c>
      <c r="D4358" s="38"/>
      <c r="E4358" s="104">
        <v>1</v>
      </c>
      <c r="F4358" s="9"/>
      <c r="G4358" s="8"/>
      <c r="H4358" s="43">
        <v>2.0699999999999998</v>
      </c>
      <c r="I4358" s="19">
        <f t="shared" si="140"/>
        <v>0</v>
      </c>
    </row>
    <row r="4359" spans="1:9" ht="15.6" hidden="1">
      <c r="A4359" s="51" t="s">
        <v>7836</v>
      </c>
      <c r="B4359" s="5">
        <v>142709</v>
      </c>
      <c r="C4359" s="38" t="s">
        <v>8028</v>
      </c>
      <c r="D4359" s="38"/>
      <c r="E4359" s="104">
        <v>1</v>
      </c>
      <c r="F4359" s="9"/>
      <c r="G4359" s="8"/>
      <c r="H4359" s="43">
        <v>2.4700000000000002</v>
      </c>
      <c r="I4359" s="19">
        <f t="shared" si="140"/>
        <v>0</v>
      </c>
    </row>
    <row r="4360" spans="1:9" ht="15.6" hidden="1">
      <c r="A4360" s="51" t="s">
        <v>7836</v>
      </c>
      <c r="B4360" s="5">
        <v>142710</v>
      </c>
      <c r="C4360" s="38" t="s">
        <v>8029</v>
      </c>
      <c r="D4360" s="38"/>
      <c r="E4360" s="104">
        <v>1</v>
      </c>
      <c r="F4360" s="9"/>
      <c r="G4360" s="8"/>
      <c r="H4360" s="43">
        <v>3.39</v>
      </c>
      <c r="I4360" s="19">
        <f t="shared" si="140"/>
        <v>0</v>
      </c>
    </row>
    <row r="4361" spans="1:9" ht="15.6" hidden="1">
      <c r="A4361" s="51" t="s">
        <v>7836</v>
      </c>
      <c r="B4361" s="5">
        <v>143084</v>
      </c>
      <c r="C4361" s="38" t="s">
        <v>8030</v>
      </c>
      <c r="D4361" s="38"/>
      <c r="E4361" s="104">
        <v>1</v>
      </c>
      <c r="F4361" s="9"/>
      <c r="G4361" s="8"/>
      <c r="H4361" s="43">
        <v>4.3</v>
      </c>
      <c r="I4361" s="19">
        <f t="shared" si="140"/>
        <v>0</v>
      </c>
    </row>
    <row r="4362" spans="1:9" ht="15.6" hidden="1">
      <c r="A4362" s="51" t="s">
        <v>7836</v>
      </c>
      <c r="B4362" s="5">
        <v>142711</v>
      </c>
      <c r="C4362" s="38" t="s">
        <v>8031</v>
      </c>
      <c r="D4362" s="38"/>
      <c r="E4362" s="104">
        <v>1</v>
      </c>
      <c r="F4362" s="9"/>
      <c r="G4362" s="8"/>
      <c r="H4362" s="43">
        <v>4.2699999999999996</v>
      </c>
      <c r="I4362" s="19">
        <f t="shared" si="140"/>
        <v>0</v>
      </c>
    </row>
    <row r="4363" spans="1:9" ht="15.6" hidden="1">
      <c r="A4363" s="51" t="s">
        <v>7836</v>
      </c>
      <c r="B4363" s="5">
        <v>142712</v>
      </c>
      <c r="C4363" s="38" t="s">
        <v>8032</v>
      </c>
      <c r="D4363" s="38"/>
      <c r="E4363" s="104">
        <v>1</v>
      </c>
      <c r="F4363" s="9"/>
      <c r="G4363" s="8"/>
      <c r="H4363" s="43">
        <v>5.14</v>
      </c>
      <c r="I4363" s="19">
        <f t="shared" si="140"/>
        <v>0</v>
      </c>
    </row>
    <row r="4364" spans="1:9" ht="15.6" hidden="1">
      <c r="A4364" s="51" t="s">
        <v>7836</v>
      </c>
      <c r="B4364" s="5">
        <v>142713</v>
      </c>
      <c r="C4364" s="38" t="s">
        <v>8033</v>
      </c>
      <c r="D4364" s="38"/>
      <c r="E4364" s="104">
        <v>1</v>
      </c>
      <c r="F4364" s="9"/>
      <c r="G4364" s="8"/>
      <c r="H4364" s="43">
        <v>7.5</v>
      </c>
      <c r="I4364" s="19">
        <f t="shared" si="140"/>
        <v>0</v>
      </c>
    </row>
    <row r="4365" spans="1:9" ht="15.6" hidden="1">
      <c r="A4365" s="51" t="s">
        <v>7836</v>
      </c>
      <c r="B4365" s="5">
        <v>142787</v>
      </c>
      <c r="C4365" s="38" t="s">
        <v>8034</v>
      </c>
      <c r="D4365" s="38"/>
      <c r="E4365" s="104">
        <v>1</v>
      </c>
      <c r="F4365" s="9"/>
      <c r="G4365" s="8"/>
      <c r="H4365" s="43">
        <v>48.26</v>
      </c>
      <c r="I4365" s="19">
        <f t="shared" si="140"/>
        <v>0</v>
      </c>
    </row>
    <row r="4366" spans="1:9" ht="15.6" hidden="1">
      <c r="A4366" s="51" t="s">
        <v>7836</v>
      </c>
      <c r="B4366" s="5">
        <v>142788</v>
      </c>
      <c r="C4366" s="38" t="s">
        <v>8035</v>
      </c>
      <c r="D4366" s="38"/>
      <c r="E4366" s="104">
        <v>1</v>
      </c>
      <c r="F4366" s="9"/>
      <c r="G4366" s="8"/>
      <c r="H4366" s="43">
        <v>50.2</v>
      </c>
      <c r="I4366" s="19">
        <f t="shared" si="140"/>
        <v>0</v>
      </c>
    </row>
    <row r="4367" spans="1:9" ht="15.6" hidden="1">
      <c r="A4367" s="51" t="s">
        <v>7836</v>
      </c>
      <c r="B4367" s="5">
        <v>142789</v>
      </c>
      <c r="C4367" s="38" t="s">
        <v>8036</v>
      </c>
      <c r="D4367" s="38"/>
      <c r="E4367" s="104">
        <v>1</v>
      </c>
      <c r="F4367" s="9"/>
      <c r="G4367" s="8"/>
      <c r="H4367" s="43">
        <v>12.06</v>
      </c>
      <c r="I4367" s="19">
        <f t="shared" si="140"/>
        <v>0</v>
      </c>
    </row>
    <row r="4368" spans="1:9" ht="15.6" hidden="1">
      <c r="A4368" s="51" t="s">
        <v>7836</v>
      </c>
      <c r="B4368" s="5">
        <v>142790</v>
      </c>
      <c r="C4368" s="38" t="s">
        <v>8037</v>
      </c>
      <c r="D4368" s="38"/>
      <c r="E4368" s="104">
        <v>1</v>
      </c>
      <c r="F4368" s="9"/>
      <c r="G4368" s="8"/>
      <c r="H4368" s="43">
        <v>17.38</v>
      </c>
      <c r="I4368" s="19">
        <f t="shared" si="140"/>
        <v>0</v>
      </c>
    </row>
    <row r="4369" spans="1:9" ht="15.6" hidden="1">
      <c r="A4369" s="51" t="s">
        <v>7836</v>
      </c>
      <c r="B4369" s="5">
        <v>141999</v>
      </c>
      <c r="C4369" s="38" t="s">
        <v>8038</v>
      </c>
      <c r="D4369" s="38"/>
      <c r="E4369" s="104">
        <v>1</v>
      </c>
      <c r="F4369" s="9"/>
      <c r="G4369" s="8"/>
      <c r="H4369" s="43">
        <v>4.1399999999999997</v>
      </c>
      <c r="I4369" s="19">
        <f t="shared" si="140"/>
        <v>0</v>
      </c>
    </row>
    <row r="4370" spans="1:9" ht="15.6" hidden="1">
      <c r="A4370" s="51" t="s">
        <v>7836</v>
      </c>
      <c r="B4370" s="5">
        <v>143613</v>
      </c>
      <c r="C4370" s="38" t="s">
        <v>8039</v>
      </c>
      <c r="D4370" s="38"/>
      <c r="E4370" s="104">
        <v>1</v>
      </c>
      <c r="F4370" s="9"/>
      <c r="G4370" s="8"/>
      <c r="H4370" s="43">
        <v>5.97</v>
      </c>
      <c r="I4370" s="19">
        <f t="shared" si="140"/>
        <v>0</v>
      </c>
    </row>
    <row r="4371" spans="1:9" ht="15.6" hidden="1">
      <c r="A4371" s="51" t="s">
        <v>7836</v>
      </c>
      <c r="B4371" s="5">
        <v>143615</v>
      </c>
      <c r="C4371" s="38" t="s">
        <v>8040</v>
      </c>
      <c r="D4371" s="38"/>
      <c r="E4371" s="104">
        <v>1</v>
      </c>
      <c r="F4371" s="9"/>
      <c r="G4371" s="8"/>
      <c r="H4371" s="43">
        <v>4.0599999999999996</v>
      </c>
      <c r="I4371" s="19">
        <f t="shared" si="140"/>
        <v>0</v>
      </c>
    </row>
    <row r="4372" spans="1:9" ht="15.6" hidden="1">
      <c r="A4372" s="51" t="s">
        <v>7836</v>
      </c>
      <c r="B4372" s="5">
        <v>143612</v>
      </c>
      <c r="C4372" s="38" t="s">
        <v>8041</v>
      </c>
      <c r="D4372" s="38"/>
      <c r="E4372" s="104">
        <v>1</v>
      </c>
      <c r="F4372" s="9"/>
      <c r="G4372" s="8"/>
      <c r="H4372" s="43">
        <v>5.97</v>
      </c>
      <c r="I4372" s="19">
        <f t="shared" si="140"/>
        <v>0</v>
      </c>
    </row>
    <row r="4373" spans="1:9" ht="15.6" hidden="1">
      <c r="A4373" s="51" t="s">
        <v>7836</v>
      </c>
      <c r="B4373" s="5">
        <v>133870</v>
      </c>
      <c r="C4373" s="38" t="s">
        <v>7999</v>
      </c>
      <c r="D4373" s="38"/>
      <c r="E4373" s="104">
        <v>1</v>
      </c>
      <c r="F4373" s="9"/>
      <c r="G4373" s="8"/>
      <c r="H4373" s="43">
        <v>9.99</v>
      </c>
      <c r="I4373" s="19">
        <f t="shared" si="140"/>
        <v>0</v>
      </c>
    </row>
    <row r="4374" spans="1:9" ht="15.6" hidden="1">
      <c r="A4374" s="51" t="s">
        <v>7836</v>
      </c>
      <c r="B4374" s="5">
        <v>140790</v>
      </c>
      <c r="C4374" s="38" t="s">
        <v>8042</v>
      </c>
      <c r="D4374" s="38"/>
      <c r="E4374" s="104">
        <v>1</v>
      </c>
      <c r="F4374" s="9"/>
      <c r="G4374" s="8"/>
      <c r="H4374" s="43">
        <v>11.14</v>
      </c>
      <c r="I4374" s="19">
        <f t="shared" si="140"/>
        <v>0</v>
      </c>
    </row>
    <row r="4375" spans="1:9" ht="15.6" hidden="1">
      <c r="A4375" s="51" t="s">
        <v>7836</v>
      </c>
      <c r="B4375" s="5">
        <v>140785</v>
      </c>
      <c r="C4375" s="38" t="s">
        <v>8043</v>
      </c>
      <c r="D4375" s="38"/>
      <c r="E4375" s="104">
        <v>1</v>
      </c>
      <c r="F4375" s="9"/>
      <c r="G4375" s="8"/>
      <c r="H4375" s="43">
        <v>9.49</v>
      </c>
      <c r="I4375" s="19">
        <f t="shared" si="140"/>
        <v>0</v>
      </c>
    </row>
    <row r="4376" spans="1:9" ht="15.6" hidden="1">
      <c r="A4376" s="51" t="s">
        <v>7836</v>
      </c>
      <c r="B4376" s="5">
        <v>132260</v>
      </c>
      <c r="C4376" s="38" t="s">
        <v>8044</v>
      </c>
      <c r="D4376" s="38"/>
      <c r="E4376" s="104">
        <v>1</v>
      </c>
      <c r="F4376" s="9"/>
      <c r="G4376" s="8"/>
      <c r="H4376" s="43">
        <v>11.77</v>
      </c>
      <c r="I4376" s="19">
        <f t="shared" si="140"/>
        <v>0</v>
      </c>
    </row>
    <row r="4377" spans="1:9" ht="15.6" hidden="1">
      <c r="A4377" s="51" t="s">
        <v>7836</v>
      </c>
      <c r="B4377" s="5">
        <v>105655</v>
      </c>
      <c r="C4377" s="38" t="s">
        <v>8045</v>
      </c>
      <c r="D4377" s="38"/>
      <c r="E4377" s="104">
        <v>1</v>
      </c>
      <c r="F4377" s="9"/>
      <c r="G4377" s="8"/>
      <c r="H4377" s="43">
        <v>1.1499999999999999</v>
      </c>
      <c r="I4377" s="19">
        <f t="shared" si="140"/>
        <v>0</v>
      </c>
    </row>
    <row r="4378" spans="1:9" ht="15.6" hidden="1">
      <c r="A4378" s="51" t="s">
        <v>7836</v>
      </c>
      <c r="B4378" s="5">
        <v>105658</v>
      </c>
      <c r="C4378" s="38" t="s">
        <v>8046</v>
      </c>
      <c r="D4378" s="38"/>
      <c r="E4378" s="104">
        <v>1</v>
      </c>
      <c r="F4378" s="9"/>
      <c r="G4378" s="8"/>
      <c r="H4378" s="43">
        <v>1.72</v>
      </c>
      <c r="I4378" s="19">
        <f t="shared" si="140"/>
        <v>0</v>
      </c>
    </row>
    <row r="4379" spans="1:9" ht="15.6" hidden="1">
      <c r="A4379" s="51" t="s">
        <v>7836</v>
      </c>
      <c r="B4379" s="5">
        <v>105661</v>
      </c>
      <c r="C4379" s="38" t="s">
        <v>8047</v>
      </c>
      <c r="D4379" s="38"/>
      <c r="E4379" s="104">
        <v>1</v>
      </c>
      <c r="F4379" s="9"/>
      <c r="G4379" s="8"/>
      <c r="H4379" s="43">
        <v>2.2400000000000002</v>
      </c>
      <c r="I4379" s="19">
        <f t="shared" si="140"/>
        <v>0</v>
      </c>
    </row>
    <row r="4380" spans="1:9" ht="15.6" hidden="1">
      <c r="A4380" s="51" t="s">
        <v>7836</v>
      </c>
      <c r="B4380" s="5">
        <v>105664</v>
      </c>
      <c r="C4380" s="38" t="s">
        <v>8048</v>
      </c>
      <c r="D4380" s="38"/>
      <c r="E4380" s="104">
        <v>1</v>
      </c>
      <c r="F4380" s="9"/>
      <c r="G4380" s="8"/>
      <c r="H4380" s="43">
        <v>1.51</v>
      </c>
      <c r="I4380" s="19">
        <f t="shared" si="140"/>
        <v>0</v>
      </c>
    </row>
    <row r="4381" spans="1:9" ht="15.6" hidden="1">
      <c r="A4381" s="51" t="s">
        <v>7836</v>
      </c>
      <c r="B4381" s="5">
        <v>106057</v>
      </c>
      <c r="C4381" s="38" t="s">
        <v>8049</v>
      </c>
      <c r="D4381" s="38"/>
      <c r="E4381" s="104">
        <v>1</v>
      </c>
      <c r="F4381" s="9"/>
      <c r="G4381" s="8"/>
      <c r="H4381" s="43">
        <v>1</v>
      </c>
      <c r="I4381" s="19">
        <f t="shared" si="140"/>
        <v>0</v>
      </c>
    </row>
    <row r="4382" spans="1:9" ht="15.6" hidden="1">
      <c r="A4382" s="51" t="s">
        <v>7836</v>
      </c>
      <c r="B4382" s="5">
        <v>105624</v>
      </c>
      <c r="C4382" s="38" t="s">
        <v>8050</v>
      </c>
      <c r="D4382" s="38"/>
      <c r="E4382" s="104">
        <v>1</v>
      </c>
      <c r="F4382" s="9"/>
      <c r="G4382" s="8"/>
      <c r="H4382" s="43">
        <v>1.62</v>
      </c>
      <c r="I4382" s="19">
        <f t="shared" si="140"/>
        <v>0</v>
      </c>
    </row>
    <row r="4383" spans="1:9" ht="15.6" hidden="1">
      <c r="A4383" s="51" t="s">
        <v>7836</v>
      </c>
      <c r="B4383" s="5">
        <v>105625</v>
      </c>
      <c r="C4383" s="38" t="s">
        <v>8051</v>
      </c>
      <c r="D4383" s="38"/>
      <c r="E4383" s="104">
        <v>1</v>
      </c>
      <c r="F4383" s="9"/>
      <c r="G4383" s="8"/>
      <c r="H4383" s="43">
        <v>2.93</v>
      </c>
      <c r="I4383" s="19">
        <f t="shared" si="140"/>
        <v>0</v>
      </c>
    </row>
    <row r="4384" spans="1:9" ht="15.6" hidden="1">
      <c r="A4384" s="51" t="s">
        <v>7836</v>
      </c>
      <c r="B4384" s="5">
        <v>105626</v>
      </c>
      <c r="C4384" s="38" t="s">
        <v>8052</v>
      </c>
      <c r="D4384" s="38"/>
      <c r="E4384" s="104">
        <v>1</v>
      </c>
      <c r="F4384" s="9"/>
      <c r="G4384" s="8"/>
      <c r="H4384" s="43">
        <v>2.2799999999999998</v>
      </c>
      <c r="I4384" s="19">
        <f t="shared" si="140"/>
        <v>0</v>
      </c>
    </row>
    <row r="4385" spans="1:9" ht="15.6" hidden="1">
      <c r="A4385" s="51" t="s">
        <v>7836</v>
      </c>
      <c r="B4385" s="5">
        <v>109817</v>
      </c>
      <c r="C4385" s="38" t="s">
        <v>8053</v>
      </c>
      <c r="D4385" s="38"/>
      <c r="E4385" s="104">
        <v>1</v>
      </c>
      <c r="F4385" s="9"/>
      <c r="G4385" s="8"/>
      <c r="H4385" s="43">
        <v>12.02</v>
      </c>
      <c r="I4385" s="19">
        <f t="shared" si="140"/>
        <v>0</v>
      </c>
    </row>
    <row r="4386" spans="1:9" ht="15.6" hidden="1">
      <c r="A4386" s="51" t="s">
        <v>7836</v>
      </c>
      <c r="B4386" s="5">
        <v>109976</v>
      </c>
      <c r="C4386" s="38" t="s">
        <v>8054</v>
      </c>
      <c r="D4386" s="38"/>
      <c r="E4386" s="104">
        <v>1</v>
      </c>
      <c r="F4386" s="9"/>
      <c r="G4386" s="8"/>
      <c r="H4386" s="43">
        <v>16.940000000000001</v>
      </c>
      <c r="I4386" s="19">
        <f t="shared" si="140"/>
        <v>0</v>
      </c>
    </row>
    <row r="4387" spans="1:9" ht="15.6" hidden="1">
      <c r="A4387" s="51" t="s">
        <v>7836</v>
      </c>
      <c r="B4387" s="5">
        <v>110023</v>
      </c>
      <c r="C4387" s="38" t="s">
        <v>8055</v>
      </c>
      <c r="D4387" s="38"/>
      <c r="E4387" s="104">
        <v>1</v>
      </c>
      <c r="F4387" s="9"/>
      <c r="G4387" s="8"/>
      <c r="H4387" s="43">
        <v>17.52</v>
      </c>
      <c r="I4387" s="19">
        <f t="shared" si="140"/>
        <v>0</v>
      </c>
    </row>
    <row r="4388" spans="1:9" ht="15.6" hidden="1">
      <c r="A4388" s="51" t="s">
        <v>7836</v>
      </c>
      <c r="B4388" s="5">
        <v>109852</v>
      </c>
      <c r="C4388" s="38" t="s">
        <v>8056</v>
      </c>
      <c r="D4388" s="38"/>
      <c r="E4388" s="104">
        <v>1</v>
      </c>
      <c r="F4388" s="9"/>
      <c r="G4388" s="8"/>
      <c r="H4388" s="43">
        <v>12.02</v>
      </c>
      <c r="I4388" s="19">
        <f t="shared" si="140"/>
        <v>0</v>
      </c>
    </row>
    <row r="4389" spans="1:9" ht="15.6" hidden="1">
      <c r="A4389" s="51" t="s">
        <v>7836</v>
      </c>
      <c r="B4389" s="5">
        <v>110032</v>
      </c>
      <c r="C4389" s="38" t="s">
        <v>8057</v>
      </c>
      <c r="D4389" s="38"/>
      <c r="E4389" s="104">
        <v>1</v>
      </c>
      <c r="F4389" s="9"/>
      <c r="G4389" s="8"/>
      <c r="H4389" s="43">
        <v>16.940000000000001</v>
      </c>
      <c r="I4389" s="19">
        <f t="shared" si="140"/>
        <v>0</v>
      </c>
    </row>
    <row r="4390" spans="1:9" ht="15.6" hidden="1">
      <c r="A4390" s="51" t="s">
        <v>7836</v>
      </c>
      <c r="B4390" s="5">
        <v>142241</v>
      </c>
      <c r="C4390" s="38" t="s">
        <v>8058</v>
      </c>
      <c r="D4390" s="38"/>
      <c r="E4390" s="104">
        <v>1</v>
      </c>
      <c r="F4390" s="9"/>
      <c r="G4390" s="8"/>
      <c r="H4390" s="43">
        <v>17.52</v>
      </c>
      <c r="I4390" s="19">
        <f t="shared" si="140"/>
        <v>0</v>
      </c>
    </row>
    <row r="4391" spans="1:9" ht="15.6" hidden="1">
      <c r="A4391" s="51" t="s">
        <v>7836</v>
      </c>
      <c r="B4391" s="5">
        <v>110064</v>
      </c>
      <c r="C4391" s="38" t="s">
        <v>8059</v>
      </c>
      <c r="D4391" s="38"/>
      <c r="E4391" s="104">
        <v>1</v>
      </c>
      <c r="F4391" s="9"/>
      <c r="G4391" s="8"/>
      <c r="H4391" s="43">
        <v>17.52</v>
      </c>
      <c r="I4391" s="19">
        <f t="shared" si="140"/>
        <v>0</v>
      </c>
    </row>
    <row r="4392" spans="1:9" ht="15.6" hidden="1">
      <c r="A4392" s="51" t="s">
        <v>7836</v>
      </c>
      <c r="B4392" s="5">
        <v>109821</v>
      </c>
      <c r="C4392" s="38" t="s">
        <v>8060</v>
      </c>
      <c r="D4392" s="38"/>
      <c r="E4392" s="104">
        <v>1</v>
      </c>
      <c r="F4392" s="9"/>
      <c r="G4392" s="8"/>
      <c r="H4392" s="43">
        <v>12.02</v>
      </c>
      <c r="I4392" s="19">
        <f t="shared" si="140"/>
        <v>0</v>
      </c>
    </row>
    <row r="4393" spans="1:9" ht="15.6" hidden="1">
      <c r="A4393" s="51" t="s">
        <v>7836</v>
      </c>
      <c r="B4393" s="5">
        <v>109992</v>
      </c>
      <c r="C4393" s="38" t="s">
        <v>8061</v>
      </c>
      <c r="D4393" s="38"/>
      <c r="E4393" s="104">
        <v>1</v>
      </c>
      <c r="F4393" s="9"/>
      <c r="G4393" s="8"/>
      <c r="H4393" s="43">
        <v>16.940000000000001</v>
      </c>
      <c r="I4393" s="19">
        <f t="shared" si="140"/>
        <v>0</v>
      </c>
    </row>
    <row r="4394" spans="1:9" ht="15.6" hidden="1">
      <c r="A4394" s="51" t="s">
        <v>7836</v>
      </c>
      <c r="B4394" s="5">
        <v>109825</v>
      </c>
      <c r="C4394" s="38" t="s">
        <v>8062</v>
      </c>
      <c r="D4394" s="38"/>
      <c r="E4394" s="104">
        <v>1</v>
      </c>
      <c r="F4394" s="9"/>
      <c r="G4394" s="8"/>
      <c r="H4394" s="43">
        <v>10.94</v>
      </c>
      <c r="I4394" s="19">
        <f t="shared" si="140"/>
        <v>0</v>
      </c>
    </row>
    <row r="4395" spans="1:9" ht="15.6" hidden="1">
      <c r="A4395" s="51" t="s">
        <v>7836</v>
      </c>
      <c r="B4395" s="5">
        <v>109997</v>
      </c>
      <c r="C4395" s="38" t="s">
        <v>8063</v>
      </c>
      <c r="D4395" s="38"/>
      <c r="E4395" s="104">
        <v>1</v>
      </c>
      <c r="F4395" s="9"/>
      <c r="G4395" s="8"/>
      <c r="H4395" s="43">
        <v>15.79</v>
      </c>
      <c r="I4395" s="19">
        <f t="shared" si="140"/>
        <v>0</v>
      </c>
    </row>
    <row r="4396" spans="1:9" ht="15.6" hidden="1">
      <c r="A4396" s="51" t="s">
        <v>7836</v>
      </c>
      <c r="B4396" s="5">
        <v>109826</v>
      </c>
      <c r="C4396" s="38" t="s">
        <v>8064</v>
      </c>
      <c r="D4396" s="38"/>
      <c r="E4396" s="104">
        <v>1</v>
      </c>
      <c r="F4396" s="9"/>
      <c r="G4396" s="8"/>
      <c r="H4396" s="43">
        <v>15.27</v>
      </c>
      <c r="I4396" s="19">
        <f t="shared" si="140"/>
        <v>0</v>
      </c>
    </row>
    <row r="4397" spans="1:9" ht="15.6" hidden="1">
      <c r="A4397" s="51" t="s">
        <v>7836</v>
      </c>
      <c r="B4397" s="5">
        <v>109998</v>
      </c>
      <c r="C4397" s="38" t="s">
        <v>8065</v>
      </c>
      <c r="D4397" s="38"/>
      <c r="E4397" s="104">
        <v>1</v>
      </c>
      <c r="F4397" s="9"/>
      <c r="G4397" s="8"/>
      <c r="H4397" s="43">
        <v>20.21</v>
      </c>
      <c r="I4397" s="19">
        <f t="shared" si="140"/>
        <v>0</v>
      </c>
    </row>
    <row r="4398" spans="1:9" ht="15.6" hidden="1">
      <c r="A4398" s="51" t="s">
        <v>7836</v>
      </c>
      <c r="B4398" s="5">
        <v>109828</v>
      </c>
      <c r="C4398" s="38" t="s">
        <v>8066</v>
      </c>
      <c r="D4398" s="38"/>
      <c r="E4398" s="104">
        <v>1</v>
      </c>
      <c r="F4398" s="9"/>
      <c r="G4398" s="8"/>
      <c r="H4398" s="43">
        <v>15.27</v>
      </c>
      <c r="I4398" s="19">
        <f t="shared" si="140"/>
        <v>0</v>
      </c>
    </row>
    <row r="4399" spans="1:9" ht="15.6" hidden="1">
      <c r="A4399" s="51" t="s">
        <v>7836</v>
      </c>
      <c r="B4399" s="5">
        <v>109999</v>
      </c>
      <c r="C4399" s="38" t="s">
        <v>8067</v>
      </c>
      <c r="D4399" s="38"/>
      <c r="E4399" s="104">
        <v>1</v>
      </c>
      <c r="F4399" s="9"/>
      <c r="G4399" s="8"/>
      <c r="H4399" s="43">
        <v>20.21</v>
      </c>
      <c r="I4399" s="19">
        <f t="shared" si="140"/>
        <v>0</v>
      </c>
    </row>
    <row r="4400" spans="1:9" ht="15.6" hidden="1">
      <c r="A4400" s="51" t="s">
        <v>7836</v>
      </c>
      <c r="B4400" s="5">
        <v>109829</v>
      </c>
      <c r="C4400" s="38" t="s">
        <v>8068</v>
      </c>
      <c r="D4400" s="38"/>
      <c r="E4400" s="104">
        <v>1</v>
      </c>
      <c r="F4400" s="9"/>
      <c r="G4400" s="8"/>
      <c r="H4400" s="43">
        <v>12.02</v>
      </c>
      <c r="I4400" s="19">
        <f t="shared" si="140"/>
        <v>0</v>
      </c>
    </row>
    <row r="4401" spans="1:9" ht="15.6" hidden="1">
      <c r="A4401" s="51" t="s">
        <v>7836</v>
      </c>
      <c r="B4401" s="5">
        <v>110000</v>
      </c>
      <c r="C4401" s="38" t="s">
        <v>8069</v>
      </c>
      <c r="D4401" s="38"/>
      <c r="E4401" s="104">
        <v>1</v>
      </c>
      <c r="F4401" s="9"/>
      <c r="G4401" s="8"/>
      <c r="H4401" s="43">
        <v>16.940000000000001</v>
      </c>
      <c r="I4401" s="19">
        <f t="shared" si="140"/>
        <v>0</v>
      </c>
    </row>
    <row r="4402" spans="1:9" ht="15.6" hidden="1">
      <c r="A4402" s="51" t="s">
        <v>7836</v>
      </c>
      <c r="B4402" s="5">
        <v>142239</v>
      </c>
      <c r="C4402" s="38" t="s">
        <v>8070</v>
      </c>
      <c r="D4402" s="38"/>
      <c r="E4402" s="104">
        <v>1</v>
      </c>
      <c r="F4402" s="9"/>
      <c r="G4402" s="8"/>
      <c r="H4402" s="43">
        <v>17.86</v>
      </c>
      <c r="I4402" s="19">
        <f t="shared" si="140"/>
        <v>0</v>
      </c>
    </row>
    <row r="4403" spans="1:9" ht="15.6" hidden="1">
      <c r="A4403" s="51" t="s">
        <v>7836</v>
      </c>
      <c r="B4403" s="5">
        <v>109839</v>
      </c>
      <c r="C4403" s="38" t="s">
        <v>8071</v>
      </c>
      <c r="D4403" s="38"/>
      <c r="E4403" s="104">
        <v>1</v>
      </c>
      <c r="F4403" s="9"/>
      <c r="G4403" s="8"/>
      <c r="H4403" s="43">
        <v>12.02</v>
      </c>
      <c r="I4403" s="19">
        <f t="shared" si="140"/>
        <v>0</v>
      </c>
    </row>
    <row r="4404" spans="1:9" ht="15.6" hidden="1">
      <c r="A4404" s="51" t="s">
        <v>7836</v>
      </c>
      <c r="B4404" s="5">
        <v>110014</v>
      </c>
      <c r="C4404" s="38" t="s">
        <v>8072</v>
      </c>
      <c r="D4404" s="38"/>
      <c r="E4404" s="104">
        <v>1</v>
      </c>
      <c r="F4404" s="9"/>
      <c r="G4404" s="8"/>
      <c r="H4404" s="43">
        <v>16.940000000000001</v>
      </c>
      <c r="I4404" s="19">
        <f t="shared" si="140"/>
        <v>0</v>
      </c>
    </row>
    <row r="4405" spans="1:9" ht="15.6" hidden="1">
      <c r="A4405" s="51" t="s">
        <v>7836</v>
      </c>
      <c r="B4405" s="5">
        <v>109810</v>
      </c>
      <c r="C4405" s="38" t="s">
        <v>8073</v>
      </c>
      <c r="D4405" s="38"/>
      <c r="E4405" s="104">
        <v>1</v>
      </c>
      <c r="F4405" s="9"/>
      <c r="G4405" s="8"/>
      <c r="H4405" s="43">
        <v>8.8699999999999992</v>
      </c>
      <c r="I4405" s="19">
        <f t="shared" si="140"/>
        <v>0</v>
      </c>
    </row>
    <row r="4406" spans="1:9" ht="15.6" hidden="1">
      <c r="A4406" s="51" t="s">
        <v>7836</v>
      </c>
      <c r="B4406" s="5">
        <v>109811</v>
      </c>
      <c r="C4406" s="38" t="s">
        <v>8074</v>
      </c>
      <c r="D4406" s="38"/>
      <c r="E4406" s="104">
        <v>1</v>
      </c>
      <c r="F4406" s="9"/>
      <c r="G4406" s="8"/>
      <c r="H4406" s="43">
        <v>8.8699999999999992</v>
      </c>
      <c r="I4406" s="19">
        <f t="shared" si="140"/>
        <v>0</v>
      </c>
    </row>
    <row r="4407" spans="1:9" ht="15.6" hidden="1">
      <c r="A4407" s="51" t="s">
        <v>7836</v>
      </c>
      <c r="B4407" s="5">
        <v>109812</v>
      </c>
      <c r="C4407" s="38" t="s">
        <v>8075</v>
      </c>
      <c r="D4407" s="38"/>
      <c r="E4407" s="104">
        <v>1</v>
      </c>
      <c r="F4407" s="9"/>
      <c r="G4407" s="8"/>
      <c r="H4407" s="43">
        <v>10.69</v>
      </c>
      <c r="I4407" s="19">
        <f t="shared" si="140"/>
        <v>0</v>
      </c>
    </row>
    <row r="4408" spans="1:9" ht="15.6" hidden="1">
      <c r="A4408" s="51" t="s">
        <v>7836</v>
      </c>
      <c r="B4408" s="5">
        <v>109978</v>
      </c>
      <c r="C4408" s="38" t="s">
        <v>8076</v>
      </c>
      <c r="D4408" s="38"/>
      <c r="E4408" s="104">
        <v>1</v>
      </c>
      <c r="F4408" s="9"/>
      <c r="G4408" s="8"/>
      <c r="H4408" s="43">
        <v>10.08</v>
      </c>
      <c r="I4408" s="19">
        <f t="shared" si="140"/>
        <v>0</v>
      </c>
    </row>
    <row r="4409" spans="1:9" ht="15.6" hidden="1">
      <c r="A4409" s="51" t="s">
        <v>7836</v>
      </c>
      <c r="B4409" s="5">
        <v>109979</v>
      </c>
      <c r="C4409" s="38" t="s">
        <v>8077</v>
      </c>
      <c r="D4409" s="38"/>
      <c r="E4409" s="104">
        <v>1</v>
      </c>
      <c r="F4409" s="9"/>
      <c r="G4409" s="8"/>
      <c r="H4409" s="43">
        <v>10.08</v>
      </c>
      <c r="I4409" s="19">
        <f t="shared" si="140"/>
        <v>0</v>
      </c>
    </row>
    <row r="4410" spans="1:9" ht="15.6" hidden="1">
      <c r="A4410" s="51" t="s">
        <v>7836</v>
      </c>
      <c r="B4410" s="5">
        <v>109981</v>
      </c>
      <c r="C4410" s="38" t="s">
        <v>8078</v>
      </c>
      <c r="D4410" s="38"/>
      <c r="E4410" s="104">
        <v>1</v>
      </c>
      <c r="F4410" s="9"/>
      <c r="G4410" s="8"/>
      <c r="H4410" s="43">
        <v>12.41</v>
      </c>
      <c r="I4410" s="19">
        <f t="shared" si="140"/>
        <v>0</v>
      </c>
    </row>
    <row r="4411" spans="1:9" ht="15.6" hidden="1">
      <c r="A4411" s="51" t="s">
        <v>7836</v>
      </c>
      <c r="B4411" s="5">
        <v>109982</v>
      </c>
      <c r="C4411" s="38" t="s">
        <v>8079</v>
      </c>
      <c r="D4411" s="38"/>
      <c r="E4411" s="104">
        <v>1</v>
      </c>
      <c r="F4411" s="9"/>
      <c r="G4411" s="8"/>
      <c r="H4411" s="43">
        <v>12.41</v>
      </c>
      <c r="I4411" s="19">
        <f t="shared" si="140"/>
        <v>0</v>
      </c>
    </row>
    <row r="4412" spans="1:9" ht="15.6" hidden="1">
      <c r="A4412" s="51" t="s">
        <v>7836</v>
      </c>
      <c r="B4412" s="5">
        <v>109984</v>
      </c>
      <c r="C4412" s="38" t="s">
        <v>8080</v>
      </c>
      <c r="D4412" s="38"/>
      <c r="E4412" s="104">
        <v>1</v>
      </c>
      <c r="F4412" s="9"/>
      <c r="G4412" s="8"/>
      <c r="H4412" s="43">
        <v>11.33</v>
      </c>
      <c r="I4412" s="19">
        <f t="shared" si="140"/>
        <v>0</v>
      </c>
    </row>
    <row r="4413" spans="1:9" ht="15.6" hidden="1">
      <c r="A4413" s="51" t="s">
        <v>7836</v>
      </c>
      <c r="B4413" s="5">
        <v>109985</v>
      </c>
      <c r="C4413" s="38" t="s">
        <v>8081</v>
      </c>
      <c r="D4413" s="38"/>
      <c r="E4413" s="104">
        <v>1</v>
      </c>
      <c r="F4413" s="9"/>
      <c r="G4413" s="8"/>
      <c r="H4413" s="43">
        <v>10.32</v>
      </c>
      <c r="I4413" s="19">
        <f t="shared" si="140"/>
        <v>0</v>
      </c>
    </row>
    <row r="4414" spans="1:9" ht="15.6" hidden="1">
      <c r="A4414" s="51" t="s">
        <v>7836</v>
      </c>
      <c r="B4414" s="5">
        <v>109986</v>
      </c>
      <c r="C4414" s="38" t="s">
        <v>8082</v>
      </c>
      <c r="D4414" s="38"/>
      <c r="E4414" s="104">
        <v>1</v>
      </c>
      <c r="F4414" s="9"/>
      <c r="G4414" s="8"/>
      <c r="H4414" s="43">
        <v>11.89</v>
      </c>
      <c r="I4414" s="19">
        <f t="shared" si="140"/>
        <v>0</v>
      </c>
    </row>
    <row r="4415" spans="1:9" ht="15.6" hidden="1">
      <c r="A4415" s="51" t="s">
        <v>7836</v>
      </c>
      <c r="B4415" s="5">
        <v>109987</v>
      </c>
      <c r="C4415" s="38" t="s">
        <v>8083</v>
      </c>
      <c r="D4415" s="38"/>
      <c r="E4415" s="104">
        <v>1</v>
      </c>
      <c r="F4415" s="9"/>
      <c r="G4415" s="8"/>
      <c r="H4415" s="43">
        <v>15.77</v>
      </c>
      <c r="I4415" s="19">
        <f t="shared" si="140"/>
        <v>0</v>
      </c>
    </row>
    <row r="4416" spans="1:9" ht="15.6" hidden="1">
      <c r="A4416" s="51" t="s">
        <v>7836</v>
      </c>
      <c r="B4416" s="5">
        <v>109988</v>
      </c>
      <c r="C4416" s="38" t="s">
        <v>8084</v>
      </c>
      <c r="D4416" s="38"/>
      <c r="E4416" s="104">
        <v>1</v>
      </c>
      <c r="F4416" s="9"/>
      <c r="G4416" s="8"/>
      <c r="H4416" s="43">
        <v>17.79</v>
      </c>
      <c r="I4416" s="19">
        <f t="shared" si="140"/>
        <v>0</v>
      </c>
    </row>
    <row r="4417" spans="1:9" ht="15.6" hidden="1">
      <c r="A4417" s="51" t="s">
        <v>7836</v>
      </c>
      <c r="B4417" s="5">
        <v>109989</v>
      </c>
      <c r="C4417" s="38" t="s">
        <v>8085</v>
      </c>
      <c r="D4417" s="38"/>
      <c r="E4417" s="104">
        <v>1</v>
      </c>
      <c r="F4417" s="9"/>
      <c r="G4417" s="8"/>
      <c r="H4417" s="43">
        <v>21.08</v>
      </c>
      <c r="I4417" s="19">
        <f t="shared" si="140"/>
        <v>0</v>
      </c>
    </row>
    <row r="4418" spans="1:9" ht="15.6" hidden="1">
      <c r="A4418" s="51" t="s">
        <v>7836</v>
      </c>
      <c r="B4418" s="5">
        <v>109850</v>
      </c>
      <c r="C4418" s="38" t="s">
        <v>8086</v>
      </c>
      <c r="D4418" s="38"/>
      <c r="E4418" s="104">
        <v>1</v>
      </c>
      <c r="F4418" s="9"/>
      <c r="G4418" s="8"/>
      <c r="H4418" s="43">
        <v>12.02</v>
      </c>
      <c r="I4418" s="19">
        <f t="shared" si="140"/>
        <v>0</v>
      </c>
    </row>
    <row r="4419" spans="1:9" ht="15.6" hidden="1">
      <c r="A4419" s="51" t="s">
        <v>7836</v>
      </c>
      <c r="B4419" s="5">
        <v>110027</v>
      </c>
      <c r="C4419" s="38" t="s">
        <v>8087</v>
      </c>
      <c r="D4419" s="38"/>
      <c r="E4419" s="104">
        <v>1</v>
      </c>
      <c r="F4419" s="9"/>
      <c r="G4419" s="8"/>
      <c r="H4419" s="43">
        <v>16.940000000000001</v>
      </c>
      <c r="I4419" s="19">
        <f t="shared" ref="I4419:I4675" si="141">F4419*H4419</f>
        <v>0</v>
      </c>
    </row>
    <row r="4420" spans="1:9" ht="15.6" hidden="1">
      <c r="A4420" s="51" t="s">
        <v>7836</v>
      </c>
      <c r="B4420" s="5">
        <v>109819</v>
      </c>
      <c r="C4420" s="38" t="s">
        <v>8088</v>
      </c>
      <c r="D4420" s="38"/>
      <c r="E4420" s="104">
        <v>1</v>
      </c>
      <c r="F4420" s="9"/>
      <c r="G4420" s="8"/>
      <c r="H4420" s="43">
        <v>12.02</v>
      </c>
      <c r="I4420" s="19">
        <f t="shared" si="141"/>
        <v>0</v>
      </c>
    </row>
    <row r="4421" spans="1:9" ht="15.6" hidden="1">
      <c r="A4421" s="51" t="s">
        <v>7836</v>
      </c>
      <c r="B4421" s="5">
        <v>109990</v>
      </c>
      <c r="C4421" s="38" t="s">
        <v>8089</v>
      </c>
      <c r="D4421" s="38"/>
      <c r="E4421" s="104">
        <v>1</v>
      </c>
      <c r="F4421" s="9"/>
      <c r="G4421" s="8"/>
      <c r="H4421" s="43">
        <v>16.940000000000001</v>
      </c>
      <c r="I4421" s="19">
        <f t="shared" si="141"/>
        <v>0</v>
      </c>
    </row>
    <row r="4422" spans="1:9" ht="15.6" hidden="1">
      <c r="A4422" s="51" t="s">
        <v>7836</v>
      </c>
      <c r="B4422" s="5">
        <v>109859</v>
      </c>
      <c r="C4422" s="38" t="s">
        <v>8090</v>
      </c>
      <c r="D4422" s="38"/>
      <c r="E4422" s="104">
        <v>1</v>
      </c>
      <c r="F4422" s="9"/>
      <c r="G4422" s="8"/>
      <c r="H4422" s="43">
        <v>12.02</v>
      </c>
      <c r="I4422" s="19">
        <f t="shared" si="141"/>
        <v>0</v>
      </c>
    </row>
    <row r="4423" spans="1:9" ht="15.6" hidden="1">
      <c r="A4423" s="51" t="s">
        <v>7836</v>
      </c>
      <c r="B4423" s="5">
        <v>110039</v>
      </c>
      <c r="C4423" s="38" t="s">
        <v>8091</v>
      </c>
      <c r="D4423" s="38"/>
      <c r="E4423" s="104">
        <v>1</v>
      </c>
      <c r="F4423" s="9"/>
      <c r="G4423" s="8"/>
      <c r="H4423" s="43">
        <v>16.940000000000001</v>
      </c>
      <c r="I4423" s="19">
        <f t="shared" si="141"/>
        <v>0</v>
      </c>
    </row>
    <row r="4424" spans="1:9" ht="15.6" hidden="1">
      <c r="A4424" s="51" t="s">
        <v>7836</v>
      </c>
      <c r="B4424" s="5">
        <v>109862</v>
      </c>
      <c r="C4424" s="38" t="s">
        <v>8092</v>
      </c>
      <c r="D4424" s="38"/>
      <c r="E4424" s="104">
        <v>1</v>
      </c>
      <c r="F4424" s="9"/>
      <c r="G4424" s="8"/>
      <c r="H4424" s="43">
        <v>10.94</v>
      </c>
      <c r="I4424" s="19">
        <f t="shared" si="141"/>
        <v>0</v>
      </c>
    </row>
    <row r="4425" spans="1:9" ht="15.6" hidden="1">
      <c r="A4425" s="51" t="s">
        <v>7836</v>
      </c>
      <c r="B4425" s="5">
        <v>110043</v>
      </c>
      <c r="C4425" s="38" t="s">
        <v>8093</v>
      </c>
      <c r="D4425" s="38"/>
      <c r="E4425" s="104">
        <v>1</v>
      </c>
      <c r="F4425" s="9"/>
      <c r="G4425" s="8"/>
      <c r="H4425" s="43">
        <v>15.79</v>
      </c>
      <c r="I4425" s="19">
        <f t="shared" si="141"/>
        <v>0</v>
      </c>
    </row>
    <row r="4426" spans="1:9" ht="15.6" hidden="1">
      <c r="A4426" s="51" t="s">
        <v>7836</v>
      </c>
      <c r="B4426" s="5">
        <v>110044</v>
      </c>
      <c r="C4426" s="38" t="s">
        <v>8094</v>
      </c>
      <c r="D4426" s="38"/>
      <c r="E4426" s="104">
        <v>1</v>
      </c>
      <c r="F4426" s="9"/>
      <c r="G4426" s="8"/>
      <c r="H4426" s="43">
        <v>20.27</v>
      </c>
      <c r="I4426" s="19">
        <f t="shared" si="141"/>
        <v>0</v>
      </c>
    </row>
    <row r="4427" spans="1:9" ht="15.6" hidden="1">
      <c r="A4427" s="51" t="s">
        <v>7836</v>
      </c>
      <c r="B4427" s="5">
        <v>109834</v>
      </c>
      <c r="C4427" s="38" t="s">
        <v>8095</v>
      </c>
      <c r="D4427" s="38"/>
      <c r="E4427" s="104">
        <v>1</v>
      </c>
      <c r="F4427" s="9"/>
      <c r="G4427" s="8"/>
      <c r="H4427" s="43">
        <v>10.94</v>
      </c>
      <c r="I4427" s="19">
        <f t="shared" si="141"/>
        <v>0</v>
      </c>
    </row>
    <row r="4428" spans="1:9" ht="15.6" hidden="1">
      <c r="A4428" s="51" t="s">
        <v>7836</v>
      </c>
      <c r="B4428" s="5">
        <v>110005</v>
      </c>
      <c r="C4428" s="38" t="s">
        <v>8096</v>
      </c>
      <c r="D4428" s="38"/>
      <c r="E4428" s="104">
        <v>1</v>
      </c>
      <c r="F4428" s="9"/>
      <c r="G4428" s="8"/>
      <c r="H4428" s="43">
        <v>15.79</v>
      </c>
      <c r="I4428" s="19">
        <f t="shared" si="141"/>
        <v>0</v>
      </c>
    </row>
    <row r="4429" spans="1:9" ht="15.6" hidden="1">
      <c r="A4429" s="51" t="s">
        <v>7836</v>
      </c>
      <c r="B4429" s="5">
        <v>110008</v>
      </c>
      <c r="C4429" s="38" t="s">
        <v>8097</v>
      </c>
      <c r="D4429" s="38"/>
      <c r="E4429" s="104">
        <v>1</v>
      </c>
      <c r="F4429" s="9"/>
      <c r="G4429" s="8"/>
      <c r="H4429" s="43">
        <v>14.61</v>
      </c>
      <c r="I4429" s="19">
        <f t="shared" si="141"/>
        <v>0</v>
      </c>
    </row>
    <row r="4430" spans="1:9" ht="15.6" hidden="1">
      <c r="A4430" s="51" t="s">
        <v>7836</v>
      </c>
      <c r="B4430" s="5">
        <v>110009</v>
      </c>
      <c r="C4430" s="38" t="s">
        <v>8098</v>
      </c>
      <c r="D4430" s="38"/>
      <c r="E4430" s="104">
        <v>1</v>
      </c>
      <c r="F4430" s="9"/>
      <c r="G4430" s="8"/>
      <c r="H4430" s="43">
        <v>15.79</v>
      </c>
      <c r="I4430" s="19">
        <f t="shared" si="141"/>
        <v>0</v>
      </c>
    </row>
    <row r="4431" spans="1:9" ht="15.6" hidden="1">
      <c r="A4431" s="51" t="s">
        <v>7836</v>
      </c>
      <c r="B4431" s="5">
        <v>110010</v>
      </c>
      <c r="C4431" s="38" t="s">
        <v>8099</v>
      </c>
      <c r="D4431" s="38"/>
      <c r="E4431" s="104">
        <v>1</v>
      </c>
      <c r="F4431" s="9"/>
      <c r="G4431" s="8"/>
      <c r="H4431" s="43">
        <v>20.27</v>
      </c>
      <c r="I4431" s="19">
        <f t="shared" si="141"/>
        <v>0</v>
      </c>
    </row>
    <row r="4432" spans="1:9" ht="15.6" hidden="1">
      <c r="A4432" s="51" t="s">
        <v>7836</v>
      </c>
      <c r="B4432" s="5">
        <v>109840</v>
      </c>
      <c r="C4432" s="38" t="s">
        <v>8100</v>
      </c>
      <c r="D4432" s="38"/>
      <c r="E4432" s="104">
        <v>1</v>
      </c>
      <c r="F4432" s="9"/>
      <c r="G4432" s="8"/>
      <c r="H4432" s="43">
        <v>12.02</v>
      </c>
      <c r="I4432" s="19">
        <f t="shared" si="141"/>
        <v>0</v>
      </c>
    </row>
    <row r="4433" spans="1:9" ht="15.6" hidden="1">
      <c r="A4433" s="51" t="s">
        <v>7836</v>
      </c>
      <c r="B4433" s="5">
        <v>110016</v>
      </c>
      <c r="C4433" s="38" t="s">
        <v>8101</v>
      </c>
      <c r="D4433" s="38"/>
      <c r="E4433" s="104">
        <v>1</v>
      </c>
      <c r="F4433" s="9"/>
      <c r="G4433" s="8"/>
      <c r="H4433" s="43">
        <v>16.940000000000001</v>
      </c>
      <c r="I4433" s="19">
        <f t="shared" si="141"/>
        <v>0</v>
      </c>
    </row>
    <row r="4434" spans="1:9" ht="15.6" hidden="1">
      <c r="A4434" s="51" t="s">
        <v>7836</v>
      </c>
      <c r="B4434" s="5">
        <v>109842</v>
      </c>
      <c r="C4434" s="38" t="s">
        <v>8102</v>
      </c>
      <c r="D4434" s="38"/>
      <c r="E4434" s="104">
        <v>1</v>
      </c>
      <c r="F4434" s="9"/>
      <c r="G4434" s="8"/>
      <c r="H4434" s="43">
        <v>10.94</v>
      </c>
      <c r="I4434" s="19">
        <f t="shared" si="141"/>
        <v>0</v>
      </c>
    </row>
    <row r="4435" spans="1:9" ht="15.6" hidden="1">
      <c r="A4435" s="51" t="s">
        <v>7836</v>
      </c>
      <c r="B4435" s="5">
        <v>109843</v>
      </c>
      <c r="C4435" s="38" t="s">
        <v>8103</v>
      </c>
      <c r="D4435" s="38"/>
      <c r="E4435" s="104">
        <v>1</v>
      </c>
      <c r="F4435" s="9"/>
      <c r="G4435" s="8"/>
      <c r="H4435" s="43">
        <v>11.49</v>
      </c>
      <c r="I4435" s="19">
        <f t="shared" si="141"/>
        <v>0</v>
      </c>
    </row>
    <row r="4436" spans="1:9" ht="15.6" hidden="1">
      <c r="A4436" s="51" t="s">
        <v>7836</v>
      </c>
      <c r="B4436" s="5">
        <v>110018</v>
      </c>
      <c r="C4436" s="38" t="s">
        <v>8104</v>
      </c>
      <c r="D4436" s="38"/>
      <c r="E4436" s="104">
        <v>1</v>
      </c>
      <c r="F4436" s="9"/>
      <c r="G4436" s="8"/>
      <c r="H4436" s="43">
        <v>15.79</v>
      </c>
      <c r="I4436" s="19">
        <f t="shared" si="141"/>
        <v>0</v>
      </c>
    </row>
    <row r="4437" spans="1:9" ht="15.6" hidden="1">
      <c r="A4437" s="51" t="s">
        <v>7836</v>
      </c>
      <c r="B4437" s="5">
        <v>110019</v>
      </c>
      <c r="C4437" s="38" t="s">
        <v>8105</v>
      </c>
      <c r="D4437" s="38"/>
      <c r="E4437" s="104">
        <v>1</v>
      </c>
      <c r="F4437" s="9"/>
      <c r="G4437" s="8"/>
      <c r="H4437" s="43">
        <v>20.27</v>
      </c>
      <c r="I4437" s="19">
        <f t="shared" si="141"/>
        <v>0</v>
      </c>
    </row>
    <row r="4438" spans="1:9" ht="15.6" hidden="1">
      <c r="A4438" s="51" t="s">
        <v>7836</v>
      </c>
      <c r="B4438" s="5">
        <v>110020</v>
      </c>
      <c r="C4438" s="38" t="s">
        <v>8106</v>
      </c>
      <c r="D4438" s="38"/>
      <c r="E4438" s="104">
        <v>1</v>
      </c>
      <c r="F4438" s="9"/>
      <c r="G4438" s="8"/>
      <c r="H4438" s="43">
        <v>16.59</v>
      </c>
      <c r="I4438" s="19">
        <f t="shared" si="141"/>
        <v>0</v>
      </c>
    </row>
    <row r="4439" spans="1:9" ht="15.6" hidden="1">
      <c r="A4439" s="51" t="s">
        <v>7836</v>
      </c>
      <c r="B4439" s="5">
        <v>131168</v>
      </c>
      <c r="C4439" s="38" t="s">
        <v>8107</v>
      </c>
      <c r="D4439" s="38"/>
      <c r="E4439" s="104">
        <v>1</v>
      </c>
      <c r="F4439" s="9"/>
      <c r="G4439" s="8"/>
      <c r="H4439" s="43">
        <v>23.72</v>
      </c>
      <c r="I4439" s="19">
        <f t="shared" si="141"/>
        <v>0</v>
      </c>
    </row>
    <row r="4440" spans="1:9" ht="15.6" hidden="1">
      <c r="A4440" s="51" t="s">
        <v>7836</v>
      </c>
      <c r="B4440" s="5">
        <v>142242</v>
      </c>
      <c r="C4440" s="38" t="s">
        <v>8108</v>
      </c>
      <c r="D4440" s="38"/>
      <c r="E4440" s="104">
        <v>1</v>
      </c>
      <c r="F4440" s="9"/>
      <c r="G4440" s="8"/>
      <c r="H4440" s="43">
        <v>18.97</v>
      </c>
      <c r="I4440" s="19">
        <f t="shared" si="141"/>
        <v>0</v>
      </c>
    </row>
    <row r="4441" spans="1:9" ht="15.6" hidden="1">
      <c r="A4441" s="51" t="s">
        <v>7836</v>
      </c>
      <c r="B4441" s="5">
        <v>142247</v>
      </c>
      <c r="C4441" s="38" t="s">
        <v>8109</v>
      </c>
      <c r="D4441" s="38"/>
      <c r="E4441" s="104">
        <v>1</v>
      </c>
      <c r="F4441" s="9"/>
      <c r="G4441" s="8"/>
      <c r="H4441" s="43">
        <v>20.21</v>
      </c>
      <c r="I4441" s="19">
        <f t="shared" si="141"/>
        <v>0</v>
      </c>
    </row>
    <row r="4442" spans="1:9" ht="15.6" hidden="1">
      <c r="A4442" s="51" t="s">
        <v>7836</v>
      </c>
      <c r="B4442" s="5">
        <v>135292</v>
      </c>
      <c r="C4442" s="38" t="s">
        <v>8110</v>
      </c>
      <c r="D4442" s="38"/>
      <c r="E4442" s="104">
        <v>1</v>
      </c>
      <c r="F4442" s="9"/>
      <c r="G4442" s="8"/>
      <c r="H4442" s="43">
        <v>12.02</v>
      </c>
      <c r="I4442" s="19">
        <f t="shared" si="141"/>
        <v>0</v>
      </c>
    </row>
    <row r="4443" spans="1:9" ht="15.6" hidden="1">
      <c r="A4443" s="51" t="s">
        <v>7836</v>
      </c>
      <c r="B4443" s="5">
        <v>135317</v>
      </c>
      <c r="C4443" s="38" t="s">
        <v>8111</v>
      </c>
      <c r="D4443" s="38"/>
      <c r="E4443" s="104">
        <v>1</v>
      </c>
      <c r="F4443" s="9"/>
      <c r="G4443" s="8"/>
      <c r="H4443" s="43">
        <v>16.940000000000001</v>
      </c>
      <c r="I4443" s="19">
        <f t="shared" si="141"/>
        <v>0</v>
      </c>
    </row>
    <row r="4444" spans="1:9" ht="15.6" hidden="1">
      <c r="A4444" s="51" t="s">
        <v>7836</v>
      </c>
      <c r="B4444" s="5">
        <v>135293</v>
      </c>
      <c r="C4444" s="38" t="s">
        <v>8112</v>
      </c>
      <c r="D4444" s="38"/>
      <c r="E4444" s="104">
        <v>1</v>
      </c>
      <c r="F4444" s="9"/>
      <c r="G4444" s="8"/>
      <c r="H4444" s="43">
        <v>12.58</v>
      </c>
      <c r="I4444" s="19">
        <f t="shared" si="141"/>
        <v>0</v>
      </c>
    </row>
    <row r="4445" spans="1:9" ht="15.6" hidden="1">
      <c r="A4445" s="51" t="s">
        <v>7836</v>
      </c>
      <c r="B4445" s="5">
        <v>135318</v>
      </c>
      <c r="C4445" s="38" t="s">
        <v>8113</v>
      </c>
      <c r="D4445" s="38"/>
      <c r="E4445" s="104">
        <v>1</v>
      </c>
      <c r="F4445" s="9"/>
      <c r="G4445" s="8"/>
      <c r="H4445" s="43">
        <v>17.52</v>
      </c>
      <c r="I4445" s="19">
        <f t="shared" si="141"/>
        <v>0</v>
      </c>
    </row>
    <row r="4446" spans="1:9" ht="15.6" hidden="1">
      <c r="A4446" s="51" t="s">
        <v>7836</v>
      </c>
      <c r="B4446" s="5">
        <v>135294</v>
      </c>
      <c r="C4446" s="38" t="s">
        <v>8114</v>
      </c>
      <c r="D4446" s="38"/>
      <c r="E4446" s="104">
        <v>1</v>
      </c>
      <c r="F4446" s="9"/>
      <c r="G4446" s="8"/>
      <c r="H4446" s="43">
        <v>12.58</v>
      </c>
      <c r="I4446" s="19">
        <f t="shared" si="141"/>
        <v>0</v>
      </c>
    </row>
    <row r="4447" spans="1:9" ht="15.6" hidden="1">
      <c r="A4447" s="51" t="s">
        <v>7836</v>
      </c>
      <c r="B4447" s="5">
        <v>135319</v>
      </c>
      <c r="C4447" s="38" t="s">
        <v>8115</v>
      </c>
      <c r="D4447" s="38"/>
      <c r="E4447" s="104">
        <v>1</v>
      </c>
      <c r="F4447" s="9"/>
      <c r="G4447" s="8"/>
      <c r="H4447" s="43">
        <v>17.52</v>
      </c>
      <c r="I4447" s="19">
        <f t="shared" si="141"/>
        <v>0</v>
      </c>
    </row>
    <row r="4448" spans="1:9" ht="15.6" hidden="1">
      <c r="A4448" s="51" t="s">
        <v>7836</v>
      </c>
      <c r="B4448" s="5">
        <v>131047</v>
      </c>
      <c r="C4448" s="38" t="s">
        <v>8116</v>
      </c>
      <c r="D4448" s="38"/>
      <c r="E4448" s="104">
        <v>1</v>
      </c>
      <c r="F4448" s="9"/>
      <c r="G4448" s="8"/>
      <c r="H4448" s="43">
        <v>51.52</v>
      </c>
      <c r="I4448" s="19">
        <f t="shared" si="141"/>
        <v>0</v>
      </c>
    </row>
    <row r="4449" spans="1:9" ht="15.6" hidden="1">
      <c r="A4449" s="51" t="s">
        <v>7836</v>
      </c>
      <c r="B4449" s="5">
        <v>131041</v>
      </c>
      <c r="C4449" s="38" t="s">
        <v>8117</v>
      </c>
      <c r="D4449" s="38"/>
      <c r="E4449" s="104">
        <v>1</v>
      </c>
      <c r="F4449" s="9"/>
      <c r="G4449" s="8"/>
      <c r="H4449" s="43">
        <v>51.52</v>
      </c>
      <c r="I4449" s="19">
        <f t="shared" si="141"/>
        <v>0</v>
      </c>
    </row>
    <row r="4450" spans="1:9" ht="15.6" hidden="1">
      <c r="A4450" s="51" t="s">
        <v>7836</v>
      </c>
      <c r="B4450" s="5">
        <v>131046</v>
      </c>
      <c r="C4450" s="38" t="s">
        <v>8118</v>
      </c>
      <c r="D4450" s="38"/>
      <c r="E4450" s="104">
        <v>1</v>
      </c>
      <c r="F4450" s="9"/>
      <c r="G4450" s="8"/>
      <c r="H4450" s="43">
        <v>51.52</v>
      </c>
      <c r="I4450" s="19">
        <f t="shared" si="141"/>
        <v>0</v>
      </c>
    </row>
    <row r="4451" spans="1:9" ht="15.6" hidden="1">
      <c r="A4451" s="51" t="s">
        <v>7836</v>
      </c>
      <c r="B4451" s="5">
        <v>109818</v>
      </c>
      <c r="C4451" s="38" t="s">
        <v>8119</v>
      </c>
      <c r="D4451" s="38"/>
      <c r="E4451" s="104">
        <v>1</v>
      </c>
      <c r="F4451" s="9"/>
      <c r="G4451" s="8"/>
      <c r="H4451" s="43">
        <v>12.58</v>
      </c>
      <c r="I4451" s="19">
        <f t="shared" si="141"/>
        <v>0</v>
      </c>
    </row>
    <row r="4452" spans="1:9" ht="15.6" hidden="1">
      <c r="A4452" s="51" t="s">
        <v>7836</v>
      </c>
      <c r="B4452" s="5">
        <v>109977</v>
      </c>
      <c r="C4452" s="38" t="s">
        <v>8120</v>
      </c>
      <c r="D4452" s="38"/>
      <c r="E4452" s="104">
        <v>1</v>
      </c>
      <c r="F4452" s="9"/>
      <c r="G4452" s="8"/>
      <c r="H4452" s="43">
        <v>17.52</v>
      </c>
      <c r="I4452" s="19">
        <f t="shared" si="141"/>
        <v>0</v>
      </c>
    </row>
    <row r="4453" spans="1:9" ht="15.6" hidden="1">
      <c r="A4453" s="51" t="s">
        <v>7836</v>
      </c>
      <c r="B4453" s="5">
        <v>109858</v>
      </c>
      <c r="C4453" s="38" t="s">
        <v>8121</v>
      </c>
      <c r="D4453" s="38"/>
      <c r="E4453" s="104">
        <v>1</v>
      </c>
      <c r="F4453" s="9"/>
      <c r="G4453" s="8"/>
      <c r="H4453" s="43">
        <v>12.58</v>
      </c>
      <c r="I4453" s="19">
        <f t="shared" si="141"/>
        <v>0</v>
      </c>
    </row>
    <row r="4454" spans="1:9" ht="15.6" hidden="1">
      <c r="A4454" s="51" t="s">
        <v>7836</v>
      </c>
      <c r="B4454" s="5">
        <v>110038</v>
      </c>
      <c r="C4454" s="38" t="s">
        <v>8122</v>
      </c>
      <c r="D4454" s="38"/>
      <c r="E4454" s="104">
        <v>1</v>
      </c>
      <c r="F4454" s="9"/>
      <c r="G4454" s="8"/>
      <c r="H4454" s="43">
        <v>17.52</v>
      </c>
      <c r="I4454" s="19">
        <f t="shared" si="141"/>
        <v>0</v>
      </c>
    </row>
    <row r="4455" spans="1:9" ht="15.6" hidden="1">
      <c r="A4455" s="51" t="s">
        <v>7836</v>
      </c>
      <c r="B4455" s="5">
        <v>142235</v>
      </c>
      <c r="C4455" s="38" t="s">
        <v>8123</v>
      </c>
      <c r="D4455" s="38"/>
      <c r="E4455" s="104">
        <v>1</v>
      </c>
      <c r="F4455" s="9"/>
      <c r="G4455" s="8"/>
      <c r="H4455" s="43">
        <v>17.86</v>
      </c>
      <c r="I4455" s="19">
        <f t="shared" si="141"/>
        <v>0</v>
      </c>
    </row>
    <row r="4456" spans="1:9" ht="15.6" hidden="1">
      <c r="A4456" s="51" t="s">
        <v>7836</v>
      </c>
      <c r="B4456" s="5">
        <v>109816</v>
      </c>
      <c r="C4456" s="38" t="s">
        <v>8124</v>
      </c>
      <c r="D4456" s="38"/>
      <c r="E4456" s="104">
        <v>1</v>
      </c>
      <c r="F4456" s="9"/>
      <c r="G4456" s="8"/>
      <c r="H4456" s="43">
        <v>12.58</v>
      </c>
      <c r="I4456" s="19">
        <f t="shared" si="141"/>
        <v>0</v>
      </c>
    </row>
    <row r="4457" spans="1:9" ht="15.6" hidden="1">
      <c r="A4457" s="51" t="s">
        <v>7836</v>
      </c>
      <c r="B4457" s="5">
        <v>109974</v>
      </c>
      <c r="C4457" s="38" t="s">
        <v>8125</v>
      </c>
      <c r="D4457" s="38"/>
      <c r="E4457" s="104">
        <v>1</v>
      </c>
      <c r="F4457" s="9"/>
      <c r="G4457" s="8"/>
      <c r="H4457" s="43">
        <v>17.52</v>
      </c>
      <c r="I4457" s="19">
        <f t="shared" si="141"/>
        <v>0</v>
      </c>
    </row>
    <row r="4458" spans="1:9" ht="15.6" hidden="1">
      <c r="A4458" s="51" t="s">
        <v>7836</v>
      </c>
      <c r="B4458" s="5">
        <v>109879</v>
      </c>
      <c r="C4458" s="38" t="s">
        <v>8126</v>
      </c>
      <c r="D4458" s="38"/>
      <c r="E4458" s="104">
        <v>1</v>
      </c>
      <c r="F4458" s="9"/>
      <c r="G4458" s="8"/>
      <c r="H4458" s="43">
        <v>12.58</v>
      </c>
      <c r="I4458" s="19">
        <f t="shared" si="141"/>
        <v>0</v>
      </c>
    </row>
    <row r="4459" spans="1:9" ht="15.6" hidden="1">
      <c r="A4459" s="51" t="s">
        <v>7836</v>
      </c>
      <c r="B4459" s="5">
        <v>110065</v>
      </c>
      <c r="C4459" s="38" t="s">
        <v>8127</v>
      </c>
      <c r="D4459" s="38"/>
      <c r="E4459" s="104">
        <v>1</v>
      </c>
      <c r="F4459" s="9"/>
      <c r="G4459" s="8"/>
      <c r="H4459" s="43">
        <v>17.52</v>
      </c>
      <c r="I4459" s="19">
        <f t="shared" si="141"/>
        <v>0</v>
      </c>
    </row>
    <row r="4460" spans="1:9" ht="15.6" hidden="1">
      <c r="A4460" s="51" t="s">
        <v>7836</v>
      </c>
      <c r="B4460" s="5">
        <v>109848</v>
      </c>
      <c r="C4460" s="38" t="s">
        <v>8128</v>
      </c>
      <c r="D4460" s="38"/>
      <c r="E4460" s="104">
        <v>1</v>
      </c>
      <c r="F4460" s="9"/>
      <c r="G4460" s="8"/>
      <c r="H4460" s="43">
        <v>12.58</v>
      </c>
      <c r="I4460" s="19">
        <f t="shared" si="141"/>
        <v>0</v>
      </c>
    </row>
    <row r="4461" spans="1:9" ht="15.6" hidden="1">
      <c r="A4461" s="51" t="s">
        <v>7836</v>
      </c>
      <c r="B4461" s="5">
        <v>110024</v>
      </c>
      <c r="C4461" s="38" t="s">
        <v>8129</v>
      </c>
      <c r="D4461" s="38"/>
      <c r="E4461" s="104">
        <v>1</v>
      </c>
      <c r="F4461" s="9"/>
      <c r="G4461" s="8"/>
      <c r="H4461" s="43">
        <v>17.52</v>
      </c>
      <c r="I4461" s="19">
        <f t="shared" si="141"/>
        <v>0</v>
      </c>
    </row>
    <row r="4462" spans="1:9" ht="15.6" hidden="1">
      <c r="A4462" s="51" t="s">
        <v>7836</v>
      </c>
      <c r="B4462" s="5">
        <v>135309</v>
      </c>
      <c r="C4462" s="38" t="s">
        <v>8130</v>
      </c>
      <c r="D4462" s="38"/>
      <c r="E4462" s="104">
        <v>1</v>
      </c>
      <c r="F4462" s="9"/>
      <c r="G4462" s="8"/>
      <c r="H4462" s="43">
        <v>12.58</v>
      </c>
      <c r="I4462" s="19">
        <f t="shared" si="141"/>
        <v>0</v>
      </c>
    </row>
    <row r="4463" spans="1:9" ht="15.6" hidden="1">
      <c r="A4463" s="51" t="s">
        <v>7836</v>
      </c>
      <c r="B4463" s="5">
        <v>135325</v>
      </c>
      <c r="C4463" s="38" t="s">
        <v>8131</v>
      </c>
      <c r="D4463" s="38"/>
      <c r="E4463" s="104">
        <v>1</v>
      </c>
      <c r="F4463" s="9"/>
      <c r="G4463" s="8"/>
      <c r="H4463" s="43">
        <v>17.52</v>
      </c>
      <c r="I4463" s="19">
        <f t="shared" si="141"/>
        <v>0</v>
      </c>
    </row>
    <row r="4464" spans="1:9" ht="15.6" hidden="1">
      <c r="A4464" s="51" t="s">
        <v>7836</v>
      </c>
      <c r="B4464" s="5">
        <v>135310</v>
      </c>
      <c r="C4464" s="38" t="s">
        <v>8132</v>
      </c>
      <c r="D4464" s="38"/>
      <c r="E4464" s="104">
        <v>1</v>
      </c>
      <c r="F4464" s="9"/>
      <c r="G4464" s="8"/>
      <c r="H4464" s="43">
        <v>12.58</v>
      </c>
      <c r="I4464" s="19">
        <f t="shared" si="141"/>
        <v>0</v>
      </c>
    </row>
    <row r="4465" spans="1:9" ht="15.6" hidden="1">
      <c r="A4465" s="51" t="s">
        <v>7836</v>
      </c>
      <c r="B4465" s="5">
        <v>135147</v>
      </c>
      <c r="C4465" s="38" t="s">
        <v>8133</v>
      </c>
      <c r="D4465" s="38"/>
      <c r="E4465" s="104">
        <v>1</v>
      </c>
      <c r="F4465" s="9"/>
      <c r="G4465" s="8"/>
      <c r="H4465" s="43">
        <v>17.52</v>
      </c>
      <c r="I4465" s="19">
        <f t="shared" si="141"/>
        <v>0</v>
      </c>
    </row>
    <row r="4466" spans="1:9" ht="15.6" hidden="1">
      <c r="A4466" s="51" t="s">
        <v>7836</v>
      </c>
      <c r="B4466" s="5">
        <v>109864</v>
      </c>
      <c r="C4466" s="38" t="s">
        <v>8134</v>
      </c>
      <c r="D4466" s="38"/>
      <c r="E4466" s="104">
        <v>1</v>
      </c>
      <c r="F4466" s="9"/>
      <c r="G4466" s="8"/>
      <c r="H4466" s="43">
        <v>12.58</v>
      </c>
      <c r="I4466" s="19">
        <f t="shared" si="141"/>
        <v>0</v>
      </c>
    </row>
    <row r="4467" spans="1:9" ht="15.6" hidden="1">
      <c r="A4467" s="51" t="s">
        <v>7836</v>
      </c>
      <c r="B4467" s="5">
        <v>110048</v>
      </c>
      <c r="C4467" s="38" t="s">
        <v>8135</v>
      </c>
      <c r="D4467" s="38"/>
      <c r="E4467" s="104">
        <v>1</v>
      </c>
      <c r="F4467" s="9"/>
      <c r="G4467" s="8"/>
      <c r="H4467" s="43">
        <v>17.52</v>
      </c>
      <c r="I4467" s="19">
        <f t="shared" si="141"/>
        <v>0</v>
      </c>
    </row>
    <row r="4468" spans="1:9" ht="15.6" hidden="1">
      <c r="A4468" s="51" t="s">
        <v>7836</v>
      </c>
      <c r="B4468" s="5">
        <v>142234</v>
      </c>
      <c r="C4468" s="38" t="s">
        <v>8136</v>
      </c>
      <c r="D4468" s="38"/>
      <c r="E4468" s="104">
        <v>1</v>
      </c>
      <c r="F4468" s="9"/>
      <c r="G4468" s="8"/>
      <c r="H4468" s="43">
        <v>21.03</v>
      </c>
      <c r="I4468" s="19">
        <f t="shared" si="141"/>
        <v>0</v>
      </c>
    </row>
    <row r="4469" spans="1:9" ht="15.6" hidden="1">
      <c r="A4469" s="51" t="s">
        <v>7836</v>
      </c>
      <c r="B4469" s="5">
        <v>109872</v>
      </c>
      <c r="C4469" s="38" t="s">
        <v>8137</v>
      </c>
      <c r="D4469" s="38"/>
      <c r="E4469" s="104">
        <v>1</v>
      </c>
      <c r="F4469" s="9"/>
      <c r="G4469" s="8"/>
      <c r="H4469" s="43">
        <v>12.58</v>
      </c>
      <c r="I4469" s="19">
        <f t="shared" si="141"/>
        <v>0</v>
      </c>
    </row>
    <row r="4470" spans="1:9" ht="15.6" hidden="1">
      <c r="A4470" s="51" t="s">
        <v>7836</v>
      </c>
      <c r="B4470" s="5">
        <v>110058</v>
      </c>
      <c r="C4470" s="38" t="s">
        <v>8138</v>
      </c>
      <c r="D4470" s="38"/>
      <c r="E4470" s="104">
        <v>1</v>
      </c>
      <c r="F4470" s="9"/>
      <c r="G4470" s="8"/>
      <c r="H4470" s="43">
        <v>17.52</v>
      </c>
      <c r="I4470" s="19">
        <f t="shared" si="141"/>
        <v>0</v>
      </c>
    </row>
    <row r="4471" spans="1:9" ht="15.6" hidden="1">
      <c r="A4471" s="51" t="s">
        <v>7836</v>
      </c>
      <c r="B4471" s="5">
        <v>135306</v>
      </c>
      <c r="C4471" s="38" t="s">
        <v>8139</v>
      </c>
      <c r="D4471" s="38"/>
      <c r="E4471" s="104">
        <v>1</v>
      </c>
      <c r="F4471" s="9"/>
      <c r="G4471" s="8"/>
      <c r="H4471" s="43">
        <v>12.58</v>
      </c>
      <c r="I4471" s="19">
        <f t="shared" si="141"/>
        <v>0</v>
      </c>
    </row>
    <row r="4472" spans="1:9" ht="15.6" hidden="1">
      <c r="A4472" s="51" t="s">
        <v>7836</v>
      </c>
      <c r="B4472" s="5">
        <v>135322</v>
      </c>
      <c r="C4472" s="38" t="s">
        <v>8140</v>
      </c>
      <c r="D4472" s="38"/>
      <c r="E4472" s="104">
        <v>1</v>
      </c>
      <c r="F4472" s="9"/>
      <c r="G4472" s="8"/>
      <c r="H4472" s="43">
        <v>17.52</v>
      </c>
      <c r="I4472" s="19">
        <f t="shared" si="141"/>
        <v>0</v>
      </c>
    </row>
    <row r="4473" spans="1:9" ht="15.6" hidden="1">
      <c r="A4473" s="51" t="s">
        <v>7836</v>
      </c>
      <c r="B4473" s="5">
        <v>109874</v>
      </c>
      <c r="C4473" s="38" t="s">
        <v>8141</v>
      </c>
      <c r="D4473" s="38"/>
      <c r="E4473" s="104">
        <v>1</v>
      </c>
      <c r="F4473" s="9"/>
      <c r="G4473" s="8"/>
      <c r="H4473" s="43">
        <v>12.58</v>
      </c>
      <c r="I4473" s="19">
        <f t="shared" si="141"/>
        <v>0</v>
      </c>
    </row>
    <row r="4474" spans="1:9" ht="15.6" hidden="1">
      <c r="A4474" s="51" t="s">
        <v>7836</v>
      </c>
      <c r="B4474" s="5">
        <v>110060</v>
      </c>
      <c r="C4474" s="38" t="s">
        <v>8142</v>
      </c>
      <c r="D4474" s="38"/>
      <c r="E4474" s="104">
        <v>1</v>
      </c>
      <c r="F4474" s="9"/>
      <c r="G4474" s="8"/>
      <c r="H4474" s="43">
        <v>17.52</v>
      </c>
      <c r="I4474" s="19">
        <f t="shared" si="141"/>
        <v>0</v>
      </c>
    </row>
    <row r="4475" spans="1:9" ht="15.6" hidden="1">
      <c r="A4475" s="51" t="s">
        <v>7836</v>
      </c>
      <c r="B4475" s="5">
        <v>135305</v>
      </c>
      <c r="C4475" s="38" t="s">
        <v>8143</v>
      </c>
      <c r="D4475" s="38"/>
      <c r="E4475" s="104">
        <v>1</v>
      </c>
      <c r="F4475" s="9"/>
      <c r="G4475" s="8"/>
      <c r="H4475" s="43">
        <v>12.58</v>
      </c>
      <c r="I4475" s="19">
        <f t="shared" si="141"/>
        <v>0</v>
      </c>
    </row>
    <row r="4476" spans="1:9" ht="15.6" hidden="1">
      <c r="A4476" s="51" t="s">
        <v>7836</v>
      </c>
      <c r="B4476" s="5">
        <v>135321</v>
      </c>
      <c r="C4476" s="38" t="s">
        <v>8144</v>
      </c>
      <c r="D4476" s="38"/>
      <c r="E4476" s="104">
        <v>1</v>
      </c>
      <c r="F4476" s="9"/>
      <c r="G4476" s="8"/>
      <c r="H4476" s="43">
        <v>17.52</v>
      </c>
      <c r="I4476" s="19">
        <f t="shared" si="141"/>
        <v>0</v>
      </c>
    </row>
    <row r="4477" spans="1:9" ht="15.6" hidden="1">
      <c r="A4477" s="51" t="s">
        <v>7836</v>
      </c>
      <c r="B4477" s="5">
        <v>109882</v>
      </c>
      <c r="C4477" s="38" t="s">
        <v>8145</v>
      </c>
      <c r="D4477" s="38"/>
      <c r="E4477" s="104">
        <v>1</v>
      </c>
      <c r="F4477" s="9"/>
      <c r="G4477" s="8"/>
      <c r="H4477" s="43">
        <v>12.58</v>
      </c>
      <c r="I4477" s="19">
        <f t="shared" si="141"/>
        <v>0</v>
      </c>
    </row>
    <row r="4478" spans="1:9" ht="15.6" hidden="1">
      <c r="A4478" s="51" t="s">
        <v>7836</v>
      </c>
      <c r="B4478" s="5">
        <v>110069</v>
      </c>
      <c r="C4478" s="38" t="s">
        <v>8146</v>
      </c>
      <c r="D4478" s="38"/>
      <c r="E4478" s="104">
        <v>1</v>
      </c>
      <c r="F4478" s="9"/>
      <c r="G4478" s="8"/>
      <c r="H4478" s="43">
        <v>17.52</v>
      </c>
      <c r="I4478" s="19">
        <f t="shared" si="141"/>
        <v>0</v>
      </c>
    </row>
    <row r="4479" spans="1:9" ht="15.6" hidden="1">
      <c r="A4479" s="51" t="s">
        <v>7836</v>
      </c>
      <c r="B4479" s="5">
        <v>109883</v>
      </c>
      <c r="C4479" s="38" t="s">
        <v>8147</v>
      </c>
      <c r="D4479" s="38"/>
      <c r="E4479" s="104">
        <v>1</v>
      </c>
      <c r="F4479" s="9"/>
      <c r="G4479" s="8"/>
      <c r="H4479" s="43">
        <v>12.58</v>
      </c>
      <c r="I4479" s="19">
        <f t="shared" si="141"/>
        <v>0</v>
      </c>
    </row>
    <row r="4480" spans="1:9" ht="15.6" hidden="1">
      <c r="A4480" s="51" t="s">
        <v>7836</v>
      </c>
      <c r="B4480" s="5">
        <v>110070</v>
      </c>
      <c r="C4480" s="38" t="s">
        <v>8148</v>
      </c>
      <c r="D4480" s="38"/>
      <c r="E4480" s="104">
        <v>1</v>
      </c>
      <c r="F4480" s="9"/>
      <c r="G4480" s="8"/>
      <c r="H4480" s="43">
        <v>17.52</v>
      </c>
      <c r="I4480" s="19">
        <f t="shared" si="141"/>
        <v>0</v>
      </c>
    </row>
    <row r="4481" spans="1:9" ht="15.6" hidden="1">
      <c r="A4481" s="51" t="s">
        <v>7836</v>
      </c>
      <c r="B4481" s="5">
        <v>135304</v>
      </c>
      <c r="C4481" s="38" t="s">
        <v>8149</v>
      </c>
      <c r="D4481" s="38"/>
      <c r="E4481" s="104">
        <v>1</v>
      </c>
      <c r="F4481" s="9"/>
      <c r="G4481" s="8"/>
      <c r="H4481" s="43">
        <v>12.58</v>
      </c>
      <c r="I4481" s="19">
        <f t="shared" si="141"/>
        <v>0</v>
      </c>
    </row>
    <row r="4482" spans="1:9" ht="15.6" hidden="1">
      <c r="A4482" s="51" t="s">
        <v>7836</v>
      </c>
      <c r="B4482" s="5">
        <v>135320</v>
      </c>
      <c r="C4482" s="38" t="s">
        <v>8150</v>
      </c>
      <c r="D4482" s="38"/>
      <c r="E4482" s="104">
        <v>1</v>
      </c>
      <c r="F4482" s="9"/>
      <c r="G4482" s="8"/>
      <c r="H4482" s="43">
        <v>17.52</v>
      </c>
      <c r="I4482" s="19">
        <f t="shared" si="141"/>
        <v>0</v>
      </c>
    </row>
    <row r="4483" spans="1:9" ht="15.6" hidden="1">
      <c r="A4483" s="51" t="s">
        <v>7836</v>
      </c>
      <c r="B4483" s="5">
        <v>135148</v>
      </c>
      <c r="C4483" s="38" t="s">
        <v>8151</v>
      </c>
      <c r="D4483" s="38"/>
      <c r="E4483" s="104">
        <v>1</v>
      </c>
      <c r="F4483" s="9"/>
      <c r="G4483" s="8"/>
      <c r="H4483" s="43">
        <v>12.58</v>
      </c>
      <c r="I4483" s="19">
        <f t="shared" si="141"/>
        <v>0</v>
      </c>
    </row>
    <row r="4484" spans="1:9" ht="15.6" hidden="1">
      <c r="A4484" s="51" t="s">
        <v>7836</v>
      </c>
      <c r="B4484" s="5">
        <v>142244</v>
      </c>
      <c r="C4484" s="38" t="s">
        <v>8152</v>
      </c>
      <c r="D4484" s="38"/>
      <c r="E4484" s="104">
        <v>1</v>
      </c>
      <c r="F4484" s="9"/>
      <c r="G4484" s="8"/>
      <c r="H4484" s="43">
        <v>17.52</v>
      </c>
      <c r="I4484" s="19">
        <f t="shared" si="141"/>
        <v>0</v>
      </c>
    </row>
    <row r="4485" spans="1:9" ht="15.6" hidden="1">
      <c r="A4485" s="51" t="s">
        <v>7836</v>
      </c>
      <c r="B4485" s="5">
        <v>135307</v>
      </c>
      <c r="C4485" s="38" t="s">
        <v>8153</v>
      </c>
      <c r="D4485" s="38"/>
      <c r="E4485" s="104">
        <v>1</v>
      </c>
      <c r="F4485" s="9"/>
      <c r="G4485" s="8"/>
      <c r="H4485" s="43">
        <v>12.58</v>
      </c>
      <c r="I4485" s="19">
        <f t="shared" si="141"/>
        <v>0</v>
      </c>
    </row>
    <row r="4486" spans="1:9" ht="15.6" hidden="1">
      <c r="A4486" s="51" t="s">
        <v>7836</v>
      </c>
      <c r="B4486" s="5">
        <v>135323</v>
      </c>
      <c r="C4486" s="38" t="s">
        <v>8154</v>
      </c>
      <c r="D4486" s="38"/>
      <c r="E4486" s="104">
        <v>1</v>
      </c>
      <c r="F4486" s="9"/>
      <c r="G4486" s="8"/>
      <c r="H4486" s="43">
        <v>17.52</v>
      </c>
      <c r="I4486" s="19">
        <f t="shared" si="141"/>
        <v>0</v>
      </c>
    </row>
    <row r="4487" spans="1:9" ht="15.6" hidden="1">
      <c r="A4487" s="51" t="s">
        <v>7836</v>
      </c>
      <c r="B4487" s="5">
        <v>135308</v>
      </c>
      <c r="C4487" s="38" t="s">
        <v>8155</v>
      </c>
      <c r="D4487" s="38"/>
      <c r="E4487" s="104">
        <v>1</v>
      </c>
      <c r="F4487" s="9"/>
      <c r="G4487" s="8"/>
      <c r="H4487" s="43">
        <v>12.58</v>
      </c>
      <c r="I4487" s="19">
        <f t="shared" si="141"/>
        <v>0</v>
      </c>
    </row>
    <row r="4488" spans="1:9" ht="15.6" hidden="1">
      <c r="A4488" s="51" t="s">
        <v>7836</v>
      </c>
      <c r="B4488" s="5">
        <v>135324</v>
      </c>
      <c r="C4488" s="38" t="s">
        <v>8156</v>
      </c>
      <c r="D4488" s="38"/>
      <c r="E4488" s="104">
        <v>1</v>
      </c>
      <c r="F4488" s="9"/>
      <c r="G4488" s="8"/>
      <c r="H4488" s="43">
        <v>17.52</v>
      </c>
      <c r="I4488" s="19">
        <f t="shared" si="141"/>
        <v>0</v>
      </c>
    </row>
    <row r="4489" spans="1:9" ht="15.6" hidden="1">
      <c r="A4489" s="51" t="s">
        <v>7836</v>
      </c>
      <c r="B4489" s="5">
        <v>142230</v>
      </c>
      <c r="C4489" s="38" t="s">
        <v>8157</v>
      </c>
      <c r="D4489" s="38"/>
      <c r="E4489" s="104">
        <v>1</v>
      </c>
      <c r="F4489" s="9"/>
      <c r="G4489" s="8"/>
      <c r="H4489" s="43">
        <v>21.03</v>
      </c>
      <c r="I4489" s="19">
        <f t="shared" si="141"/>
        <v>0</v>
      </c>
    </row>
    <row r="4490" spans="1:9" ht="15.6" hidden="1">
      <c r="A4490" s="51" t="s">
        <v>7836</v>
      </c>
      <c r="B4490" s="5">
        <v>142231</v>
      </c>
      <c r="C4490" s="38" t="s">
        <v>8158</v>
      </c>
      <c r="D4490" s="38"/>
      <c r="E4490" s="104">
        <v>1</v>
      </c>
      <c r="F4490" s="9"/>
      <c r="G4490" s="8"/>
      <c r="H4490" s="43">
        <v>21.03</v>
      </c>
      <c r="I4490" s="19">
        <f t="shared" si="141"/>
        <v>0</v>
      </c>
    </row>
    <row r="4491" spans="1:9" ht="15.6" hidden="1">
      <c r="A4491" s="51" t="s">
        <v>7836</v>
      </c>
      <c r="B4491" s="5">
        <v>142232</v>
      </c>
      <c r="C4491" s="38" t="s">
        <v>8159</v>
      </c>
      <c r="D4491" s="38"/>
      <c r="E4491" s="104">
        <v>1</v>
      </c>
      <c r="F4491" s="9"/>
      <c r="G4491" s="8"/>
      <c r="H4491" s="43">
        <v>21.03</v>
      </c>
      <c r="I4491" s="19">
        <f t="shared" si="141"/>
        <v>0</v>
      </c>
    </row>
    <row r="4492" spans="1:9" ht="15.6" hidden="1">
      <c r="A4492" s="51" t="s">
        <v>7836</v>
      </c>
      <c r="B4492" s="5">
        <v>142233</v>
      </c>
      <c r="C4492" s="38" t="s">
        <v>8160</v>
      </c>
      <c r="D4492" s="38"/>
      <c r="E4492" s="104">
        <v>1</v>
      </c>
      <c r="F4492" s="9"/>
      <c r="G4492" s="8"/>
      <c r="H4492" s="43">
        <v>21.03</v>
      </c>
      <c r="I4492" s="19">
        <f t="shared" si="141"/>
        <v>0</v>
      </c>
    </row>
    <row r="4493" spans="1:9" ht="15.6" hidden="1">
      <c r="A4493" s="51" t="s">
        <v>7836</v>
      </c>
      <c r="B4493" s="5">
        <v>142240</v>
      </c>
      <c r="C4493" s="38" t="s">
        <v>8161</v>
      </c>
      <c r="D4493" s="38"/>
      <c r="E4493" s="104">
        <v>1</v>
      </c>
      <c r="F4493" s="9"/>
      <c r="G4493" s="8"/>
      <c r="H4493" s="43">
        <v>17.86</v>
      </c>
      <c r="I4493" s="19">
        <f t="shared" si="141"/>
        <v>0</v>
      </c>
    </row>
    <row r="4494" spans="1:9" ht="15.6" hidden="1">
      <c r="A4494" s="51" t="s">
        <v>7836</v>
      </c>
      <c r="B4494" s="5">
        <v>142236</v>
      </c>
      <c r="C4494" s="38" t="s">
        <v>8162</v>
      </c>
      <c r="D4494" s="38"/>
      <c r="E4494" s="104">
        <v>1</v>
      </c>
      <c r="F4494" s="9"/>
      <c r="G4494" s="8"/>
      <c r="H4494" s="43">
        <v>17.86</v>
      </c>
      <c r="I4494" s="19">
        <f t="shared" si="141"/>
        <v>0</v>
      </c>
    </row>
    <row r="4495" spans="1:9" ht="15.6" hidden="1">
      <c r="A4495" s="51" t="s">
        <v>7836</v>
      </c>
      <c r="B4495" s="5">
        <v>142238</v>
      </c>
      <c r="C4495" s="38" t="s">
        <v>8163</v>
      </c>
      <c r="D4495" s="38"/>
      <c r="E4495" s="104">
        <v>1</v>
      </c>
      <c r="F4495" s="9"/>
      <c r="G4495" s="8"/>
      <c r="H4495" s="43">
        <v>17.86</v>
      </c>
      <c r="I4495" s="19">
        <f t="shared" si="141"/>
        <v>0</v>
      </c>
    </row>
    <row r="4496" spans="1:9" ht="15.6" hidden="1">
      <c r="A4496" s="51" t="s">
        <v>7836</v>
      </c>
      <c r="B4496" s="5">
        <v>142226</v>
      </c>
      <c r="C4496" s="38" t="s">
        <v>8164</v>
      </c>
      <c r="D4496" s="38"/>
      <c r="E4496" s="104">
        <v>1</v>
      </c>
      <c r="F4496" s="9"/>
      <c r="G4496" s="8"/>
      <c r="H4496" s="43">
        <v>21.03</v>
      </c>
      <c r="I4496" s="19">
        <f t="shared" si="141"/>
        <v>0</v>
      </c>
    </row>
    <row r="4497" spans="1:9" ht="15.6" hidden="1">
      <c r="A4497" s="51" t="s">
        <v>7836</v>
      </c>
      <c r="B4497" s="5">
        <v>142227</v>
      </c>
      <c r="C4497" s="38" t="s">
        <v>8165</v>
      </c>
      <c r="D4497" s="38"/>
      <c r="E4497" s="104">
        <v>1</v>
      </c>
      <c r="F4497" s="9"/>
      <c r="G4497" s="8"/>
      <c r="H4497" s="43">
        <v>21.03</v>
      </c>
      <c r="I4497" s="19">
        <f t="shared" si="141"/>
        <v>0</v>
      </c>
    </row>
    <row r="4498" spans="1:9" ht="15.6" hidden="1">
      <c r="A4498" s="51" t="s">
        <v>7836</v>
      </c>
      <c r="B4498" s="5">
        <v>142228</v>
      </c>
      <c r="C4498" s="38" t="s">
        <v>8166</v>
      </c>
      <c r="D4498" s="38"/>
      <c r="E4498" s="104">
        <v>1</v>
      </c>
      <c r="F4498" s="9"/>
      <c r="G4498" s="8"/>
      <c r="H4498" s="43">
        <v>21.03</v>
      </c>
      <c r="I4498" s="19">
        <f t="shared" si="141"/>
        <v>0</v>
      </c>
    </row>
    <row r="4499" spans="1:9" ht="15.6" hidden="1">
      <c r="A4499" s="51" t="s">
        <v>7836</v>
      </c>
      <c r="B4499" s="5">
        <v>142229</v>
      </c>
      <c r="C4499" s="38" t="s">
        <v>8167</v>
      </c>
      <c r="D4499" s="38"/>
      <c r="E4499" s="104">
        <v>1</v>
      </c>
      <c r="F4499" s="9"/>
      <c r="G4499" s="8"/>
      <c r="H4499" s="43">
        <v>21.03</v>
      </c>
      <c r="I4499" s="19">
        <f t="shared" si="141"/>
        <v>0</v>
      </c>
    </row>
    <row r="4500" spans="1:9" ht="15.6" hidden="1">
      <c r="A4500" s="51" t="s">
        <v>7836</v>
      </c>
      <c r="B4500" s="5">
        <v>142243</v>
      </c>
      <c r="C4500" s="38" t="s">
        <v>8168</v>
      </c>
      <c r="D4500" s="38"/>
      <c r="E4500" s="104">
        <v>1</v>
      </c>
      <c r="F4500" s="9"/>
      <c r="G4500" s="8"/>
      <c r="H4500" s="43">
        <v>21.03</v>
      </c>
      <c r="I4500" s="19">
        <f t="shared" si="141"/>
        <v>0</v>
      </c>
    </row>
    <row r="4501" spans="1:9" ht="15.6" hidden="1">
      <c r="A4501" s="51" t="s">
        <v>7836</v>
      </c>
      <c r="B4501" s="5">
        <v>135316</v>
      </c>
      <c r="C4501" s="38" t="s">
        <v>8169</v>
      </c>
      <c r="D4501" s="38"/>
      <c r="E4501" s="104">
        <v>1</v>
      </c>
      <c r="F4501" s="9"/>
      <c r="G4501" s="8"/>
      <c r="H4501" s="43">
        <v>15.27</v>
      </c>
      <c r="I4501" s="19">
        <f t="shared" si="141"/>
        <v>0</v>
      </c>
    </row>
    <row r="4502" spans="1:9" ht="15.6" hidden="1">
      <c r="A4502" s="51" t="s">
        <v>7836</v>
      </c>
      <c r="B4502" s="5">
        <v>135149</v>
      </c>
      <c r="C4502" s="38" t="s">
        <v>8170</v>
      </c>
      <c r="D4502" s="38"/>
      <c r="E4502" s="104">
        <v>1</v>
      </c>
      <c r="F4502" s="9"/>
      <c r="G4502" s="8"/>
      <c r="H4502" s="43">
        <v>20.21</v>
      </c>
      <c r="I4502" s="19">
        <f t="shared" si="141"/>
        <v>0</v>
      </c>
    </row>
    <row r="4503" spans="1:9" ht="15.6" hidden="1">
      <c r="A4503" s="51" t="s">
        <v>7836</v>
      </c>
      <c r="B4503" s="5">
        <v>142237</v>
      </c>
      <c r="C4503" s="38" t="s">
        <v>8171</v>
      </c>
      <c r="D4503" s="38"/>
      <c r="E4503" s="104">
        <v>1</v>
      </c>
      <c r="F4503" s="9"/>
      <c r="G4503" s="8"/>
      <c r="H4503" s="43">
        <v>17.86</v>
      </c>
      <c r="I4503" s="19">
        <f t="shared" si="141"/>
        <v>0</v>
      </c>
    </row>
    <row r="4504" spans="1:9" ht="15.6" hidden="1">
      <c r="A4504" s="51" t="s">
        <v>7836</v>
      </c>
      <c r="B4504" s="5">
        <v>135151</v>
      </c>
      <c r="C4504" s="38" t="s">
        <v>8172</v>
      </c>
      <c r="D4504" s="38"/>
      <c r="E4504" s="104">
        <v>1</v>
      </c>
      <c r="F4504" s="9"/>
      <c r="G4504" s="8"/>
      <c r="H4504" s="43">
        <v>15.27</v>
      </c>
      <c r="I4504" s="19">
        <f t="shared" si="141"/>
        <v>0</v>
      </c>
    </row>
    <row r="4505" spans="1:9" ht="15.6" hidden="1">
      <c r="A4505" s="51" t="s">
        <v>7836</v>
      </c>
      <c r="B4505" s="5">
        <v>135311</v>
      </c>
      <c r="C4505" s="38" t="s">
        <v>8173</v>
      </c>
      <c r="D4505" s="38"/>
      <c r="E4505" s="104">
        <v>1</v>
      </c>
      <c r="F4505" s="9"/>
      <c r="G4505" s="8"/>
      <c r="H4505" s="43">
        <v>20.21</v>
      </c>
      <c r="I4505" s="19">
        <f t="shared" si="141"/>
        <v>0</v>
      </c>
    </row>
    <row r="4506" spans="1:9" ht="15.6" hidden="1">
      <c r="A4506" s="51" t="s">
        <v>7836</v>
      </c>
      <c r="B4506" s="5">
        <v>142245</v>
      </c>
      <c r="C4506" s="38" t="s">
        <v>8174</v>
      </c>
      <c r="D4506" s="38"/>
      <c r="E4506" s="104">
        <v>1</v>
      </c>
      <c r="F4506" s="9"/>
      <c r="G4506" s="8"/>
      <c r="H4506" s="43">
        <v>20.21</v>
      </c>
      <c r="I4506" s="19">
        <f t="shared" si="141"/>
        <v>0</v>
      </c>
    </row>
    <row r="4507" spans="1:9" ht="15.6" hidden="1">
      <c r="A4507" s="51" t="s">
        <v>7836</v>
      </c>
      <c r="B4507" s="5">
        <v>142248</v>
      </c>
      <c r="C4507" s="38" t="s">
        <v>8175</v>
      </c>
      <c r="D4507" s="38"/>
      <c r="E4507" s="104">
        <v>1</v>
      </c>
      <c r="F4507" s="9"/>
      <c r="G4507" s="8"/>
      <c r="H4507" s="43">
        <v>20.21</v>
      </c>
      <c r="I4507" s="19">
        <f t="shared" si="141"/>
        <v>0</v>
      </c>
    </row>
    <row r="4508" spans="1:9" ht="15.6" hidden="1">
      <c r="A4508" s="51" t="s">
        <v>7836</v>
      </c>
      <c r="B4508" s="5">
        <v>142246</v>
      </c>
      <c r="C4508" s="38" t="s">
        <v>8176</v>
      </c>
      <c r="D4508" s="38"/>
      <c r="E4508" s="104">
        <v>1</v>
      </c>
      <c r="F4508" s="9"/>
      <c r="G4508" s="8"/>
      <c r="H4508" s="43">
        <v>20.21</v>
      </c>
      <c r="I4508" s="19">
        <f t="shared" si="141"/>
        <v>0</v>
      </c>
    </row>
    <row r="4509" spans="1:9" ht="15.6" hidden="1">
      <c r="A4509" s="51" t="s">
        <v>7836</v>
      </c>
      <c r="B4509" s="5">
        <v>135314</v>
      </c>
      <c r="C4509" s="38" t="s">
        <v>8177</v>
      </c>
      <c r="D4509" s="38"/>
      <c r="E4509" s="104">
        <v>1</v>
      </c>
      <c r="F4509" s="9"/>
      <c r="G4509" s="8"/>
      <c r="H4509" s="43">
        <v>15.27</v>
      </c>
      <c r="I4509" s="19">
        <f t="shared" si="141"/>
        <v>0</v>
      </c>
    </row>
    <row r="4510" spans="1:9" ht="15.6" hidden="1">
      <c r="A4510" s="51" t="s">
        <v>7836</v>
      </c>
      <c r="B4510" s="5">
        <v>135328</v>
      </c>
      <c r="C4510" s="38" t="s">
        <v>8178</v>
      </c>
      <c r="D4510" s="38"/>
      <c r="E4510" s="104">
        <v>1</v>
      </c>
      <c r="F4510" s="9"/>
      <c r="G4510" s="8"/>
      <c r="H4510" s="43">
        <v>20.21</v>
      </c>
      <c r="I4510" s="19">
        <f t="shared" si="141"/>
        <v>0</v>
      </c>
    </row>
    <row r="4511" spans="1:9" ht="15.6" hidden="1">
      <c r="A4511" s="51" t="s">
        <v>7836</v>
      </c>
      <c r="B4511" s="5">
        <v>135313</v>
      </c>
      <c r="C4511" s="38" t="s">
        <v>8179</v>
      </c>
      <c r="D4511" s="38"/>
      <c r="E4511" s="104">
        <v>1</v>
      </c>
      <c r="F4511" s="9"/>
      <c r="G4511" s="8"/>
      <c r="H4511" s="43">
        <v>15.27</v>
      </c>
      <c r="I4511" s="19">
        <f t="shared" si="141"/>
        <v>0</v>
      </c>
    </row>
    <row r="4512" spans="1:9" ht="15.6" hidden="1">
      <c r="A4512" s="51" t="s">
        <v>7836</v>
      </c>
      <c r="B4512" s="5">
        <v>135327</v>
      </c>
      <c r="C4512" s="38" t="s">
        <v>8180</v>
      </c>
      <c r="D4512" s="38"/>
      <c r="E4512" s="104">
        <v>1</v>
      </c>
      <c r="F4512" s="9"/>
      <c r="G4512" s="8"/>
      <c r="H4512" s="43">
        <v>34.520000000000003</v>
      </c>
      <c r="I4512" s="19">
        <f t="shared" si="141"/>
        <v>0</v>
      </c>
    </row>
    <row r="4513" spans="1:9" ht="15.6" hidden="1">
      <c r="A4513" s="51" t="s">
        <v>7836</v>
      </c>
      <c r="B4513" s="5">
        <v>135312</v>
      </c>
      <c r="C4513" s="38" t="s">
        <v>8181</v>
      </c>
      <c r="D4513" s="38"/>
      <c r="E4513" s="104">
        <v>1</v>
      </c>
      <c r="F4513" s="9"/>
      <c r="G4513" s="8"/>
      <c r="H4513" s="43">
        <v>15.27</v>
      </c>
      <c r="I4513" s="19">
        <f t="shared" si="141"/>
        <v>0</v>
      </c>
    </row>
    <row r="4514" spans="1:9" ht="15.6" hidden="1">
      <c r="A4514" s="51" t="s">
        <v>7836</v>
      </c>
      <c r="B4514" s="5">
        <v>135326</v>
      </c>
      <c r="C4514" s="38" t="s">
        <v>8182</v>
      </c>
      <c r="D4514" s="38"/>
      <c r="E4514" s="104">
        <v>1</v>
      </c>
      <c r="F4514" s="9"/>
      <c r="G4514" s="8"/>
      <c r="H4514" s="43">
        <v>20.21</v>
      </c>
      <c r="I4514" s="19">
        <f t="shared" si="141"/>
        <v>0</v>
      </c>
    </row>
    <row r="4515" spans="1:9" ht="15.6" hidden="1">
      <c r="A4515" s="51" t="s">
        <v>7836</v>
      </c>
      <c r="B4515" s="5">
        <v>135315</v>
      </c>
      <c r="C4515" s="38" t="s">
        <v>8183</v>
      </c>
      <c r="D4515" s="38"/>
      <c r="E4515" s="104">
        <v>1</v>
      </c>
      <c r="F4515" s="9"/>
      <c r="G4515" s="8"/>
      <c r="H4515" s="43">
        <v>15.27</v>
      </c>
      <c r="I4515" s="19">
        <f t="shared" si="141"/>
        <v>0</v>
      </c>
    </row>
    <row r="4516" spans="1:9" ht="15.6" hidden="1">
      <c r="A4516" s="51" t="s">
        <v>7836</v>
      </c>
      <c r="B4516" s="5">
        <v>135150</v>
      </c>
      <c r="C4516" s="38" t="s">
        <v>8184</v>
      </c>
      <c r="D4516" s="38"/>
      <c r="E4516" s="104">
        <v>1</v>
      </c>
      <c r="F4516" s="9"/>
      <c r="G4516" s="8"/>
      <c r="H4516" s="43">
        <v>20.21</v>
      </c>
      <c r="I4516" s="19">
        <f t="shared" si="141"/>
        <v>0</v>
      </c>
    </row>
    <row r="4517" spans="1:9" ht="15.6" hidden="1">
      <c r="A4517" s="51" t="s">
        <v>7836</v>
      </c>
      <c r="B4517" s="5">
        <v>112046</v>
      </c>
      <c r="C4517" s="38" t="s">
        <v>8185</v>
      </c>
      <c r="D4517" s="38" t="s">
        <v>589</v>
      </c>
      <c r="E4517" s="104">
        <v>1</v>
      </c>
      <c r="F4517" s="9"/>
      <c r="G4517" s="8"/>
      <c r="H4517" s="43">
        <v>72.09</v>
      </c>
      <c r="I4517" s="19">
        <f t="shared" si="141"/>
        <v>0</v>
      </c>
    </row>
    <row r="4518" spans="1:9" ht="15.6" hidden="1">
      <c r="A4518" s="51" t="s">
        <v>7836</v>
      </c>
      <c r="B4518" s="5">
        <v>112047</v>
      </c>
      <c r="C4518" s="38" t="s">
        <v>8186</v>
      </c>
      <c r="D4518" s="38" t="s">
        <v>589</v>
      </c>
      <c r="E4518" s="104">
        <v>1</v>
      </c>
      <c r="F4518" s="9"/>
      <c r="G4518" s="8"/>
      <c r="H4518" s="43">
        <v>72.09</v>
      </c>
      <c r="I4518" s="19">
        <f t="shared" si="141"/>
        <v>0</v>
      </c>
    </row>
    <row r="4519" spans="1:9" ht="15.6" hidden="1">
      <c r="A4519" s="51" t="s">
        <v>7836</v>
      </c>
      <c r="B4519" s="5">
        <v>112048</v>
      </c>
      <c r="C4519" s="38" t="s">
        <v>8187</v>
      </c>
      <c r="D4519" s="38" t="s">
        <v>589</v>
      </c>
      <c r="E4519" s="104">
        <v>1</v>
      </c>
      <c r="F4519" s="9"/>
      <c r="G4519" s="8"/>
      <c r="H4519" s="43">
        <v>74.25</v>
      </c>
      <c r="I4519" s="19">
        <f t="shared" si="141"/>
        <v>0</v>
      </c>
    </row>
    <row r="4520" spans="1:9" ht="15.6" hidden="1">
      <c r="A4520" s="51" t="s">
        <v>7836</v>
      </c>
      <c r="B4520" s="5">
        <v>112049</v>
      </c>
      <c r="C4520" s="38" t="s">
        <v>8188</v>
      </c>
      <c r="D4520" s="38" t="s">
        <v>589</v>
      </c>
      <c r="E4520" s="104">
        <v>1</v>
      </c>
      <c r="F4520" s="9"/>
      <c r="G4520" s="8"/>
      <c r="H4520" s="43">
        <v>74.25</v>
      </c>
      <c r="I4520" s="19">
        <f t="shared" si="141"/>
        <v>0</v>
      </c>
    </row>
    <row r="4521" spans="1:9" ht="15.6" hidden="1">
      <c r="A4521" s="51" t="s">
        <v>7836</v>
      </c>
      <c r="B4521" s="5">
        <v>112050</v>
      </c>
      <c r="C4521" s="38" t="s">
        <v>8189</v>
      </c>
      <c r="D4521" s="38" t="s">
        <v>589</v>
      </c>
      <c r="E4521" s="104">
        <v>1</v>
      </c>
      <c r="F4521" s="9"/>
      <c r="G4521" s="8"/>
      <c r="H4521" s="43">
        <v>74.25</v>
      </c>
      <c r="I4521" s="19">
        <f t="shared" si="141"/>
        <v>0</v>
      </c>
    </row>
    <row r="4522" spans="1:9" ht="15.6" hidden="1">
      <c r="A4522" s="51" t="s">
        <v>7836</v>
      </c>
      <c r="B4522" s="5">
        <v>112051</v>
      </c>
      <c r="C4522" s="38" t="s">
        <v>8190</v>
      </c>
      <c r="D4522" s="38" t="s">
        <v>589</v>
      </c>
      <c r="E4522" s="104">
        <v>1</v>
      </c>
      <c r="F4522" s="9"/>
      <c r="G4522" s="8"/>
      <c r="H4522" s="43">
        <v>74.25</v>
      </c>
      <c r="I4522" s="19">
        <f t="shared" si="141"/>
        <v>0</v>
      </c>
    </row>
    <row r="4523" spans="1:9" ht="15.6" hidden="1">
      <c r="A4523" s="51" t="s">
        <v>7836</v>
      </c>
      <c r="B4523" s="5">
        <v>112052</v>
      </c>
      <c r="C4523" s="38" t="s">
        <v>8191</v>
      </c>
      <c r="D4523" s="38" t="s">
        <v>589</v>
      </c>
      <c r="E4523" s="104">
        <v>1</v>
      </c>
      <c r="F4523" s="9"/>
      <c r="G4523" s="8"/>
      <c r="H4523" s="43">
        <v>72.09</v>
      </c>
      <c r="I4523" s="19">
        <f t="shared" si="141"/>
        <v>0</v>
      </c>
    </row>
    <row r="4524" spans="1:9" ht="15.6" hidden="1">
      <c r="A4524" s="51" t="s">
        <v>7836</v>
      </c>
      <c r="B4524" s="5">
        <v>112053</v>
      </c>
      <c r="C4524" s="38" t="s">
        <v>8192</v>
      </c>
      <c r="D4524" s="38" t="s">
        <v>589</v>
      </c>
      <c r="E4524" s="104">
        <v>1</v>
      </c>
      <c r="F4524" s="9"/>
      <c r="G4524" s="8"/>
      <c r="H4524" s="43">
        <v>74.25</v>
      </c>
      <c r="I4524" s="19">
        <f t="shared" si="141"/>
        <v>0</v>
      </c>
    </row>
    <row r="4525" spans="1:9" ht="15.6" hidden="1">
      <c r="A4525" s="51" t="s">
        <v>7836</v>
      </c>
      <c r="B4525" s="5">
        <v>112054</v>
      </c>
      <c r="C4525" s="38" t="s">
        <v>8193</v>
      </c>
      <c r="D4525" s="38" t="s">
        <v>589</v>
      </c>
      <c r="E4525" s="104">
        <v>1</v>
      </c>
      <c r="F4525" s="9"/>
      <c r="G4525" s="8"/>
      <c r="H4525" s="43">
        <v>72.78</v>
      </c>
      <c r="I4525" s="19">
        <f t="shared" si="141"/>
        <v>0</v>
      </c>
    </row>
    <row r="4526" spans="1:9" ht="15.6" hidden="1">
      <c r="A4526" s="51" t="s">
        <v>7836</v>
      </c>
      <c r="B4526" s="5">
        <v>112055</v>
      </c>
      <c r="C4526" s="38" t="s">
        <v>8194</v>
      </c>
      <c r="D4526" s="38" t="s">
        <v>589</v>
      </c>
      <c r="E4526" s="104">
        <v>1</v>
      </c>
      <c r="F4526" s="9"/>
      <c r="G4526" s="8"/>
      <c r="H4526" s="43">
        <v>72.09</v>
      </c>
      <c r="I4526" s="19">
        <f t="shared" si="141"/>
        <v>0</v>
      </c>
    </row>
    <row r="4527" spans="1:9" ht="15.6" hidden="1">
      <c r="A4527" s="51" t="s">
        <v>7836</v>
      </c>
      <c r="B4527" s="5">
        <v>112056</v>
      </c>
      <c r="C4527" s="38" t="s">
        <v>8195</v>
      </c>
      <c r="D4527" s="38" t="s">
        <v>589</v>
      </c>
      <c r="E4527" s="104">
        <v>1</v>
      </c>
      <c r="F4527" s="9"/>
      <c r="G4527" s="8"/>
      <c r="H4527" s="43">
        <v>74.25</v>
      </c>
      <c r="I4527" s="19">
        <f t="shared" si="141"/>
        <v>0</v>
      </c>
    </row>
    <row r="4528" spans="1:9" ht="15.6" hidden="1">
      <c r="A4528" s="51" t="s">
        <v>7836</v>
      </c>
      <c r="B4528" s="5">
        <v>112482</v>
      </c>
      <c r="C4528" s="38" t="s">
        <v>8196</v>
      </c>
      <c r="D4528" s="38" t="s">
        <v>992</v>
      </c>
      <c r="E4528" s="104">
        <v>1</v>
      </c>
      <c r="F4528" s="9"/>
      <c r="G4528" s="8"/>
      <c r="H4528" s="43">
        <v>28.19</v>
      </c>
      <c r="I4528" s="19">
        <f t="shared" si="141"/>
        <v>0</v>
      </c>
    </row>
    <row r="4529" spans="1:9" ht="15.6" hidden="1">
      <c r="A4529" s="51" t="s">
        <v>7836</v>
      </c>
      <c r="B4529" s="5">
        <v>112483</v>
      </c>
      <c r="C4529" s="38" t="s">
        <v>8197</v>
      </c>
      <c r="D4529" s="38" t="s">
        <v>992</v>
      </c>
      <c r="E4529" s="104">
        <v>1</v>
      </c>
      <c r="F4529" s="9"/>
      <c r="G4529" s="8"/>
      <c r="H4529" s="43">
        <v>29.03</v>
      </c>
      <c r="I4529" s="19">
        <f t="shared" si="141"/>
        <v>0</v>
      </c>
    </row>
    <row r="4530" spans="1:9" ht="15.6" hidden="1">
      <c r="A4530" s="51" t="s">
        <v>7836</v>
      </c>
      <c r="B4530" s="5">
        <v>111921</v>
      </c>
      <c r="C4530" s="38" t="s">
        <v>8198</v>
      </c>
      <c r="D4530" s="38" t="s">
        <v>589</v>
      </c>
      <c r="E4530" s="104">
        <v>1</v>
      </c>
      <c r="F4530" s="9"/>
      <c r="G4530" s="8"/>
      <c r="H4530" s="43">
        <v>122.76</v>
      </c>
      <c r="I4530" s="19">
        <f t="shared" si="141"/>
        <v>0</v>
      </c>
    </row>
    <row r="4531" spans="1:9" ht="15.6" hidden="1">
      <c r="A4531" s="51" t="s">
        <v>7836</v>
      </c>
      <c r="B4531" s="5">
        <v>111922</v>
      </c>
      <c r="C4531" s="38" t="s">
        <v>8199</v>
      </c>
      <c r="D4531" s="38" t="s">
        <v>589</v>
      </c>
      <c r="E4531" s="104">
        <v>1</v>
      </c>
      <c r="F4531" s="9"/>
      <c r="G4531" s="8"/>
      <c r="H4531" s="43">
        <v>122.76</v>
      </c>
      <c r="I4531" s="19">
        <f t="shared" si="141"/>
        <v>0</v>
      </c>
    </row>
    <row r="4532" spans="1:9" ht="15.6" hidden="1">
      <c r="A4532" s="51" t="s">
        <v>7836</v>
      </c>
      <c r="B4532" s="5">
        <v>111927</v>
      </c>
      <c r="C4532" s="38" t="s">
        <v>8200</v>
      </c>
      <c r="D4532" s="38" t="s">
        <v>589</v>
      </c>
      <c r="E4532" s="104">
        <v>1</v>
      </c>
      <c r="F4532" s="9"/>
      <c r="G4532" s="8"/>
      <c r="H4532" s="43">
        <v>96.97</v>
      </c>
      <c r="I4532" s="19">
        <f t="shared" si="141"/>
        <v>0</v>
      </c>
    </row>
    <row r="4533" spans="1:9" ht="15.6" hidden="1">
      <c r="A4533" s="51" t="s">
        <v>7836</v>
      </c>
      <c r="B4533" s="5">
        <v>111939</v>
      </c>
      <c r="C4533" s="38" t="s">
        <v>8201</v>
      </c>
      <c r="D4533" s="38" t="s">
        <v>589</v>
      </c>
      <c r="E4533" s="104">
        <v>1</v>
      </c>
      <c r="F4533" s="9"/>
      <c r="G4533" s="8"/>
      <c r="H4533" s="43">
        <v>96.97</v>
      </c>
      <c r="I4533" s="19">
        <f t="shared" si="141"/>
        <v>0</v>
      </c>
    </row>
    <row r="4534" spans="1:9" ht="15.6" hidden="1">
      <c r="A4534" s="51" t="s">
        <v>7836</v>
      </c>
      <c r="B4534" s="5">
        <v>111948</v>
      </c>
      <c r="C4534" s="38" t="s">
        <v>8202</v>
      </c>
      <c r="D4534" s="38" t="s">
        <v>589</v>
      </c>
      <c r="E4534" s="104">
        <v>1</v>
      </c>
      <c r="F4534" s="9"/>
      <c r="G4534" s="8"/>
      <c r="H4534" s="43">
        <v>84.65</v>
      </c>
      <c r="I4534" s="19">
        <f t="shared" si="141"/>
        <v>0</v>
      </c>
    </row>
    <row r="4535" spans="1:9" ht="15.6" hidden="1">
      <c r="A4535" s="51" t="s">
        <v>7836</v>
      </c>
      <c r="B4535" s="5">
        <v>111949</v>
      </c>
      <c r="C4535" s="38" t="s">
        <v>8203</v>
      </c>
      <c r="D4535" s="38" t="s">
        <v>589</v>
      </c>
      <c r="E4535" s="104">
        <v>1</v>
      </c>
      <c r="F4535" s="9"/>
      <c r="G4535" s="8"/>
      <c r="H4535" s="43">
        <v>84.65</v>
      </c>
      <c r="I4535" s="19">
        <f t="shared" si="141"/>
        <v>0</v>
      </c>
    </row>
    <row r="4536" spans="1:9" ht="15.6" hidden="1">
      <c r="A4536" s="51" t="s">
        <v>7836</v>
      </c>
      <c r="B4536" s="5">
        <v>111951</v>
      </c>
      <c r="C4536" s="38" t="s">
        <v>8204</v>
      </c>
      <c r="D4536" s="38" t="s">
        <v>589</v>
      </c>
      <c r="E4536" s="104">
        <v>1</v>
      </c>
      <c r="F4536" s="9"/>
      <c r="G4536" s="8"/>
      <c r="H4536" s="43">
        <v>96.97</v>
      </c>
      <c r="I4536" s="19">
        <f t="shared" si="141"/>
        <v>0</v>
      </c>
    </row>
    <row r="4537" spans="1:9" ht="15.6" hidden="1">
      <c r="A4537" s="51" t="s">
        <v>7836</v>
      </c>
      <c r="B4537" s="5">
        <v>111952</v>
      </c>
      <c r="C4537" s="38" t="s">
        <v>8205</v>
      </c>
      <c r="D4537" s="38" t="s">
        <v>589</v>
      </c>
      <c r="E4537" s="104">
        <v>1</v>
      </c>
      <c r="F4537" s="9"/>
      <c r="G4537" s="8"/>
      <c r="H4537" s="43">
        <v>96.97</v>
      </c>
      <c r="I4537" s="19">
        <f t="shared" si="141"/>
        <v>0</v>
      </c>
    </row>
    <row r="4538" spans="1:9" ht="15.6" hidden="1">
      <c r="A4538" s="51" t="s">
        <v>7836</v>
      </c>
      <c r="B4538" s="5">
        <v>111953</v>
      </c>
      <c r="C4538" s="38" t="s">
        <v>8206</v>
      </c>
      <c r="D4538" s="38" t="s">
        <v>589</v>
      </c>
      <c r="E4538" s="104">
        <v>1</v>
      </c>
      <c r="F4538" s="9"/>
      <c r="G4538" s="8"/>
      <c r="H4538" s="43">
        <v>96.97</v>
      </c>
      <c r="I4538" s="19">
        <f t="shared" si="141"/>
        <v>0</v>
      </c>
    </row>
    <row r="4539" spans="1:9" ht="15.6" hidden="1">
      <c r="A4539" s="51" t="s">
        <v>7836</v>
      </c>
      <c r="B4539" s="5">
        <v>111967</v>
      </c>
      <c r="C4539" s="38" t="s">
        <v>8207</v>
      </c>
      <c r="D4539" s="38" t="s">
        <v>589</v>
      </c>
      <c r="E4539" s="104">
        <v>1</v>
      </c>
      <c r="F4539" s="9"/>
      <c r="G4539" s="8"/>
      <c r="H4539" s="43">
        <v>96.97</v>
      </c>
      <c r="I4539" s="19">
        <f t="shared" si="141"/>
        <v>0</v>
      </c>
    </row>
    <row r="4540" spans="1:9" ht="15.6" hidden="1">
      <c r="A4540" s="51" t="s">
        <v>7836</v>
      </c>
      <c r="B4540" s="5">
        <v>111977</v>
      </c>
      <c r="C4540" s="38" t="s">
        <v>8208</v>
      </c>
      <c r="D4540" s="38" t="s">
        <v>589</v>
      </c>
      <c r="E4540" s="104">
        <v>1</v>
      </c>
      <c r="F4540" s="9"/>
      <c r="G4540" s="8"/>
      <c r="H4540" s="43">
        <v>96.97</v>
      </c>
      <c r="I4540" s="19">
        <f t="shared" si="141"/>
        <v>0</v>
      </c>
    </row>
    <row r="4541" spans="1:9" ht="15.6" hidden="1">
      <c r="A4541" s="51" t="s">
        <v>7836</v>
      </c>
      <c r="B4541" s="5">
        <v>111987</v>
      </c>
      <c r="C4541" s="38" t="s">
        <v>8209</v>
      </c>
      <c r="D4541" s="38" t="s">
        <v>589</v>
      </c>
      <c r="E4541" s="104">
        <v>1</v>
      </c>
      <c r="F4541" s="9"/>
      <c r="G4541" s="8"/>
      <c r="H4541" s="43">
        <v>96.97</v>
      </c>
      <c r="I4541" s="19">
        <f t="shared" si="141"/>
        <v>0</v>
      </c>
    </row>
    <row r="4542" spans="1:9" ht="15.6" hidden="1">
      <c r="A4542" s="51" t="s">
        <v>7836</v>
      </c>
      <c r="B4542" s="5">
        <v>111994</v>
      </c>
      <c r="C4542" s="38" t="s">
        <v>8210</v>
      </c>
      <c r="D4542" s="38" t="s">
        <v>589</v>
      </c>
      <c r="E4542" s="104">
        <v>1</v>
      </c>
      <c r="F4542" s="9"/>
      <c r="G4542" s="8"/>
      <c r="H4542" s="43">
        <v>96.97</v>
      </c>
      <c r="I4542" s="19">
        <f t="shared" si="141"/>
        <v>0</v>
      </c>
    </row>
    <row r="4543" spans="1:9" ht="15.6" hidden="1">
      <c r="A4543" s="51" t="s">
        <v>7836</v>
      </c>
      <c r="B4543" s="5">
        <v>112002</v>
      </c>
      <c r="C4543" s="38" t="s">
        <v>8211</v>
      </c>
      <c r="D4543" s="38" t="s">
        <v>589</v>
      </c>
      <c r="E4543" s="104">
        <v>1</v>
      </c>
      <c r="F4543" s="9"/>
      <c r="G4543" s="8"/>
      <c r="H4543" s="43">
        <v>96.97</v>
      </c>
      <c r="I4543" s="19">
        <f t="shared" si="141"/>
        <v>0</v>
      </c>
    </row>
    <row r="4544" spans="1:9" ht="15.6" hidden="1">
      <c r="A4544" s="51" t="s">
        <v>7836</v>
      </c>
      <c r="B4544" s="5">
        <v>112003</v>
      </c>
      <c r="C4544" s="38" t="s">
        <v>8212</v>
      </c>
      <c r="D4544" s="38" t="s">
        <v>589</v>
      </c>
      <c r="E4544" s="104">
        <v>1</v>
      </c>
      <c r="F4544" s="9"/>
      <c r="G4544" s="8"/>
      <c r="H4544" s="43">
        <v>96.97</v>
      </c>
      <c r="I4544" s="19">
        <f t="shared" si="141"/>
        <v>0</v>
      </c>
    </row>
    <row r="4545" spans="1:9" ht="15.6" hidden="1">
      <c r="A4545" s="51" t="s">
        <v>7836</v>
      </c>
      <c r="B4545" s="5">
        <v>112004</v>
      </c>
      <c r="C4545" s="38" t="s">
        <v>8213</v>
      </c>
      <c r="D4545" s="38" t="s">
        <v>589</v>
      </c>
      <c r="E4545" s="104">
        <v>1</v>
      </c>
      <c r="F4545" s="9"/>
      <c r="G4545" s="8"/>
      <c r="H4545" s="43">
        <v>96.97</v>
      </c>
      <c r="I4545" s="19">
        <f t="shared" si="141"/>
        <v>0</v>
      </c>
    </row>
    <row r="4546" spans="1:9" ht="15.6" hidden="1">
      <c r="A4546" s="51" t="s">
        <v>7836</v>
      </c>
      <c r="B4546" s="5">
        <v>112015</v>
      </c>
      <c r="C4546" s="38" t="s">
        <v>8214</v>
      </c>
      <c r="D4546" s="38" t="s">
        <v>589</v>
      </c>
      <c r="E4546" s="104">
        <v>1</v>
      </c>
      <c r="F4546" s="9"/>
      <c r="G4546" s="8"/>
      <c r="H4546" s="43">
        <v>85.36</v>
      </c>
      <c r="I4546" s="19">
        <f t="shared" si="141"/>
        <v>0</v>
      </c>
    </row>
    <row r="4547" spans="1:9" ht="15.6" hidden="1">
      <c r="A4547" s="51" t="s">
        <v>7836</v>
      </c>
      <c r="B4547" s="5">
        <v>112018</v>
      </c>
      <c r="C4547" s="38" t="s">
        <v>8215</v>
      </c>
      <c r="D4547" s="38" t="s">
        <v>589</v>
      </c>
      <c r="E4547" s="104">
        <v>1</v>
      </c>
      <c r="F4547" s="9"/>
      <c r="G4547" s="8"/>
      <c r="H4547" s="43">
        <v>97.66</v>
      </c>
      <c r="I4547" s="19">
        <f t="shared" si="141"/>
        <v>0</v>
      </c>
    </row>
    <row r="4548" spans="1:9" ht="15.6" hidden="1">
      <c r="A4548" s="51" t="s">
        <v>7836</v>
      </c>
      <c r="B4548" s="5">
        <v>112019</v>
      </c>
      <c r="C4548" s="38" t="s">
        <v>8216</v>
      </c>
      <c r="D4548" s="38" t="s">
        <v>589</v>
      </c>
      <c r="E4548" s="104">
        <v>1</v>
      </c>
      <c r="F4548" s="9"/>
      <c r="G4548" s="8"/>
      <c r="H4548" s="43">
        <v>97.66</v>
      </c>
      <c r="I4548" s="19">
        <f t="shared" si="141"/>
        <v>0</v>
      </c>
    </row>
    <row r="4549" spans="1:9" ht="15.6" hidden="1">
      <c r="A4549" s="51" t="s">
        <v>7836</v>
      </c>
      <c r="B4549" s="5">
        <v>112020</v>
      </c>
      <c r="C4549" s="38" t="s">
        <v>8217</v>
      </c>
      <c r="D4549" s="38" t="s">
        <v>589</v>
      </c>
      <c r="E4549" s="104">
        <v>1</v>
      </c>
      <c r="F4549" s="9"/>
      <c r="G4549" s="8"/>
      <c r="H4549" s="43">
        <v>97.66</v>
      </c>
      <c r="I4549" s="19">
        <f t="shared" si="141"/>
        <v>0</v>
      </c>
    </row>
    <row r="4550" spans="1:9" ht="15.6" hidden="1">
      <c r="A4550" s="51" t="s">
        <v>7836</v>
      </c>
      <c r="B4550" s="5">
        <v>112022</v>
      </c>
      <c r="C4550" s="38" t="s">
        <v>8218</v>
      </c>
      <c r="D4550" s="38" t="s">
        <v>589</v>
      </c>
      <c r="E4550" s="104">
        <v>1</v>
      </c>
      <c r="F4550" s="9"/>
      <c r="G4550" s="8"/>
      <c r="H4550" s="43">
        <v>119.55</v>
      </c>
      <c r="I4550" s="19">
        <f t="shared" si="141"/>
        <v>0</v>
      </c>
    </row>
    <row r="4551" spans="1:9" ht="15.6" hidden="1">
      <c r="A4551" s="51" t="s">
        <v>7836</v>
      </c>
      <c r="B4551" s="5">
        <v>112033</v>
      </c>
      <c r="C4551" s="38" t="s">
        <v>8219</v>
      </c>
      <c r="D4551" s="38" t="s">
        <v>589</v>
      </c>
      <c r="E4551" s="104">
        <v>1</v>
      </c>
      <c r="F4551" s="9"/>
      <c r="G4551" s="8"/>
      <c r="H4551" s="43">
        <v>96.97</v>
      </c>
      <c r="I4551" s="19">
        <f t="shared" si="141"/>
        <v>0</v>
      </c>
    </row>
    <row r="4552" spans="1:9" ht="15.6" hidden="1">
      <c r="A4552" s="51" t="s">
        <v>7836</v>
      </c>
      <c r="B4552" s="5">
        <v>112034</v>
      </c>
      <c r="C4552" s="38" t="s">
        <v>8220</v>
      </c>
      <c r="D4552" s="38" t="s">
        <v>589</v>
      </c>
      <c r="E4552" s="104">
        <v>1</v>
      </c>
      <c r="F4552" s="9"/>
      <c r="G4552" s="8"/>
      <c r="H4552" s="43">
        <v>96.97</v>
      </c>
      <c r="I4552" s="19">
        <f t="shared" si="141"/>
        <v>0</v>
      </c>
    </row>
    <row r="4553" spans="1:9" ht="15.6" hidden="1">
      <c r="A4553" s="51" t="s">
        <v>7836</v>
      </c>
      <c r="B4553" s="5">
        <v>112035</v>
      </c>
      <c r="C4553" s="38" t="s">
        <v>8221</v>
      </c>
      <c r="D4553" s="38" t="s">
        <v>589</v>
      </c>
      <c r="E4553" s="104">
        <v>1</v>
      </c>
      <c r="F4553" s="9"/>
      <c r="G4553" s="8"/>
      <c r="H4553" s="43">
        <v>99.88</v>
      </c>
      <c r="I4553" s="19">
        <f t="shared" si="141"/>
        <v>0</v>
      </c>
    </row>
    <row r="4554" spans="1:9" ht="15.6" hidden="1">
      <c r="A4554" s="51" t="s">
        <v>7836</v>
      </c>
      <c r="B4554" s="5">
        <v>111920</v>
      </c>
      <c r="C4554" s="38" t="s">
        <v>8222</v>
      </c>
      <c r="D4554" s="38" t="s">
        <v>589</v>
      </c>
      <c r="E4554" s="104">
        <v>1</v>
      </c>
      <c r="F4554" s="9"/>
      <c r="G4554" s="8"/>
      <c r="H4554" s="43">
        <v>126.44</v>
      </c>
      <c r="I4554" s="19">
        <f t="shared" si="141"/>
        <v>0</v>
      </c>
    </row>
    <row r="4555" spans="1:9" ht="15.6" hidden="1">
      <c r="A4555" s="51" t="s">
        <v>7836</v>
      </c>
      <c r="B4555" s="5">
        <v>112455</v>
      </c>
      <c r="C4555" s="38" t="s">
        <v>8223</v>
      </c>
      <c r="D4555" s="38" t="s">
        <v>8224</v>
      </c>
      <c r="E4555" s="104">
        <v>1</v>
      </c>
      <c r="F4555" s="9"/>
      <c r="G4555" s="8"/>
      <c r="H4555" s="43">
        <v>29.03</v>
      </c>
      <c r="I4555" s="19">
        <f t="shared" si="141"/>
        <v>0</v>
      </c>
    </row>
    <row r="4556" spans="1:9" ht="15.6" hidden="1">
      <c r="A4556" s="51" t="s">
        <v>7836</v>
      </c>
      <c r="B4556" s="5">
        <v>112456</v>
      </c>
      <c r="C4556" s="38" t="s">
        <v>8225</v>
      </c>
      <c r="D4556" s="38" t="s">
        <v>8224</v>
      </c>
      <c r="E4556" s="104">
        <v>1</v>
      </c>
      <c r="F4556" s="9"/>
      <c r="G4556" s="8"/>
      <c r="H4556" s="43">
        <v>29.03</v>
      </c>
      <c r="I4556" s="19">
        <f t="shared" si="141"/>
        <v>0</v>
      </c>
    </row>
    <row r="4557" spans="1:9" ht="15.6" hidden="1">
      <c r="A4557" s="51" t="s">
        <v>7836</v>
      </c>
      <c r="B4557" s="5">
        <v>112460</v>
      </c>
      <c r="C4557" s="38" t="s">
        <v>8226</v>
      </c>
      <c r="D4557" s="38" t="s">
        <v>8224</v>
      </c>
      <c r="E4557" s="104">
        <v>1</v>
      </c>
      <c r="F4557" s="9"/>
      <c r="G4557" s="8"/>
      <c r="H4557" s="43">
        <v>28.19</v>
      </c>
      <c r="I4557" s="19">
        <f t="shared" si="141"/>
        <v>0</v>
      </c>
    </row>
    <row r="4558" spans="1:9" ht="15.6" hidden="1">
      <c r="A4558" s="51" t="s">
        <v>7836</v>
      </c>
      <c r="B4558" s="5">
        <v>112461</v>
      </c>
      <c r="C4558" s="38" t="s">
        <v>8227</v>
      </c>
      <c r="D4558" s="38" t="s">
        <v>8224</v>
      </c>
      <c r="E4558" s="104">
        <v>1</v>
      </c>
      <c r="F4558" s="9"/>
      <c r="G4558" s="8"/>
      <c r="H4558" s="43">
        <v>28.19</v>
      </c>
      <c r="I4558" s="19">
        <f t="shared" si="141"/>
        <v>0</v>
      </c>
    </row>
    <row r="4559" spans="1:9" ht="15.6" hidden="1">
      <c r="A4559" s="51" t="s">
        <v>7836</v>
      </c>
      <c r="B4559" s="5">
        <v>112463</v>
      </c>
      <c r="C4559" s="38" t="s">
        <v>8228</v>
      </c>
      <c r="D4559" s="38" t="s">
        <v>8224</v>
      </c>
      <c r="E4559" s="104">
        <v>1</v>
      </c>
      <c r="F4559" s="9"/>
      <c r="G4559" s="8"/>
      <c r="H4559" s="43">
        <v>29.03</v>
      </c>
      <c r="I4559" s="19">
        <f t="shared" si="141"/>
        <v>0</v>
      </c>
    </row>
    <row r="4560" spans="1:9" ht="15.6" hidden="1">
      <c r="A4560" s="51" t="s">
        <v>7836</v>
      </c>
      <c r="B4560" s="5">
        <v>112465</v>
      </c>
      <c r="C4560" s="38" t="s">
        <v>8229</v>
      </c>
      <c r="D4560" s="38" t="s">
        <v>8224</v>
      </c>
      <c r="E4560" s="104">
        <v>1</v>
      </c>
      <c r="F4560" s="9"/>
      <c r="G4560" s="8"/>
      <c r="H4560" s="43">
        <v>28.2</v>
      </c>
      <c r="I4560" s="19">
        <f t="shared" si="141"/>
        <v>0</v>
      </c>
    </row>
    <row r="4561" spans="1:9" ht="15.6" hidden="1">
      <c r="A4561" s="51" t="s">
        <v>7836</v>
      </c>
      <c r="B4561" s="5">
        <v>112466</v>
      </c>
      <c r="C4561" s="38" t="s">
        <v>8230</v>
      </c>
      <c r="D4561" s="38" t="s">
        <v>8224</v>
      </c>
      <c r="E4561" s="104">
        <v>1</v>
      </c>
      <c r="F4561" s="9"/>
      <c r="G4561" s="8"/>
      <c r="H4561" s="43">
        <v>29.03</v>
      </c>
      <c r="I4561" s="19">
        <f t="shared" si="141"/>
        <v>0</v>
      </c>
    </row>
    <row r="4562" spans="1:9" ht="15.6" hidden="1">
      <c r="A4562" s="51" t="s">
        <v>7836</v>
      </c>
      <c r="B4562" s="5">
        <v>112467</v>
      </c>
      <c r="C4562" s="38" t="s">
        <v>8231</v>
      </c>
      <c r="D4562" s="38" t="s">
        <v>8224</v>
      </c>
      <c r="E4562" s="104">
        <v>1</v>
      </c>
      <c r="F4562" s="9"/>
      <c r="G4562" s="8"/>
      <c r="H4562" s="43">
        <v>29.03</v>
      </c>
      <c r="I4562" s="19">
        <f t="shared" si="141"/>
        <v>0</v>
      </c>
    </row>
    <row r="4563" spans="1:9" ht="15.6" hidden="1">
      <c r="A4563" s="51" t="s">
        <v>7836</v>
      </c>
      <c r="B4563" s="5">
        <v>112469</v>
      </c>
      <c r="C4563" s="38" t="s">
        <v>8232</v>
      </c>
      <c r="D4563" s="38" t="s">
        <v>8224</v>
      </c>
      <c r="E4563" s="104">
        <v>1</v>
      </c>
      <c r="F4563" s="9"/>
      <c r="G4563" s="8"/>
      <c r="H4563" s="43">
        <v>29.03</v>
      </c>
      <c r="I4563" s="19">
        <f t="shared" si="141"/>
        <v>0</v>
      </c>
    </row>
    <row r="4564" spans="1:9" ht="15.6" hidden="1">
      <c r="A4564" s="51" t="s">
        <v>7836</v>
      </c>
      <c r="B4564" s="5">
        <v>112472</v>
      </c>
      <c r="C4564" s="38" t="s">
        <v>8233</v>
      </c>
      <c r="D4564" s="38" t="s">
        <v>8224</v>
      </c>
      <c r="E4564" s="104">
        <v>1</v>
      </c>
      <c r="F4564" s="9"/>
      <c r="G4564" s="8"/>
      <c r="H4564" s="43">
        <v>29.03</v>
      </c>
      <c r="I4564" s="19">
        <f t="shared" si="141"/>
        <v>0</v>
      </c>
    </row>
    <row r="4565" spans="1:9" ht="15.6" hidden="1">
      <c r="A4565" s="51" t="s">
        <v>7836</v>
      </c>
      <c r="B4565" s="5">
        <v>112473</v>
      </c>
      <c r="C4565" s="38" t="s">
        <v>8234</v>
      </c>
      <c r="D4565" s="38" t="s">
        <v>8224</v>
      </c>
      <c r="E4565" s="104">
        <v>1</v>
      </c>
      <c r="F4565" s="9"/>
      <c r="G4565" s="8"/>
      <c r="H4565" s="43">
        <v>29.03</v>
      </c>
      <c r="I4565" s="19">
        <f t="shared" si="141"/>
        <v>0</v>
      </c>
    </row>
    <row r="4566" spans="1:9" ht="15.6" hidden="1">
      <c r="A4566" s="51" t="s">
        <v>7836</v>
      </c>
      <c r="B4566" s="5">
        <v>112474</v>
      </c>
      <c r="C4566" s="38" t="s">
        <v>8235</v>
      </c>
      <c r="D4566" s="38" t="s">
        <v>8224</v>
      </c>
      <c r="E4566" s="104">
        <v>1</v>
      </c>
      <c r="F4566" s="9"/>
      <c r="G4566" s="8"/>
      <c r="H4566" s="43">
        <v>28.19</v>
      </c>
      <c r="I4566" s="19">
        <f t="shared" si="141"/>
        <v>0</v>
      </c>
    </row>
    <row r="4567" spans="1:9" ht="15.6" hidden="1">
      <c r="A4567" s="51" t="s">
        <v>7836</v>
      </c>
      <c r="B4567" s="5">
        <v>112475</v>
      </c>
      <c r="C4567" s="38" t="s">
        <v>8236</v>
      </c>
      <c r="D4567" s="38" t="s">
        <v>8224</v>
      </c>
      <c r="E4567" s="104">
        <v>1</v>
      </c>
      <c r="F4567" s="9"/>
      <c r="G4567" s="8"/>
      <c r="H4567" s="43">
        <v>29.03</v>
      </c>
      <c r="I4567" s="19">
        <f t="shared" si="141"/>
        <v>0</v>
      </c>
    </row>
    <row r="4568" spans="1:9" ht="15.6" hidden="1">
      <c r="A4568" s="51" t="s">
        <v>7836</v>
      </c>
      <c r="B4568" s="5">
        <v>112485</v>
      </c>
      <c r="C4568" s="38" t="s">
        <v>8237</v>
      </c>
      <c r="D4568" s="38" t="s">
        <v>8224</v>
      </c>
      <c r="E4568" s="104">
        <v>1</v>
      </c>
      <c r="F4568" s="9"/>
      <c r="G4568" s="8"/>
      <c r="H4568" s="43">
        <v>29.03</v>
      </c>
      <c r="I4568" s="19">
        <f t="shared" si="141"/>
        <v>0</v>
      </c>
    </row>
    <row r="4569" spans="1:9" ht="15.6" hidden="1">
      <c r="A4569" s="51" t="s">
        <v>7836</v>
      </c>
      <c r="B4569" s="5">
        <v>112486</v>
      </c>
      <c r="C4569" s="38" t="s">
        <v>8238</v>
      </c>
      <c r="D4569" s="38" t="s">
        <v>8224</v>
      </c>
      <c r="E4569" s="104">
        <v>1</v>
      </c>
      <c r="F4569" s="9"/>
      <c r="G4569" s="8"/>
      <c r="H4569" s="43">
        <v>29.03</v>
      </c>
      <c r="I4569" s="19">
        <f t="shared" si="141"/>
        <v>0</v>
      </c>
    </row>
    <row r="4570" spans="1:9" ht="15.6" hidden="1">
      <c r="A4570" s="51" t="s">
        <v>7836</v>
      </c>
      <c r="B4570" s="5">
        <v>112487</v>
      </c>
      <c r="C4570" s="38" t="s">
        <v>8239</v>
      </c>
      <c r="D4570" s="38" t="s">
        <v>8224</v>
      </c>
      <c r="E4570" s="104">
        <v>1</v>
      </c>
      <c r="F4570" s="9"/>
      <c r="G4570" s="8"/>
      <c r="H4570" s="43">
        <v>29.03</v>
      </c>
      <c r="I4570" s="19">
        <f t="shared" si="141"/>
        <v>0</v>
      </c>
    </row>
    <row r="4571" spans="1:9" ht="15.6" hidden="1">
      <c r="A4571" s="51" t="s">
        <v>7836</v>
      </c>
      <c r="B4571" s="5">
        <v>112064</v>
      </c>
      <c r="C4571" s="38" t="s">
        <v>8240</v>
      </c>
      <c r="D4571" s="38" t="s">
        <v>576</v>
      </c>
      <c r="E4571" s="104">
        <v>1</v>
      </c>
      <c r="F4571" s="9"/>
      <c r="G4571" s="8"/>
      <c r="H4571" s="43">
        <v>23.19</v>
      </c>
      <c r="I4571" s="19">
        <f t="shared" si="141"/>
        <v>0</v>
      </c>
    </row>
    <row r="4572" spans="1:9" ht="15.6" hidden="1">
      <c r="A4572" s="51" t="s">
        <v>7836</v>
      </c>
      <c r="B4572" s="5">
        <v>112066</v>
      </c>
      <c r="C4572" s="38" t="s">
        <v>8241</v>
      </c>
      <c r="D4572" s="38" t="s">
        <v>576</v>
      </c>
      <c r="E4572" s="104">
        <v>1</v>
      </c>
      <c r="F4572" s="9"/>
      <c r="G4572" s="8"/>
      <c r="H4572" s="43">
        <v>23.19</v>
      </c>
      <c r="I4572" s="19">
        <f t="shared" si="141"/>
        <v>0</v>
      </c>
    </row>
    <row r="4573" spans="1:9" ht="15.6" hidden="1">
      <c r="A4573" s="51" t="s">
        <v>7836</v>
      </c>
      <c r="B4573" s="5">
        <v>112067</v>
      </c>
      <c r="C4573" s="38" t="s">
        <v>8242</v>
      </c>
      <c r="D4573" s="38" t="s">
        <v>576</v>
      </c>
      <c r="E4573" s="104">
        <v>1</v>
      </c>
      <c r="F4573" s="9"/>
      <c r="G4573" s="8"/>
      <c r="H4573" s="43">
        <v>23.19</v>
      </c>
      <c r="I4573" s="19">
        <f t="shared" si="141"/>
        <v>0</v>
      </c>
    </row>
    <row r="4574" spans="1:9" ht="15.6" hidden="1">
      <c r="A4574" s="51" t="s">
        <v>7836</v>
      </c>
      <c r="B4574" s="5">
        <v>112068</v>
      </c>
      <c r="C4574" s="38" t="s">
        <v>8243</v>
      </c>
      <c r="D4574" s="38" t="s">
        <v>576</v>
      </c>
      <c r="E4574" s="104">
        <v>1</v>
      </c>
      <c r="F4574" s="9"/>
      <c r="G4574" s="8"/>
      <c r="H4574" s="43">
        <v>22.51</v>
      </c>
      <c r="I4574" s="19">
        <f t="shared" si="141"/>
        <v>0</v>
      </c>
    </row>
    <row r="4575" spans="1:9" ht="15.6" hidden="1">
      <c r="A4575" s="51" t="s">
        <v>7836</v>
      </c>
      <c r="B4575" s="5">
        <v>112070</v>
      </c>
      <c r="C4575" s="38" t="s">
        <v>8244</v>
      </c>
      <c r="D4575" s="38" t="s">
        <v>576</v>
      </c>
      <c r="E4575" s="104">
        <v>1</v>
      </c>
      <c r="F4575" s="9"/>
      <c r="G4575" s="8"/>
      <c r="H4575" s="43">
        <v>23.19</v>
      </c>
      <c r="I4575" s="19">
        <f t="shared" si="141"/>
        <v>0</v>
      </c>
    </row>
    <row r="4576" spans="1:9" ht="15.6" hidden="1">
      <c r="A4576" s="51" t="s">
        <v>7836</v>
      </c>
      <c r="B4576" s="5">
        <v>112421</v>
      </c>
      <c r="C4576" s="38" t="s">
        <v>8245</v>
      </c>
      <c r="D4576" s="38"/>
      <c r="E4576" s="104">
        <v>1</v>
      </c>
      <c r="F4576" s="9"/>
      <c r="G4576" s="8"/>
      <c r="H4576" s="43">
        <v>53.48</v>
      </c>
      <c r="I4576" s="19">
        <f t="shared" si="141"/>
        <v>0</v>
      </c>
    </row>
    <row r="4577" spans="1:9" ht="15.6" hidden="1">
      <c r="A4577" s="51" t="s">
        <v>7836</v>
      </c>
      <c r="B4577" s="5">
        <v>112423</v>
      </c>
      <c r="C4577" s="38" t="s">
        <v>8246</v>
      </c>
      <c r="D4577" s="38"/>
      <c r="E4577" s="104">
        <v>1</v>
      </c>
      <c r="F4577" s="9"/>
      <c r="G4577" s="8"/>
      <c r="H4577" s="43">
        <v>53.48</v>
      </c>
      <c r="I4577" s="19">
        <f t="shared" si="141"/>
        <v>0</v>
      </c>
    </row>
    <row r="4578" spans="1:9" ht="15.6" hidden="1">
      <c r="A4578" s="51" t="s">
        <v>7836</v>
      </c>
      <c r="B4578" s="5">
        <v>112425</v>
      </c>
      <c r="C4578" s="38" t="s">
        <v>8247</v>
      </c>
      <c r="D4578" s="38"/>
      <c r="E4578" s="104">
        <v>1</v>
      </c>
      <c r="F4578" s="9"/>
      <c r="G4578" s="8"/>
      <c r="H4578" s="43">
        <v>53.48</v>
      </c>
      <c r="I4578" s="19">
        <f t="shared" si="141"/>
        <v>0</v>
      </c>
    </row>
    <row r="4579" spans="1:9" ht="15.6" hidden="1">
      <c r="A4579" s="51" t="s">
        <v>7836</v>
      </c>
      <c r="B4579" s="5">
        <v>112426</v>
      </c>
      <c r="C4579" s="38" t="s">
        <v>8248</v>
      </c>
      <c r="D4579" s="38"/>
      <c r="E4579" s="104">
        <v>1</v>
      </c>
      <c r="F4579" s="9"/>
      <c r="G4579" s="8"/>
      <c r="H4579" s="43">
        <v>53.48</v>
      </c>
      <c r="I4579" s="19">
        <f t="shared" si="141"/>
        <v>0</v>
      </c>
    </row>
    <row r="4580" spans="1:9" ht="15.6" hidden="1">
      <c r="A4580" s="51" t="s">
        <v>7836</v>
      </c>
      <c r="B4580" s="5">
        <v>112427</v>
      </c>
      <c r="C4580" s="38" t="s">
        <v>8249</v>
      </c>
      <c r="D4580" s="38"/>
      <c r="E4580" s="104">
        <v>1</v>
      </c>
      <c r="F4580" s="9"/>
      <c r="G4580" s="8"/>
      <c r="H4580" s="43">
        <v>40.270000000000003</v>
      </c>
      <c r="I4580" s="19">
        <f t="shared" si="141"/>
        <v>0</v>
      </c>
    </row>
    <row r="4581" spans="1:9" ht="15.6" hidden="1">
      <c r="A4581" s="51" t="s">
        <v>7836</v>
      </c>
      <c r="B4581" s="5">
        <v>112428</v>
      </c>
      <c r="C4581" s="38" t="s">
        <v>8250</v>
      </c>
      <c r="D4581" s="38"/>
      <c r="E4581" s="104">
        <v>1</v>
      </c>
      <c r="F4581" s="9"/>
      <c r="G4581" s="8"/>
      <c r="H4581" s="43">
        <v>40.270000000000003</v>
      </c>
      <c r="I4581" s="19">
        <f t="shared" si="141"/>
        <v>0</v>
      </c>
    </row>
    <row r="4582" spans="1:9" ht="15.6" hidden="1">
      <c r="A4582" s="51" t="s">
        <v>7836</v>
      </c>
      <c r="B4582" s="5">
        <v>112430</v>
      </c>
      <c r="C4582" s="38" t="s">
        <v>8251</v>
      </c>
      <c r="D4582" s="38"/>
      <c r="E4582" s="104">
        <v>1</v>
      </c>
      <c r="F4582" s="9"/>
      <c r="G4582" s="8"/>
      <c r="H4582" s="43">
        <v>40.270000000000003</v>
      </c>
      <c r="I4582" s="19">
        <f t="shared" si="141"/>
        <v>0</v>
      </c>
    </row>
    <row r="4583" spans="1:9" ht="15.6" hidden="1">
      <c r="A4583" s="51" t="s">
        <v>7836</v>
      </c>
      <c r="B4583" s="5">
        <v>112431</v>
      </c>
      <c r="C4583" s="38" t="s">
        <v>8252</v>
      </c>
      <c r="D4583" s="38"/>
      <c r="E4583" s="104">
        <v>1</v>
      </c>
      <c r="F4583" s="9"/>
      <c r="G4583" s="8"/>
      <c r="H4583" s="43">
        <v>40.270000000000003</v>
      </c>
      <c r="I4583" s="19">
        <f t="shared" si="141"/>
        <v>0</v>
      </c>
    </row>
    <row r="4584" spans="1:9" ht="15.6" hidden="1">
      <c r="A4584" s="51" t="s">
        <v>7836</v>
      </c>
      <c r="B4584" s="5">
        <v>112432</v>
      </c>
      <c r="C4584" s="38" t="s">
        <v>8253</v>
      </c>
      <c r="D4584" s="38" t="s">
        <v>8254</v>
      </c>
      <c r="E4584" s="104">
        <v>1</v>
      </c>
      <c r="F4584" s="9"/>
      <c r="G4584" s="8"/>
      <c r="H4584" s="43">
        <v>223.93</v>
      </c>
      <c r="I4584" s="19">
        <f t="shared" si="141"/>
        <v>0</v>
      </c>
    </row>
    <row r="4585" spans="1:9" ht="15.6" hidden="1">
      <c r="A4585" s="51" t="s">
        <v>7836</v>
      </c>
      <c r="B4585" s="5">
        <v>112433</v>
      </c>
      <c r="C4585" s="38" t="s">
        <v>8255</v>
      </c>
      <c r="D4585" s="38" t="s">
        <v>8254</v>
      </c>
      <c r="E4585" s="104">
        <v>1</v>
      </c>
      <c r="F4585" s="9"/>
      <c r="G4585" s="8"/>
      <c r="H4585" s="43">
        <v>49.82</v>
      </c>
      <c r="I4585" s="19">
        <f t="shared" si="141"/>
        <v>0</v>
      </c>
    </row>
    <row r="4586" spans="1:9" ht="15.6" hidden="1">
      <c r="A4586" s="51" t="s">
        <v>7836</v>
      </c>
      <c r="B4586" s="5">
        <v>112435</v>
      </c>
      <c r="C4586" s="38" t="s">
        <v>8256</v>
      </c>
      <c r="D4586" s="38" t="s">
        <v>8254</v>
      </c>
      <c r="E4586" s="104">
        <v>1</v>
      </c>
      <c r="F4586" s="9"/>
      <c r="G4586" s="8"/>
      <c r="H4586" s="43">
        <v>49.82</v>
      </c>
      <c r="I4586" s="19">
        <f t="shared" si="141"/>
        <v>0</v>
      </c>
    </row>
    <row r="4587" spans="1:9" ht="15.6" hidden="1">
      <c r="A4587" s="51" t="s">
        <v>7836</v>
      </c>
      <c r="B4587" s="5">
        <v>112437</v>
      </c>
      <c r="C4587" s="38" t="s">
        <v>8257</v>
      </c>
      <c r="D4587" s="38" t="s">
        <v>8254</v>
      </c>
      <c r="E4587" s="104">
        <v>1</v>
      </c>
      <c r="F4587" s="9"/>
      <c r="G4587" s="8"/>
      <c r="H4587" s="43">
        <v>48.36</v>
      </c>
      <c r="I4587" s="19">
        <f t="shared" si="141"/>
        <v>0</v>
      </c>
    </row>
    <row r="4588" spans="1:9" ht="15.6" hidden="1">
      <c r="A4588" s="51" t="s">
        <v>7836</v>
      </c>
      <c r="B4588" s="5">
        <v>112438</v>
      </c>
      <c r="C4588" s="38" t="s">
        <v>8258</v>
      </c>
      <c r="D4588" s="38" t="s">
        <v>8254</v>
      </c>
      <c r="E4588" s="104">
        <v>1</v>
      </c>
      <c r="F4588" s="9"/>
      <c r="G4588" s="8"/>
      <c r="H4588" s="43">
        <v>49.82</v>
      </c>
      <c r="I4588" s="19">
        <f t="shared" si="141"/>
        <v>0</v>
      </c>
    </row>
    <row r="4589" spans="1:9" ht="15.6" hidden="1">
      <c r="A4589" s="51" t="s">
        <v>7836</v>
      </c>
      <c r="B4589" s="5">
        <v>112439</v>
      </c>
      <c r="C4589" s="38" t="s">
        <v>8259</v>
      </c>
      <c r="D4589" s="38" t="s">
        <v>8254</v>
      </c>
      <c r="E4589" s="104">
        <v>1</v>
      </c>
      <c r="F4589" s="9"/>
      <c r="G4589" s="8"/>
      <c r="H4589" s="43">
        <v>20.81</v>
      </c>
      <c r="I4589" s="19">
        <f t="shared" si="141"/>
        <v>0</v>
      </c>
    </row>
    <row r="4590" spans="1:9" ht="15.6" hidden="1">
      <c r="A4590" s="51" t="s">
        <v>7836</v>
      </c>
      <c r="B4590" s="5">
        <v>130716</v>
      </c>
      <c r="C4590" s="38" t="s">
        <v>8260</v>
      </c>
      <c r="D4590" s="38"/>
      <c r="E4590" s="104">
        <v>1</v>
      </c>
      <c r="F4590" s="9"/>
      <c r="G4590" s="8"/>
      <c r="H4590" s="43">
        <v>60.97</v>
      </c>
      <c r="I4590" s="19">
        <f t="shared" si="141"/>
        <v>0</v>
      </c>
    </row>
    <row r="4591" spans="1:9" ht="15.6" hidden="1">
      <c r="A4591" s="51" t="s">
        <v>7836</v>
      </c>
      <c r="B4591" s="5">
        <v>130717</v>
      </c>
      <c r="C4591" s="38" t="s">
        <v>8261</v>
      </c>
      <c r="D4591" s="38"/>
      <c r="E4591" s="104">
        <v>1</v>
      </c>
      <c r="F4591" s="9"/>
      <c r="G4591" s="8"/>
      <c r="H4591" s="43">
        <v>47.19</v>
      </c>
      <c r="I4591" s="19">
        <f t="shared" si="141"/>
        <v>0</v>
      </c>
    </row>
    <row r="4592" spans="1:9" ht="15.6" hidden="1">
      <c r="A4592" s="51" t="s">
        <v>7836</v>
      </c>
      <c r="B4592" s="5">
        <v>130722</v>
      </c>
      <c r="C4592" s="38" t="s">
        <v>8262</v>
      </c>
      <c r="D4592" s="38"/>
      <c r="E4592" s="104">
        <v>1</v>
      </c>
      <c r="F4592" s="9"/>
      <c r="G4592" s="8"/>
      <c r="H4592" s="43">
        <v>62.8</v>
      </c>
      <c r="I4592" s="19">
        <f t="shared" si="141"/>
        <v>0</v>
      </c>
    </row>
    <row r="4593" spans="1:9" ht="15.6" hidden="1">
      <c r="A4593" s="51" t="s">
        <v>7836</v>
      </c>
      <c r="B4593" s="5">
        <v>130723</v>
      </c>
      <c r="C4593" s="38" t="s">
        <v>8263</v>
      </c>
      <c r="D4593" s="38"/>
      <c r="E4593" s="104">
        <v>1</v>
      </c>
      <c r="F4593" s="9"/>
      <c r="G4593" s="8"/>
      <c r="H4593" s="43">
        <v>47.19</v>
      </c>
      <c r="I4593" s="19">
        <f t="shared" si="141"/>
        <v>0</v>
      </c>
    </row>
    <row r="4594" spans="1:9" ht="15.6" hidden="1">
      <c r="A4594" s="51" t="s">
        <v>7836</v>
      </c>
      <c r="B4594" s="5">
        <v>130724</v>
      </c>
      <c r="C4594" s="38" t="s">
        <v>8264</v>
      </c>
      <c r="D4594" s="38"/>
      <c r="E4594" s="104">
        <v>1</v>
      </c>
      <c r="F4594" s="9"/>
      <c r="G4594" s="8"/>
      <c r="H4594" s="43">
        <v>47.65</v>
      </c>
      <c r="I4594" s="19">
        <f t="shared" si="141"/>
        <v>0</v>
      </c>
    </row>
    <row r="4595" spans="1:9" ht="15.6" hidden="1">
      <c r="A4595" s="51" t="s">
        <v>7836</v>
      </c>
      <c r="B4595" s="5">
        <v>130725</v>
      </c>
      <c r="C4595" s="38" t="s">
        <v>8265</v>
      </c>
      <c r="D4595" s="38" t="s">
        <v>8254</v>
      </c>
      <c r="E4595" s="104">
        <v>1</v>
      </c>
      <c r="F4595" s="9"/>
      <c r="G4595" s="8"/>
      <c r="H4595" s="43">
        <v>48.36</v>
      </c>
      <c r="I4595" s="19">
        <f t="shared" si="141"/>
        <v>0</v>
      </c>
    </row>
    <row r="4596" spans="1:9" ht="15.6" hidden="1">
      <c r="A4596" s="51" t="s">
        <v>7836</v>
      </c>
      <c r="B4596" s="5">
        <v>133448</v>
      </c>
      <c r="C4596" s="38" t="s">
        <v>8266</v>
      </c>
      <c r="D4596" s="38"/>
      <c r="E4596" s="104">
        <v>1</v>
      </c>
      <c r="F4596" s="9"/>
      <c r="G4596" s="8"/>
      <c r="H4596" s="43">
        <v>47.65</v>
      </c>
      <c r="I4596" s="19">
        <f t="shared" si="141"/>
        <v>0</v>
      </c>
    </row>
    <row r="4597" spans="1:9" ht="15.6" hidden="1">
      <c r="A4597" s="51" t="s">
        <v>7836</v>
      </c>
      <c r="B4597" s="5">
        <v>134126</v>
      </c>
      <c r="C4597" s="38" t="s">
        <v>8267</v>
      </c>
      <c r="D4597" s="38"/>
      <c r="E4597" s="104">
        <v>1</v>
      </c>
      <c r="F4597" s="9"/>
      <c r="G4597" s="8"/>
      <c r="H4597" s="43">
        <v>48.03</v>
      </c>
      <c r="I4597" s="19">
        <f t="shared" si="141"/>
        <v>0</v>
      </c>
    </row>
    <row r="4598" spans="1:9" ht="15.6" hidden="1">
      <c r="A4598" s="51" t="s">
        <v>7836</v>
      </c>
      <c r="B4598" s="5">
        <v>112036</v>
      </c>
      <c r="C4598" s="38" t="s">
        <v>8268</v>
      </c>
      <c r="D4598" s="38" t="s">
        <v>589</v>
      </c>
      <c r="E4598" s="104">
        <v>1</v>
      </c>
      <c r="F4598" s="9"/>
      <c r="G4598" s="8"/>
      <c r="H4598" s="43">
        <v>60.69</v>
      </c>
      <c r="I4598" s="19">
        <f t="shared" si="141"/>
        <v>0</v>
      </c>
    </row>
    <row r="4599" spans="1:9" ht="15.6" hidden="1">
      <c r="A4599" s="51" t="s">
        <v>7836</v>
      </c>
      <c r="B4599" s="5">
        <v>112040</v>
      </c>
      <c r="C4599" s="38" t="s">
        <v>8269</v>
      </c>
      <c r="D4599" s="38" t="s">
        <v>589</v>
      </c>
      <c r="E4599" s="104">
        <v>1</v>
      </c>
      <c r="F4599" s="9"/>
      <c r="G4599" s="8"/>
      <c r="H4599" s="43">
        <v>60.69</v>
      </c>
      <c r="I4599" s="19">
        <f t="shared" si="141"/>
        <v>0</v>
      </c>
    </row>
    <row r="4600" spans="1:9" ht="15.6" hidden="1">
      <c r="A4600" s="51" t="s">
        <v>7836</v>
      </c>
      <c r="B4600" s="5">
        <v>112041</v>
      </c>
      <c r="C4600" s="38" t="s">
        <v>8270</v>
      </c>
      <c r="D4600" s="38" t="s">
        <v>589</v>
      </c>
      <c r="E4600" s="104">
        <v>1</v>
      </c>
      <c r="F4600" s="9"/>
      <c r="G4600" s="8"/>
      <c r="H4600" s="43">
        <v>28.28</v>
      </c>
      <c r="I4600" s="19">
        <f t="shared" si="141"/>
        <v>0</v>
      </c>
    </row>
    <row r="4601" spans="1:9" ht="15.6" hidden="1">
      <c r="A4601" s="51" t="s">
        <v>7836</v>
      </c>
      <c r="B4601" s="5">
        <v>112042</v>
      </c>
      <c r="C4601" s="38" t="s">
        <v>8271</v>
      </c>
      <c r="D4601" s="38" t="s">
        <v>589</v>
      </c>
      <c r="E4601" s="104">
        <v>1</v>
      </c>
      <c r="F4601" s="9"/>
      <c r="G4601" s="8"/>
      <c r="H4601" s="43">
        <v>46.06</v>
      </c>
      <c r="I4601" s="19">
        <f t="shared" si="141"/>
        <v>0</v>
      </c>
    </row>
    <row r="4602" spans="1:9" ht="15.6" hidden="1">
      <c r="A4602" s="51" t="s">
        <v>7836</v>
      </c>
      <c r="B4602" s="5">
        <v>112043</v>
      </c>
      <c r="C4602" s="38" t="s">
        <v>8272</v>
      </c>
      <c r="D4602" s="38" t="s">
        <v>589</v>
      </c>
      <c r="E4602" s="104">
        <v>1</v>
      </c>
      <c r="F4602" s="9"/>
      <c r="G4602" s="8"/>
      <c r="H4602" s="43">
        <v>60.69</v>
      </c>
      <c r="I4602" s="19">
        <f t="shared" si="141"/>
        <v>0</v>
      </c>
    </row>
    <row r="4603" spans="1:9" ht="15.6" hidden="1">
      <c r="A4603" s="51" t="s">
        <v>7836</v>
      </c>
      <c r="B4603" s="5">
        <v>112331</v>
      </c>
      <c r="C4603" s="38" t="s">
        <v>8273</v>
      </c>
      <c r="D4603" s="38" t="s">
        <v>589</v>
      </c>
      <c r="E4603" s="104">
        <v>1</v>
      </c>
      <c r="F4603" s="9"/>
      <c r="G4603" s="8"/>
      <c r="H4603" s="43">
        <v>13.2</v>
      </c>
      <c r="I4603" s="19">
        <f t="shared" ref="I4603" si="142">F4603*H4603</f>
        <v>0</v>
      </c>
    </row>
    <row r="4604" spans="1:9" ht="15.6">
      <c r="A4604" s="51" t="s">
        <v>7836</v>
      </c>
      <c r="B4604" s="5">
        <v>134777</v>
      </c>
      <c r="C4604" s="38" t="s">
        <v>8269</v>
      </c>
      <c r="D4604" s="38" t="s">
        <v>589</v>
      </c>
      <c r="E4604" s="104">
        <v>1</v>
      </c>
      <c r="F4604" s="9">
        <v>32</v>
      </c>
      <c r="G4604" s="8"/>
      <c r="H4604" s="43">
        <v>47.92</v>
      </c>
      <c r="I4604" s="19">
        <f t="shared" si="141"/>
        <v>1533.44</v>
      </c>
    </row>
    <row r="4605" spans="1:9" ht="15.6" hidden="1">
      <c r="A4605" s="51" t="s">
        <v>7836</v>
      </c>
      <c r="B4605" s="5">
        <v>134778</v>
      </c>
      <c r="C4605" s="38" t="s">
        <v>8274</v>
      </c>
      <c r="D4605" s="38" t="s">
        <v>589</v>
      </c>
      <c r="E4605" s="104">
        <v>1</v>
      </c>
      <c r="F4605" s="9"/>
      <c r="G4605" s="8"/>
      <c r="H4605" s="43">
        <v>49.36</v>
      </c>
      <c r="I4605" s="19">
        <f t="shared" si="141"/>
        <v>0</v>
      </c>
    </row>
    <row r="4606" spans="1:9" ht="15.6" hidden="1">
      <c r="A4606" s="51" t="s">
        <v>7836</v>
      </c>
      <c r="B4606" s="5">
        <v>111886</v>
      </c>
      <c r="C4606" s="38" t="s">
        <v>8275</v>
      </c>
      <c r="D4606" s="38" t="s">
        <v>589</v>
      </c>
      <c r="E4606" s="104">
        <v>1</v>
      </c>
      <c r="F4606" s="9"/>
      <c r="G4606" s="8"/>
      <c r="H4606" s="43">
        <v>99.87</v>
      </c>
      <c r="I4606" s="19">
        <f t="shared" si="141"/>
        <v>0</v>
      </c>
    </row>
    <row r="4607" spans="1:9" ht="15.6" hidden="1">
      <c r="A4607" s="51" t="s">
        <v>7836</v>
      </c>
      <c r="B4607" s="5">
        <v>111889</v>
      </c>
      <c r="C4607" s="38" t="s">
        <v>8276</v>
      </c>
      <c r="D4607" s="38" t="s">
        <v>589</v>
      </c>
      <c r="E4607" s="104">
        <v>1</v>
      </c>
      <c r="F4607" s="9"/>
      <c r="G4607" s="8"/>
      <c r="H4607" s="43">
        <v>96.96</v>
      </c>
      <c r="I4607" s="19">
        <f t="shared" si="141"/>
        <v>0</v>
      </c>
    </row>
    <row r="4608" spans="1:9" ht="15.6" hidden="1">
      <c r="A4608" s="51" t="s">
        <v>7836</v>
      </c>
      <c r="B4608" s="5">
        <v>111890</v>
      </c>
      <c r="C4608" s="38" t="s">
        <v>8277</v>
      </c>
      <c r="D4608" s="38" t="s">
        <v>589</v>
      </c>
      <c r="E4608" s="104">
        <v>1</v>
      </c>
      <c r="F4608" s="9"/>
      <c r="G4608" s="8"/>
      <c r="H4608" s="43">
        <v>96.96</v>
      </c>
      <c r="I4608" s="19">
        <f t="shared" si="141"/>
        <v>0</v>
      </c>
    </row>
    <row r="4609" spans="1:9" ht="15.6" hidden="1">
      <c r="A4609" s="51" t="s">
        <v>7836</v>
      </c>
      <c r="B4609" s="5">
        <v>111892</v>
      </c>
      <c r="C4609" s="38" t="s">
        <v>8278</v>
      </c>
      <c r="D4609" s="38" t="s">
        <v>589</v>
      </c>
      <c r="E4609" s="104">
        <v>1</v>
      </c>
      <c r="F4609" s="9"/>
      <c r="G4609" s="8"/>
      <c r="H4609" s="43">
        <v>99.87</v>
      </c>
      <c r="I4609" s="19">
        <f t="shared" si="141"/>
        <v>0</v>
      </c>
    </row>
    <row r="4610" spans="1:9" ht="15.6" hidden="1">
      <c r="A4610" s="51" t="s">
        <v>7836</v>
      </c>
      <c r="B4610" s="5">
        <v>111893</v>
      </c>
      <c r="C4610" s="38" t="s">
        <v>8279</v>
      </c>
      <c r="D4610" s="38" t="s">
        <v>589</v>
      </c>
      <c r="E4610" s="104">
        <v>1</v>
      </c>
      <c r="F4610" s="9"/>
      <c r="G4610" s="8"/>
      <c r="H4610" s="43">
        <v>99.87</v>
      </c>
      <c r="I4610" s="19">
        <f t="shared" si="141"/>
        <v>0</v>
      </c>
    </row>
    <row r="4611" spans="1:9" ht="15.6" hidden="1">
      <c r="A4611" s="51" t="s">
        <v>7836</v>
      </c>
      <c r="B4611" s="5">
        <v>111894</v>
      </c>
      <c r="C4611" s="38" t="s">
        <v>8280</v>
      </c>
      <c r="D4611" s="38" t="s">
        <v>589</v>
      </c>
      <c r="E4611" s="104">
        <v>1</v>
      </c>
      <c r="F4611" s="9"/>
      <c r="G4611" s="8"/>
      <c r="H4611" s="43">
        <v>99.87</v>
      </c>
      <c r="I4611" s="19">
        <f t="shared" si="141"/>
        <v>0</v>
      </c>
    </row>
    <row r="4612" spans="1:9" ht="15.6" hidden="1">
      <c r="A4612" s="51" t="s">
        <v>7836</v>
      </c>
      <c r="B4612" s="5">
        <v>111896</v>
      </c>
      <c r="C4612" s="38" t="s">
        <v>8281</v>
      </c>
      <c r="D4612" s="38" t="s">
        <v>589</v>
      </c>
      <c r="E4612" s="104">
        <v>1</v>
      </c>
      <c r="F4612" s="9"/>
      <c r="G4612" s="8"/>
      <c r="H4612" s="43">
        <v>99.87</v>
      </c>
      <c r="I4612" s="19">
        <f t="shared" si="141"/>
        <v>0</v>
      </c>
    </row>
    <row r="4613" spans="1:9" ht="15.6" hidden="1">
      <c r="A4613" s="51" t="s">
        <v>7836</v>
      </c>
      <c r="B4613" s="5">
        <v>111897</v>
      </c>
      <c r="C4613" s="38" t="s">
        <v>8282</v>
      </c>
      <c r="D4613" s="38" t="s">
        <v>589</v>
      </c>
      <c r="E4613" s="104">
        <v>1</v>
      </c>
      <c r="F4613" s="9"/>
      <c r="G4613" s="8"/>
      <c r="H4613" s="43">
        <v>99.87</v>
      </c>
      <c r="I4613" s="19">
        <f t="shared" si="141"/>
        <v>0</v>
      </c>
    </row>
    <row r="4614" spans="1:9" ht="15.6" hidden="1">
      <c r="A4614" s="51" t="s">
        <v>7836</v>
      </c>
      <c r="B4614" s="5">
        <v>111898</v>
      </c>
      <c r="C4614" s="38" t="s">
        <v>8283</v>
      </c>
      <c r="D4614" s="38" t="s">
        <v>589</v>
      </c>
      <c r="E4614" s="104">
        <v>1</v>
      </c>
      <c r="F4614" s="9"/>
      <c r="G4614" s="8"/>
      <c r="H4614" s="43">
        <v>99.87</v>
      </c>
      <c r="I4614" s="19">
        <f t="shared" si="141"/>
        <v>0</v>
      </c>
    </row>
    <row r="4615" spans="1:9" ht="15.6" hidden="1">
      <c r="A4615" s="51" t="s">
        <v>7836</v>
      </c>
      <c r="B4615" s="5">
        <v>111900</v>
      </c>
      <c r="C4615" s="38" t="s">
        <v>8284</v>
      </c>
      <c r="D4615" s="38" t="s">
        <v>589</v>
      </c>
      <c r="E4615" s="104">
        <v>1</v>
      </c>
      <c r="F4615" s="9"/>
      <c r="G4615" s="8"/>
      <c r="H4615" s="43">
        <v>99.87</v>
      </c>
      <c r="I4615" s="19">
        <f t="shared" si="141"/>
        <v>0</v>
      </c>
    </row>
    <row r="4616" spans="1:9" ht="15.6" hidden="1">
      <c r="A4616" s="51" t="s">
        <v>7836</v>
      </c>
      <c r="B4616" s="5">
        <v>111901</v>
      </c>
      <c r="C4616" s="38" t="s">
        <v>8285</v>
      </c>
      <c r="D4616" s="38" t="s">
        <v>589</v>
      </c>
      <c r="E4616" s="104">
        <v>1</v>
      </c>
      <c r="F4616" s="9"/>
      <c r="G4616" s="8"/>
      <c r="H4616" s="43">
        <v>99.87</v>
      </c>
      <c r="I4616" s="19">
        <f t="shared" si="141"/>
        <v>0</v>
      </c>
    </row>
    <row r="4617" spans="1:9" ht="15.6" hidden="1">
      <c r="A4617" s="51" t="s">
        <v>7836</v>
      </c>
      <c r="B4617" s="5">
        <v>111902</v>
      </c>
      <c r="C4617" s="38" t="s">
        <v>8286</v>
      </c>
      <c r="D4617" s="38" t="s">
        <v>589</v>
      </c>
      <c r="E4617" s="104">
        <v>1</v>
      </c>
      <c r="F4617" s="9"/>
      <c r="G4617" s="8"/>
      <c r="H4617" s="43">
        <v>96.96</v>
      </c>
      <c r="I4617" s="19">
        <f t="shared" si="141"/>
        <v>0</v>
      </c>
    </row>
    <row r="4618" spans="1:9" ht="15.6" hidden="1">
      <c r="A4618" s="51" t="s">
        <v>7836</v>
      </c>
      <c r="B4618" s="5">
        <v>111905</v>
      </c>
      <c r="C4618" s="38" t="s">
        <v>8287</v>
      </c>
      <c r="D4618" s="38" t="s">
        <v>589</v>
      </c>
      <c r="E4618" s="104">
        <v>1</v>
      </c>
      <c r="F4618" s="9"/>
      <c r="G4618" s="8"/>
      <c r="H4618" s="43">
        <v>96.96</v>
      </c>
      <c r="I4618" s="19">
        <f t="shared" si="141"/>
        <v>0</v>
      </c>
    </row>
    <row r="4619" spans="1:9" ht="15.6" hidden="1">
      <c r="A4619" s="51" t="s">
        <v>7836</v>
      </c>
      <c r="B4619" s="5">
        <v>111910</v>
      </c>
      <c r="C4619" s="38" t="s">
        <v>8288</v>
      </c>
      <c r="D4619" s="38" t="s">
        <v>589</v>
      </c>
      <c r="E4619" s="104">
        <v>1</v>
      </c>
      <c r="F4619" s="9"/>
      <c r="G4619" s="8"/>
      <c r="H4619" s="43">
        <v>70.44</v>
      </c>
      <c r="I4619" s="19">
        <f t="shared" si="141"/>
        <v>0</v>
      </c>
    </row>
    <row r="4620" spans="1:9" ht="15.6" hidden="1">
      <c r="A4620" s="51" t="s">
        <v>7836</v>
      </c>
      <c r="B4620" s="5">
        <v>142454</v>
      </c>
      <c r="C4620" s="38" t="s">
        <v>8289</v>
      </c>
      <c r="D4620" s="38" t="s">
        <v>589</v>
      </c>
      <c r="E4620" s="104">
        <v>1</v>
      </c>
      <c r="F4620" s="9"/>
      <c r="G4620" s="8"/>
      <c r="H4620" s="43">
        <v>74.53</v>
      </c>
      <c r="I4620" s="19">
        <f t="shared" si="141"/>
        <v>0</v>
      </c>
    </row>
    <row r="4621" spans="1:9" ht="15.6" hidden="1">
      <c r="A4621" s="51" t="s">
        <v>7836</v>
      </c>
      <c r="B4621" s="5">
        <v>142455</v>
      </c>
      <c r="C4621" s="38" t="s">
        <v>8290</v>
      </c>
      <c r="D4621" s="38" t="s">
        <v>589</v>
      </c>
      <c r="E4621" s="104">
        <v>1</v>
      </c>
      <c r="F4621" s="9"/>
      <c r="G4621" s="8"/>
      <c r="H4621" s="43">
        <v>74.53</v>
      </c>
      <c r="I4621" s="19">
        <f t="shared" si="141"/>
        <v>0</v>
      </c>
    </row>
    <row r="4622" spans="1:9" ht="15.6" hidden="1">
      <c r="A4622" s="51" t="s">
        <v>7836</v>
      </c>
      <c r="B4622" s="5">
        <v>142456</v>
      </c>
      <c r="C4622" s="38" t="s">
        <v>8291</v>
      </c>
      <c r="D4622" s="38" t="s">
        <v>589</v>
      </c>
      <c r="E4622" s="104">
        <v>1</v>
      </c>
      <c r="F4622" s="9"/>
      <c r="G4622" s="8"/>
      <c r="H4622" s="43">
        <v>74.53</v>
      </c>
      <c r="I4622" s="19">
        <f t="shared" si="141"/>
        <v>0</v>
      </c>
    </row>
    <row r="4623" spans="1:9" ht="15.6" hidden="1">
      <c r="A4623" s="51" t="s">
        <v>7836</v>
      </c>
      <c r="B4623" s="5">
        <v>112392</v>
      </c>
      <c r="C4623" s="38" t="s">
        <v>8292</v>
      </c>
      <c r="D4623" s="38" t="s">
        <v>8254</v>
      </c>
      <c r="E4623" s="104">
        <v>1</v>
      </c>
      <c r="F4623" s="9"/>
      <c r="G4623" s="8"/>
      <c r="H4623" s="43">
        <v>52.46</v>
      </c>
      <c r="I4623" s="19">
        <f t="shared" si="141"/>
        <v>0</v>
      </c>
    </row>
    <row r="4624" spans="1:9" ht="15.6" hidden="1">
      <c r="A4624" s="51" t="s">
        <v>7836</v>
      </c>
      <c r="B4624" s="5">
        <v>111819</v>
      </c>
      <c r="C4624" s="38" t="s">
        <v>8293</v>
      </c>
      <c r="D4624" s="38" t="s">
        <v>589</v>
      </c>
      <c r="E4624" s="104">
        <v>1</v>
      </c>
      <c r="F4624" s="9"/>
      <c r="G4624" s="8"/>
      <c r="H4624" s="43">
        <v>64.28</v>
      </c>
      <c r="I4624" s="19">
        <f t="shared" si="141"/>
        <v>0</v>
      </c>
    </row>
    <row r="4625" spans="1:9" ht="15.6" hidden="1">
      <c r="A4625" s="51" t="s">
        <v>7836</v>
      </c>
      <c r="B4625" s="5">
        <v>111820</v>
      </c>
      <c r="C4625" s="38" t="s">
        <v>8294</v>
      </c>
      <c r="D4625" s="38" t="s">
        <v>589</v>
      </c>
      <c r="E4625" s="104">
        <v>1</v>
      </c>
      <c r="F4625" s="9"/>
      <c r="G4625" s="8"/>
      <c r="H4625" s="43">
        <v>64.28</v>
      </c>
      <c r="I4625" s="19">
        <f t="shared" si="141"/>
        <v>0</v>
      </c>
    </row>
    <row r="4626" spans="1:9" ht="15.6" hidden="1">
      <c r="A4626" s="51" t="s">
        <v>7836</v>
      </c>
      <c r="B4626" s="5">
        <v>111821</v>
      </c>
      <c r="C4626" s="38" t="s">
        <v>8295</v>
      </c>
      <c r="D4626" s="38" t="s">
        <v>589</v>
      </c>
      <c r="E4626" s="104">
        <v>1</v>
      </c>
      <c r="F4626" s="9"/>
      <c r="G4626" s="8"/>
      <c r="H4626" s="43">
        <v>64.28</v>
      </c>
      <c r="I4626" s="19">
        <f t="shared" si="141"/>
        <v>0</v>
      </c>
    </row>
    <row r="4627" spans="1:9" ht="15.6" hidden="1">
      <c r="A4627" s="51" t="s">
        <v>7836</v>
      </c>
      <c r="B4627" s="5">
        <v>111822</v>
      </c>
      <c r="C4627" s="38" t="s">
        <v>8296</v>
      </c>
      <c r="D4627" s="38" t="s">
        <v>589</v>
      </c>
      <c r="E4627" s="104">
        <v>1</v>
      </c>
      <c r="F4627" s="9"/>
      <c r="G4627" s="8"/>
      <c r="H4627" s="43">
        <v>64.28</v>
      </c>
      <c r="I4627" s="19">
        <f t="shared" si="141"/>
        <v>0</v>
      </c>
    </row>
    <row r="4628" spans="1:9" ht="15.6" hidden="1">
      <c r="A4628" s="51" t="s">
        <v>7836</v>
      </c>
      <c r="B4628" s="5">
        <v>111823</v>
      </c>
      <c r="C4628" s="38" t="s">
        <v>8297</v>
      </c>
      <c r="D4628" s="38" t="s">
        <v>589</v>
      </c>
      <c r="E4628" s="104">
        <v>1</v>
      </c>
      <c r="F4628" s="9"/>
      <c r="G4628" s="8"/>
      <c r="H4628" s="43">
        <v>62.4</v>
      </c>
      <c r="I4628" s="19">
        <f t="shared" si="141"/>
        <v>0</v>
      </c>
    </row>
    <row r="4629" spans="1:9" ht="15.6" hidden="1">
      <c r="A4629" s="51" t="s">
        <v>7836</v>
      </c>
      <c r="B4629" s="5">
        <v>111824</v>
      </c>
      <c r="C4629" s="38" t="s">
        <v>8298</v>
      </c>
      <c r="D4629" s="38" t="s">
        <v>589</v>
      </c>
      <c r="E4629" s="104">
        <v>1</v>
      </c>
      <c r="F4629" s="9"/>
      <c r="G4629" s="8"/>
      <c r="H4629" s="43">
        <v>62.4</v>
      </c>
      <c r="I4629" s="19">
        <f t="shared" si="141"/>
        <v>0</v>
      </c>
    </row>
    <row r="4630" spans="1:9" ht="15.6" hidden="1">
      <c r="A4630" s="51" t="s">
        <v>7836</v>
      </c>
      <c r="B4630" s="5">
        <v>111825</v>
      </c>
      <c r="C4630" s="38" t="s">
        <v>8299</v>
      </c>
      <c r="D4630" s="38" t="s">
        <v>589</v>
      </c>
      <c r="E4630" s="104">
        <v>1</v>
      </c>
      <c r="F4630" s="9"/>
      <c r="G4630" s="8"/>
      <c r="H4630" s="43">
        <v>62.4</v>
      </c>
      <c r="I4630" s="19">
        <f t="shared" si="141"/>
        <v>0</v>
      </c>
    </row>
    <row r="4631" spans="1:9" ht="15.6" hidden="1">
      <c r="A4631" s="51" t="s">
        <v>7836</v>
      </c>
      <c r="B4631" s="5">
        <v>111826</v>
      </c>
      <c r="C4631" s="38" t="s">
        <v>8300</v>
      </c>
      <c r="D4631" s="38" t="s">
        <v>589</v>
      </c>
      <c r="E4631" s="104">
        <v>1</v>
      </c>
      <c r="F4631" s="9"/>
      <c r="G4631" s="8"/>
      <c r="H4631" s="43">
        <v>62.4</v>
      </c>
      <c r="I4631" s="19">
        <f t="shared" si="141"/>
        <v>0</v>
      </c>
    </row>
    <row r="4632" spans="1:9" ht="15.6" hidden="1">
      <c r="A4632" s="51" t="s">
        <v>7836</v>
      </c>
      <c r="B4632" s="5">
        <v>111827</v>
      </c>
      <c r="C4632" s="38" t="s">
        <v>8301</v>
      </c>
      <c r="D4632" s="38" t="s">
        <v>589</v>
      </c>
      <c r="E4632" s="104">
        <v>1</v>
      </c>
      <c r="F4632" s="9"/>
      <c r="G4632" s="8"/>
      <c r="H4632" s="43">
        <v>62.4</v>
      </c>
      <c r="I4632" s="19">
        <f t="shared" si="141"/>
        <v>0</v>
      </c>
    </row>
    <row r="4633" spans="1:9" ht="15.6" hidden="1">
      <c r="A4633" s="51" t="s">
        <v>7836</v>
      </c>
      <c r="B4633" s="5">
        <v>111828</v>
      </c>
      <c r="C4633" s="38" t="s">
        <v>8302</v>
      </c>
      <c r="D4633" s="38" t="s">
        <v>589</v>
      </c>
      <c r="E4633" s="104">
        <v>1</v>
      </c>
      <c r="F4633" s="9"/>
      <c r="G4633" s="8"/>
      <c r="H4633" s="43">
        <v>64.28</v>
      </c>
      <c r="I4633" s="19">
        <f t="shared" si="141"/>
        <v>0</v>
      </c>
    </row>
    <row r="4634" spans="1:9" ht="15.6" hidden="1">
      <c r="A4634" s="51" t="s">
        <v>7836</v>
      </c>
      <c r="B4634" s="5">
        <v>111829</v>
      </c>
      <c r="C4634" s="38" t="s">
        <v>8303</v>
      </c>
      <c r="D4634" s="38" t="s">
        <v>589</v>
      </c>
      <c r="E4634" s="104">
        <v>1</v>
      </c>
      <c r="F4634" s="9"/>
      <c r="G4634" s="8"/>
      <c r="H4634" s="43">
        <v>62.4</v>
      </c>
      <c r="I4634" s="19">
        <f t="shared" si="141"/>
        <v>0</v>
      </c>
    </row>
    <row r="4635" spans="1:9" ht="15.6" hidden="1">
      <c r="A4635" s="51" t="s">
        <v>7836</v>
      </c>
      <c r="B4635" s="5">
        <v>111830</v>
      </c>
      <c r="C4635" s="38" t="s">
        <v>8304</v>
      </c>
      <c r="D4635" s="38" t="s">
        <v>589</v>
      </c>
      <c r="E4635" s="104">
        <v>1</v>
      </c>
      <c r="F4635" s="9"/>
      <c r="G4635" s="8"/>
      <c r="H4635" s="43">
        <v>62.4</v>
      </c>
      <c r="I4635" s="19">
        <f t="shared" si="141"/>
        <v>0</v>
      </c>
    </row>
    <row r="4636" spans="1:9" ht="15.6" hidden="1">
      <c r="A4636" s="51" t="s">
        <v>7836</v>
      </c>
      <c r="B4636" s="5">
        <v>111831</v>
      </c>
      <c r="C4636" s="38" t="s">
        <v>8305</v>
      </c>
      <c r="D4636" s="38" t="s">
        <v>589</v>
      </c>
      <c r="E4636" s="104">
        <v>1</v>
      </c>
      <c r="F4636" s="9"/>
      <c r="G4636" s="8"/>
      <c r="H4636" s="43">
        <v>64.28</v>
      </c>
      <c r="I4636" s="19">
        <f t="shared" si="141"/>
        <v>0</v>
      </c>
    </row>
    <row r="4637" spans="1:9" ht="15.6" hidden="1">
      <c r="A4637" s="51" t="s">
        <v>7836</v>
      </c>
      <c r="B4637" s="5">
        <v>111832</v>
      </c>
      <c r="C4637" s="38" t="s">
        <v>8306</v>
      </c>
      <c r="D4637" s="38" t="s">
        <v>589</v>
      </c>
      <c r="E4637" s="104">
        <v>1</v>
      </c>
      <c r="F4637" s="9"/>
      <c r="G4637" s="8"/>
      <c r="H4637" s="43">
        <v>62.4</v>
      </c>
      <c r="I4637" s="19">
        <f t="shared" si="141"/>
        <v>0</v>
      </c>
    </row>
    <row r="4638" spans="1:9" ht="15.6" hidden="1">
      <c r="A4638" s="51" t="s">
        <v>7836</v>
      </c>
      <c r="B4638" s="5">
        <v>111833</v>
      </c>
      <c r="C4638" s="38" t="s">
        <v>8307</v>
      </c>
      <c r="D4638" s="38" t="s">
        <v>589</v>
      </c>
      <c r="E4638" s="104">
        <v>1</v>
      </c>
      <c r="F4638" s="9"/>
      <c r="G4638" s="8"/>
      <c r="H4638" s="43">
        <v>81.55</v>
      </c>
      <c r="I4638" s="19">
        <f t="shared" si="141"/>
        <v>0</v>
      </c>
    </row>
    <row r="4639" spans="1:9" ht="15.6" hidden="1">
      <c r="A4639" s="51" t="s">
        <v>7836</v>
      </c>
      <c r="B4639" s="5">
        <v>111834</v>
      </c>
      <c r="C4639" s="38" t="s">
        <v>8308</v>
      </c>
      <c r="D4639" s="38" t="s">
        <v>589</v>
      </c>
      <c r="E4639" s="104">
        <v>1</v>
      </c>
      <c r="F4639" s="9"/>
      <c r="G4639" s="8"/>
      <c r="H4639" s="43">
        <v>84</v>
      </c>
      <c r="I4639" s="19">
        <f t="shared" si="141"/>
        <v>0</v>
      </c>
    </row>
    <row r="4640" spans="1:9" ht="15.6" hidden="1">
      <c r="A4640" s="51" t="s">
        <v>7836</v>
      </c>
      <c r="B4640" s="5">
        <v>112276</v>
      </c>
      <c r="C4640" s="38" t="s">
        <v>8309</v>
      </c>
      <c r="D4640" s="38" t="s">
        <v>8224</v>
      </c>
      <c r="E4640" s="104">
        <v>1</v>
      </c>
      <c r="F4640" s="9"/>
      <c r="G4640" s="8"/>
      <c r="H4640" s="43">
        <v>40.61</v>
      </c>
      <c r="I4640" s="19">
        <f t="shared" si="141"/>
        <v>0</v>
      </c>
    </row>
    <row r="4641" spans="1:9" ht="15.6" hidden="1">
      <c r="A4641" s="51" t="s">
        <v>7836</v>
      </c>
      <c r="B4641" s="5">
        <v>132511</v>
      </c>
      <c r="C4641" s="38" t="s">
        <v>8310</v>
      </c>
      <c r="D4641" s="38" t="s">
        <v>8311</v>
      </c>
      <c r="E4641" s="104">
        <v>1</v>
      </c>
      <c r="F4641" s="9"/>
      <c r="G4641" s="8"/>
      <c r="H4641" s="43">
        <v>156.37</v>
      </c>
      <c r="I4641" s="19">
        <f t="shared" si="141"/>
        <v>0</v>
      </c>
    </row>
    <row r="4642" spans="1:9" ht="15.6" hidden="1">
      <c r="A4642" s="51" t="s">
        <v>7836</v>
      </c>
      <c r="B4642" s="5">
        <v>112282</v>
      </c>
      <c r="C4642" s="38" t="s">
        <v>8312</v>
      </c>
      <c r="D4642" s="38" t="s">
        <v>8311</v>
      </c>
      <c r="E4642" s="104">
        <v>1</v>
      </c>
      <c r="F4642" s="9"/>
      <c r="G4642" s="8"/>
      <c r="H4642" s="43">
        <v>27.55</v>
      </c>
      <c r="I4642" s="19">
        <f t="shared" si="141"/>
        <v>0</v>
      </c>
    </row>
    <row r="4643" spans="1:9" ht="15.6" hidden="1">
      <c r="A4643" s="51" t="s">
        <v>7836</v>
      </c>
      <c r="B4643" s="5">
        <v>111873</v>
      </c>
      <c r="C4643" s="38" t="s">
        <v>8313</v>
      </c>
      <c r="D4643" s="38"/>
      <c r="E4643" s="104">
        <v>1</v>
      </c>
      <c r="F4643" s="9"/>
      <c r="G4643" s="8"/>
      <c r="H4643" s="43">
        <v>41.92</v>
      </c>
      <c r="I4643" s="19">
        <f t="shared" si="141"/>
        <v>0</v>
      </c>
    </row>
    <row r="4644" spans="1:9" ht="15.6" hidden="1">
      <c r="A4644" s="51" t="s">
        <v>7836</v>
      </c>
      <c r="B4644" s="5">
        <v>111874</v>
      </c>
      <c r="C4644" s="38" t="s">
        <v>8314</v>
      </c>
      <c r="D4644" s="38"/>
      <c r="E4644" s="104">
        <v>1</v>
      </c>
      <c r="F4644" s="9"/>
      <c r="G4644" s="8"/>
      <c r="H4644" s="43">
        <v>41.92</v>
      </c>
      <c r="I4644" s="19">
        <f t="shared" si="141"/>
        <v>0</v>
      </c>
    </row>
    <row r="4645" spans="1:9" ht="15.6" hidden="1">
      <c r="A4645" s="51" t="s">
        <v>7836</v>
      </c>
      <c r="B4645" s="5">
        <v>111847</v>
      </c>
      <c r="C4645" s="38" t="s">
        <v>8315</v>
      </c>
      <c r="D4645" s="38"/>
      <c r="E4645" s="104">
        <v>1</v>
      </c>
      <c r="F4645" s="9"/>
      <c r="G4645" s="8"/>
      <c r="H4645" s="43">
        <v>41.92</v>
      </c>
      <c r="I4645" s="19">
        <f t="shared" si="141"/>
        <v>0</v>
      </c>
    </row>
    <row r="4646" spans="1:9" ht="15.6" hidden="1">
      <c r="A4646" s="51" t="s">
        <v>7836</v>
      </c>
      <c r="B4646" s="5">
        <v>111849</v>
      </c>
      <c r="C4646" s="38" t="s">
        <v>8316</v>
      </c>
      <c r="D4646" s="38"/>
      <c r="E4646" s="104">
        <v>1</v>
      </c>
      <c r="F4646" s="9"/>
      <c r="G4646" s="8"/>
      <c r="H4646" s="43">
        <v>41.92</v>
      </c>
      <c r="I4646" s="19">
        <f t="shared" si="141"/>
        <v>0</v>
      </c>
    </row>
    <row r="4647" spans="1:9" ht="15.6" hidden="1">
      <c r="A4647" s="51" t="s">
        <v>7836</v>
      </c>
      <c r="B4647" s="5">
        <v>111850</v>
      </c>
      <c r="C4647" s="38" t="s">
        <v>8317</v>
      </c>
      <c r="D4647" s="38"/>
      <c r="E4647" s="104">
        <v>1</v>
      </c>
      <c r="F4647" s="9"/>
      <c r="G4647" s="8"/>
      <c r="H4647" s="43">
        <v>41.92</v>
      </c>
      <c r="I4647" s="19">
        <f t="shared" si="141"/>
        <v>0</v>
      </c>
    </row>
    <row r="4648" spans="1:9" ht="15.6" hidden="1">
      <c r="A4648" s="51" t="s">
        <v>7836</v>
      </c>
      <c r="B4648" s="5">
        <v>111854</v>
      </c>
      <c r="C4648" s="38" t="s">
        <v>8318</v>
      </c>
      <c r="D4648" s="38"/>
      <c r="E4648" s="104">
        <v>1</v>
      </c>
      <c r="F4648" s="9"/>
      <c r="G4648" s="8"/>
      <c r="H4648" s="43">
        <v>41.92</v>
      </c>
      <c r="I4648" s="19">
        <f t="shared" si="141"/>
        <v>0</v>
      </c>
    </row>
    <row r="4649" spans="1:9" ht="15.6" hidden="1">
      <c r="A4649" s="51" t="s">
        <v>7836</v>
      </c>
      <c r="B4649" s="5">
        <v>111855</v>
      </c>
      <c r="C4649" s="38" t="s">
        <v>8319</v>
      </c>
      <c r="D4649" s="38"/>
      <c r="E4649" s="104">
        <v>1</v>
      </c>
      <c r="F4649" s="9"/>
      <c r="G4649" s="8"/>
      <c r="H4649" s="43">
        <v>41.92</v>
      </c>
      <c r="I4649" s="19">
        <f t="shared" si="141"/>
        <v>0</v>
      </c>
    </row>
    <row r="4650" spans="1:9" ht="15.6" hidden="1">
      <c r="A4650" s="51" t="s">
        <v>7836</v>
      </c>
      <c r="B4650" s="5">
        <v>111856</v>
      </c>
      <c r="C4650" s="38" t="s">
        <v>8320</v>
      </c>
      <c r="D4650" s="38"/>
      <c r="E4650" s="104">
        <v>1</v>
      </c>
      <c r="F4650" s="9"/>
      <c r="G4650" s="8"/>
      <c r="H4650" s="43">
        <v>48.89</v>
      </c>
      <c r="I4650" s="19">
        <f t="shared" si="141"/>
        <v>0</v>
      </c>
    </row>
    <row r="4651" spans="1:9" ht="15.6" hidden="1">
      <c r="A4651" s="51" t="s">
        <v>7836</v>
      </c>
      <c r="B4651" s="5">
        <v>111858</v>
      </c>
      <c r="C4651" s="38" t="s">
        <v>8321</v>
      </c>
      <c r="D4651" s="38"/>
      <c r="E4651" s="104">
        <v>1</v>
      </c>
      <c r="F4651" s="9"/>
      <c r="G4651" s="8"/>
      <c r="H4651" s="43">
        <v>28.01</v>
      </c>
      <c r="I4651" s="19">
        <f t="shared" si="141"/>
        <v>0</v>
      </c>
    </row>
    <row r="4652" spans="1:9" ht="15.6" hidden="1">
      <c r="A4652" s="51" t="s">
        <v>7836</v>
      </c>
      <c r="B4652" s="5">
        <v>111861</v>
      </c>
      <c r="C4652" s="38" t="s">
        <v>8322</v>
      </c>
      <c r="D4652" s="38"/>
      <c r="E4652" s="104">
        <v>1</v>
      </c>
      <c r="F4652" s="9"/>
      <c r="G4652" s="8"/>
      <c r="H4652" s="43">
        <v>28.01</v>
      </c>
      <c r="I4652" s="19">
        <f t="shared" si="141"/>
        <v>0</v>
      </c>
    </row>
    <row r="4653" spans="1:9" ht="15.6" hidden="1">
      <c r="A4653" s="51" t="s">
        <v>7836</v>
      </c>
      <c r="B4653" s="5">
        <v>111865</v>
      </c>
      <c r="C4653" s="38" t="s">
        <v>8323</v>
      </c>
      <c r="D4653" s="38"/>
      <c r="E4653" s="104">
        <v>1</v>
      </c>
      <c r="F4653" s="9"/>
      <c r="G4653" s="8"/>
      <c r="H4653" s="43">
        <v>28.01</v>
      </c>
      <c r="I4653" s="19">
        <f t="shared" si="141"/>
        <v>0</v>
      </c>
    </row>
    <row r="4654" spans="1:9" ht="15.6" hidden="1">
      <c r="A4654" s="51" t="s">
        <v>7836</v>
      </c>
      <c r="B4654" s="5">
        <v>111869</v>
      </c>
      <c r="C4654" s="38" t="s">
        <v>8324</v>
      </c>
      <c r="D4654" s="38"/>
      <c r="E4654" s="104">
        <v>1</v>
      </c>
      <c r="F4654" s="9"/>
      <c r="G4654" s="8"/>
      <c r="H4654" s="43">
        <v>28.01</v>
      </c>
      <c r="I4654" s="19">
        <f t="shared" si="141"/>
        <v>0</v>
      </c>
    </row>
    <row r="4655" spans="1:9" ht="15.6" hidden="1">
      <c r="A4655" s="51" t="s">
        <v>7836</v>
      </c>
      <c r="B4655" s="5">
        <v>111837</v>
      </c>
      <c r="C4655" s="38" t="s">
        <v>8325</v>
      </c>
      <c r="D4655" s="38" t="s">
        <v>589</v>
      </c>
      <c r="E4655" s="104">
        <v>1</v>
      </c>
      <c r="F4655" s="9"/>
      <c r="G4655" s="8"/>
      <c r="H4655" s="43">
        <v>59.86</v>
      </c>
      <c r="I4655" s="19">
        <f t="shared" si="141"/>
        <v>0</v>
      </c>
    </row>
    <row r="4656" spans="1:9" ht="15.6" hidden="1">
      <c r="A4656" s="51" t="s">
        <v>7836</v>
      </c>
      <c r="B4656" s="5">
        <v>111838</v>
      </c>
      <c r="C4656" s="38" t="s">
        <v>8326</v>
      </c>
      <c r="D4656" s="38" t="s">
        <v>589</v>
      </c>
      <c r="E4656" s="104">
        <v>1</v>
      </c>
      <c r="F4656" s="9"/>
      <c r="G4656" s="8"/>
      <c r="H4656" s="43">
        <v>61.66</v>
      </c>
      <c r="I4656" s="19">
        <f t="shared" si="141"/>
        <v>0</v>
      </c>
    </row>
    <row r="4657" spans="1:9" ht="15.6" hidden="1">
      <c r="A4657" s="51" t="s">
        <v>7836</v>
      </c>
      <c r="B4657" s="5">
        <v>111841</v>
      </c>
      <c r="C4657" s="38" t="s">
        <v>8327</v>
      </c>
      <c r="D4657" s="38" t="s">
        <v>589</v>
      </c>
      <c r="E4657" s="104">
        <v>1</v>
      </c>
      <c r="F4657" s="9"/>
      <c r="G4657" s="8"/>
      <c r="H4657" s="43">
        <v>52.83</v>
      </c>
      <c r="I4657" s="19">
        <f t="shared" si="141"/>
        <v>0</v>
      </c>
    </row>
    <row r="4658" spans="1:9" ht="15.6" hidden="1">
      <c r="A4658" s="51" t="s">
        <v>7836</v>
      </c>
      <c r="B4658" s="5">
        <v>105655</v>
      </c>
      <c r="C4658" s="38" t="s">
        <v>8328</v>
      </c>
      <c r="D4658" s="38" t="s">
        <v>576</v>
      </c>
      <c r="E4658" s="104">
        <v>1</v>
      </c>
      <c r="F4658" s="9"/>
      <c r="G4658" s="8"/>
      <c r="H4658" s="43">
        <v>1.1499999999999999</v>
      </c>
      <c r="I4658" s="19">
        <f t="shared" si="141"/>
        <v>0</v>
      </c>
    </row>
    <row r="4659" spans="1:9" ht="15.6" hidden="1">
      <c r="A4659" s="51" t="s">
        <v>7836</v>
      </c>
      <c r="B4659" s="5">
        <v>105658</v>
      </c>
      <c r="C4659" s="38" t="s">
        <v>8329</v>
      </c>
      <c r="D4659" s="38" t="s">
        <v>576</v>
      </c>
      <c r="E4659" s="104">
        <v>1</v>
      </c>
      <c r="F4659" s="9"/>
      <c r="G4659" s="8"/>
      <c r="H4659" s="43">
        <v>1.72</v>
      </c>
      <c r="I4659" s="19">
        <f t="shared" si="141"/>
        <v>0</v>
      </c>
    </row>
    <row r="4660" spans="1:9" ht="15.6" hidden="1">
      <c r="A4660" s="51" t="s">
        <v>7836</v>
      </c>
      <c r="B4660" s="5">
        <v>105661</v>
      </c>
      <c r="C4660" s="38" t="s">
        <v>8330</v>
      </c>
      <c r="D4660" s="38" t="s">
        <v>576</v>
      </c>
      <c r="E4660" s="104">
        <v>1</v>
      </c>
      <c r="F4660" s="9"/>
      <c r="G4660" s="8"/>
      <c r="H4660" s="43">
        <v>2.2400000000000002</v>
      </c>
      <c r="I4660" s="19">
        <f t="shared" si="141"/>
        <v>0</v>
      </c>
    </row>
    <row r="4661" spans="1:9" ht="15.6" hidden="1">
      <c r="A4661" s="51" t="s">
        <v>7836</v>
      </c>
      <c r="B4661" s="5">
        <v>105664</v>
      </c>
      <c r="C4661" s="38" t="s">
        <v>8331</v>
      </c>
      <c r="D4661" s="38" t="s">
        <v>576</v>
      </c>
      <c r="E4661" s="104">
        <v>1</v>
      </c>
      <c r="F4661" s="9"/>
      <c r="G4661" s="8"/>
      <c r="H4661" s="43">
        <v>1.51</v>
      </c>
      <c r="I4661" s="19">
        <f t="shared" si="141"/>
        <v>0</v>
      </c>
    </row>
    <row r="4662" spans="1:9" ht="15.6" hidden="1">
      <c r="A4662" s="51" t="s">
        <v>7836</v>
      </c>
      <c r="B4662" s="5">
        <v>106057</v>
      </c>
      <c r="C4662" s="38" t="s">
        <v>8332</v>
      </c>
      <c r="D4662" s="38" t="s">
        <v>576</v>
      </c>
      <c r="E4662" s="104">
        <v>1</v>
      </c>
      <c r="F4662" s="9"/>
      <c r="G4662" s="8"/>
      <c r="H4662" s="43">
        <v>1</v>
      </c>
      <c r="I4662" s="19">
        <f t="shared" si="141"/>
        <v>0</v>
      </c>
    </row>
    <row r="4663" spans="1:9" ht="15.6" hidden="1">
      <c r="A4663" s="51" t="s">
        <v>7836</v>
      </c>
      <c r="B4663" s="5">
        <v>105624</v>
      </c>
      <c r="C4663" s="38" t="s">
        <v>8333</v>
      </c>
      <c r="D4663" s="38" t="s">
        <v>576</v>
      </c>
      <c r="E4663" s="104">
        <v>1</v>
      </c>
      <c r="F4663" s="9"/>
      <c r="G4663" s="8"/>
      <c r="H4663" s="43">
        <v>1.62</v>
      </c>
      <c r="I4663" s="19">
        <f t="shared" si="141"/>
        <v>0</v>
      </c>
    </row>
    <row r="4664" spans="1:9" ht="15.6" hidden="1">
      <c r="A4664" s="51" t="s">
        <v>7836</v>
      </c>
      <c r="B4664" s="5">
        <v>105625</v>
      </c>
      <c r="C4664" s="38" t="s">
        <v>8334</v>
      </c>
      <c r="D4664" s="38" t="s">
        <v>576</v>
      </c>
      <c r="E4664" s="104">
        <v>1</v>
      </c>
      <c r="F4664" s="9"/>
      <c r="G4664" s="8"/>
      <c r="H4664" s="43">
        <v>2.93</v>
      </c>
      <c r="I4664" s="19">
        <f t="shared" si="141"/>
        <v>0</v>
      </c>
    </row>
    <row r="4665" spans="1:9" ht="15.6" hidden="1">
      <c r="A4665" s="51" t="s">
        <v>7836</v>
      </c>
      <c r="B4665" s="5">
        <v>105626</v>
      </c>
      <c r="C4665" s="38" t="s">
        <v>8335</v>
      </c>
      <c r="D4665" s="38" t="s">
        <v>576</v>
      </c>
      <c r="E4665" s="104">
        <v>1</v>
      </c>
      <c r="F4665" s="9"/>
      <c r="G4665" s="8"/>
      <c r="H4665" s="43">
        <v>2.2799999999999998</v>
      </c>
      <c r="I4665" s="19">
        <f t="shared" si="141"/>
        <v>0</v>
      </c>
    </row>
    <row r="4666" spans="1:9" ht="15.6" hidden="1">
      <c r="A4666" s="51" t="s">
        <v>7836</v>
      </c>
      <c r="B4666" s="5">
        <v>105662</v>
      </c>
      <c r="C4666" s="38" t="s">
        <v>8336</v>
      </c>
      <c r="D4666" s="38" t="s">
        <v>576</v>
      </c>
      <c r="E4666" s="104">
        <v>1</v>
      </c>
      <c r="F4666" s="9"/>
      <c r="G4666" s="8"/>
      <c r="H4666" s="43">
        <v>2.97</v>
      </c>
      <c r="I4666" s="19">
        <f t="shared" si="141"/>
        <v>0</v>
      </c>
    </row>
    <row r="4667" spans="1:9" ht="15.6" hidden="1">
      <c r="A4667" s="51" t="s">
        <v>7836</v>
      </c>
      <c r="B4667" s="5">
        <v>105659</v>
      </c>
      <c r="C4667" s="38" t="s">
        <v>8337</v>
      </c>
      <c r="D4667" s="38" t="s">
        <v>576</v>
      </c>
      <c r="E4667" s="104">
        <v>1</v>
      </c>
      <c r="F4667" s="9"/>
      <c r="G4667" s="8"/>
      <c r="H4667" s="43">
        <v>2.4</v>
      </c>
      <c r="I4667" s="19">
        <f t="shared" si="141"/>
        <v>0</v>
      </c>
    </row>
    <row r="4668" spans="1:9" ht="15.6" hidden="1">
      <c r="A4668" s="51" t="s">
        <v>7836</v>
      </c>
      <c r="B4668" s="5">
        <v>105656</v>
      </c>
      <c r="C4668" s="38" t="s">
        <v>8338</v>
      </c>
      <c r="D4668" s="38" t="s">
        <v>576</v>
      </c>
      <c r="E4668" s="104">
        <v>1</v>
      </c>
      <c r="F4668" s="9"/>
      <c r="G4668" s="8"/>
      <c r="H4668" s="43">
        <v>1.5</v>
      </c>
      <c r="I4668" s="19">
        <f t="shared" si="141"/>
        <v>0</v>
      </c>
    </row>
    <row r="4669" spans="1:9" ht="15.6" hidden="1">
      <c r="A4669" s="51" t="s">
        <v>7836</v>
      </c>
      <c r="B4669" s="5">
        <v>112501</v>
      </c>
      <c r="C4669" s="38" t="s">
        <v>8339</v>
      </c>
      <c r="D4669" s="38" t="s">
        <v>589</v>
      </c>
      <c r="E4669" s="104">
        <v>1</v>
      </c>
      <c r="F4669" s="9"/>
      <c r="G4669" s="8"/>
      <c r="H4669" s="43">
        <v>3.31</v>
      </c>
      <c r="I4669" s="19">
        <f t="shared" si="141"/>
        <v>0</v>
      </c>
    </row>
    <row r="4670" spans="1:9" ht="15.6" hidden="1">
      <c r="A4670" s="51" t="s">
        <v>7836</v>
      </c>
      <c r="B4670" s="5">
        <v>112503</v>
      </c>
      <c r="C4670" s="38" t="s">
        <v>8340</v>
      </c>
      <c r="D4670" s="38" t="s">
        <v>589</v>
      </c>
      <c r="E4670" s="104">
        <v>1</v>
      </c>
      <c r="F4670" s="9"/>
      <c r="G4670" s="8"/>
      <c r="H4670" s="43">
        <v>6.57</v>
      </c>
      <c r="I4670" s="19">
        <f t="shared" si="141"/>
        <v>0</v>
      </c>
    </row>
    <row r="4671" spans="1:9" ht="15.6" hidden="1">
      <c r="A4671" s="51" t="s">
        <v>7836</v>
      </c>
      <c r="B4671" s="5">
        <v>112499</v>
      </c>
      <c r="C4671" s="38" t="s">
        <v>8341</v>
      </c>
      <c r="D4671" s="38" t="s">
        <v>589</v>
      </c>
      <c r="E4671" s="104">
        <v>1</v>
      </c>
      <c r="F4671" s="9"/>
      <c r="G4671" s="8"/>
      <c r="H4671" s="43">
        <v>2.06</v>
      </c>
      <c r="I4671" s="19">
        <f t="shared" si="141"/>
        <v>0</v>
      </c>
    </row>
    <row r="4672" spans="1:9" ht="15.6">
      <c r="A4672" s="51" t="s">
        <v>7836</v>
      </c>
      <c r="B4672" s="5">
        <v>112499</v>
      </c>
      <c r="C4672" s="38" t="s">
        <v>8342</v>
      </c>
      <c r="D4672" s="38" t="s">
        <v>589</v>
      </c>
      <c r="E4672" s="104">
        <v>1</v>
      </c>
      <c r="F4672" s="9">
        <f>3*75</f>
        <v>225</v>
      </c>
      <c r="G4672" s="8"/>
      <c r="H4672" s="43">
        <v>2.06</v>
      </c>
      <c r="I4672" s="19">
        <f>F4672*H4672</f>
        <v>463.5</v>
      </c>
    </row>
    <row r="4673" spans="1:9" ht="15.6" hidden="1">
      <c r="A4673" s="51" t="s">
        <v>7836</v>
      </c>
      <c r="B4673" s="5">
        <v>140768</v>
      </c>
      <c r="C4673" s="38" t="s">
        <v>8343</v>
      </c>
      <c r="D4673" s="38" t="s">
        <v>589</v>
      </c>
      <c r="E4673" s="104">
        <v>1</v>
      </c>
      <c r="F4673" s="9"/>
      <c r="G4673" s="8"/>
      <c r="H4673" s="43">
        <v>35.520000000000003</v>
      </c>
      <c r="I4673" s="19">
        <f t="shared" si="141"/>
        <v>0</v>
      </c>
    </row>
    <row r="4674" spans="1:9" ht="15.6" hidden="1">
      <c r="A4674" s="51" t="s">
        <v>7836</v>
      </c>
      <c r="B4674" s="5">
        <v>109776</v>
      </c>
      <c r="C4674" s="38" t="s">
        <v>8344</v>
      </c>
      <c r="D4674" s="38"/>
      <c r="E4674" s="104">
        <v>1</v>
      </c>
      <c r="F4674" s="9"/>
      <c r="G4674" s="8"/>
      <c r="H4674" s="43">
        <v>353.76</v>
      </c>
      <c r="I4674" s="19">
        <f t="shared" si="141"/>
        <v>0</v>
      </c>
    </row>
    <row r="4675" spans="1:9" ht="15.6" hidden="1">
      <c r="A4675" s="51" t="s">
        <v>7836</v>
      </c>
      <c r="B4675" s="5">
        <v>109777</v>
      </c>
      <c r="C4675" s="38" t="s">
        <v>8345</v>
      </c>
      <c r="D4675" s="38"/>
      <c r="E4675" s="104">
        <v>1</v>
      </c>
      <c r="F4675" s="9"/>
      <c r="G4675" s="8"/>
      <c r="H4675" s="43">
        <v>162.47</v>
      </c>
      <c r="I4675" s="19">
        <f t="shared" si="141"/>
        <v>0</v>
      </c>
    </row>
    <row r="4676" spans="1:9" ht="15.6" hidden="1">
      <c r="A4676" s="51" t="s">
        <v>7836</v>
      </c>
      <c r="B4676" s="5">
        <v>109778</v>
      </c>
      <c r="C4676" s="38" t="s">
        <v>8346</v>
      </c>
      <c r="D4676" s="38"/>
      <c r="E4676" s="104">
        <v>1</v>
      </c>
      <c r="F4676" s="9"/>
      <c r="G4676" s="8"/>
      <c r="H4676" s="43">
        <v>194.54</v>
      </c>
      <c r="I4676" s="19">
        <f t="shared" ref="I4676:I4908" si="143">F4676*H4676</f>
        <v>0</v>
      </c>
    </row>
    <row r="4677" spans="1:9" ht="15.6" hidden="1">
      <c r="A4677" s="51" t="s">
        <v>7836</v>
      </c>
      <c r="B4677" s="5">
        <v>109779</v>
      </c>
      <c r="C4677" s="38" t="s">
        <v>8347</v>
      </c>
      <c r="D4677" s="38"/>
      <c r="E4677" s="104">
        <v>1</v>
      </c>
      <c r="F4677" s="9"/>
      <c r="G4677" s="8"/>
      <c r="H4677" s="43">
        <v>426.53</v>
      </c>
      <c r="I4677" s="19">
        <f t="shared" si="143"/>
        <v>0</v>
      </c>
    </row>
    <row r="4678" spans="1:9" ht="15.6" hidden="1">
      <c r="A4678" s="51" t="s">
        <v>7836</v>
      </c>
      <c r="B4678" s="5">
        <v>109780</v>
      </c>
      <c r="C4678" s="38" t="s">
        <v>8348</v>
      </c>
      <c r="D4678" s="38"/>
      <c r="E4678" s="104">
        <v>1</v>
      </c>
      <c r="F4678" s="9"/>
      <c r="G4678" s="8"/>
      <c r="H4678" s="43">
        <v>254.59</v>
      </c>
      <c r="I4678" s="19">
        <f t="shared" si="143"/>
        <v>0</v>
      </c>
    </row>
    <row r="4679" spans="1:9" ht="15.6" hidden="1">
      <c r="A4679" s="51" t="s">
        <v>7836</v>
      </c>
      <c r="B4679" s="5">
        <v>109781</v>
      </c>
      <c r="C4679" s="38" t="s">
        <v>8349</v>
      </c>
      <c r="D4679" s="38"/>
      <c r="E4679" s="104">
        <v>1</v>
      </c>
      <c r="F4679" s="9"/>
      <c r="G4679" s="8"/>
      <c r="H4679" s="43">
        <v>277.91000000000003</v>
      </c>
      <c r="I4679" s="19">
        <f t="shared" si="143"/>
        <v>0</v>
      </c>
    </row>
    <row r="4680" spans="1:9" ht="15.6" hidden="1">
      <c r="A4680" s="51" t="s">
        <v>7836</v>
      </c>
      <c r="B4680" s="5">
        <v>109782</v>
      </c>
      <c r="C4680" s="38" t="s">
        <v>8350</v>
      </c>
      <c r="D4680" s="38"/>
      <c r="E4680" s="104">
        <v>1</v>
      </c>
      <c r="F4680" s="9"/>
      <c r="G4680" s="8"/>
      <c r="H4680" s="43">
        <v>350.27</v>
      </c>
      <c r="I4680" s="19">
        <f t="shared" si="143"/>
        <v>0</v>
      </c>
    </row>
    <row r="4681" spans="1:9" ht="15.6" hidden="1">
      <c r="A4681" s="51" t="s">
        <v>7836</v>
      </c>
      <c r="B4681" s="5">
        <v>109783</v>
      </c>
      <c r="C4681" s="38" t="s">
        <v>8351</v>
      </c>
      <c r="D4681" s="38"/>
      <c r="E4681" s="104">
        <v>1</v>
      </c>
      <c r="F4681" s="9"/>
      <c r="G4681" s="8"/>
      <c r="H4681" s="43">
        <v>519.64</v>
      </c>
      <c r="I4681" s="19">
        <f t="shared" si="143"/>
        <v>0</v>
      </c>
    </row>
    <row r="4682" spans="1:9" ht="15.6" hidden="1">
      <c r="A4682" s="51" t="s">
        <v>7836</v>
      </c>
      <c r="B4682" s="5">
        <v>109784</v>
      </c>
      <c r="C4682" s="38" t="s">
        <v>8352</v>
      </c>
      <c r="D4682" s="38"/>
      <c r="E4682" s="104">
        <v>1</v>
      </c>
      <c r="F4682" s="9"/>
      <c r="G4682" s="8"/>
      <c r="H4682" s="43">
        <v>585.07000000000005</v>
      </c>
      <c r="I4682" s="19">
        <f t="shared" si="143"/>
        <v>0</v>
      </c>
    </row>
    <row r="4683" spans="1:9" ht="15.6" hidden="1">
      <c r="A4683" s="51" t="s">
        <v>7836</v>
      </c>
      <c r="B4683" s="5">
        <v>142084</v>
      </c>
      <c r="C4683" s="38" t="s">
        <v>8353</v>
      </c>
      <c r="D4683" s="38"/>
      <c r="E4683" s="104">
        <v>1</v>
      </c>
      <c r="F4683" s="9"/>
      <c r="G4683" s="8"/>
      <c r="H4683" s="43">
        <v>597.58000000000004</v>
      </c>
      <c r="I4683" s="19">
        <f t="shared" si="143"/>
        <v>0</v>
      </c>
    </row>
    <row r="4684" spans="1:9" ht="15.6" hidden="1">
      <c r="A4684" s="51" t="s">
        <v>7836</v>
      </c>
      <c r="B4684" s="5">
        <v>142085</v>
      </c>
      <c r="C4684" s="38" t="s">
        <v>8354</v>
      </c>
      <c r="D4684" s="38"/>
      <c r="E4684" s="104">
        <v>1</v>
      </c>
      <c r="F4684" s="9"/>
      <c r="G4684" s="8"/>
      <c r="H4684" s="43">
        <v>355.44</v>
      </c>
      <c r="I4684" s="19">
        <f t="shared" si="143"/>
        <v>0</v>
      </c>
    </row>
    <row r="4685" spans="1:9" ht="15.6" hidden="1">
      <c r="A4685" s="51" t="s">
        <v>7836</v>
      </c>
      <c r="B4685" s="5">
        <v>142086</v>
      </c>
      <c r="C4685" s="38" t="s">
        <v>8355</v>
      </c>
      <c r="D4685" s="38"/>
      <c r="E4685" s="104">
        <v>1</v>
      </c>
      <c r="F4685" s="9"/>
      <c r="G4685" s="8"/>
      <c r="H4685" s="43">
        <v>355.44</v>
      </c>
      <c r="I4685" s="19">
        <f t="shared" si="143"/>
        <v>0</v>
      </c>
    </row>
    <row r="4686" spans="1:9" ht="15.6" hidden="1">
      <c r="A4686" s="51" t="s">
        <v>7836</v>
      </c>
      <c r="B4686" s="5">
        <v>142087</v>
      </c>
      <c r="C4686" s="38" t="s">
        <v>8356</v>
      </c>
      <c r="D4686" s="38"/>
      <c r="E4686" s="104">
        <v>1</v>
      </c>
      <c r="F4686" s="9"/>
      <c r="G4686" s="8"/>
      <c r="H4686" s="43">
        <v>597.58000000000004</v>
      </c>
      <c r="I4686" s="19">
        <f t="shared" si="143"/>
        <v>0</v>
      </c>
    </row>
    <row r="4687" spans="1:9" ht="15.6" hidden="1">
      <c r="A4687" s="51" t="s">
        <v>7836</v>
      </c>
      <c r="B4687" s="5">
        <v>142088</v>
      </c>
      <c r="C4687" s="38" t="s">
        <v>8357</v>
      </c>
      <c r="D4687" s="38"/>
      <c r="E4687" s="104">
        <v>1</v>
      </c>
      <c r="F4687" s="9"/>
      <c r="G4687" s="8"/>
      <c r="H4687" s="43">
        <v>597.58000000000004</v>
      </c>
      <c r="I4687" s="19">
        <f t="shared" si="143"/>
        <v>0</v>
      </c>
    </row>
    <row r="4688" spans="1:9" ht="15.6" hidden="1">
      <c r="A4688" s="51" t="s">
        <v>7836</v>
      </c>
      <c r="B4688" s="5">
        <v>142430</v>
      </c>
      <c r="C4688" s="38" t="s">
        <v>8358</v>
      </c>
      <c r="D4688" s="38"/>
      <c r="E4688" s="104">
        <v>1</v>
      </c>
      <c r="F4688" s="9"/>
      <c r="G4688" s="8"/>
      <c r="H4688" s="43">
        <v>388</v>
      </c>
      <c r="I4688" s="19">
        <f t="shared" si="143"/>
        <v>0</v>
      </c>
    </row>
    <row r="4689" spans="1:9" ht="15.6" hidden="1">
      <c r="A4689" s="51" t="s">
        <v>7836</v>
      </c>
      <c r="B4689" s="5">
        <v>142301</v>
      </c>
      <c r="C4689" s="38" t="s">
        <v>8359</v>
      </c>
      <c r="D4689" s="38"/>
      <c r="E4689" s="104">
        <v>1</v>
      </c>
      <c r="F4689" s="9"/>
      <c r="G4689" s="8"/>
      <c r="H4689" s="43">
        <v>388</v>
      </c>
      <c r="I4689" s="19">
        <f t="shared" si="143"/>
        <v>0</v>
      </c>
    </row>
    <row r="4690" spans="1:9" ht="15.6" hidden="1">
      <c r="A4690" s="51" t="s">
        <v>7836</v>
      </c>
      <c r="B4690" s="5">
        <v>142302</v>
      </c>
      <c r="C4690" s="38" t="s">
        <v>8360</v>
      </c>
      <c r="D4690" s="38"/>
      <c r="E4690" s="104">
        <v>1</v>
      </c>
      <c r="F4690" s="9"/>
      <c r="G4690" s="8"/>
      <c r="H4690" s="43">
        <v>388</v>
      </c>
      <c r="I4690" s="19">
        <f t="shared" si="143"/>
        <v>0</v>
      </c>
    </row>
    <row r="4691" spans="1:9" ht="15.6" hidden="1">
      <c r="A4691" s="51" t="s">
        <v>7836</v>
      </c>
      <c r="B4691" s="5">
        <v>142303</v>
      </c>
      <c r="C4691" s="38" t="s">
        <v>8361</v>
      </c>
      <c r="D4691" s="38"/>
      <c r="E4691" s="104">
        <v>1</v>
      </c>
      <c r="F4691" s="9"/>
      <c r="G4691" s="8"/>
      <c r="H4691" s="43">
        <v>388</v>
      </c>
      <c r="I4691" s="19">
        <f t="shared" si="143"/>
        <v>0</v>
      </c>
    </row>
    <row r="4692" spans="1:9" ht="15.6" hidden="1">
      <c r="A4692" s="51" t="s">
        <v>7836</v>
      </c>
      <c r="B4692" s="5">
        <v>142304</v>
      </c>
      <c r="C4692" s="38" t="s">
        <v>8362</v>
      </c>
      <c r="D4692" s="38"/>
      <c r="E4692" s="104">
        <v>1</v>
      </c>
      <c r="F4692" s="9"/>
      <c r="G4692" s="8"/>
      <c r="H4692" s="43">
        <v>388</v>
      </c>
      <c r="I4692" s="19">
        <f t="shared" si="143"/>
        <v>0</v>
      </c>
    </row>
    <row r="4693" spans="1:9" ht="15.6" hidden="1">
      <c r="A4693" s="51" t="s">
        <v>7836</v>
      </c>
      <c r="B4693" s="5">
        <v>142305</v>
      </c>
      <c r="C4693" s="38" t="s">
        <v>8363</v>
      </c>
      <c r="D4693" s="38"/>
      <c r="E4693" s="104">
        <v>1</v>
      </c>
      <c r="F4693" s="9"/>
      <c r="G4693" s="8"/>
      <c r="H4693" s="43">
        <v>388</v>
      </c>
      <c r="I4693" s="19">
        <f t="shared" si="143"/>
        <v>0</v>
      </c>
    </row>
    <row r="4694" spans="1:9" ht="15.6" hidden="1">
      <c r="A4694" s="51" t="s">
        <v>7836</v>
      </c>
      <c r="B4694" s="5">
        <v>142306</v>
      </c>
      <c r="C4694" s="38" t="s">
        <v>8364</v>
      </c>
      <c r="D4694" s="38"/>
      <c r="E4694" s="104">
        <v>1</v>
      </c>
      <c r="F4694" s="9"/>
      <c r="G4694" s="8"/>
      <c r="H4694" s="43">
        <v>388</v>
      </c>
      <c r="I4694" s="19">
        <f t="shared" si="143"/>
        <v>0</v>
      </c>
    </row>
    <row r="4695" spans="1:9" ht="15.6" hidden="1">
      <c r="A4695" s="51" t="s">
        <v>7836</v>
      </c>
      <c r="B4695" s="5">
        <v>142307</v>
      </c>
      <c r="C4695" s="38" t="s">
        <v>8365</v>
      </c>
      <c r="D4695" s="38"/>
      <c r="E4695" s="104">
        <v>1</v>
      </c>
      <c r="F4695" s="9"/>
      <c r="G4695" s="8"/>
      <c r="H4695" s="43">
        <v>388</v>
      </c>
      <c r="I4695" s="19">
        <f t="shared" si="143"/>
        <v>0</v>
      </c>
    </row>
    <row r="4696" spans="1:9" ht="15.6" hidden="1">
      <c r="A4696" s="51" t="s">
        <v>7836</v>
      </c>
      <c r="B4696" s="5">
        <v>142308</v>
      </c>
      <c r="C4696" s="38" t="s">
        <v>8366</v>
      </c>
      <c r="D4696" s="38"/>
      <c r="E4696" s="104">
        <v>1</v>
      </c>
      <c r="F4696" s="9"/>
      <c r="G4696" s="8"/>
      <c r="H4696" s="43">
        <v>388</v>
      </c>
      <c r="I4696" s="19">
        <f t="shared" si="143"/>
        <v>0</v>
      </c>
    </row>
    <row r="4697" spans="1:9" ht="15.6" hidden="1">
      <c r="A4697" s="51" t="s">
        <v>7836</v>
      </c>
      <c r="B4697" s="5">
        <v>142309</v>
      </c>
      <c r="C4697" s="38" t="s">
        <v>8367</v>
      </c>
      <c r="D4697" s="38"/>
      <c r="E4697" s="104">
        <v>1</v>
      </c>
      <c r="F4697" s="9"/>
      <c r="G4697" s="8"/>
      <c r="H4697" s="43">
        <v>388</v>
      </c>
      <c r="I4697" s="19">
        <f t="shared" si="143"/>
        <v>0</v>
      </c>
    </row>
    <row r="4698" spans="1:9" ht="15.6" hidden="1">
      <c r="A4698" s="51" t="s">
        <v>7836</v>
      </c>
      <c r="B4698" s="5">
        <v>142310</v>
      </c>
      <c r="C4698" s="38" t="s">
        <v>8368</v>
      </c>
      <c r="D4698" s="38"/>
      <c r="E4698" s="104">
        <v>1</v>
      </c>
      <c r="F4698" s="9"/>
      <c r="G4698" s="8"/>
      <c r="H4698" s="43">
        <v>388</v>
      </c>
      <c r="I4698" s="19">
        <f t="shared" si="143"/>
        <v>0</v>
      </c>
    </row>
    <row r="4699" spans="1:9" ht="15.6" hidden="1">
      <c r="A4699" s="51" t="s">
        <v>7836</v>
      </c>
      <c r="B4699" s="5">
        <v>142311</v>
      </c>
      <c r="C4699" s="38" t="s">
        <v>8369</v>
      </c>
      <c r="D4699" s="38"/>
      <c r="E4699" s="104">
        <v>1</v>
      </c>
      <c r="F4699" s="9"/>
      <c r="G4699" s="8"/>
      <c r="H4699" s="43">
        <v>388</v>
      </c>
      <c r="I4699" s="19">
        <f t="shared" si="143"/>
        <v>0</v>
      </c>
    </row>
    <row r="4700" spans="1:9" ht="15.6" hidden="1">
      <c r="A4700" s="51" t="s">
        <v>7836</v>
      </c>
      <c r="B4700" s="5">
        <v>142312</v>
      </c>
      <c r="C4700" s="38" t="s">
        <v>8370</v>
      </c>
      <c r="D4700" s="38"/>
      <c r="E4700" s="104">
        <v>1</v>
      </c>
      <c r="F4700" s="9"/>
      <c r="G4700" s="8"/>
      <c r="H4700" s="43">
        <v>388</v>
      </c>
      <c r="I4700" s="19">
        <f t="shared" si="143"/>
        <v>0</v>
      </c>
    </row>
    <row r="4701" spans="1:9" ht="15.6" hidden="1">
      <c r="A4701" s="51" t="s">
        <v>7836</v>
      </c>
      <c r="B4701" s="5">
        <v>142313</v>
      </c>
      <c r="C4701" s="38" t="s">
        <v>8371</v>
      </c>
      <c r="D4701" s="38"/>
      <c r="E4701" s="104">
        <v>1</v>
      </c>
      <c r="F4701" s="9"/>
      <c r="G4701" s="8"/>
      <c r="H4701" s="43">
        <v>388</v>
      </c>
      <c r="I4701" s="19">
        <f t="shared" si="143"/>
        <v>0</v>
      </c>
    </row>
    <row r="4702" spans="1:9" ht="15.6" hidden="1">
      <c r="A4702" s="51" t="s">
        <v>7836</v>
      </c>
      <c r="B4702" s="5">
        <v>142314</v>
      </c>
      <c r="C4702" s="38" t="s">
        <v>8372</v>
      </c>
      <c r="D4702" s="38"/>
      <c r="E4702" s="104">
        <v>1</v>
      </c>
      <c r="F4702" s="9"/>
      <c r="G4702" s="8"/>
      <c r="H4702" s="43">
        <v>388</v>
      </c>
      <c r="I4702" s="19">
        <f t="shared" si="143"/>
        <v>0</v>
      </c>
    </row>
    <row r="4703" spans="1:9" ht="15.6" hidden="1">
      <c r="A4703" s="51" t="s">
        <v>7836</v>
      </c>
      <c r="B4703" s="5">
        <v>142315</v>
      </c>
      <c r="C4703" s="38" t="s">
        <v>8373</v>
      </c>
      <c r="D4703" s="38"/>
      <c r="E4703" s="104">
        <v>1</v>
      </c>
      <c r="F4703" s="9"/>
      <c r="G4703" s="8"/>
      <c r="H4703" s="43">
        <v>388</v>
      </c>
      <c r="I4703" s="19">
        <f t="shared" si="143"/>
        <v>0</v>
      </c>
    </row>
    <row r="4704" spans="1:9" ht="15.6" hidden="1">
      <c r="A4704" s="51" t="s">
        <v>7836</v>
      </c>
      <c r="B4704" s="5">
        <v>142316</v>
      </c>
      <c r="C4704" s="38" t="s">
        <v>8374</v>
      </c>
      <c r="D4704" s="38"/>
      <c r="E4704" s="104">
        <v>1</v>
      </c>
      <c r="F4704" s="9"/>
      <c r="G4704" s="8"/>
      <c r="H4704" s="43">
        <v>388</v>
      </c>
      <c r="I4704" s="19">
        <f t="shared" si="143"/>
        <v>0</v>
      </c>
    </row>
    <row r="4705" spans="1:9" ht="15.6" hidden="1">
      <c r="A4705" s="51" t="s">
        <v>7836</v>
      </c>
      <c r="B4705" s="5">
        <v>142317</v>
      </c>
      <c r="C4705" s="38" t="s">
        <v>8375</v>
      </c>
      <c r="D4705" s="38"/>
      <c r="E4705" s="104">
        <v>1</v>
      </c>
      <c r="F4705" s="9"/>
      <c r="G4705" s="8"/>
      <c r="H4705" s="43">
        <v>388</v>
      </c>
      <c r="I4705" s="19">
        <f t="shared" si="143"/>
        <v>0</v>
      </c>
    </row>
    <row r="4706" spans="1:9" ht="15.6" hidden="1">
      <c r="A4706" s="51" t="s">
        <v>7836</v>
      </c>
      <c r="B4706" s="5">
        <v>142318</v>
      </c>
      <c r="C4706" s="38" t="s">
        <v>8376</v>
      </c>
      <c r="D4706" s="38"/>
      <c r="E4706" s="104">
        <v>1</v>
      </c>
      <c r="F4706" s="9"/>
      <c r="G4706" s="8"/>
      <c r="H4706" s="43">
        <v>388</v>
      </c>
      <c r="I4706" s="19">
        <f t="shared" si="143"/>
        <v>0</v>
      </c>
    </row>
    <row r="4707" spans="1:9" ht="15.6" hidden="1">
      <c r="A4707" s="51" t="s">
        <v>7836</v>
      </c>
      <c r="B4707" s="5">
        <v>142319</v>
      </c>
      <c r="C4707" s="38" t="s">
        <v>8377</v>
      </c>
      <c r="D4707" s="38"/>
      <c r="E4707" s="104">
        <v>1</v>
      </c>
      <c r="F4707" s="9"/>
      <c r="G4707" s="8"/>
      <c r="H4707" s="43">
        <v>388</v>
      </c>
      <c r="I4707" s="19">
        <f t="shared" si="143"/>
        <v>0</v>
      </c>
    </row>
    <row r="4708" spans="1:9" ht="15.6" hidden="1">
      <c r="A4708" s="51" t="s">
        <v>7836</v>
      </c>
      <c r="B4708" s="5">
        <v>142320</v>
      </c>
      <c r="C4708" s="38" t="s">
        <v>8378</v>
      </c>
      <c r="D4708" s="38"/>
      <c r="E4708" s="104">
        <v>1</v>
      </c>
      <c r="F4708" s="9"/>
      <c r="G4708" s="8"/>
      <c r="H4708" s="43">
        <v>388</v>
      </c>
      <c r="I4708" s="19">
        <f t="shared" si="143"/>
        <v>0</v>
      </c>
    </row>
    <row r="4709" spans="1:9" ht="15.6" hidden="1">
      <c r="A4709" s="51" t="s">
        <v>7836</v>
      </c>
      <c r="B4709" s="5">
        <v>142321</v>
      </c>
      <c r="C4709" s="38" t="s">
        <v>8379</v>
      </c>
      <c r="D4709" s="38"/>
      <c r="E4709" s="104">
        <v>1</v>
      </c>
      <c r="F4709" s="9"/>
      <c r="G4709" s="8"/>
      <c r="H4709" s="43">
        <v>388</v>
      </c>
      <c r="I4709" s="19">
        <f t="shared" si="143"/>
        <v>0</v>
      </c>
    </row>
    <row r="4710" spans="1:9" ht="15.6" hidden="1">
      <c r="A4710" s="51" t="s">
        <v>7836</v>
      </c>
      <c r="B4710" s="5">
        <v>142322</v>
      </c>
      <c r="C4710" s="38" t="s">
        <v>8380</v>
      </c>
      <c r="D4710" s="38"/>
      <c r="E4710" s="104">
        <v>1</v>
      </c>
      <c r="F4710" s="9"/>
      <c r="G4710" s="8"/>
      <c r="H4710" s="43">
        <v>388</v>
      </c>
      <c r="I4710" s="19">
        <f t="shared" si="143"/>
        <v>0</v>
      </c>
    </row>
    <row r="4711" spans="1:9" ht="15.6" hidden="1">
      <c r="A4711" s="51" t="s">
        <v>7836</v>
      </c>
      <c r="B4711" s="5">
        <v>142323</v>
      </c>
      <c r="C4711" s="38" t="s">
        <v>8381</v>
      </c>
      <c r="D4711" s="38"/>
      <c r="E4711" s="104">
        <v>1</v>
      </c>
      <c r="F4711" s="9"/>
      <c r="G4711" s="8"/>
      <c r="H4711" s="43">
        <v>388</v>
      </c>
      <c r="I4711" s="19">
        <f t="shared" si="143"/>
        <v>0</v>
      </c>
    </row>
    <row r="4712" spans="1:9" ht="15.6" hidden="1">
      <c r="A4712" s="51" t="s">
        <v>7836</v>
      </c>
      <c r="B4712" s="5">
        <v>142324</v>
      </c>
      <c r="C4712" s="38" t="s">
        <v>8382</v>
      </c>
      <c r="D4712" s="38"/>
      <c r="E4712" s="104">
        <v>1</v>
      </c>
      <c r="F4712" s="9"/>
      <c r="G4712" s="8"/>
      <c r="H4712" s="43">
        <v>388</v>
      </c>
      <c r="I4712" s="19">
        <f t="shared" si="143"/>
        <v>0</v>
      </c>
    </row>
    <row r="4713" spans="1:9" ht="15.6" hidden="1">
      <c r="A4713" s="51" t="s">
        <v>7836</v>
      </c>
      <c r="B4713" s="5">
        <v>142325</v>
      </c>
      <c r="C4713" s="38" t="s">
        <v>8383</v>
      </c>
      <c r="D4713" s="38"/>
      <c r="E4713" s="104">
        <v>1</v>
      </c>
      <c r="F4713" s="9"/>
      <c r="G4713" s="8"/>
      <c r="H4713" s="43">
        <v>388</v>
      </c>
      <c r="I4713" s="19">
        <f t="shared" si="143"/>
        <v>0</v>
      </c>
    </row>
    <row r="4714" spans="1:9" ht="15.6" hidden="1">
      <c r="A4714" s="51" t="s">
        <v>7836</v>
      </c>
      <c r="B4714" s="5">
        <v>142326</v>
      </c>
      <c r="C4714" s="38" t="s">
        <v>8384</v>
      </c>
      <c r="D4714" s="38"/>
      <c r="E4714" s="104">
        <v>1</v>
      </c>
      <c r="F4714" s="9"/>
      <c r="G4714" s="8"/>
      <c r="H4714" s="43">
        <v>388</v>
      </c>
      <c r="I4714" s="19">
        <f t="shared" si="143"/>
        <v>0</v>
      </c>
    </row>
    <row r="4715" spans="1:9" ht="15.6" hidden="1">
      <c r="A4715" s="51" t="s">
        <v>7836</v>
      </c>
      <c r="B4715" s="5">
        <v>142327</v>
      </c>
      <c r="C4715" s="38" t="s">
        <v>8385</v>
      </c>
      <c r="D4715" s="38"/>
      <c r="E4715" s="104">
        <v>1</v>
      </c>
      <c r="F4715" s="9"/>
      <c r="G4715" s="8"/>
      <c r="H4715" s="43">
        <v>388</v>
      </c>
      <c r="I4715" s="19">
        <f t="shared" si="143"/>
        <v>0</v>
      </c>
    </row>
    <row r="4716" spans="1:9" ht="15.6" hidden="1">
      <c r="A4716" s="51" t="s">
        <v>7836</v>
      </c>
      <c r="B4716" s="5">
        <v>142328</v>
      </c>
      <c r="C4716" s="38" t="s">
        <v>8386</v>
      </c>
      <c r="D4716" s="38"/>
      <c r="E4716" s="104">
        <v>1</v>
      </c>
      <c r="F4716" s="9"/>
      <c r="G4716" s="8"/>
      <c r="H4716" s="43">
        <v>431</v>
      </c>
      <c r="I4716" s="19">
        <f t="shared" si="143"/>
        <v>0</v>
      </c>
    </row>
    <row r="4717" spans="1:9" ht="15.6" hidden="1">
      <c r="A4717" s="51" t="s">
        <v>7836</v>
      </c>
      <c r="B4717" s="5">
        <v>142329</v>
      </c>
      <c r="C4717" s="38" t="s">
        <v>8387</v>
      </c>
      <c r="D4717" s="38"/>
      <c r="E4717" s="104">
        <v>1</v>
      </c>
      <c r="F4717" s="9"/>
      <c r="G4717" s="8"/>
      <c r="H4717" s="43">
        <v>431</v>
      </c>
      <c r="I4717" s="19">
        <f t="shared" si="143"/>
        <v>0</v>
      </c>
    </row>
    <row r="4718" spans="1:9" ht="15.6" hidden="1">
      <c r="A4718" s="51" t="s">
        <v>7836</v>
      </c>
      <c r="B4718" s="5">
        <v>142330</v>
      </c>
      <c r="C4718" s="38" t="s">
        <v>8388</v>
      </c>
      <c r="D4718" s="38"/>
      <c r="E4718" s="104">
        <v>1</v>
      </c>
      <c r="F4718" s="9"/>
      <c r="G4718" s="8"/>
      <c r="H4718" s="43">
        <v>431</v>
      </c>
      <c r="I4718" s="19">
        <f t="shared" si="143"/>
        <v>0</v>
      </c>
    </row>
    <row r="4719" spans="1:9" ht="15.6" hidden="1">
      <c r="A4719" s="51" t="s">
        <v>7836</v>
      </c>
      <c r="B4719" s="5">
        <v>142331</v>
      </c>
      <c r="C4719" s="38" t="s">
        <v>8389</v>
      </c>
      <c r="D4719" s="38"/>
      <c r="E4719" s="104">
        <v>1</v>
      </c>
      <c r="F4719" s="9"/>
      <c r="G4719" s="8"/>
      <c r="H4719" s="43">
        <v>431</v>
      </c>
      <c r="I4719" s="19">
        <f t="shared" si="143"/>
        <v>0</v>
      </c>
    </row>
    <row r="4720" spans="1:9" ht="15.6" hidden="1">
      <c r="A4720" s="51" t="s">
        <v>7836</v>
      </c>
      <c r="B4720" s="5">
        <v>142332</v>
      </c>
      <c r="C4720" s="38" t="s">
        <v>8390</v>
      </c>
      <c r="D4720" s="38"/>
      <c r="E4720" s="104">
        <v>1</v>
      </c>
      <c r="F4720" s="9"/>
      <c r="G4720" s="8"/>
      <c r="H4720" s="43">
        <v>531</v>
      </c>
      <c r="I4720" s="19">
        <f t="shared" si="143"/>
        <v>0</v>
      </c>
    </row>
    <row r="4721" spans="1:9" ht="15.6" hidden="1">
      <c r="A4721" s="51" t="s">
        <v>7836</v>
      </c>
      <c r="B4721" s="5">
        <v>142333</v>
      </c>
      <c r="C4721" s="38" t="s">
        <v>8391</v>
      </c>
      <c r="D4721" s="38"/>
      <c r="E4721" s="104">
        <v>1</v>
      </c>
      <c r="F4721" s="9"/>
      <c r="G4721" s="8"/>
      <c r="H4721" s="43">
        <v>531</v>
      </c>
      <c r="I4721" s="19">
        <f t="shared" si="143"/>
        <v>0</v>
      </c>
    </row>
    <row r="4722" spans="1:9" ht="15.6" hidden="1">
      <c r="A4722" s="51" t="s">
        <v>7836</v>
      </c>
      <c r="B4722" s="5">
        <v>142334</v>
      </c>
      <c r="C4722" s="38" t="s">
        <v>8392</v>
      </c>
      <c r="D4722" s="38"/>
      <c r="E4722" s="104">
        <v>1</v>
      </c>
      <c r="F4722" s="9"/>
      <c r="G4722" s="8"/>
      <c r="H4722" s="43">
        <v>531</v>
      </c>
      <c r="I4722" s="19">
        <f t="shared" si="143"/>
        <v>0</v>
      </c>
    </row>
    <row r="4723" spans="1:9" ht="15.6" hidden="1">
      <c r="A4723" s="51" t="s">
        <v>7836</v>
      </c>
      <c r="B4723" s="5">
        <v>142335</v>
      </c>
      <c r="C4723" s="38" t="s">
        <v>8393</v>
      </c>
      <c r="D4723" s="38"/>
      <c r="E4723" s="104">
        <v>1</v>
      </c>
      <c r="F4723" s="9"/>
      <c r="G4723" s="8"/>
      <c r="H4723" s="43">
        <v>531</v>
      </c>
      <c r="I4723" s="19">
        <f t="shared" si="143"/>
        <v>0</v>
      </c>
    </row>
    <row r="4724" spans="1:9" ht="15.6" hidden="1">
      <c r="A4724" s="51" t="s">
        <v>7836</v>
      </c>
      <c r="B4724" s="5">
        <v>142336</v>
      </c>
      <c r="C4724" s="38" t="s">
        <v>8394</v>
      </c>
      <c r="D4724" s="38"/>
      <c r="E4724" s="104">
        <v>1</v>
      </c>
      <c r="F4724" s="9"/>
      <c r="G4724" s="8"/>
      <c r="H4724" s="43">
        <v>531</v>
      </c>
      <c r="I4724" s="19">
        <f t="shared" si="143"/>
        <v>0</v>
      </c>
    </row>
    <row r="4725" spans="1:9" ht="15.6" hidden="1">
      <c r="A4725" s="51" t="s">
        <v>7836</v>
      </c>
      <c r="B4725" s="5">
        <v>142337</v>
      </c>
      <c r="C4725" s="38" t="s">
        <v>8395</v>
      </c>
      <c r="D4725" s="38"/>
      <c r="E4725" s="104">
        <v>1</v>
      </c>
      <c r="F4725" s="9"/>
      <c r="G4725" s="8"/>
      <c r="H4725" s="43">
        <v>531</v>
      </c>
      <c r="I4725" s="19">
        <f t="shared" si="143"/>
        <v>0</v>
      </c>
    </row>
    <row r="4726" spans="1:9" ht="15.6" hidden="1">
      <c r="A4726" s="51" t="s">
        <v>7836</v>
      </c>
      <c r="B4726" s="5">
        <v>142338</v>
      </c>
      <c r="C4726" s="38" t="s">
        <v>8396</v>
      </c>
      <c r="D4726" s="38"/>
      <c r="E4726" s="104">
        <v>1</v>
      </c>
      <c r="F4726" s="9"/>
      <c r="G4726" s="8"/>
      <c r="H4726" s="43">
        <v>531</v>
      </c>
      <c r="I4726" s="19">
        <f t="shared" si="143"/>
        <v>0</v>
      </c>
    </row>
    <row r="4727" spans="1:9" ht="15.6" hidden="1">
      <c r="A4727" s="51" t="s">
        <v>7836</v>
      </c>
      <c r="B4727" s="5">
        <v>142339</v>
      </c>
      <c r="C4727" s="38" t="s">
        <v>8397</v>
      </c>
      <c r="D4727" s="38"/>
      <c r="E4727" s="104">
        <v>1</v>
      </c>
      <c r="F4727" s="9"/>
      <c r="G4727" s="8"/>
      <c r="H4727" s="43">
        <v>531</v>
      </c>
      <c r="I4727" s="19">
        <f t="shared" si="143"/>
        <v>0</v>
      </c>
    </row>
    <row r="4728" spans="1:9" ht="15.6" hidden="1">
      <c r="A4728" s="51" t="s">
        <v>7836</v>
      </c>
      <c r="B4728" s="5">
        <v>142340</v>
      </c>
      <c r="C4728" s="38" t="s">
        <v>8398</v>
      </c>
      <c r="D4728" s="38"/>
      <c r="E4728" s="104">
        <v>1</v>
      </c>
      <c r="F4728" s="9"/>
      <c r="G4728" s="8"/>
      <c r="H4728" s="43">
        <v>531</v>
      </c>
      <c r="I4728" s="19">
        <f t="shared" si="143"/>
        <v>0</v>
      </c>
    </row>
    <row r="4729" spans="1:9" ht="15.6" hidden="1">
      <c r="A4729" s="51" t="s">
        <v>7836</v>
      </c>
      <c r="B4729" s="5">
        <v>142341</v>
      </c>
      <c r="C4729" s="38" t="s">
        <v>8399</v>
      </c>
      <c r="D4729" s="38"/>
      <c r="E4729" s="104">
        <v>1</v>
      </c>
      <c r="F4729" s="9"/>
      <c r="G4729" s="8"/>
      <c r="H4729" s="43">
        <v>531</v>
      </c>
      <c r="I4729" s="19">
        <f t="shared" si="143"/>
        <v>0</v>
      </c>
    </row>
    <row r="4730" spans="1:9" ht="15.6" hidden="1">
      <c r="A4730" s="51" t="s">
        <v>7836</v>
      </c>
      <c r="B4730" s="5">
        <v>142342</v>
      </c>
      <c r="C4730" s="38" t="s">
        <v>8400</v>
      </c>
      <c r="D4730" s="38"/>
      <c r="E4730" s="104">
        <v>1</v>
      </c>
      <c r="F4730" s="9"/>
      <c r="G4730" s="8"/>
      <c r="H4730" s="43">
        <v>531</v>
      </c>
      <c r="I4730" s="19">
        <f t="shared" si="143"/>
        <v>0</v>
      </c>
    </row>
    <row r="4731" spans="1:9" ht="15.6" hidden="1">
      <c r="A4731" s="51" t="s">
        <v>7836</v>
      </c>
      <c r="B4731" s="5">
        <v>142343</v>
      </c>
      <c r="C4731" s="38" t="s">
        <v>8401</v>
      </c>
      <c r="D4731" s="38"/>
      <c r="E4731" s="104">
        <v>1</v>
      </c>
      <c r="F4731" s="9"/>
      <c r="G4731" s="8"/>
      <c r="H4731" s="43">
        <v>531</v>
      </c>
      <c r="I4731" s="19">
        <f t="shared" si="143"/>
        <v>0</v>
      </c>
    </row>
    <row r="4732" spans="1:9" ht="15.6" hidden="1">
      <c r="A4732" s="51" t="s">
        <v>7836</v>
      </c>
      <c r="B4732" s="5">
        <v>142344</v>
      </c>
      <c r="C4732" s="38" t="s">
        <v>8402</v>
      </c>
      <c r="D4732" s="38"/>
      <c r="E4732" s="104">
        <v>1</v>
      </c>
      <c r="F4732" s="9"/>
      <c r="G4732" s="8"/>
      <c r="H4732" s="43">
        <v>531</v>
      </c>
      <c r="I4732" s="19">
        <f t="shared" si="143"/>
        <v>0</v>
      </c>
    </row>
    <row r="4733" spans="1:9" ht="15.6" hidden="1">
      <c r="A4733" s="51" t="s">
        <v>7836</v>
      </c>
      <c r="B4733" s="5">
        <v>142345</v>
      </c>
      <c r="C4733" s="38" t="s">
        <v>8403</v>
      </c>
      <c r="D4733" s="38"/>
      <c r="E4733" s="104">
        <v>1</v>
      </c>
      <c r="F4733" s="9"/>
      <c r="G4733" s="8"/>
      <c r="H4733" s="43">
        <v>531</v>
      </c>
      <c r="I4733" s="19">
        <f t="shared" si="143"/>
        <v>0</v>
      </c>
    </row>
    <row r="4734" spans="1:9" ht="15.6" hidden="1">
      <c r="A4734" s="51" t="s">
        <v>7836</v>
      </c>
      <c r="B4734" s="5">
        <v>142346</v>
      </c>
      <c r="C4734" s="38" t="s">
        <v>8404</v>
      </c>
      <c r="D4734" s="38"/>
      <c r="E4734" s="104">
        <v>1</v>
      </c>
      <c r="F4734" s="9"/>
      <c r="G4734" s="8"/>
      <c r="H4734" s="43">
        <v>531</v>
      </c>
      <c r="I4734" s="19">
        <f t="shared" si="143"/>
        <v>0</v>
      </c>
    </row>
    <row r="4735" spans="1:9" ht="15.6" hidden="1">
      <c r="A4735" s="51" t="s">
        <v>7836</v>
      </c>
      <c r="B4735" s="5">
        <v>142348</v>
      </c>
      <c r="C4735" s="38" t="s">
        <v>8405</v>
      </c>
      <c r="D4735" s="38"/>
      <c r="E4735" s="104">
        <v>1</v>
      </c>
      <c r="F4735" s="9"/>
      <c r="G4735" s="8"/>
      <c r="H4735" s="43">
        <v>531</v>
      </c>
      <c r="I4735" s="19">
        <f t="shared" si="143"/>
        <v>0</v>
      </c>
    </row>
    <row r="4736" spans="1:9" ht="15.6" hidden="1">
      <c r="A4736" s="51" t="s">
        <v>7836</v>
      </c>
      <c r="B4736" s="5">
        <v>142349</v>
      </c>
      <c r="C4736" s="38" t="s">
        <v>8406</v>
      </c>
      <c r="D4736" s="38"/>
      <c r="E4736" s="104">
        <v>1</v>
      </c>
      <c r="F4736" s="9"/>
      <c r="G4736" s="8"/>
      <c r="H4736" s="43">
        <v>531</v>
      </c>
      <c r="I4736" s="19">
        <f t="shared" si="143"/>
        <v>0</v>
      </c>
    </row>
    <row r="4737" spans="1:9" ht="15.6" hidden="1">
      <c r="A4737" s="51" t="s">
        <v>7836</v>
      </c>
      <c r="B4737" s="5">
        <v>142350</v>
      </c>
      <c r="C4737" s="38" t="s">
        <v>8407</v>
      </c>
      <c r="D4737" s="38"/>
      <c r="E4737" s="104">
        <v>1</v>
      </c>
      <c r="F4737" s="9"/>
      <c r="G4737" s="8"/>
      <c r="H4737" s="43">
        <v>531</v>
      </c>
      <c r="I4737" s="19">
        <f t="shared" si="143"/>
        <v>0</v>
      </c>
    </row>
    <row r="4738" spans="1:9" ht="15.6" hidden="1">
      <c r="A4738" s="51" t="s">
        <v>7836</v>
      </c>
      <c r="B4738" s="5">
        <v>142351</v>
      </c>
      <c r="C4738" s="38" t="s">
        <v>8408</v>
      </c>
      <c r="D4738" s="38"/>
      <c r="E4738" s="104">
        <v>1</v>
      </c>
      <c r="F4738" s="9"/>
      <c r="G4738" s="8"/>
      <c r="H4738" s="43">
        <v>531</v>
      </c>
      <c r="I4738" s="19">
        <f t="shared" si="143"/>
        <v>0</v>
      </c>
    </row>
    <row r="4739" spans="1:9" ht="15.6" hidden="1">
      <c r="A4739" s="51" t="s">
        <v>7836</v>
      </c>
      <c r="B4739" s="5">
        <v>140953</v>
      </c>
      <c r="C4739" s="38" t="s">
        <v>8409</v>
      </c>
      <c r="D4739" s="38"/>
      <c r="E4739" s="104">
        <v>1</v>
      </c>
      <c r="F4739" s="9"/>
      <c r="G4739" s="8"/>
      <c r="H4739" s="43">
        <v>531</v>
      </c>
      <c r="I4739" s="19">
        <f t="shared" si="143"/>
        <v>0</v>
      </c>
    </row>
    <row r="4740" spans="1:9" ht="15.6" hidden="1">
      <c r="A4740" s="51" t="s">
        <v>7836</v>
      </c>
      <c r="B4740" s="5">
        <v>142353</v>
      </c>
      <c r="C4740" s="38" t="s">
        <v>8410</v>
      </c>
      <c r="D4740" s="38"/>
      <c r="E4740" s="104">
        <v>1</v>
      </c>
      <c r="F4740" s="9"/>
      <c r="G4740" s="8"/>
      <c r="H4740" s="43">
        <v>531</v>
      </c>
      <c r="I4740" s="19">
        <f t="shared" si="143"/>
        <v>0</v>
      </c>
    </row>
    <row r="4741" spans="1:9" ht="15.6" hidden="1">
      <c r="A4741" s="51" t="s">
        <v>7836</v>
      </c>
      <c r="B4741" s="5">
        <v>142354</v>
      </c>
      <c r="C4741" s="38" t="s">
        <v>8411</v>
      </c>
      <c r="D4741" s="38"/>
      <c r="E4741" s="104">
        <v>1</v>
      </c>
      <c r="F4741" s="9"/>
      <c r="G4741" s="8"/>
      <c r="H4741" s="43">
        <v>531</v>
      </c>
      <c r="I4741" s="19">
        <f t="shared" si="143"/>
        <v>0</v>
      </c>
    </row>
    <row r="4742" spans="1:9" ht="15.6" hidden="1">
      <c r="A4742" s="51" t="s">
        <v>7836</v>
      </c>
      <c r="B4742" s="5">
        <v>142355</v>
      </c>
      <c r="C4742" s="38" t="s">
        <v>8412</v>
      </c>
      <c r="D4742" s="38"/>
      <c r="E4742" s="104">
        <v>1</v>
      </c>
      <c r="F4742" s="9"/>
      <c r="G4742" s="8"/>
      <c r="H4742" s="43">
        <v>531</v>
      </c>
      <c r="I4742" s="19">
        <f t="shared" si="143"/>
        <v>0</v>
      </c>
    </row>
    <row r="4743" spans="1:9" ht="15.6" hidden="1">
      <c r="A4743" s="51" t="s">
        <v>7836</v>
      </c>
      <c r="B4743" s="5">
        <v>142356</v>
      </c>
      <c r="C4743" s="38" t="s">
        <v>8413</v>
      </c>
      <c r="D4743" s="38"/>
      <c r="E4743" s="104">
        <v>1</v>
      </c>
      <c r="F4743" s="9"/>
      <c r="G4743" s="8"/>
      <c r="H4743" s="43">
        <v>531</v>
      </c>
      <c r="I4743" s="19">
        <f t="shared" si="143"/>
        <v>0</v>
      </c>
    </row>
    <row r="4744" spans="1:9" ht="15.6" hidden="1">
      <c r="A4744" s="51" t="s">
        <v>7836</v>
      </c>
      <c r="B4744" s="5">
        <v>142357</v>
      </c>
      <c r="C4744" s="38" t="s">
        <v>8414</v>
      </c>
      <c r="D4744" s="38"/>
      <c r="E4744" s="104">
        <v>1</v>
      </c>
      <c r="F4744" s="9"/>
      <c r="G4744" s="8"/>
      <c r="H4744" s="43">
        <v>531</v>
      </c>
      <c r="I4744" s="19">
        <f t="shared" si="143"/>
        <v>0</v>
      </c>
    </row>
    <row r="4745" spans="1:9" ht="15.6" hidden="1">
      <c r="A4745" s="51" t="s">
        <v>7836</v>
      </c>
      <c r="B4745" s="5">
        <v>142358</v>
      </c>
      <c r="C4745" s="38" t="s">
        <v>8415</v>
      </c>
      <c r="D4745" s="38"/>
      <c r="E4745" s="104">
        <v>1</v>
      </c>
      <c r="F4745" s="9"/>
      <c r="G4745" s="8"/>
      <c r="H4745" s="43">
        <v>531</v>
      </c>
      <c r="I4745" s="19">
        <f t="shared" si="143"/>
        <v>0</v>
      </c>
    </row>
    <row r="4746" spans="1:9" ht="15.6" hidden="1">
      <c r="A4746" s="51" t="s">
        <v>7836</v>
      </c>
      <c r="B4746" s="5">
        <v>142359</v>
      </c>
      <c r="C4746" s="38" t="s">
        <v>8416</v>
      </c>
      <c r="D4746" s="38"/>
      <c r="E4746" s="104">
        <v>1</v>
      </c>
      <c r="F4746" s="9"/>
      <c r="G4746" s="8"/>
      <c r="H4746" s="43">
        <v>531</v>
      </c>
      <c r="I4746" s="19">
        <f t="shared" si="143"/>
        <v>0</v>
      </c>
    </row>
    <row r="4747" spans="1:9" ht="15.6" hidden="1">
      <c r="A4747" s="51" t="s">
        <v>7836</v>
      </c>
      <c r="B4747" s="5">
        <v>142360</v>
      </c>
      <c r="C4747" s="38" t="s">
        <v>8417</v>
      </c>
      <c r="D4747" s="38"/>
      <c r="E4747" s="104">
        <v>1</v>
      </c>
      <c r="F4747" s="9"/>
      <c r="G4747" s="8"/>
      <c r="H4747" s="43">
        <v>611</v>
      </c>
      <c r="I4747" s="19">
        <f t="shared" si="143"/>
        <v>0</v>
      </c>
    </row>
    <row r="4748" spans="1:9" ht="15.6" hidden="1">
      <c r="A4748" s="51" t="s">
        <v>7836</v>
      </c>
      <c r="B4748" s="5">
        <v>142361</v>
      </c>
      <c r="C4748" s="38" t="s">
        <v>8418</v>
      </c>
      <c r="D4748" s="38"/>
      <c r="E4748" s="104">
        <v>1</v>
      </c>
      <c r="F4748" s="9"/>
      <c r="G4748" s="8"/>
      <c r="H4748" s="43">
        <v>611</v>
      </c>
      <c r="I4748" s="19">
        <f t="shared" si="143"/>
        <v>0</v>
      </c>
    </row>
    <row r="4749" spans="1:9" ht="15.6" hidden="1">
      <c r="A4749" s="51" t="s">
        <v>7836</v>
      </c>
      <c r="B4749" s="5">
        <v>142362</v>
      </c>
      <c r="C4749" s="38" t="s">
        <v>8419</v>
      </c>
      <c r="D4749" s="38"/>
      <c r="E4749" s="104">
        <v>1</v>
      </c>
      <c r="F4749" s="9"/>
      <c r="G4749" s="8"/>
      <c r="H4749" s="43">
        <v>611</v>
      </c>
      <c r="I4749" s="19">
        <f t="shared" si="143"/>
        <v>0</v>
      </c>
    </row>
    <row r="4750" spans="1:9" ht="15.6" hidden="1">
      <c r="A4750" s="51" t="s">
        <v>7836</v>
      </c>
      <c r="B4750" s="5">
        <v>142363</v>
      </c>
      <c r="C4750" s="38" t="s">
        <v>8420</v>
      </c>
      <c r="D4750" s="38"/>
      <c r="E4750" s="104">
        <v>1</v>
      </c>
      <c r="F4750" s="9"/>
      <c r="G4750" s="8"/>
      <c r="H4750" s="43">
        <v>611</v>
      </c>
      <c r="I4750" s="19">
        <f t="shared" si="143"/>
        <v>0</v>
      </c>
    </row>
    <row r="4751" spans="1:9" ht="15.6" hidden="1">
      <c r="A4751" s="51" t="s">
        <v>7836</v>
      </c>
      <c r="B4751" s="5">
        <v>142364</v>
      </c>
      <c r="C4751" s="38" t="s">
        <v>8421</v>
      </c>
      <c r="D4751" s="38"/>
      <c r="E4751" s="104">
        <v>1</v>
      </c>
      <c r="F4751" s="9"/>
      <c r="G4751" s="8"/>
      <c r="H4751" s="43">
        <v>611</v>
      </c>
      <c r="I4751" s="19">
        <f t="shared" si="143"/>
        <v>0</v>
      </c>
    </row>
    <row r="4752" spans="1:9" ht="15.6" hidden="1">
      <c r="A4752" s="51" t="s">
        <v>7836</v>
      </c>
      <c r="B4752" s="5">
        <v>142365</v>
      </c>
      <c r="C4752" s="38" t="s">
        <v>8422</v>
      </c>
      <c r="D4752" s="38"/>
      <c r="E4752" s="104">
        <v>1</v>
      </c>
      <c r="F4752" s="9"/>
      <c r="G4752" s="8"/>
      <c r="H4752" s="43">
        <v>611</v>
      </c>
      <c r="I4752" s="19">
        <f t="shared" si="143"/>
        <v>0</v>
      </c>
    </row>
    <row r="4753" spans="1:9" ht="15.6" hidden="1">
      <c r="A4753" s="51" t="s">
        <v>7836</v>
      </c>
      <c r="B4753" s="5">
        <v>142366</v>
      </c>
      <c r="C4753" s="38" t="s">
        <v>8423</v>
      </c>
      <c r="D4753" s="38"/>
      <c r="E4753" s="104">
        <v>1</v>
      </c>
      <c r="F4753" s="9"/>
      <c r="G4753" s="8"/>
      <c r="H4753" s="43">
        <v>611</v>
      </c>
      <c r="I4753" s="19">
        <f t="shared" si="143"/>
        <v>0</v>
      </c>
    </row>
    <row r="4754" spans="1:9" ht="15.6" hidden="1">
      <c r="A4754" s="51" t="s">
        <v>7836</v>
      </c>
      <c r="B4754" s="5">
        <v>142367</v>
      </c>
      <c r="C4754" s="38" t="s">
        <v>8424</v>
      </c>
      <c r="D4754" s="38"/>
      <c r="E4754" s="104">
        <v>1</v>
      </c>
      <c r="F4754" s="9"/>
      <c r="G4754" s="8"/>
      <c r="H4754" s="43">
        <v>611</v>
      </c>
      <c r="I4754" s="19">
        <f t="shared" si="143"/>
        <v>0</v>
      </c>
    </row>
    <row r="4755" spans="1:9" ht="15.6" hidden="1">
      <c r="A4755" s="51" t="s">
        <v>7836</v>
      </c>
      <c r="B4755" s="5">
        <v>142368</v>
      </c>
      <c r="C4755" s="38" t="s">
        <v>8425</v>
      </c>
      <c r="D4755" s="38"/>
      <c r="E4755" s="104">
        <v>1</v>
      </c>
      <c r="F4755" s="9"/>
      <c r="G4755" s="8"/>
      <c r="H4755" s="43">
        <v>611</v>
      </c>
      <c r="I4755" s="19">
        <f t="shared" si="143"/>
        <v>0</v>
      </c>
    </row>
    <row r="4756" spans="1:9" ht="15.6" hidden="1">
      <c r="A4756" s="51" t="s">
        <v>7836</v>
      </c>
      <c r="B4756" s="5">
        <v>135153</v>
      </c>
      <c r="C4756" s="38" t="s">
        <v>8426</v>
      </c>
      <c r="D4756" s="38"/>
      <c r="E4756" s="104">
        <v>1</v>
      </c>
      <c r="F4756" s="9"/>
      <c r="G4756" s="8"/>
      <c r="H4756" s="43">
        <v>611</v>
      </c>
      <c r="I4756" s="19">
        <f t="shared" si="143"/>
        <v>0</v>
      </c>
    </row>
    <row r="4757" spans="1:9" ht="15.6" hidden="1">
      <c r="A4757" s="51" t="s">
        <v>7836</v>
      </c>
      <c r="B4757" s="5">
        <v>142370</v>
      </c>
      <c r="C4757" s="38" t="s">
        <v>8427</v>
      </c>
      <c r="D4757" s="38"/>
      <c r="E4757" s="104">
        <v>1</v>
      </c>
      <c r="F4757" s="9"/>
      <c r="G4757" s="8"/>
      <c r="H4757" s="43">
        <v>611</v>
      </c>
      <c r="I4757" s="19">
        <f t="shared" si="143"/>
        <v>0</v>
      </c>
    </row>
    <row r="4758" spans="1:9" ht="15.6" hidden="1">
      <c r="A4758" s="51" t="s">
        <v>7836</v>
      </c>
      <c r="B4758" s="5">
        <v>135155</v>
      </c>
      <c r="C4758" s="38" t="s">
        <v>8428</v>
      </c>
      <c r="D4758" s="38"/>
      <c r="E4758" s="104">
        <v>1</v>
      </c>
      <c r="F4758" s="9"/>
      <c r="G4758" s="8"/>
      <c r="H4758" s="43">
        <v>611</v>
      </c>
      <c r="I4758" s="19">
        <f t="shared" si="143"/>
        <v>0</v>
      </c>
    </row>
    <row r="4759" spans="1:9" ht="15.6" hidden="1">
      <c r="A4759" s="51" t="s">
        <v>7836</v>
      </c>
      <c r="B4759" s="5">
        <v>135156</v>
      </c>
      <c r="C4759" s="38" t="s">
        <v>8429</v>
      </c>
      <c r="D4759" s="38"/>
      <c r="E4759" s="104">
        <v>1</v>
      </c>
      <c r="F4759" s="9"/>
      <c r="G4759" s="8"/>
      <c r="H4759" s="43">
        <v>611</v>
      </c>
      <c r="I4759" s="19">
        <f t="shared" si="143"/>
        <v>0</v>
      </c>
    </row>
    <row r="4760" spans="1:9" ht="15.6" hidden="1">
      <c r="A4760" s="51" t="s">
        <v>7836</v>
      </c>
      <c r="B4760" s="5">
        <v>142371</v>
      </c>
      <c r="C4760" s="38" t="s">
        <v>8430</v>
      </c>
      <c r="D4760" s="38"/>
      <c r="E4760" s="104">
        <v>1</v>
      </c>
      <c r="F4760" s="9"/>
      <c r="G4760" s="8"/>
      <c r="H4760" s="43">
        <v>611</v>
      </c>
      <c r="I4760" s="19">
        <f t="shared" si="143"/>
        <v>0</v>
      </c>
    </row>
    <row r="4761" spans="1:9" ht="15.6" hidden="1">
      <c r="A4761" s="51" t="s">
        <v>7836</v>
      </c>
      <c r="B4761" s="5">
        <v>142372</v>
      </c>
      <c r="C4761" s="38" t="s">
        <v>8431</v>
      </c>
      <c r="D4761" s="38"/>
      <c r="E4761" s="104">
        <v>1</v>
      </c>
      <c r="F4761" s="9"/>
      <c r="G4761" s="8"/>
      <c r="H4761" s="43">
        <v>611</v>
      </c>
      <c r="I4761" s="19">
        <f t="shared" si="143"/>
        <v>0</v>
      </c>
    </row>
    <row r="4762" spans="1:9" ht="15.6" hidden="1">
      <c r="A4762" s="51" t="s">
        <v>7836</v>
      </c>
      <c r="B4762" s="5">
        <v>135159</v>
      </c>
      <c r="C4762" s="38" t="s">
        <v>8432</v>
      </c>
      <c r="D4762" s="38"/>
      <c r="E4762" s="104">
        <v>1</v>
      </c>
      <c r="F4762" s="9"/>
      <c r="G4762" s="8"/>
      <c r="H4762" s="43">
        <v>611</v>
      </c>
      <c r="I4762" s="19">
        <f t="shared" si="143"/>
        <v>0</v>
      </c>
    </row>
    <row r="4763" spans="1:9" ht="15.6" hidden="1">
      <c r="A4763" s="51" t="s">
        <v>7836</v>
      </c>
      <c r="B4763" s="5">
        <v>142374</v>
      </c>
      <c r="C4763" s="38" t="s">
        <v>8433</v>
      </c>
      <c r="D4763" s="38"/>
      <c r="E4763" s="104">
        <v>1</v>
      </c>
      <c r="F4763" s="9"/>
      <c r="G4763" s="8"/>
      <c r="H4763" s="43">
        <v>611</v>
      </c>
      <c r="I4763" s="19">
        <f t="shared" si="143"/>
        <v>0</v>
      </c>
    </row>
    <row r="4764" spans="1:9" ht="15.6" hidden="1">
      <c r="A4764" s="51" t="s">
        <v>7836</v>
      </c>
      <c r="B4764" s="5">
        <v>135160</v>
      </c>
      <c r="C4764" s="38" t="s">
        <v>8434</v>
      </c>
      <c r="D4764" s="38"/>
      <c r="E4764" s="104">
        <v>1</v>
      </c>
      <c r="F4764" s="9"/>
      <c r="G4764" s="8"/>
      <c r="H4764" s="43">
        <v>611</v>
      </c>
      <c r="I4764" s="19">
        <f t="shared" si="143"/>
        <v>0</v>
      </c>
    </row>
    <row r="4765" spans="1:9" ht="15.6" hidden="1">
      <c r="A4765" s="51" t="s">
        <v>7836</v>
      </c>
      <c r="B4765" s="5">
        <v>142377</v>
      </c>
      <c r="C4765" s="38" t="s">
        <v>8435</v>
      </c>
      <c r="D4765" s="38"/>
      <c r="E4765" s="104">
        <v>1</v>
      </c>
      <c r="F4765" s="9"/>
      <c r="G4765" s="8"/>
      <c r="H4765" s="43">
        <v>611</v>
      </c>
      <c r="I4765" s="19">
        <f t="shared" si="143"/>
        <v>0</v>
      </c>
    </row>
    <row r="4766" spans="1:9" ht="15.6" hidden="1">
      <c r="A4766" s="51" t="s">
        <v>7836</v>
      </c>
      <c r="B4766" s="5">
        <v>142378</v>
      </c>
      <c r="C4766" s="38" t="s">
        <v>8436</v>
      </c>
      <c r="D4766" s="38"/>
      <c r="E4766" s="104">
        <v>1</v>
      </c>
      <c r="F4766" s="9"/>
      <c r="G4766" s="8"/>
      <c r="H4766" s="43">
        <v>611</v>
      </c>
      <c r="I4766" s="19">
        <f t="shared" si="143"/>
        <v>0</v>
      </c>
    </row>
    <row r="4767" spans="1:9" ht="15.6" hidden="1">
      <c r="A4767" s="51" t="s">
        <v>7836</v>
      </c>
      <c r="B4767" s="5">
        <v>142379</v>
      </c>
      <c r="C4767" s="38" t="s">
        <v>8437</v>
      </c>
      <c r="D4767" s="38"/>
      <c r="E4767" s="104">
        <v>1</v>
      </c>
      <c r="F4767" s="9"/>
      <c r="G4767" s="8"/>
      <c r="H4767" s="43">
        <v>611</v>
      </c>
      <c r="I4767" s="19">
        <f t="shared" si="143"/>
        <v>0</v>
      </c>
    </row>
    <row r="4768" spans="1:9" ht="15.6" hidden="1">
      <c r="A4768" s="51" t="s">
        <v>7836</v>
      </c>
      <c r="B4768" s="5">
        <v>142380</v>
      </c>
      <c r="C4768" s="38" t="s">
        <v>8438</v>
      </c>
      <c r="D4768" s="38"/>
      <c r="E4768" s="104">
        <v>1</v>
      </c>
      <c r="F4768" s="9"/>
      <c r="G4768" s="8"/>
      <c r="H4768" s="43">
        <v>611</v>
      </c>
      <c r="I4768" s="19">
        <f t="shared" si="143"/>
        <v>0</v>
      </c>
    </row>
    <row r="4769" spans="1:9" ht="15.6" hidden="1">
      <c r="A4769" s="51" t="s">
        <v>7836</v>
      </c>
      <c r="B4769" s="5">
        <v>142381</v>
      </c>
      <c r="C4769" s="38" t="s">
        <v>8439</v>
      </c>
      <c r="D4769" s="38"/>
      <c r="E4769" s="104">
        <v>1</v>
      </c>
      <c r="F4769" s="9"/>
      <c r="G4769" s="8"/>
      <c r="H4769" s="43">
        <v>611</v>
      </c>
      <c r="I4769" s="19">
        <f t="shared" si="143"/>
        <v>0</v>
      </c>
    </row>
    <row r="4770" spans="1:9" ht="15.6" hidden="1">
      <c r="A4770" s="51" t="s">
        <v>7836</v>
      </c>
      <c r="B4770" s="5">
        <v>142382</v>
      </c>
      <c r="C4770" s="38" t="s">
        <v>8440</v>
      </c>
      <c r="D4770" s="38"/>
      <c r="E4770" s="104">
        <v>1</v>
      </c>
      <c r="F4770" s="9"/>
      <c r="G4770" s="8"/>
      <c r="H4770" s="43">
        <v>611</v>
      </c>
      <c r="I4770" s="19">
        <f t="shared" si="143"/>
        <v>0</v>
      </c>
    </row>
    <row r="4771" spans="1:9" ht="15.6" hidden="1">
      <c r="A4771" s="51" t="s">
        <v>7836</v>
      </c>
      <c r="B4771" s="5">
        <v>142383</v>
      </c>
      <c r="C4771" s="38" t="s">
        <v>8441</v>
      </c>
      <c r="D4771" s="38"/>
      <c r="E4771" s="104">
        <v>1</v>
      </c>
      <c r="F4771" s="9"/>
      <c r="G4771" s="8"/>
      <c r="H4771" s="43">
        <v>611</v>
      </c>
      <c r="I4771" s="19">
        <f t="shared" si="143"/>
        <v>0</v>
      </c>
    </row>
    <row r="4772" spans="1:9" ht="15.6" hidden="1">
      <c r="A4772" s="51" t="s">
        <v>7836</v>
      </c>
      <c r="B4772" s="5">
        <v>142384</v>
      </c>
      <c r="C4772" s="38" t="s">
        <v>8442</v>
      </c>
      <c r="D4772" s="38"/>
      <c r="E4772" s="104">
        <v>1</v>
      </c>
      <c r="F4772" s="9"/>
      <c r="G4772" s="8"/>
      <c r="H4772" s="43">
        <v>611</v>
      </c>
      <c r="I4772" s="19">
        <f t="shared" si="143"/>
        <v>0</v>
      </c>
    </row>
    <row r="4773" spans="1:9" ht="15.6" hidden="1">
      <c r="A4773" s="51" t="s">
        <v>7836</v>
      </c>
      <c r="B4773" s="5">
        <v>142385</v>
      </c>
      <c r="C4773" s="38" t="s">
        <v>8443</v>
      </c>
      <c r="D4773" s="38"/>
      <c r="E4773" s="104">
        <v>1</v>
      </c>
      <c r="F4773" s="9"/>
      <c r="G4773" s="8"/>
      <c r="H4773" s="43">
        <v>611</v>
      </c>
      <c r="I4773" s="19">
        <f t="shared" si="143"/>
        <v>0</v>
      </c>
    </row>
    <row r="4774" spans="1:9" ht="15.6" hidden="1">
      <c r="A4774" s="51" t="s">
        <v>7836</v>
      </c>
      <c r="B4774" s="5">
        <v>142386</v>
      </c>
      <c r="C4774" s="38" t="s">
        <v>8444</v>
      </c>
      <c r="D4774" s="38"/>
      <c r="E4774" s="104">
        <v>1</v>
      </c>
      <c r="F4774" s="9"/>
      <c r="G4774" s="8"/>
      <c r="H4774" s="43">
        <v>611</v>
      </c>
      <c r="I4774" s="19">
        <f t="shared" si="143"/>
        <v>0</v>
      </c>
    </row>
    <row r="4775" spans="1:9" ht="15.6" hidden="1">
      <c r="A4775" s="51" t="s">
        <v>7836</v>
      </c>
      <c r="B4775" s="5">
        <v>142387</v>
      </c>
      <c r="C4775" s="38" t="s">
        <v>8445</v>
      </c>
      <c r="D4775" s="38"/>
      <c r="E4775" s="104">
        <v>1</v>
      </c>
      <c r="F4775" s="9"/>
      <c r="G4775" s="8"/>
      <c r="H4775" s="43">
        <v>611</v>
      </c>
      <c r="I4775" s="19">
        <f t="shared" si="143"/>
        <v>0</v>
      </c>
    </row>
    <row r="4776" spans="1:9" ht="15.6" hidden="1">
      <c r="A4776" s="51" t="s">
        <v>7836</v>
      </c>
      <c r="B4776" s="5">
        <v>142388</v>
      </c>
      <c r="C4776" s="38" t="s">
        <v>8446</v>
      </c>
      <c r="D4776" s="38"/>
      <c r="E4776" s="104">
        <v>1</v>
      </c>
      <c r="F4776" s="9"/>
      <c r="G4776" s="8"/>
      <c r="H4776" s="43">
        <v>611</v>
      </c>
      <c r="I4776" s="19">
        <f t="shared" si="143"/>
        <v>0</v>
      </c>
    </row>
    <row r="4777" spans="1:9" ht="15.6" hidden="1">
      <c r="A4777" s="51" t="s">
        <v>7836</v>
      </c>
      <c r="B4777" s="5">
        <v>142389</v>
      </c>
      <c r="C4777" s="38" t="s">
        <v>8447</v>
      </c>
      <c r="D4777" s="38"/>
      <c r="E4777" s="104">
        <v>1</v>
      </c>
      <c r="F4777" s="9"/>
      <c r="G4777" s="8"/>
      <c r="H4777" s="43">
        <v>611</v>
      </c>
      <c r="I4777" s="19">
        <f t="shared" si="143"/>
        <v>0</v>
      </c>
    </row>
    <row r="4778" spans="1:9" ht="15.6" hidden="1">
      <c r="A4778" s="51" t="s">
        <v>7836</v>
      </c>
      <c r="B4778" s="5">
        <v>142390</v>
      </c>
      <c r="C4778" s="38" t="s">
        <v>8448</v>
      </c>
      <c r="D4778" s="38"/>
      <c r="E4778" s="104">
        <v>1</v>
      </c>
      <c r="F4778" s="9"/>
      <c r="G4778" s="8"/>
      <c r="H4778" s="43">
        <v>611</v>
      </c>
      <c r="I4778" s="19">
        <f t="shared" si="143"/>
        <v>0</v>
      </c>
    </row>
    <row r="4779" spans="1:9" ht="15.6" hidden="1">
      <c r="A4779" s="51" t="s">
        <v>7836</v>
      </c>
      <c r="B4779" s="5">
        <v>142391</v>
      </c>
      <c r="C4779" s="38" t="s">
        <v>8449</v>
      </c>
      <c r="D4779" s="38"/>
      <c r="E4779" s="104">
        <v>1</v>
      </c>
      <c r="F4779" s="9"/>
      <c r="G4779" s="8"/>
      <c r="H4779" s="43">
        <v>611</v>
      </c>
      <c r="I4779" s="19">
        <f t="shared" si="143"/>
        <v>0</v>
      </c>
    </row>
    <row r="4780" spans="1:9" ht="15.6" hidden="1">
      <c r="A4780" s="51" t="s">
        <v>7836</v>
      </c>
      <c r="B4780" s="5">
        <v>142392</v>
      </c>
      <c r="C4780" s="38" t="s">
        <v>8450</v>
      </c>
      <c r="D4780" s="38"/>
      <c r="E4780" s="104">
        <v>1</v>
      </c>
      <c r="F4780" s="9"/>
      <c r="G4780" s="8"/>
      <c r="H4780" s="43">
        <v>611</v>
      </c>
      <c r="I4780" s="19">
        <f t="shared" si="143"/>
        <v>0</v>
      </c>
    </row>
    <row r="4781" spans="1:9" ht="15.6" hidden="1">
      <c r="A4781" s="51" t="s">
        <v>7836</v>
      </c>
      <c r="B4781" s="5">
        <v>142393</v>
      </c>
      <c r="C4781" s="38" t="s">
        <v>8451</v>
      </c>
      <c r="D4781" s="38"/>
      <c r="E4781" s="104">
        <v>1</v>
      </c>
      <c r="F4781" s="9"/>
      <c r="G4781" s="8"/>
      <c r="H4781" s="43">
        <v>611</v>
      </c>
      <c r="I4781" s="19">
        <f t="shared" si="143"/>
        <v>0</v>
      </c>
    </row>
    <row r="4782" spans="1:9" ht="15.6" hidden="1">
      <c r="A4782" s="51" t="s">
        <v>7836</v>
      </c>
      <c r="B4782" s="5">
        <v>142394</v>
      </c>
      <c r="C4782" s="38" t="s">
        <v>8452</v>
      </c>
      <c r="D4782" s="38"/>
      <c r="E4782" s="104">
        <v>1</v>
      </c>
      <c r="F4782" s="9"/>
      <c r="G4782" s="8"/>
      <c r="H4782" s="43">
        <v>611</v>
      </c>
      <c r="I4782" s="19">
        <f t="shared" si="143"/>
        <v>0</v>
      </c>
    </row>
    <row r="4783" spans="1:9" ht="15.6" hidden="1">
      <c r="A4783" s="51" t="s">
        <v>7836</v>
      </c>
      <c r="B4783" s="5">
        <v>142395</v>
      </c>
      <c r="C4783" s="38" t="s">
        <v>8453</v>
      </c>
      <c r="D4783" s="38"/>
      <c r="E4783" s="104">
        <v>1</v>
      </c>
      <c r="F4783" s="9"/>
      <c r="G4783" s="8"/>
      <c r="H4783" s="43">
        <v>611</v>
      </c>
      <c r="I4783" s="19">
        <f t="shared" si="143"/>
        <v>0</v>
      </c>
    </row>
    <row r="4784" spans="1:9" ht="15.6" hidden="1">
      <c r="A4784" s="51" t="s">
        <v>7836</v>
      </c>
      <c r="B4784" s="5">
        <v>142396</v>
      </c>
      <c r="C4784" s="38" t="s">
        <v>8454</v>
      </c>
      <c r="D4784" s="38"/>
      <c r="E4784" s="104">
        <v>1</v>
      </c>
      <c r="F4784" s="9"/>
      <c r="G4784" s="8"/>
      <c r="H4784" s="43">
        <v>611</v>
      </c>
      <c r="I4784" s="19">
        <f t="shared" si="143"/>
        <v>0</v>
      </c>
    </row>
    <row r="4785" spans="1:9" ht="15.6" hidden="1">
      <c r="A4785" s="51" t="s">
        <v>7836</v>
      </c>
      <c r="B4785" s="5">
        <v>140955</v>
      </c>
      <c r="C4785" s="38" t="s">
        <v>8455</v>
      </c>
      <c r="D4785" s="38"/>
      <c r="E4785" s="104">
        <v>1</v>
      </c>
      <c r="F4785" s="9"/>
      <c r="G4785" s="8"/>
      <c r="H4785" s="43">
        <v>611</v>
      </c>
      <c r="I4785" s="19">
        <f t="shared" si="143"/>
        <v>0</v>
      </c>
    </row>
    <row r="4786" spans="1:9" ht="15.6" hidden="1">
      <c r="A4786" s="51" t="s">
        <v>7836</v>
      </c>
      <c r="B4786" s="5">
        <v>142398</v>
      </c>
      <c r="C4786" s="38" t="s">
        <v>8456</v>
      </c>
      <c r="D4786" s="38"/>
      <c r="E4786" s="104">
        <v>1</v>
      </c>
      <c r="F4786" s="9"/>
      <c r="G4786" s="8"/>
      <c r="H4786" s="43">
        <v>611</v>
      </c>
      <c r="I4786" s="19">
        <f t="shared" si="143"/>
        <v>0</v>
      </c>
    </row>
    <row r="4787" spans="1:9" ht="15.6" hidden="1">
      <c r="A4787" s="51" t="s">
        <v>7836</v>
      </c>
      <c r="B4787" s="5">
        <v>135154</v>
      </c>
      <c r="C4787" s="38" t="s">
        <v>8457</v>
      </c>
      <c r="D4787" s="38"/>
      <c r="E4787" s="104">
        <v>1</v>
      </c>
      <c r="F4787" s="9"/>
      <c r="G4787" s="8"/>
      <c r="H4787" s="43">
        <v>611</v>
      </c>
      <c r="I4787" s="19">
        <f t="shared" si="143"/>
        <v>0</v>
      </c>
    </row>
    <row r="4788" spans="1:9" ht="15.6" hidden="1">
      <c r="A4788" s="51" t="s">
        <v>7836</v>
      </c>
      <c r="B4788" s="5">
        <v>142399</v>
      </c>
      <c r="C4788" s="38" t="s">
        <v>8458</v>
      </c>
      <c r="D4788" s="38"/>
      <c r="E4788" s="104">
        <v>1</v>
      </c>
      <c r="F4788" s="9"/>
      <c r="G4788" s="8"/>
      <c r="H4788" s="43">
        <v>639</v>
      </c>
      <c r="I4788" s="19">
        <f t="shared" si="143"/>
        <v>0</v>
      </c>
    </row>
    <row r="4789" spans="1:9" ht="15.6" hidden="1">
      <c r="A4789" s="51" t="s">
        <v>7836</v>
      </c>
      <c r="B4789" s="5">
        <v>142400</v>
      </c>
      <c r="C4789" s="38" t="s">
        <v>8459</v>
      </c>
      <c r="D4789" s="38"/>
      <c r="E4789" s="104">
        <v>1</v>
      </c>
      <c r="F4789" s="9"/>
      <c r="G4789" s="8"/>
      <c r="H4789" s="43">
        <v>639</v>
      </c>
      <c r="I4789" s="19">
        <f t="shared" si="143"/>
        <v>0</v>
      </c>
    </row>
    <row r="4790" spans="1:9" ht="15.6" hidden="1">
      <c r="A4790" s="51" t="s">
        <v>7836</v>
      </c>
      <c r="B4790" s="5">
        <v>142401</v>
      </c>
      <c r="C4790" s="38" t="s">
        <v>8460</v>
      </c>
      <c r="D4790" s="38"/>
      <c r="E4790" s="104">
        <v>1</v>
      </c>
      <c r="F4790" s="9"/>
      <c r="G4790" s="8"/>
      <c r="H4790" s="43">
        <v>639</v>
      </c>
      <c r="I4790" s="19">
        <f t="shared" si="143"/>
        <v>0</v>
      </c>
    </row>
    <row r="4791" spans="1:9" ht="15.6" hidden="1">
      <c r="A4791" s="51" t="s">
        <v>7836</v>
      </c>
      <c r="B4791" s="5">
        <v>142402</v>
      </c>
      <c r="C4791" s="38" t="s">
        <v>8461</v>
      </c>
      <c r="D4791" s="38"/>
      <c r="E4791" s="104">
        <v>1</v>
      </c>
      <c r="F4791" s="9"/>
      <c r="G4791" s="8"/>
      <c r="H4791" s="43">
        <v>639</v>
      </c>
      <c r="I4791" s="19">
        <f t="shared" si="143"/>
        <v>0</v>
      </c>
    </row>
    <row r="4792" spans="1:9" ht="15.6" hidden="1">
      <c r="A4792" s="51" t="s">
        <v>7836</v>
      </c>
      <c r="B4792" s="5">
        <v>142403</v>
      </c>
      <c r="C4792" s="38" t="s">
        <v>8462</v>
      </c>
      <c r="D4792" s="38"/>
      <c r="E4792" s="104">
        <v>1</v>
      </c>
      <c r="F4792" s="9"/>
      <c r="G4792" s="8"/>
      <c r="H4792" s="43">
        <v>639</v>
      </c>
      <c r="I4792" s="19">
        <f t="shared" si="143"/>
        <v>0</v>
      </c>
    </row>
    <row r="4793" spans="1:9" ht="15.6" hidden="1">
      <c r="A4793" s="51" t="s">
        <v>7836</v>
      </c>
      <c r="B4793" s="5">
        <v>142404</v>
      </c>
      <c r="C4793" s="38" t="s">
        <v>8463</v>
      </c>
      <c r="D4793" s="38"/>
      <c r="E4793" s="104">
        <v>1</v>
      </c>
      <c r="F4793" s="9"/>
      <c r="G4793" s="8"/>
      <c r="H4793" s="43">
        <v>639</v>
      </c>
      <c r="I4793" s="19">
        <f t="shared" si="143"/>
        <v>0</v>
      </c>
    </row>
    <row r="4794" spans="1:9" ht="15.6" hidden="1">
      <c r="A4794" s="51" t="s">
        <v>7836</v>
      </c>
      <c r="B4794" s="5">
        <v>142405</v>
      </c>
      <c r="C4794" s="38" t="s">
        <v>8464</v>
      </c>
      <c r="D4794" s="38"/>
      <c r="E4794" s="104">
        <v>1</v>
      </c>
      <c r="F4794" s="9"/>
      <c r="G4794" s="8"/>
      <c r="H4794" s="43">
        <v>639</v>
      </c>
      <c r="I4794" s="19">
        <f t="shared" si="143"/>
        <v>0</v>
      </c>
    </row>
    <row r="4795" spans="1:9" ht="15.6" hidden="1">
      <c r="A4795" s="51" t="s">
        <v>7836</v>
      </c>
      <c r="B4795" s="5">
        <v>142406</v>
      </c>
      <c r="C4795" s="38" t="s">
        <v>8465</v>
      </c>
      <c r="D4795" s="38"/>
      <c r="E4795" s="104">
        <v>1</v>
      </c>
      <c r="F4795" s="9"/>
      <c r="G4795" s="8"/>
      <c r="H4795" s="43">
        <v>639</v>
      </c>
      <c r="I4795" s="19">
        <f t="shared" si="143"/>
        <v>0</v>
      </c>
    </row>
    <row r="4796" spans="1:9" ht="15.6" hidden="1">
      <c r="A4796" s="51" t="s">
        <v>7836</v>
      </c>
      <c r="B4796" s="5">
        <v>142407</v>
      </c>
      <c r="C4796" s="38" t="s">
        <v>8466</v>
      </c>
      <c r="D4796" s="38"/>
      <c r="E4796" s="104">
        <v>1</v>
      </c>
      <c r="F4796" s="9"/>
      <c r="G4796" s="8"/>
      <c r="H4796" s="43">
        <v>639</v>
      </c>
      <c r="I4796" s="19">
        <f t="shared" si="143"/>
        <v>0</v>
      </c>
    </row>
    <row r="4797" spans="1:9" ht="15.6" hidden="1">
      <c r="A4797" s="51" t="s">
        <v>7836</v>
      </c>
      <c r="B4797" s="5">
        <v>109790</v>
      </c>
      <c r="C4797" s="38" t="s">
        <v>8467</v>
      </c>
      <c r="D4797" s="38"/>
      <c r="E4797" s="104">
        <v>1</v>
      </c>
      <c r="F4797" s="9"/>
      <c r="G4797" s="8"/>
      <c r="H4797" s="43">
        <v>567.9</v>
      </c>
      <c r="I4797" s="19">
        <f t="shared" si="143"/>
        <v>0</v>
      </c>
    </row>
    <row r="4798" spans="1:9" ht="15.6" hidden="1">
      <c r="A4798" s="51" t="s">
        <v>7836</v>
      </c>
      <c r="B4798" s="5">
        <v>109791</v>
      </c>
      <c r="C4798" s="38" t="s">
        <v>8468</v>
      </c>
      <c r="D4798" s="38"/>
      <c r="E4798" s="104">
        <v>1</v>
      </c>
      <c r="F4798" s="9"/>
      <c r="G4798" s="8"/>
      <c r="H4798" s="43">
        <v>448.61</v>
      </c>
      <c r="I4798" s="19">
        <f t="shared" si="143"/>
        <v>0</v>
      </c>
    </row>
    <row r="4799" spans="1:9" ht="15.6" hidden="1">
      <c r="A4799" s="51" t="s">
        <v>7836</v>
      </c>
      <c r="B4799" s="5">
        <v>109792</v>
      </c>
      <c r="C4799" s="38" t="s">
        <v>8469</v>
      </c>
      <c r="D4799" s="38"/>
      <c r="E4799" s="104">
        <v>1</v>
      </c>
      <c r="F4799" s="9"/>
      <c r="G4799" s="8"/>
      <c r="H4799" s="43">
        <v>382.98</v>
      </c>
      <c r="I4799" s="19">
        <f t="shared" si="143"/>
        <v>0</v>
      </c>
    </row>
    <row r="4800" spans="1:9" ht="15.6" hidden="1">
      <c r="A4800" s="51" t="s">
        <v>7836</v>
      </c>
      <c r="B4800" s="5">
        <v>109793</v>
      </c>
      <c r="C4800" s="38" t="s">
        <v>8470</v>
      </c>
      <c r="D4800" s="38"/>
      <c r="E4800" s="104">
        <v>1</v>
      </c>
      <c r="F4800" s="9"/>
      <c r="G4800" s="8"/>
      <c r="H4800" s="43">
        <v>577.48</v>
      </c>
      <c r="I4800" s="19">
        <f t="shared" si="143"/>
        <v>0</v>
      </c>
    </row>
    <row r="4801" spans="1:9" ht="15.6" hidden="1">
      <c r="A4801" s="51" t="s">
        <v>7836</v>
      </c>
      <c r="B4801" s="5">
        <v>109794</v>
      </c>
      <c r="C4801" s="38" t="s">
        <v>8471</v>
      </c>
      <c r="D4801" s="38"/>
      <c r="E4801" s="104">
        <v>1</v>
      </c>
      <c r="F4801" s="9"/>
      <c r="G4801" s="8"/>
      <c r="H4801" s="43">
        <v>453.51</v>
      </c>
      <c r="I4801" s="19">
        <f t="shared" si="143"/>
        <v>0</v>
      </c>
    </row>
    <row r="4802" spans="1:9" ht="15.6" hidden="1">
      <c r="A4802" s="51" t="s">
        <v>7836</v>
      </c>
      <c r="B4802" s="5">
        <v>109795</v>
      </c>
      <c r="C4802" s="38" t="s">
        <v>8472</v>
      </c>
      <c r="D4802" s="38"/>
      <c r="E4802" s="104">
        <v>1</v>
      </c>
      <c r="F4802" s="9"/>
      <c r="G4802" s="8"/>
      <c r="H4802" s="43">
        <v>229.2</v>
      </c>
      <c r="I4802" s="19">
        <f t="shared" si="143"/>
        <v>0</v>
      </c>
    </row>
    <row r="4803" spans="1:9" ht="15.6" hidden="1">
      <c r="A4803" s="51" t="s">
        <v>7836</v>
      </c>
      <c r="B4803" s="5">
        <v>109796</v>
      </c>
      <c r="C4803" s="38" t="s">
        <v>8473</v>
      </c>
      <c r="D4803" s="38"/>
      <c r="E4803" s="104">
        <v>1</v>
      </c>
      <c r="F4803" s="9"/>
      <c r="G4803" s="8"/>
      <c r="H4803" s="43">
        <v>186.42</v>
      </c>
      <c r="I4803" s="19">
        <f t="shared" si="143"/>
        <v>0</v>
      </c>
    </row>
    <row r="4804" spans="1:9" ht="15.6" hidden="1">
      <c r="A4804" s="51" t="s">
        <v>7836</v>
      </c>
      <c r="B4804" s="5">
        <v>109797</v>
      </c>
      <c r="C4804" s="38" t="s">
        <v>8474</v>
      </c>
      <c r="D4804" s="38"/>
      <c r="E4804" s="104">
        <v>1</v>
      </c>
      <c r="F4804" s="9"/>
      <c r="G4804" s="8"/>
      <c r="H4804" s="43">
        <v>198.47</v>
      </c>
      <c r="I4804" s="19">
        <f t="shared" si="143"/>
        <v>0</v>
      </c>
    </row>
    <row r="4805" spans="1:9" ht="15.6" hidden="1">
      <c r="A4805" s="51" t="s">
        <v>7836</v>
      </c>
      <c r="B4805" s="5">
        <v>109798</v>
      </c>
      <c r="C4805" s="38" t="s">
        <v>8475</v>
      </c>
      <c r="D4805" s="38"/>
      <c r="E4805" s="104">
        <v>1</v>
      </c>
      <c r="F4805" s="9"/>
      <c r="G4805" s="8"/>
      <c r="H4805" s="43">
        <v>204.43</v>
      </c>
      <c r="I4805" s="19">
        <f t="shared" si="143"/>
        <v>0</v>
      </c>
    </row>
    <row r="4806" spans="1:9" ht="15.6" hidden="1">
      <c r="A4806" s="51" t="s">
        <v>7836</v>
      </c>
      <c r="B4806" s="5">
        <v>109799</v>
      </c>
      <c r="C4806" s="38" t="s">
        <v>8476</v>
      </c>
      <c r="D4806" s="38"/>
      <c r="E4806" s="104">
        <v>1</v>
      </c>
      <c r="F4806" s="9"/>
      <c r="G4806" s="8"/>
      <c r="H4806" s="43">
        <v>128.78</v>
      </c>
      <c r="I4806" s="19">
        <f t="shared" si="143"/>
        <v>0</v>
      </c>
    </row>
    <row r="4807" spans="1:9" ht="15.6" hidden="1">
      <c r="A4807" s="51" t="s">
        <v>7836</v>
      </c>
      <c r="B4807" s="5">
        <v>109801</v>
      </c>
      <c r="C4807" s="38" t="s">
        <v>8477</v>
      </c>
      <c r="D4807" s="38"/>
      <c r="E4807" s="104">
        <v>1</v>
      </c>
      <c r="F4807" s="9"/>
      <c r="G4807" s="8"/>
      <c r="H4807" s="43">
        <v>116.42</v>
      </c>
      <c r="I4807" s="19">
        <f t="shared" si="143"/>
        <v>0</v>
      </c>
    </row>
    <row r="4808" spans="1:9" ht="15.6" hidden="1">
      <c r="A4808" s="51" t="s">
        <v>7836</v>
      </c>
      <c r="B4808" s="5">
        <v>109802</v>
      </c>
      <c r="C4808" s="38" t="s">
        <v>8478</v>
      </c>
      <c r="D4808" s="38"/>
      <c r="E4808" s="104">
        <v>1</v>
      </c>
      <c r="F4808" s="9"/>
      <c r="G4808" s="8"/>
      <c r="H4808" s="43">
        <v>145.26</v>
      </c>
      <c r="I4808" s="19">
        <f t="shared" si="143"/>
        <v>0</v>
      </c>
    </row>
    <row r="4809" spans="1:9" ht="15.6" hidden="1">
      <c r="A4809" s="51" t="s">
        <v>7836</v>
      </c>
      <c r="B4809" s="5">
        <v>109803</v>
      </c>
      <c r="C4809" s="38" t="s">
        <v>8479</v>
      </c>
      <c r="D4809" s="38"/>
      <c r="E4809" s="104">
        <v>1</v>
      </c>
      <c r="F4809" s="9"/>
      <c r="G4809" s="8"/>
      <c r="H4809" s="43">
        <v>144.24</v>
      </c>
      <c r="I4809" s="19">
        <f t="shared" si="143"/>
        <v>0</v>
      </c>
    </row>
    <row r="4810" spans="1:9" ht="15.6" hidden="1">
      <c r="A4810" s="51" t="s">
        <v>7836</v>
      </c>
      <c r="B4810" s="5">
        <v>131631</v>
      </c>
      <c r="C4810" s="38" t="s">
        <v>8480</v>
      </c>
      <c r="D4810" s="38"/>
      <c r="E4810" s="104">
        <v>1</v>
      </c>
      <c r="F4810" s="9"/>
      <c r="G4810" s="8"/>
      <c r="H4810" s="43">
        <v>149.38999999999999</v>
      </c>
      <c r="I4810" s="19">
        <f t="shared" si="143"/>
        <v>0</v>
      </c>
    </row>
    <row r="4811" spans="1:9" ht="15.6" hidden="1">
      <c r="A4811" s="51" t="s">
        <v>7836</v>
      </c>
      <c r="B4811" s="5">
        <v>131632</v>
      </c>
      <c r="C4811" s="38" t="s">
        <v>8481</v>
      </c>
      <c r="D4811" s="38"/>
      <c r="E4811" s="104">
        <v>1</v>
      </c>
      <c r="F4811" s="9"/>
      <c r="G4811" s="8"/>
      <c r="H4811" s="43">
        <v>164.47</v>
      </c>
      <c r="I4811" s="19">
        <f t="shared" si="143"/>
        <v>0</v>
      </c>
    </row>
    <row r="4812" spans="1:9" ht="15.6" hidden="1">
      <c r="A4812" s="51" t="s">
        <v>7836</v>
      </c>
      <c r="B4812" s="5">
        <v>140989</v>
      </c>
      <c r="C4812" s="38" t="s">
        <v>8482</v>
      </c>
      <c r="D4812" s="38"/>
      <c r="E4812" s="104">
        <v>1</v>
      </c>
      <c r="F4812" s="9"/>
      <c r="G4812" s="8"/>
      <c r="H4812" s="43">
        <v>160.12</v>
      </c>
      <c r="I4812" s="19">
        <f t="shared" si="143"/>
        <v>0</v>
      </c>
    </row>
    <row r="4813" spans="1:9" ht="15.6" hidden="1">
      <c r="A4813" s="51" t="s">
        <v>7836</v>
      </c>
      <c r="B4813" s="5">
        <v>109800</v>
      </c>
      <c r="C4813" s="38" t="s">
        <v>8483</v>
      </c>
      <c r="D4813" s="38"/>
      <c r="E4813" s="104">
        <v>1</v>
      </c>
      <c r="F4813" s="9"/>
      <c r="G4813" s="8"/>
      <c r="H4813" s="43">
        <v>178.22</v>
      </c>
      <c r="I4813" s="19">
        <f t="shared" si="143"/>
        <v>0</v>
      </c>
    </row>
    <row r="4814" spans="1:9" ht="15.6" hidden="1">
      <c r="A4814" s="51" t="s">
        <v>7836</v>
      </c>
      <c r="B4814" s="5">
        <v>111152</v>
      </c>
      <c r="C4814" s="38" t="s">
        <v>8484</v>
      </c>
      <c r="D4814" s="38"/>
      <c r="E4814" s="104">
        <v>1</v>
      </c>
      <c r="F4814" s="9"/>
      <c r="G4814" s="8"/>
      <c r="H4814" s="43">
        <v>71.66</v>
      </c>
      <c r="I4814" s="19">
        <f t="shared" si="143"/>
        <v>0</v>
      </c>
    </row>
    <row r="4815" spans="1:9" ht="15.6" hidden="1">
      <c r="A4815" s="51" t="s">
        <v>7836</v>
      </c>
      <c r="B4815" s="5">
        <v>111154</v>
      </c>
      <c r="C4815" s="38" t="s">
        <v>8485</v>
      </c>
      <c r="D4815" s="38"/>
      <c r="E4815" s="104">
        <v>1</v>
      </c>
      <c r="F4815" s="9"/>
      <c r="G4815" s="8"/>
      <c r="H4815" s="43">
        <v>37.6</v>
      </c>
      <c r="I4815" s="19">
        <f t="shared" si="143"/>
        <v>0</v>
      </c>
    </row>
    <row r="4816" spans="1:9" ht="15.6" hidden="1">
      <c r="A4816" s="51" t="s">
        <v>7836</v>
      </c>
      <c r="B4816" s="5">
        <v>111155</v>
      </c>
      <c r="C4816" s="38" t="s">
        <v>8486</v>
      </c>
      <c r="D4816" s="38"/>
      <c r="E4816" s="104">
        <v>1</v>
      </c>
      <c r="F4816" s="9"/>
      <c r="G4816" s="8"/>
      <c r="H4816" s="43">
        <v>31.79</v>
      </c>
      <c r="I4816" s="19">
        <f t="shared" si="143"/>
        <v>0</v>
      </c>
    </row>
    <row r="4817" spans="1:9" ht="15.6" hidden="1">
      <c r="A4817" s="51" t="s">
        <v>7836</v>
      </c>
      <c r="B4817" s="5">
        <v>111185</v>
      </c>
      <c r="C4817" s="38" t="s">
        <v>8487</v>
      </c>
      <c r="D4817" s="38"/>
      <c r="E4817" s="104">
        <v>1</v>
      </c>
      <c r="F4817" s="9"/>
      <c r="G4817" s="8"/>
      <c r="H4817" s="43">
        <v>18.97</v>
      </c>
      <c r="I4817" s="19">
        <f t="shared" si="143"/>
        <v>0</v>
      </c>
    </row>
    <row r="4818" spans="1:9" ht="15.6" hidden="1">
      <c r="A4818" s="51" t="s">
        <v>7836</v>
      </c>
      <c r="B4818" s="5">
        <v>111186</v>
      </c>
      <c r="C4818" s="38" t="s">
        <v>8488</v>
      </c>
      <c r="D4818" s="38"/>
      <c r="E4818" s="104">
        <v>1</v>
      </c>
      <c r="F4818" s="9"/>
      <c r="G4818" s="8"/>
      <c r="H4818" s="43">
        <v>28.34</v>
      </c>
      <c r="I4818" s="19">
        <f t="shared" si="143"/>
        <v>0</v>
      </c>
    </row>
    <row r="4819" spans="1:9" ht="15.6" hidden="1">
      <c r="A4819" s="51" t="s">
        <v>7836</v>
      </c>
      <c r="B4819" s="5">
        <v>111187</v>
      </c>
      <c r="C4819" s="38" t="s">
        <v>8489</v>
      </c>
      <c r="D4819" s="38"/>
      <c r="E4819" s="104">
        <v>1</v>
      </c>
      <c r="F4819" s="9"/>
      <c r="G4819" s="8"/>
      <c r="H4819" s="43">
        <v>31.79</v>
      </c>
      <c r="I4819" s="19">
        <f t="shared" si="143"/>
        <v>0</v>
      </c>
    </row>
    <row r="4820" spans="1:9" ht="15.6" hidden="1">
      <c r="A4820" s="51" t="s">
        <v>7836</v>
      </c>
      <c r="B4820" s="5">
        <v>111158</v>
      </c>
      <c r="C4820" s="38" t="s">
        <v>8490</v>
      </c>
      <c r="D4820" s="38"/>
      <c r="E4820" s="104">
        <v>1</v>
      </c>
      <c r="F4820" s="9"/>
      <c r="G4820" s="8"/>
      <c r="H4820" s="43">
        <v>8.8699999999999992</v>
      </c>
      <c r="I4820" s="19">
        <f t="shared" si="143"/>
        <v>0</v>
      </c>
    </row>
    <row r="4821" spans="1:9" ht="15.6" hidden="1">
      <c r="A4821" s="51" t="s">
        <v>7836</v>
      </c>
      <c r="B4821" s="5">
        <v>111160</v>
      </c>
      <c r="C4821" s="38" t="s">
        <v>8491</v>
      </c>
      <c r="D4821" s="38"/>
      <c r="E4821" s="104">
        <v>1</v>
      </c>
      <c r="F4821" s="9"/>
      <c r="G4821" s="8"/>
      <c r="H4821" s="43">
        <v>8.8699999999999992</v>
      </c>
      <c r="I4821" s="19">
        <f t="shared" si="143"/>
        <v>0</v>
      </c>
    </row>
    <row r="4822" spans="1:9" ht="15.6" hidden="1">
      <c r="A4822" s="51" t="s">
        <v>7836</v>
      </c>
      <c r="B4822" s="5">
        <v>111165</v>
      </c>
      <c r="C4822" s="38" t="s">
        <v>8492</v>
      </c>
      <c r="D4822" s="38"/>
      <c r="E4822" s="104">
        <v>1</v>
      </c>
      <c r="F4822" s="9"/>
      <c r="G4822" s="8"/>
      <c r="H4822" s="43">
        <v>8.69</v>
      </c>
      <c r="I4822" s="19">
        <f t="shared" si="143"/>
        <v>0</v>
      </c>
    </row>
    <row r="4823" spans="1:9" ht="15.6" hidden="1">
      <c r="A4823" s="51" t="s">
        <v>7836</v>
      </c>
      <c r="B4823" s="5">
        <v>111166</v>
      </c>
      <c r="C4823" s="38" t="s">
        <v>8493</v>
      </c>
      <c r="D4823" s="38"/>
      <c r="E4823" s="104">
        <v>1</v>
      </c>
      <c r="F4823" s="9"/>
      <c r="G4823" s="8"/>
      <c r="H4823" s="43">
        <v>12.42</v>
      </c>
      <c r="I4823" s="19">
        <f t="shared" si="143"/>
        <v>0</v>
      </c>
    </row>
    <row r="4824" spans="1:9" ht="15.6" hidden="1">
      <c r="A4824" s="51" t="s">
        <v>7836</v>
      </c>
      <c r="B4824" s="5">
        <v>111169</v>
      </c>
      <c r="C4824" s="38" t="s">
        <v>8494</v>
      </c>
      <c r="D4824" s="38"/>
      <c r="E4824" s="104">
        <v>1</v>
      </c>
      <c r="F4824" s="9"/>
      <c r="G4824" s="8"/>
      <c r="H4824" s="43">
        <v>8.8699999999999992</v>
      </c>
      <c r="I4824" s="19">
        <f t="shared" si="143"/>
        <v>0</v>
      </c>
    </row>
    <row r="4825" spans="1:9" ht="15.6" hidden="1">
      <c r="A4825" s="51" t="s">
        <v>7836</v>
      </c>
      <c r="B4825" s="5">
        <v>111177</v>
      </c>
      <c r="C4825" s="38" t="s">
        <v>8495</v>
      </c>
      <c r="D4825" s="38"/>
      <c r="E4825" s="104">
        <v>1</v>
      </c>
      <c r="F4825" s="9"/>
      <c r="G4825" s="8"/>
      <c r="H4825" s="43">
        <v>8.8699999999999992</v>
      </c>
      <c r="I4825" s="19">
        <f t="shared" si="143"/>
        <v>0</v>
      </c>
    </row>
    <row r="4826" spans="1:9" ht="15.6" hidden="1">
      <c r="A4826" s="51" t="s">
        <v>7836</v>
      </c>
      <c r="B4826" s="5">
        <v>111178</v>
      </c>
      <c r="C4826" s="38" t="s">
        <v>8496</v>
      </c>
      <c r="D4826" s="38"/>
      <c r="E4826" s="104">
        <v>1</v>
      </c>
      <c r="F4826" s="9"/>
      <c r="G4826" s="8"/>
      <c r="H4826" s="43">
        <v>8.8699999999999992</v>
      </c>
      <c r="I4826" s="19">
        <f t="shared" si="143"/>
        <v>0</v>
      </c>
    </row>
    <row r="4827" spans="1:9" ht="15.6" hidden="1">
      <c r="A4827" s="51" t="s">
        <v>7836</v>
      </c>
      <c r="B4827" s="5">
        <v>111179</v>
      </c>
      <c r="C4827" s="38" t="s">
        <v>8497</v>
      </c>
      <c r="D4827" s="38"/>
      <c r="E4827" s="104">
        <v>1</v>
      </c>
      <c r="F4827" s="9"/>
      <c r="G4827" s="8"/>
      <c r="H4827" s="43">
        <v>8.8699999999999992</v>
      </c>
      <c r="I4827" s="19">
        <f t="shared" si="143"/>
        <v>0</v>
      </c>
    </row>
    <row r="4828" spans="1:9" ht="15.6" hidden="1">
      <c r="A4828" s="51" t="s">
        <v>7836</v>
      </c>
      <c r="B4828" s="5">
        <v>111180</v>
      </c>
      <c r="C4828" s="38" t="s">
        <v>8498</v>
      </c>
      <c r="D4828" s="38"/>
      <c r="E4828" s="104">
        <v>1</v>
      </c>
      <c r="F4828" s="9"/>
      <c r="G4828" s="8"/>
      <c r="H4828" s="43">
        <v>33.97</v>
      </c>
      <c r="I4828" s="19">
        <f t="shared" si="143"/>
        <v>0</v>
      </c>
    </row>
    <row r="4829" spans="1:9" ht="15.6" hidden="1">
      <c r="A4829" s="51" t="s">
        <v>7836</v>
      </c>
      <c r="B4829" s="5">
        <v>111181</v>
      </c>
      <c r="C4829" s="38" t="s">
        <v>8499</v>
      </c>
      <c r="D4829" s="38"/>
      <c r="E4829" s="104">
        <v>1</v>
      </c>
      <c r="F4829" s="9"/>
      <c r="G4829" s="8"/>
      <c r="H4829" s="43">
        <v>47.24</v>
      </c>
      <c r="I4829" s="19">
        <f t="shared" si="143"/>
        <v>0</v>
      </c>
    </row>
    <row r="4830" spans="1:9" ht="15.6" hidden="1">
      <c r="A4830" s="51" t="s">
        <v>7836</v>
      </c>
      <c r="B4830" s="5">
        <v>111182</v>
      </c>
      <c r="C4830" s="38" t="s">
        <v>8500</v>
      </c>
      <c r="D4830" s="38"/>
      <c r="E4830" s="104">
        <v>1</v>
      </c>
      <c r="F4830" s="9"/>
      <c r="G4830" s="8"/>
      <c r="H4830" s="43">
        <v>193.07</v>
      </c>
      <c r="I4830" s="19">
        <f t="shared" si="143"/>
        <v>0</v>
      </c>
    </row>
    <row r="4831" spans="1:9" ht="15.6" hidden="1">
      <c r="A4831" s="51" t="s">
        <v>7836</v>
      </c>
      <c r="B4831" s="5">
        <v>111183</v>
      </c>
      <c r="C4831" s="38" t="s">
        <v>8501</v>
      </c>
      <c r="D4831" s="38"/>
      <c r="E4831" s="104">
        <v>1</v>
      </c>
      <c r="F4831" s="9"/>
      <c r="G4831" s="8"/>
      <c r="H4831" s="43">
        <v>0.85</v>
      </c>
      <c r="I4831" s="19">
        <f t="shared" si="143"/>
        <v>0</v>
      </c>
    </row>
    <row r="4832" spans="1:9" ht="15.6" hidden="1">
      <c r="A4832" s="51" t="s">
        <v>7836</v>
      </c>
      <c r="B4832" s="5">
        <v>111184</v>
      </c>
      <c r="C4832" s="38" t="s">
        <v>8502</v>
      </c>
      <c r="D4832" s="38"/>
      <c r="E4832" s="104">
        <v>1</v>
      </c>
      <c r="F4832" s="9"/>
      <c r="G4832" s="8"/>
      <c r="H4832" s="43">
        <v>1.44</v>
      </c>
      <c r="I4832" s="19">
        <f t="shared" si="143"/>
        <v>0</v>
      </c>
    </row>
    <row r="4833" spans="1:9" ht="15.6" hidden="1">
      <c r="A4833" s="51" t="s">
        <v>7836</v>
      </c>
      <c r="B4833" s="5">
        <v>111156</v>
      </c>
      <c r="C4833" s="38" t="s">
        <v>8503</v>
      </c>
      <c r="D4833" s="38"/>
      <c r="E4833" s="104">
        <v>1</v>
      </c>
      <c r="F4833" s="9"/>
      <c r="G4833" s="8"/>
      <c r="H4833" s="43">
        <v>69.209999999999994</v>
      </c>
      <c r="I4833" s="19">
        <f t="shared" si="143"/>
        <v>0</v>
      </c>
    </row>
    <row r="4834" spans="1:9" ht="15.6" hidden="1">
      <c r="A4834" s="51" t="s">
        <v>7836</v>
      </c>
      <c r="B4834" s="5">
        <v>106472</v>
      </c>
      <c r="C4834" s="38" t="s">
        <v>8504</v>
      </c>
      <c r="D4834" s="38" t="s">
        <v>576</v>
      </c>
      <c r="E4834" s="104">
        <v>1</v>
      </c>
      <c r="F4834" s="9"/>
      <c r="G4834" s="8"/>
      <c r="H4834" s="43">
        <v>13.99</v>
      </c>
      <c r="I4834" s="19">
        <f t="shared" si="143"/>
        <v>0</v>
      </c>
    </row>
    <row r="4835" spans="1:9" ht="15.6" hidden="1">
      <c r="A4835" s="51" t="s">
        <v>7836</v>
      </c>
      <c r="B4835" s="5">
        <v>106507</v>
      </c>
      <c r="C4835" s="38" t="s">
        <v>8505</v>
      </c>
      <c r="D4835" s="38" t="s">
        <v>576</v>
      </c>
      <c r="E4835" s="104">
        <v>1</v>
      </c>
      <c r="F4835" s="9"/>
      <c r="G4835" s="8"/>
      <c r="H4835" s="43">
        <v>10.71</v>
      </c>
      <c r="I4835" s="19">
        <f t="shared" si="143"/>
        <v>0</v>
      </c>
    </row>
    <row r="4836" spans="1:9" ht="15.6" hidden="1">
      <c r="A4836" s="51" t="s">
        <v>7836</v>
      </c>
      <c r="B4836" s="5">
        <v>141304</v>
      </c>
      <c r="C4836" s="38" t="s">
        <v>8506</v>
      </c>
      <c r="D4836" s="38" t="s">
        <v>576</v>
      </c>
      <c r="E4836" s="104">
        <v>1</v>
      </c>
      <c r="F4836" s="9"/>
      <c r="G4836" s="8"/>
      <c r="H4836" s="43">
        <v>13.3</v>
      </c>
      <c r="I4836" s="19">
        <f t="shared" si="143"/>
        <v>0</v>
      </c>
    </row>
    <row r="4837" spans="1:9" ht="15.6" hidden="1">
      <c r="A4837" s="51" t="s">
        <v>7836</v>
      </c>
      <c r="B4837" s="5">
        <v>106468</v>
      </c>
      <c r="C4837" s="38" t="s">
        <v>8507</v>
      </c>
      <c r="D4837" s="38" t="s">
        <v>576</v>
      </c>
      <c r="E4837" s="104">
        <v>1</v>
      </c>
      <c r="F4837" s="9"/>
      <c r="G4837" s="8"/>
      <c r="H4837" s="43">
        <v>13.56</v>
      </c>
      <c r="I4837" s="19">
        <f t="shared" si="143"/>
        <v>0</v>
      </c>
    </row>
    <row r="4838" spans="1:9" ht="15.6" hidden="1">
      <c r="A4838" s="51" t="s">
        <v>7836</v>
      </c>
      <c r="B4838" s="5">
        <v>106486</v>
      </c>
      <c r="C4838" s="38" t="s">
        <v>8508</v>
      </c>
      <c r="D4838" s="38" t="s">
        <v>576</v>
      </c>
      <c r="E4838" s="104">
        <v>1</v>
      </c>
      <c r="F4838" s="9"/>
      <c r="G4838" s="8"/>
      <c r="H4838" s="43">
        <v>6.06</v>
      </c>
      <c r="I4838" s="19">
        <f t="shared" si="143"/>
        <v>0</v>
      </c>
    </row>
    <row r="4839" spans="1:9" ht="15.6" hidden="1">
      <c r="A4839" s="51" t="s">
        <v>7836</v>
      </c>
      <c r="B4839" s="5">
        <v>106458</v>
      </c>
      <c r="C4839" s="38" t="s">
        <v>8509</v>
      </c>
      <c r="D4839" s="38" t="s">
        <v>576</v>
      </c>
      <c r="E4839" s="104">
        <v>1</v>
      </c>
      <c r="F4839" s="9"/>
      <c r="G4839" s="8"/>
      <c r="H4839" s="43">
        <v>7.34</v>
      </c>
      <c r="I4839" s="19">
        <f t="shared" si="143"/>
        <v>0</v>
      </c>
    </row>
    <row r="4840" spans="1:9" ht="15.6" hidden="1">
      <c r="A4840" s="51" t="s">
        <v>7836</v>
      </c>
      <c r="B4840" s="5">
        <v>133389</v>
      </c>
      <c r="C4840" s="38" t="s">
        <v>8510</v>
      </c>
      <c r="D4840" s="38" t="s">
        <v>576</v>
      </c>
      <c r="E4840" s="104">
        <v>1</v>
      </c>
      <c r="F4840" s="9"/>
      <c r="G4840" s="8"/>
      <c r="H4840" s="43">
        <v>12.47</v>
      </c>
      <c r="I4840" s="19">
        <f t="shared" si="143"/>
        <v>0</v>
      </c>
    </row>
    <row r="4841" spans="1:9" ht="15.6" hidden="1">
      <c r="A4841" s="51" t="s">
        <v>7836</v>
      </c>
      <c r="B4841" s="5">
        <v>106480</v>
      </c>
      <c r="C4841" s="38" t="s">
        <v>8511</v>
      </c>
      <c r="D4841" s="38" t="s">
        <v>576</v>
      </c>
      <c r="E4841" s="104">
        <v>1</v>
      </c>
      <c r="F4841" s="9"/>
      <c r="G4841" s="8"/>
      <c r="H4841" s="43">
        <v>8.08</v>
      </c>
      <c r="I4841" s="19">
        <f t="shared" si="143"/>
        <v>0</v>
      </c>
    </row>
    <row r="4842" spans="1:9" ht="15.6" hidden="1">
      <c r="A4842" s="51" t="s">
        <v>7836</v>
      </c>
      <c r="B4842" s="5">
        <v>133431</v>
      </c>
      <c r="C4842" s="38" t="s">
        <v>8512</v>
      </c>
      <c r="D4842" s="38" t="s">
        <v>576</v>
      </c>
      <c r="E4842" s="104">
        <v>1</v>
      </c>
      <c r="F4842" s="9"/>
      <c r="G4842" s="8"/>
      <c r="H4842" s="43">
        <v>9.5</v>
      </c>
      <c r="I4842" s="19">
        <f t="shared" si="143"/>
        <v>0</v>
      </c>
    </row>
    <row r="4843" spans="1:9" ht="15.6" hidden="1">
      <c r="A4843" s="51" t="s">
        <v>7836</v>
      </c>
      <c r="B4843" s="5">
        <v>134650</v>
      </c>
      <c r="C4843" s="38" t="s">
        <v>8513</v>
      </c>
      <c r="D4843" s="38" t="s">
        <v>576</v>
      </c>
      <c r="E4843" s="104">
        <v>1</v>
      </c>
      <c r="F4843" s="9"/>
      <c r="G4843" s="8"/>
      <c r="H4843" s="43">
        <v>10.31</v>
      </c>
      <c r="I4843" s="19">
        <f t="shared" si="143"/>
        <v>0</v>
      </c>
    </row>
    <row r="4844" spans="1:9" ht="15.6" hidden="1">
      <c r="A4844" s="51" t="s">
        <v>7836</v>
      </c>
      <c r="B4844" s="5">
        <v>141512</v>
      </c>
      <c r="C4844" s="38" t="s">
        <v>8514</v>
      </c>
      <c r="D4844" s="38" t="s">
        <v>576</v>
      </c>
      <c r="E4844" s="104">
        <v>1</v>
      </c>
      <c r="F4844" s="9"/>
      <c r="G4844" s="8"/>
      <c r="H4844" s="43">
        <v>6.47</v>
      </c>
      <c r="I4844" s="19">
        <f t="shared" si="143"/>
        <v>0</v>
      </c>
    </row>
    <row r="4845" spans="1:9" ht="15.6" hidden="1">
      <c r="A4845" s="51" t="s">
        <v>7836</v>
      </c>
      <c r="B4845" s="5">
        <v>106474</v>
      </c>
      <c r="C4845" s="38" t="s">
        <v>8515</v>
      </c>
      <c r="D4845" s="38" t="s">
        <v>576</v>
      </c>
      <c r="E4845" s="104">
        <v>1</v>
      </c>
      <c r="F4845" s="9"/>
      <c r="G4845" s="8"/>
      <c r="H4845" s="43">
        <v>28.44</v>
      </c>
      <c r="I4845" s="19">
        <f t="shared" si="143"/>
        <v>0</v>
      </c>
    </row>
    <row r="4846" spans="1:9" ht="15.6" hidden="1">
      <c r="A4846" s="51" t="s">
        <v>7836</v>
      </c>
      <c r="B4846" s="5">
        <v>106511</v>
      </c>
      <c r="C4846" s="38" t="s">
        <v>8516</v>
      </c>
      <c r="D4846" s="38" t="s">
        <v>576</v>
      </c>
      <c r="E4846" s="104">
        <v>1</v>
      </c>
      <c r="F4846" s="9"/>
      <c r="G4846" s="8"/>
      <c r="H4846" s="43">
        <v>20.16</v>
      </c>
      <c r="I4846" s="19">
        <f t="shared" si="143"/>
        <v>0</v>
      </c>
    </row>
    <row r="4847" spans="1:9" ht="15.6" hidden="1">
      <c r="A4847" s="51" t="s">
        <v>7836</v>
      </c>
      <c r="B4847" s="5">
        <v>106451</v>
      </c>
      <c r="C4847" s="38" t="s">
        <v>8517</v>
      </c>
      <c r="D4847" s="38" t="s">
        <v>576</v>
      </c>
      <c r="E4847" s="104">
        <v>1</v>
      </c>
      <c r="F4847" s="9"/>
      <c r="G4847" s="8"/>
      <c r="H4847" s="43">
        <v>7.39</v>
      </c>
      <c r="I4847" s="19">
        <f t="shared" si="143"/>
        <v>0</v>
      </c>
    </row>
    <row r="4848" spans="1:9" ht="15.6" hidden="1">
      <c r="A4848" s="51" t="s">
        <v>7836</v>
      </c>
      <c r="B4848" s="5">
        <v>133451</v>
      </c>
      <c r="C4848" s="38" t="s">
        <v>8518</v>
      </c>
      <c r="D4848" s="38" t="s">
        <v>576</v>
      </c>
      <c r="E4848" s="104">
        <v>1</v>
      </c>
      <c r="F4848" s="9"/>
      <c r="G4848" s="8"/>
      <c r="H4848" s="43">
        <v>7.71</v>
      </c>
      <c r="I4848" s="19">
        <f t="shared" si="143"/>
        <v>0</v>
      </c>
    </row>
    <row r="4849" spans="1:9" ht="15.6" hidden="1">
      <c r="A4849" s="51" t="s">
        <v>7836</v>
      </c>
      <c r="B4849" s="5">
        <v>106447</v>
      </c>
      <c r="C4849" s="38" t="s">
        <v>8519</v>
      </c>
      <c r="D4849" s="38" t="s">
        <v>576</v>
      </c>
      <c r="E4849" s="104">
        <v>1</v>
      </c>
      <c r="F4849" s="9"/>
      <c r="G4849" s="8"/>
      <c r="H4849" s="43">
        <v>5.88</v>
      </c>
      <c r="I4849" s="19">
        <f t="shared" si="143"/>
        <v>0</v>
      </c>
    </row>
    <row r="4850" spans="1:9" ht="15.6" hidden="1">
      <c r="A4850" s="51" t="s">
        <v>7836</v>
      </c>
      <c r="B4850" s="5">
        <v>131980</v>
      </c>
      <c r="C4850" s="38" t="s">
        <v>8520</v>
      </c>
      <c r="D4850" s="38" t="s">
        <v>576</v>
      </c>
      <c r="E4850" s="104">
        <v>1</v>
      </c>
      <c r="F4850" s="9"/>
      <c r="G4850" s="8"/>
      <c r="H4850" s="43">
        <v>5.0199999999999996</v>
      </c>
      <c r="I4850" s="19">
        <f t="shared" si="143"/>
        <v>0</v>
      </c>
    </row>
    <row r="4851" spans="1:9" ht="15.6" hidden="1">
      <c r="A4851" s="51" t="s">
        <v>7836</v>
      </c>
      <c r="B4851" s="5">
        <v>131981</v>
      </c>
      <c r="C4851" s="38" t="s">
        <v>8521</v>
      </c>
      <c r="D4851" s="38" t="s">
        <v>576</v>
      </c>
      <c r="E4851" s="104">
        <v>1</v>
      </c>
      <c r="F4851" s="9"/>
      <c r="G4851" s="8"/>
      <c r="H4851" s="43">
        <v>5.0199999999999996</v>
      </c>
      <c r="I4851" s="19">
        <f t="shared" si="143"/>
        <v>0</v>
      </c>
    </row>
    <row r="4852" spans="1:9" ht="15.6" hidden="1">
      <c r="A4852" s="51" t="s">
        <v>7836</v>
      </c>
      <c r="B4852" s="5">
        <v>106435</v>
      </c>
      <c r="C4852" s="38" t="s">
        <v>8522</v>
      </c>
      <c r="D4852" s="38" t="s">
        <v>576</v>
      </c>
      <c r="E4852" s="104">
        <v>1</v>
      </c>
      <c r="F4852" s="9"/>
      <c r="G4852" s="8"/>
      <c r="H4852" s="43">
        <v>2.98</v>
      </c>
      <c r="I4852" s="19">
        <f t="shared" si="143"/>
        <v>0</v>
      </c>
    </row>
    <row r="4853" spans="1:9" ht="15.6" hidden="1">
      <c r="A4853" s="51" t="s">
        <v>7836</v>
      </c>
      <c r="B4853" s="5">
        <v>106434</v>
      </c>
      <c r="C4853" s="38" t="s">
        <v>8523</v>
      </c>
      <c r="D4853" s="38" t="s">
        <v>576</v>
      </c>
      <c r="E4853" s="104">
        <v>1</v>
      </c>
      <c r="F4853" s="9"/>
      <c r="G4853" s="8"/>
      <c r="H4853" s="43">
        <v>3.16</v>
      </c>
      <c r="I4853" s="19">
        <f t="shared" si="143"/>
        <v>0</v>
      </c>
    </row>
    <row r="4854" spans="1:9" ht="15.6" hidden="1">
      <c r="A4854" s="51" t="s">
        <v>7836</v>
      </c>
      <c r="B4854" s="5">
        <v>139469</v>
      </c>
      <c r="C4854" s="38" t="s">
        <v>8524</v>
      </c>
      <c r="D4854" s="38" t="s">
        <v>576</v>
      </c>
      <c r="E4854" s="104">
        <v>1</v>
      </c>
      <c r="F4854" s="9"/>
      <c r="G4854" s="8"/>
      <c r="H4854" s="43">
        <v>10.4</v>
      </c>
      <c r="I4854" s="19">
        <f t="shared" si="143"/>
        <v>0</v>
      </c>
    </row>
    <row r="4855" spans="1:9" ht="15.6" hidden="1">
      <c r="A4855" s="51" t="s">
        <v>7836</v>
      </c>
      <c r="B4855" s="5">
        <v>139468</v>
      </c>
      <c r="C4855" s="38" t="s">
        <v>8525</v>
      </c>
      <c r="D4855" s="38" t="s">
        <v>576</v>
      </c>
      <c r="E4855" s="104">
        <v>1</v>
      </c>
      <c r="F4855" s="9"/>
      <c r="G4855" s="8"/>
      <c r="H4855" s="43">
        <v>14.53</v>
      </c>
      <c r="I4855" s="19">
        <f t="shared" si="143"/>
        <v>0</v>
      </c>
    </row>
    <row r="4856" spans="1:9" ht="15.6" hidden="1">
      <c r="A4856" s="51" t="s">
        <v>7836</v>
      </c>
      <c r="B4856" s="5">
        <v>143337</v>
      </c>
      <c r="C4856" s="38" t="s">
        <v>8526</v>
      </c>
      <c r="D4856" s="38" t="s">
        <v>576</v>
      </c>
      <c r="E4856" s="104">
        <v>1</v>
      </c>
      <c r="F4856" s="9"/>
      <c r="G4856" s="8"/>
      <c r="H4856" s="43">
        <v>11.67</v>
      </c>
      <c r="I4856" s="19">
        <f t="shared" si="143"/>
        <v>0</v>
      </c>
    </row>
    <row r="4857" spans="1:9" ht="15.6" hidden="1">
      <c r="A4857" s="51" t="s">
        <v>7836</v>
      </c>
      <c r="B4857" s="5">
        <v>139472</v>
      </c>
      <c r="C4857" s="38" t="s">
        <v>8527</v>
      </c>
      <c r="D4857" s="38" t="s">
        <v>8528</v>
      </c>
      <c r="E4857" s="104">
        <v>1</v>
      </c>
      <c r="F4857" s="9"/>
      <c r="G4857" s="8"/>
      <c r="H4857" s="43">
        <v>41.11</v>
      </c>
      <c r="I4857" s="19">
        <f t="shared" si="143"/>
        <v>0</v>
      </c>
    </row>
    <row r="4858" spans="1:9" ht="15.6" hidden="1">
      <c r="A4858" s="51" t="s">
        <v>7836</v>
      </c>
      <c r="B4858" s="5">
        <v>139473</v>
      </c>
      <c r="C4858" s="38" t="s">
        <v>8529</v>
      </c>
      <c r="D4858" s="38" t="s">
        <v>8530</v>
      </c>
      <c r="E4858" s="104">
        <v>1</v>
      </c>
      <c r="F4858" s="9"/>
      <c r="G4858" s="8"/>
      <c r="H4858" s="43">
        <v>9.14</v>
      </c>
      <c r="I4858" s="19">
        <f t="shared" si="143"/>
        <v>0</v>
      </c>
    </row>
    <row r="4859" spans="1:9" ht="15.6" hidden="1">
      <c r="A4859" s="51" t="s">
        <v>7836</v>
      </c>
      <c r="B4859" s="5">
        <v>139471</v>
      </c>
      <c r="C4859" s="38" t="s">
        <v>8531</v>
      </c>
      <c r="D4859" s="38"/>
      <c r="E4859" s="104">
        <v>1</v>
      </c>
      <c r="F4859" s="9"/>
      <c r="G4859" s="8"/>
      <c r="H4859" s="43">
        <v>8.7799999999999994</v>
      </c>
      <c r="I4859" s="19">
        <f t="shared" si="143"/>
        <v>0</v>
      </c>
    </row>
    <row r="4860" spans="1:9" ht="15.6" hidden="1">
      <c r="A4860" s="51" t="s">
        <v>7836</v>
      </c>
      <c r="B4860" s="5">
        <v>139475</v>
      </c>
      <c r="C4860" s="38" t="s">
        <v>8532</v>
      </c>
      <c r="D4860" s="38"/>
      <c r="E4860" s="104">
        <v>1</v>
      </c>
      <c r="F4860" s="9"/>
      <c r="G4860" s="8"/>
      <c r="H4860" s="43">
        <v>44</v>
      </c>
      <c r="I4860" s="19">
        <f t="shared" si="143"/>
        <v>0</v>
      </c>
    </row>
    <row r="4861" spans="1:9" ht="15.6" hidden="1">
      <c r="A4861" s="51" t="s">
        <v>7836</v>
      </c>
      <c r="B4861" s="5">
        <v>139640</v>
      </c>
      <c r="C4861" s="38" t="s">
        <v>8533</v>
      </c>
      <c r="D4861" s="38"/>
      <c r="E4861" s="104">
        <v>1</v>
      </c>
      <c r="F4861" s="9"/>
      <c r="G4861" s="8"/>
      <c r="H4861" s="43">
        <v>25.75</v>
      </c>
      <c r="I4861" s="19">
        <f t="shared" si="143"/>
        <v>0</v>
      </c>
    </row>
    <row r="4862" spans="1:9" ht="15.6" hidden="1">
      <c r="A4862" s="51" t="s">
        <v>7836</v>
      </c>
      <c r="B4862" s="5">
        <v>139474</v>
      </c>
      <c r="C4862" s="38" t="s">
        <v>8534</v>
      </c>
      <c r="D4862" s="38"/>
      <c r="E4862" s="104">
        <v>1</v>
      </c>
      <c r="F4862" s="9"/>
      <c r="G4862" s="8"/>
      <c r="H4862" s="43">
        <v>67.25</v>
      </c>
      <c r="I4862" s="19">
        <f t="shared" si="143"/>
        <v>0</v>
      </c>
    </row>
    <row r="4863" spans="1:9" ht="15.6" hidden="1">
      <c r="A4863" s="51" t="s">
        <v>7836</v>
      </c>
      <c r="B4863" s="5">
        <v>105707</v>
      </c>
      <c r="C4863" s="38" t="s">
        <v>8535</v>
      </c>
      <c r="D4863" s="38"/>
      <c r="E4863" s="104">
        <v>1</v>
      </c>
      <c r="F4863" s="9"/>
      <c r="G4863" s="8"/>
      <c r="H4863" s="43">
        <v>1.88</v>
      </c>
      <c r="I4863" s="19">
        <f t="shared" si="143"/>
        <v>0</v>
      </c>
    </row>
    <row r="4864" spans="1:9" ht="15.6" hidden="1">
      <c r="A4864" s="51" t="s">
        <v>7836</v>
      </c>
      <c r="B4864" s="5">
        <v>124931</v>
      </c>
      <c r="C4864" s="38" t="s">
        <v>8536</v>
      </c>
      <c r="D4864" s="38"/>
      <c r="E4864" s="104">
        <v>1</v>
      </c>
      <c r="F4864" s="9"/>
      <c r="G4864" s="8"/>
      <c r="H4864" s="43">
        <v>2.0099999999999998</v>
      </c>
      <c r="I4864" s="19">
        <f t="shared" si="143"/>
        <v>0</v>
      </c>
    </row>
    <row r="4865" spans="1:9" ht="15.6" hidden="1">
      <c r="A4865" s="51" t="s">
        <v>7836</v>
      </c>
      <c r="B4865" s="5">
        <v>124932</v>
      </c>
      <c r="C4865" s="38" t="s">
        <v>8537</v>
      </c>
      <c r="D4865" s="38"/>
      <c r="E4865" s="104">
        <v>1</v>
      </c>
      <c r="F4865" s="9"/>
      <c r="G4865" s="8"/>
      <c r="H4865" s="43">
        <v>2.14</v>
      </c>
      <c r="I4865" s="19">
        <f t="shared" si="143"/>
        <v>0</v>
      </c>
    </row>
    <row r="4866" spans="1:9" ht="15.6" hidden="1">
      <c r="A4866" s="51" t="s">
        <v>7836</v>
      </c>
      <c r="B4866" s="5">
        <v>124933</v>
      </c>
      <c r="C4866" s="38" t="s">
        <v>8538</v>
      </c>
      <c r="D4866" s="38"/>
      <c r="E4866" s="104">
        <v>1</v>
      </c>
      <c r="F4866" s="9"/>
      <c r="G4866" s="8"/>
      <c r="H4866" s="43">
        <v>2.27</v>
      </c>
      <c r="I4866" s="19">
        <f t="shared" si="143"/>
        <v>0</v>
      </c>
    </row>
    <row r="4867" spans="1:9" ht="15.6" hidden="1">
      <c r="A4867" s="51" t="s">
        <v>7836</v>
      </c>
      <c r="B4867" s="5">
        <v>124934</v>
      </c>
      <c r="C4867" s="38" t="s">
        <v>8539</v>
      </c>
      <c r="D4867" s="38"/>
      <c r="E4867" s="104">
        <v>1</v>
      </c>
      <c r="F4867" s="9"/>
      <c r="G4867" s="8"/>
      <c r="H4867" s="43">
        <v>2.41</v>
      </c>
      <c r="I4867" s="19">
        <f t="shared" si="143"/>
        <v>0</v>
      </c>
    </row>
    <row r="4868" spans="1:9" ht="15.6" hidden="1">
      <c r="A4868" s="51" t="s">
        <v>7836</v>
      </c>
      <c r="B4868" s="5">
        <v>124935</v>
      </c>
      <c r="C4868" s="38" t="s">
        <v>8540</v>
      </c>
      <c r="D4868" s="38"/>
      <c r="E4868" s="104">
        <v>1</v>
      </c>
      <c r="F4868" s="9"/>
      <c r="G4868" s="8"/>
      <c r="H4868" s="43">
        <v>2.54</v>
      </c>
      <c r="I4868" s="19">
        <f t="shared" si="143"/>
        <v>0</v>
      </c>
    </row>
    <row r="4869" spans="1:9" ht="15.6" hidden="1">
      <c r="A4869" s="51" t="s">
        <v>7836</v>
      </c>
      <c r="B4869" s="5">
        <v>124947</v>
      </c>
      <c r="C4869" s="38" t="s">
        <v>8541</v>
      </c>
      <c r="D4869" s="38"/>
      <c r="E4869" s="104">
        <v>1</v>
      </c>
      <c r="F4869" s="9"/>
      <c r="G4869" s="8"/>
      <c r="H4869" s="43">
        <v>0.64</v>
      </c>
      <c r="I4869" s="19">
        <f t="shared" si="143"/>
        <v>0</v>
      </c>
    </row>
    <row r="4870" spans="1:9" ht="15.6" hidden="1">
      <c r="A4870" s="51" t="s">
        <v>7836</v>
      </c>
      <c r="B4870" s="5">
        <v>124924</v>
      </c>
      <c r="C4870" s="38" t="s">
        <v>8542</v>
      </c>
      <c r="D4870" s="38" t="s">
        <v>8224</v>
      </c>
      <c r="E4870" s="104">
        <v>1</v>
      </c>
      <c r="F4870" s="9"/>
      <c r="G4870" s="8"/>
      <c r="H4870" s="43">
        <v>17.579999999999998</v>
      </c>
      <c r="I4870" s="19">
        <f t="shared" si="143"/>
        <v>0</v>
      </c>
    </row>
    <row r="4871" spans="1:9" ht="15.6" hidden="1">
      <c r="A4871" s="51" t="s">
        <v>7836</v>
      </c>
      <c r="B4871" s="5">
        <v>137813</v>
      </c>
      <c r="C4871" s="38" t="s">
        <v>8543</v>
      </c>
      <c r="D4871" s="38" t="s">
        <v>8254</v>
      </c>
      <c r="E4871" s="104">
        <v>1</v>
      </c>
      <c r="F4871" s="9"/>
      <c r="G4871" s="8"/>
      <c r="H4871" s="43">
        <v>55.3</v>
      </c>
      <c r="I4871" s="19">
        <f t="shared" si="143"/>
        <v>0</v>
      </c>
    </row>
    <row r="4872" spans="1:9" ht="15.6" hidden="1">
      <c r="A4872" s="51" t="s">
        <v>7836</v>
      </c>
      <c r="B4872" s="5">
        <v>132101</v>
      </c>
      <c r="C4872" s="38" t="s">
        <v>8544</v>
      </c>
      <c r="D4872" s="38" t="s">
        <v>8224</v>
      </c>
      <c r="E4872" s="104">
        <v>1</v>
      </c>
      <c r="F4872" s="9"/>
      <c r="G4872" s="8"/>
      <c r="H4872" s="43">
        <v>68</v>
      </c>
      <c r="I4872" s="19">
        <f t="shared" si="143"/>
        <v>0</v>
      </c>
    </row>
    <row r="4873" spans="1:9" ht="15.6" hidden="1">
      <c r="A4873" s="51" t="s">
        <v>7836</v>
      </c>
      <c r="B4873" s="5">
        <v>134603</v>
      </c>
      <c r="C4873" s="38" t="s">
        <v>8545</v>
      </c>
      <c r="D4873" s="38" t="s">
        <v>8224</v>
      </c>
      <c r="E4873" s="104">
        <v>1</v>
      </c>
      <c r="F4873" s="9"/>
      <c r="G4873" s="8"/>
      <c r="H4873" s="43">
        <v>65.7</v>
      </c>
      <c r="I4873" s="19">
        <f t="shared" si="143"/>
        <v>0</v>
      </c>
    </row>
    <row r="4874" spans="1:9" ht="15.6" hidden="1">
      <c r="A4874" s="51" t="s">
        <v>7836</v>
      </c>
      <c r="B4874" s="5">
        <v>139483</v>
      </c>
      <c r="C4874" s="38" t="s">
        <v>8546</v>
      </c>
      <c r="D4874" s="38"/>
      <c r="E4874" s="104">
        <v>1</v>
      </c>
      <c r="F4874" s="9"/>
      <c r="G4874" s="8"/>
      <c r="H4874" s="43">
        <v>12.29</v>
      </c>
      <c r="I4874" s="19">
        <f t="shared" si="143"/>
        <v>0</v>
      </c>
    </row>
    <row r="4875" spans="1:9" ht="15.6" hidden="1">
      <c r="A4875" s="51" t="s">
        <v>7836</v>
      </c>
      <c r="B4875" s="5">
        <v>139484</v>
      </c>
      <c r="C4875" s="38" t="s">
        <v>8547</v>
      </c>
      <c r="D4875" s="38"/>
      <c r="E4875" s="104">
        <v>1</v>
      </c>
      <c r="F4875" s="9"/>
      <c r="G4875" s="8"/>
      <c r="H4875" s="43">
        <v>13.33</v>
      </c>
      <c r="I4875" s="19">
        <f t="shared" si="143"/>
        <v>0</v>
      </c>
    </row>
    <row r="4876" spans="1:9" ht="15.6" hidden="1">
      <c r="A4876" s="51" t="s">
        <v>7836</v>
      </c>
      <c r="B4876" s="5">
        <v>139485</v>
      </c>
      <c r="C4876" s="38" t="s">
        <v>8548</v>
      </c>
      <c r="D4876" s="38"/>
      <c r="E4876" s="104">
        <v>1</v>
      </c>
      <c r="F4876" s="9"/>
      <c r="G4876" s="8"/>
      <c r="H4876" s="43">
        <v>15.38</v>
      </c>
      <c r="I4876" s="19">
        <f t="shared" si="143"/>
        <v>0</v>
      </c>
    </row>
    <row r="4877" spans="1:9" ht="15.6" hidden="1">
      <c r="A4877" s="51" t="s">
        <v>7836</v>
      </c>
      <c r="B4877" s="5">
        <v>139486</v>
      </c>
      <c r="C4877" s="38" t="s">
        <v>8549</v>
      </c>
      <c r="D4877" s="38"/>
      <c r="E4877" s="104">
        <v>1</v>
      </c>
      <c r="F4877" s="9"/>
      <c r="G4877" s="8"/>
      <c r="H4877" s="43">
        <v>17.39</v>
      </c>
      <c r="I4877" s="19">
        <f t="shared" si="143"/>
        <v>0</v>
      </c>
    </row>
    <row r="4878" spans="1:9" ht="15.6" hidden="1">
      <c r="A4878" s="51" t="s">
        <v>7836</v>
      </c>
      <c r="B4878" s="5">
        <v>139487</v>
      </c>
      <c r="C4878" s="38" t="s">
        <v>8550</v>
      </c>
      <c r="D4878" s="38"/>
      <c r="E4878" s="104">
        <v>1</v>
      </c>
      <c r="F4878" s="9"/>
      <c r="G4878" s="8"/>
      <c r="H4878" s="43">
        <v>19.21</v>
      </c>
      <c r="I4878" s="19">
        <f t="shared" si="143"/>
        <v>0</v>
      </c>
    </row>
    <row r="4879" spans="1:9" ht="15.6" hidden="1">
      <c r="A4879" s="51" t="s">
        <v>7836</v>
      </c>
      <c r="B4879" s="5">
        <v>139548</v>
      </c>
      <c r="C4879" s="38" t="s">
        <v>8551</v>
      </c>
      <c r="D4879" s="38"/>
      <c r="E4879" s="104">
        <v>1</v>
      </c>
      <c r="F4879" s="9"/>
      <c r="G4879" s="8"/>
      <c r="H4879" s="43">
        <v>15.39</v>
      </c>
      <c r="I4879" s="19">
        <f t="shared" si="143"/>
        <v>0</v>
      </c>
    </row>
    <row r="4880" spans="1:9" ht="15.6" hidden="1">
      <c r="A4880" s="51" t="s">
        <v>7836</v>
      </c>
      <c r="B4880" s="5">
        <v>139549</v>
      </c>
      <c r="C4880" s="38" t="s">
        <v>8552</v>
      </c>
      <c r="D4880" s="38"/>
      <c r="E4880" s="104">
        <v>1</v>
      </c>
      <c r="F4880" s="9"/>
      <c r="G4880" s="8"/>
      <c r="H4880" s="43">
        <v>17.37</v>
      </c>
      <c r="I4880" s="19">
        <f t="shared" si="143"/>
        <v>0</v>
      </c>
    </row>
    <row r="4881" spans="1:9" ht="15.6" hidden="1">
      <c r="A4881" s="51" t="s">
        <v>7836</v>
      </c>
      <c r="B4881" s="5">
        <v>139550</v>
      </c>
      <c r="C4881" s="38" t="s">
        <v>8553</v>
      </c>
      <c r="D4881" s="38"/>
      <c r="E4881" s="104">
        <v>1</v>
      </c>
      <c r="F4881" s="9"/>
      <c r="G4881" s="8"/>
      <c r="H4881" s="43">
        <v>19.22</v>
      </c>
      <c r="I4881" s="19">
        <f t="shared" si="143"/>
        <v>0</v>
      </c>
    </row>
    <row r="4882" spans="1:9" ht="15.6" hidden="1">
      <c r="A4882" s="51" t="s">
        <v>7836</v>
      </c>
      <c r="B4882" s="5">
        <v>139551</v>
      </c>
      <c r="C4882" s="38" t="s">
        <v>8554</v>
      </c>
      <c r="D4882" s="38"/>
      <c r="E4882" s="104">
        <v>1</v>
      </c>
      <c r="F4882" s="9"/>
      <c r="G4882" s="8"/>
      <c r="H4882" s="43">
        <v>8.51</v>
      </c>
      <c r="I4882" s="19">
        <f t="shared" si="143"/>
        <v>0</v>
      </c>
    </row>
    <row r="4883" spans="1:9" ht="15.6" hidden="1">
      <c r="A4883" s="51" t="s">
        <v>7836</v>
      </c>
      <c r="B4883" s="5">
        <v>139552</v>
      </c>
      <c r="C4883" s="38" t="s">
        <v>8555</v>
      </c>
      <c r="D4883" s="38"/>
      <c r="E4883" s="104">
        <v>1</v>
      </c>
      <c r="F4883" s="9"/>
      <c r="G4883" s="8"/>
      <c r="H4883" s="43">
        <v>10.16</v>
      </c>
      <c r="I4883" s="19">
        <f t="shared" si="143"/>
        <v>0</v>
      </c>
    </row>
    <row r="4884" spans="1:9" ht="15.6" hidden="1">
      <c r="A4884" s="51" t="s">
        <v>7836</v>
      </c>
      <c r="B4884" s="5">
        <v>139553</v>
      </c>
      <c r="C4884" s="38" t="s">
        <v>8556</v>
      </c>
      <c r="D4884" s="38"/>
      <c r="E4884" s="104">
        <v>1</v>
      </c>
      <c r="F4884" s="9"/>
      <c r="G4884" s="8"/>
      <c r="H4884" s="43">
        <v>35.869999999999997</v>
      </c>
      <c r="I4884" s="19">
        <f t="shared" si="143"/>
        <v>0</v>
      </c>
    </row>
    <row r="4885" spans="1:9" ht="15.6" hidden="1">
      <c r="A4885" s="51" t="s">
        <v>7836</v>
      </c>
      <c r="B4885" s="5">
        <v>139554</v>
      </c>
      <c r="C4885" s="38" t="s">
        <v>8557</v>
      </c>
      <c r="D4885" s="38"/>
      <c r="E4885" s="104">
        <v>1</v>
      </c>
      <c r="F4885" s="9"/>
      <c r="G4885" s="8"/>
      <c r="H4885" s="43">
        <v>44.33</v>
      </c>
      <c r="I4885" s="19">
        <f t="shared" si="143"/>
        <v>0</v>
      </c>
    </row>
    <row r="4886" spans="1:9" ht="15.6" hidden="1">
      <c r="A4886" s="51" t="s">
        <v>7836</v>
      </c>
      <c r="B4886" s="5">
        <v>139555</v>
      </c>
      <c r="C4886" s="38" t="s">
        <v>8558</v>
      </c>
      <c r="D4886" s="38"/>
      <c r="E4886" s="104">
        <v>1</v>
      </c>
      <c r="F4886" s="9"/>
      <c r="G4886" s="8"/>
      <c r="H4886" s="43">
        <v>50.26</v>
      </c>
      <c r="I4886" s="19">
        <f t="shared" si="143"/>
        <v>0</v>
      </c>
    </row>
    <row r="4887" spans="1:9" ht="15.6" hidden="1">
      <c r="A4887" s="51" t="s">
        <v>7836</v>
      </c>
      <c r="B4887" s="5">
        <v>139556</v>
      </c>
      <c r="C4887" s="38" t="s">
        <v>8559</v>
      </c>
      <c r="D4887" s="38"/>
      <c r="E4887" s="104">
        <v>1</v>
      </c>
      <c r="F4887" s="9"/>
      <c r="G4887" s="8"/>
      <c r="H4887" s="43">
        <v>45.13</v>
      </c>
      <c r="I4887" s="19">
        <f t="shared" si="143"/>
        <v>0</v>
      </c>
    </row>
    <row r="4888" spans="1:9" ht="15.6" hidden="1">
      <c r="A4888" s="51" t="s">
        <v>7836</v>
      </c>
      <c r="B4888" s="5">
        <v>139570</v>
      </c>
      <c r="C4888" s="38" t="s">
        <v>8560</v>
      </c>
      <c r="D4888" s="38"/>
      <c r="E4888" s="104">
        <v>1</v>
      </c>
      <c r="F4888" s="9"/>
      <c r="G4888" s="8"/>
      <c r="H4888" s="43">
        <v>5.88</v>
      </c>
      <c r="I4888" s="19">
        <f t="shared" si="143"/>
        <v>0</v>
      </c>
    </row>
    <row r="4889" spans="1:9" ht="15.6" hidden="1">
      <c r="A4889" s="51" t="s">
        <v>7836</v>
      </c>
      <c r="B4889" s="5">
        <v>139571</v>
      </c>
      <c r="C4889" s="38" t="s">
        <v>8561</v>
      </c>
      <c r="D4889" s="38"/>
      <c r="E4889" s="104">
        <v>1</v>
      </c>
      <c r="F4889" s="9"/>
      <c r="G4889" s="8"/>
      <c r="H4889" s="43">
        <v>7.79</v>
      </c>
      <c r="I4889" s="19">
        <f t="shared" si="143"/>
        <v>0</v>
      </c>
    </row>
    <row r="4890" spans="1:9" ht="15.6" hidden="1">
      <c r="A4890" s="51" t="s">
        <v>7836</v>
      </c>
      <c r="B4890" s="5">
        <v>139572</v>
      </c>
      <c r="C4890" s="38" t="s">
        <v>8562</v>
      </c>
      <c r="D4890" s="38"/>
      <c r="E4890" s="104">
        <v>1</v>
      </c>
      <c r="F4890" s="9"/>
      <c r="G4890" s="8"/>
      <c r="H4890" s="43">
        <v>9.75</v>
      </c>
      <c r="I4890" s="19">
        <f t="shared" si="143"/>
        <v>0</v>
      </c>
    </row>
    <row r="4891" spans="1:9" ht="15.6" hidden="1">
      <c r="A4891" s="51" t="s">
        <v>7836</v>
      </c>
      <c r="B4891" s="5">
        <v>117585</v>
      </c>
      <c r="C4891" s="38" t="s">
        <v>8563</v>
      </c>
      <c r="D4891" s="38"/>
      <c r="E4891" s="104">
        <v>1</v>
      </c>
      <c r="F4891" s="9"/>
      <c r="G4891" s="8"/>
      <c r="H4891" s="43">
        <v>5.34</v>
      </c>
      <c r="I4891" s="19">
        <f t="shared" si="143"/>
        <v>0</v>
      </c>
    </row>
    <row r="4892" spans="1:9" ht="15.6" hidden="1">
      <c r="A4892" s="51" t="s">
        <v>7836</v>
      </c>
      <c r="B4892" s="5">
        <v>143535</v>
      </c>
      <c r="C4892" s="38" t="s">
        <v>8564</v>
      </c>
      <c r="D4892" s="38"/>
      <c r="E4892" s="104">
        <v>1</v>
      </c>
      <c r="F4892" s="9"/>
      <c r="G4892" s="8"/>
      <c r="H4892" s="43">
        <v>8.6199999999999992</v>
      </c>
      <c r="I4892" s="19">
        <f t="shared" si="143"/>
        <v>0</v>
      </c>
    </row>
    <row r="4893" spans="1:9" ht="15.6" hidden="1">
      <c r="A4893" s="51" t="s">
        <v>7836</v>
      </c>
      <c r="B4893" s="5">
        <v>138000</v>
      </c>
      <c r="C4893" s="38" t="s">
        <v>8565</v>
      </c>
      <c r="D4893" s="38"/>
      <c r="E4893" s="104">
        <v>1</v>
      </c>
      <c r="F4893" s="9"/>
      <c r="G4893" s="8"/>
      <c r="H4893" s="43">
        <v>18.02</v>
      </c>
      <c r="I4893" s="19">
        <f t="shared" si="143"/>
        <v>0</v>
      </c>
    </row>
    <row r="4894" spans="1:9" ht="15.6" hidden="1">
      <c r="A4894" s="51" t="s">
        <v>7836</v>
      </c>
      <c r="B4894" s="5">
        <v>138001</v>
      </c>
      <c r="C4894" s="38" t="s">
        <v>8566</v>
      </c>
      <c r="D4894" s="38"/>
      <c r="E4894" s="104">
        <v>1</v>
      </c>
      <c r="F4894" s="9"/>
      <c r="G4894" s="8"/>
      <c r="H4894" s="43">
        <v>18.02</v>
      </c>
      <c r="I4894" s="19">
        <f t="shared" si="143"/>
        <v>0</v>
      </c>
    </row>
    <row r="4895" spans="1:9" ht="15.6" hidden="1">
      <c r="A4895" s="51" t="s">
        <v>7836</v>
      </c>
      <c r="B4895" s="5">
        <v>138002</v>
      </c>
      <c r="C4895" s="38" t="s">
        <v>8567</v>
      </c>
      <c r="D4895" s="38"/>
      <c r="E4895" s="104">
        <v>1</v>
      </c>
      <c r="F4895" s="9"/>
      <c r="G4895" s="8"/>
      <c r="H4895" s="43">
        <v>18.02</v>
      </c>
      <c r="I4895" s="19">
        <f t="shared" si="143"/>
        <v>0</v>
      </c>
    </row>
    <row r="4896" spans="1:9" ht="15.6" hidden="1">
      <c r="A4896" s="51" t="s">
        <v>7836</v>
      </c>
      <c r="B4896" s="5">
        <v>139557</v>
      </c>
      <c r="C4896" s="38" t="s">
        <v>8568</v>
      </c>
      <c r="D4896" s="38"/>
      <c r="E4896" s="104">
        <v>1</v>
      </c>
      <c r="F4896" s="9"/>
      <c r="G4896" s="8"/>
      <c r="H4896" s="43">
        <v>6.23</v>
      </c>
      <c r="I4896" s="19">
        <f t="shared" si="143"/>
        <v>0</v>
      </c>
    </row>
    <row r="4897" spans="1:9" ht="15.6" hidden="1">
      <c r="A4897" s="51" t="s">
        <v>7836</v>
      </c>
      <c r="B4897" s="5">
        <v>139558</v>
      </c>
      <c r="C4897" s="38" t="s">
        <v>8569</v>
      </c>
      <c r="D4897" s="38"/>
      <c r="E4897" s="104">
        <v>1</v>
      </c>
      <c r="F4897" s="9"/>
      <c r="G4897" s="8"/>
      <c r="H4897" s="43">
        <v>7.25</v>
      </c>
      <c r="I4897" s="19">
        <f t="shared" si="143"/>
        <v>0</v>
      </c>
    </row>
    <row r="4898" spans="1:9" ht="15.6" hidden="1">
      <c r="A4898" s="51" t="s">
        <v>7836</v>
      </c>
      <c r="B4898" s="5">
        <v>139559</v>
      </c>
      <c r="C4898" s="38" t="s">
        <v>8570</v>
      </c>
      <c r="D4898" s="38"/>
      <c r="E4898" s="104">
        <v>1</v>
      </c>
      <c r="F4898" s="9"/>
      <c r="G4898" s="8"/>
      <c r="H4898" s="43">
        <v>8.1199999999999992</v>
      </c>
      <c r="I4898" s="19">
        <f t="shared" si="143"/>
        <v>0</v>
      </c>
    </row>
    <row r="4899" spans="1:9" ht="15.6" hidden="1">
      <c r="A4899" s="51" t="s">
        <v>7836</v>
      </c>
      <c r="B4899" s="5">
        <v>139560</v>
      </c>
      <c r="C4899" s="38" t="s">
        <v>8571</v>
      </c>
      <c r="D4899" s="38"/>
      <c r="E4899" s="104">
        <v>1</v>
      </c>
      <c r="F4899" s="9"/>
      <c r="G4899" s="8"/>
      <c r="H4899" s="43">
        <v>8.99</v>
      </c>
      <c r="I4899" s="19">
        <f t="shared" si="143"/>
        <v>0</v>
      </c>
    </row>
    <row r="4900" spans="1:9" ht="15.6" hidden="1">
      <c r="A4900" s="51" t="s">
        <v>7836</v>
      </c>
      <c r="B4900" s="5">
        <v>139561</v>
      </c>
      <c r="C4900" s="38" t="s">
        <v>8572</v>
      </c>
      <c r="D4900" s="38"/>
      <c r="E4900" s="104">
        <v>1</v>
      </c>
      <c r="F4900" s="9"/>
      <c r="G4900" s="8"/>
      <c r="H4900" s="43">
        <v>10.81</v>
      </c>
      <c r="I4900" s="19">
        <f t="shared" si="143"/>
        <v>0</v>
      </c>
    </row>
    <row r="4901" spans="1:9" ht="15.6" hidden="1">
      <c r="A4901" s="51" t="s">
        <v>7836</v>
      </c>
      <c r="B4901" s="5">
        <v>139562</v>
      </c>
      <c r="C4901" s="38" t="s">
        <v>8573</v>
      </c>
      <c r="D4901" s="38"/>
      <c r="E4901" s="104">
        <v>1</v>
      </c>
      <c r="F4901" s="9"/>
      <c r="G4901" s="8"/>
      <c r="H4901" s="43">
        <v>12.55</v>
      </c>
      <c r="I4901" s="19">
        <f t="shared" si="143"/>
        <v>0</v>
      </c>
    </row>
    <row r="4902" spans="1:9" ht="15.6" hidden="1">
      <c r="A4902" s="51" t="s">
        <v>7836</v>
      </c>
      <c r="B4902" s="5">
        <v>139563</v>
      </c>
      <c r="C4902" s="38" t="s">
        <v>8574</v>
      </c>
      <c r="D4902" s="38"/>
      <c r="E4902" s="104">
        <v>1</v>
      </c>
      <c r="F4902" s="9"/>
      <c r="G4902" s="8"/>
      <c r="H4902" s="43">
        <v>10.81</v>
      </c>
      <c r="I4902" s="19">
        <f t="shared" si="143"/>
        <v>0</v>
      </c>
    </row>
    <row r="4903" spans="1:9" ht="15.6" hidden="1">
      <c r="A4903" s="51" t="s">
        <v>7836</v>
      </c>
      <c r="B4903" s="5">
        <v>139564</v>
      </c>
      <c r="C4903" s="38" t="s">
        <v>8575</v>
      </c>
      <c r="D4903" s="38"/>
      <c r="E4903" s="104">
        <v>1</v>
      </c>
      <c r="F4903" s="9"/>
      <c r="G4903" s="8"/>
      <c r="H4903" s="43">
        <v>6.42</v>
      </c>
      <c r="I4903" s="19">
        <f t="shared" si="143"/>
        <v>0</v>
      </c>
    </row>
    <row r="4904" spans="1:9" ht="15.6" hidden="1">
      <c r="A4904" s="51" t="s">
        <v>7836</v>
      </c>
      <c r="B4904" s="5">
        <v>139565</v>
      </c>
      <c r="C4904" s="38" t="s">
        <v>8576</v>
      </c>
      <c r="D4904" s="38"/>
      <c r="E4904" s="104">
        <v>1</v>
      </c>
      <c r="F4904" s="9"/>
      <c r="G4904" s="8"/>
      <c r="H4904" s="43">
        <v>9.11</v>
      </c>
      <c r="I4904" s="19">
        <f t="shared" si="143"/>
        <v>0</v>
      </c>
    </row>
    <row r="4905" spans="1:9" ht="15.6" hidden="1">
      <c r="A4905" s="51" t="s">
        <v>7836</v>
      </c>
      <c r="B4905" s="5">
        <v>139566</v>
      </c>
      <c r="C4905" s="38" t="s">
        <v>8577</v>
      </c>
      <c r="D4905" s="38"/>
      <c r="E4905" s="104">
        <v>1</v>
      </c>
      <c r="F4905" s="9"/>
      <c r="G4905" s="8"/>
      <c r="H4905" s="43">
        <v>12.4</v>
      </c>
      <c r="I4905" s="19">
        <f t="shared" si="143"/>
        <v>0</v>
      </c>
    </row>
    <row r="4906" spans="1:9" ht="15.6" hidden="1">
      <c r="A4906" s="51" t="s">
        <v>7836</v>
      </c>
      <c r="B4906" s="5">
        <v>139567</v>
      </c>
      <c r="C4906" s="38" t="s">
        <v>8578</v>
      </c>
      <c r="D4906" s="38"/>
      <c r="E4906" s="104">
        <v>1</v>
      </c>
      <c r="F4906" s="9"/>
      <c r="G4906" s="8"/>
      <c r="H4906" s="43">
        <v>15.78</v>
      </c>
      <c r="I4906" s="19">
        <f t="shared" si="143"/>
        <v>0</v>
      </c>
    </row>
    <row r="4907" spans="1:9" ht="15.6" hidden="1">
      <c r="A4907" s="51" t="s">
        <v>7836</v>
      </c>
      <c r="B4907" s="5">
        <v>139568</v>
      </c>
      <c r="C4907" s="38" t="s">
        <v>8579</v>
      </c>
      <c r="D4907" s="38"/>
      <c r="E4907" s="104">
        <v>1</v>
      </c>
      <c r="F4907" s="9"/>
      <c r="G4907" s="8"/>
      <c r="H4907" s="43">
        <v>19.29</v>
      </c>
      <c r="I4907" s="19">
        <f t="shared" si="143"/>
        <v>0</v>
      </c>
    </row>
    <row r="4908" spans="1:9" ht="15.6" hidden="1">
      <c r="A4908" s="51" t="s">
        <v>7836</v>
      </c>
      <c r="B4908" s="5">
        <v>139569</v>
      </c>
      <c r="C4908" s="38" t="s">
        <v>8580</v>
      </c>
      <c r="D4908" s="38"/>
      <c r="E4908" s="104">
        <v>1</v>
      </c>
      <c r="F4908" s="9"/>
      <c r="G4908" s="8"/>
      <c r="H4908" s="43">
        <v>22.52</v>
      </c>
      <c r="I4908" s="19">
        <f t="shared" si="143"/>
        <v>0</v>
      </c>
    </row>
    <row r="4909" spans="1:9" hidden="1">
      <c r="A4909" s="40" t="s">
        <v>8581</v>
      </c>
      <c r="B4909" s="5">
        <v>2359358</v>
      </c>
      <c r="C4909" s="2" t="s">
        <v>8582</v>
      </c>
      <c r="D4909" s="38"/>
      <c r="E4909" s="42">
        <v>1</v>
      </c>
      <c r="F4909" s="9"/>
      <c r="G4909" s="8"/>
      <c r="H4909" s="43">
        <v>84.08</v>
      </c>
      <c r="I4909" s="19">
        <f t="shared" si="140"/>
        <v>0</v>
      </c>
    </row>
    <row r="4910" spans="1:9">
      <c r="A4910" s="40" t="s">
        <v>8581</v>
      </c>
      <c r="B4910" s="5">
        <v>640002</v>
      </c>
      <c r="C4910" t="s">
        <v>8583</v>
      </c>
      <c r="D4910" s="38"/>
      <c r="E4910" s="42">
        <v>1</v>
      </c>
      <c r="F4910" s="9">
        <f>20*11</f>
        <v>220</v>
      </c>
      <c r="G4910" s="8"/>
      <c r="H4910" s="43">
        <v>2.46</v>
      </c>
      <c r="I4910" s="19">
        <f t="shared" si="140"/>
        <v>541.20000000000005</v>
      </c>
    </row>
    <row r="4911" spans="1:9" ht="15.6" hidden="1">
      <c r="A4911" s="108" t="s">
        <v>8584</v>
      </c>
      <c r="B4911" s="5" t="s">
        <v>8585</v>
      </c>
      <c r="C4911" s="38" t="s">
        <v>8586</v>
      </c>
      <c r="D4911" s="38"/>
      <c r="E4911" s="104">
        <v>1</v>
      </c>
      <c r="F4911" s="9"/>
      <c r="G4911" s="8"/>
      <c r="H4911" s="43">
        <v>16.29</v>
      </c>
      <c r="I4911" s="19">
        <f t="shared" si="140"/>
        <v>0</v>
      </c>
    </row>
    <row r="4912" spans="1:9" hidden="1">
      <c r="A4912" s="52" t="s">
        <v>8587</v>
      </c>
      <c r="B4912" s="4" t="s">
        <v>8588</v>
      </c>
      <c r="C4912" s="2" t="s">
        <v>8589</v>
      </c>
      <c r="D4912" s="38"/>
      <c r="E4912" s="42">
        <v>1</v>
      </c>
      <c r="F4912" s="9"/>
      <c r="G4912" s="8"/>
      <c r="H4912" s="43">
        <v>169.91</v>
      </c>
      <c r="I4912" s="19">
        <f>F4912*H4912</f>
        <v>0</v>
      </c>
    </row>
    <row r="4913" spans="1:10">
      <c r="A4913" s="52" t="s">
        <v>8587</v>
      </c>
      <c r="B4913" s="4" t="s">
        <v>8590</v>
      </c>
      <c r="C4913" s="2" t="s">
        <v>8591</v>
      </c>
      <c r="D4913" s="38"/>
      <c r="E4913" s="42">
        <v>1</v>
      </c>
      <c r="F4913" s="9">
        <f>1+(24/5.03)</f>
        <v>5.7713717693836974</v>
      </c>
      <c r="G4913" s="8"/>
      <c r="H4913" s="43">
        <v>169.91</v>
      </c>
      <c r="I4913" s="19">
        <f>F4913*H4913</f>
        <v>980.61377733598397</v>
      </c>
    </row>
    <row r="4914" spans="1:10" hidden="1">
      <c r="A4914" s="52" t="s">
        <v>8587</v>
      </c>
      <c r="B4914" s="4" t="s">
        <v>8588</v>
      </c>
      <c r="C4914" s="2" t="s">
        <v>8592</v>
      </c>
      <c r="D4914" s="38"/>
      <c r="E4914" s="42">
        <v>1</v>
      </c>
      <c r="F4914" s="9"/>
      <c r="G4914" s="8"/>
      <c r="H4914" s="43">
        <v>186.8</v>
      </c>
      <c r="I4914" s="19">
        <f>F4914*H4914</f>
        <v>0</v>
      </c>
    </row>
    <row r="4915" spans="1:10">
      <c r="A4915" s="52" t="s">
        <v>8587</v>
      </c>
      <c r="B4915" s="4" t="s">
        <v>8593</v>
      </c>
      <c r="C4915" s="2" t="s">
        <v>8594</v>
      </c>
      <c r="D4915" s="38"/>
      <c r="E4915" s="42">
        <v>1</v>
      </c>
      <c r="F4915" s="9">
        <v>2</v>
      </c>
      <c r="G4915" s="8"/>
      <c r="H4915" s="43">
        <v>186.8</v>
      </c>
      <c r="I4915" s="19">
        <f t="shared" ref="I4915" si="144">F4915*H4915</f>
        <v>373.6</v>
      </c>
      <c r="J4915" s="63"/>
    </row>
    <row r="4916" spans="1:10">
      <c r="A4916" s="52" t="s">
        <v>8587</v>
      </c>
      <c r="B4916" s="4" t="s">
        <v>8595</v>
      </c>
      <c r="C4916" s="2" t="s">
        <v>8596</v>
      </c>
      <c r="D4916" s="38"/>
      <c r="E4916" s="42">
        <v>1</v>
      </c>
      <c r="F4916" s="9">
        <v>27</v>
      </c>
      <c r="G4916" s="8"/>
      <c r="H4916" s="43">
        <v>220.58</v>
      </c>
      <c r="I4916" s="19">
        <f>F4916*H4916</f>
        <v>5955.6600000000008</v>
      </c>
    </row>
    <row r="4917" spans="1:10">
      <c r="A4917" s="52" t="s">
        <v>8587</v>
      </c>
      <c r="B4917" s="4" t="s">
        <v>8597</v>
      </c>
      <c r="C4917" s="2" t="s">
        <v>8598</v>
      </c>
      <c r="D4917" s="38"/>
      <c r="E4917" s="42">
        <v>1</v>
      </c>
      <c r="F4917" s="9">
        <v>120</v>
      </c>
      <c r="G4917" s="8"/>
      <c r="H4917" s="43">
        <v>25.27</v>
      </c>
      <c r="I4917" s="19">
        <f>F4917*H4917</f>
        <v>3032.4</v>
      </c>
    </row>
    <row r="4918" spans="1:10">
      <c r="A4918" s="52" t="s">
        <v>8587</v>
      </c>
      <c r="B4918" s="4" t="s">
        <v>8599</v>
      </c>
      <c r="C4918" s="2" t="s">
        <v>8600</v>
      </c>
      <c r="D4918" s="38"/>
      <c r="E4918" s="42">
        <v>1</v>
      </c>
      <c r="F4918" s="9">
        <f>109+(6*24)+(24/6)</f>
        <v>257</v>
      </c>
      <c r="G4918" s="8"/>
      <c r="H4918" s="43">
        <v>31.97</v>
      </c>
      <c r="I4918" s="19">
        <f t="shared" ref="I4918" si="145">F4918*H4918</f>
        <v>8216.2899999999991</v>
      </c>
    </row>
    <row r="4919" spans="1:10">
      <c r="A4919" s="52" t="s">
        <v>8587</v>
      </c>
      <c r="B4919" s="4" t="s">
        <v>8601</v>
      </c>
      <c r="C4919" s="2" t="s">
        <v>8602</v>
      </c>
      <c r="D4919" s="38"/>
      <c r="E4919" s="42">
        <v>1</v>
      </c>
      <c r="F4919" s="9">
        <f>84/6</f>
        <v>14</v>
      </c>
      <c r="G4919" s="8"/>
      <c r="H4919" s="43">
        <v>5.56</v>
      </c>
      <c r="I4919" s="19">
        <f>F4919*H4919</f>
        <v>77.839999999999989</v>
      </c>
    </row>
    <row r="4920" spans="1:10">
      <c r="A4920" s="52" t="s">
        <v>8587</v>
      </c>
      <c r="B4920" s="173" t="s">
        <v>8603</v>
      </c>
      <c r="C4920" s="2" t="s">
        <v>8604</v>
      </c>
      <c r="D4920" s="38"/>
      <c r="E4920" s="42">
        <v>1</v>
      </c>
      <c r="F4920" s="9">
        <f>95+1</f>
        <v>96</v>
      </c>
      <c r="G4920" s="8"/>
      <c r="H4920" s="43">
        <v>31.97</v>
      </c>
      <c r="I4920" s="19">
        <f>F4920*H4920</f>
        <v>3069.12</v>
      </c>
    </row>
    <row r="4921" spans="1:10">
      <c r="A4921" s="52" t="s">
        <v>8587</v>
      </c>
      <c r="B4921" s="173" t="s">
        <v>8605</v>
      </c>
      <c r="C4921" s="2" t="s">
        <v>8606</v>
      </c>
      <c r="D4921" s="38"/>
      <c r="E4921" s="42">
        <v>1</v>
      </c>
      <c r="F4921" s="9">
        <f>27+(30*6)+(222/6)</f>
        <v>244</v>
      </c>
      <c r="G4921" s="8"/>
      <c r="H4921" s="43">
        <v>31.97</v>
      </c>
      <c r="I4921" s="19">
        <f t="shared" ref="I4921:I5000" si="146">F4921*H4921</f>
        <v>7800.6799999999994</v>
      </c>
    </row>
    <row r="4922" spans="1:10" hidden="1">
      <c r="A4922" s="52" t="s">
        <v>8587</v>
      </c>
      <c r="B4922" s="4" t="s">
        <v>8607</v>
      </c>
      <c r="C4922" s="2" t="s">
        <v>8608</v>
      </c>
      <c r="D4922" s="38"/>
      <c r="E4922" s="42">
        <v>1</v>
      </c>
      <c r="F4922" s="9"/>
      <c r="G4922" s="8"/>
      <c r="H4922" s="43">
        <v>5.56</v>
      </c>
      <c r="I4922" s="19">
        <f t="shared" ref="I4922:I4938" si="147">F4922*H4922</f>
        <v>0</v>
      </c>
    </row>
    <row r="4923" spans="1:10">
      <c r="A4923" s="52" t="s">
        <v>8587</v>
      </c>
      <c r="B4923" s="4" t="s">
        <v>8609</v>
      </c>
      <c r="C4923" s="2" t="s">
        <v>8610</v>
      </c>
      <c r="D4923" s="38"/>
      <c r="E4923" s="42">
        <v>1</v>
      </c>
      <c r="F4923" s="9">
        <v>10</v>
      </c>
      <c r="G4923" s="8"/>
      <c r="H4923" s="43">
        <v>17.64</v>
      </c>
      <c r="I4923" s="19">
        <f t="shared" si="147"/>
        <v>176.4</v>
      </c>
    </row>
    <row r="4924" spans="1:10">
      <c r="A4924" s="52" t="s">
        <v>8587</v>
      </c>
      <c r="B4924" s="4" t="s">
        <v>8611</v>
      </c>
      <c r="C4924" s="2" t="s">
        <v>8612</v>
      </c>
      <c r="D4924" s="38"/>
      <c r="E4924" s="42">
        <v>1</v>
      </c>
      <c r="F4924" s="9">
        <f>28+58+68+(40/6)</f>
        <v>160.66666666666666</v>
      </c>
      <c r="G4924" s="8"/>
      <c r="H4924" s="43">
        <v>17.64</v>
      </c>
      <c r="I4924" s="19">
        <f t="shared" si="147"/>
        <v>2834.16</v>
      </c>
      <c r="J4924" t="s">
        <v>8613</v>
      </c>
    </row>
    <row r="4925" spans="1:10">
      <c r="A4925" s="52" t="s">
        <v>8587</v>
      </c>
      <c r="B4925" s="4"/>
      <c r="C4925" s="2" t="s">
        <v>8614</v>
      </c>
      <c r="D4925" s="38"/>
      <c r="E4925" s="42"/>
      <c r="F4925" s="9">
        <f>5+84</f>
        <v>89</v>
      </c>
      <c r="G4925" s="8"/>
      <c r="H4925" s="43">
        <v>17.64</v>
      </c>
      <c r="I4925" s="19">
        <f>F4925*H4925</f>
        <v>1569.96</v>
      </c>
    </row>
    <row r="4926" spans="1:10">
      <c r="A4926" s="52" t="s">
        <v>8587</v>
      </c>
      <c r="B4926" s="4"/>
      <c r="C4926" s="2" t="s">
        <v>8615</v>
      </c>
      <c r="D4926" s="38"/>
      <c r="E4926" s="42"/>
      <c r="F4926" s="9">
        <f>14+44+(41/6)</f>
        <v>64.833333333333329</v>
      </c>
      <c r="G4926" s="8"/>
      <c r="H4926" s="43">
        <v>17.64</v>
      </c>
      <c r="I4926" s="19">
        <f>F4926*H4926</f>
        <v>1143.6599999999999</v>
      </c>
    </row>
    <row r="4927" spans="1:10">
      <c r="A4927" s="52" t="s">
        <v>8587</v>
      </c>
      <c r="B4927" s="4" t="s">
        <v>8616</v>
      </c>
      <c r="C4927" s="2" t="s">
        <v>8617</v>
      </c>
      <c r="D4927" s="38"/>
      <c r="E4927" s="42">
        <v>1</v>
      </c>
      <c r="F4927" s="9">
        <f>3.6/6</f>
        <v>0.6</v>
      </c>
      <c r="G4927" s="8"/>
      <c r="H4927" s="43">
        <f>4.06*1.08</f>
        <v>4.3848000000000003</v>
      </c>
      <c r="I4927" s="19">
        <f>F4927*H4927</f>
        <v>2.6308799999999999</v>
      </c>
    </row>
    <row r="4928" spans="1:10">
      <c r="A4928" s="52" t="s">
        <v>8587</v>
      </c>
      <c r="B4928" s="4" t="s">
        <v>8618</v>
      </c>
      <c r="C4928" s="2" t="s">
        <v>8619</v>
      </c>
      <c r="D4928" s="38"/>
      <c r="E4928" s="42">
        <v>1</v>
      </c>
      <c r="F4928" s="9">
        <v>5</v>
      </c>
      <c r="G4928" s="8"/>
      <c r="H4928" s="43">
        <v>16.2</v>
      </c>
      <c r="I4928" s="19">
        <f t="shared" si="147"/>
        <v>81</v>
      </c>
    </row>
    <row r="4929" spans="1:9">
      <c r="A4929" s="52" t="s">
        <v>8587</v>
      </c>
      <c r="B4929" s="4" t="s">
        <v>8620</v>
      </c>
      <c r="C4929" s="2" t="s">
        <v>8621</v>
      </c>
      <c r="D4929" s="38"/>
      <c r="E4929" s="42">
        <v>1</v>
      </c>
      <c r="F4929" s="9">
        <v>6</v>
      </c>
      <c r="G4929" s="8"/>
      <c r="H4929" s="43">
        <v>20.399999999999999</v>
      </c>
      <c r="I4929" s="19">
        <f t="shared" si="147"/>
        <v>122.39999999999999</v>
      </c>
    </row>
    <row r="4930" spans="1:9" hidden="1">
      <c r="A4930" s="52" t="s">
        <v>8587</v>
      </c>
      <c r="B4930" s="4" t="s">
        <v>8622</v>
      </c>
      <c r="C4930" s="2" t="s">
        <v>8623</v>
      </c>
      <c r="D4930" s="38"/>
      <c r="E4930" s="42">
        <v>1</v>
      </c>
      <c r="F4930" s="9"/>
      <c r="G4930" s="8"/>
      <c r="H4930" s="43">
        <v>27.84</v>
      </c>
      <c r="I4930" s="19">
        <f t="shared" si="147"/>
        <v>0</v>
      </c>
    </row>
    <row r="4931" spans="1:9">
      <c r="A4931" s="52" t="s">
        <v>8587</v>
      </c>
      <c r="B4931" s="4" t="s">
        <v>8624</v>
      </c>
      <c r="C4931" s="2" t="s">
        <v>8625</v>
      </c>
      <c r="D4931" s="38"/>
      <c r="E4931" s="42">
        <v>1</v>
      </c>
      <c r="F4931" s="9">
        <f>(16/6)+4</f>
        <v>6.6666666666666661</v>
      </c>
      <c r="G4931" s="8"/>
      <c r="H4931" s="43">
        <v>5.16</v>
      </c>
      <c r="I4931" s="19">
        <f t="shared" si="147"/>
        <v>34.4</v>
      </c>
    </row>
    <row r="4932" spans="1:9">
      <c r="A4932" s="52" t="s">
        <v>8587</v>
      </c>
      <c r="B4932" s="4" t="s">
        <v>8626</v>
      </c>
      <c r="C4932" s="2" t="s">
        <v>8627</v>
      </c>
      <c r="D4932" s="38"/>
      <c r="E4932" s="42">
        <v>1</v>
      </c>
      <c r="F4932" s="9">
        <v>2</v>
      </c>
      <c r="G4932" s="8"/>
      <c r="H4932" s="43">
        <v>27.84</v>
      </c>
      <c r="I4932" s="19">
        <f t="shared" si="147"/>
        <v>55.68</v>
      </c>
    </row>
    <row r="4933" spans="1:9">
      <c r="A4933" s="52" t="s">
        <v>8587</v>
      </c>
      <c r="B4933" s="4" t="s">
        <v>8628</v>
      </c>
      <c r="C4933" s="2" t="s">
        <v>8629</v>
      </c>
      <c r="D4933" s="38"/>
      <c r="E4933" s="42">
        <v>1</v>
      </c>
      <c r="F4933" s="9">
        <f>1+(23/6)</f>
        <v>4.8333333333333339</v>
      </c>
      <c r="G4933" s="8"/>
      <c r="H4933" s="43">
        <v>5.6</v>
      </c>
      <c r="I4933" s="19">
        <f t="shared" si="147"/>
        <v>27.06666666666667</v>
      </c>
    </row>
    <row r="4934" spans="1:9">
      <c r="A4934" s="52" t="s">
        <v>8587</v>
      </c>
      <c r="B4934" s="4" t="s">
        <v>8630</v>
      </c>
      <c r="C4934" s="2" t="s">
        <v>8631</v>
      </c>
      <c r="D4934" s="38"/>
      <c r="E4934" s="42">
        <v>1</v>
      </c>
      <c r="F4934" s="9">
        <f>5/6</f>
        <v>0.83333333333333337</v>
      </c>
      <c r="G4934" s="8"/>
      <c r="H4934" s="43">
        <v>5.8</v>
      </c>
      <c r="I4934" s="19">
        <f t="shared" si="147"/>
        <v>4.833333333333333</v>
      </c>
    </row>
    <row r="4935" spans="1:9">
      <c r="A4935" s="52" t="s">
        <v>8587</v>
      </c>
      <c r="B4935" s="4" t="s">
        <v>8632</v>
      </c>
      <c r="C4935" s="2" t="s">
        <v>8633</v>
      </c>
      <c r="D4935" s="38"/>
      <c r="E4935" s="42">
        <v>1</v>
      </c>
      <c r="F4935" s="9">
        <f>4+(30/6)</f>
        <v>9</v>
      </c>
      <c r="G4935" s="8"/>
      <c r="H4935" s="43">
        <v>5.6</v>
      </c>
      <c r="I4935" s="19">
        <f t="shared" si="147"/>
        <v>50.4</v>
      </c>
    </row>
    <row r="4936" spans="1:9">
      <c r="A4936" s="52" t="s">
        <v>8587</v>
      </c>
      <c r="B4936" s="4" t="s">
        <v>8634</v>
      </c>
      <c r="C4936" s="2" t="s">
        <v>8635</v>
      </c>
      <c r="D4936" s="38"/>
      <c r="E4936" s="42">
        <v>1</v>
      </c>
      <c r="F4936" s="9">
        <f>10+(28/6)+(4.5/6)</f>
        <v>15.416666666666668</v>
      </c>
      <c r="G4936" s="8"/>
      <c r="H4936" s="43">
        <v>5.7</v>
      </c>
      <c r="I4936" s="19">
        <f t="shared" si="147"/>
        <v>87.875000000000014</v>
      </c>
    </row>
    <row r="4937" spans="1:9">
      <c r="A4937" s="52" t="s">
        <v>8587</v>
      </c>
      <c r="B4937" s="4" t="s">
        <v>8636</v>
      </c>
      <c r="C4937" s="2" t="s">
        <v>8637</v>
      </c>
      <c r="D4937" s="38"/>
      <c r="E4937" s="42">
        <v>1</v>
      </c>
      <c r="F4937" s="9">
        <f>7+(10/6)</f>
        <v>8.6666666666666661</v>
      </c>
      <c r="G4937" s="8"/>
      <c r="H4937" s="43">
        <v>6.39</v>
      </c>
      <c r="I4937" s="19">
        <f t="shared" si="147"/>
        <v>55.379999999999995</v>
      </c>
    </row>
    <row r="4938" spans="1:9">
      <c r="A4938" s="52" t="s">
        <v>8587</v>
      </c>
      <c r="B4938" s="4" t="s">
        <v>8638</v>
      </c>
      <c r="C4938" s="2" t="s">
        <v>8639</v>
      </c>
      <c r="D4938" s="38"/>
      <c r="E4938" s="42">
        <v>1</v>
      </c>
      <c r="F4938" s="9">
        <f>1+(4/6)</f>
        <v>1.6666666666666665</v>
      </c>
      <c r="G4938" s="8"/>
      <c r="H4938" s="43">
        <v>7.13</v>
      </c>
      <c r="I4938" s="19">
        <f t="shared" si="147"/>
        <v>11.883333333333333</v>
      </c>
    </row>
    <row r="4939" spans="1:9">
      <c r="A4939" s="52" t="s">
        <v>8587</v>
      </c>
      <c r="B4939" s="4" t="s">
        <v>8640</v>
      </c>
      <c r="C4939" s="2" t="s">
        <v>8641</v>
      </c>
      <c r="D4939" s="38"/>
      <c r="E4939" s="42">
        <v>1</v>
      </c>
      <c r="F4939" s="9">
        <f>4+(46/6)</f>
        <v>11.666666666666668</v>
      </c>
      <c r="G4939" s="8"/>
      <c r="H4939" s="43">
        <v>7.71</v>
      </c>
      <c r="I4939" s="19">
        <f t="shared" ref="I4939:I4970" si="148">F4939*H4939</f>
        <v>89.95</v>
      </c>
    </row>
    <row r="4940" spans="1:9">
      <c r="A4940" s="52" t="s">
        <v>8587</v>
      </c>
      <c r="B4940" s="4" t="s">
        <v>8642</v>
      </c>
      <c r="C4940" s="2" t="s">
        <v>8643</v>
      </c>
      <c r="D4940" s="38"/>
      <c r="E4940" s="42">
        <v>1</v>
      </c>
      <c r="F4940" s="9">
        <f>46/6</f>
        <v>7.666666666666667</v>
      </c>
      <c r="G4940" s="8"/>
      <c r="H4940" s="43">
        <v>7.33</v>
      </c>
      <c r="I4940" s="19">
        <f t="shared" si="148"/>
        <v>56.196666666666673</v>
      </c>
    </row>
    <row r="4941" spans="1:9">
      <c r="A4941" s="52" t="s">
        <v>8587</v>
      </c>
      <c r="B4941" s="4" t="s">
        <v>8644</v>
      </c>
      <c r="C4941" s="2" t="s">
        <v>8645</v>
      </c>
      <c r="D4941" s="38"/>
      <c r="E4941" s="42">
        <v>1</v>
      </c>
      <c r="F4941" s="9">
        <f>15+2+(10/6)</f>
        <v>18.666666666666668</v>
      </c>
      <c r="G4941" s="8"/>
      <c r="H4941" s="43">
        <f>4.06*2.1</f>
        <v>8.5259999999999998</v>
      </c>
      <c r="I4941" s="19">
        <f t="shared" si="148"/>
        <v>159.15200000000002</v>
      </c>
    </row>
    <row r="4942" spans="1:9">
      <c r="A4942" s="52" t="s">
        <v>8587</v>
      </c>
      <c r="B4942" s="4" t="s">
        <v>8646</v>
      </c>
      <c r="C4942" s="2" t="s">
        <v>8647</v>
      </c>
      <c r="D4942" s="38"/>
      <c r="E4942" s="42">
        <v>1</v>
      </c>
      <c r="F4942" s="9">
        <v>0.5</v>
      </c>
      <c r="G4942" s="8"/>
      <c r="H4942" s="43">
        <f>4.06*2.22</f>
        <v>9.0131999999999994</v>
      </c>
      <c r="I4942" s="19">
        <f t="shared" si="148"/>
        <v>4.5065999999999997</v>
      </c>
    </row>
    <row r="4943" spans="1:9">
      <c r="A4943" s="52" t="s">
        <v>8587</v>
      </c>
      <c r="B4943" s="4" t="s">
        <v>8648</v>
      </c>
      <c r="C4943" s="2" t="s">
        <v>8649</v>
      </c>
      <c r="D4943" s="38"/>
      <c r="E4943" s="42">
        <v>1</v>
      </c>
      <c r="F4943" s="9">
        <f>(67.5/6)+7</f>
        <v>18.25</v>
      </c>
      <c r="G4943" s="8"/>
      <c r="H4943" s="43">
        <f>4.06*2.52</f>
        <v>10.231199999999999</v>
      </c>
      <c r="I4943" s="19">
        <f t="shared" si="148"/>
        <v>186.71939999999998</v>
      </c>
    </row>
    <row r="4944" spans="1:9">
      <c r="A4944" s="52" t="s">
        <v>8587</v>
      </c>
      <c r="B4944" s="4" t="s">
        <v>8650</v>
      </c>
      <c r="C4944" s="2" t="s">
        <v>8651</v>
      </c>
      <c r="D4944" s="38"/>
      <c r="E4944" s="42">
        <v>1</v>
      </c>
      <c r="F4944" s="9">
        <v>0.8</v>
      </c>
      <c r="G4944" s="8"/>
      <c r="H4944" s="43">
        <f>4.06*1.86</f>
        <v>7.5515999999999996</v>
      </c>
      <c r="I4944" s="19">
        <f t="shared" si="148"/>
        <v>6.0412800000000004</v>
      </c>
    </row>
    <row r="4945" spans="1:9" hidden="1">
      <c r="A4945" s="52" t="s">
        <v>8587</v>
      </c>
      <c r="B4945" s="4" t="s">
        <v>8652</v>
      </c>
      <c r="C4945" s="2" t="s">
        <v>8653</v>
      </c>
      <c r="D4945" s="38"/>
      <c r="E4945" s="42">
        <v>1</v>
      </c>
      <c r="F4945" s="9"/>
      <c r="G4945" s="8"/>
      <c r="H4945" s="43">
        <f>4.06*1.86</f>
        <v>7.5515999999999996</v>
      </c>
      <c r="I4945" s="19">
        <f t="shared" si="148"/>
        <v>0</v>
      </c>
    </row>
    <row r="4946" spans="1:9">
      <c r="A4946" s="52" t="s">
        <v>8587</v>
      </c>
      <c r="B4946" s="4" t="s">
        <v>8654</v>
      </c>
      <c r="C4946" s="2" t="s">
        <v>8655</v>
      </c>
      <c r="D4946" s="38"/>
      <c r="E4946" s="42">
        <v>1</v>
      </c>
      <c r="F4946" s="9">
        <f>44/6</f>
        <v>7.333333333333333</v>
      </c>
      <c r="G4946" s="8"/>
      <c r="H4946" s="43">
        <f>4.06*2.34</f>
        <v>9.5003999999999991</v>
      </c>
      <c r="I4946" s="19">
        <f t="shared" si="148"/>
        <v>69.669599999999988</v>
      </c>
    </row>
    <row r="4947" spans="1:9">
      <c r="A4947" s="52" t="s">
        <v>8587</v>
      </c>
      <c r="B4947" s="4" t="s">
        <v>8656</v>
      </c>
      <c r="C4947" s="2" t="s">
        <v>8657</v>
      </c>
      <c r="D4947" s="38"/>
      <c r="E4947" s="42">
        <v>1</v>
      </c>
      <c r="F4947" s="9">
        <f>5+(6.6/6)</f>
        <v>6.1</v>
      </c>
      <c r="G4947" s="8"/>
      <c r="H4947" s="43">
        <f>4.06*2.22</f>
        <v>9.0131999999999994</v>
      </c>
      <c r="I4947" s="19">
        <f t="shared" si="148"/>
        <v>54.980519999999991</v>
      </c>
    </row>
    <row r="4948" spans="1:9">
      <c r="A4948" s="52" t="s">
        <v>8587</v>
      </c>
      <c r="B4948" s="4" t="s">
        <v>8658</v>
      </c>
      <c r="C4948" s="2" t="s">
        <v>8659</v>
      </c>
      <c r="D4948" s="38"/>
      <c r="E4948" s="42">
        <v>1</v>
      </c>
      <c r="F4948" s="9">
        <f>(6.6/6)</f>
        <v>1.0999999999999999</v>
      </c>
      <c r="G4948" s="8"/>
      <c r="H4948" s="43">
        <f>4.06*2.52</f>
        <v>10.231199999999999</v>
      </c>
      <c r="I4948" s="19">
        <f t="shared" si="148"/>
        <v>11.254319999999998</v>
      </c>
    </row>
    <row r="4949" spans="1:9">
      <c r="A4949" s="52" t="s">
        <v>8587</v>
      </c>
      <c r="B4949" s="4" t="s">
        <v>8660</v>
      </c>
      <c r="C4949" s="2" t="s">
        <v>8661</v>
      </c>
      <c r="D4949" s="38"/>
      <c r="E4949" s="42">
        <v>1</v>
      </c>
      <c r="F4949" s="9">
        <f>5+(18/6)</f>
        <v>8</v>
      </c>
      <c r="G4949" s="8"/>
      <c r="H4949" s="43">
        <f>4.06*4.74</f>
        <v>19.244399999999999</v>
      </c>
      <c r="I4949" s="19">
        <f t="shared" si="148"/>
        <v>153.95519999999999</v>
      </c>
    </row>
    <row r="4950" spans="1:9">
      <c r="A4950" s="52" t="s">
        <v>8587</v>
      </c>
      <c r="B4950" s="4" t="s">
        <v>8662</v>
      </c>
      <c r="C4950" s="2" t="s">
        <v>8663</v>
      </c>
      <c r="D4950" s="38"/>
      <c r="E4950" s="42">
        <v>1</v>
      </c>
      <c r="F4950" s="9">
        <v>1</v>
      </c>
      <c r="G4950" s="8"/>
      <c r="H4950" s="43">
        <f>4.06*7.68</f>
        <v>31.180799999999994</v>
      </c>
      <c r="I4950" s="19">
        <f t="shared" si="148"/>
        <v>31.180799999999994</v>
      </c>
    </row>
    <row r="4951" spans="1:9">
      <c r="A4951" s="52" t="s">
        <v>8587</v>
      </c>
      <c r="B4951" s="4" t="s">
        <v>8664</v>
      </c>
      <c r="C4951" s="2" t="s">
        <v>8665</v>
      </c>
      <c r="D4951" s="38"/>
      <c r="E4951" s="42">
        <v>1</v>
      </c>
      <c r="F4951" s="9">
        <f>1+(21/6)</f>
        <v>4.5</v>
      </c>
      <c r="G4951" s="8"/>
      <c r="H4951" s="43">
        <f>4.06*2.52</f>
        <v>10.231199999999999</v>
      </c>
      <c r="I4951" s="19">
        <f t="shared" si="148"/>
        <v>46.040399999999998</v>
      </c>
    </row>
    <row r="4952" spans="1:9">
      <c r="A4952" s="52" t="s">
        <v>8587</v>
      </c>
      <c r="B4952" s="4" t="s">
        <v>8666</v>
      </c>
      <c r="C4952" s="2" t="s">
        <v>8667</v>
      </c>
      <c r="D4952" s="38"/>
      <c r="E4952" s="42">
        <v>1</v>
      </c>
      <c r="F4952" s="9">
        <f>7+(12/6)</f>
        <v>9</v>
      </c>
      <c r="G4952" s="8"/>
      <c r="H4952" s="43">
        <f>4.06*2.88</f>
        <v>11.692799999999998</v>
      </c>
      <c r="I4952" s="19">
        <f t="shared" si="148"/>
        <v>105.23519999999999</v>
      </c>
    </row>
    <row r="4953" spans="1:9">
      <c r="A4953" s="52" t="s">
        <v>8587</v>
      </c>
      <c r="B4953" s="4" t="s">
        <v>8668</v>
      </c>
      <c r="C4953" s="2" t="s">
        <v>8669</v>
      </c>
      <c r="D4953" s="38"/>
      <c r="E4953" s="42">
        <v>1</v>
      </c>
      <c r="F4953" s="9">
        <f>3.3/6</f>
        <v>0.54999999999999993</v>
      </c>
      <c r="G4953" s="8"/>
      <c r="H4953" s="43">
        <f>4.06*3.18</f>
        <v>12.9108</v>
      </c>
      <c r="I4953" s="19">
        <f t="shared" si="148"/>
        <v>7.1009399999999996</v>
      </c>
    </row>
    <row r="4954" spans="1:9">
      <c r="A4954" s="52" t="s">
        <v>8587</v>
      </c>
      <c r="B4954" s="4" t="s">
        <v>8670</v>
      </c>
      <c r="C4954" s="2" t="s">
        <v>8671</v>
      </c>
      <c r="D4954" s="38"/>
      <c r="E4954" s="42">
        <v>1</v>
      </c>
      <c r="F4954" s="9">
        <f>3+(18/6)</f>
        <v>6</v>
      </c>
      <c r="G4954" s="8"/>
      <c r="H4954" s="43">
        <f>4.06*3.84</f>
        <v>15.590399999999997</v>
      </c>
      <c r="I4954" s="19">
        <f t="shared" si="148"/>
        <v>93.542399999999986</v>
      </c>
    </row>
    <row r="4955" spans="1:9" hidden="1">
      <c r="A4955" s="52" t="s">
        <v>8587</v>
      </c>
      <c r="B4955" s="4" t="s">
        <v>8672</v>
      </c>
      <c r="C4955" s="2" t="s">
        <v>8673</v>
      </c>
      <c r="D4955" s="38"/>
      <c r="E4955" s="42">
        <v>1</v>
      </c>
      <c r="F4955" s="9"/>
      <c r="G4955" s="8"/>
      <c r="H4955" s="43">
        <f>4.06*3.24</f>
        <v>13.154399999999999</v>
      </c>
      <c r="I4955" s="19">
        <f t="shared" si="148"/>
        <v>0</v>
      </c>
    </row>
    <row r="4956" spans="1:9">
      <c r="A4956" s="52" t="s">
        <v>8587</v>
      </c>
      <c r="B4956" s="4" t="s">
        <v>8674</v>
      </c>
      <c r="C4956" s="2" t="s">
        <v>8675</v>
      </c>
      <c r="D4956" s="38"/>
      <c r="E4956" s="42"/>
      <c r="F4956" s="9">
        <v>5</v>
      </c>
      <c r="G4956" s="8"/>
      <c r="H4956" s="43">
        <f>4.06*3.3</f>
        <v>13.397999999999998</v>
      </c>
      <c r="I4956" s="19">
        <f t="shared" si="148"/>
        <v>66.989999999999995</v>
      </c>
    </row>
    <row r="4957" spans="1:9">
      <c r="A4957" s="52" t="s">
        <v>8587</v>
      </c>
      <c r="B4957" s="4" t="s">
        <v>8676</v>
      </c>
      <c r="C4957" s="2" t="s">
        <v>8677</v>
      </c>
      <c r="D4957" s="38"/>
      <c r="E4957" s="42">
        <v>1</v>
      </c>
      <c r="F4957" s="9">
        <v>3</v>
      </c>
      <c r="G4957" s="8"/>
      <c r="H4957" s="43">
        <f>4.06*7.62</f>
        <v>30.937199999999997</v>
      </c>
      <c r="I4957" s="19">
        <f t="shared" si="148"/>
        <v>92.811599999999999</v>
      </c>
    </row>
    <row r="4958" spans="1:9">
      <c r="A4958" s="52" t="s">
        <v>8587</v>
      </c>
      <c r="B4958" s="4" t="s">
        <v>8678</v>
      </c>
      <c r="C4958" s="2" t="s">
        <v>8679</v>
      </c>
      <c r="D4958" s="38"/>
      <c r="E4958" s="42"/>
      <c r="F4958" s="9">
        <f>9.2/6</f>
        <v>1.5333333333333332</v>
      </c>
      <c r="G4958" s="8"/>
      <c r="H4958" s="43">
        <f>4.06*1.92</f>
        <v>7.7951999999999986</v>
      </c>
      <c r="I4958" s="19">
        <f t="shared" si="148"/>
        <v>11.952639999999997</v>
      </c>
    </row>
    <row r="4959" spans="1:9">
      <c r="A4959" s="52" t="s">
        <v>8587</v>
      </c>
      <c r="B4959" s="4" t="s">
        <v>8680</v>
      </c>
      <c r="C4959" s="2" t="s">
        <v>8681</v>
      </c>
      <c r="D4959" s="38"/>
      <c r="E4959" s="42">
        <v>1</v>
      </c>
      <c r="F4959" s="9">
        <f>8.8/6</f>
        <v>1.4666666666666668</v>
      </c>
      <c r="G4959" s="8"/>
      <c r="H4959" s="43">
        <f>4.06*2.22</f>
        <v>9.0131999999999994</v>
      </c>
      <c r="I4959" s="19">
        <f t="shared" si="148"/>
        <v>13.21936</v>
      </c>
    </row>
    <row r="4960" spans="1:9">
      <c r="A4960" s="52" t="s">
        <v>8587</v>
      </c>
      <c r="B4960" s="4" t="s">
        <v>8682</v>
      </c>
      <c r="C4960" s="2" t="s">
        <v>8683</v>
      </c>
      <c r="D4960" s="38"/>
      <c r="E4960" s="42"/>
      <c r="F4960" s="9">
        <f>1+(10/6)</f>
        <v>2.666666666666667</v>
      </c>
      <c r="G4960" s="8"/>
      <c r="H4960" s="43">
        <f>4.06*3.6</f>
        <v>14.616</v>
      </c>
      <c r="I4960" s="19">
        <f t="shared" si="148"/>
        <v>38.976000000000006</v>
      </c>
    </row>
    <row r="4961" spans="1:9">
      <c r="A4961" s="52" t="s">
        <v>8587</v>
      </c>
      <c r="B4961" s="4" t="s">
        <v>8684</v>
      </c>
      <c r="C4961" s="2" t="s">
        <v>8685</v>
      </c>
      <c r="D4961" s="38"/>
      <c r="E4961" s="42">
        <v>1</v>
      </c>
      <c r="F4961" s="9">
        <f>1+(12/6)</f>
        <v>3</v>
      </c>
      <c r="G4961" s="8"/>
      <c r="H4961" s="43">
        <f>4.06*3.3</f>
        <v>13.397999999999998</v>
      </c>
      <c r="I4961" s="19">
        <f t="shared" si="148"/>
        <v>40.193999999999996</v>
      </c>
    </row>
    <row r="4962" spans="1:9">
      <c r="A4962" s="52" t="s">
        <v>8587</v>
      </c>
      <c r="B4962" s="4" t="s">
        <v>8686</v>
      </c>
      <c r="C4962" s="2" t="s">
        <v>8687</v>
      </c>
      <c r="D4962" s="38"/>
      <c r="E4962" s="42">
        <v>1</v>
      </c>
      <c r="F4962" s="9">
        <f>36+(24/6)</f>
        <v>40</v>
      </c>
      <c r="G4962" s="8"/>
      <c r="H4962" s="43">
        <f>4.06*3.66</f>
        <v>14.859599999999999</v>
      </c>
      <c r="I4962" s="19">
        <f t="shared" si="148"/>
        <v>594.3839999999999</v>
      </c>
    </row>
    <row r="4963" spans="1:9">
      <c r="A4963" s="52" t="s">
        <v>8587</v>
      </c>
      <c r="B4963" s="4" t="s">
        <v>8688</v>
      </c>
      <c r="C4963" s="2" t="s">
        <v>8689</v>
      </c>
      <c r="D4963" s="38"/>
      <c r="E4963" s="42"/>
      <c r="F4963" s="9">
        <f>0.56+(2.3/6)</f>
        <v>0.94333333333333336</v>
      </c>
      <c r="G4963" s="8"/>
      <c r="H4963" s="43">
        <f>4.06*3.96</f>
        <v>16.077599999999997</v>
      </c>
      <c r="I4963" s="19">
        <f t="shared" si="148"/>
        <v>15.166535999999997</v>
      </c>
    </row>
    <row r="4964" spans="1:9" hidden="1">
      <c r="A4964" s="52" t="s">
        <v>8587</v>
      </c>
      <c r="B4964" s="4" t="s">
        <v>8690</v>
      </c>
      <c r="C4964" s="2" t="s">
        <v>8691</v>
      </c>
      <c r="D4964" s="38"/>
      <c r="E4964" s="42">
        <v>1</v>
      </c>
      <c r="F4964" s="9"/>
      <c r="G4964" s="8"/>
      <c r="H4964" s="43">
        <f>4.06*4.92</f>
        <v>19.975199999999997</v>
      </c>
      <c r="I4964" s="19">
        <f t="shared" si="148"/>
        <v>0</v>
      </c>
    </row>
    <row r="4965" spans="1:9">
      <c r="A4965" s="52" t="s">
        <v>8587</v>
      </c>
      <c r="B4965" s="4" t="s">
        <v>8692</v>
      </c>
      <c r="C4965" s="2" t="s">
        <v>8693</v>
      </c>
      <c r="D4965" s="38"/>
      <c r="E4965" s="42">
        <v>1</v>
      </c>
      <c r="F4965" s="9">
        <f>17+(15/6)</f>
        <v>19.5</v>
      </c>
      <c r="G4965" s="8"/>
      <c r="H4965" s="43">
        <f>4.06*7.14</f>
        <v>28.988399999999995</v>
      </c>
      <c r="I4965" s="19">
        <f t="shared" si="148"/>
        <v>565.27379999999994</v>
      </c>
    </row>
    <row r="4966" spans="1:9">
      <c r="A4966" s="52" t="s">
        <v>8587</v>
      </c>
      <c r="B4966" s="4" t="s">
        <v>8694</v>
      </c>
      <c r="C4966" s="2" t="s">
        <v>8695</v>
      </c>
      <c r="D4966" s="38"/>
      <c r="E4966" s="42"/>
      <c r="F4966" s="9">
        <f>2.8/6</f>
        <v>0.46666666666666662</v>
      </c>
      <c r="G4966" s="8"/>
      <c r="H4966" s="43">
        <f>4.06*3.96</f>
        <v>16.077599999999997</v>
      </c>
      <c r="I4966" s="19">
        <f t="shared" si="148"/>
        <v>7.5028799999999976</v>
      </c>
    </row>
    <row r="4967" spans="1:9">
      <c r="A4967" s="52" t="s">
        <v>8587</v>
      </c>
      <c r="B4967" s="4" t="s">
        <v>8696</v>
      </c>
      <c r="C4967" s="2" t="s">
        <v>8697</v>
      </c>
      <c r="D4967" s="38"/>
      <c r="E4967" s="42">
        <v>1</v>
      </c>
      <c r="F4967" s="9">
        <v>1</v>
      </c>
      <c r="G4967" s="8"/>
      <c r="H4967" s="43">
        <f>4.06*6.24</f>
        <v>25.334399999999999</v>
      </c>
      <c r="I4967" s="19">
        <f t="shared" si="148"/>
        <v>25.334399999999999</v>
      </c>
    </row>
    <row r="4968" spans="1:9" hidden="1">
      <c r="A4968" s="52" t="s">
        <v>8587</v>
      </c>
      <c r="B4968" s="4" t="s">
        <v>8698</v>
      </c>
      <c r="C4968" s="2" t="s">
        <v>8699</v>
      </c>
      <c r="D4968" s="38"/>
      <c r="E4968" s="42">
        <v>1</v>
      </c>
      <c r="F4968" s="9"/>
      <c r="G4968" s="8"/>
      <c r="H4968" s="43">
        <f>4.06*4.92</f>
        <v>19.975199999999997</v>
      </c>
      <c r="I4968" s="19">
        <f t="shared" si="148"/>
        <v>0</v>
      </c>
    </row>
    <row r="4969" spans="1:9">
      <c r="A4969" s="52" t="s">
        <v>8587</v>
      </c>
      <c r="B4969" s="4" t="s">
        <v>8700</v>
      </c>
      <c r="C4969" s="2" t="s">
        <v>8701</v>
      </c>
      <c r="D4969" s="38"/>
      <c r="E4969" s="42">
        <v>1</v>
      </c>
      <c r="F4969" s="9">
        <f>3.35/6</f>
        <v>0.55833333333333335</v>
      </c>
      <c r="G4969" s="8"/>
      <c r="H4969" s="43">
        <f>4.06*10.92</f>
        <v>44.335199999999993</v>
      </c>
      <c r="I4969" s="19">
        <f t="shared" si="148"/>
        <v>24.753819999999997</v>
      </c>
    </row>
    <row r="4970" spans="1:9">
      <c r="A4970" s="52" t="s">
        <v>8587</v>
      </c>
      <c r="B4970" s="4" t="s">
        <v>8702</v>
      </c>
      <c r="C4970" s="2" t="s">
        <v>8703</v>
      </c>
      <c r="D4970" s="38"/>
      <c r="E4970" s="42">
        <v>1</v>
      </c>
      <c r="F4970" s="9">
        <f>27+(11/6)</f>
        <v>28.833333333333332</v>
      </c>
      <c r="G4970" s="8"/>
      <c r="H4970" s="43">
        <f>4.06*6.24</f>
        <v>25.334399999999999</v>
      </c>
      <c r="I4970" s="19">
        <f t="shared" si="148"/>
        <v>730.47519999999997</v>
      </c>
    </row>
    <row r="4971" spans="1:9" hidden="1">
      <c r="A4971" s="52" t="s">
        <v>8587</v>
      </c>
      <c r="B4971" s="4" t="s">
        <v>8704</v>
      </c>
      <c r="C4971" s="2" t="s">
        <v>8705</v>
      </c>
      <c r="D4971" s="38"/>
      <c r="E4971" s="42">
        <v>1</v>
      </c>
      <c r="F4971" s="9"/>
      <c r="G4971" s="8"/>
      <c r="H4971" s="43">
        <f>4.06*7.68</f>
        <v>31.180799999999994</v>
      </c>
      <c r="I4971" s="19">
        <f t="shared" ref="I4971:I4995" si="149">F4971*H4971</f>
        <v>0</v>
      </c>
    </row>
    <row r="4972" spans="1:9">
      <c r="A4972" s="52" t="s">
        <v>8587</v>
      </c>
      <c r="B4972" s="4" t="s">
        <v>8706</v>
      </c>
      <c r="C4972" s="2" t="s">
        <v>8707</v>
      </c>
      <c r="D4972" s="38"/>
      <c r="E4972" s="42">
        <v>1</v>
      </c>
      <c r="F4972" s="9">
        <f>3.5/6</f>
        <v>0.58333333333333337</v>
      </c>
      <c r="G4972" s="8"/>
      <c r="H4972" s="43">
        <f>4.06*9.18</f>
        <v>37.270799999999994</v>
      </c>
      <c r="I4972" s="19">
        <f t="shared" si="149"/>
        <v>21.741299999999999</v>
      </c>
    </row>
    <row r="4973" spans="1:9">
      <c r="A4973" s="52" t="s">
        <v>8587</v>
      </c>
      <c r="B4973" s="4" t="s">
        <v>8708</v>
      </c>
      <c r="C4973" s="2" t="s">
        <v>8709</v>
      </c>
      <c r="D4973" s="38"/>
      <c r="E4973" s="42">
        <v>1</v>
      </c>
      <c r="F4973" s="9">
        <v>0.41599999999999998</v>
      </c>
      <c r="G4973" s="8"/>
      <c r="H4973" s="43">
        <f>4.06*9.66</f>
        <v>39.2196</v>
      </c>
      <c r="I4973" s="19">
        <f t="shared" si="149"/>
        <v>16.315353599999998</v>
      </c>
    </row>
    <row r="4974" spans="1:9">
      <c r="A4974" s="52" t="s">
        <v>8587</v>
      </c>
      <c r="B4974" s="4" t="s">
        <v>8710</v>
      </c>
      <c r="C4974" s="2" t="s">
        <v>8711</v>
      </c>
      <c r="D4974" s="38"/>
      <c r="E4974" s="42">
        <v>1</v>
      </c>
      <c r="F4974" s="9">
        <v>2.83</v>
      </c>
      <c r="G4974" s="8"/>
      <c r="H4974" s="43">
        <f>4.06*7.5</f>
        <v>30.449999999999996</v>
      </c>
      <c r="I4974" s="19">
        <f t="shared" si="149"/>
        <v>86.17349999999999</v>
      </c>
    </row>
    <row r="4975" spans="1:9">
      <c r="A4975" s="52" t="s">
        <v>8587</v>
      </c>
      <c r="B4975" s="4" t="s">
        <v>8712</v>
      </c>
      <c r="C4975" s="2" t="s">
        <v>8713</v>
      </c>
      <c r="D4975" s="38"/>
      <c r="E4975" s="42">
        <v>1</v>
      </c>
      <c r="F4975" s="9">
        <f>1+(16.5/6)</f>
        <v>3.75</v>
      </c>
      <c r="G4975" s="8"/>
      <c r="H4975" s="43">
        <f>4.06*6.24</f>
        <v>25.334399999999999</v>
      </c>
      <c r="I4975" s="19">
        <f t="shared" si="149"/>
        <v>95.003999999999991</v>
      </c>
    </row>
    <row r="4976" spans="1:9">
      <c r="A4976" s="52" t="s">
        <v>8587</v>
      </c>
      <c r="B4976" s="4" t="s">
        <v>8714</v>
      </c>
      <c r="C4976" s="2" t="s">
        <v>8715</v>
      </c>
      <c r="D4976" s="38"/>
      <c r="E4976" s="42"/>
      <c r="F4976" s="9">
        <f>(2.63/6)</f>
        <v>0.4383333333333333</v>
      </c>
      <c r="G4976" s="8"/>
      <c r="H4976" s="43">
        <f>4.06*6.9</f>
        <v>28.013999999999999</v>
      </c>
      <c r="I4976" s="19">
        <f t="shared" si="149"/>
        <v>12.279469999999998</v>
      </c>
    </row>
    <row r="4977" spans="1:9">
      <c r="A4977" s="52" t="s">
        <v>8587</v>
      </c>
      <c r="B4977" s="5" t="s">
        <v>8716</v>
      </c>
      <c r="C4977" s="2" t="s">
        <v>8717</v>
      </c>
      <c r="D4977" s="38"/>
      <c r="E4977" s="42">
        <v>1</v>
      </c>
      <c r="F4977" s="9">
        <f>7+(22.65/6)</f>
        <v>10.775</v>
      </c>
      <c r="G4977" s="8"/>
      <c r="H4977" s="43">
        <f>4.06*11.1</f>
        <v>45.065999999999995</v>
      </c>
      <c r="I4977" s="19">
        <f t="shared" si="149"/>
        <v>485.58614999999998</v>
      </c>
    </row>
    <row r="4978" spans="1:9">
      <c r="A4978" s="52" t="s">
        <v>8587</v>
      </c>
      <c r="B4978" s="4" t="s">
        <v>8718</v>
      </c>
      <c r="C4978" s="2" t="s">
        <v>8719</v>
      </c>
      <c r="D4978" s="38"/>
      <c r="E4978" s="42">
        <v>1</v>
      </c>
      <c r="F4978" s="9">
        <v>0.63</v>
      </c>
      <c r="G4978" s="8"/>
      <c r="H4978" s="43">
        <f>4.06*10.14</f>
        <v>41.168399999999998</v>
      </c>
      <c r="I4978" s="19">
        <f t="shared" si="149"/>
        <v>25.936091999999999</v>
      </c>
    </row>
    <row r="4979" spans="1:9">
      <c r="A4979" s="52" t="s">
        <v>8587</v>
      </c>
      <c r="B4979" s="4" t="s">
        <v>8720</v>
      </c>
      <c r="C4979" s="2" t="s">
        <v>8721</v>
      </c>
      <c r="D4979" s="38"/>
      <c r="E4979" s="42">
        <v>1</v>
      </c>
      <c r="F4979" s="9">
        <v>6</v>
      </c>
      <c r="G4979" s="8"/>
      <c r="H4979" s="43">
        <f>4.06*13.68</f>
        <v>55.54079999999999</v>
      </c>
      <c r="I4979" s="19">
        <f t="shared" si="149"/>
        <v>333.24479999999994</v>
      </c>
    </row>
    <row r="4980" spans="1:9">
      <c r="A4980" s="52" t="s">
        <v>8587</v>
      </c>
      <c r="B4980" s="4" t="s">
        <v>8722</v>
      </c>
      <c r="C4980" s="2" t="s">
        <v>8723</v>
      </c>
      <c r="D4980" s="38"/>
      <c r="E4980" s="42">
        <v>1</v>
      </c>
      <c r="F4980" s="9">
        <f>19+5+(3.8/6)</f>
        <v>24.633333333333333</v>
      </c>
      <c r="G4980" s="8"/>
      <c r="H4980" s="43">
        <f>4.06*7.5</f>
        <v>30.449999999999996</v>
      </c>
      <c r="I4980" s="19">
        <f t="shared" si="149"/>
        <v>750.08499999999992</v>
      </c>
    </row>
    <row r="4981" spans="1:9">
      <c r="A4981" s="52" t="s">
        <v>8587</v>
      </c>
      <c r="B4981" s="4" t="s">
        <v>8724</v>
      </c>
      <c r="C4981" s="2" t="s">
        <v>8725</v>
      </c>
      <c r="D4981" s="38"/>
      <c r="E4981" s="42"/>
      <c r="F4981" s="9">
        <f>6/6</f>
        <v>1</v>
      </c>
      <c r="G4981" s="8"/>
      <c r="H4981" s="43">
        <f>4.06*7.86</f>
        <v>31.9116</v>
      </c>
      <c r="I4981" s="19">
        <f t="shared" si="149"/>
        <v>31.9116</v>
      </c>
    </row>
    <row r="4982" spans="1:9">
      <c r="A4982" s="52" t="s">
        <v>8587</v>
      </c>
      <c r="B4982" s="4" t="s">
        <v>8726</v>
      </c>
      <c r="C4982" s="2" t="s">
        <v>8727</v>
      </c>
      <c r="D4982" s="38"/>
      <c r="E4982" s="42">
        <v>1</v>
      </c>
      <c r="F4982" s="9">
        <f>25+(32.4/6)</f>
        <v>30.4</v>
      </c>
      <c r="G4982" s="8"/>
      <c r="H4982" s="43">
        <f>4.06*8.82</f>
        <v>35.809199999999997</v>
      </c>
      <c r="I4982" s="19">
        <f t="shared" si="149"/>
        <v>1088.5996799999998</v>
      </c>
    </row>
    <row r="4983" spans="1:9" hidden="1">
      <c r="A4983" s="52" t="s">
        <v>8587</v>
      </c>
      <c r="B4983" s="4" t="s">
        <v>8728</v>
      </c>
      <c r="C4983" s="2" t="s">
        <v>8729</v>
      </c>
      <c r="D4983" s="38"/>
      <c r="E4983" s="42">
        <v>1</v>
      </c>
      <c r="F4983" s="9"/>
      <c r="G4983" s="8"/>
      <c r="H4983" s="43">
        <f>4.06*16.92</f>
        <v>68.6952</v>
      </c>
      <c r="I4983" s="19">
        <f t="shared" si="149"/>
        <v>0</v>
      </c>
    </row>
    <row r="4984" spans="1:9">
      <c r="A4984" s="52" t="s">
        <v>8587</v>
      </c>
      <c r="B4984" s="4" t="s">
        <v>8730</v>
      </c>
      <c r="C4984" s="2" t="s">
        <v>8731</v>
      </c>
      <c r="D4984" s="38"/>
      <c r="E4984" s="42">
        <v>1</v>
      </c>
      <c r="F4984" s="9">
        <v>1</v>
      </c>
      <c r="G4984" s="8"/>
      <c r="H4984" s="43">
        <f>4.06*10.08</f>
        <v>40.924799999999998</v>
      </c>
      <c r="I4984" s="19">
        <f t="shared" si="149"/>
        <v>40.924799999999998</v>
      </c>
    </row>
    <row r="4985" spans="1:9">
      <c r="A4985" s="52" t="s">
        <v>8587</v>
      </c>
      <c r="B4985" s="4" t="s">
        <v>8732</v>
      </c>
      <c r="C4985" s="2" t="s">
        <v>8733</v>
      </c>
      <c r="D4985" s="38"/>
      <c r="E4985" s="42">
        <v>1</v>
      </c>
      <c r="F4985" s="9">
        <v>1</v>
      </c>
      <c r="G4985" s="8"/>
      <c r="H4985" s="43">
        <f>4.06*19.68</f>
        <v>79.90079999999999</v>
      </c>
      <c r="I4985" s="19">
        <f t="shared" si="149"/>
        <v>79.90079999999999</v>
      </c>
    </row>
    <row r="4986" spans="1:9">
      <c r="A4986" s="52" t="s">
        <v>8587</v>
      </c>
      <c r="B4986" s="4" t="s">
        <v>8734</v>
      </c>
      <c r="C4986" s="2" t="s">
        <v>8735</v>
      </c>
      <c r="D4986" s="38"/>
      <c r="E4986" s="42">
        <v>1</v>
      </c>
      <c r="F4986" s="9">
        <v>1</v>
      </c>
      <c r="G4986" s="8"/>
      <c r="H4986" s="43">
        <f>4.06*12.72</f>
        <v>51.6432</v>
      </c>
      <c r="I4986" s="19">
        <f t="shared" si="149"/>
        <v>51.6432</v>
      </c>
    </row>
    <row r="4987" spans="1:9">
      <c r="A4987" s="52" t="s">
        <v>8587</v>
      </c>
      <c r="B4987" s="4" t="s">
        <v>8736</v>
      </c>
      <c r="C4987" s="2" t="s">
        <v>8737</v>
      </c>
      <c r="D4987" s="38"/>
      <c r="E4987" s="42">
        <v>1</v>
      </c>
      <c r="F4987" s="9">
        <f>17+(16.6/6)</f>
        <v>19.766666666666666</v>
      </c>
      <c r="G4987" s="8"/>
      <c r="H4987" s="43">
        <f>4.06*19.74</f>
        <v>80.14439999999999</v>
      </c>
      <c r="I4987" s="19">
        <f t="shared" si="149"/>
        <v>1584.1876399999996</v>
      </c>
    </row>
    <row r="4988" spans="1:9">
      <c r="A4988" s="52" t="s">
        <v>8587</v>
      </c>
      <c r="B4988" s="4" t="s">
        <v>8738</v>
      </c>
      <c r="C4988" s="2" t="s">
        <v>8739</v>
      </c>
      <c r="D4988" s="38"/>
      <c r="E4988" s="42">
        <v>1</v>
      </c>
      <c r="F4988" s="9">
        <v>1</v>
      </c>
      <c r="G4988" s="8"/>
      <c r="H4988" s="43">
        <f>4.06*21</f>
        <v>85.259999999999991</v>
      </c>
      <c r="I4988" s="19">
        <f t="shared" si="149"/>
        <v>85.259999999999991</v>
      </c>
    </row>
    <row r="4989" spans="1:9">
      <c r="A4989" s="52" t="s">
        <v>8587</v>
      </c>
      <c r="B4989" s="4" t="s">
        <v>8740</v>
      </c>
      <c r="C4989" s="2" t="s">
        <v>8741</v>
      </c>
      <c r="D4989" s="38"/>
      <c r="E4989" s="42">
        <v>1</v>
      </c>
      <c r="F4989" s="9">
        <f>3.27/6</f>
        <v>0.54500000000000004</v>
      </c>
      <c r="G4989" s="8"/>
      <c r="H4989" s="43">
        <f>4.06*14.16</f>
        <v>57.489599999999996</v>
      </c>
      <c r="I4989" s="19">
        <f t="shared" si="149"/>
        <v>31.331831999999999</v>
      </c>
    </row>
    <row r="4990" spans="1:9">
      <c r="A4990" s="52" t="s">
        <v>8587</v>
      </c>
      <c r="B4990" s="4" t="s">
        <v>8742</v>
      </c>
      <c r="C4990" s="2" t="s">
        <v>8743</v>
      </c>
      <c r="D4990" s="38"/>
      <c r="E4990" s="42">
        <v>1</v>
      </c>
      <c r="F4990" s="9">
        <f>4+(15/6)</f>
        <v>6.5</v>
      </c>
      <c r="G4990" s="8"/>
      <c r="H4990" s="43">
        <f>4.06*23.64</f>
        <v>95.978399999999993</v>
      </c>
      <c r="I4990" s="19">
        <f t="shared" si="149"/>
        <v>623.8596</v>
      </c>
    </row>
    <row r="4991" spans="1:9">
      <c r="A4991" s="52" t="s">
        <v>8587</v>
      </c>
      <c r="B4991" s="4" t="s">
        <v>8744</v>
      </c>
      <c r="C4991" s="2" t="s">
        <v>8745</v>
      </c>
      <c r="D4991" s="38"/>
      <c r="E4991" s="42">
        <v>1</v>
      </c>
      <c r="F4991" s="9">
        <f>8+1+0.5</f>
        <v>9.5</v>
      </c>
      <c r="G4991" s="8"/>
      <c r="H4991" s="43">
        <f>4.06*31.38</f>
        <v>127.40279999999998</v>
      </c>
      <c r="I4991" s="19">
        <f t="shared" si="149"/>
        <v>1210.3265999999999</v>
      </c>
    </row>
    <row r="4992" spans="1:9">
      <c r="A4992" s="52" t="s">
        <v>8587</v>
      </c>
      <c r="B4992" s="4" t="s">
        <v>8746</v>
      </c>
      <c r="C4992" s="2" t="s">
        <v>8747</v>
      </c>
      <c r="D4992" s="38"/>
      <c r="E4992" s="42"/>
      <c r="F4992" s="9">
        <f>1.9/6</f>
        <v>0.31666666666666665</v>
      </c>
      <c r="G4992" s="8"/>
      <c r="H4992" s="43">
        <f>4.06*1.26</f>
        <v>5.1155999999999997</v>
      </c>
      <c r="I4992" s="19">
        <f t="shared" si="149"/>
        <v>1.6199399999999999</v>
      </c>
    </row>
    <row r="4993" spans="1:10" hidden="1">
      <c r="A4993" s="52" t="s">
        <v>8587</v>
      </c>
      <c r="B4993" s="4" t="s">
        <v>8748</v>
      </c>
      <c r="C4993" s="2" t="s">
        <v>8749</v>
      </c>
      <c r="D4993" s="38"/>
      <c r="E4993" s="42">
        <v>1</v>
      </c>
      <c r="F4993" s="9"/>
      <c r="G4993" s="8"/>
      <c r="H4993" s="43">
        <f>4.06*2.52</f>
        <v>10.231199999999999</v>
      </c>
      <c r="I4993" s="19">
        <f t="shared" si="149"/>
        <v>0</v>
      </c>
    </row>
    <row r="4994" spans="1:10">
      <c r="A4994" s="52" t="s">
        <v>8587</v>
      </c>
      <c r="B4994" s="4" t="s">
        <v>8750</v>
      </c>
      <c r="C4994" s="2" t="s">
        <v>8751</v>
      </c>
      <c r="D4994" s="38"/>
      <c r="E4994" s="42"/>
      <c r="F4994" s="9">
        <f>9/6</f>
        <v>1.5</v>
      </c>
      <c r="G4994" s="8"/>
      <c r="H4994" s="43">
        <f>4.06*4.74</f>
        <v>19.244399999999999</v>
      </c>
      <c r="I4994" s="19">
        <f t="shared" si="149"/>
        <v>28.866599999999998</v>
      </c>
    </row>
    <row r="4995" spans="1:10">
      <c r="A4995" s="52" t="s">
        <v>8587</v>
      </c>
      <c r="B4995" s="4" t="s">
        <v>8752</v>
      </c>
      <c r="C4995" s="2" t="s">
        <v>8753</v>
      </c>
      <c r="D4995" s="38"/>
      <c r="E4995" s="42">
        <v>1</v>
      </c>
      <c r="F4995" s="9">
        <f>3/6</f>
        <v>0.5</v>
      </c>
      <c r="G4995" s="8"/>
      <c r="H4995" s="43">
        <f>4.06*4.14</f>
        <v>16.808399999999995</v>
      </c>
      <c r="I4995" s="19">
        <f t="shared" si="149"/>
        <v>8.4041999999999977</v>
      </c>
    </row>
    <row r="4996" spans="1:10" hidden="1">
      <c r="A4996" s="147" t="s">
        <v>8754</v>
      </c>
      <c r="B4996" s="4"/>
      <c r="C4996" s="2" t="s">
        <v>8755</v>
      </c>
      <c r="D4996" s="38"/>
      <c r="E4996" s="42">
        <v>1</v>
      </c>
      <c r="F4996" s="9"/>
      <c r="G4996" s="8"/>
      <c r="H4996" s="43">
        <v>130</v>
      </c>
      <c r="I4996" s="19">
        <f t="shared" si="146"/>
        <v>0</v>
      </c>
    </row>
    <row r="4997" spans="1:10" hidden="1">
      <c r="A4997" s="147" t="s">
        <v>8754</v>
      </c>
      <c r="B4997" s="4"/>
      <c r="C4997" s="2" t="s">
        <v>8756</v>
      </c>
      <c r="D4997" s="38"/>
      <c r="E4997" s="42">
        <v>1</v>
      </c>
      <c r="F4997" s="9"/>
      <c r="G4997" s="8"/>
      <c r="H4997" s="43">
        <v>38</v>
      </c>
      <c r="I4997" s="19">
        <f t="shared" si="146"/>
        <v>0</v>
      </c>
    </row>
    <row r="4998" spans="1:10" hidden="1">
      <c r="A4998" s="147" t="s">
        <v>8754</v>
      </c>
      <c r="B4998" s="4"/>
      <c r="C4998" s="2" t="s">
        <v>8757</v>
      </c>
      <c r="D4998" s="38"/>
      <c r="E4998" s="42">
        <v>1</v>
      </c>
      <c r="F4998" s="9"/>
      <c r="G4998" s="8"/>
      <c r="H4998" s="43">
        <v>15</v>
      </c>
      <c r="I4998" s="19">
        <f t="shared" si="146"/>
        <v>0</v>
      </c>
    </row>
    <row r="4999" spans="1:10" hidden="1">
      <c r="A4999" s="147" t="s">
        <v>8754</v>
      </c>
      <c r="B4999" s="4"/>
      <c r="C4999" s="2" t="s">
        <v>8758</v>
      </c>
      <c r="D4999" s="38"/>
      <c r="E4999" s="42">
        <v>1</v>
      </c>
      <c r="F4999" s="9"/>
      <c r="G4999" s="8"/>
      <c r="H4999" s="43">
        <v>50</v>
      </c>
      <c r="I4999" s="19">
        <f t="shared" si="146"/>
        <v>0</v>
      </c>
    </row>
    <row r="5000" spans="1:10" hidden="1">
      <c r="A5000" s="147" t="s">
        <v>8754</v>
      </c>
      <c r="B5000" s="4"/>
      <c r="C5000" s="2" t="s">
        <v>8759</v>
      </c>
      <c r="D5000" s="38"/>
      <c r="E5000" s="42">
        <v>1</v>
      </c>
      <c r="F5000" s="9"/>
      <c r="G5000" s="8"/>
      <c r="H5000" s="43">
        <v>44</v>
      </c>
      <c r="I5000" s="19">
        <f t="shared" si="146"/>
        <v>0</v>
      </c>
    </row>
    <row r="5001" spans="1:10">
      <c r="A5001" s="49" t="s">
        <v>8760</v>
      </c>
      <c r="B5001" s="5" t="s">
        <v>8761</v>
      </c>
      <c r="C5001" s="32" t="s">
        <v>8762</v>
      </c>
      <c r="D5001" s="32"/>
      <c r="E5001" s="2">
        <v>1</v>
      </c>
      <c r="F5001" s="9">
        <v>489</v>
      </c>
      <c r="G5001" s="8">
        <f>H5001+(H5001*5%)</f>
        <v>1.5855000000000001</v>
      </c>
      <c r="H5001" s="16">
        <v>1.51</v>
      </c>
      <c r="I5001" s="19">
        <f>G5001*F5001</f>
        <v>775.30950000000007</v>
      </c>
      <c r="J5001" s="63"/>
    </row>
    <row r="5002" spans="1:10" hidden="1">
      <c r="A5002" s="49" t="s">
        <v>8760</v>
      </c>
      <c r="B5002" s="5">
        <v>110000</v>
      </c>
      <c r="C5002" s="124" t="s">
        <v>8763</v>
      </c>
      <c r="D5002" s="115" t="s">
        <v>2488</v>
      </c>
      <c r="E5002" s="164">
        <v>1</v>
      </c>
      <c r="F5002" s="9"/>
      <c r="G5002" s="8">
        <f t="shared" ref="G5002:G5065" si="150">H5002+(H5002*5%)</f>
        <v>7.5621</v>
      </c>
      <c r="H5002" s="165">
        <v>7.202</v>
      </c>
      <c r="I5002" s="19">
        <f t="shared" ref="I5002:I5065" si="151">G5002*F5002</f>
        <v>0</v>
      </c>
    </row>
    <row r="5003" spans="1:10">
      <c r="A5003" s="49" t="s">
        <v>8760</v>
      </c>
      <c r="B5003" s="5">
        <v>110010</v>
      </c>
      <c r="C5003" s="124" t="s">
        <v>8764</v>
      </c>
      <c r="D5003" s="115" t="s">
        <v>2488</v>
      </c>
      <c r="E5003" s="164">
        <v>1</v>
      </c>
      <c r="F5003" s="9">
        <f>1+90</f>
        <v>91</v>
      </c>
      <c r="G5003" s="8">
        <f t="shared" si="150"/>
        <v>10.52205</v>
      </c>
      <c r="H5003" s="165">
        <v>10.021000000000001</v>
      </c>
      <c r="I5003" s="19">
        <f t="shared" si="151"/>
        <v>957.50655000000006</v>
      </c>
    </row>
    <row r="5004" spans="1:10" hidden="1">
      <c r="A5004" s="49" t="s">
        <v>8760</v>
      </c>
      <c r="B5004" s="5">
        <v>110013</v>
      </c>
      <c r="C5004" s="124" t="s">
        <v>8765</v>
      </c>
      <c r="D5004" s="115" t="s">
        <v>2488</v>
      </c>
      <c r="E5004" s="164">
        <v>1</v>
      </c>
      <c r="F5004" s="9"/>
      <c r="G5004" s="8">
        <f t="shared" si="150"/>
        <v>7.9695</v>
      </c>
      <c r="H5004" s="165">
        <v>7.59</v>
      </c>
      <c r="I5004" s="19">
        <f t="shared" si="151"/>
        <v>0</v>
      </c>
    </row>
    <row r="5005" spans="1:10">
      <c r="A5005" s="49" t="s">
        <v>8760</v>
      </c>
      <c r="B5005" s="5">
        <v>110020</v>
      </c>
      <c r="C5005" s="124" t="s">
        <v>8766</v>
      </c>
      <c r="D5005" s="115" t="s">
        <v>2488</v>
      </c>
      <c r="E5005" s="164">
        <v>1</v>
      </c>
      <c r="F5005" s="9">
        <v>6</v>
      </c>
      <c r="G5005" s="8">
        <f t="shared" si="150"/>
        <v>20.726999999999997</v>
      </c>
      <c r="H5005" s="165">
        <v>19.739999999999998</v>
      </c>
      <c r="I5005" s="19">
        <f t="shared" si="151"/>
        <v>124.36199999999998</v>
      </c>
    </row>
    <row r="5006" spans="1:10" hidden="1">
      <c r="A5006" s="49" t="s">
        <v>8760</v>
      </c>
      <c r="B5006" s="5">
        <v>110030</v>
      </c>
      <c r="C5006" s="124" t="s">
        <v>8767</v>
      </c>
      <c r="D5006" s="115" t="s">
        <v>2488</v>
      </c>
      <c r="E5006" s="164">
        <v>1</v>
      </c>
      <c r="F5006" s="9"/>
      <c r="G5006" s="8">
        <f t="shared" si="150"/>
        <v>153.90165000000002</v>
      </c>
      <c r="H5006" s="165">
        <v>146.57300000000001</v>
      </c>
      <c r="I5006" s="19">
        <f t="shared" si="151"/>
        <v>0</v>
      </c>
    </row>
    <row r="5007" spans="1:10">
      <c r="A5007" s="49" t="s">
        <v>8760</v>
      </c>
      <c r="B5007" s="5">
        <v>110040</v>
      </c>
      <c r="C5007" s="124" t="s">
        <v>8768</v>
      </c>
      <c r="D5007" s="115" t="s">
        <v>2488</v>
      </c>
      <c r="E5007" s="164">
        <v>1</v>
      </c>
      <c r="F5007" s="9">
        <v>3</v>
      </c>
      <c r="G5007" s="8">
        <f t="shared" si="150"/>
        <v>108.47340000000001</v>
      </c>
      <c r="H5007" s="165">
        <v>103.30800000000001</v>
      </c>
      <c r="I5007" s="19">
        <f t="shared" si="151"/>
        <v>325.42020000000002</v>
      </c>
    </row>
    <row r="5008" spans="1:10" hidden="1">
      <c r="A5008" s="49" t="s">
        <v>8760</v>
      </c>
      <c r="B5008" s="5">
        <v>110050</v>
      </c>
      <c r="C5008" s="124" t="s">
        <v>8769</v>
      </c>
      <c r="D5008" s="115" t="s">
        <v>2488</v>
      </c>
      <c r="E5008" s="164">
        <v>1</v>
      </c>
      <c r="F5008" s="9"/>
      <c r="G5008" s="8">
        <f t="shared" si="150"/>
        <v>15.978899999999999</v>
      </c>
      <c r="H5008" s="165">
        <v>15.218</v>
      </c>
      <c r="I5008" s="19">
        <f t="shared" si="151"/>
        <v>0</v>
      </c>
    </row>
    <row r="5009" spans="1:10" hidden="1">
      <c r="A5009" s="49" t="s">
        <v>8760</v>
      </c>
      <c r="B5009" s="5">
        <v>110060</v>
      </c>
      <c r="C5009" s="124" t="s">
        <v>8770</v>
      </c>
      <c r="D5009" s="115" t="s">
        <v>2488</v>
      </c>
      <c r="E5009" s="164">
        <v>1</v>
      </c>
      <c r="F5009" s="9"/>
      <c r="G5009" s="8">
        <f t="shared" si="150"/>
        <v>31.8276</v>
      </c>
      <c r="H5009" s="165">
        <v>30.312000000000001</v>
      </c>
      <c r="I5009" s="19">
        <f t="shared" si="151"/>
        <v>0</v>
      </c>
    </row>
    <row r="5010" spans="1:10" hidden="1">
      <c r="A5010" s="49" t="s">
        <v>8760</v>
      </c>
      <c r="B5010" s="5">
        <v>110070</v>
      </c>
      <c r="C5010" s="124" t="s">
        <v>8771</v>
      </c>
      <c r="D5010" s="115" t="s">
        <v>2488</v>
      </c>
      <c r="E5010" s="164">
        <v>1</v>
      </c>
      <c r="F5010" s="9"/>
      <c r="G5010" s="8">
        <f t="shared" si="150"/>
        <v>39.138750000000002</v>
      </c>
      <c r="H5010" s="165">
        <v>37.274999999999999</v>
      </c>
      <c r="I5010" s="19">
        <f t="shared" si="151"/>
        <v>0</v>
      </c>
      <c r="J5010" s="64"/>
    </row>
    <row r="5011" spans="1:10" hidden="1">
      <c r="A5011" s="49" t="s">
        <v>8760</v>
      </c>
      <c r="B5011" s="5">
        <v>110080</v>
      </c>
      <c r="C5011" s="124" t="s">
        <v>8772</v>
      </c>
      <c r="D5011" s="115" t="s">
        <v>2488</v>
      </c>
      <c r="E5011" s="164">
        <v>1</v>
      </c>
      <c r="F5011" s="9"/>
      <c r="G5011" s="8">
        <f t="shared" si="150"/>
        <v>119.48475000000001</v>
      </c>
      <c r="H5011" s="165">
        <v>113.795</v>
      </c>
      <c r="I5011" s="19">
        <f t="shared" si="151"/>
        <v>0</v>
      </c>
    </row>
    <row r="5012" spans="1:10" hidden="1">
      <c r="A5012" s="49" t="s">
        <v>8760</v>
      </c>
      <c r="B5012" s="5">
        <v>110090</v>
      </c>
      <c r="C5012" s="124" t="s">
        <v>8773</v>
      </c>
      <c r="D5012" s="115" t="s">
        <v>2488</v>
      </c>
      <c r="E5012" s="164">
        <v>1</v>
      </c>
      <c r="F5012" s="9"/>
      <c r="G5012" s="8">
        <f t="shared" si="150"/>
        <v>24.389400000000002</v>
      </c>
      <c r="H5012" s="165">
        <v>23.228000000000002</v>
      </c>
      <c r="I5012" s="19">
        <f t="shared" si="151"/>
        <v>0</v>
      </c>
    </row>
    <row r="5013" spans="1:10" hidden="1">
      <c r="A5013" s="49" t="s">
        <v>8760</v>
      </c>
      <c r="B5013" s="5">
        <v>110100</v>
      </c>
      <c r="C5013" s="124" t="s">
        <v>8774</v>
      </c>
      <c r="D5013" s="115" t="s">
        <v>2488</v>
      </c>
      <c r="E5013" s="164">
        <v>1</v>
      </c>
      <c r="F5013" s="9"/>
      <c r="G5013" s="8">
        <f t="shared" si="150"/>
        <v>57.359400000000001</v>
      </c>
      <c r="H5013" s="165">
        <v>54.628</v>
      </c>
      <c r="I5013" s="19">
        <f t="shared" si="151"/>
        <v>0</v>
      </c>
    </row>
    <row r="5014" spans="1:10" hidden="1">
      <c r="A5014" s="49" t="s">
        <v>8760</v>
      </c>
      <c r="B5014" s="5">
        <v>110140</v>
      </c>
      <c r="C5014" s="124" t="s">
        <v>8775</v>
      </c>
      <c r="D5014" s="115" t="s">
        <v>2488</v>
      </c>
      <c r="E5014" s="164">
        <v>1</v>
      </c>
      <c r="F5014" s="9"/>
      <c r="G5014" s="8">
        <f t="shared" si="150"/>
        <v>13.65</v>
      </c>
      <c r="H5014" s="165">
        <v>13</v>
      </c>
      <c r="I5014" s="19">
        <f t="shared" si="151"/>
        <v>0</v>
      </c>
    </row>
    <row r="5015" spans="1:10" hidden="1">
      <c r="A5015" s="49" t="s">
        <v>8760</v>
      </c>
      <c r="B5015" s="5">
        <v>110170</v>
      </c>
      <c r="C5015" s="124" t="s">
        <v>8776</v>
      </c>
      <c r="D5015" s="115" t="s">
        <v>2488</v>
      </c>
      <c r="E5015" s="164">
        <v>1</v>
      </c>
      <c r="F5015" s="9"/>
      <c r="G5015" s="8">
        <f t="shared" si="150"/>
        <v>10.318350000000001</v>
      </c>
      <c r="H5015" s="165">
        <v>9.827</v>
      </c>
      <c r="I5015" s="19">
        <f t="shared" si="151"/>
        <v>0</v>
      </c>
    </row>
    <row r="5016" spans="1:10" hidden="1">
      <c r="A5016" s="49" t="s">
        <v>8760</v>
      </c>
      <c r="B5016" s="5">
        <v>110180</v>
      </c>
      <c r="C5016" t="s">
        <v>8777</v>
      </c>
      <c r="D5016" s="115" t="s">
        <v>2488</v>
      </c>
      <c r="E5016" s="164">
        <v>1</v>
      </c>
      <c r="F5016" s="9"/>
      <c r="G5016" s="8">
        <f t="shared" si="150"/>
        <v>18.567149999999998</v>
      </c>
      <c r="H5016" s="165">
        <v>17.683</v>
      </c>
      <c r="I5016" s="19">
        <f t="shared" si="151"/>
        <v>0</v>
      </c>
    </row>
    <row r="5017" spans="1:10" hidden="1">
      <c r="A5017" s="49" t="s">
        <v>8760</v>
      </c>
      <c r="B5017" s="5">
        <v>111030</v>
      </c>
      <c r="C5017" s="124" t="s">
        <v>8778</v>
      </c>
      <c r="D5017" s="115" t="s">
        <v>2488</v>
      </c>
      <c r="E5017" s="164">
        <v>1</v>
      </c>
      <c r="F5017" s="9"/>
      <c r="G5017" s="8">
        <f t="shared" si="150"/>
        <v>153.90165000000002</v>
      </c>
      <c r="H5017" s="165">
        <v>146.57300000000001</v>
      </c>
      <c r="I5017" s="19">
        <f t="shared" si="151"/>
        <v>0</v>
      </c>
    </row>
    <row r="5018" spans="1:10" hidden="1">
      <c r="A5018" s="49" t="s">
        <v>8760</v>
      </c>
      <c r="B5018" s="5">
        <v>111040</v>
      </c>
      <c r="C5018" s="124" t="s">
        <v>8779</v>
      </c>
      <c r="D5018" s="115" t="s">
        <v>2488</v>
      </c>
      <c r="E5018" s="164">
        <v>1</v>
      </c>
      <c r="F5018" s="9"/>
      <c r="G5018" s="8">
        <f t="shared" si="150"/>
        <v>107.25120000000001</v>
      </c>
      <c r="H5018" s="165">
        <v>102.14400000000001</v>
      </c>
      <c r="I5018" s="19">
        <f t="shared" si="151"/>
        <v>0</v>
      </c>
    </row>
    <row r="5019" spans="1:10" hidden="1">
      <c r="A5019" s="49" t="s">
        <v>8760</v>
      </c>
      <c r="B5019" s="5">
        <v>111080</v>
      </c>
      <c r="C5019" s="125" t="s">
        <v>8780</v>
      </c>
      <c r="D5019" s="115" t="s">
        <v>2488</v>
      </c>
      <c r="E5019" s="164">
        <v>1</v>
      </c>
      <c r="F5019" s="9"/>
      <c r="G5019" s="8">
        <f t="shared" si="150"/>
        <v>108.2928</v>
      </c>
      <c r="H5019" s="165">
        <v>103.136</v>
      </c>
      <c r="I5019" s="19">
        <f t="shared" si="151"/>
        <v>0</v>
      </c>
    </row>
    <row r="5020" spans="1:10" hidden="1">
      <c r="A5020" s="49" t="s">
        <v>8760</v>
      </c>
      <c r="B5020" s="5">
        <v>111180</v>
      </c>
      <c r="C5020" s="125" t="s">
        <v>8781</v>
      </c>
      <c r="D5020" s="115" t="s">
        <v>2488</v>
      </c>
      <c r="E5020" s="164">
        <v>1</v>
      </c>
      <c r="F5020" s="9"/>
      <c r="G5020" s="8">
        <f t="shared" si="150"/>
        <v>6.6821999999999999</v>
      </c>
      <c r="H5020" s="165">
        <v>6.3639999999999999</v>
      </c>
      <c r="I5020" s="19">
        <f t="shared" si="151"/>
        <v>0</v>
      </c>
    </row>
    <row r="5021" spans="1:10" hidden="1">
      <c r="A5021" s="49" t="s">
        <v>8760</v>
      </c>
      <c r="B5021" s="5">
        <v>112001</v>
      </c>
      <c r="C5021" s="125" t="s">
        <v>8782</v>
      </c>
      <c r="D5021" s="115" t="s">
        <v>2488</v>
      </c>
      <c r="E5021" s="164">
        <v>1</v>
      </c>
      <c r="F5021" s="9"/>
      <c r="G5021" s="8">
        <f t="shared" si="150"/>
        <v>13.94295</v>
      </c>
      <c r="H5021" s="165">
        <v>13.279</v>
      </c>
      <c r="I5021" s="19">
        <f t="shared" si="151"/>
        <v>0</v>
      </c>
    </row>
    <row r="5022" spans="1:10" hidden="1">
      <c r="A5022" s="49" t="s">
        <v>8760</v>
      </c>
      <c r="B5022" s="5">
        <v>112002</v>
      </c>
      <c r="C5022" s="125" t="s">
        <v>8783</v>
      </c>
      <c r="D5022" s="115" t="s">
        <v>2488</v>
      </c>
      <c r="E5022" s="164">
        <v>1</v>
      </c>
      <c r="F5022" s="9"/>
      <c r="G5022" s="8">
        <f t="shared" si="150"/>
        <v>22.183349999999997</v>
      </c>
      <c r="H5022" s="165">
        <v>21.126999999999999</v>
      </c>
      <c r="I5022" s="19">
        <f t="shared" si="151"/>
        <v>0</v>
      </c>
    </row>
    <row r="5023" spans="1:10" hidden="1">
      <c r="A5023" s="49" t="s">
        <v>8760</v>
      </c>
      <c r="B5023" s="5">
        <v>112003</v>
      </c>
      <c r="C5023" s="125" t="s">
        <v>8784</v>
      </c>
      <c r="D5023" s="115" t="s">
        <v>2488</v>
      </c>
      <c r="E5023" s="164">
        <v>1</v>
      </c>
      <c r="F5023" s="9"/>
      <c r="G5023" s="8">
        <f t="shared" si="150"/>
        <v>79.454550000000012</v>
      </c>
      <c r="H5023" s="165">
        <v>75.671000000000006</v>
      </c>
      <c r="I5023" s="19">
        <f t="shared" si="151"/>
        <v>0</v>
      </c>
    </row>
    <row r="5024" spans="1:10" hidden="1">
      <c r="A5024" s="49" t="s">
        <v>8760</v>
      </c>
      <c r="B5024" s="5">
        <v>112004</v>
      </c>
      <c r="C5024" s="125" t="s">
        <v>8785</v>
      </c>
      <c r="D5024" s="115" t="s">
        <v>2488</v>
      </c>
      <c r="E5024" s="164">
        <v>1</v>
      </c>
      <c r="F5024" s="9"/>
      <c r="G5024" s="8">
        <f t="shared" si="150"/>
        <v>79.7286</v>
      </c>
      <c r="H5024" s="166">
        <v>75.932000000000002</v>
      </c>
      <c r="I5024" s="19">
        <f t="shared" si="151"/>
        <v>0</v>
      </c>
    </row>
    <row r="5025" spans="1:9" hidden="1">
      <c r="A5025" s="49" t="s">
        <v>8760</v>
      </c>
      <c r="B5025" s="5">
        <v>112010</v>
      </c>
      <c r="C5025" s="125" t="s">
        <v>8786</v>
      </c>
      <c r="D5025" s="115" t="s">
        <v>2488</v>
      </c>
      <c r="E5025" s="164">
        <v>1</v>
      </c>
      <c r="F5025" s="9"/>
      <c r="G5025" s="8">
        <f t="shared" si="150"/>
        <v>37.159500000000001</v>
      </c>
      <c r="H5025" s="167">
        <v>35.39</v>
      </c>
      <c r="I5025" s="19">
        <f t="shared" si="151"/>
        <v>0</v>
      </c>
    </row>
    <row r="5026" spans="1:9" hidden="1">
      <c r="A5026" s="49" t="s">
        <v>8760</v>
      </c>
      <c r="B5026" s="5">
        <v>112011</v>
      </c>
      <c r="C5026" s="125" t="s">
        <v>8787</v>
      </c>
      <c r="D5026" s="115" t="s">
        <v>2488</v>
      </c>
      <c r="E5026" s="164">
        <v>1</v>
      </c>
      <c r="F5026" s="9"/>
      <c r="G5026" s="8">
        <f t="shared" si="150"/>
        <v>97.610100000000003</v>
      </c>
      <c r="H5026" s="167">
        <v>92.962000000000003</v>
      </c>
      <c r="I5026" s="19">
        <f t="shared" si="151"/>
        <v>0</v>
      </c>
    </row>
    <row r="5027" spans="1:9" hidden="1">
      <c r="A5027" s="49" t="s">
        <v>8760</v>
      </c>
      <c r="B5027" s="5">
        <v>112012</v>
      </c>
      <c r="C5027" s="125" t="s">
        <v>8788</v>
      </c>
      <c r="D5027" s="115" t="s">
        <v>2488</v>
      </c>
      <c r="E5027" s="164">
        <v>1</v>
      </c>
      <c r="F5027" s="9"/>
      <c r="G5027" s="8">
        <f t="shared" si="150"/>
        <v>97.610100000000003</v>
      </c>
      <c r="H5027" s="167">
        <v>92.962000000000003</v>
      </c>
      <c r="I5027" s="19">
        <f t="shared" si="151"/>
        <v>0</v>
      </c>
    </row>
    <row r="5028" spans="1:9" hidden="1">
      <c r="A5028" s="49" t="s">
        <v>8760</v>
      </c>
      <c r="B5028" s="5">
        <v>112013</v>
      </c>
      <c r="C5028" s="125" t="s">
        <v>8789</v>
      </c>
      <c r="D5028" s="115" t="s">
        <v>2488</v>
      </c>
      <c r="E5028" s="164">
        <v>1</v>
      </c>
      <c r="F5028" s="9"/>
      <c r="G5028" s="8">
        <f t="shared" si="150"/>
        <v>29.521799999999999</v>
      </c>
      <c r="H5028" s="167">
        <v>28.116</v>
      </c>
      <c r="I5028" s="19">
        <f t="shared" si="151"/>
        <v>0</v>
      </c>
    </row>
    <row r="5029" spans="1:9" hidden="1">
      <c r="A5029" s="49" t="s">
        <v>8760</v>
      </c>
      <c r="B5029" s="5">
        <v>112020</v>
      </c>
      <c r="C5029" s="125" t="s">
        <v>8790</v>
      </c>
      <c r="D5029" s="115" t="s">
        <v>2488</v>
      </c>
      <c r="E5029" s="164">
        <v>1</v>
      </c>
      <c r="F5029" s="9"/>
      <c r="G5029" s="8">
        <f t="shared" si="150"/>
        <v>27.866999999999997</v>
      </c>
      <c r="H5029" s="167">
        <v>26.54</v>
      </c>
      <c r="I5029" s="19">
        <f t="shared" si="151"/>
        <v>0</v>
      </c>
    </row>
    <row r="5030" spans="1:9" hidden="1">
      <c r="A5030" s="49" t="s">
        <v>8760</v>
      </c>
      <c r="B5030" s="5">
        <v>112021</v>
      </c>
      <c r="C5030" s="125" t="s">
        <v>8791</v>
      </c>
      <c r="D5030" s="115" t="s">
        <v>2488</v>
      </c>
      <c r="E5030" s="164">
        <v>1</v>
      </c>
      <c r="F5030" s="9"/>
      <c r="G5030" s="8">
        <f t="shared" si="150"/>
        <v>48.837600000000002</v>
      </c>
      <c r="H5030" s="167">
        <v>46.512</v>
      </c>
      <c r="I5030" s="19">
        <f t="shared" si="151"/>
        <v>0</v>
      </c>
    </row>
    <row r="5031" spans="1:9" hidden="1">
      <c r="A5031" s="49" t="s">
        <v>8760</v>
      </c>
      <c r="B5031" s="5">
        <v>112022</v>
      </c>
      <c r="C5031" s="125" t="s">
        <v>8792</v>
      </c>
      <c r="D5031" s="115" t="s">
        <v>2488</v>
      </c>
      <c r="E5031" s="164">
        <v>1</v>
      </c>
      <c r="F5031" s="9"/>
      <c r="G5031" s="8">
        <f t="shared" si="150"/>
        <v>47.573399999999999</v>
      </c>
      <c r="H5031" s="167">
        <v>45.308</v>
      </c>
      <c r="I5031" s="19">
        <f t="shared" si="151"/>
        <v>0</v>
      </c>
    </row>
    <row r="5032" spans="1:9" hidden="1">
      <c r="A5032" s="49" t="s">
        <v>8760</v>
      </c>
      <c r="B5032" s="5">
        <v>115026</v>
      </c>
      <c r="C5032" s="125" t="s">
        <v>8793</v>
      </c>
      <c r="D5032" s="115" t="s">
        <v>2488</v>
      </c>
      <c r="E5032" s="164">
        <v>1</v>
      </c>
      <c r="F5032" s="9"/>
      <c r="G5032" s="8">
        <f t="shared" si="150"/>
        <v>4.2483000000000004</v>
      </c>
      <c r="H5032" s="167">
        <v>4.0460000000000003</v>
      </c>
      <c r="I5032" s="19">
        <f t="shared" si="151"/>
        <v>0</v>
      </c>
    </row>
    <row r="5033" spans="1:9" hidden="1">
      <c r="A5033" s="49" t="s">
        <v>8760</v>
      </c>
      <c r="B5033" s="5">
        <v>115034</v>
      </c>
      <c r="C5033" s="125" t="s">
        <v>8794</v>
      </c>
      <c r="D5033" s="115"/>
      <c r="E5033" s="164">
        <v>1</v>
      </c>
      <c r="F5033" s="9"/>
      <c r="G5033" s="8">
        <f t="shared" si="150"/>
        <v>1.65585</v>
      </c>
      <c r="H5033" s="167">
        <v>1.577</v>
      </c>
      <c r="I5033" s="19">
        <f t="shared" si="151"/>
        <v>0</v>
      </c>
    </row>
    <row r="5034" spans="1:9" hidden="1">
      <c r="A5034" s="49" t="s">
        <v>8760</v>
      </c>
      <c r="B5034" s="5">
        <v>115038</v>
      </c>
      <c r="C5034" s="125" t="s">
        <v>8795</v>
      </c>
      <c r="D5034" s="115"/>
      <c r="E5034" s="164">
        <v>1</v>
      </c>
      <c r="F5034" s="9"/>
      <c r="G5034" s="8">
        <f t="shared" si="150"/>
        <v>1.8511499999999999</v>
      </c>
      <c r="H5034" s="167">
        <v>1.7629999999999999</v>
      </c>
      <c r="I5034" s="19">
        <f t="shared" si="151"/>
        <v>0</v>
      </c>
    </row>
    <row r="5035" spans="1:9" hidden="1">
      <c r="A5035" s="49" t="s">
        <v>8760</v>
      </c>
      <c r="B5035" s="5">
        <v>115039</v>
      </c>
      <c r="C5035" s="125" t="s">
        <v>8796</v>
      </c>
      <c r="D5035" s="115" t="s">
        <v>2488</v>
      </c>
      <c r="E5035" s="164">
        <v>1</v>
      </c>
      <c r="F5035" s="9"/>
      <c r="G5035" s="8">
        <f t="shared" si="150"/>
        <v>1.92885</v>
      </c>
      <c r="H5035" s="167">
        <v>1.837</v>
      </c>
      <c r="I5035" s="19">
        <f t="shared" si="151"/>
        <v>0</v>
      </c>
    </row>
    <row r="5036" spans="1:9" hidden="1">
      <c r="A5036" s="49" t="s">
        <v>8760</v>
      </c>
      <c r="B5036" s="5">
        <v>115062</v>
      </c>
      <c r="C5036" s="125" t="s">
        <v>8797</v>
      </c>
      <c r="D5036" s="115"/>
      <c r="E5036" s="164">
        <v>1</v>
      </c>
      <c r="F5036" s="9"/>
      <c r="G5036" s="8">
        <f t="shared" si="150"/>
        <v>1.72305</v>
      </c>
      <c r="H5036" s="167">
        <v>1.641</v>
      </c>
      <c r="I5036" s="19">
        <f t="shared" si="151"/>
        <v>0</v>
      </c>
    </row>
    <row r="5037" spans="1:9" hidden="1">
      <c r="A5037" s="49" t="s">
        <v>8760</v>
      </c>
      <c r="B5037" s="5">
        <v>115063</v>
      </c>
      <c r="C5037" s="125" t="s">
        <v>8798</v>
      </c>
      <c r="D5037" s="115"/>
      <c r="E5037" s="164">
        <v>1</v>
      </c>
      <c r="F5037" s="9"/>
      <c r="G5037" s="8">
        <f t="shared" si="150"/>
        <v>0.48720000000000002</v>
      </c>
      <c r="H5037" s="167">
        <v>0.46400000000000002</v>
      </c>
      <c r="I5037" s="19">
        <f t="shared" si="151"/>
        <v>0</v>
      </c>
    </row>
    <row r="5038" spans="1:9" hidden="1">
      <c r="A5038" s="49" t="s">
        <v>8760</v>
      </c>
      <c r="B5038" s="5">
        <v>115065</v>
      </c>
      <c r="C5038" s="125" t="s">
        <v>8799</v>
      </c>
      <c r="D5038" s="115"/>
      <c r="E5038" s="164">
        <v>1</v>
      </c>
      <c r="F5038" s="9"/>
      <c r="G5038" s="8">
        <f t="shared" si="150"/>
        <v>0.18164999999999998</v>
      </c>
      <c r="H5038" s="167">
        <v>0.17299999999999999</v>
      </c>
      <c r="I5038" s="19">
        <f t="shared" si="151"/>
        <v>0</v>
      </c>
    </row>
    <row r="5039" spans="1:9" hidden="1">
      <c r="A5039" s="49" t="s">
        <v>8760</v>
      </c>
      <c r="B5039" s="5">
        <v>115200</v>
      </c>
      <c r="C5039" s="125" t="s">
        <v>8800</v>
      </c>
      <c r="D5039" s="115" t="s">
        <v>945</v>
      </c>
      <c r="E5039" s="164">
        <v>1</v>
      </c>
      <c r="F5039" s="9"/>
      <c r="G5039" s="8">
        <f t="shared" si="150"/>
        <v>39.142950000000006</v>
      </c>
      <c r="H5039" s="167">
        <v>37.279000000000003</v>
      </c>
      <c r="I5039" s="19">
        <f t="shared" si="151"/>
        <v>0</v>
      </c>
    </row>
    <row r="5040" spans="1:9" hidden="1">
      <c r="A5040" s="49" t="s">
        <v>8760</v>
      </c>
      <c r="B5040" s="5">
        <v>115201</v>
      </c>
      <c r="C5040" s="125" t="s">
        <v>8801</v>
      </c>
      <c r="D5040" s="5" t="s">
        <v>945</v>
      </c>
      <c r="E5040" s="126">
        <v>1</v>
      </c>
      <c r="F5040" s="9"/>
      <c r="G5040" s="8">
        <f t="shared" si="150"/>
        <v>40.801950000000005</v>
      </c>
      <c r="H5040" s="167">
        <v>38.859000000000002</v>
      </c>
      <c r="I5040" s="19">
        <f t="shared" si="151"/>
        <v>0</v>
      </c>
    </row>
    <row r="5041" spans="1:9" hidden="1">
      <c r="A5041" s="49" t="s">
        <v>8760</v>
      </c>
      <c r="B5041" s="5">
        <v>115202</v>
      </c>
      <c r="C5041" s="125" t="s">
        <v>8802</v>
      </c>
      <c r="D5041" s="5" t="s">
        <v>945</v>
      </c>
      <c r="E5041" s="126">
        <v>1</v>
      </c>
      <c r="F5041" s="9"/>
      <c r="G5041" s="8">
        <f t="shared" si="150"/>
        <v>41.484450000000002</v>
      </c>
      <c r="H5041" s="167">
        <v>39.509</v>
      </c>
      <c r="I5041" s="19">
        <f t="shared" si="151"/>
        <v>0</v>
      </c>
    </row>
    <row r="5042" spans="1:9" hidden="1">
      <c r="A5042" s="49" t="s">
        <v>8760</v>
      </c>
      <c r="B5042" s="5">
        <v>115203</v>
      </c>
      <c r="C5042" s="125" t="s">
        <v>8803</v>
      </c>
      <c r="D5042" s="5" t="s">
        <v>945</v>
      </c>
      <c r="E5042" s="126">
        <v>1</v>
      </c>
      <c r="F5042" s="9"/>
      <c r="G5042" s="8">
        <f t="shared" si="150"/>
        <v>44.023350000000001</v>
      </c>
      <c r="H5042" s="167">
        <v>41.927</v>
      </c>
      <c r="I5042" s="19">
        <f t="shared" si="151"/>
        <v>0</v>
      </c>
    </row>
    <row r="5043" spans="1:9" hidden="1">
      <c r="A5043" s="49" t="s">
        <v>8760</v>
      </c>
      <c r="B5043" s="5">
        <v>115204</v>
      </c>
      <c r="C5043" s="125" t="s">
        <v>8804</v>
      </c>
      <c r="D5043" s="5" t="s">
        <v>945</v>
      </c>
      <c r="E5043" s="126">
        <v>1</v>
      </c>
      <c r="F5043" s="9"/>
      <c r="G5043" s="8">
        <f t="shared" si="150"/>
        <v>44.705849999999998</v>
      </c>
      <c r="H5043" s="167">
        <v>42.576999999999998</v>
      </c>
      <c r="I5043" s="19">
        <f t="shared" si="151"/>
        <v>0</v>
      </c>
    </row>
    <row r="5044" spans="1:9" hidden="1">
      <c r="A5044" s="49" t="s">
        <v>8760</v>
      </c>
      <c r="B5044" s="5" t="s">
        <v>8805</v>
      </c>
      <c r="C5044" s="125" t="s">
        <v>8806</v>
      </c>
      <c r="D5044" s="5" t="s">
        <v>945</v>
      </c>
      <c r="E5044" s="126">
        <v>1</v>
      </c>
      <c r="F5044" s="9"/>
      <c r="G5044" s="8">
        <f t="shared" si="150"/>
        <v>35.564550000000004</v>
      </c>
      <c r="H5044" s="167">
        <v>33.871000000000002</v>
      </c>
      <c r="I5044" s="19">
        <f t="shared" si="151"/>
        <v>0</v>
      </c>
    </row>
    <row r="5045" spans="1:9" hidden="1">
      <c r="A5045" s="49" t="s">
        <v>8760</v>
      </c>
      <c r="B5045" s="5" t="s">
        <v>8807</v>
      </c>
      <c r="C5045" s="125" t="s">
        <v>8808</v>
      </c>
      <c r="D5045" s="5" t="s">
        <v>945</v>
      </c>
      <c r="E5045" s="126">
        <v>1</v>
      </c>
      <c r="F5045" s="9"/>
      <c r="G5045" s="8">
        <f t="shared" si="150"/>
        <v>38.422650000000004</v>
      </c>
      <c r="H5045" s="167">
        <v>36.593000000000004</v>
      </c>
      <c r="I5045" s="19">
        <f t="shared" si="151"/>
        <v>0</v>
      </c>
    </row>
    <row r="5046" spans="1:9" hidden="1">
      <c r="A5046" s="49" t="s">
        <v>8760</v>
      </c>
      <c r="B5046" s="5" t="s">
        <v>8809</v>
      </c>
      <c r="C5046" s="125" t="s">
        <v>8810</v>
      </c>
      <c r="D5046" s="5" t="s">
        <v>945</v>
      </c>
      <c r="E5046" s="126">
        <v>1</v>
      </c>
      <c r="F5046" s="9"/>
      <c r="G5046" s="8">
        <f t="shared" si="150"/>
        <v>38.537099999999995</v>
      </c>
      <c r="H5046" s="167">
        <v>36.701999999999998</v>
      </c>
      <c r="I5046" s="19">
        <f t="shared" si="151"/>
        <v>0</v>
      </c>
    </row>
    <row r="5047" spans="1:9" hidden="1">
      <c r="A5047" s="49" t="s">
        <v>8760</v>
      </c>
      <c r="B5047" s="5" t="s">
        <v>8811</v>
      </c>
      <c r="C5047" s="125" t="s">
        <v>8812</v>
      </c>
      <c r="D5047" s="5" t="s">
        <v>945</v>
      </c>
      <c r="E5047" s="126">
        <v>1</v>
      </c>
      <c r="F5047" s="9"/>
      <c r="G5047" s="8">
        <f t="shared" si="150"/>
        <v>39.151350000000001</v>
      </c>
      <c r="H5047" s="167">
        <v>37.286999999999999</v>
      </c>
      <c r="I5047" s="19">
        <f t="shared" si="151"/>
        <v>0</v>
      </c>
    </row>
    <row r="5048" spans="1:9" hidden="1">
      <c r="A5048" s="49" t="s">
        <v>8760</v>
      </c>
      <c r="B5048" s="5" t="s">
        <v>8813</v>
      </c>
      <c r="C5048" s="125" t="s">
        <v>8814</v>
      </c>
      <c r="D5048" s="5" t="s">
        <v>945</v>
      </c>
      <c r="E5048" s="126">
        <v>1</v>
      </c>
      <c r="F5048" s="9"/>
      <c r="G5048" s="8">
        <f t="shared" si="150"/>
        <v>39.766649999999998</v>
      </c>
      <c r="H5048" s="167">
        <v>37.872999999999998</v>
      </c>
      <c r="I5048" s="19">
        <f t="shared" si="151"/>
        <v>0</v>
      </c>
    </row>
    <row r="5049" spans="1:9" hidden="1">
      <c r="A5049" s="49" t="s">
        <v>8760</v>
      </c>
      <c r="B5049" s="5" t="s">
        <v>8815</v>
      </c>
      <c r="C5049" s="122" t="s">
        <v>8816</v>
      </c>
      <c r="D5049" s="5" t="s">
        <v>945</v>
      </c>
      <c r="E5049" s="123">
        <v>1</v>
      </c>
      <c r="F5049" s="9"/>
      <c r="G5049" s="8">
        <f t="shared" si="150"/>
        <v>40.381950000000003</v>
      </c>
      <c r="H5049" s="167">
        <v>38.459000000000003</v>
      </c>
      <c r="I5049" s="19">
        <f t="shared" si="151"/>
        <v>0</v>
      </c>
    </row>
    <row r="5050" spans="1:9" hidden="1">
      <c r="A5050" s="49" t="s">
        <v>8760</v>
      </c>
      <c r="B5050" s="5" t="s">
        <v>8817</v>
      </c>
      <c r="C5050" s="122" t="s">
        <v>8818</v>
      </c>
      <c r="D5050" s="5" t="s">
        <v>945</v>
      </c>
      <c r="E5050" s="123">
        <v>1</v>
      </c>
      <c r="F5050" s="9"/>
      <c r="G5050" s="8">
        <f t="shared" si="150"/>
        <v>45.608849999999997</v>
      </c>
      <c r="H5050" s="167">
        <v>43.436999999999998</v>
      </c>
      <c r="I5050" s="19">
        <f t="shared" si="151"/>
        <v>0</v>
      </c>
    </row>
    <row r="5051" spans="1:9" hidden="1">
      <c r="A5051" s="49" t="s">
        <v>8760</v>
      </c>
      <c r="B5051" s="5" t="s">
        <v>8819</v>
      </c>
      <c r="C5051" s="122" t="s">
        <v>8820</v>
      </c>
      <c r="D5051" s="5" t="s">
        <v>945</v>
      </c>
      <c r="E5051" s="123">
        <v>1</v>
      </c>
      <c r="F5051" s="9"/>
      <c r="G5051" s="8">
        <f t="shared" si="150"/>
        <v>7.6114499999999996</v>
      </c>
      <c r="H5051" s="167">
        <v>7.2489999999999997</v>
      </c>
      <c r="I5051" s="19">
        <f t="shared" si="151"/>
        <v>0</v>
      </c>
    </row>
    <row r="5052" spans="1:9" hidden="1">
      <c r="A5052" s="49" t="s">
        <v>8760</v>
      </c>
      <c r="B5052" s="5" t="s">
        <v>8821</v>
      </c>
      <c r="C5052" s="122" t="s">
        <v>8822</v>
      </c>
      <c r="D5052" s="5" t="s">
        <v>945</v>
      </c>
      <c r="E5052" s="123">
        <v>1</v>
      </c>
      <c r="F5052" s="9"/>
      <c r="G5052" s="8">
        <f t="shared" si="150"/>
        <v>7.7794499999999998</v>
      </c>
      <c r="H5052" s="167">
        <v>7.4089999999999998</v>
      </c>
      <c r="I5052" s="19">
        <f t="shared" si="151"/>
        <v>0</v>
      </c>
    </row>
    <row r="5053" spans="1:9" hidden="1">
      <c r="A5053" s="49" t="s">
        <v>8760</v>
      </c>
      <c r="B5053" s="5" t="s">
        <v>8823</v>
      </c>
      <c r="C5053" s="122" t="s">
        <v>8824</v>
      </c>
      <c r="D5053" s="5" t="s">
        <v>945</v>
      </c>
      <c r="E5053" s="123">
        <v>1</v>
      </c>
      <c r="F5053" s="9"/>
      <c r="G5053" s="8">
        <f t="shared" si="150"/>
        <v>7.9485000000000001</v>
      </c>
      <c r="H5053" s="167">
        <v>7.57</v>
      </c>
      <c r="I5053" s="19">
        <f t="shared" si="151"/>
        <v>0</v>
      </c>
    </row>
    <row r="5054" spans="1:9" hidden="1">
      <c r="A5054" s="49" t="s">
        <v>8760</v>
      </c>
      <c r="B5054" s="5" t="s">
        <v>8825</v>
      </c>
      <c r="C5054" s="122" t="s">
        <v>8826</v>
      </c>
      <c r="D5054" s="5" t="s">
        <v>945</v>
      </c>
      <c r="E5054" s="123">
        <v>1</v>
      </c>
      <c r="F5054" s="9"/>
      <c r="G5054" s="8">
        <f t="shared" si="150"/>
        <v>10.651199999999999</v>
      </c>
      <c r="H5054" s="167">
        <v>10.144</v>
      </c>
      <c r="I5054" s="19">
        <f t="shared" si="151"/>
        <v>0</v>
      </c>
    </row>
    <row r="5055" spans="1:9" hidden="1">
      <c r="A5055" s="49" t="s">
        <v>8760</v>
      </c>
      <c r="B5055" s="5" t="s">
        <v>8827</v>
      </c>
      <c r="C5055" s="122" t="s">
        <v>8828</v>
      </c>
      <c r="D5055" s="5" t="s">
        <v>945</v>
      </c>
      <c r="E5055" s="123">
        <v>1</v>
      </c>
      <c r="F5055" s="9"/>
      <c r="G5055" s="8">
        <f t="shared" si="150"/>
        <v>11.01135</v>
      </c>
      <c r="H5055" s="167">
        <v>10.487</v>
      </c>
      <c r="I5055" s="19">
        <f t="shared" si="151"/>
        <v>0</v>
      </c>
    </row>
    <row r="5056" spans="1:9" hidden="1">
      <c r="A5056" s="49" t="s">
        <v>8760</v>
      </c>
      <c r="B5056" s="5" t="s">
        <v>8829</v>
      </c>
      <c r="C5056" s="122" t="s">
        <v>8830</v>
      </c>
      <c r="D5056" s="5" t="s">
        <v>945</v>
      </c>
      <c r="E5056" s="123">
        <v>1</v>
      </c>
      <c r="F5056" s="9"/>
      <c r="G5056" s="8">
        <f t="shared" si="150"/>
        <v>11.450249999999999</v>
      </c>
      <c r="H5056" s="167">
        <v>10.904999999999999</v>
      </c>
      <c r="I5056" s="19">
        <f t="shared" si="151"/>
        <v>0</v>
      </c>
    </row>
    <row r="5057" spans="1:9" hidden="1">
      <c r="A5057" s="49" t="s">
        <v>8760</v>
      </c>
      <c r="B5057" s="5" t="s">
        <v>8831</v>
      </c>
      <c r="C5057" s="122" t="s">
        <v>8832</v>
      </c>
      <c r="D5057" s="5" t="s">
        <v>945</v>
      </c>
      <c r="E5057" s="123">
        <v>1</v>
      </c>
      <c r="F5057" s="9"/>
      <c r="G5057" s="8">
        <f t="shared" si="150"/>
        <v>11.65605</v>
      </c>
      <c r="H5057" s="167">
        <v>11.101000000000001</v>
      </c>
      <c r="I5057" s="19">
        <f t="shared" si="151"/>
        <v>0</v>
      </c>
    </row>
    <row r="5058" spans="1:9" hidden="1">
      <c r="A5058" s="49" t="s">
        <v>8760</v>
      </c>
      <c r="B5058" s="5" t="s">
        <v>8833</v>
      </c>
      <c r="C5058" s="122" t="s">
        <v>8834</v>
      </c>
      <c r="D5058" s="5" t="s">
        <v>945</v>
      </c>
      <c r="E5058" s="123">
        <v>1</v>
      </c>
      <c r="F5058" s="9"/>
      <c r="G5058" s="8">
        <f t="shared" si="150"/>
        <v>11.805150000000001</v>
      </c>
      <c r="H5058" s="167">
        <v>11.243</v>
      </c>
      <c r="I5058" s="19">
        <f t="shared" si="151"/>
        <v>0</v>
      </c>
    </row>
    <row r="5059" spans="1:9" hidden="1">
      <c r="A5059" s="49" t="s">
        <v>8760</v>
      </c>
      <c r="B5059" s="5" t="s">
        <v>8835</v>
      </c>
      <c r="C5059" s="122" t="s">
        <v>8836</v>
      </c>
      <c r="D5059" s="5" t="s">
        <v>945</v>
      </c>
      <c r="E5059" s="123">
        <v>1</v>
      </c>
      <c r="F5059" s="9"/>
      <c r="G5059" s="8">
        <f t="shared" si="150"/>
        <v>12.096</v>
      </c>
      <c r="H5059" s="167">
        <v>11.52</v>
      </c>
      <c r="I5059" s="19">
        <f t="shared" si="151"/>
        <v>0</v>
      </c>
    </row>
    <row r="5060" spans="1:9" hidden="1">
      <c r="A5060" s="49" t="s">
        <v>8760</v>
      </c>
      <c r="B5060" s="5" t="s">
        <v>8837</v>
      </c>
      <c r="C5060" s="122" t="s">
        <v>8838</v>
      </c>
      <c r="D5060" s="5" t="s">
        <v>945</v>
      </c>
      <c r="E5060" s="123">
        <v>1</v>
      </c>
      <c r="F5060" s="9"/>
      <c r="G5060" s="8">
        <f t="shared" si="150"/>
        <v>11.9091</v>
      </c>
      <c r="H5060" s="167">
        <v>11.342000000000001</v>
      </c>
      <c r="I5060" s="19">
        <f t="shared" si="151"/>
        <v>0</v>
      </c>
    </row>
    <row r="5061" spans="1:9" hidden="1">
      <c r="A5061" s="49" t="s">
        <v>8760</v>
      </c>
      <c r="B5061" s="5" t="s">
        <v>8839</v>
      </c>
      <c r="C5061" s="122" t="s">
        <v>8840</v>
      </c>
      <c r="D5061" s="5" t="s">
        <v>945</v>
      </c>
      <c r="E5061" s="123">
        <v>1</v>
      </c>
      <c r="F5061" s="9"/>
      <c r="G5061" s="8">
        <f t="shared" si="150"/>
        <v>12.3018</v>
      </c>
      <c r="H5061" s="167">
        <v>11.715999999999999</v>
      </c>
      <c r="I5061" s="19">
        <f t="shared" si="151"/>
        <v>0</v>
      </c>
    </row>
    <row r="5062" spans="1:9" hidden="1">
      <c r="A5062" s="49" t="s">
        <v>8760</v>
      </c>
      <c r="B5062" s="5" t="s">
        <v>8841</v>
      </c>
      <c r="C5062" s="122" t="s">
        <v>8842</v>
      </c>
      <c r="D5062" s="5" t="s">
        <v>945</v>
      </c>
      <c r="E5062" s="123">
        <v>1</v>
      </c>
      <c r="F5062" s="9"/>
      <c r="G5062" s="8">
        <f t="shared" si="150"/>
        <v>12.7407</v>
      </c>
      <c r="H5062" s="167">
        <v>12.134</v>
      </c>
      <c r="I5062" s="19">
        <f t="shared" si="151"/>
        <v>0</v>
      </c>
    </row>
    <row r="5063" spans="1:9">
      <c r="A5063" s="49" t="s">
        <v>8760</v>
      </c>
      <c r="B5063" s="5">
        <v>115300</v>
      </c>
      <c r="C5063" s="122" t="s">
        <v>8843</v>
      </c>
      <c r="D5063" s="5"/>
      <c r="E5063" s="123">
        <v>1</v>
      </c>
      <c r="F5063" s="9">
        <v>16</v>
      </c>
      <c r="G5063" s="8">
        <f t="shared" si="150"/>
        <v>64.069950000000006</v>
      </c>
      <c r="H5063" s="167">
        <v>61.018999999999998</v>
      </c>
      <c r="I5063" s="19">
        <f t="shared" si="151"/>
        <v>1025.1192000000001</v>
      </c>
    </row>
    <row r="5064" spans="1:9">
      <c r="A5064" s="49" t="s">
        <v>8760</v>
      </c>
      <c r="B5064" s="5">
        <v>115301</v>
      </c>
      <c r="C5064" s="122" t="s">
        <v>8844</v>
      </c>
      <c r="D5064" s="5"/>
      <c r="E5064" s="123">
        <v>1</v>
      </c>
      <c r="F5064" s="9">
        <v>13</v>
      </c>
      <c r="G5064" s="8">
        <f t="shared" si="150"/>
        <v>65.846549999999993</v>
      </c>
      <c r="H5064" s="167">
        <v>62.710999999999999</v>
      </c>
      <c r="I5064" s="19">
        <f t="shared" si="151"/>
        <v>856.00514999999996</v>
      </c>
    </row>
    <row r="5065" spans="1:9">
      <c r="A5065" s="49" t="s">
        <v>8760</v>
      </c>
      <c r="B5065" s="5">
        <v>115302</v>
      </c>
      <c r="C5065" s="122" t="s">
        <v>8845</v>
      </c>
      <c r="D5065" s="5"/>
      <c r="E5065" s="123">
        <v>1</v>
      </c>
      <c r="F5065" s="9">
        <v>40</v>
      </c>
      <c r="G5065" s="8">
        <f t="shared" si="150"/>
        <v>66.538499999999999</v>
      </c>
      <c r="H5065" s="167">
        <v>63.37</v>
      </c>
      <c r="I5065" s="19">
        <f t="shared" si="151"/>
        <v>2661.54</v>
      </c>
    </row>
    <row r="5066" spans="1:9">
      <c r="A5066" s="49" t="s">
        <v>8760</v>
      </c>
      <c r="B5066" s="5">
        <v>115303</v>
      </c>
      <c r="C5066" s="122" t="s">
        <v>8846</v>
      </c>
      <c r="D5066" s="5"/>
      <c r="E5066" s="123">
        <v>1</v>
      </c>
      <c r="F5066" s="9">
        <v>15</v>
      </c>
      <c r="G5066" s="8">
        <f t="shared" ref="G5066:G5129" si="152">H5066+(H5066*5%)</f>
        <v>53.605649999999997</v>
      </c>
      <c r="H5066" s="167">
        <v>51.052999999999997</v>
      </c>
      <c r="I5066" s="19">
        <f t="shared" ref="I5066:I5129" si="153">G5066*F5066</f>
        <v>804.08474999999999</v>
      </c>
    </row>
    <row r="5067" spans="1:9">
      <c r="A5067" s="49" t="s">
        <v>8760</v>
      </c>
      <c r="B5067" s="5">
        <v>115304</v>
      </c>
      <c r="C5067" s="122" t="s">
        <v>8847</v>
      </c>
      <c r="D5067" s="5"/>
      <c r="E5067" s="123">
        <v>1</v>
      </c>
      <c r="F5067" s="9">
        <v>12</v>
      </c>
      <c r="G5067" s="8">
        <f t="shared" si="152"/>
        <v>53.408250000000002</v>
      </c>
      <c r="H5067" s="167">
        <v>50.865000000000002</v>
      </c>
      <c r="I5067" s="19">
        <f t="shared" si="153"/>
        <v>640.899</v>
      </c>
    </row>
    <row r="5068" spans="1:9">
      <c r="A5068" s="49" t="s">
        <v>8760</v>
      </c>
      <c r="B5068" s="5">
        <v>115305</v>
      </c>
      <c r="C5068" s="122" t="s">
        <v>8848</v>
      </c>
      <c r="D5068" s="5"/>
      <c r="E5068" s="123">
        <v>1</v>
      </c>
      <c r="F5068" s="9">
        <v>12</v>
      </c>
      <c r="G5068" s="8">
        <f t="shared" si="152"/>
        <v>47.485199999999999</v>
      </c>
      <c r="H5068" s="167">
        <v>45.223999999999997</v>
      </c>
      <c r="I5068" s="19">
        <f t="shared" si="153"/>
        <v>569.82240000000002</v>
      </c>
    </row>
    <row r="5069" spans="1:9" hidden="1">
      <c r="A5069" s="49" t="s">
        <v>8760</v>
      </c>
      <c r="B5069" s="5">
        <v>115306</v>
      </c>
      <c r="C5069" s="122" t="s">
        <v>8849</v>
      </c>
      <c r="D5069" s="5"/>
      <c r="E5069" s="123">
        <v>1</v>
      </c>
      <c r="F5069" s="9"/>
      <c r="G5069" s="8">
        <f t="shared" si="152"/>
        <v>48.472200000000001</v>
      </c>
      <c r="H5069" s="167">
        <v>46.164000000000001</v>
      </c>
      <c r="I5069" s="19">
        <f t="shared" si="153"/>
        <v>0</v>
      </c>
    </row>
    <row r="5070" spans="1:9">
      <c r="A5070" s="49" t="s">
        <v>8760</v>
      </c>
      <c r="B5070" s="5">
        <v>115307</v>
      </c>
      <c r="C5070" s="122" t="s">
        <v>8850</v>
      </c>
      <c r="D5070" s="5"/>
      <c r="E5070" s="123">
        <v>1</v>
      </c>
      <c r="F5070" s="9">
        <v>11</v>
      </c>
      <c r="G5070" s="8">
        <f t="shared" si="152"/>
        <v>69.500550000000004</v>
      </c>
      <c r="H5070" s="167">
        <v>66.191000000000003</v>
      </c>
      <c r="I5070" s="19">
        <f t="shared" si="153"/>
        <v>764.50605000000007</v>
      </c>
    </row>
    <row r="5071" spans="1:9">
      <c r="A5071" s="49" t="s">
        <v>8760</v>
      </c>
      <c r="B5071" s="5">
        <v>115308</v>
      </c>
      <c r="C5071" s="122" t="s">
        <v>8851</v>
      </c>
      <c r="D5071" s="5"/>
      <c r="E5071" s="123">
        <v>1</v>
      </c>
      <c r="F5071" s="9">
        <v>6</v>
      </c>
      <c r="G5071" s="8">
        <f t="shared" si="152"/>
        <v>70.388850000000005</v>
      </c>
      <c r="H5071" s="167">
        <v>67.037000000000006</v>
      </c>
      <c r="I5071" s="19">
        <f t="shared" si="153"/>
        <v>422.33310000000006</v>
      </c>
    </row>
    <row r="5072" spans="1:9">
      <c r="A5072" s="49" t="s">
        <v>8760</v>
      </c>
      <c r="B5072" s="5">
        <v>115309</v>
      </c>
      <c r="C5072" s="122" t="s">
        <v>8852</v>
      </c>
      <c r="D5072" s="5"/>
      <c r="E5072" s="123">
        <v>1</v>
      </c>
      <c r="F5072" s="9">
        <v>50</v>
      </c>
      <c r="G5072" s="8">
        <f t="shared" si="152"/>
        <v>70.091700000000003</v>
      </c>
      <c r="H5072" s="167">
        <v>66.754000000000005</v>
      </c>
      <c r="I5072" s="19">
        <f t="shared" si="153"/>
        <v>3504.585</v>
      </c>
    </row>
    <row r="5073" spans="1:9">
      <c r="A5073" s="49" t="s">
        <v>8760</v>
      </c>
      <c r="B5073" s="5">
        <v>115310</v>
      </c>
      <c r="C5073" s="122" t="s">
        <v>8853</v>
      </c>
      <c r="D5073" s="5"/>
      <c r="E5073" s="123">
        <v>1</v>
      </c>
      <c r="F5073" s="9">
        <v>7</v>
      </c>
      <c r="G5073" s="8">
        <f t="shared" si="152"/>
        <v>70.091700000000003</v>
      </c>
      <c r="H5073" s="167">
        <v>66.754000000000005</v>
      </c>
      <c r="I5073" s="19">
        <f t="shared" si="153"/>
        <v>490.64190000000002</v>
      </c>
    </row>
    <row r="5074" spans="1:9">
      <c r="A5074" s="49" t="s">
        <v>8760</v>
      </c>
      <c r="B5074" s="5">
        <v>115311</v>
      </c>
      <c r="C5074" s="122" t="s">
        <v>8854</v>
      </c>
      <c r="D5074" s="5"/>
      <c r="E5074" s="123">
        <v>1</v>
      </c>
      <c r="F5074" s="9">
        <v>11</v>
      </c>
      <c r="G5074" s="8">
        <f t="shared" si="152"/>
        <v>64.662149999999997</v>
      </c>
      <c r="H5074" s="167">
        <v>61.582999999999998</v>
      </c>
      <c r="I5074" s="19">
        <f t="shared" si="153"/>
        <v>711.28364999999997</v>
      </c>
    </row>
    <row r="5075" spans="1:9">
      <c r="A5075" s="49" t="s">
        <v>8760</v>
      </c>
      <c r="B5075" s="5">
        <v>115312</v>
      </c>
      <c r="C5075" s="122" t="s">
        <v>8855</v>
      </c>
      <c r="D5075" s="5"/>
      <c r="E5075" s="123">
        <v>1</v>
      </c>
      <c r="F5075" s="9">
        <v>7</v>
      </c>
      <c r="G5075" s="8">
        <f t="shared" si="152"/>
        <v>70.782600000000002</v>
      </c>
      <c r="H5075" s="167">
        <v>67.412000000000006</v>
      </c>
      <c r="I5075" s="19">
        <f t="shared" si="153"/>
        <v>495.47820000000002</v>
      </c>
    </row>
    <row r="5076" spans="1:9">
      <c r="A5076" s="49" t="s">
        <v>8760</v>
      </c>
      <c r="B5076" s="5">
        <v>115313</v>
      </c>
      <c r="C5076" s="122" t="s">
        <v>8856</v>
      </c>
      <c r="D5076" s="5"/>
      <c r="E5076" s="123">
        <v>1</v>
      </c>
      <c r="F5076" s="9">
        <v>13</v>
      </c>
      <c r="G5076" s="8">
        <f t="shared" si="152"/>
        <v>67.525500000000008</v>
      </c>
      <c r="H5076" s="167">
        <v>64.31</v>
      </c>
      <c r="I5076" s="19">
        <f t="shared" si="153"/>
        <v>877.83150000000012</v>
      </c>
    </row>
    <row r="5077" spans="1:9">
      <c r="A5077" s="49" t="s">
        <v>8760</v>
      </c>
      <c r="B5077" s="5">
        <v>115314</v>
      </c>
      <c r="C5077" s="122" t="s">
        <v>8857</v>
      </c>
      <c r="D5077" s="5"/>
      <c r="E5077" s="123">
        <v>1</v>
      </c>
      <c r="F5077" s="9">
        <v>13</v>
      </c>
      <c r="G5077" s="8">
        <f t="shared" si="152"/>
        <v>71.869349999999997</v>
      </c>
      <c r="H5077" s="167">
        <v>68.447000000000003</v>
      </c>
      <c r="I5077" s="19">
        <f t="shared" si="153"/>
        <v>934.30154999999991</v>
      </c>
    </row>
    <row r="5078" spans="1:9">
      <c r="A5078" s="49" t="s">
        <v>8760</v>
      </c>
      <c r="B5078" s="5">
        <v>115315</v>
      </c>
      <c r="C5078" s="122" t="s">
        <v>8858</v>
      </c>
      <c r="D5078" s="5"/>
      <c r="E5078" s="123">
        <v>1</v>
      </c>
      <c r="F5078" s="9">
        <v>14</v>
      </c>
      <c r="G5078" s="8">
        <f t="shared" si="152"/>
        <v>73.152450000000002</v>
      </c>
      <c r="H5078" s="167">
        <v>69.668999999999997</v>
      </c>
      <c r="I5078" s="19">
        <f t="shared" si="153"/>
        <v>1024.1342999999999</v>
      </c>
    </row>
    <row r="5079" spans="1:9">
      <c r="A5079" s="49" t="s">
        <v>8760</v>
      </c>
      <c r="B5079" s="5">
        <v>115316</v>
      </c>
      <c r="C5079" s="122" t="s">
        <v>8859</v>
      </c>
      <c r="D5079" s="5"/>
      <c r="E5079" s="123">
        <v>1</v>
      </c>
      <c r="F5079" s="9">
        <v>21</v>
      </c>
      <c r="G5079" s="8">
        <f t="shared" si="152"/>
        <v>78.582000000000008</v>
      </c>
      <c r="H5079" s="167">
        <v>74.84</v>
      </c>
      <c r="I5079" s="19">
        <f t="shared" si="153"/>
        <v>1650.2220000000002</v>
      </c>
    </row>
    <row r="5080" spans="1:9" hidden="1">
      <c r="A5080" s="49" t="s">
        <v>8760</v>
      </c>
      <c r="B5080" s="5">
        <v>115375</v>
      </c>
      <c r="C5080" s="122" t="s">
        <v>8860</v>
      </c>
      <c r="D5080" s="5" t="s">
        <v>945</v>
      </c>
      <c r="E5080" s="123">
        <v>1</v>
      </c>
      <c r="F5080" s="9"/>
      <c r="G5080" s="8">
        <f t="shared" si="152"/>
        <v>80.8185</v>
      </c>
      <c r="H5080" s="167">
        <v>76.97</v>
      </c>
      <c r="I5080" s="19">
        <f t="shared" si="153"/>
        <v>0</v>
      </c>
    </row>
    <row r="5081" spans="1:9" hidden="1">
      <c r="A5081" s="49" t="s">
        <v>8760</v>
      </c>
      <c r="B5081" s="5">
        <v>115376</v>
      </c>
      <c r="C5081" s="122" t="s">
        <v>8861</v>
      </c>
      <c r="D5081" s="5" t="s">
        <v>945</v>
      </c>
      <c r="E5081" s="123">
        <v>1</v>
      </c>
      <c r="F5081" s="9"/>
      <c r="G5081" s="8">
        <f t="shared" si="152"/>
        <v>86.204999999999998</v>
      </c>
      <c r="H5081" s="167">
        <v>82.1</v>
      </c>
      <c r="I5081" s="19">
        <f t="shared" si="153"/>
        <v>0</v>
      </c>
    </row>
    <row r="5082" spans="1:9" hidden="1">
      <c r="A5082" s="49" t="s">
        <v>8760</v>
      </c>
      <c r="B5082" s="5">
        <v>115377</v>
      </c>
      <c r="C5082" s="122" t="s">
        <v>8862</v>
      </c>
      <c r="D5082" s="5" t="s">
        <v>945</v>
      </c>
      <c r="E5082" s="123">
        <v>1</v>
      </c>
      <c r="F5082" s="9"/>
      <c r="G5082" s="8">
        <f t="shared" si="152"/>
        <v>78.931650000000005</v>
      </c>
      <c r="H5082" s="167">
        <v>75.173000000000002</v>
      </c>
      <c r="I5082" s="19">
        <f t="shared" si="153"/>
        <v>0</v>
      </c>
    </row>
    <row r="5083" spans="1:9" hidden="1">
      <c r="A5083" s="49" t="s">
        <v>8760</v>
      </c>
      <c r="B5083" s="5">
        <v>115378</v>
      </c>
      <c r="C5083" s="122" t="s">
        <v>8863</v>
      </c>
      <c r="D5083" s="5" t="s">
        <v>945</v>
      </c>
      <c r="E5083" s="123">
        <v>1</v>
      </c>
      <c r="F5083" s="9"/>
      <c r="G5083" s="8">
        <f t="shared" si="152"/>
        <v>73.186049999999994</v>
      </c>
      <c r="H5083" s="167">
        <v>69.700999999999993</v>
      </c>
      <c r="I5083" s="19">
        <f t="shared" si="153"/>
        <v>0</v>
      </c>
    </row>
    <row r="5084" spans="1:9" hidden="1">
      <c r="A5084" s="49" t="s">
        <v>8760</v>
      </c>
      <c r="B5084" s="5">
        <v>115379</v>
      </c>
      <c r="C5084" s="122" t="s">
        <v>8864</v>
      </c>
      <c r="D5084" s="5" t="s">
        <v>945</v>
      </c>
      <c r="E5084" s="123">
        <v>1</v>
      </c>
      <c r="F5084" s="9"/>
      <c r="G5084" s="8">
        <f t="shared" si="152"/>
        <v>102.81915000000001</v>
      </c>
      <c r="H5084" s="167">
        <v>97.923000000000002</v>
      </c>
      <c r="I5084" s="19">
        <f t="shared" si="153"/>
        <v>0</v>
      </c>
    </row>
    <row r="5085" spans="1:9" hidden="1">
      <c r="A5085" s="49" t="s">
        <v>8760</v>
      </c>
      <c r="B5085" s="5">
        <v>115380</v>
      </c>
      <c r="C5085" s="122" t="s">
        <v>8865</v>
      </c>
      <c r="D5085" s="5" t="s">
        <v>945</v>
      </c>
      <c r="E5085" s="123">
        <v>1</v>
      </c>
      <c r="F5085" s="9"/>
      <c r="G5085" s="8">
        <f t="shared" si="152"/>
        <v>79.649850000000001</v>
      </c>
      <c r="H5085" s="167">
        <v>75.856999999999999</v>
      </c>
      <c r="I5085" s="19">
        <f t="shared" si="153"/>
        <v>0</v>
      </c>
    </row>
    <row r="5086" spans="1:9" hidden="1">
      <c r="A5086" s="49" t="s">
        <v>8760</v>
      </c>
      <c r="B5086" s="5">
        <v>115381</v>
      </c>
      <c r="C5086" s="122" t="s">
        <v>8866</v>
      </c>
      <c r="D5086" s="5" t="s">
        <v>945</v>
      </c>
      <c r="E5086" s="123">
        <v>1</v>
      </c>
      <c r="F5086" s="9"/>
      <c r="G5086" s="8">
        <f t="shared" si="152"/>
        <v>106.59075</v>
      </c>
      <c r="H5086" s="167">
        <v>101.515</v>
      </c>
      <c r="I5086" s="19">
        <f t="shared" si="153"/>
        <v>0</v>
      </c>
    </row>
    <row r="5087" spans="1:9" hidden="1">
      <c r="A5087" s="49" t="s">
        <v>8760</v>
      </c>
      <c r="B5087" s="5">
        <v>115382</v>
      </c>
      <c r="C5087" s="122" t="s">
        <v>8867</v>
      </c>
      <c r="D5087" s="5" t="s">
        <v>945</v>
      </c>
      <c r="E5087" s="123">
        <v>1</v>
      </c>
      <c r="F5087" s="9"/>
      <c r="G5087" s="8">
        <f t="shared" si="152"/>
        <v>91.415099999999995</v>
      </c>
      <c r="H5087" s="167">
        <v>87.061999999999998</v>
      </c>
      <c r="I5087" s="19">
        <f t="shared" si="153"/>
        <v>0</v>
      </c>
    </row>
    <row r="5088" spans="1:9" hidden="1">
      <c r="A5088" s="49" t="s">
        <v>8760</v>
      </c>
      <c r="B5088" s="5">
        <v>115383</v>
      </c>
      <c r="C5088" s="122" t="s">
        <v>8868</v>
      </c>
      <c r="D5088" s="5" t="s">
        <v>945</v>
      </c>
      <c r="E5088" s="123">
        <v>1</v>
      </c>
      <c r="F5088" s="9"/>
      <c r="G5088" s="8">
        <f t="shared" si="152"/>
        <v>100.48394999999999</v>
      </c>
      <c r="H5088" s="167">
        <v>95.698999999999998</v>
      </c>
      <c r="I5088" s="19">
        <f t="shared" si="153"/>
        <v>0</v>
      </c>
    </row>
    <row r="5089" spans="1:9" hidden="1">
      <c r="A5089" s="49" t="s">
        <v>8760</v>
      </c>
      <c r="B5089" s="5">
        <v>115384</v>
      </c>
      <c r="C5089" s="122" t="s">
        <v>8869</v>
      </c>
      <c r="D5089" s="5" t="s">
        <v>945</v>
      </c>
      <c r="E5089" s="123">
        <v>1</v>
      </c>
      <c r="F5089" s="9"/>
      <c r="G5089" s="8">
        <f t="shared" si="152"/>
        <v>91.86345</v>
      </c>
      <c r="H5089" s="167">
        <v>87.489000000000004</v>
      </c>
      <c r="I5089" s="19">
        <f t="shared" si="153"/>
        <v>0</v>
      </c>
    </row>
    <row r="5090" spans="1:9" hidden="1">
      <c r="A5090" s="49" t="s">
        <v>8760</v>
      </c>
      <c r="B5090" s="5">
        <v>115385</v>
      </c>
      <c r="C5090" s="122" t="s">
        <v>8870</v>
      </c>
      <c r="D5090" s="5" t="s">
        <v>945</v>
      </c>
      <c r="E5090" s="123">
        <v>1</v>
      </c>
      <c r="F5090" s="9"/>
      <c r="G5090" s="8">
        <f t="shared" si="152"/>
        <v>124.01129999999999</v>
      </c>
      <c r="H5090" s="167">
        <v>118.10599999999999</v>
      </c>
      <c r="I5090" s="19">
        <f t="shared" si="153"/>
        <v>0</v>
      </c>
    </row>
    <row r="5091" spans="1:9" hidden="1">
      <c r="A5091" s="49" t="s">
        <v>8760</v>
      </c>
      <c r="B5091" s="5">
        <v>115386</v>
      </c>
      <c r="C5091" s="122" t="s">
        <v>8871</v>
      </c>
      <c r="D5091" s="5" t="s">
        <v>945</v>
      </c>
      <c r="E5091" s="123">
        <v>1</v>
      </c>
      <c r="F5091" s="9"/>
      <c r="G5091" s="8">
        <f t="shared" si="152"/>
        <v>88.630499999999998</v>
      </c>
      <c r="H5091" s="167">
        <v>84.41</v>
      </c>
      <c r="I5091" s="19">
        <f t="shared" si="153"/>
        <v>0</v>
      </c>
    </row>
    <row r="5092" spans="1:9" hidden="1">
      <c r="A5092" s="49" t="s">
        <v>8760</v>
      </c>
      <c r="B5092" s="5">
        <v>115387</v>
      </c>
      <c r="C5092" s="122" t="s">
        <v>8872</v>
      </c>
      <c r="D5092" s="5" t="s">
        <v>945</v>
      </c>
      <c r="E5092" s="123">
        <v>1</v>
      </c>
      <c r="F5092" s="9"/>
      <c r="G5092" s="8">
        <f t="shared" si="152"/>
        <v>118.89255</v>
      </c>
      <c r="H5092" s="167">
        <v>113.23099999999999</v>
      </c>
      <c r="I5092" s="19">
        <f t="shared" si="153"/>
        <v>0</v>
      </c>
    </row>
    <row r="5093" spans="1:9" hidden="1">
      <c r="A5093" s="49" t="s">
        <v>8760</v>
      </c>
      <c r="B5093" s="5">
        <v>115388</v>
      </c>
      <c r="C5093" s="122" t="s">
        <v>8873</v>
      </c>
      <c r="D5093" s="5" t="s">
        <v>945</v>
      </c>
      <c r="E5093" s="123">
        <v>1</v>
      </c>
      <c r="F5093" s="9"/>
      <c r="G5093" s="8">
        <f t="shared" si="152"/>
        <v>100.3947</v>
      </c>
      <c r="H5093" s="167">
        <v>95.614000000000004</v>
      </c>
      <c r="I5093" s="19">
        <f t="shared" si="153"/>
        <v>0</v>
      </c>
    </row>
    <row r="5094" spans="1:9" hidden="1">
      <c r="A5094" s="49" t="s">
        <v>8760</v>
      </c>
      <c r="B5094" s="5">
        <v>115389</v>
      </c>
      <c r="C5094" s="122" t="s">
        <v>8874</v>
      </c>
      <c r="D5094" s="5" t="s">
        <v>945</v>
      </c>
      <c r="E5094" s="123">
        <v>1</v>
      </c>
      <c r="F5094" s="9"/>
      <c r="G5094" s="8">
        <f t="shared" si="152"/>
        <v>113.86409999999999</v>
      </c>
      <c r="H5094" s="167">
        <v>108.44199999999999</v>
      </c>
      <c r="I5094" s="19">
        <f t="shared" si="153"/>
        <v>0</v>
      </c>
    </row>
    <row r="5095" spans="1:9" hidden="1">
      <c r="A5095" s="49" t="s">
        <v>8760</v>
      </c>
      <c r="B5095" s="5">
        <v>115390</v>
      </c>
      <c r="C5095" s="122" t="s">
        <v>8875</v>
      </c>
      <c r="D5095" s="5" t="s">
        <v>945</v>
      </c>
      <c r="E5095" s="123">
        <v>1</v>
      </c>
      <c r="F5095" s="9"/>
      <c r="G5095" s="8">
        <f t="shared" si="152"/>
        <v>95.455500000000001</v>
      </c>
      <c r="H5095" s="167">
        <v>90.91</v>
      </c>
      <c r="I5095" s="19">
        <f t="shared" si="153"/>
        <v>0</v>
      </c>
    </row>
    <row r="5096" spans="1:9" hidden="1">
      <c r="A5096" s="49" t="s">
        <v>8760</v>
      </c>
      <c r="B5096" s="5">
        <v>115391</v>
      </c>
      <c r="C5096" s="122" t="s">
        <v>8876</v>
      </c>
      <c r="D5096" s="5" t="s">
        <v>945</v>
      </c>
      <c r="E5096" s="123">
        <v>1</v>
      </c>
      <c r="F5096" s="9"/>
      <c r="G5096" s="8">
        <f t="shared" si="152"/>
        <v>107.57774999999999</v>
      </c>
      <c r="H5096" s="167">
        <v>102.455</v>
      </c>
      <c r="I5096" s="19">
        <f t="shared" si="153"/>
        <v>0</v>
      </c>
    </row>
    <row r="5097" spans="1:9" hidden="1">
      <c r="A5097" s="49" t="s">
        <v>8760</v>
      </c>
      <c r="B5097" s="5">
        <v>115392</v>
      </c>
      <c r="C5097" s="122" t="s">
        <v>8877</v>
      </c>
      <c r="D5097" s="5" t="s">
        <v>945</v>
      </c>
      <c r="E5097" s="123">
        <v>1</v>
      </c>
      <c r="F5097" s="9"/>
      <c r="G5097" s="8">
        <f t="shared" si="152"/>
        <v>88.900350000000003</v>
      </c>
      <c r="H5097" s="167">
        <v>84.667000000000002</v>
      </c>
      <c r="I5097" s="19">
        <f t="shared" si="153"/>
        <v>0</v>
      </c>
    </row>
    <row r="5098" spans="1:9" hidden="1">
      <c r="A5098" s="49" t="s">
        <v>8760</v>
      </c>
      <c r="B5098" s="5">
        <v>115393</v>
      </c>
      <c r="C5098" s="122" t="s">
        <v>8878</v>
      </c>
      <c r="D5098" s="5" t="s">
        <v>945</v>
      </c>
      <c r="E5098" s="123">
        <v>1</v>
      </c>
      <c r="F5098" s="9"/>
      <c r="G5098" s="8">
        <f t="shared" si="152"/>
        <v>80.908799999999999</v>
      </c>
      <c r="H5098" s="167">
        <v>77.055999999999997</v>
      </c>
      <c r="I5098" s="19">
        <f t="shared" si="153"/>
        <v>0</v>
      </c>
    </row>
    <row r="5099" spans="1:9" hidden="1">
      <c r="A5099" s="49" t="s">
        <v>8760</v>
      </c>
      <c r="B5099" s="5">
        <v>115394</v>
      </c>
      <c r="C5099" s="122" t="s">
        <v>8879</v>
      </c>
      <c r="D5099" s="5" t="s">
        <v>945</v>
      </c>
      <c r="E5099" s="123">
        <v>1</v>
      </c>
      <c r="F5099" s="9"/>
      <c r="G5099" s="8">
        <f t="shared" si="152"/>
        <v>88.989599999999996</v>
      </c>
      <c r="H5099" s="167">
        <v>84.751999999999995</v>
      </c>
      <c r="I5099" s="19">
        <f t="shared" si="153"/>
        <v>0</v>
      </c>
    </row>
    <row r="5100" spans="1:9" hidden="1">
      <c r="A5100" s="49" t="s">
        <v>8760</v>
      </c>
      <c r="B5100" s="5" t="s">
        <v>8880</v>
      </c>
      <c r="C5100" s="122" t="s">
        <v>8881</v>
      </c>
      <c r="D5100" s="5"/>
      <c r="E5100" s="123">
        <v>1</v>
      </c>
      <c r="F5100" s="9"/>
      <c r="G5100" s="8">
        <f t="shared" si="152"/>
        <v>10.384500000000001</v>
      </c>
      <c r="H5100" s="167">
        <v>9.89</v>
      </c>
      <c r="I5100" s="19">
        <f t="shared" si="153"/>
        <v>0</v>
      </c>
    </row>
    <row r="5101" spans="1:9" hidden="1">
      <c r="A5101" s="49" t="s">
        <v>8760</v>
      </c>
      <c r="B5101" s="5" t="s">
        <v>8882</v>
      </c>
      <c r="C5101" s="122" t="s">
        <v>8883</v>
      </c>
      <c r="D5101" s="5"/>
      <c r="E5101" s="123">
        <v>1</v>
      </c>
      <c r="F5101" s="9"/>
      <c r="G5101" s="8">
        <f t="shared" si="152"/>
        <v>12.3186</v>
      </c>
      <c r="H5101" s="167">
        <v>11.731999999999999</v>
      </c>
      <c r="I5101" s="19">
        <f t="shared" si="153"/>
        <v>0</v>
      </c>
    </row>
    <row r="5102" spans="1:9" hidden="1">
      <c r="A5102" s="49" t="s">
        <v>8760</v>
      </c>
      <c r="B5102" s="5" t="s">
        <v>8884</v>
      </c>
      <c r="C5102" s="122" t="s">
        <v>8885</v>
      </c>
      <c r="D5102" s="5"/>
      <c r="E5102" s="123">
        <v>1</v>
      </c>
      <c r="F5102" s="9"/>
      <c r="G5102" s="8">
        <f t="shared" si="152"/>
        <v>19.462800000000001</v>
      </c>
      <c r="H5102" s="167">
        <v>18.536000000000001</v>
      </c>
      <c r="I5102" s="19">
        <f t="shared" si="153"/>
        <v>0</v>
      </c>
    </row>
    <row r="5103" spans="1:9" hidden="1">
      <c r="A5103" s="49" t="s">
        <v>8760</v>
      </c>
      <c r="B5103" s="5">
        <v>115501</v>
      </c>
      <c r="C5103" s="122" t="s">
        <v>8886</v>
      </c>
      <c r="D5103" s="5" t="s">
        <v>2488</v>
      </c>
      <c r="E5103" s="123">
        <v>1</v>
      </c>
      <c r="F5103" s="9"/>
      <c r="G5103" s="8">
        <f t="shared" si="152"/>
        <v>44.311050000000002</v>
      </c>
      <c r="H5103" s="167">
        <v>42.201000000000001</v>
      </c>
      <c r="I5103" s="19">
        <f t="shared" si="153"/>
        <v>0</v>
      </c>
    </row>
    <row r="5104" spans="1:9" hidden="1">
      <c r="A5104" s="49" t="s">
        <v>8760</v>
      </c>
      <c r="B5104" s="5">
        <v>115502</v>
      </c>
      <c r="C5104" s="122" t="s">
        <v>8887</v>
      </c>
      <c r="D5104" s="5" t="s">
        <v>2488</v>
      </c>
      <c r="E5104" s="123">
        <v>1</v>
      </c>
      <c r="F5104" s="9"/>
      <c r="G5104" s="8">
        <f t="shared" si="152"/>
        <v>44.4024</v>
      </c>
      <c r="H5104" s="167">
        <v>42.287999999999997</v>
      </c>
      <c r="I5104" s="19">
        <f t="shared" si="153"/>
        <v>0</v>
      </c>
    </row>
    <row r="5105" spans="1:9" hidden="1">
      <c r="A5105" s="49" t="s">
        <v>8760</v>
      </c>
      <c r="B5105" s="5">
        <v>115503</v>
      </c>
      <c r="C5105" s="122" t="s">
        <v>8888</v>
      </c>
      <c r="D5105" s="5" t="s">
        <v>2488</v>
      </c>
      <c r="E5105" s="123">
        <v>1</v>
      </c>
      <c r="F5105" s="9"/>
      <c r="G5105" s="8">
        <f t="shared" si="152"/>
        <v>46.78275</v>
      </c>
      <c r="H5105" s="167">
        <v>44.555</v>
      </c>
      <c r="I5105" s="19">
        <f t="shared" si="153"/>
        <v>0</v>
      </c>
    </row>
    <row r="5106" spans="1:9" hidden="1">
      <c r="A5106" s="49" t="s">
        <v>8760</v>
      </c>
      <c r="B5106" s="5">
        <v>115504</v>
      </c>
      <c r="C5106" s="122" t="s">
        <v>8889</v>
      </c>
      <c r="D5106" s="5" t="s">
        <v>2488</v>
      </c>
      <c r="E5106" s="123">
        <v>1</v>
      </c>
      <c r="F5106" s="9"/>
      <c r="G5106" s="8">
        <f t="shared" si="152"/>
        <v>46.872</v>
      </c>
      <c r="H5106" s="167">
        <v>44.64</v>
      </c>
      <c r="I5106" s="19">
        <f t="shared" si="153"/>
        <v>0</v>
      </c>
    </row>
    <row r="5107" spans="1:9" hidden="1">
      <c r="A5107" s="49" t="s">
        <v>8760</v>
      </c>
      <c r="B5107" s="5">
        <v>115505</v>
      </c>
      <c r="C5107" s="122" t="s">
        <v>8890</v>
      </c>
      <c r="D5107" s="5" t="s">
        <v>2488</v>
      </c>
      <c r="E5107" s="123">
        <v>1</v>
      </c>
      <c r="F5107" s="9"/>
      <c r="G5107" s="8">
        <f t="shared" si="152"/>
        <v>47.232149999999997</v>
      </c>
      <c r="H5107" s="167">
        <v>44.982999999999997</v>
      </c>
      <c r="I5107" s="19">
        <f t="shared" si="153"/>
        <v>0</v>
      </c>
    </row>
    <row r="5108" spans="1:9" hidden="1">
      <c r="A5108" s="49" t="s">
        <v>8760</v>
      </c>
      <c r="B5108" s="5">
        <v>115506</v>
      </c>
      <c r="C5108" s="122" t="s">
        <v>8891</v>
      </c>
      <c r="D5108" s="5" t="s">
        <v>2488</v>
      </c>
      <c r="E5108" s="123">
        <v>1</v>
      </c>
      <c r="F5108" s="9"/>
      <c r="G5108" s="8">
        <f t="shared" si="152"/>
        <v>47.321399999999997</v>
      </c>
      <c r="H5108" s="167">
        <v>45.067999999999998</v>
      </c>
      <c r="I5108" s="19">
        <f t="shared" si="153"/>
        <v>0</v>
      </c>
    </row>
    <row r="5109" spans="1:9" hidden="1">
      <c r="A5109" s="49" t="s">
        <v>8760</v>
      </c>
      <c r="B5109" s="5">
        <v>115507</v>
      </c>
      <c r="C5109" s="122" t="s">
        <v>8892</v>
      </c>
      <c r="D5109" s="5" t="s">
        <v>2488</v>
      </c>
      <c r="E5109" s="123">
        <v>1</v>
      </c>
      <c r="F5109" s="9"/>
      <c r="G5109" s="8">
        <f t="shared" si="152"/>
        <v>62.529600000000002</v>
      </c>
      <c r="H5109" s="167">
        <v>59.552</v>
      </c>
      <c r="I5109" s="19">
        <f t="shared" si="153"/>
        <v>0</v>
      </c>
    </row>
    <row r="5110" spans="1:9" hidden="1">
      <c r="A5110" s="49" t="s">
        <v>8760</v>
      </c>
      <c r="B5110" s="5">
        <v>115508</v>
      </c>
      <c r="C5110" s="122" t="s">
        <v>8893</v>
      </c>
      <c r="D5110" s="5" t="s">
        <v>2488</v>
      </c>
      <c r="E5110" s="123">
        <v>1</v>
      </c>
      <c r="F5110" s="9"/>
      <c r="G5110" s="8">
        <f t="shared" si="152"/>
        <v>63.250949999999996</v>
      </c>
      <c r="H5110" s="167">
        <v>60.238999999999997</v>
      </c>
      <c r="I5110" s="19">
        <f t="shared" si="153"/>
        <v>0</v>
      </c>
    </row>
    <row r="5111" spans="1:9" hidden="1">
      <c r="A5111" s="49" t="s">
        <v>8760</v>
      </c>
      <c r="B5111" s="5">
        <v>115509</v>
      </c>
      <c r="C5111" s="122" t="s">
        <v>8894</v>
      </c>
      <c r="D5111" s="5" t="s">
        <v>2488</v>
      </c>
      <c r="E5111" s="123">
        <v>1</v>
      </c>
      <c r="F5111" s="9"/>
      <c r="G5111" s="8">
        <f t="shared" si="152"/>
        <v>63.880949999999999</v>
      </c>
      <c r="H5111" s="167">
        <v>60.838999999999999</v>
      </c>
      <c r="I5111" s="19">
        <f t="shared" si="153"/>
        <v>0</v>
      </c>
    </row>
    <row r="5112" spans="1:9" hidden="1">
      <c r="A5112" s="49" t="s">
        <v>8760</v>
      </c>
      <c r="B5112" s="5">
        <v>115510</v>
      </c>
      <c r="C5112" s="122" t="s">
        <v>8895</v>
      </c>
      <c r="D5112" s="5" t="s">
        <v>2488</v>
      </c>
      <c r="E5112" s="123">
        <v>1</v>
      </c>
      <c r="F5112" s="9"/>
      <c r="G5112" s="8">
        <f t="shared" si="152"/>
        <v>73.77825</v>
      </c>
      <c r="H5112" s="167">
        <v>70.265000000000001</v>
      </c>
      <c r="I5112" s="19">
        <f t="shared" si="153"/>
        <v>0</v>
      </c>
    </row>
    <row r="5113" spans="1:9" hidden="1">
      <c r="A5113" s="49" t="s">
        <v>8760</v>
      </c>
      <c r="B5113" s="5">
        <v>115511</v>
      </c>
      <c r="C5113" s="122" t="s">
        <v>8896</v>
      </c>
      <c r="D5113" s="5" t="s">
        <v>2488</v>
      </c>
      <c r="E5113" s="123">
        <v>1</v>
      </c>
      <c r="F5113" s="9"/>
      <c r="G5113" s="8">
        <f t="shared" si="152"/>
        <v>74.588850000000008</v>
      </c>
      <c r="H5113" s="167">
        <v>71.037000000000006</v>
      </c>
      <c r="I5113" s="19">
        <f t="shared" si="153"/>
        <v>0</v>
      </c>
    </row>
    <row r="5114" spans="1:9" hidden="1">
      <c r="A5114" s="49" t="s">
        <v>8760</v>
      </c>
      <c r="B5114" s="5">
        <v>115521</v>
      </c>
      <c r="C5114" s="122" t="s">
        <v>8897</v>
      </c>
      <c r="D5114" s="5" t="s">
        <v>2488</v>
      </c>
      <c r="E5114" s="123">
        <v>1</v>
      </c>
      <c r="F5114" s="9"/>
      <c r="G5114" s="8">
        <f t="shared" si="152"/>
        <v>51.191699999999997</v>
      </c>
      <c r="H5114" s="167">
        <v>48.753999999999998</v>
      </c>
      <c r="I5114" s="19">
        <f t="shared" si="153"/>
        <v>0</v>
      </c>
    </row>
    <row r="5115" spans="1:9" hidden="1">
      <c r="A5115" s="49" t="s">
        <v>8760</v>
      </c>
      <c r="B5115" s="5">
        <v>115522</v>
      </c>
      <c r="C5115" s="122" t="s">
        <v>8898</v>
      </c>
      <c r="D5115" s="5" t="s">
        <v>2488</v>
      </c>
      <c r="E5115" s="123">
        <v>1</v>
      </c>
      <c r="F5115" s="9"/>
      <c r="G5115" s="8">
        <f t="shared" si="152"/>
        <v>51.207450000000001</v>
      </c>
      <c r="H5115" s="167">
        <v>48.768999999999998</v>
      </c>
      <c r="I5115" s="19">
        <f t="shared" si="153"/>
        <v>0</v>
      </c>
    </row>
    <row r="5116" spans="1:9" hidden="1">
      <c r="A5116" s="49" t="s">
        <v>8760</v>
      </c>
      <c r="B5116" s="5">
        <v>115523</v>
      </c>
      <c r="C5116" s="122" t="s">
        <v>8899</v>
      </c>
      <c r="D5116" s="5" t="s">
        <v>2488</v>
      </c>
      <c r="E5116" s="123">
        <v>1</v>
      </c>
      <c r="F5116" s="9"/>
      <c r="G5116" s="8">
        <f t="shared" si="152"/>
        <v>51.397500000000001</v>
      </c>
      <c r="H5116" s="167">
        <v>48.95</v>
      </c>
      <c r="I5116" s="19">
        <f t="shared" si="153"/>
        <v>0</v>
      </c>
    </row>
    <row r="5117" spans="1:9" hidden="1">
      <c r="A5117" s="49" t="s">
        <v>8760</v>
      </c>
      <c r="B5117" s="5">
        <v>115524</v>
      </c>
      <c r="C5117" s="122" t="s">
        <v>8900</v>
      </c>
      <c r="D5117" s="5" t="s">
        <v>2488</v>
      </c>
      <c r="E5117" s="123">
        <v>1</v>
      </c>
      <c r="F5117" s="9"/>
      <c r="G5117" s="8">
        <f t="shared" si="152"/>
        <v>51.661050000000003</v>
      </c>
      <c r="H5117" s="167">
        <v>49.201000000000001</v>
      </c>
      <c r="I5117" s="19">
        <f t="shared" si="153"/>
        <v>0</v>
      </c>
    </row>
    <row r="5118" spans="1:9" hidden="1">
      <c r="A5118" s="49" t="s">
        <v>8760</v>
      </c>
      <c r="B5118" s="5">
        <v>115525</v>
      </c>
      <c r="C5118" s="122" t="s">
        <v>8901</v>
      </c>
      <c r="D5118" s="5" t="s">
        <v>2488</v>
      </c>
      <c r="E5118" s="123">
        <v>1</v>
      </c>
      <c r="F5118" s="9"/>
      <c r="G5118" s="8">
        <f t="shared" si="152"/>
        <v>51.857399999999998</v>
      </c>
      <c r="H5118" s="167">
        <v>49.387999999999998</v>
      </c>
      <c r="I5118" s="19">
        <f t="shared" si="153"/>
        <v>0</v>
      </c>
    </row>
    <row r="5119" spans="1:9" hidden="1">
      <c r="A5119" s="49" t="s">
        <v>8760</v>
      </c>
      <c r="B5119" s="5">
        <v>115526</v>
      </c>
      <c r="C5119" s="122" t="s">
        <v>8902</v>
      </c>
      <c r="D5119" s="5" t="s">
        <v>2488</v>
      </c>
      <c r="E5119" s="123">
        <v>1</v>
      </c>
      <c r="F5119" s="9"/>
      <c r="G5119" s="8">
        <f t="shared" si="152"/>
        <v>51.011099999999999</v>
      </c>
      <c r="H5119" s="167">
        <v>48.582000000000001</v>
      </c>
      <c r="I5119" s="19">
        <f t="shared" si="153"/>
        <v>0</v>
      </c>
    </row>
    <row r="5120" spans="1:9" hidden="1">
      <c r="A5120" s="49" t="s">
        <v>8760</v>
      </c>
      <c r="B5120" s="5">
        <v>115527</v>
      </c>
      <c r="C5120" s="122" t="s">
        <v>8903</v>
      </c>
      <c r="D5120" s="5" t="s">
        <v>2488</v>
      </c>
      <c r="E5120" s="123">
        <v>1</v>
      </c>
      <c r="F5120" s="9"/>
      <c r="G5120" s="8">
        <f t="shared" si="152"/>
        <v>68.380200000000002</v>
      </c>
      <c r="H5120" s="167">
        <v>65.123999999999995</v>
      </c>
      <c r="I5120" s="19">
        <f t="shared" si="153"/>
        <v>0</v>
      </c>
    </row>
    <row r="5121" spans="1:9" hidden="1">
      <c r="A5121" s="49" t="s">
        <v>8760</v>
      </c>
      <c r="B5121" s="5">
        <v>115528</v>
      </c>
      <c r="C5121" s="122" t="s">
        <v>8904</v>
      </c>
      <c r="D5121" s="5" t="s">
        <v>2488</v>
      </c>
      <c r="E5121" s="123">
        <v>1</v>
      </c>
      <c r="F5121" s="9"/>
      <c r="G5121" s="8">
        <f t="shared" si="152"/>
        <v>68.49884999999999</v>
      </c>
      <c r="H5121" s="167">
        <v>65.236999999999995</v>
      </c>
      <c r="I5121" s="19">
        <f t="shared" si="153"/>
        <v>0</v>
      </c>
    </row>
    <row r="5122" spans="1:9" hidden="1">
      <c r="A5122" s="49" t="s">
        <v>8760</v>
      </c>
      <c r="B5122" s="5">
        <v>115529</v>
      </c>
      <c r="C5122" s="122" t="s">
        <v>8905</v>
      </c>
      <c r="D5122" s="5" t="s">
        <v>2488</v>
      </c>
      <c r="E5122" s="123">
        <v>1</v>
      </c>
      <c r="F5122" s="9"/>
      <c r="G5122" s="8">
        <f t="shared" si="152"/>
        <v>68.643749999999997</v>
      </c>
      <c r="H5122" s="167">
        <v>65.375</v>
      </c>
      <c r="I5122" s="19">
        <f t="shared" si="153"/>
        <v>0</v>
      </c>
    </row>
    <row r="5123" spans="1:9" hidden="1">
      <c r="A5123" s="49" t="s">
        <v>8760</v>
      </c>
      <c r="B5123" s="5">
        <v>115530</v>
      </c>
      <c r="C5123" s="122" t="s">
        <v>8906</v>
      </c>
      <c r="D5123" s="5" t="s">
        <v>2488</v>
      </c>
      <c r="E5123" s="123">
        <v>1</v>
      </c>
      <c r="F5123" s="9"/>
      <c r="G5123" s="8">
        <f t="shared" si="152"/>
        <v>80.979150000000004</v>
      </c>
      <c r="H5123" s="167">
        <v>77.123000000000005</v>
      </c>
      <c r="I5123" s="19">
        <f t="shared" si="153"/>
        <v>0</v>
      </c>
    </row>
    <row r="5124" spans="1:9" hidden="1">
      <c r="A5124" s="49" t="s">
        <v>8760</v>
      </c>
      <c r="B5124" s="5">
        <v>115531</v>
      </c>
      <c r="C5124" s="122" t="s">
        <v>8907</v>
      </c>
      <c r="D5124" s="5" t="s">
        <v>2488</v>
      </c>
      <c r="E5124" s="123">
        <v>1</v>
      </c>
      <c r="F5124" s="9"/>
      <c r="G5124" s="8">
        <f t="shared" si="152"/>
        <v>82.418700000000001</v>
      </c>
      <c r="H5124" s="167">
        <v>78.494</v>
      </c>
      <c r="I5124" s="19">
        <f t="shared" si="153"/>
        <v>0</v>
      </c>
    </row>
    <row r="5125" spans="1:9" hidden="1">
      <c r="A5125" s="49" t="s">
        <v>8760</v>
      </c>
      <c r="B5125" s="5">
        <v>115541</v>
      </c>
      <c r="C5125" s="122" t="s">
        <v>8908</v>
      </c>
      <c r="D5125" s="5" t="s">
        <v>2488</v>
      </c>
      <c r="E5125" s="123">
        <v>1</v>
      </c>
      <c r="F5125" s="9"/>
      <c r="G5125" s="8">
        <f t="shared" si="152"/>
        <v>55.690950000000001</v>
      </c>
      <c r="H5125" s="167">
        <v>53.039000000000001</v>
      </c>
      <c r="I5125" s="19">
        <f t="shared" si="153"/>
        <v>0</v>
      </c>
    </row>
    <row r="5126" spans="1:9" hidden="1">
      <c r="A5126" s="49" t="s">
        <v>8760</v>
      </c>
      <c r="B5126" s="5">
        <v>115542</v>
      </c>
      <c r="C5126" s="122" t="s">
        <v>8909</v>
      </c>
      <c r="D5126" s="5" t="s">
        <v>2488</v>
      </c>
      <c r="E5126" s="123">
        <v>1</v>
      </c>
      <c r="F5126" s="9"/>
      <c r="G5126" s="8">
        <f t="shared" si="152"/>
        <v>55.838999999999999</v>
      </c>
      <c r="H5126" s="167">
        <v>53.18</v>
      </c>
      <c r="I5126" s="19">
        <f t="shared" si="153"/>
        <v>0</v>
      </c>
    </row>
    <row r="5127" spans="1:9" hidden="1">
      <c r="A5127" s="49" t="s">
        <v>8760</v>
      </c>
      <c r="B5127" s="5">
        <v>115543</v>
      </c>
      <c r="C5127" s="122" t="s">
        <v>8910</v>
      </c>
      <c r="D5127" s="5" t="s">
        <v>2488</v>
      </c>
      <c r="E5127" s="123">
        <v>1</v>
      </c>
      <c r="F5127" s="9"/>
      <c r="G5127" s="8">
        <f t="shared" si="152"/>
        <v>55.979700000000001</v>
      </c>
      <c r="H5127" s="167">
        <v>53.314</v>
      </c>
      <c r="I5127" s="19">
        <f t="shared" si="153"/>
        <v>0</v>
      </c>
    </row>
    <row r="5128" spans="1:9" hidden="1">
      <c r="A5128" s="49" t="s">
        <v>8760</v>
      </c>
      <c r="B5128" s="5">
        <v>115544</v>
      </c>
      <c r="C5128" s="122" t="s">
        <v>8911</v>
      </c>
      <c r="D5128" s="5" t="s">
        <v>2488</v>
      </c>
      <c r="E5128" s="123">
        <v>1</v>
      </c>
      <c r="F5128" s="9"/>
      <c r="G5128" s="8">
        <f t="shared" si="152"/>
        <v>56.114100000000001</v>
      </c>
      <c r="H5128" s="167">
        <v>53.442</v>
      </c>
      <c r="I5128" s="19">
        <f t="shared" si="153"/>
        <v>0</v>
      </c>
    </row>
    <row r="5129" spans="1:9" hidden="1">
      <c r="A5129" s="49" t="s">
        <v>8760</v>
      </c>
      <c r="B5129" s="5">
        <v>115545</v>
      </c>
      <c r="C5129" s="122" t="s">
        <v>8912</v>
      </c>
      <c r="D5129" s="5" t="s">
        <v>2488</v>
      </c>
      <c r="E5129" s="123">
        <v>1</v>
      </c>
      <c r="F5129" s="9"/>
      <c r="G5129" s="8">
        <f t="shared" si="152"/>
        <v>75.309150000000002</v>
      </c>
      <c r="H5129" s="167">
        <v>71.722999999999999</v>
      </c>
      <c r="I5129" s="19">
        <f t="shared" si="153"/>
        <v>0</v>
      </c>
    </row>
    <row r="5130" spans="1:9" hidden="1">
      <c r="A5130" s="49" t="s">
        <v>8760</v>
      </c>
      <c r="B5130" s="5">
        <v>115546</v>
      </c>
      <c r="C5130" s="122" t="s">
        <v>8913</v>
      </c>
      <c r="D5130" s="5" t="s">
        <v>2488</v>
      </c>
      <c r="E5130" s="123">
        <v>1</v>
      </c>
      <c r="F5130" s="9"/>
      <c r="G5130" s="8">
        <f t="shared" ref="G5130:G5193" si="154">H5130+(H5130*5%)</f>
        <v>76.29825000000001</v>
      </c>
      <c r="H5130" s="167">
        <v>72.665000000000006</v>
      </c>
      <c r="I5130" s="19">
        <f t="shared" ref="I5130:I5193" si="155">G5130*F5130</f>
        <v>0</v>
      </c>
    </row>
    <row r="5131" spans="1:9" hidden="1">
      <c r="A5131" s="49" t="s">
        <v>8760</v>
      </c>
      <c r="B5131" s="5">
        <v>115547</v>
      </c>
      <c r="C5131" s="122" t="s">
        <v>8914</v>
      </c>
      <c r="D5131" s="5" t="s">
        <v>2488</v>
      </c>
      <c r="E5131" s="123">
        <v>1</v>
      </c>
      <c r="F5131" s="9"/>
      <c r="G5131" s="8">
        <f t="shared" si="154"/>
        <v>76.299300000000002</v>
      </c>
      <c r="H5131" s="167">
        <v>72.665999999999997</v>
      </c>
      <c r="I5131" s="19">
        <f t="shared" si="155"/>
        <v>0</v>
      </c>
    </row>
    <row r="5132" spans="1:9" hidden="1">
      <c r="A5132" s="49" t="s">
        <v>8760</v>
      </c>
      <c r="B5132" s="5">
        <v>115548</v>
      </c>
      <c r="C5132" s="122" t="s">
        <v>8915</v>
      </c>
      <c r="D5132" s="5" t="s">
        <v>2488</v>
      </c>
      <c r="E5132" s="123">
        <v>1</v>
      </c>
      <c r="F5132" s="9"/>
      <c r="G5132" s="8">
        <f t="shared" si="154"/>
        <v>74.679150000000007</v>
      </c>
      <c r="H5132" s="167">
        <v>71.123000000000005</v>
      </c>
      <c r="I5132" s="19">
        <f t="shared" si="155"/>
        <v>0</v>
      </c>
    </row>
    <row r="5133" spans="1:9" hidden="1">
      <c r="A5133" s="49" t="s">
        <v>8760</v>
      </c>
      <c r="B5133" s="5">
        <v>115549</v>
      </c>
      <c r="C5133" s="122" t="s">
        <v>8916</v>
      </c>
      <c r="D5133" s="5" t="s">
        <v>2488</v>
      </c>
      <c r="E5133" s="123">
        <v>1</v>
      </c>
      <c r="F5133" s="9"/>
      <c r="G5133" s="8">
        <f t="shared" si="154"/>
        <v>74.977350000000001</v>
      </c>
      <c r="H5133" s="167">
        <v>71.406999999999996</v>
      </c>
      <c r="I5133" s="19">
        <f t="shared" si="155"/>
        <v>0</v>
      </c>
    </row>
    <row r="5134" spans="1:9" hidden="1">
      <c r="A5134" s="49" t="s">
        <v>8760</v>
      </c>
      <c r="B5134" s="5">
        <v>115550</v>
      </c>
      <c r="C5134" s="122" t="s">
        <v>8917</v>
      </c>
      <c r="D5134" s="5" t="s">
        <v>2488</v>
      </c>
      <c r="E5134" s="123">
        <v>1</v>
      </c>
      <c r="F5134" s="9"/>
      <c r="G5134" s="8">
        <f t="shared" si="154"/>
        <v>88.177949999999996</v>
      </c>
      <c r="H5134" s="167">
        <v>83.978999999999999</v>
      </c>
      <c r="I5134" s="19">
        <f t="shared" si="155"/>
        <v>0</v>
      </c>
    </row>
    <row r="5135" spans="1:9" hidden="1">
      <c r="A5135" s="49" t="s">
        <v>8760</v>
      </c>
      <c r="B5135" s="5">
        <v>115551</v>
      </c>
      <c r="C5135" s="122" t="s">
        <v>8918</v>
      </c>
      <c r="D5135" s="5" t="s">
        <v>2488</v>
      </c>
      <c r="E5135" s="123">
        <v>1</v>
      </c>
      <c r="F5135" s="9"/>
      <c r="G5135" s="8">
        <f t="shared" si="154"/>
        <v>89.798100000000005</v>
      </c>
      <c r="H5135" s="167">
        <v>85.522000000000006</v>
      </c>
      <c r="I5135" s="19">
        <f t="shared" si="155"/>
        <v>0</v>
      </c>
    </row>
    <row r="5136" spans="1:9" hidden="1">
      <c r="A5136" s="49" t="s">
        <v>8760</v>
      </c>
      <c r="B5136" s="5">
        <v>115561</v>
      </c>
      <c r="C5136" s="122" t="s">
        <v>8919</v>
      </c>
      <c r="D5136" s="5" t="s">
        <v>2488</v>
      </c>
      <c r="E5136" s="123">
        <v>1</v>
      </c>
      <c r="F5136" s="9"/>
      <c r="G5136" s="8">
        <f t="shared" si="154"/>
        <v>61.488</v>
      </c>
      <c r="H5136" s="167">
        <v>58.56</v>
      </c>
      <c r="I5136" s="19">
        <f t="shared" si="155"/>
        <v>0</v>
      </c>
    </row>
    <row r="5137" spans="1:9" hidden="1">
      <c r="A5137" s="49" t="s">
        <v>8760</v>
      </c>
      <c r="B5137" s="5">
        <v>115562</v>
      </c>
      <c r="C5137" s="122" t="s">
        <v>8920</v>
      </c>
      <c r="D5137" s="5" t="s">
        <v>2488</v>
      </c>
      <c r="E5137" s="123">
        <v>1</v>
      </c>
      <c r="F5137" s="9"/>
      <c r="G5137" s="8">
        <f t="shared" si="154"/>
        <v>61.881750000000004</v>
      </c>
      <c r="H5137" s="167">
        <v>58.935000000000002</v>
      </c>
      <c r="I5137" s="19">
        <f t="shared" si="155"/>
        <v>0</v>
      </c>
    </row>
    <row r="5138" spans="1:9" hidden="1">
      <c r="A5138" s="49" t="s">
        <v>8760</v>
      </c>
      <c r="B5138" s="5">
        <v>115563</v>
      </c>
      <c r="C5138" s="122" t="s">
        <v>8921</v>
      </c>
      <c r="D5138" s="5" t="s">
        <v>2488</v>
      </c>
      <c r="E5138" s="123">
        <v>1</v>
      </c>
      <c r="F5138" s="9"/>
      <c r="G5138" s="8">
        <f t="shared" si="154"/>
        <v>62.091749999999998</v>
      </c>
      <c r="H5138" s="167">
        <v>59.134999999999998</v>
      </c>
      <c r="I5138" s="19">
        <f t="shared" si="155"/>
        <v>0</v>
      </c>
    </row>
    <row r="5139" spans="1:9" hidden="1">
      <c r="A5139" s="49" t="s">
        <v>8760</v>
      </c>
      <c r="B5139" s="5">
        <v>115564</v>
      </c>
      <c r="C5139" s="122" t="s">
        <v>8922</v>
      </c>
      <c r="D5139" s="5" t="s">
        <v>2488</v>
      </c>
      <c r="E5139" s="123">
        <v>1</v>
      </c>
      <c r="F5139" s="9"/>
      <c r="G5139" s="8">
        <f t="shared" si="154"/>
        <v>63.1113</v>
      </c>
      <c r="H5139" s="167">
        <v>60.106000000000002</v>
      </c>
      <c r="I5139" s="19">
        <f t="shared" si="155"/>
        <v>0</v>
      </c>
    </row>
    <row r="5140" spans="1:9" hidden="1">
      <c r="A5140" s="49" t="s">
        <v>8760</v>
      </c>
      <c r="B5140" s="5">
        <v>115565</v>
      </c>
      <c r="C5140" s="122" t="s">
        <v>8923</v>
      </c>
      <c r="D5140" s="5" t="s">
        <v>2488</v>
      </c>
      <c r="E5140" s="123">
        <v>1</v>
      </c>
      <c r="F5140" s="9"/>
      <c r="G5140" s="8">
        <f t="shared" si="154"/>
        <v>63.320250000000001</v>
      </c>
      <c r="H5140" s="167">
        <v>60.305</v>
      </c>
      <c r="I5140" s="19">
        <f t="shared" si="155"/>
        <v>0</v>
      </c>
    </row>
    <row r="5141" spans="1:9" hidden="1">
      <c r="A5141" s="49" t="s">
        <v>8760</v>
      </c>
      <c r="B5141" s="5">
        <v>115566</v>
      </c>
      <c r="C5141" s="122" t="s">
        <v>8924</v>
      </c>
      <c r="D5141" s="5" t="s">
        <v>2488</v>
      </c>
      <c r="E5141" s="123">
        <v>1</v>
      </c>
      <c r="F5141" s="9"/>
      <c r="G5141" s="8">
        <f t="shared" si="154"/>
        <v>88.243049999999997</v>
      </c>
      <c r="H5141" s="167">
        <v>84.040999999999997</v>
      </c>
      <c r="I5141" s="19">
        <f t="shared" si="155"/>
        <v>0</v>
      </c>
    </row>
    <row r="5142" spans="1:9" hidden="1">
      <c r="A5142" s="49" t="s">
        <v>8760</v>
      </c>
      <c r="B5142" s="5">
        <v>115567</v>
      </c>
      <c r="C5142" s="122" t="s">
        <v>8925</v>
      </c>
      <c r="D5142" s="5" t="s">
        <v>2488</v>
      </c>
      <c r="E5142" s="123">
        <v>1</v>
      </c>
      <c r="F5142" s="9"/>
      <c r="G5142" s="8">
        <f t="shared" si="154"/>
        <v>90.712649999999996</v>
      </c>
      <c r="H5142" s="167">
        <v>86.393000000000001</v>
      </c>
      <c r="I5142" s="19">
        <f t="shared" si="155"/>
        <v>0</v>
      </c>
    </row>
    <row r="5143" spans="1:9" hidden="1">
      <c r="A5143" s="49" t="s">
        <v>8760</v>
      </c>
      <c r="B5143" s="5">
        <v>115568</v>
      </c>
      <c r="C5143" s="122" t="s">
        <v>8926</v>
      </c>
      <c r="D5143" s="5" t="s">
        <v>2488</v>
      </c>
      <c r="E5143" s="123">
        <v>1</v>
      </c>
      <c r="F5143" s="9"/>
      <c r="G5143" s="8">
        <f t="shared" si="154"/>
        <v>91.941150000000007</v>
      </c>
      <c r="H5143" s="167">
        <v>87.563000000000002</v>
      </c>
      <c r="I5143" s="19">
        <f t="shared" si="155"/>
        <v>0</v>
      </c>
    </row>
    <row r="5144" spans="1:9" hidden="1">
      <c r="A5144" s="49" t="s">
        <v>8760</v>
      </c>
      <c r="B5144" s="5">
        <v>115569</v>
      </c>
      <c r="C5144" s="122" t="s">
        <v>8927</v>
      </c>
      <c r="D5144" s="5" t="s">
        <v>2488</v>
      </c>
      <c r="E5144" s="123">
        <v>1</v>
      </c>
      <c r="F5144" s="9"/>
      <c r="G5144" s="8">
        <f t="shared" si="154"/>
        <v>108.85035000000001</v>
      </c>
      <c r="H5144" s="167">
        <v>103.667</v>
      </c>
      <c r="I5144" s="19">
        <f t="shared" si="155"/>
        <v>0</v>
      </c>
    </row>
    <row r="5145" spans="1:9" hidden="1">
      <c r="A5145" s="49" t="s">
        <v>8760</v>
      </c>
      <c r="B5145" s="5">
        <v>115570</v>
      </c>
      <c r="C5145" s="122" t="s">
        <v>8928</v>
      </c>
      <c r="D5145" s="5" t="s">
        <v>2488</v>
      </c>
      <c r="E5145" s="123">
        <v>1</v>
      </c>
      <c r="F5145" s="9"/>
      <c r="G5145" s="8">
        <f t="shared" si="154"/>
        <v>110.46315</v>
      </c>
      <c r="H5145" s="167">
        <v>105.203</v>
      </c>
      <c r="I5145" s="19">
        <f t="shared" si="155"/>
        <v>0</v>
      </c>
    </row>
    <row r="5146" spans="1:9" hidden="1">
      <c r="A5146" s="49" t="s">
        <v>8760</v>
      </c>
      <c r="B5146" s="5">
        <v>115581</v>
      </c>
      <c r="C5146" s="122" t="s">
        <v>8929</v>
      </c>
      <c r="D5146" s="5" t="s">
        <v>2488</v>
      </c>
      <c r="E5146" s="123">
        <v>1</v>
      </c>
      <c r="F5146" s="9"/>
      <c r="G5146" s="8">
        <f t="shared" si="154"/>
        <v>64.538250000000005</v>
      </c>
      <c r="H5146" s="167">
        <v>61.465000000000003</v>
      </c>
      <c r="I5146" s="19">
        <f t="shared" si="155"/>
        <v>0</v>
      </c>
    </row>
    <row r="5147" spans="1:9" hidden="1">
      <c r="A5147" s="49" t="s">
        <v>8760</v>
      </c>
      <c r="B5147" s="5">
        <v>115582</v>
      </c>
      <c r="C5147" s="122" t="s">
        <v>8930</v>
      </c>
      <c r="D5147" s="5" t="s">
        <v>2488</v>
      </c>
      <c r="E5147" s="123">
        <v>1</v>
      </c>
      <c r="F5147" s="9"/>
      <c r="G5147" s="8">
        <f t="shared" si="154"/>
        <v>64.967700000000008</v>
      </c>
      <c r="H5147" s="167">
        <v>61.874000000000002</v>
      </c>
      <c r="I5147" s="19">
        <f t="shared" si="155"/>
        <v>0</v>
      </c>
    </row>
    <row r="5148" spans="1:9" hidden="1">
      <c r="A5148" s="49" t="s">
        <v>8760</v>
      </c>
      <c r="B5148" s="5">
        <v>115583</v>
      </c>
      <c r="C5148" s="122" t="s">
        <v>8931</v>
      </c>
      <c r="D5148" s="5" t="s">
        <v>2488</v>
      </c>
      <c r="E5148" s="123">
        <v>1</v>
      </c>
      <c r="F5148" s="9"/>
      <c r="G5148" s="8">
        <f t="shared" si="154"/>
        <v>65.234399999999994</v>
      </c>
      <c r="H5148" s="167">
        <v>62.128</v>
      </c>
      <c r="I5148" s="19">
        <f t="shared" si="155"/>
        <v>0</v>
      </c>
    </row>
    <row r="5149" spans="1:9" hidden="1">
      <c r="A5149" s="49" t="s">
        <v>8760</v>
      </c>
      <c r="B5149" s="5">
        <v>115584</v>
      </c>
      <c r="C5149" s="122" t="s">
        <v>8932</v>
      </c>
      <c r="D5149" s="5" t="s">
        <v>2488</v>
      </c>
      <c r="E5149" s="123">
        <v>1</v>
      </c>
      <c r="F5149" s="9"/>
      <c r="G5149" s="8">
        <f t="shared" si="154"/>
        <v>66.254999999999995</v>
      </c>
      <c r="H5149" s="167">
        <v>63.1</v>
      </c>
      <c r="I5149" s="19">
        <f t="shared" si="155"/>
        <v>0</v>
      </c>
    </row>
    <row r="5150" spans="1:9" hidden="1">
      <c r="A5150" s="49" t="s">
        <v>8760</v>
      </c>
      <c r="B5150" s="5">
        <v>115585</v>
      </c>
      <c r="C5150" s="122" t="s">
        <v>8933</v>
      </c>
      <c r="D5150" s="5" t="s">
        <v>2488</v>
      </c>
      <c r="E5150" s="123">
        <v>1</v>
      </c>
      <c r="F5150" s="9"/>
      <c r="G5150" s="8">
        <f t="shared" si="154"/>
        <v>80.065650000000005</v>
      </c>
      <c r="H5150" s="167">
        <v>76.253</v>
      </c>
      <c r="I5150" s="19">
        <f t="shared" si="155"/>
        <v>0</v>
      </c>
    </row>
    <row r="5151" spans="1:9" hidden="1">
      <c r="A5151" s="49" t="s">
        <v>8760</v>
      </c>
      <c r="B5151" s="5">
        <v>115586</v>
      </c>
      <c r="C5151" s="122" t="s">
        <v>8934</v>
      </c>
      <c r="D5151" s="5" t="s">
        <v>2488</v>
      </c>
      <c r="E5151" s="123">
        <v>1</v>
      </c>
      <c r="F5151" s="9"/>
      <c r="G5151" s="8">
        <f t="shared" si="154"/>
        <v>93.925650000000005</v>
      </c>
      <c r="H5151" s="167">
        <v>89.453000000000003</v>
      </c>
      <c r="I5151" s="19">
        <f t="shared" si="155"/>
        <v>0</v>
      </c>
    </row>
    <row r="5152" spans="1:9" hidden="1">
      <c r="A5152" s="49" t="s">
        <v>8760</v>
      </c>
      <c r="B5152" s="5">
        <v>115587</v>
      </c>
      <c r="C5152" s="122" t="s">
        <v>8935</v>
      </c>
      <c r="D5152" s="5" t="s">
        <v>2488</v>
      </c>
      <c r="E5152" s="123">
        <v>1</v>
      </c>
      <c r="F5152" s="9"/>
      <c r="G5152" s="8">
        <f t="shared" si="154"/>
        <v>96.789000000000001</v>
      </c>
      <c r="H5152" s="167">
        <v>92.18</v>
      </c>
      <c r="I5152" s="19">
        <f t="shared" si="155"/>
        <v>0</v>
      </c>
    </row>
    <row r="5153" spans="1:9" hidden="1">
      <c r="A5153" s="49" t="s">
        <v>8760</v>
      </c>
      <c r="B5153" s="5">
        <v>115588</v>
      </c>
      <c r="C5153" s="122" t="s">
        <v>8936</v>
      </c>
      <c r="D5153" s="5" t="s">
        <v>2488</v>
      </c>
      <c r="E5153" s="123">
        <v>1</v>
      </c>
      <c r="F5153" s="9"/>
      <c r="G5153" s="8">
        <f t="shared" si="154"/>
        <v>98.077349999999996</v>
      </c>
      <c r="H5153" s="167">
        <v>93.406999999999996</v>
      </c>
      <c r="I5153" s="19">
        <f t="shared" si="155"/>
        <v>0</v>
      </c>
    </row>
    <row r="5154" spans="1:9" hidden="1">
      <c r="A5154" s="49" t="s">
        <v>8760</v>
      </c>
      <c r="B5154" s="5">
        <v>115589</v>
      </c>
      <c r="C5154" s="122" t="s">
        <v>8937</v>
      </c>
      <c r="D5154" s="5" t="s">
        <v>2488</v>
      </c>
      <c r="E5154" s="123">
        <v>1</v>
      </c>
      <c r="F5154" s="9"/>
      <c r="G5154" s="8">
        <f t="shared" si="154"/>
        <v>115.91265</v>
      </c>
      <c r="H5154" s="167">
        <v>110.393</v>
      </c>
      <c r="I5154" s="19">
        <f t="shared" si="155"/>
        <v>0</v>
      </c>
    </row>
    <row r="5155" spans="1:9" hidden="1">
      <c r="A5155" s="49" t="s">
        <v>8760</v>
      </c>
      <c r="B5155" s="5">
        <v>115590</v>
      </c>
      <c r="C5155" s="122" t="s">
        <v>8938</v>
      </c>
      <c r="D5155" s="5" t="s">
        <v>2488</v>
      </c>
      <c r="E5155" s="123">
        <v>1</v>
      </c>
      <c r="F5155" s="9"/>
      <c r="G5155" s="8">
        <f t="shared" si="154"/>
        <v>117.67665</v>
      </c>
      <c r="H5155" s="167">
        <v>112.07299999999999</v>
      </c>
      <c r="I5155" s="19">
        <f t="shared" si="155"/>
        <v>0</v>
      </c>
    </row>
    <row r="5156" spans="1:9" hidden="1">
      <c r="A5156" s="49" t="s">
        <v>8760</v>
      </c>
      <c r="B5156" s="5">
        <v>115801</v>
      </c>
      <c r="C5156" s="122" t="s">
        <v>8939</v>
      </c>
      <c r="D5156" s="5"/>
      <c r="E5156" s="123">
        <v>1</v>
      </c>
      <c r="F5156" s="9"/>
      <c r="G5156" s="8">
        <f t="shared" si="154"/>
        <v>28.3689</v>
      </c>
      <c r="H5156" s="167">
        <v>27.018000000000001</v>
      </c>
      <c r="I5156" s="19">
        <f t="shared" si="155"/>
        <v>0</v>
      </c>
    </row>
    <row r="5157" spans="1:9" hidden="1">
      <c r="A5157" s="49" t="s">
        <v>8760</v>
      </c>
      <c r="B5157" s="5">
        <v>115810</v>
      </c>
      <c r="C5157" s="122" t="s">
        <v>8940</v>
      </c>
      <c r="D5157" s="5"/>
      <c r="E5157" s="123">
        <v>1</v>
      </c>
      <c r="F5157" s="9"/>
      <c r="G5157" s="8">
        <f t="shared" si="154"/>
        <v>42.484049999999996</v>
      </c>
      <c r="H5157" s="167">
        <v>40.460999999999999</v>
      </c>
      <c r="I5157" s="19">
        <f t="shared" si="155"/>
        <v>0</v>
      </c>
    </row>
    <row r="5158" spans="1:9">
      <c r="A5158" s="49" t="s">
        <v>8760</v>
      </c>
      <c r="B5158" s="5">
        <v>115820</v>
      </c>
      <c r="C5158" s="122" t="s">
        <v>8941</v>
      </c>
      <c r="D5158" s="5"/>
      <c r="E5158" s="123">
        <v>1</v>
      </c>
      <c r="F5158" s="9">
        <v>2</v>
      </c>
      <c r="G5158" s="8">
        <f t="shared" si="154"/>
        <v>85.584450000000004</v>
      </c>
      <c r="H5158" s="167">
        <v>81.509</v>
      </c>
      <c r="I5158" s="19">
        <f t="shared" si="155"/>
        <v>171.16890000000001</v>
      </c>
    </row>
    <row r="5159" spans="1:9" hidden="1">
      <c r="A5159" s="49" t="s">
        <v>8760</v>
      </c>
      <c r="B5159" s="5">
        <v>120020</v>
      </c>
      <c r="C5159" s="122" t="s">
        <v>8942</v>
      </c>
      <c r="D5159" s="5" t="s">
        <v>2488</v>
      </c>
      <c r="E5159" s="123">
        <v>1</v>
      </c>
      <c r="F5159" s="9"/>
      <c r="G5159" s="8">
        <f t="shared" si="154"/>
        <v>6.1309500000000003</v>
      </c>
      <c r="H5159" s="167">
        <v>5.8390000000000004</v>
      </c>
      <c r="I5159" s="19">
        <f t="shared" si="155"/>
        <v>0</v>
      </c>
    </row>
    <row r="5160" spans="1:9" hidden="1">
      <c r="A5160" s="49" t="s">
        <v>8760</v>
      </c>
      <c r="B5160" s="5">
        <v>120030</v>
      </c>
      <c r="C5160" s="122" t="s">
        <v>8943</v>
      </c>
      <c r="D5160" s="5" t="s">
        <v>2488</v>
      </c>
      <c r="E5160" s="123">
        <v>1</v>
      </c>
      <c r="F5160" s="9"/>
      <c r="G5160" s="8">
        <f t="shared" si="154"/>
        <v>4.6189499999999999</v>
      </c>
      <c r="H5160" s="167">
        <v>4.399</v>
      </c>
      <c r="I5160" s="19">
        <f t="shared" si="155"/>
        <v>0</v>
      </c>
    </row>
    <row r="5161" spans="1:9" hidden="1">
      <c r="A5161" s="49" t="s">
        <v>8760</v>
      </c>
      <c r="B5161" s="5">
        <v>120050</v>
      </c>
      <c r="C5161" s="122" t="s">
        <v>8944</v>
      </c>
      <c r="D5161" s="5" t="s">
        <v>2488</v>
      </c>
      <c r="E5161" s="123">
        <v>1</v>
      </c>
      <c r="F5161" s="9"/>
      <c r="G5161" s="8">
        <f t="shared" si="154"/>
        <v>25.884600000000002</v>
      </c>
      <c r="H5161" s="167">
        <v>24.652000000000001</v>
      </c>
      <c r="I5161" s="19">
        <f t="shared" si="155"/>
        <v>0</v>
      </c>
    </row>
    <row r="5162" spans="1:9" hidden="1">
      <c r="A5162" s="49" t="s">
        <v>8760</v>
      </c>
      <c r="B5162" s="5">
        <v>120100</v>
      </c>
      <c r="C5162" s="122" t="s">
        <v>8945</v>
      </c>
      <c r="D5162" s="5" t="s">
        <v>945</v>
      </c>
      <c r="E5162" s="123">
        <v>1</v>
      </c>
      <c r="F5162" s="9"/>
      <c r="G5162" s="8">
        <f t="shared" si="154"/>
        <v>40.414500000000004</v>
      </c>
      <c r="H5162" s="167">
        <v>38.49</v>
      </c>
      <c r="I5162" s="19">
        <f t="shared" si="155"/>
        <v>0</v>
      </c>
    </row>
    <row r="5163" spans="1:9" hidden="1">
      <c r="A5163" s="49" t="s">
        <v>8760</v>
      </c>
      <c r="B5163" s="5">
        <v>120102</v>
      </c>
      <c r="C5163" s="122" t="s">
        <v>8946</v>
      </c>
      <c r="D5163" s="5"/>
      <c r="E5163" s="123">
        <v>1</v>
      </c>
      <c r="F5163" s="9"/>
      <c r="G5163" s="8">
        <f t="shared" si="154"/>
        <v>3.5196000000000001</v>
      </c>
      <c r="H5163" s="167">
        <v>3.3519999999999999</v>
      </c>
      <c r="I5163" s="19">
        <f t="shared" si="155"/>
        <v>0</v>
      </c>
    </row>
    <row r="5164" spans="1:9" hidden="1">
      <c r="A5164" s="49" t="s">
        <v>8760</v>
      </c>
      <c r="B5164" s="5">
        <v>120104</v>
      </c>
      <c r="C5164" s="122" t="s">
        <v>8947</v>
      </c>
      <c r="D5164" s="5" t="s">
        <v>2488</v>
      </c>
      <c r="E5164" s="123">
        <v>1</v>
      </c>
      <c r="F5164" s="9"/>
      <c r="G5164" s="8">
        <f t="shared" si="154"/>
        <v>10.515750000000001</v>
      </c>
      <c r="H5164" s="167">
        <v>10.015000000000001</v>
      </c>
      <c r="I5164" s="19">
        <f t="shared" si="155"/>
        <v>0</v>
      </c>
    </row>
    <row r="5165" spans="1:9" hidden="1">
      <c r="A5165" s="49" t="s">
        <v>8760</v>
      </c>
      <c r="B5165" s="5">
        <v>120120</v>
      </c>
      <c r="C5165" s="122" t="s">
        <v>8948</v>
      </c>
      <c r="D5165" s="5" t="s">
        <v>945</v>
      </c>
      <c r="E5165" s="123">
        <v>1</v>
      </c>
      <c r="F5165" s="9"/>
      <c r="G5165" s="8">
        <f t="shared" si="154"/>
        <v>42.375899999999994</v>
      </c>
      <c r="H5165" s="167">
        <v>40.357999999999997</v>
      </c>
      <c r="I5165" s="19">
        <f t="shared" si="155"/>
        <v>0</v>
      </c>
    </row>
    <row r="5166" spans="1:9" hidden="1">
      <c r="A5166" s="49" t="s">
        <v>8760</v>
      </c>
      <c r="B5166" s="5">
        <v>120150</v>
      </c>
      <c r="C5166" s="122" t="s">
        <v>8949</v>
      </c>
      <c r="D5166" s="5" t="s">
        <v>945</v>
      </c>
      <c r="E5166" s="123">
        <v>1</v>
      </c>
      <c r="F5166" s="9"/>
      <c r="G5166" s="8">
        <f t="shared" si="154"/>
        <v>33.622050000000002</v>
      </c>
      <c r="H5166" s="167">
        <v>32.021000000000001</v>
      </c>
      <c r="I5166" s="19">
        <f t="shared" si="155"/>
        <v>0</v>
      </c>
    </row>
    <row r="5167" spans="1:9" hidden="1">
      <c r="A5167" s="49" t="s">
        <v>8760</v>
      </c>
      <c r="B5167" s="5">
        <v>12025.1</v>
      </c>
      <c r="C5167" s="122" t="s">
        <v>8950</v>
      </c>
      <c r="D5167" s="5"/>
      <c r="E5167" s="123">
        <v>1</v>
      </c>
      <c r="F5167" s="9"/>
      <c r="G5167" s="8">
        <f t="shared" si="154"/>
        <v>16.7349</v>
      </c>
      <c r="H5167" s="167">
        <v>15.938000000000001</v>
      </c>
      <c r="I5167" s="19">
        <f t="shared" si="155"/>
        <v>0</v>
      </c>
    </row>
    <row r="5168" spans="1:9" hidden="1">
      <c r="A5168" s="49" t="s">
        <v>8760</v>
      </c>
      <c r="B5168" s="5">
        <v>121000</v>
      </c>
      <c r="C5168" s="122" t="s">
        <v>8951</v>
      </c>
      <c r="D5168" s="5" t="s">
        <v>945</v>
      </c>
      <c r="E5168" s="123">
        <v>1</v>
      </c>
      <c r="F5168" s="9"/>
      <c r="G5168" s="8">
        <f t="shared" si="154"/>
        <v>4.6326000000000001</v>
      </c>
      <c r="H5168" s="167">
        <v>4.4119999999999999</v>
      </c>
      <c r="I5168" s="19">
        <f t="shared" si="155"/>
        <v>0</v>
      </c>
    </row>
    <row r="5169" spans="1:9" hidden="1">
      <c r="A5169" s="49" t="s">
        <v>8760</v>
      </c>
      <c r="B5169" s="5">
        <v>121050</v>
      </c>
      <c r="C5169" s="122" t="s">
        <v>8952</v>
      </c>
      <c r="D5169" s="5" t="s">
        <v>2488</v>
      </c>
      <c r="E5169" s="123">
        <v>1</v>
      </c>
      <c r="F5169" s="9"/>
      <c r="G5169" s="8">
        <f t="shared" si="154"/>
        <v>26.063099999999999</v>
      </c>
      <c r="H5169" s="167">
        <v>24.821999999999999</v>
      </c>
      <c r="I5169" s="19">
        <f t="shared" si="155"/>
        <v>0</v>
      </c>
    </row>
    <row r="5170" spans="1:9" hidden="1">
      <c r="A5170" s="49" t="s">
        <v>8760</v>
      </c>
      <c r="B5170" s="5">
        <v>121100</v>
      </c>
      <c r="C5170" s="122" t="s">
        <v>8953</v>
      </c>
      <c r="D5170" s="5" t="s">
        <v>945</v>
      </c>
      <c r="E5170" s="123">
        <v>1</v>
      </c>
      <c r="F5170" s="9"/>
      <c r="G5170" s="8">
        <f t="shared" si="154"/>
        <v>6.1823999999999995</v>
      </c>
      <c r="H5170" s="167">
        <v>5.8879999999999999</v>
      </c>
      <c r="I5170" s="19">
        <f t="shared" si="155"/>
        <v>0</v>
      </c>
    </row>
    <row r="5171" spans="1:9" hidden="1">
      <c r="A5171" s="49" t="s">
        <v>8760</v>
      </c>
      <c r="B5171" s="5">
        <v>123010</v>
      </c>
      <c r="C5171" s="122" t="s">
        <v>8954</v>
      </c>
      <c r="D5171" s="5" t="s">
        <v>945</v>
      </c>
      <c r="E5171" s="123">
        <v>1</v>
      </c>
      <c r="F5171" s="9"/>
      <c r="G5171" s="8">
        <f t="shared" si="154"/>
        <v>20.224049999999998</v>
      </c>
      <c r="H5171" s="167">
        <v>19.260999999999999</v>
      </c>
      <c r="I5171" s="19">
        <f t="shared" si="155"/>
        <v>0</v>
      </c>
    </row>
    <row r="5172" spans="1:9" hidden="1">
      <c r="A5172" s="49" t="s">
        <v>8760</v>
      </c>
      <c r="B5172" s="5">
        <v>130010</v>
      </c>
      <c r="C5172" s="122" t="s">
        <v>8955</v>
      </c>
      <c r="D5172" s="5"/>
      <c r="E5172" s="123">
        <v>1</v>
      </c>
      <c r="F5172" s="9"/>
      <c r="G5172" s="8">
        <f t="shared" si="154"/>
        <v>7.9810499999999998</v>
      </c>
      <c r="H5172" s="167">
        <v>7.601</v>
      </c>
      <c r="I5172" s="19">
        <f t="shared" si="155"/>
        <v>0</v>
      </c>
    </row>
    <row r="5173" spans="1:9" hidden="1">
      <c r="A5173" s="49" t="s">
        <v>8760</v>
      </c>
      <c r="B5173" s="5">
        <v>130014</v>
      </c>
      <c r="C5173" s="122" t="s">
        <v>8956</v>
      </c>
      <c r="D5173" s="5"/>
      <c r="E5173" s="123">
        <v>1</v>
      </c>
      <c r="F5173" s="9"/>
      <c r="G5173" s="8">
        <f t="shared" si="154"/>
        <v>4.0435499999999998</v>
      </c>
      <c r="H5173" s="167">
        <v>3.851</v>
      </c>
      <c r="I5173" s="19">
        <f t="shared" si="155"/>
        <v>0</v>
      </c>
    </row>
    <row r="5174" spans="1:9" hidden="1">
      <c r="A5174" s="49" t="s">
        <v>8760</v>
      </c>
      <c r="B5174" s="5" t="s">
        <v>8957</v>
      </c>
      <c r="C5174" s="122" t="s">
        <v>8958</v>
      </c>
      <c r="D5174" s="5"/>
      <c r="E5174" s="123">
        <v>1</v>
      </c>
      <c r="F5174" s="9"/>
      <c r="G5174" s="8">
        <f t="shared" si="154"/>
        <v>12.725999999999999</v>
      </c>
      <c r="H5174" s="167">
        <v>12.12</v>
      </c>
      <c r="I5174" s="19">
        <f t="shared" si="155"/>
        <v>0</v>
      </c>
    </row>
    <row r="5175" spans="1:9" hidden="1">
      <c r="A5175" s="49" t="s">
        <v>8760</v>
      </c>
      <c r="B5175" s="5" t="s">
        <v>8959</v>
      </c>
      <c r="C5175" s="122" t="s">
        <v>8960</v>
      </c>
      <c r="D5175" s="5"/>
      <c r="E5175" s="123">
        <v>1</v>
      </c>
      <c r="F5175" s="9"/>
      <c r="G5175" s="8">
        <f t="shared" si="154"/>
        <v>12.725999999999999</v>
      </c>
      <c r="H5175" s="167">
        <v>12.12</v>
      </c>
      <c r="I5175" s="19">
        <f t="shared" si="155"/>
        <v>0</v>
      </c>
    </row>
    <row r="5176" spans="1:9" hidden="1">
      <c r="A5176" s="49" t="s">
        <v>8760</v>
      </c>
      <c r="B5176" s="5">
        <v>130061</v>
      </c>
      <c r="C5176" s="122" t="s">
        <v>8961</v>
      </c>
      <c r="D5176" s="5"/>
      <c r="E5176" s="123">
        <v>1</v>
      </c>
      <c r="F5176" s="9"/>
      <c r="G5176" s="8">
        <f t="shared" si="154"/>
        <v>8.4640500000000003</v>
      </c>
      <c r="H5176" s="167">
        <v>8.0609999999999999</v>
      </c>
      <c r="I5176" s="19">
        <f t="shared" si="155"/>
        <v>0</v>
      </c>
    </row>
    <row r="5177" spans="1:9" hidden="1">
      <c r="A5177" s="49" t="s">
        <v>8760</v>
      </c>
      <c r="B5177" s="5">
        <v>130102</v>
      </c>
      <c r="C5177" s="122" t="s">
        <v>8962</v>
      </c>
      <c r="D5177" s="5"/>
      <c r="E5177" s="123">
        <v>1</v>
      </c>
      <c r="F5177" s="9"/>
      <c r="G5177" s="8">
        <f t="shared" si="154"/>
        <v>8.3033999999999999</v>
      </c>
      <c r="H5177" s="167">
        <v>7.9080000000000004</v>
      </c>
      <c r="I5177" s="19">
        <f t="shared" si="155"/>
        <v>0</v>
      </c>
    </row>
    <row r="5178" spans="1:9" hidden="1">
      <c r="A5178" s="49" t="s">
        <v>8760</v>
      </c>
      <c r="B5178" s="5">
        <v>130103</v>
      </c>
      <c r="C5178" s="122" t="s">
        <v>8963</v>
      </c>
      <c r="D5178" s="5"/>
      <c r="E5178" s="123">
        <v>1</v>
      </c>
      <c r="F5178" s="9"/>
      <c r="G5178" s="8">
        <f t="shared" si="154"/>
        <v>8.8462500000000013</v>
      </c>
      <c r="H5178" s="167">
        <v>8.4250000000000007</v>
      </c>
      <c r="I5178" s="19">
        <f t="shared" si="155"/>
        <v>0</v>
      </c>
    </row>
    <row r="5179" spans="1:9" hidden="1">
      <c r="A5179" s="49" t="s">
        <v>8760</v>
      </c>
      <c r="B5179" s="5">
        <v>130104</v>
      </c>
      <c r="C5179" s="122" t="s">
        <v>8964</v>
      </c>
      <c r="D5179" s="5"/>
      <c r="E5179" s="123">
        <v>1</v>
      </c>
      <c r="F5179" s="9"/>
      <c r="G5179" s="8">
        <f t="shared" si="154"/>
        <v>9.1717499999999994</v>
      </c>
      <c r="H5179" s="167">
        <v>8.7349999999999994</v>
      </c>
      <c r="I5179" s="19">
        <f t="shared" si="155"/>
        <v>0</v>
      </c>
    </row>
    <row r="5180" spans="1:9" hidden="1">
      <c r="A5180" s="49" t="s">
        <v>8760</v>
      </c>
      <c r="B5180" s="5">
        <v>130105</v>
      </c>
      <c r="C5180" s="122" t="s">
        <v>8965</v>
      </c>
      <c r="D5180" s="5"/>
      <c r="E5180" s="123">
        <v>1</v>
      </c>
      <c r="F5180" s="9"/>
      <c r="G5180" s="8">
        <f t="shared" si="154"/>
        <v>9.66</v>
      </c>
      <c r="H5180" s="167">
        <v>9.1999999999999993</v>
      </c>
      <c r="I5180" s="19">
        <f t="shared" si="155"/>
        <v>0</v>
      </c>
    </row>
    <row r="5181" spans="1:9" hidden="1">
      <c r="A5181" s="49" t="s">
        <v>8760</v>
      </c>
      <c r="B5181" s="5">
        <v>130108</v>
      </c>
      <c r="C5181" s="122" t="s">
        <v>8966</v>
      </c>
      <c r="D5181" s="5"/>
      <c r="E5181" s="123">
        <v>1</v>
      </c>
      <c r="F5181" s="9"/>
      <c r="G5181" s="8">
        <f t="shared" si="154"/>
        <v>1.0416000000000001</v>
      </c>
      <c r="H5181" s="167">
        <v>0.99199999999999999</v>
      </c>
      <c r="I5181" s="19">
        <f t="shared" si="155"/>
        <v>0</v>
      </c>
    </row>
    <row r="5182" spans="1:9" hidden="1">
      <c r="A5182" s="49" t="s">
        <v>8760</v>
      </c>
      <c r="B5182" s="5">
        <v>130112</v>
      </c>
      <c r="C5182" s="122" t="s">
        <v>8967</v>
      </c>
      <c r="D5182" s="5"/>
      <c r="E5182" s="123">
        <v>1</v>
      </c>
      <c r="F5182" s="9"/>
      <c r="G5182" s="8">
        <f t="shared" si="154"/>
        <v>6.0963000000000003</v>
      </c>
      <c r="H5182" s="167">
        <v>5.806</v>
      </c>
      <c r="I5182" s="19">
        <f t="shared" si="155"/>
        <v>0</v>
      </c>
    </row>
    <row r="5183" spans="1:9" hidden="1">
      <c r="A5183" s="49" t="s">
        <v>8760</v>
      </c>
      <c r="B5183" s="5">
        <v>130113</v>
      </c>
      <c r="C5183" s="122" t="s">
        <v>8968</v>
      </c>
      <c r="D5183" s="5"/>
      <c r="E5183" s="123">
        <v>1</v>
      </c>
      <c r="F5183" s="9"/>
      <c r="G5183" s="8">
        <f t="shared" si="154"/>
        <v>6.0963000000000003</v>
      </c>
      <c r="H5183" s="167">
        <v>5.806</v>
      </c>
      <c r="I5183" s="19">
        <f t="shared" si="155"/>
        <v>0</v>
      </c>
    </row>
    <row r="5184" spans="1:9" hidden="1">
      <c r="A5184" s="49" t="s">
        <v>8760</v>
      </c>
      <c r="B5184" s="5">
        <v>130114</v>
      </c>
      <c r="C5184" s="122" t="s">
        <v>8969</v>
      </c>
      <c r="D5184" s="5"/>
      <c r="E5184" s="123">
        <v>1</v>
      </c>
      <c r="F5184" s="9"/>
      <c r="G5184" s="8">
        <f t="shared" si="154"/>
        <v>3.5049000000000001</v>
      </c>
      <c r="H5184" s="167">
        <v>3.3380000000000001</v>
      </c>
      <c r="I5184" s="19">
        <f t="shared" si="155"/>
        <v>0</v>
      </c>
    </row>
    <row r="5185" spans="1:9" hidden="1">
      <c r="A5185" s="49" t="s">
        <v>8760</v>
      </c>
      <c r="B5185" s="5" t="s">
        <v>8970</v>
      </c>
      <c r="C5185" s="122" t="s">
        <v>8971</v>
      </c>
      <c r="D5185" s="5"/>
      <c r="E5185" s="123">
        <v>1</v>
      </c>
      <c r="F5185" s="9"/>
      <c r="G5185" s="8">
        <f t="shared" si="154"/>
        <v>6.2926500000000001</v>
      </c>
      <c r="H5185" s="167">
        <v>5.9930000000000003</v>
      </c>
      <c r="I5185" s="19">
        <f t="shared" si="155"/>
        <v>0</v>
      </c>
    </row>
    <row r="5186" spans="1:9" hidden="1">
      <c r="A5186" s="49" t="s">
        <v>8760</v>
      </c>
      <c r="B5186" s="5">
        <v>13014</v>
      </c>
      <c r="C5186" s="122" t="s">
        <v>8972</v>
      </c>
      <c r="D5186" s="5"/>
      <c r="E5186" s="123">
        <v>1</v>
      </c>
      <c r="F5186" s="9"/>
      <c r="G5186" s="8">
        <f t="shared" si="154"/>
        <v>6.7934999999999999</v>
      </c>
      <c r="H5186" s="167">
        <v>6.47</v>
      </c>
      <c r="I5186" s="19">
        <f t="shared" si="155"/>
        <v>0</v>
      </c>
    </row>
    <row r="5187" spans="1:9" hidden="1">
      <c r="A5187" s="49" t="s">
        <v>8760</v>
      </c>
      <c r="B5187" s="5" t="s">
        <v>8973</v>
      </c>
      <c r="C5187" s="122" t="s">
        <v>8974</v>
      </c>
      <c r="D5187" s="5"/>
      <c r="E5187" s="123">
        <v>1</v>
      </c>
      <c r="F5187" s="9"/>
      <c r="G5187" s="8">
        <f t="shared" si="154"/>
        <v>7.4571000000000005</v>
      </c>
      <c r="H5187" s="167">
        <v>7.1020000000000003</v>
      </c>
      <c r="I5187" s="19">
        <f t="shared" si="155"/>
        <v>0</v>
      </c>
    </row>
    <row r="5188" spans="1:9" hidden="1">
      <c r="A5188" s="49" t="s">
        <v>8760</v>
      </c>
      <c r="B5188" s="5" t="s">
        <v>8975</v>
      </c>
      <c r="C5188" s="122" t="s">
        <v>8976</v>
      </c>
      <c r="D5188" s="5"/>
      <c r="E5188" s="123">
        <v>1</v>
      </c>
      <c r="F5188" s="9"/>
      <c r="G5188" s="8">
        <f t="shared" si="154"/>
        <v>8.0577000000000005</v>
      </c>
      <c r="H5188" s="167">
        <v>7.6740000000000004</v>
      </c>
      <c r="I5188" s="19">
        <f t="shared" si="155"/>
        <v>0</v>
      </c>
    </row>
    <row r="5189" spans="1:9" hidden="1">
      <c r="A5189" s="49" t="s">
        <v>8760</v>
      </c>
      <c r="B5189" s="5">
        <v>13019</v>
      </c>
      <c r="C5189" s="122" t="s">
        <v>8977</v>
      </c>
      <c r="D5189" s="5"/>
      <c r="E5189" s="123">
        <v>1</v>
      </c>
      <c r="F5189" s="9"/>
      <c r="G5189" s="8">
        <f t="shared" si="154"/>
        <v>2.7604500000000001</v>
      </c>
      <c r="H5189" s="167">
        <v>2.629</v>
      </c>
      <c r="I5189" s="19">
        <f t="shared" si="155"/>
        <v>0</v>
      </c>
    </row>
    <row r="5190" spans="1:9" hidden="1">
      <c r="A5190" s="49" t="s">
        <v>8760</v>
      </c>
      <c r="B5190" s="5">
        <v>130190</v>
      </c>
      <c r="C5190" s="122" t="s">
        <v>8978</v>
      </c>
      <c r="D5190" s="5"/>
      <c r="E5190" s="123">
        <v>1</v>
      </c>
      <c r="F5190" s="9"/>
      <c r="G5190" s="8">
        <f t="shared" si="154"/>
        <v>2.0411999999999999</v>
      </c>
      <c r="H5190" s="167">
        <v>1.944</v>
      </c>
      <c r="I5190" s="19">
        <f t="shared" si="155"/>
        <v>0</v>
      </c>
    </row>
    <row r="5191" spans="1:9" hidden="1">
      <c r="A5191" s="49" t="s">
        <v>8760</v>
      </c>
      <c r="B5191" s="5">
        <v>130191</v>
      </c>
      <c r="C5191" s="122" t="s">
        <v>8979</v>
      </c>
      <c r="D5191" s="5"/>
      <c r="E5191" s="123">
        <v>1</v>
      </c>
      <c r="F5191" s="9"/>
      <c r="G5191" s="8">
        <f t="shared" si="154"/>
        <v>3.5552999999999999</v>
      </c>
      <c r="H5191" s="167">
        <v>3.3860000000000001</v>
      </c>
      <c r="I5191" s="19">
        <f t="shared" si="155"/>
        <v>0</v>
      </c>
    </row>
    <row r="5192" spans="1:9" hidden="1">
      <c r="A5192" s="49" t="s">
        <v>8760</v>
      </c>
      <c r="B5192" s="5" t="s">
        <v>8980</v>
      </c>
      <c r="C5192" s="122" t="s">
        <v>8981</v>
      </c>
      <c r="D5192" s="5"/>
      <c r="E5192" s="123">
        <v>1</v>
      </c>
      <c r="F5192" s="9"/>
      <c r="G5192" s="8">
        <f t="shared" si="154"/>
        <v>3.9238500000000003</v>
      </c>
      <c r="H5192" s="167">
        <v>3.7370000000000001</v>
      </c>
      <c r="I5192" s="19">
        <f t="shared" si="155"/>
        <v>0</v>
      </c>
    </row>
    <row r="5193" spans="1:9" hidden="1">
      <c r="A5193" s="49" t="s">
        <v>8760</v>
      </c>
      <c r="B5193" s="5" t="s">
        <v>8982</v>
      </c>
      <c r="C5193" s="122" t="s">
        <v>8983</v>
      </c>
      <c r="D5193" s="5"/>
      <c r="E5193" s="123">
        <v>1</v>
      </c>
      <c r="F5193" s="9"/>
      <c r="G5193" s="8">
        <f t="shared" si="154"/>
        <v>3.3788999999999998</v>
      </c>
      <c r="H5193" s="167">
        <v>3.218</v>
      </c>
      <c r="I5193" s="19">
        <f t="shared" si="155"/>
        <v>0</v>
      </c>
    </row>
    <row r="5194" spans="1:9" hidden="1">
      <c r="A5194" s="49" t="s">
        <v>8760</v>
      </c>
      <c r="B5194" s="5" t="s">
        <v>8984</v>
      </c>
      <c r="C5194" s="122" t="s">
        <v>8985</v>
      </c>
      <c r="D5194" s="5"/>
      <c r="E5194" s="123">
        <v>1</v>
      </c>
      <c r="F5194" s="9"/>
      <c r="G5194" s="8">
        <f t="shared" ref="G5194:G5257" si="156">H5194+(H5194*5%)</f>
        <v>2.9147999999999996</v>
      </c>
      <c r="H5194" s="167">
        <v>2.7759999999999998</v>
      </c>
      <c r="I5194" s="19">
        <f t="shared" ref="I5194:I5257" si="157">G5194*F5194</f>
        <v>0</v>
      </c>
    </row>
    <row r="5195" spans="1:9" hidden="1">
      <c r="A5195" s="49" t="s">
        <v>8760</v>
      </c>
      <c r="B5195" s="5" t="s">
        <v>8986</v>
      </c>
      <c r="C5195" s="122" t="s">
        <v>8987</v>
      </c>
      <c r="D5195" s="5"/>
      <c r="E5195" s="123">
        <v>1</v>
      </c>
      <c r="F5195" s="9"/>
      <c r="G5195" s="8">
        <f t="shared" si="156"/>
        <v>2.9147999999999996</v>
      </c>
      <c r="H5195" s="167">
        <v>2.7759999999999998</v>
      </c>
      <c r="I5195" s="19">
        <f t="shared" si="157"/>
        <v>0</v>
      </c>
    </row>
    <row r="5196" spans="1:9" hidden="1">
      <c r="A5196" s="49" t="s">
        <v>8760</v>
      </c>
      <c r="B5196" s="5">
        <v>13024</v>
      </c>
      <c r="C5196" s="122" t="s">
        <v>8988</v>
      </c>
      <c r="D5196" s="5"/>
      <c r="E5196" s="123">
        <v>1</v>
      </c>
      <c r="F5196" s="9"/>
      <c r="G5196" s="8">
        <f t="shared" si="156"/>
        <v>4.19475</v>
      </c>
      <c r="H5196" s="167">
        <v>3.9950000000000001</v>
      </c>
      <c r="I5196" s="19">
        <f t="shared" si="157"/>
        <v>0</v>
      </c>
    </row>
    <row r="5197" spans="1:9" hidden="1">
      <c r="A5197" s="49" t="s">
        <v>8760</v>
      </c>
      <c r="B5197" s="5" t="s">
        <v>8989</v>
      </c>
      <c r="C5197" s="122" t="s">
        <v>8990</v>
      </c>
      <c r="D5197" s="5"/>
      <c r="E5197" s="123">
        <v>1</v>
      </c>
      <c r="F5197" s="9"/>
      <c r="G5197" s="8">
        <f t="shared" si="156"/>
        <v>5.8043999999999993</v>
      </c>
      <c r="H5197" s="167">
        <v>5.5279999999999996</v>
      </c>
      <c r="I5197" s="19">
        <f t="shared" si="157"/>
        <v>0</v>
      </c>
    </row>
    <row r="5198" spans="1:9" hidden="1">
      <c r="A5198" s="49" t="s">
        <v>8760</v>
      </c>
      <c r="B5198" s="5" t="s">
        <v>8991</v>
      </c>
      <c r="C5198" s="122" t="s">
        <v>8992</v>
      </c>
      <c r="D5198" s="5"/>
      <c r="E5198" s="123">
        <v>1</v>
      </c>
      <c r="F5198" s="9"/>
      <c r="G5198" s="8">
        <f t="shared" si="156"/>
        <v>5.8043999999999993</v>
      </c>
      <c r="H5198" s="167">
        <v>5.5279999999999996</v>
      </c>
      <c r="I5198" s="19">
        <f t="shared" si="157"/>
        <v>0</v>
      </c>
    </row>
    <row r="5199" spans="1:9" hidden="1">
      <c r="A5199" s="49" t="s">
        <v>8760</v>
      </c>
      <c r="B5199" s="5" t="s">
        <v>8993</v>
      </c>
      <c r="C5199" s="122" t="s">
        <v>8994</v>
      </c>
      <c r="D5199" s="5"/>
      <c r="E5199" s="123">
        <v>1</v>
      </c>
      <c r="F5199" s="9"/>
      <c r="G5199" s="8">
        <f t="shared" si="156"/>
        <v>2.46435</v>
      </c>
      <c r="H5199" s="167">
        <v>2.347</v>
      </c>
      <c r="I5199" s="19">
        <f t="shared" si="157"/>
        <v>0</v>
      </c>
    </row>
    <row r="5200" spans="1:9" hidden="1">
      <c r="A5200" s="49" t="s">
        <v>8760</v>
      </c>
      <c r="B5200" s="5" t="s">
        <v>8995</v>
      </c>
      <c r="C5200" s="122" t="s">
        <v>8996</v>
      </c>
      <c r="D5200" s="5"/>
      <c r="E5200" s="123">
        <v>1</v>
      </c>
      <c r="F5200" s="9"/>
      <c r="G5200" s="8">
        <f t="shared" si="156"/>
        <v>4.9182000000000006</v>
      </c>
      <c r="H5200" s="167">
        <v>4.6840000000000002</v>
      </c>
      <c r="I5200" s="19">
        <f t="shared" si="157"/>
        <v>0</v>
      </c>
    </row>
    <row r="5201" spans="1:9" hidden="1">
      <c r="A5201" s="49" t="s">
        <v>8760</v>
      </c>
      <c r="B5201" s="5" t="s">
        <v>8997</v>
      </c>
      <c r="C5201" s="122" t="s">
        <v>8998</v>
      </c>
      <c r="D5201" s="5"/>
      <c r="E5201" s="123">
        <v>1</v>
      </c>
      <c r="F5201" s="9"/>
      <c r="G5201" s="8">
        <f t="shared" si="156"/>
        <v>0.30029999999999996</v>
      </c>
      <c r="H5201" s="167">
        <v>0.28599999999999998</v>
      </c>
      <c r="I5201" s="19">
        <f t="shared" si="157"/>
        <v>0</v>
      </c>
    </row>
    <row r="5202" spans="1:9" hidden="1">
      <c r="A5202" s="49" t="s">
        <v>8760</v>
      </c>
      <c r="B5202" s="5" t="s">
        <v>8999</v>
      </c>
      <c r="C5202" s="122" t="s">
        <v>9000</v>
      </c>
      <c r="D5202" s="5"/>
      <c r="E5202" s="123">
        <v>1</v>
      </c>
      <c r="F5202" s="9"/>
      <c r="G5202" s="8">
        <f t="shared" si="156"/>
        <v>1.0941000000000001</v>
      </c>
      <c r="H5202" s="167">
        <v>1.042</v>
      </c>
      <c r="I5202" s="19">
        <f t="shared" si="157"/>
        <v>0</v>
      </c>
    </row>
    <row r="5203" spans="1:9" hidden="1">
      <c r="A5203" s="49" t="s">
        <v>8760</v>
      </c>
      <c r="B5203" s="5" t="s">
        <v>9001</v>
      </c>
      <c r="C5203" s="122" t="s">
        <v>9002</v>
      </c>
      <c r="D5203" s="5"/>
      <c r="E5203" s="123">
        <v>1</v>
      </c>
      <c r="F5203" s="9"/>
      <c r="G5203" s="8">
        <f t="shared" si="156"/>
        <v>1.06365</v>
      </c>
      <c r="H5203" s="167">
        <v>1.0129999999999999</v>
      </c>
      <c r="I5203" s="19">
        <f t="shared" si="157"/>
        <v>0</v>
      </c>
    </row>
    <row r="5204" spans="1:9" hidden="1">
      <c r="A5204" s="49" t="s">
        <v>8760</v>
      </c>
      <c r="B5204" s="5" t="s">
        <v>9003</v>
      </c>
      <c r="C5204" s="122" t="s">
        <v>9004</v>
      </c>
      <c r="D5204" s="5"/>
      <c r="E5204" s="123">
        <v>1</v>
      </c>
      <c r="F5204" s="9"/>
      <c r="G5204" s="8">
        <f t="shared" si="156"/>
        <v>3.67395</v>
      </c>
      <c r="H5204" s="167">
        <v>3.4990000000000001</v>
      </c>
      <c r="I5204" s="19">
        <f t="shared" si="157"/>
        <v>0</v>
      </c>
    </row>
    <row r="5205" spans="1:9" hidden="1">
      <c r="A5205" s="49" t="s">
        <v>8760</v>
      </c>
      <c r="B5205" s="5" t="s">
        <v>9005</v>
      </c>
      <c r="C5205" s="122" t="s">
        <v>9006</v>
      </c>
      <c r="D5205" s="5"/>
      <c r="E5205" s="123">
        <v>1</v>
      </c>
      <c r="F5205" s="9"/>
      <c r="G5205" s="8">
        <f t="shared" si="156"/>
        <v>14.284199999999998</v>
      </c>
      <c r="H5205" s="167">
        <v>13.603999999999999</v>
      </c>
      <c r="I5205" s="19">
        <f t="shared" si="157"/>
        <v>0</v>
      </c>
    </row>
    <row r="5206" spans="1:9" hidden="1">
      <c r="A5206" s="49" t="s">
        <v>8760</v>
      </c>
      <c r="B5206" s="5" t="s">
        <v>9007</v>
      </c>
      <c r="C5206" s="122" t="s">
        <v>9008</v>
      </c>
      <c r="D5206" s="5"/>
      <c r="E5206" s="123">
        <v>1</v>
      </c>
      <c r="F5206" s="9"/>
      <c r="G5206" s="8">
        <f t="shared" si="156"/>
        <v>3.3169499999999998</v>
      </c>
      <c r="H5206" s="167">
        <v>3.1589999999999998</v>
      </c>
      <c r="I5206" s="19">
        <f t="shared" si="157"/>
        <v>0</v>
      </c>
    </row>
    <row r="5207" spans="1:9" hidden="1">
      <c r="A5207" s="49" t="s">
        <v>8760</v>
      </c>
      <c r="B5207" s="5" t="s">
        <v>9009</v>
      </c>
      <c r="C5207" s="122" t="s">
        <v>9010</v>
      </c>
      <c r="D5207" s="5"/>
      <c r="E5207" s="123">
        <v>1</v>
      </c>
      <c r="F5207" s="9"/>
      <c r="G5207" s="8">
        <f t="shared" si="156"/>
        <v>3.3169499999999998</v>
      </c>
      <c r="H5207" s="167">
        <v>3.1589999999999998</v>
      </c>
      <c r="I5207" s="19">
        <f t="shared" si="157"/>
        <v>0</v>
      </c>
    </row>
    <row r="5208" spans="1:9" hidden="1">
      <c r="A5208" s="49" t="s">
        <v>8760</v>
      </c>
      <c r="B5208" s="5" t="s">
        <v>9011</v>
      </c>
      <c r="C5208" s="122" t="s">
        <v>9012</v>
      </c>
      <c r="D5208" s="5"/>
      <c r="E5208" s="123">
        <v>1</v>
      </c>
      <c r="F5208" s="9"/>
      <c r="G5208" s="8">
        <f t="shared" si="156"/>
        <v>4.68405</v>
      </c>
      <c r="H5208" s="167">
        <v>4.4610000000000003</v>
      </c>
      <c r="I5208" s="19">
        <f t="shared" si="157"/>
        <v>0</v>
      </c>
    </row>
    <row r="5209" spans="1:9" hidden="1">
      <c r="A5209" s="49" t="s">
        <v>8760</v>
      </c>
      <c r="B5209" s="5" t="s">
        <v>9013</v>
      </c>
      <c r="C5209" s="122" t="s">
        <v>9014</v>
      </c>
      <c r="D5209" s="5"/>
      <c r="E5209" s="123">
        <v>1</v>
      </c>
      <c r="F5209" s="9"/>
      <c r="G5209" s="8">
        <f t="shared" si="156"/>
        <v>5.40855</v>
      </c>
      <c r="H5209" s="167">
        <v>5.1509999999999998</v>
      </c>
      <c r="I5209" s="19">
        <f t="shared" si="157"/>
        <v>0</v>
      </c>
    </row>
    <row r="5210" spans="1:9" hidden="1">
      <c r="A5210" s="49" t="s">
        <v>8760</v>
      </c>
      <c r="B5210" s="5" t="s">
        <v>9015</v>
      </c>
      <c r="C5210" s="122" t="s">
        <v>9016</v>
      </c>
      <c r="D5210" s="5"/>
      <c r="E5210" s="123">
        <v>1</v>
      </c>
      <c r="F5210" s="9"/>
      <c r="G5210" s="8">
        <f t="shared" si="156"/>
        <v>6.0112499999999995</v>
      </c>
      <c r="H5210" s="167">
        <v>5.7249999999999996</v>
      </c>
      <c r="I5210" s="19">
        <f t="shared" si="157"/>
        <v>0</v>
      </c>
    </row>
    <row r="5211" spans="1:9" hidden="1">
      <c r="A5211" s="49" t="s">
        <v>8760</v>
      </c>
      <c r="B5211" s="5" t="s">
        <v>9017</v>
      </c>
      <c r="C5211" s="122" t="s">
        <v>9018</v>
      </c>
      <c r="D5211" s="5"/>
      <c r="E5211" s="123">
        <v>1</v>
      </c>
      <c r="F5211" s="9"/>
      <c r="G5211" s="8">
        <f t="shared" si="156"/>
        <v>6.6349499999999999</v>
      </c>
      <c r="H5211" s="167">
        <v>6.319</v>
      </c>
      <c r="I5211" s="19">
        <f t="shared" si="157"/>
        <v>0</v>
      </c>
    </row>
    <row r="5212" spans="1:9" hidden="1">
      <c r="A5212" s="49" t="s">
        <v>8760</v>
      </c>
      <c r="B5212" s="5">
        <v>140002</v>
      </c>
      <c r="C5212" s="122" t="s">
        <v>9019</v>
      </c>
      <c r="D5212" s="5"/>
      <c r="E5212" s="123">
        <v>1</v>
      </c>
      <c r="F5212" s="9"/>
      <c r="G5212" s="8">
        <f t="shared" si="156"/>
        <v>0.64785000000000004</v>
      </c>
      <c r="H5212" s="167">
        <v>0.61699999999999999</v>
      </c>
      <c r="I5212" s="19">
        <f t="shared" si="157"/>
        <v>0</v>
      </c>
    </row>
    <row r="5213" spans="1:9" hidden="1">
      <c r="A5213" s="49" t="s">
        <v>8760</v>
      </c>
      <c r="B5213" s="5">
        <v>14001</v>
      </c>
      <c r="C5213" s="122" t="s">
        <v>9020</v>
      </c>
      <c r="D5213" s="5"/>
      <c r="E5213" s="123">
        <v>1</v>
      </c>
      <c r="F5213" s="9"/>
      <c r="G5213" s="8">
        <f t="shared" si="156"/>
        <v>0.32340000000000002</v>
      </c>
      <c r="H5213" s="167">
        <v>0.308</v>
      </c>
      <c r="I5213" s="19">
        <f t="shared" si="157"/>
        <v>0</v>
      </c>
    </row>
    <row r="5214" spans="1:9" hidden="1">
      <c r="A5214" s="49" t="s">
        <v>8760</v>
      </c>
      <c r="B5214" s="5">
        <v>14010</v>
      </c>
      <c r="C5214" s="122" t="s">
        <v>9021</v>
      </c>
      <c r="D5214" s="5"/>
      <c r="E5214" s="123">
        <v>1</v>
      </c>
      <c r="F5214" s="9"/>
      <c r="G5214" s="8">
        <f t="shared" si="156"/>
        <v>6.3E-2</v>
      </c>
      <c r="H5214" s="167">
        <v>0.06</v>
      </c>
      <c r="I5214" s="19">
        <f t="shared" si="157"/>
        <v>0</v>
      </c>
    </row>
    <row r="5215" spans="1:9" hidden="1">
      <c r="A5215" s="49" t="s">
        <v>8760</v>
      </c>
      <c r="B5215" s="5">
        <v>14011</v>
      </c>
      <c r="C5215" s="122" t="s">
        <v>9022</v>
      </c>
      <c r="D5215" s="5"/>
      <c r="E5215" s="123">
        <v>1</v>
      </c>
      <c r="F5215" s="9"/>
      <c r="G5215" s="8">
        <f t="shared" si="156"/>
        <v>9.3449999999999991E-2</v>
      </c>
      <c r="H5215" s="167">
        <v>8.8999999999999996E-2</v>
      </c>
      <c r="I5215" s="19">
        <f t="shared" si="157"/>
        <v>0</v>
      </c>
    </row>
    <row r="5216" spans="1:9" hidden="1">
      <c r="A5216" s="49" t="s">
        <v>8760</v>
      </c>
      <c r="B5216" s="5">
        <v>14012</v>
      </c>
      <c r="C5216" s="122" t="s">
        <v>9023</v>
      </c>
      <c r="D5216" s="5"/>
      <c r="E5216" s="123">
        <v>1</v>
      </c>
      <c r="F5216" s="9"/>
      <c r="G5216" s="8">
        <f t="shared" si="156"/>
        <v>3.6750000000000005E-2</v>
      </c>
      <c r="H5216" s="167">
        <v>3.5000000000000003E-2</v>
      </c>
      <c r="I5216" s="19">
        <f t="shared" si="157"/>
        <v>0</v>
      </c>
    </row>
    <row r="5217" spans="1:9" hidden="1">
      <c r="A5217" s="49" t="s">
        <v>8760</v>
      </c>
      <c r="B5217" s="5">
        <v>14017</v>
      </c>
      <c r="C5217" s="122" t="s">
        <v>9024</v>
      </c>
      <c r="D5217" s="5"/>
      <c r="E5217" s="123">
        <v>1</v>
      </c>
      <c r="F5217" s="9"/>
      <c r="G5217" s="8">
        <f t="shared" si="156"/>
        <v>0.10919999999999999</v>
      </c>
      <c r="H5217" s="167">
        <v>0.104</v>
      </c>
      <c r="I5217" s="19">
        <f t="shared" si="157"/>
        <v>0</v>
      </c>
    </row>
    <row r="5218" spans="1:9" hidden="1">
      <c r="A5218" s="49" t="s">
        <v>8760</v>
      </c>
      <c r="B5218" s="5">
        <v>14019</v>
      </c>
      <c r="C5218" s="122" t="s">
        <v>9025</v>
      </c>
      <c r="D5218" s="5"/>
      <c r="E5218" s="123">
        <v>1</v>
      </c>
      <c r="F5218" s="9"/>
      <c r="G5218" s="8">
        <f t="shared" si="156"/>
        <v>0.1008</v>
      </c>
      <c r="H5218" s="167">
        <v>9.6000000000000002E-2</v>
      </c>
      <c r="I5218" s="19">
        <f t="shared" si="157"/>
        <v>0</v>
      </c>
    </row>
    <row r="5219" spans="1:9" hidden="1">
      <c r="A5219" s="49" t="s">
        <v>8760</v>
      </c>
      <c r="B5219" s="5" t="s">
        <v>9026</v>
      </c>
      <c r="C5219" s="122" t="s">
        <v>9027</v>
      </c>
      <c r="D5219" s="5"/>
      <c r="E5219" s="123">
        <v>1</v>
      </c>
      <c r="F5219" s="9"/>
      <c r="G5219" s="8">
        <f t="shared" si="156"/>
        <v>0.1323</v>
      </c>
      <c r="H5219" s="167">
        <v>0.126</v>
      </c>
      <c r="I5219" s="19">
        <f t="shared" si="157"/>
        <v>0</v>
      </c>
    </row>
    <row r="5220" spans="1:9" hidden="1">
      <c r="A5220" s="49" t="s">
        <v>8760</v>
      </c>
      <c r="B5220" s="5">
        <v>14020</v>
      </c>
      <c r="C5220" s="122" t="s">
        <v>9028</v>
      </c>
      <c r="D5220" s="5"/>
      <c r="E5220" s="123">
        <v>1</v>
      </c>
      <c r="F5220" s="9"/>
      <c r="G5220" s="8">
        <f t="shared" si="156"/>
        <v>7.7699999999999991E-2</v>
      </c>
      <c r="H5220" s="167">
        <v>7.3999999999999996E-2</v>
      </c>
      <c r="I5220" s="19">
        <f t="shared" si="157"/>
        <v>0</v>
      </c>
    </row>
    <row r="5221" spans="1:9" hidden="1">
      <c r="A5221" s="49" t="s">
        <v>8760</v>
      </c>
      <c r="B5221" s="5" t="s">
        <v>9029</v>
      </c>
      <c r="C5221" s="122" t="s">
        <v>9030</v>
      </c>
      <c r="D5221" s="5"/>
      <c r="E5221" s="123">
        <v>1</v>
      </c>
      <c r="F5221" s="9"/>
      <c r="G5221" s="8">
        <f t="shared" si="156"/>
        <v>9.7650000000000001E-2</v>
      </c>
      <c r="H5221" s="167">
        <v>9.2999999999999999E-2</v>
      </c>
      <c r="I5221" s="19">
        <f t="shared" si="157"/>
        <v>0</v>
      </c>
    </row>
    <row r="5222" spans="1:9" hidden="1">
      <c r="A5222" s="49" t="s">
        <v>8760</v>
      </c>
      <c r="B5222" s="5">
        <v>14021</v>
      </c>
      <c r="C5222" s="122" t="s">
        <v>9031</v>
      </c>
      <c r="D5222" s="5"/>
      <c r="E5222" s="123">
        <v>1</v>
      </c>
      <c r="F5222" s="9"/>
      <c r="G5222" s="8">
        <f t="shared" si="156"/>
        <v>0.16800000000000001</v>
      </c>
      <c r="H5222" s="167">
        <v>0.16</v>
      </c>
      <c r="I5222" s="19">
        <f t="shared" si="157"/>
        <v>0</v>
      </c>
    </row>
    <row r="5223" spans="1:9" hidden="1">
      <c r="A5223" s="49" t="s">
        <v>8760</v>
      </c>
      <c r="B5223" s="5">
        <v>14022</v>
      </c>
      <c r="C5223" s="122" t="s">
        <v>9032</v>
      </c>
      <c r="D5223" s="5"/>
      <c r="E5223" s="123">
        <v>1</v>
      </c>
      <c r="F5223" s="9"/>
      <c r="G5223" s="8">
        <f t="shared" si="156"/>
        <v>7.350000000000001E-2</v>
      </c>
      <c r="H5223" s="167">
        <v>7.0000000000000007E-2</v>
      </c>
      <c r="I5223" s="19">
        <f t="shared" si="157"/>
        <v>0</v>
      </c>
    </row>
    <row r="5224" spans="1:9" hidden="1">
      <c r="A5224" s="49" t="s">
        <v>8760</v>
      </c>
      <c r="B5224" s="5">
        <v>14024</v>
      </c>
      <c r="C5224" s="122" t="s">
        <v>9033</v>
      </c>
      <c r="D5224" s="5"/>
      <c r="E5224" s="123">
        <v>1</v>
      </c>
      <c r="F5224" s="9"/>
      <c r="G5224" s="8">
        <f t="shared" si="156"/>
        <v>0.13125000000000001</v>
      </c>
      <c r="H5224" s="167">
        <v>0.125</v>
      </c>
      <c r="I5224" s="19">
        <f t="shared" si="157"/>
        <v>0</v>
      </c>
    </row>
    <row r="5225" spans="1:9" hidden="1">
      <c r="A5225" s="49" t="s">
        <v>8760</v>
      </c>
      <c r="B5225" s="5">
        <v>14027</v>
      </c>
      <c r="C5225" s="122" t="s">
        <v>9034</v>
      </c>
      <c r="D5225" s="5"/>
      <c r="E5225" s="123">
        <v>1</v>
      </c>
      <c r="F5225" s="9"/>
      <c r="G5225" s="8">
        <f t="shared" si="156"/>
        <v>0.1134</v>
      </c>
      <c r="H5225" s="167">
        <v>0.108</v>
      </c>
      <c r="I5225" s="19">
        <f t="shared" si="157"/>
        <v>0</v>
      </c>
    </row>
    <row r="5226" spans="1:9" hidden="1">
      <c r="A5226" s="49" t="s">
        <v>8760</v>
      </c>
      <c r="B5226" s="5">
        <v>14028</v>
      </c>
      <c r="C5226" s="122" t="s">
        <v>9035</v>
      </c>
      <c r="D5226" s="5"/>
      <c r="E5226" s="123">
        <v>1</v>
      </c>
      <c r="F5226" s="9"/>
      <c r="G5226" s="8">
        <f t="shared" si="156"/>
        <v>0.10500000000000001</v>
      </c>
      <c r="H5226" s="167">
        <v>0.1</v>
      </c>
      <c r="I5226" s="19">
        <f t="shared" si="157"/>
        <v>0</v>
      </c>
    </row>
    <row r="5227" spans="1:9" hidden="1">
      <c r="A5227" s="49" t="s">
        <v>8760</v>
      </c>
      <c r="B5227" s="5">
        <v>14032</v>
      </c>
      <c r="C5227" s="122" t="s">
        <v>9036</v>
      </c>
      <c r="D5227" s="5"/>
      <c r="E5227" s="123">
        <v>1</v>
      </c>
      <c r="F5227" s="9"/>
      <c r="G5227" s="8">
        <f t="shared" si="156"/>
        <v>3.2550000000000003E-2</v>
      </c>
      <c r="H5227" s="167">
        <v>3.1E-2</v>
      </c>
      <c r="I5227" s="19">
        <f t="shared" si="157"/>
        <v>0</v>
      </c>
    </row>
    <row r="5228" spans="1:9" hidden="1">
      <c r="A5228" s="49" t="s">
        <v>8760</v>
      </c>
      <c r="B5228" s="5">
        <v>14034</v>
      </c>
      <c r="C5228" s="122" t="s">
        <v>9037</v>
      </c>
      <c r="D5228" s="5"/>
      <c r="E5228" s="123">
        <v>1</v>
      </c>
      <c r="F5228" s="9"/>
      <c r="G5228" s="8">
        <f t="shared" si="156"/>
        <v>2.57145</v>
      </c>
      <c r="H5228" s="167">
        <v>2.4489999999999998</v>
      </c>
      <c r="I5228" s="19">
        <f t="shared" si="157"/>
        <v>0</v>
      </c>
    </row>
    <row r="5229" spans="1:9" hidden="1">
      <c r="A5229" s="49" t="s">
        <v>8760</v>
      </c>
      <c r="B5229" s="5">
        <v>14041</v>
      </c>
      <c r="C5229" s="122" t="s">
        <v>9038</v>
      </c>
      <c r="D5229" s="5"/>
      <c r="E5229" s="123">
        <v>1</v>
      </c>
      <c r="F5229" s="9"/>
      <c r="G5229" s="8">
        <f t="shared" si="156"/>
        <v>3.3599999999999998E-2</v>
      </c>
      <c r="H5229" s="167">
        <v>3.2000000000000001E-2</v>
      </c>
      <c r="I5229" s="19">
        <f t="shared" si="157"/>
        <v>0</v>
      </c>
    </row>
    <row r="5230" spans="1:9" hidden="1">
      <c r="A5230" s="49" t="s">
        <v>8760</v>
      </c>
      <c r="B5230" s="5">
        <v>14042</v>
      </c>
      <c r="C5230" s="122" t="s">
        <v>9039</v>
      </c>
      <c r="D5230" s="5"/>
      <c r="E5230" s="123">
        <v>1</v>
      </c>
      <c r="F5230" s="9"/>
      <c r="G5230" s="8">
        <f t="shared" si="156"/>
        <v>0.10605000000000001</v>
      </c>
      <c r="H5230" s="167">
        <v>0.10100000000000001</v>
      </c>
      <c r="I5230" s="19">
        <f t="shared" si="157"/>
        <v>0</v>
      </c>
    </row>
    <row r="5231" spans="1:9" hidden="1">
      <c r="A5231" s="49" t="s">
        <v>8760</v>
      </c>
      <c r="B5231" s="5">
        <v>140910</v>
      </c>
      <c r="C5231" s="122" t="s">
        <v>9040</v>
      </c>
      <c r="D5231" s="5"/>
      <c r="E5231" s="123">
        <v>1</v>
      </c>
      <c r="F5231" s="9"/>
      <c r="G5231" s="8">
        <f t="shared" si="156"/>
        <v>0.47460000000000002</v>
      </c>
      <c r="H5231" s="167">
        <v>0.45200000000000001</v>
      </c>
      <c r="I5231" s="19">
        <f t="shared" si="157"/>
        <v>0</v>
      </c>
    </row>
    <row r="5232" spans="1:9" hidden="1">
      <c r="A5232" s="49" t="s">
        <v>8760</v>
      </c>
      <c r="B5232" s="5">
        <v>140912</v>
      </c>
      <c r="C5232" s="122" t="s">
        <v>9041</v>
      </c>
      <c r="D5232" s="5"/>
      <c r="E5232" s="123">
        <v>1</v>
      </c>
      <c r="F5232" s="9"/>
      <c r="G5232" s="8">
        <f t="shared" si="156"/>
        <v>0.56595000000000006</v>
      </c>
      <c r="H5232" s="167">
        <v>0.53900000000000003</v>
      </c>
      <c r="I5232" s="19">
        <f t="shared" si="157"/>
        <v>0</v>
      </c>
    </row>
    <row r="5233" spans="1:9" hidden="1">
      <c r="A5233" s="49" t="s">
        <v>8760</v>
      </c>
      <c r="B5233" s="5">
        <v>14099</v>
      </c>
      <c r="C5233" s="122" t="s">
        <v>9042</v>
      </c>
      <c r="D5233" s="5"/>
      <c r="E5233" s="123">
        <v>1</v>
      </c>
      <c r="F5233" s="9"/>
      <c r="G5233" s="8">
        <f t="shared" si="156"/>
        <v>0.18479999999999999</v>
      </c>
      <c r="H5233" s="167">
        <v>0.17599999999999999</v>
      </c>
      <c r="I5233" s="19">
        <f t="shared" si="157"/>
        <v>0</v>
      </c>
    </row>
    <row r="5234" spans="1:9" hidden="1">
      <c r="A5234" s="49" t="s">
        <v>8760</v>
      </c>
      <c r="B5234" s="5">
        <v>14117</v>
      </c>
      <c r="C5234" s="122" t="s">
        <v>9043</v>
      </c>
      <c r="D5234" s="5"/>
      <c r="E5234" s="123">
        <v>1</v>
      </c>
      <c r="F5234" s="9"/>
      <c r="G5234" s="8">
        <f t="shared" si="156"/>
        <v>0.50819999999999999</v>
      </c>
      <c r="H5234" s="167">
        <v>0.48399999999999999</v>
      </c>
      <c r="I5234" s="19">
        <f t="shared" si="157"/>
        <v>0</v>
      </c>
    </row>
    <row r="5235" spans="1:9" hidden="1">
      <c r="A5235" s="49" t="s">
        <v>8760</v>
      </c>
      <c r="B5235" s="5">
        <v>14910</v>
      </c>
      <c r="C5235" s="122" t="s">
        <v>9044</v>
      </c>
      <c r="D5235" s="5"/>
      <c r="E5235" s="123">
        <v>1</v>
      </c>
      <c r="F5235" s="9"/>
      <c r="G5235" s="8">
        <f t="shared" si="156"/>
        <v>0.21839999999999998</v>
      </c>
      <c r="H5235" s="167">
        <v>0.20799999999999999</v>
      </c>
      <c r="I5235" s="19">
        <f t="shared" si="157"/>
        <v>0</v>
      </c>
    </row>
    <row r="5236" spans="1:9" hidden="1">
      <c r="A5236" s="49" t="s">
        <v>8760</v>
      </c>
      <c r="B5236" s="5">
        <v>14913</v>
      </c>
      <c r="C5236" s="122" t="s">
        <v>9045</v>
      </c>
      <c r="D5236" s="5"/>
      <c r="E5236" s="123">
        <v>1</v>
      </c>
      <c r="F5236" s="9"/>
      <c r="G5236" s="8">
        <f t="shared" si="156"/>
        <v>0.11655</v>
      </c>
      <c r="H5236" s="167">
        <v>0.111</v>
      </c>
      <c r="I5236" s="19">
        <f t="shared" si="157"/>
        <v>0</v>
      </c>
    </row>
    <row r="5237" spans="1:9" hidden="1">
      <c r="A5237" s="49" t="s">
        <v>8760</v>
      </c>
      <c r="B5237" s="5">
        <v>150001</v>
      </c>
      <c r="C5237" s="122" t="s">
        <v>9046</v>
      </c>
      <c r="D5237" s="5"/>
      <c r="E5237" s="123">
        <v>1</v>
      </c>
      <c r="F5237" s="9"/>
      <c r="G5237" s="8">
        <f t="shared" si="156"/>
        <v>0.13125000000000001</v>
      </c>
      <c r="H5237" s="167">
        <v>0.125</v>
      </c>
      <c r="I5237" s="19">
        <f t="shared" si="157"/>
        <v>0</v>
      </c>
    </row>
    <row r="5238" spans="1:9" hidden="1">
      <c r="A5238" s="49" t="s">
        <v>8760</v>
      </c>
      <c r="B5238" s="5" t="s">
        <v>9047</v>
      </c>
      <c r="C5238" s="122" t="s">
        <v>9048</v>
      </c>
      <c r="D5238" s="5" t="s">
        <v>9049</v>
      </c>
      <c r="E5238" s="123">
        <v>1</v>
      </c>
      <c r="F5238" s="9"/>
      <c r="G5238" s="8">
        <f t="shared" si="156"/>
        <v>1.6443000000000001</v>
      </c>
      <c r="H5238" s="167">
        <v>1.5660000000000001</v>
      </c>
      <c r="I5238" s="19">
        <f t="shared" si="157"/>
        <v>0</v>
      </c>
    </row>
    <row r="5239" spans="1:9" hidden="1">
      <c r="A5239" s="49" t="s">
        <v>8760</v>
      </c>
      <c r="B5239" s="5">
        <v>150002</v>
      </c>
      <c r="C5239" s="122" t="s">
        <v>9050</v>
      </c>
      <c r="D5239" s="5"/>
      <c r="E5239" s="123">
        <v>1</v>
      </c>
      <c r="F5239" s="9"/>
      <c r="G5239" s="8">
        <f t="shared" si="156"/>
        <v>8.1900000000000001E-2</v>
      </c>
      <c r="H5239" s="167">
        <v>7.8E-2</v>
      </c>
      <c r="I5239" s="19">
        <f t="shared" si="157"/>
        <v>0</v>
      </c>
    </row>
    <row r="5240" spans="1:9" hidden="1">
      <c r="A5240" s="49" t="s">
        <v>8760</v>
      </c>
      <c r="B5240" s="5" t="s">
        <v>9051</v>
      </c>
      <c r="C5240" s="122" t="s">
        <v>9052</v>
      </c>
      <c r="D5240" s="5"/>
      <c r="E5240" s="123">
        <v>1</v>
      </c>
      <c r="F5240" s="9"/>
      <c r="G5240" s="8">
        <f t="shared" si="156"/>
        <v>0.10185</v>
      </c>
      <c r="H5240" s="167">
        <v>9.7000000000000003E-2</v>
      </c>
      <c r="I5240" s="19">
        <f t="shared" si="157"/>
        <v>0</v>
      </c>
    </row>
    <row r="5241" spans="1:9" hidden="1">
      <c r="A5241" s="49" t="s">
        <v>8760</v>
      </c>
      <c r="B5241" s="5">
        <v>150003</v>
      </c>
      <c r="C5241" s="122" t="s">
        <v>9053</v>
      </c>
      <c r="D5241" s="5"/>
      <c r="E5241" s="123">
        <v>1</v>
      </c>
      <c r="F5241" s="9"/>
      <c r="G5241" s="8">
        <f t="shared" si="156"/>
        <v>0.25095000000000001</v>
      </c>
      <c r="H5241" s="167">
        <v>0.23899999999999999</v>
      </c>
      <c r="I5241" s="19">
        <f t="shared" si="157"/>
        <v>0</v>
      </c>
    </row>
    <row r="5242" spans="1:9" hidden="1">
      <c r="A5242" s="49" t="s">
        <v>8760</v>
      </c>
      <c r="B5242" s="5">
        <v>150007</v>
      </c>
      <c r="C5242" s="122" t="s">
        <v>9054</v>
      </c>
      <c r="D5242" s="5"/>
      <c r="E5242" s="123">
        <v>1</v>
      </c>
      <c r="F5242" s="9"/>
      <c r="G5242" s="8">
        <f t="shared" si="156"/>
        <v>0.70245000000000002</v>
      </c>
      <c r="H5242" s="167">
        <v>0.66900000000000004</v>
      </c>
      <c r="I5242" s="19">
        <f t="shared" si="157"/>
        <v>0</v>
      </c>
    </row>
    <row r="5243" spans="1:9" hidden="1">
      <c r="A5243" s="49" t="s">
        <v>8760</v>
      </c>
      <c r="B5243" s="5">
        <v>150090</v>
      </c>
      <c r="C5243" s="122" t="s">
        <v>9055</v>
      </c>
      <c r="D5243" s="5"/>
      <c r="E5243" s="123">
        <v>1</v>
      </c>
      <c r="F5243" s="9"/>
      <c r="G5243" s="8">
        <f t="shared" si="156"/>
        <v>2.2837499999999999</v>
      </c>
      <c r="H5243" s="167">
        <v>2.1749999999999998</v>
      </c>
      <c r="I5243" s="19">
        <f t="shared" si="157"/>
        <v>0</v>
      </c>
    </row>
    <row r="5244" spans="1:9" hidden="1">
      <c r="A5244" s="49" t="s">
        <v>8760</v>
      </c>
      <c r="B5244" s="5">
        <v>150098</v>
      </c>
      <c r="C5244" s="122" t="s">
        <v>9056</v>
      </c>
      <c r="D5244" s="5"/>
      <c r="E5244" s="123">
        <v>1</v>
      </c>
      <c r="F5244" s="9"/>
      <c r="G5244" s="8">
        <f t="shared" si="156"/>
        <v>0.25095000000000001</v>
      </c>
      <c r="H5244" s="167">
        <v>0.23899999999999999</v>
      </c>
      <c r="I5244" s="19">
        <f t="shared" si="157"/>
        <v>0</v>
      </c>
    </row>
    <row r="5245" spans="1:9" hidden="1">
      <c r="A5245" s="49" t="s">
        <v>8760</v>
      </c>
      <c r="B5245" s="5">
        <v>150102</v>
      </c>
      <c r="C5245" s="122" t="s">
        <v>9057</v>
      </c>
      <c r="D5245" s="5" t="s">
        <v>992</v>
      </c>
      <c r="E5245" s="123">
        <v>1</v>
      </c>
      <c r="F5245" s="9"/>
      <c r="G5245" s="8">
        <f t="shared" si="156"/>
        <v>9.1244999999999994</v>
      </c>
      <c r="H5245" s="167">
        <v>8.69</v>
      </c>
      <c r="I5245" s="19">
        <f t="shared" si="157"/>
        <v>0</v>
      </c>
    </row>
    <row r="5246" spans="1:9" hidden="1">
      <c r="A5246" s="49" t="s">
        <v>8760</v>
      </c>
      <c r="B5246" s="5">
        <v>150106</v>
      </c>
      <c r="C5246" s="122" t="s">
        <v>9058</v>
      </c>
      <c r="D5246" s="5"/>
      <c r="E5246" s="123">
        <v>1</v>
      </c>
      <c r="F5246" s="9"/>
      <c r="G5246" s="8">
        <f t="shared" si="156"/>
        <v>0.12809999999999999</v>
      </c>
      <c r="H5246" s="167">
        <v>0.122</v>
      </c>
      <c r="I5246" s="19">
        <f t="shared" si="157"/>
        <v>0</v>
      </c>
    </row>
    <row r="5247" spans="1:9" hidden="1">
      <c r="A5247" s="49" t="s">
        <v>8760</v>
      </c>
      <c r="B5247" s="5">
        <v>150112</v>
      </c>
      <c r="C5247" s="122" t="s">
        <v>9059</v>
      </c>
      <c r="D5247" s="5" t="s">
        <v>945</v>
      </c>
      <c r="E5247" s="123">
        <v>1</v>
      </c>
      <c r="F5247" s="9"/>
      <c r="G5247" s="8">
        <f t="shared" si="156"/>
        <v>2.7572999999999999</v>
      </c>
      <c r="H5247" s="167">
        <v>2.6259999999999999</v>
      </c>
      <c r="I5247" s="19">
        <f t="shared" si="157"/>
        <v>0</v>
      </c>
    </row>
    <row r="5248" spans="1:9" hidden="1">
      <c r="A5248" s="49" t="s">
        <v>8760</v>
      </c>
      <c r="B5248" s="5">
        <v>150113</v>
      </c>
      <c r="C5248" s="122" t="s">
        <v>9060</v>
      </c>
      <c r="D5248" s="5"/>
      <c r="E5248" s="123">
        <v>1</v>
      </c>
      <c r="F5248" s="9"/>
      <c r="G5248" s="8">
        <f t="shared" si="156"/>
        <v>9.0299999999999991E-2</v>
      </c>
      <c r="H5248" s="167">
        <v>8.5999999999999993E-2</v>
      </c>
      <c r="I5248" s="19">
        <f t="shared" si="157"/>
        <v>0</v>
      </c>
    </row>
    <row r="5249" spans="1:9" hidden="1">
      <c r="A5249" s="49" t="s">
        <v>8760</v>
      </c>
      <c r="B5249" s="5">
        <v>150114</v>
      </c>
      <c r="C5249" s="122" t="s">
        <v>9061</v>
      </c>
      <c r="D5249" s="5"/>
      <c r="E5249" s="123">
        <v>1</v>
      </c>
      <c r="F5249" s="9"/>
      <c r="G5249" s="8">
        <f t="shared" si="156"/>
        <v>0.12075000000000001</v>
      </c>
      <c r="H5249" s="167">
        <v>0.115</v>
      </c>
      <c r="I5249" s="19">
        <f t="shared" si="157"/>
        <v>0</v>
      </c>
    </row>
    <row r="5250" spans="1:9" hidden="1">
      <c r="A5250" s="49" t="s">
        <v>8760</v>
      </c>
      <c r="B5250" s="5">
        <v>150115</v>
      </c>
      <c r="C5250" s="122" t="s">
        <v>9062</v>
      </c>
      <c r="D5250" s="5"/>
      <c r="E5250" s="123">
        <v>1</v>
      </c>
      <c r="F5250" s="9"/>
      <c r="G5250" s="8">
        <f t="shared" si="156"/>
        <v>0.13439999999999999</v>
      </c>
      <c r="H5250" s="167">
        <v>0.128</v>
      </c>
      <c r="I5250" s="19">
        <f t="shared" si="157"/>
        <v>0</v>
      </c>
    </row>
    <row r="5251" spans="1:9" hidden="1">
      <c r="A5251" s="49" t="s">
        <v>8760</v>
      </c>
      <c r="B5251" s="5">
        <v>150116</v>
      </c>
      <c r="C5251" s="122" t="s">
        <v>9063</v>
      </c>
      <c r="D5251" s="5"/>
      <c r="E5251" s="123">
        <v>1</v>
      </c>
      <c r="F5251" s="9"/>
      <c r="G5251" s="8">
        <f t="shared" si="156"/>
        <v>0.15014999999999998</v>
      </c>
      <c r="H5251" s="167">
        <v>0.14299999999999999</v>
      </c>
      <c r="I5251" s="19">
        <f t="shared" si="157"/>
        <v>0</v>
      </c>
    </row>
    <row r="5252" spans="1:9" hidden="1">
      <c r="A5252" s="49" t="s">
        <v>8760</v>
      </c>
      <c r="B5252" s="5">
        <v>150117</v>
      </c>
      <c r="C5252" s="122" t="s">
        <v>9064</v>
      </c>
      <c r="D5252" s="5"/>
      <c r="E5252" s="123">
        <v>1</v>
      </c>
      <c r="F5252" s="9"/>
      <c r="G5252" s="8">
        <f t="shared" si="156"/>
        <v>0.23415</v>
      </c>
      <c r="H5252" s="167">
        <v>0.223</v>
      </c>
      <c r="I5252" s="19">
        <f t="shared" si="157"/>
        <v>0</v>
      </c>
    </row>
    <row r="5253" spans="1:9" hidden="1">
      <c r="A5253" s="49" t="s">
        <v>8760</v>
      </c>
      <c r="B5253" s="5">
        <v>150118</v>
      </c>
      <c r="C5253" s="122" t="s">
        <v>9065</v>
      </c>
      <c r="D5253" s="5"/>
      <c r="E5253" s="123">
        <v>1</v>
      </c>
      <c r="F5253" s="9"/>
      <c r="G5253" s="8">
        <f t="shared" si="156"/>
        <v>0.28560000000000002</v>
      </c>
      <c r="H5253" s="167">
        <v>0.27200000000000002</v>
      </c>
      <c r="I5253" s="19">
        <f t="shared" si="157"/>
        <v>0</v>
      </c>
    </row>
    <row r="5254" spans="1:9" hidden="1">
      <c r="A5254" s="49" t="s">
        <v>8760</v>
      </c>
      <c r="B5254" s="5">
        <v>150120</v>
      </c>
      <c r="C5254" s="122" t="s">
        <v>9066</v>
      </c>
      <c r="D5254" s="5"/>
      <c r="E5254" s="123">
        <v>1</v>
      </c>
      <c r="F5254" s="9"/>
      <c r="G5254" s="8">
        <f t="shared" si="156"/>
        <v>3.2550000000000003E-2</v>
      </c>
      <c r="H5254" s="167">
        <v>3.1E-2</v>
      </c>
      <c r="I5254" s="19">
        <f t="shared" si="157"/>
        <v>0</v>
      </c>
    </row>
    <row r="5255" spans="1:9" hidden="1">
      <c r="A5255" s="49" t="s">
        <v>8760</v>
      </c>
      <c r="B5255" s="5">
        <v>150121</v>
      </c>
      <c r="C5255" s="122" t="s">
        <v>9067</v>
      </c>
      <c r="D5255" s="5"/>
      <c r="E5255" s="123">
        <v>1</v>
      </c>
      <c r="F5255" s="9"/>
      <c r="G5255" s="8">
        <f t="shared" si="156"/>
        <v>2.2837499999999999</v>
      </c>
      <c r="H5255" s="167">
        <v>2.1749999999999998</v>
      </c>
      <c r="I5255" s="19">
        <f t="shared" si="157"/>
        <v>0</v>
      </c>
    </row>
    <row r="5256" spans="1:9" hidden="1">
      <c r="A5256" s="49" t="s">
        <v>8760</v>
      </c>
      <c r="B5256" s="5">
        <v>150122</v>
      </c>
      <c r="C5256" s="122" t="s">
        <v>9068</v>
      </c>
      <c r="D5256" s="5"/>
      <c r="E5256" s="123">
        <v>1</v>
      </c>
      <c r="F5256" s="9"/>
      <c r="G5256" s="8">
        <f t="shared" si="156"/>
        <v>0.12809999999999999</v>
      </c>
      <c r="H5256" s="167">
        <v>0.122</v>
      </c>
      <c r="I5256" s="19">
        <f t="shared" si="157"/>
        <v>0</v>
      </c>
    </row>
    <row r="5257" spans="1:9" hidden="1">
      <c r="A5257" s="49" t="s">
        <v>8760</v>
      </c>
      <c r="B5257" s="5">
        <v>150125</v>
      </c>
      <c r="C5257" s="122" t="s">
        <v>9069</v>
      </c>
      <c r="D5257" s="5"/>
      <c r="E5257" s="123">
        <v>1</v>
      </c>
      <c r="F5257" s="9"/>
      <c r="G5257" s="8">
        <f t="shared" si="156"/>
        <v>3.3599999999999998E-2</v>
      </c>
      <c r="H5257" s="167">
        <v>3.2000000000000001E-2</v>
      </c>
      <c r="I5257" s="19">
        <f t="shared" si="157"/>
        <v>0</v>
      </c>
    </row>
    <row r="5258" spans="1:9" hidden="1">
      <c r="A5258" s="49" t="s">
        <v>8760</v>
      </c>
      <c r="B5258" s="5">
        <v>150126</v>
      </c>
      <c r="C5258" s="122" t="s">
        <v>9070</v>
      </c>
      <c r="D5258" s="5"/>
      <c r="E5258" s="123">
        <v>1</v>
      </c>
      <c r="F5258" s="9"/>
      <c r="G5258" s="8">
        <f t="shared" ref="G5258:G5321" si="158">H5258+(H5258*5%)</f>
        <v>0.50714999999999999</v>
      </c>
      <c r="H5258" s="167">
        <v>0.48299999999999998</v>
      </c>
      <c r="I5258" s="19">
        <f t="shared" ref="I5258:I5321" si="159">G5258*F5258</f>
        <v>0</v>
      </c>
    </row>
    <row r="5259" spans="1:9" hidden="1">
      <c r="A5259" s="49" t="s">
        <v>8760</v>
      </c>
      <c r="B5259" s="5">
        <v>150131</v>
      </c>
      <c r="C5259" s="122" t="s">
        <v>9071</v>
      </c>
      <c r="D5259" s="5"/>
      <c r="E5259" s="123">
        <v>1</v>
      </c>
      <c r="F5259" s="9"/>
      <c r="G5259" s="8">
        <f t="shared" si="158"/>
        <v>0.15959999999999999</v>
      </c>
      <c r="H5259" s="167">
        <v>0.152</v>
      </c>
      <c r="I5259" s="19">
        <f t="shared" si="159"/>
        <v>0</v>
      </c>
    </row>
    <row r="5260" spans="1:9" hidden="1">
      <c r="A5260" s="49" t="s">
        <v>8760</v>
      </c>
      <c r="B5260" s="5">
        <v>150200</v>
      </c>
      <c r="C5260" s="122" t="s">
        <v>9072</v>
      </c>
      <c r="D5260" s="5"/>
      <c r="E5260" s="123">
        <v>1</v>
      </c>
      <c r="F5260" s="9"/>
      <c r="G5260" s="8">
        <f t="shared" si="158"/>
        <v>9.4500000000000001E-2</v>
      </c>
      <c r="H5260" s="167">
        <v>0.09</v>
      </c>
      <c r="I5260" s="19">
        <f t="shared" si="159"/>
        <v>0</v>
      </c>
    </row>
    <row r="5261" spans="1:9" hidden="1">
      <c r="A5261" s="49" t="s">
        <v>8760</v>
      </c>
      <c r="B5261" s="5">
        <v>150201</v>
      </c>
      <c r="C5261" s="122" t="s">
        <v>9073</v>
      </c>
      <c r="D5261" s="5"/>
      <c r="E5261" s="123">
        <v>1</v>
      </c>
      <c r="F5261" s="9"/>
      <c r="G5261" s="8">
        <f t="shared" si="158"/>
        <v>0.16800000000000001</v>
      </c>
      <c r="H5261" s="167">
        <v>0.16</v>
      </c>
      <c r="I5261" s="19">
        <f t="shared" si="159"/>
        <v>0</v>
      </c>
    </row>
    <row r="5262" spans="1:9" hidden="1">
      <c r="A5262" s="49" t="s">
        <v>8760</v>
      </c>
      <c r="B5262" s="5">
        <v>150800</v>
      </c>
      <c r="C5262" s="122" t="s">
        <v>9074</v>
      </c>
      <c r="D5262" s="5"/>
      <c r="E5262" s="123">
        <v>1</v>
      </c>
      <c r="F5262" s="9"/>
      <c r="G5262" s="8">
        <f t="shared" si="158"/>
        <v>0.14070000000000002</v>
      </c>
      <c r="H5262" s="167">
        <v>0.13400000000000001</v>
      </c>
      <c r="I5262" s="19">
        <f t="shared" si="159"/>
        <v>0</v>
      </c>
    </row>
    <row r="5263" spans="1:9" hidden="1">
      <c r="A5263" s="49" t="s">
        <v>8760</v>
      </c>
      <c r="B5263" s="5" t="s">
        <v>9075</v>
      </c>
      <c r="C5263" s="122" t="s">
        <v>9076</v>
      </c>
      <c r="D5263" s="5"/>
      <c r="E5263" s="123">
        <v>1</v>
      </c>
      <c r="F5263" s="9"/>
      <c r="G5263" s="8">
        <f t="shared" si="158"/>
        <v>0.30449999999999999</v>
      </c>
      <c r="H5263" s="167">
        <v>0.28999999999999998</v>
      </c>
      <c r="I5263" s="19">
        <f t="shared" si="159"/>
        <v>0</v>
      </c>
    </row>
    <row r="5264" spans="1:9" hidden="1">
      <c r="A5264" s="49" t="s">
        <v>8760</v>
      </c>
      <c r="B5264" s="5">
        <v>150801</v>
      </c>
      <c r="C5264" s="122" t="s">
        <v>9077</v>
      </c>
      <c r="D5264" s="5"/>
      <c r="E5264" s="123">
        <v>1</v>
      </c>
      <c r="F5264" s="9"/>
      <c r="G5264" s="8">
        <f t="shared" si="158"/>
        <v>0.18164999999999998</v>
      </c>
      <c r="H5264" s="167">
        <v>0.17299999999999999</v>
      </c>
      <c r="I5264" s="19">
        <f t="shared" si="159"/>
        <v>0</v>
      </c>
    </row>
    <row r="5265" spans="1:9" hidden="1">
      <c r="A5265" s="49" t="s">
        <v>8760</v>
      </c>
      <c r="B5265" s="5">
        <v>150802</v>
      </c>
      <c r="C5265" s="122" t="s">
        <v>9078</v>
      </c>
      <c r="D5265" s="5"/>
      <c r="E5265" s="123">
        <v>1</v>
      </c>
      <c r="F5265" s="9"/>
      <c r="G5265" s="8">
        <f t="shared" si="158"/>
        <v>0.14700000000000002</v>
      </c>
      <c r="H5265" s="167">
        <v>0.14000000000000001</v>
      </c>
      <c r="I5265" s="19">
        <f t="shared" si="159"/>
        <v>0</v>
      </c>
    </row>
    <row r="5266" spans="1:9" hidden="1">
      <c r="A5266" s="49" t="s">
        <v>8760</v>
      </c>
      <c r="B5266" s="5">
        <v>150803</v>
      </c>
      <c r="C5266" s="122" t="s">
        <v>9079</v>
      </c>
      <c r="D5266" s="5"/>
      <c r="E5266" s="123">
        <v>1</v>
      </c>
      <c r="F5266" s="9"/>
      <c r="G5266" s="8">
        <f t="shared" si="158"/>
        <v>0.11445</v>
      </c>
      <c r="H5266" s="167">
        <v>0.109</v>
      </c>
      <c r="I5266" s="19">
        <f t="shared" si="159"/>
        <v>0</v>
      </c>
    </row>
    <row r="5267" spans="1:9" hidden="1">
      <c r="A5267" s="49" t="s">
        <v>8760</v>
      </c>
      <c r="B5267" s="5">
        <v>150806</v>
      </c>
      <c r="C5267" s="122" t="s">
        <v>9080</v>
      </c>
      <c r="D5267" s="5"/>
      <c r="E5267" s="123">
        <v>1</v>
      </c>
      <c r="F5267" s="9"/>
      <c r="G5267" s="8">
        <f t="shared" si="158"/>
        <v>0.14700000000000002</v>
      </c>
      <c r="H5267" s="167">
        <v>0.14000000000000001</v>
      </c>
      <c r="I5267" s="19">
        <f t="shared" si="159"/>
        <v>0</v>
      </c>
    </row>
    <row r="5268" spans="1:9" hidden="1">
      <c r="A5268" s="49" t="s">
        <v>8760</v>
      </c>
      <c r="B5268" s="5">
        <v>150807</v>
      </c>
      <c r="C5268" s="122" t="s">
        <v>9081</v>
      </c>
      <c r="D5268" s="5"/>
      <c r="E5268" s="123">
        <v>1</v>
      </c>
      <c r="F5268" s="9"/>
      <c r="G5268" s="8">
        <f t="shared" si="158"/>
        <v>0.34229999999999999</v>
      </c>
      <c r="H5268" s="167">
        <v>0.32600000000000001</v>
      </c>
      <c r="I5268" s="19">
        <f t="shared" si="159"/>
        <v>0</v>
      </c>
    </row>
    <row r="5269" spans="1:9" hidden="1">
      <c r="A5269" s="49" t="s">
        <v>8760</v>
      </c>
      <c r="B5269" s="5">
        <v>215004</v>
      </c>
      <c r="C5269" s="122" t="s">
        <v>9082</v>
      </c>
      <c r="D5269" s="5" t="s">
        <v>2488</v>
      </c>
      <c r="E5269" s="123">
        <v>1</v>
      </c>
      <c r="F5269" s="9"/>
      <c r="G5269" s="8">
        <f t="shared" si="158"/>
        <v>3.2718000000000003</v>
      </c>
      <c r="H5269" s="167">
        <v>3.1160000000000001</v>
      </c>
      <c r="I5269" s="19">
        <f t="shared" si="159"/>
        <v>0</v>
      </c>
    </row>
    <row r="5270" spans="1:9" hidden="1">
      <c r="A5270" s="49" t="s">
        <v>8760</v>
      </c>
      <c r="B5270" s="5">
        <v>215006</v>
      </c>
      <c r="C5270" s="122" t="s">
        <v>9083</v>
      </c>
      <c r="D5270" s="5" t="s">
        <v>2488</v>
      </c>
      <c r="E5270" s="123">
        <v>1</v>
      </c>
      <c r="F5270" s="9"/>
      <c r="G5270" s="8">
        <f t="shared" si="158"/>
        <v>4.8825000000000003</v>
      </c>
      <c r="H5270" s="167">
        <v>4.6500000000000004</v>
      </c>
      <c r="I5270" s="19">
        <f t="shared" si="159"/>
        <v>0</v>
      </c>
    </row>
    <row r="5271" spans="1:9" hidden="1">
      <c r="A5271" s="49" t="s">
        <v>8760</v>
      </c>
      <c r="B5271" s="5" t="s">
        <v>9084</v>
      </c>
      <c r="C5271" s="122" t="s">
        <v>9085</v>
      </c>
      <c r="D5271" s="5" t="s">
        <v>2488</v>
      </c>
      <c r="E5271" s="123">
        <v>1</v>
      </c>
      <c r="F5271" s="9"/>
      <c r="G5271" s="8">
        <f t="shared" si="158"/>
        <v>41.8005</v>
      </c>
      <c r="H5271" s="167">
        <v>39.81</v>
      </c>
      <c r="I5271" s="19">
        <f t="shared" si="159"/>
        <v>0</v>
      </c>
    </row>
    <row r="5272" spans="1:9" hidden="1">
      <c r="A5272" s="49" t="s">
        <v>8760</v>
      </c>
      <c r="B5272" s="5" t="s">
        <v>9086</v>
      </c>
      <c r="C5272" s="122" t="s">
        <v>9087</v>
      </c>
      <c r="D5272" s="5" t="s">
        <v>2488</v>
      </c>
      <c r="E5272" s="123">
        <v>1</v>
      </c>
      <c r="F5272" s="9"/>
      <c r="G5272" s="8">
        <f t="shared" si="158"/>
        <v>14.185499999999999</v>
      </c>
      <c r="H5272" s="167">
        <v>13.51</v>
      </c>
      <c r="I5272" s="19">
        <f t="shared" si="159"/>
        <v>0</v>
      </c>
    </row>
    <row r="5273" spans="1:9" hidden="1">
      <c r="A5273" s="49" t="s">
        <v>8760</v>
      </c>
      <c r="B5273" s="5">
        <v>215094</v>
      </c>
      <c r="C5273" s="122" t="s">
        <v>9088</v>
      </c>
      <c r="D5273" s="5" t="s">
        <v>2488</v>
      </c>
      <c r="E5273" s="123">
        <v>1</v>
      </c>
      <c r="F5273" s="9"/>
      <c r="G5273" s="8">
        <f t="shared" si="158"/>
        <v>31.859099999999998</v>
      </c>
      <c r="H5273" s="167">
        <v>30.341999999999999</v>
      </c>
      <c r="I5273" s="19">
        <f t="shared" si="159"/>
        <v>0</v>
      </c>
    </row>
    <row r="5274" spans="1:9" hidden="1">
      <c r="A5274" s="49" t="s">
        <v>8760</v>
      </c>
      <c r="B5274" s="5" t="s">
        <v>9089</v>
      </c>
      <c r="C5274" s="122" t="s">
        <v>9090</v>
      </c>
      <c r="D5274" s="5" t="s">
        <v>2488</v>
      </c>
      <c r="E5274" s="123">
        <v>1</v>
      </c>
      <c r="F5274" s="9"/>
      <c r="G5274" s="8">
        <f t="shared" si="158"/>
        <v>31.859099999999998</v>
      </c>
      <c r="H5274" s="167">
        <v>30.341999999999999</v>
      </c>
      <c r="I5274" s="19">
        <f t="shared" si="159"/>
        <v>0</v>
      </c>
    </row>
    <row r="5275" spans="1:9" hidden="1">
      <c r="A5275" s="49" t="s">
        <v>8760</v>
      </c>
      <c r="B5275" s="5" t="s">
        <v>9091</v>
      </c>
      <c r="C5275" s="122" t="s">
        <v>9092</v>
      </c>
      <c r="D5275" s="5" t="s">
        <v>2488</v>
      </c>
      <c r="E5275" s="123">
        <v>1</v>
      </c>
      <c r="F5275" s="9"/>
      <c r="G5275" s="8">
        <f t="shared" si="158"/>
        <v>31.859099999999998</v>
      </c>
      <c r="H5275" s="167">
        <v>30.341999999999999</v>
      </c>
      <c r="I5275" s="19">
        <f t="shared" si="159"/>
        <v>0</v>
      </c>
    </row>
    <row r="5276" spans="1:9" hidden="1">
      <c r="A5276" s="49" t="s">
        <v>8760</v>
      </c>
      <c r="B5276" s="5" t="s">
        <v>9093</v>
      </c>
      <c r="C5276" s="122" t="s">
        <v>9094</v>
      </c>
      <c r="D5276" s="5" t="s">
        <v>2488</v>
      </c>
      <c r="E5276" s="123">
        <v>1</v>
      </c>
      <c r="F5276" s="9"/>
      <c r="G5276" s="8">
        <f t="shared" si="158"/>
        <v>31.859099999999998</v>
      </c>
      <c r="H5276" s="167">
        <v>30.341999999999999</v>
      </c>
      <c r="I5276" s="19">
        <f t="shared" si="159"/>
        <v>0</v>
      </c>
    </row>
    <row r="5277" spans="1:9" hidden="1">
      <c r="A5277" s="49" t="s">
        <v>8760</v>
      </c>
      <c r="B5277" s="5" t="s">
        <v>9095</v>
      </c>
      <c r="C5277" s="122" t="s">
        <v>9096</v>
      </c>
      <c r="D5277" s="5" t="s">
        <v>2488</v>
      </c>
      <c r="E5277" s="123">
        <v>1</v>
      </c>
      <c r="F5277" s="9"/>
      <c r="G5277" s="8">
        <f t="shared" si="158"/>
        <v>31.859099999999998</v>
      </c>
      <c r="H5277" s="167">
        <v>30.341999999999999</v>
      </c>
      <c r="I5277" s="19">
        <f t="shared" si="159"/>
        <v>0</v>
      </c>
    </row>
    <row r="5278" spans="1:9" hidden="1">
      <c r="A5278" s="49" t="s">
        <v>8760</v>
      </c>
      <c r="B5278" s="5" t="s">
        <v>9097</v>
      </c>
      <c r="C5278" s="122" t="s">
        <v>9098</v>
      </c>
      <c r="D5278" s="5" t="s">
        <v>2488</v>
      </c>
      <c r="E5278" s="123">
        <v>1</v>
      </c>
      <c r="F5278" s="9"/>
      <c r="G5278" s="8">
        <f t="shared" si="158"/>
        <v>31.859099999999998</v>
      </c>
      <c r="H5278" s="167">
        <v>30.341999999999999</v>
      </c>
      <c r="I5278" s="19">
        <f t="shared" si="159"/>
        <v>0</v>
      </c>
    </row>
    <row r="5279" spans="1:9" hidden="1">
      <c r="A5279" s="49" t="s">
        <v>8760</v>
      </c>
      <c r="B5279" s="5" t="s">
        <v>9099</v>
      </c>
      <c r="C5279" s="122" t="s">
        <v>9100</v>
      </c>
      <c r="D5279" s="5" t="s">
        <v>2488</v>
      </c>
      <c r="E5279" s="123">
        <v>1</v>
      </c>
      <c r="F5279" s="9"/>
      <c r="G5279" s="8">
        <f t="shared" si="158"/>
        <v>31.859099999999998</v>
      </c>
      <c r="H5279" s="167">
        <v>30.341999999999999</v>
      </c>
      <c r="I5279" s="19">
        <f t="shared" si="159"/>
        <v>0</v>
      </c>
    </row>
    <row r="5280" spans="1:9" hidden="1">
      <c r="A5280" s="49" t="s">
        <v>8760</v>
      </c>
      <c r="B5280" s="5" t="s">
        <v>9101</v>
      </c>
      <c r="C5280" s="122" t="s">
        <v>9102</v>
      </c>
      <c r="D5280" s="5" t="s">
        <v>2488</v>
      </c>
      <c r="E5280" s="123">
        <v>1</v>
      </c>
      <c r="F5280" s="9"/>
      <c r="G5280" s="8">
        <f t="shared" si="158"/>
        <v>31.859099999999998</v>
      </c>
      <c r="H5280" s="167">
        <v>30.341999999999999</v>
      </c>
      <c r="I5280" s="19">
        <f t="shared" si="159"/>
        <v>0</v>
      </c>
    </row>
    <row r="5281" spans="1:9" hidden="1">
      <c r="A5281" s="49" t="s">
        <v>8760</v>
      </c>
      <c r="B5281" s="5" t="s">
        <v>9103</v>
      </c>
      <c r="C5281" s="122" t="s">
        <v>9104</v>
      </c>
      <c r="D5281" s="5" t="s">
        <v>2488</v>
      </c>
      <c r="E5281" s="123">
        <v>1</v>
      </c>
      <c r="F5281" s="9"/>
      <c r="G5281" s="8">
        <f t="shared" si="158"/>
        <v>31.859099999999998</v>
      </c>
      <c r="H5281" s="167">
        <v>30.341999999999999</v>
      </c>
      <c r="I5281" s="19">
        <f t="shared" si="159"/>
        <v>0</v>
      </c>
    </row>
    <row r="5282" spans="1:9" hidden="1">
      <c r="A5282" s="49" t="s">
        <v>8760</v>
      </c>
      <c r="B5282" s="5" t="s">
        <v>9105</v>
      </c>
      <c r="C5282" s="122" t="s">
        <v>9106</v>
      </c>
      <c r="D5282" s="5" t="s">
        <v>2488</v>
      </c>
      <c r="E5282" s="123">
        <v>1</v>
      </c>
      <c r="F5282" s="9"/>
      <c r="G5282" s="8">
        <f t="shared" si="158"/>
        <v>31.859099999999998</v>
      </c>
      <c r="H5282" s="167">
        <v>30.341999999999999</v>
      </c>
      <c r="I5282" s="19">
        <f t="shared" si="159"/>
        <v>0</v>
      </c>
    </row>
    <row r="5283" spans="1:9" hidden="1">
      <c r="A5283" s="49" t="s">
        <v>8760</v>
      </c>
      <c r="B5283" s="5">
        <v>215095</v>
      </c>
      <c r="C5283" s="122" t="s">
        <v>9107</v>
      </c>
      <c r="D5283" s="5" t="s">
        <v>2488</v>
      </c>
      <c r="E5283" s="123">
        <v>1</v>
      </c>
      <c r="F5283" s="9"/>
      <c r="G5283" s="8">
        <f t="shared" si="158"/>
        <v>31.859099999999998</v>
      </c>
      <c r="H5283" s="167">
        <v>30.341999999999999</v>
      </c>
      <c r="I5283" s="19">
        <f t="shared" si="159"/>
        <v>0</v>
      </c>
    </row>
    <row r="5284" spans="1:9" hidden="1">
      <c r="A5284" s="49" t="s">
        <v>8760</v>
      </c>
      <c r="B5284" s="5" t="s">
        <v>9108</v>
      </c>
      <c r="C5284" s="122" t="s">
        <v>9109</v>
      </c>
      <c r="D5284" s="5" t="s">
        <v>2488</v>
      </c>
      <c r="E5284" s="123">
        <v>1</v>
      </c>
      <c r="F5284" s="9"/>
      <c r="G5284" s="8">
        <f t="shared" si="158"/>
        <v>31.859099999999998</v>
      </c>
      <c r="H5284" s="167">
        <v>30.341999999999999</v>
      </c>
      <c r="I5284" s="19">
        <f t="shared" si="159"/>
        <v>0</v>
      </c>
    </row>
    <row r="5285" spans="1:9" hidden="1">
      <c r="A5285" s="49" t="s">
        <v>8760</v>
      </c>
      <c r="B5285" s="5" t="s">
        <v>9110</v>
      </c>
      <c r="C5285" s="122" t="s">
        <v>9111</v>
      </c>
      <c r="D5285" s="5" t="s">
        <v>2488</v>
      </c>
      <c r="E5285" s="123">
        <v>1</v>
      </c>
      <c r="F5285" s="9"/>
      <c r="G5285" s="8">
        <f t="shared" si="158"/>
        <v>31.859099999999998</v>
      </c>
      <c r="H5285" s="167">
        <v>30.341999999999999</v>
      </c>
      <c r="I5285" s="19">
        <f t="shared" si="159"/>
        <v>0</v>
      </c>
    </row>
    <row r="5286" spans="1:9" hidden="1">
      <c r="A5286" s="49" t="s">
        <v>8760</v>
      </c>
      <c r="B5286" s="5" t="s">
        <v>9112</v>
      </c>
      <c r="C5286" s="122" t="s">
        <v>9113</v>
      </c>
      <c r="D5286" s="5" t="s">
        <v>2488</v>
      </c>
      <c r="E5286" s="123">
        <v>1</v>
      </c>
      <c r="F5286" s="9"/>
      <c r="G5286" s="8">
        <f t="shared" si="158"/>
        <v>31.859099999999998</v>
      </c>
      <c r="H5286" s="167">
        <v>30.341999999999999</v>
      </c>
      <c r="I5286" s="19">
        <f t="shared" si="159"/>
        <v>0</v>
      </c>
    </row>
    <row r="5287" spans="1:9" hidden="1">
      <c r="A5287" s="49" t="s">
        <v>8760</v>
      </c>
      <c r="B5287" s="5" t="s">
        <v>9114</v>
      </c>
      <c r="C5287" s="122" t="s">
        <v>9115</v>
      </c>
      <c r="D5287" s="5" t="s">
        <v>2488</v>
      </c>
      <c r="E5287" s="123">
        <v>1</v>
      </c>
      <c r="F5287" s="9"/>
      <c r="G5287" s="8">
        <f t="shared" si="158"/>
        <v>31.859099999999998</v>
      </c>
      <c r="H5287" s="167">
        <v>30.341999999999999</v>
      </c>
      <c r="I5287" s="19">
        <f t="shared" si="159"/>
        <v>0</v>
      </c>
    </row>
    <row r="5288" spans="1:9" hidden="1">
      <c r="A5288" s="49" t="s">
        <v>8760</v>
      </c>
      <c r="B5288" s="5" t="s">
        <v>9116</v>
      </c>
      <c r="C5288" s="122" t="s">
        <v>9117</v>
      </c>
      <c r="D5288" s="5" t="s">
        <v>2488</v>
      </c>
      <c r="E5288" s="123">
        <v>1</v>
      </c>
      <c r="F5288" s="9"/>
      <c r="G5288" s="8">
        <f t="shared" si="158"/>
        <v>31.859099999999998</v>
      </c>
      <c r="H5288" s="167">
        <v>30.341999999999999</v>
      </c>
      <c r="I5288" s="19">
        <f t="shared" si="159"/>
        <v>0</v>
      </c>
    </row>
    <row r="5289" spans="1:9" hidden="1">
      <c r="A5289" s="49" t="s">
        <v>8760</v>
      </c>
      <c r="B5289" s="5" t="s">
        <v>9118</v>
      </c>
      <c r="C5289" s="122" t="s">
        <v>9119</v>
      </c>
      <c r="D5289" s="5" t="s">
        <v>2488</v>
      </c>
      <c r="E5289" s="123">
        <v>1</v>
      </c>
      <c r="F5289" s="9"/>
      <c r="G5289" s="8">
        <f t="shared" si="158"/>
        <v>31.859099999999998</v>
      </c>
      <c r="H5289" s="167">
        <v>30.341999999999999</v>
      </c>
      <c r="I5289" s="19">
        <f t="shared" si="159"/>
        <v>0</v>
      </c>
    </row>
    <row r="5290" spans="1:9" hidden="1">
      <c r="A5290" s="49" t="s">
        <v>8760</v>
      </c>
      <c r="B5290" s="5">
        <v>215217</v>
      </c>
      <c r="C5290" s="122" t="s">
        <v>9120</v>
      </c>
      <c r="D5290" s="5" t="s">
        <v>2488</v>
      </c>
      <c r="E5290" s="123">
        <v>1</v>
      </c>
      <c r="F5290" s="9"/>
      <c r="G5290" s="8">
        <f t="shared" si="158"/>
        <v>87.271799999999999</v>
      </c>
      <c r="H5290" s="167">
        <v>83.116</v>
      </c>
      <c r="I5290" s="19">
        <f t="shared" si="159"/>
        <v>0</v>
      </c>
    </row>
    <row r="5291" spans="1:9" hidden="1">
      <c r="A5291" s="49" t="s">
        <v>8760</v>
      </c>
      <c r="B5291" s="5">
        <v>217032</v>
      </c>
      <c r="C5291" s="122" t="s">
        <v>9121</v>
      </c>
      <c r="D5291" s="5" t="s">
        <v>2488</v>
      </c>
      <c r="E5291" s="123">
        <v>1</v>
      </c>
      <c r="F5291" s="9"/>
      <c r="G5291" s="8">
        <f t="shared" si="158"/>
        <v>2.2165500000000002</v>
      </c>
      <c r="H5291" s="167">
        <v>2.1110000000000002</v>
      </c>
      <c r="I5291" s="19">
        <f t="shared" si="159"/>
        <v>0</v>
      </c>
    </row>
    <row r="5292" spans="1:9" hidden="1">
      <c r="A5292" s="49" t="s">
        <v>8760</v>
      </c>
      <c r="B5292" s="5">
        <v>217033</v>
      </c>
      <c r="C5292" s="122" t="s">
        <v>9122</v>
      </c>
      <c r="D5292" s="5"/>
      <c r="E5292" s="123">
        <v>1</v>
      </c>
      <c r="F5292" s="9"/>
      <c r="G5292" s="8">
        <f t="shared" si="158"/>
        <v>2.2165500000000002</v>
      </c>
      <c r="H5292" s="167">
        <v>2.1110000000000002</v>
      </c>
      <c r="I5292" s="19">
        <f t="shared" si="159"/>
        <v>0</v>
      </c>
    </row>
    <row r="5293" spans="1:9" hidden="1">
      <c r="A5293" s="49" t="s">
        <v>8760</v>
      </c>
      <c r="B5293" s="5">
        <v>217034</v>
      </c>
      <c r="C5293" s="122" t="s">
        <v>9123</v>
      </c>
      <c r="D5293" s="5"/>
      <c r="E5293" s="123">
        <v>1</v>
      </c>
      <c r="F5293" s="9"/>
      <c r="G5293" s="8">
        <f t="shared" si="158"/>
        <v>3.2591999999999999</v>
      </c>
      <c r="H5293" s="167">
        <v>3.1040000000000001</v>
      </c>
      <c r="I5293" s="19">
        <f t="shared" si="159"/>
        <v>0</v>
      </c>
    </row>
    <row r="5294" spans="1:9" hidden="1">
      <c r="A5294" s="49" t="s">
        <v>8760</v>
      </c>
      <c r="B5294" s="5">
        <v>217035</v>
      </c>
      <c r="C5294" s="122" t="s">
        <v>9124</v>
      </c>
      <c r="D5294" s="5"/>
      <c r="E5294" s="123">
        <v>1</v>
      </c>
      <c r="F5294" s="9"/>
      <c r="G5294" s="8">
        <f t="shared" si="158"/>
        <v>3.2591999999999999</v>
      </c>
      <c r="H5294" s="167">
        <v>3.1040000000000001</v>
      </c>
      <c r="I5294" s="19">
        <f t="shared" si="159"/>
        <v>0</v>
      </c>
    </row>
    <row r="5295" spans="1:9" hidden="1">
      <c r="A5295" s="49" t="s">
        <v>8760</v>
      </c>
      <c r="B5295" s="5">
        <v>217036</v>
      </c>
      <c r="C5295" s="122" t="s">
        <v>9125</v>
      </c>
      <c r="D5295" s="5"/>
      <c r="E5295" s="123">
        <v>1</v>
      </c>
      <c r="F5295" s="9"/>
      <c r="G5295" s="8">
        <f t="shared" si="158"/>
        <v>2.46435</v>
      </c>
      <c r="H5295" s="167">
        <v>2.347</v>
      </c>
      <c r="I5295" s="19">
        <f t="shared" si="159"/>
        <v>0</v>
      </c>
    </row>
    <row r="5296" spans="1:9" hidden="1">
      <c r="A5296" s="49" t="s">
        <v>8760</v>
      </c>
      <c r="B5296" s="5">
        <v>217037</v>
      </c>
      <c r="C5296" s="122" t="s">
        <v>9126</v>
      </c>
      <c r="D5296" s="5"/>
      <c r="E5296" s="123">
        <v>1</v>
      </c>
      <c r="F5296" s="9"/>
      <c r="G5296" s="8">
        <f t="shared" si="158"/>
        <v>2.46435</v>
      </c>
      <c r="H5296" s="167">
        <v>2.347</v>
      </c>
      <c r="I5296" s="19">
        <f t="shared" si="159"/>
        <v>0</v>
      </c>
    </row>
    <row r="5297" spans="1:9" hidden="1">
      <c r="A5297" s="49" t="s">
        <v>8760</v>
      </c>
      <c r="B5297" s="5">
        <v>217038</v>
      </c>
      <c r="C5297" s="122" t="s">
        <v>9127</v>
      </c>
      <c r="D5297" s="5"/>
      <c r="E5297" s="123">
        <v>1</v>
      </c>
      <c r="F5297" s="9"/>
      <c r="G5297" s="8">
        <f t="shared" si="158"/>
        <v>3.5468999999999999</v>
      </c>
      <c r="H5297" s="167">
        <v>3.3780000000000001</v>
      </c>
      <c r="I5297" s="19">
        <f t="shared" si="159"/>
        <v>0</v>
      </c>
    </row>
    <row r="5298" spans="1:9" hidden="1">
      <c r="A5298" s="49" t="s">
        <v>8760</v>
      </c>
      <c r="B5298" s="5">
        <v>217039</v>
      </c>
      <c r="C5298" s="122" t="s">
        <v>9128</v>
      </c>
      <c r="D5298" s="5"/>
      <c r="E5298" s="123">
        <v>1</v>
      </c>
      <c r="F5298" s="9"/>
      <c r="G5298" s="8">
        <f t="shared" si="158"/>
        <v>3.5468999999999999</v>
      </c>
      <c r="H5298" s="167">
        <v>3.3780000000000001</v>
      </c>
      <c r="I5298" s="19">
        <f t="shared" si="159"/>
        <v>0</v>
      </c>
    </row>
    <row r="5299" spans="1:9" hidden="1">
      <c r="A5299" s="49" t="s">
        <v>8760</v>
      </c>
      <c r="B5299" s="5">
        <v>217050</v>
      </c>
      <c r="C5299" s="122" t="s">
        <v>9129</v>
      </c>
      <c r="D5299" s="5"/>
      <c r="E5299" s="123">
        <v>1</v>
      </c>
      <c r="F5299" s="9"/>
      <c r="G5299" s="8">
        <f t="shared" si="158"/>
        <v>2.3436000000000003</v>
      </c>
      <c r="H5299" s="167">
        <v>2.2320000000000002</v>
      </c>
      <c r="I5299" s="19">
        <f t="shared" si="159"/>
        <v>0</v>
      </c>
    </row>
    <row r="5300" spans="1:9" hidden="1">
      <c r="A5300" s="49" t="s">
        <v>8760</v>
      </c>
      <c r="B5300" s="5">
        <v>217051</v>
      </c>
      <c r="C5300" s="122" t="s">
        <v>9130</v>
      </c>
      <c r="D5300" s="5"/>
      <c r="E5300" s="123">
        <v>1</v>
      </c>
      <c r="F5300" s="9"/>
      <c r="G5300" s="8">
        <f t="shared" si="158"/>
        <v>2.3436000000000003</v>
      </c>
      <c r="H5300" s="167">
        <v>2.2320000000000002</v>
      </c>
      <c r="I5300" s="19">
        <f t="shared" si="159"/>
        <v>0</v>
      </c>
    </row>
    <row r="5301" spans="1:9" hidden="1">
      <c r="A5301" s="49" t="s">
        <v>8760</v>
      </c>
      <c r="B5301" s="5">
        <v>217052</v>
      </c>
      <c r="C5301" s="122" t="s">
        <v>9131</v>
      </c>
      <c r="D5301" s="5"/>
      <c r="E5301" s="123">
        <v>1</v>
      </c>
      <c r="F5301" s="9"/>
      <c r="G5301" s="8">
        <f t="shared" si="158"/>
        <v>2.8496999999999999</v>
      </c>
      <c r="H5301" s="167">
        <v>2.714</v>
      </c>
      <c r="I5301" s="19">
        <f t="shared" si="159"/>
        <v>0</v>
      </c>
    </row>
    <row r="5302" spans="1:9" hidden="1">
      <c r="A5302" s="49" t="s">
        <v>8760</v>
      </c>
      <c r="B5302" s="5">
        <v>217053</v>
      </c>
      <c r="C5302" s="122" t="s">
        <v>9132</v>
      </c>
      <c r="D5302" s="5"/>
      <c r="E5302" s="123">
        <v>1</v>
      </c>
      <c r="F5302" s="9"/>
      <c r="G5302" s="8">
        <f t="shared" si="158"/>
        <v>2.8496999999999999</v>
      </c>
      <c r="H5302" s="167">
        <v>2.714</v>
      </c>
      <c r="I5302" s="19">
        <f t="shared" si="159"/>
        <v>0</v>
      </c>
    </row>
    <row r="5303" spans="1:9" hidden="1">
      <c r="A5303" s="49" t="s">
        <v>8760</v>
      </c>
      <c r="B5303" s="5">
        <v>217054</v>
      </c>
      <c r="C5303" s="122" t="s">
        <v>9133</v>
      </c>
      <c r="D5303" s="5"/>
      <c r="E5303" s="123">
        <v>1</v>
      </c>
      <c r="F5303" s="9"/>
      <c r="G5303" s="8">
        <f t="shared" si="158"/>
        <v>2.7048000000000001</v>
      </c>
      <c r="H5303" s="167">
        <v>2.5760000000000001</v>
      </c>
      <c r="I5303" s="19">
        <f t="shared" si="159"/>
        <v>0</v>
      </c>
    </row>
    <row r="5304" spans="1:9" hidden="1">
      <c r="A5304" s="49" t="s">
        <v>8760</v>
      </c>
      <c r="B5304" s="5">
        <v>217055</v>
      </c>
      <c r="C5304" s="122" t="s">
        <v>9134</v>
      </c>
      <c r="D5304" s="5"/>
      <c r="E5304" s="123">
        <v>1</v>
      </c>
      <c r="F5304" s="9"/>
      <c r="G5304" s="8">
        <f t="shared" si="158"/>
        <v>2.7048000000000001</v>
      </c>
      <c r="H5304" s="167">
        <v>2.5760000000000001</v>
      </c>
      <c r="I5304" s="19">
        <f t="shared" si="159"/>
        <v>0</v>
      </c>
    </row>
    <row r="5305" spans="1:9" hidden="1">
      <c r="A5305" s="49" t="s">
        <v>8760</v>
      </c>
      <c r="B5305" s="5">
        <v>217056</v>
      </c>
      <c r="C5305" s="122" t="s">
        <v>9135</v>
      </c>
      <c r="D5305" s="5"/>
      <c r="E5305" s="123">
        <v>1</v>
      </c>
      <c r="F5305" s="9"/>
      <c r="G5305" s="8">
        <f t="shared" si="158"/>
        <v>3.2266499999999998</v>
      </c>
      <c r="H5305" s="167">
        <v>3.073</v>
      </c>
      <c r="I5305" s="19">
        <f t="shared" si="159"/>
        <v>0</v>
      </c>
    </row>
    <row r="5306" spans="1:9" hidden="1">
      <c r="A5306" s="49" t="s">
        <v>8760</v>
      </c>
      <c r="B5306" s="5">
        <v>217057</v>
      </c>
      <c r="C5306" s="122" t="s">
        <v>9136</v>
      </c>
      <c r="D5306" s="5"/>
      <c r="E5306" s="123">
        <v>1</v>
      </c>
      <c r="F5306" s="9"/>
      <c r="G5306" s="8">
        <f t="shared" si="158"/>
        <v>3.2266499999999998</v>
      </c>
      <c r="H5306" s="167">
        <v>3.073</v>
      </c>
      <c r="I5306" s="19">
        <f t="shared" si="159"/>
        <v>0</v>
      </c>
    </row>
    <row r="5307" spans="1:9" hidden="1">
      <c r="A5307" s="49" t="s">
        <v>8760</v>
      </c>
      <c r="B5307" s="5">
        <v>217060</v>
      </c>
      <c r="C5307" s="122" t="s">
        <v>9137</v>
      </c>
      <c r="D5307" s="5"/>
      <c r="E5307" s="123">
        <v>1</v>
      </c>
      <c r="F5307" s="9"/>
      <c r="G5307" s="8">
        <f t="shared" si="158"/>
        <v>2.67645</v>
      </c>
      <c r="H5307" s="167">
        <v>2.5489999999999999</v>
      </c>
      <c r="I5307" s="19">
        <f t="shared" si="159"/>
        <v>0</v>
      </c>
    </row>
    <row r="5308" spans="1:9" hidden="1">
      <c r="A5308" s="49" t="s">
        <v>8760</v>
      </c>
      <c r="B5308" s="5">
        <v>217061</v>
      </c>
      <c r="C5308" s="122" t="s">
        <v>9138</v>
      </c>
      <c r="D5308" s="5"/>
      <c r="E5308" s="123">
        <v>1</v>
      </c>
      <c r="F5308" s="9"/>
      <c r="G5308" s="8">
        <f t="shared" si="158"/>
        <v>2.67645</v>
      </c>
      <c r="H5308" s="167">
        <v>2.5489999999999999</v>
      </c>
      <c r="I5308" s="19">
        <f t="shared" si="159"/>
        <v>0</v>
      </c>
    </row>
    <row r="5309" spans="1:9" hidden="1">
      <c r="A5309" s="49" t="s">
        <v>8760</v>
      </c>
      <c r="B5309" s="5">
        <v>217062</v>
      </c>
      <c r="C5309" s="122" t="s">
        <v>9139</v>
      </c>
      <c r="D5309" s="5"/>
      <c r="E5309" s="123">
        <v>1</v>
      </c>
      <c r="F5309" s="9"/>
      <c r="G5309" s="8">
        <f t="shared" si="158"/>
        <v>3.4104000000000001</v>
      </c>
      <c r="H5309" s="168">
        <v>3.2480000000000002</v>
      </c>
      <c r="I5309" s="19">
        <f t="shared" si="159"/>
        <v>0</v>
      </c>
    </row>
    <row r="5310" spans="1:9" hidden="1">
      <c r="A5310" s="49" t="s">
        <v>8760</v>
      </c>
      <c r="B5310" s="5">
        <v>217063</v>
      </c>
      <c r="C5310" s="122" t="s">
        <v>9140</v>
      </c>
      <c r="D5310" s="5"/>
      <c r="E5310" s="123">
        <v>1</v>
      </c>
      <c r="F5310" s="9"/>
      <c r="G5310" s="8">
        <f t="shared" si="158"/>
        <v>3.4104000000000001</v>
      </c>
      <c r="H5310" s="168">
        <v>3.2480000000000002</v>
      </c>
      <c r="I5310" s="19">
        <f t="shared" si="159"/>
        <v>0</v>
      </c>
    </row>
    <row r="5311" spans="1:9" hidden="1">
      <c r="A5311" s="49" t="s">
        <v>8760</v>
      </c>
      <c r="B5311" s="5">
        <v>217064</v>
      </c>
      <c r="C5311" s="122" t="s">
        <v>9141</v>
      </c>
      <c r="D5311" s="5"/>
      <c r="E5311" s="123">
        <v>1</v>
      </c>
      <c r="F5311" s="9"/>
      <c r="G5311" s="8">
        <f t="shared" si="158"/>
        <v>3.0670499999999996</v>
      </c>
      <c r="H5311" s="168">
        <v>2.9209999999999998</v>
      </c>
      <c r="I5311" s="19">
        <f t="shared" si="159"/>
        <v>0</v>
      </c>
    </row>
    <row r="5312" spans="1:9" hidden="1">
      <c r="A5312" s="49" t="s">
        <v>8760</v>
      </c>
      <c r="B5312" s="5">
        <v>217065</v>
      </c>
      <c r="C5312" s="122" t="s">
        <v>9142</v>
      </c>
      <c r="D5312" s="5"/>
      <c r="E5312" s="123">
        <v>1</v>
      </c>
      <c r="F5312" s="9"/>
      <c r="G5312" s="8">
        <f t="shared" si="158"/>
        <v>3.0670499999999996</v>
      </c>
      <c r="H5312" s="168">
        <v>2.9209999999999998</v>
      </c>
      <c r="I5312" s="19">
        <f t="shared" si="159"/>
        <v>0</v>
      </c>
    </row>
    <row r="5313" spans="1:9" hidden="1">
      <c r="A5313" s="49" t="s">
        <v>8760</v>
      </c>
      <c r="B5313" s="5">
        <v>217066</v>
      </c>
      <c r="C5313" s="122" t="s">
        <v>9143</v>
      </c>
      <c r="D5313" s="5"/>
      <c r="E5313" s="123">
        <v>1</v>
      </c>
      <c r="F5313" s="9"/>
      <c r="G5313" s="8">
        <f t="shared" si="158"/>
        <v>3.8492999999999999</v>
      </c>
      <c r="H5313" s="168">
        <v>3.6659999999999999</v>
      </c>
      <c r="I5313" s="19">
        <f t="shared" si="159"/>
        <v>0</v>
      </c>
    </row>
    <row r="5314" spans="1:9" hidden="1">
      <c r="A5314" s="49" t="s">
        <v>8760</v>
      </c>
      <c r="B5314" s="5">
        <v>217067</v>
      </c>
      <c r="C5314" s="122" t="s">
        <v>9144</v>
      </c>
      <c r="D5314" s="5"/>
      <c r="E5314" s="123">
        <v>1</v>
      </c>
      <c r="F5314" s="9"/>
      <c r="G5314" s="8">
        <f t="shared" si="158"/>
        <v>3.8492999999999999</v>
      </c>
      <c r="H5314" s="168">
        <v>3.6659999999999999</v>
      </c>
      <c r="I5314" s="19">
        <f t="shared" si="159"/>
        <v>0</v>
      </c>
    </row>
    <row r="5315" spans="1:9" hidden="1">
      <c r="A5315" s="49" t="s">
        <v>8760</v>
      </c>
      <c r="B5315" s="5">
        <v>217070</v>
      </c>
      <c r="C5315" s="122" t="s">
        <v>9145</v>
      </c>
      <c r="D5315" s="5"/>
      <c r="E5315" s="123">
        <v>1</v>
      </c>
      <c r="F5315" s="9"/>
      <c r="G5315" s="8">
        <f t="shared" si="158"/>
        <v>2.0306999999999999</v>
      </c>
      <c r="H5315" s="168">
        <v>1.9339999999999999</v>
      </c>
      <c r="I5315" s="19">
        <f t="shared" si="159"/>
        <v>0</v>
      </c>
    </row>
    <row r="5316" spans="1:9" hidden="1">
      <c r="A5316" s="49" t="s">
        <v>8760</v>
      </c>
      <c r="B5316" s="5">
        <v>217071</v>
      </c>
      <c r="C5316" s="122" t="s">
        <v>9146</v>
      </c>
      <c r="D5316" s="5"/>
      <c r="E5316" s="123">
        <v>1</v>
      </c>
      <c r="F5316" s="9"/>
      <c r="G5316" s="8">
        <f t="shared" si="158"/>
        <v>2.0306999999999999</v>
      </c>
      <c r="H5316" s="168">
        <v>1.9339999999999999</v>
      </c>
      <c r="I5316" s="19">
        <f t="shared" si="159"/>
        <v>0</v>
      </c>
    </row>
    <row r="5317" spans="1:9" hidden="1">
      <c r="A5317" s="49" t="s">
        <v>8760</v>
      </c>
      <c r="B5317" s="5">
        <v>217072</v>
      </c>
      <c r="C5317" s="122" t="s">
        <v>9147</v>
      </c>
      <c r="D5317" s="5"/>
      <c r="E5317" s="123">
        <v>1</v>
      </c>
      <c r="F5317" s="9"/>
      <c r="G5317" s="8">
        <f t="shared" si="158"/>
        <v>2.16615</v>
      </c>
      <c r="H5317" s="168">
        <v>2.0630000000000002</v>
      </c>
      <c r="I5317" s="19">
        <f t="shared" si="159"/>
        <v>0</v>
      </c>
    </row>
    <row r="5318" spans="1:9" hidden="1">
      <c r="A5318" s="49" t="s">
        <v>8760</v>
      </c>
      <c r="B5318" s="5">
        <v>217073</v>
      </c>
      <c r="C5318" s="122" t="s">
        <v>9148</v>
      </c>
      <c r="D5318" s="5"/>
      <c r="E5318" s="123">
        <v>1</v>
      </c>
      <c r="F5318" s="9"/>
      <c r="G5318" s="8">
        <f t="shared" si="158"/>
        <v>2.16615</v>
      </c>
      <c r="H5318" s="168">
        <v>2.0630000000000002</v>
      </c>
      <c r="I5318" s="19">
        <f t="shared" si="159"/>
        <v>0</v>
      </c>
    </row>
    <row r="5319" spans="1:9" hidden="1">
      <c r="A5319" s="49" t="s">
        <v>8760</v>
      </c>
      <c r="B5319" s="5">
        <v>217074</v>
      </c>
      <c r="C5319" s="122" t="s">
        <v>9149</v>
      </c>
      <c r="D5319" s="5"/>
      <c r="E5319" s="123">
        <v>1</v>
      </c>
      <c r="F5319" s="9"/>
      <c r="G5319" s="8">
        <f t="shared" si="158"/>
        <v>2.3037000000000001</v>
      </c>
      <c r="H5319" s="168">
        <v>2.194</v>
      </c>
      <c r="I5319" s="19">
        <f t="shared" si="159"/>
        <v>0</v>
      </c>
    </row>
    <row r="5320" spans="1:9" hidden="1">
      <c r="A5320" s="49" t="s">
        <v>8760</v>
      </c>
      <c r="B5320" s="5">
        <v>217075</v>
      </c>
      <c r="C5320" s="122" t="s">
        <v>9150</v>
      </c>
      <c r="D5320" s="5"/>
      <c r="E5320" s="123">
        <v>1</v>
      </c>
      <c r="F5320" s="9"/>
      <c r="G5320" s="8">
        <f t="shared" si="158"/>
        <v>2.3037000000000001</v>
      </c>
      <c r="H5320" s="168">
        <v>2.194</v>
      </c>
      <c r="I5320" s="19">
        <f t="shared" si="159"/>
        <v>0</v>
      </c>
    </row>
    <row r="5321" spans="1:9" hidden="1">
      <c r="A5321" s="49" t="s">
        <v>8760</v>
      </c>
      <c r="B5321" s="5">
        <v>217076</v>
      </c>
      <c r="C5321" s="122" t="s">
        <v>9151</v>
      </c>
      <c r="D5321" s="5"/>
      <c r="E5321" s="123">
        <v>1</v>
      </c>
      <c r="F5321" s="9"/>
      <c r="G5321" s="8">
        <f t="shared" si="158"/>
        <v>2.3236500000000002</v>
      </c>
      <c r="H5321" s="168">
        <v>2.2130000000000001</v>
      </c>
      <c r="I5321" s="19">
        <f t="shared" si="159"/>
        <v>0</v>
      </c>
    </row>
    <row r="5322" spans="1:9" hidden="1">
      <c r="A5322" s="49" t="s">
        <v>8760</v>
      </c>
      <c r="B5322" s="5">
        <v>217077</v>
      </c>
      <c r="C5322" s="122" t="s">
        <v>9152</v>
      </c>
      <c r="D5322" s="5"/>
      <c r="E5322" s="123">
        <v>1</v>
      </c>
      <c r="F5322" s="9"/>
      <c r="G5322" s="8">
        <f t="shared" ref="G5322:G5355" si="160">H5322+(H5322*5%)</f>
        <v>2.3236500000000002</v>
      </c>
      <c r="H5322" s="168">
        <v>2.2130000000000001</v>
      </c>
      <c r="I5322" s="19">
        <f t="shared" ref="I5322:I5355" si="161">G5322*F5322</f>
        <v>0</v>
      </c>
    </row>
    <row r="5323" spans="1:9" hidden="1">
      <c r="A5323" s="49" t="s">
        <v>8760</v>
      </c>
      <c r="B5323" s="5">
        <v>217080</v>
      </c>
      <c r="C5323" s="122" t="s">
        <v>9153</v>
      </c>
      <c r="D5323" s="5"/>
      <c r="E5323" s="123">
        <v>1</v>
      </c>
      <c r="F5323" s="9"/>
      <c r="G5323" s="8">
        <f t="shared" si="160"/>
        <v>1.9236</v>
      </c>
      <c r="H5323" s="168">
        <v>1.8320000000000001</v>
      </c>
      <c r="I5323" s="19">
        <f t="shared" si="161"/>
        <v>0</v>
      </c>
    </row>
    <row r="5324" spans="1:9" hidden="1">
      <c r="A5324" s="49" t="s">
        <v>8760</v>
      </c>
      <c r="B5324" s="5">
        <v>217081</v>
      </c>
      <c r="C5324" s="122" t="s">
        <v>9154</v>
      </c>
      <c r="D5324" s="5"/>
      <c r="E5324" s="123">
        <v>1</v>
      </c>
      <c r="F5324" s="9"/>
      <c r="G5324" s="8">
        <f t="shared" si="160"/>
        <v>1.9236</v>
      </c>
      <c r="H5324" s="168">
        <v>1.8320000000000001</v>
      </c>
      <c r="I5324" s="19">
        <f t="shared" si="161"/>
        <v>0</v>
      </c>
    </row>
    <row r="5325" spans="1:9" hidden="1">
      <c r="A5325" s="49" t="s">
        <v>8760</v>
      </c>
      <c r="B5325" s="5">
        <v>217082</v>
      </c>
      <c r="C5325" s="122" t="s">
        <v>9155</v>
      </c>
      <c r="D5325" s="5"/>
      <c r="E5325" s="123">
        <v>1</v>
      </c>
      <c r="F5325" s="9"/>
      <c r="G5325" s="8">
        <f t="shared" si="160"/>
        <v>2.8812000000000002</v>
      </c>
      <c r="H5325" s="168">
        <v>2.7440000000000002</v>
      </c>
      <c r="I5325" s="19">
        <f t="shared" si="161"/>
        <v>0</v>
      </c>
    </row>
    <row r="5326" spans="1:9" hidden="1">
      <c r="A5326" s="49" t="s">
        <v>8760</v>
      </c>
      <c r="B5326" s="5">
        <v>217083</v>
      </c>
      <c r="C5326" s="122" t="s">
        <v>9156</v>
      </c>
      <c r="D5326" s="5"/>
      <c r="E5326" s="123">
        <v>1</v>
      </c>
      <c r="F5326" s="9"/>
      <c r="G5326" s="8">
        <f t="shared" si="160"/>
        <v>2.8812000000000002</v>
      </c>
      <c r="H5326" s="168">
        <v>2.7440000000000002</v>
      </c>
      <c r="I5326" s="19">
        <f t="shared" si="161"/>
        <v>0</v>
      </c>
    </row>
    <row r="5327" spans="1:9" hidden="1">
      <c r="A5327" s="49" t="s">
        <v>8760</v>
      </c>
      <c r="B5327" s="5">
        <v>217084</v>
      </c>
      <c r="C5327" s="122" t="s">
        <v>9157</v>
      </c>
      <c r="D5327" s="5"/>
      <c r="E5327" s="123">
        <v>1</v>
      </c>
      <c r="F5327" s="9"/>
      <c r="G5327" s="8">
        <f t="shared" si="160"/>
        <v>2.5914000000000001</v>
      </c>
      <c r="H5327" s="168">
        <v>2.468</v>
      </c>
      <c r="I5327" s="19">
        <f t="shared" si="161"/>
        <v>0</v>
      </c>
    </row>
    <row r="5328" spans="1:9" hidden="1">
      <c r="A5328" s="49" t="s">
        <v>8760</v>
      </c>
      <c r="B5328" s="5">
        <v>217085</v>
      </c>
      <c r="C5328" s="122" t="s">
        <v>9158</v>
      </c>
      <c r="D5328" s="5"/>
      <c r="E5328" s="123">
        <v>1</v>
      </c>
      <c r="F5328" s="9"/>
      <c r="G5328" s="8">
        <f t="shared" si="160"/>
        <v>2.5914000000000001</v>
      </c>
      <c r="H5328" s="168">
        <v>2.468</v>
      </c>
      <c r="I5328" s="19">
        <f t="shared" si="161"/>
        <v>0</v>
      </c>
    </row>
    <row r="5329" spans="1:9" hidden="1">
      <c r="A5329" s="49" t="s">
        <v>8760</v>
      </c>
      <c r="B5329" s="5">
        <v>217086</v>
      </c>
      <c r="C5329" s="122" t="s">
        <v>9159</v>
      </c>
      <c r="D5329" s="5"/>
      <c r="E5329" s="123">
        <v>1</v>
      </c>
      <c r="F5329" s="9"/>
      <c r="G5329" s="8">
        <f t="shared" si="160"/>
        <v>3.8618999999999999</v>
      </c>
      <c r="H5329" s="168">
        <v>3.6779999999999999</v>
      </c>
      <c r="I5329" s="19">
        <f t="shared" si="161"/>
        <v>0</v>
      </c>
    </row>
    <row r="5330" spans="1:9" hidden="1">
      <c r="A5330" s="49" t="s">
        <v>8760</v>
      </c>
      <c r="B5330" s="5">
        <v>217087</v>
      </c>
      <c r="C5330" s="122" t="s">
        <v>9160</v>
      </c>
      <c r="D5330" s="5"/>
      <c r="E5330" s="123">
        <v>1</v>
      </c>
      <c r="F5330" s="9"/>
      <c r="G5330" s="8">
        <f t="shared" si="160"/>
        <v>3.8618999999999999</v>
      </c>
      <c r="H5330" s="168">
        <v>3.6779999999999999</v>
      </c>
      <c r="I5330" s="19">
        <f t="shared" si="161"/>
        <v>0</v>
      </c>
    </row>
    <row r="5331" spans="1:9" hidden="1">
      <c r="A5331" s="49" t="s">
        <v>8760</v>
      </c>
      <c r="B5331" s="5">
        <v>217090</v>
      </c>
      <c r="C5331" s="122" t="s">
        <v>9161</v>
      </c>
      <c r="D5331" s="5"/>
      <c r="E5331" s="123">
        <v>1</v>
      </c>
      <c r="F5331" s="9"/>
      <c r="G5331" s="8">
        <f t="shared" si="160"/>
        <v>4.5696000000000003</v>
      </c>
      <c r="H5331" s="168">
        <v>4.3520000000000003</v>
      </c>
      <c r="I5331" s="19">
        <f t="shared" si="161"/>
        <v>0</v>
      </c>
    </row>
    <row r="5332" spans="1:9" hidden="1">
      <c r="A5332" s="49" t="s">
        <v>8760</v>
      </c>
      <c r="B5332" s="5">
        <v>150117</v>
      </c>
      <c r="C5332" s="122" t="s">
        <v>9064</v>
      </c>
      <c r="D5332" s="5"/>
      <c r="E5332" s="123">
        <v>1</v>
      </c>
      <c r="F5332" s="9"/>
      <c r="G5332" s="8">
        <f t="shared" si="160"/>
        <v>0.23415</v>
      </c>
      <c r="H5332" s="168">
        <v>0.223</v>
      </c>
      <c r="I5332" s="19">
        <f t="shared" si="161"/>
        <v>0</v>
      </c>
    </row>
    <row r="5333" spans="1:9" hidden="1">
      <c r="A5333" s="49" t="s">
        <v>8760</v>
      </c>
      <c r="B5333" s="5">
        <v>150118</v>
      </c>
      <c r="C5333" s="122" t="s">
        <v>9065</v>
      </c>
      <c r="D5333" s="5"/>
      <c r="E5333" s="123">
        <v>1</v>
      </c>
      <c r="F5333" s="9"/>
      <c r="G5333" s="8">
        <f t="shared" si="160"/>
        <v>0.28560000000000002</v>
      </c>
      <c r="H5333" s="168">
        <v>0.27200000000000002</v>
      </c>
      <c r="I5333" s="19">
        <f t="shared" si="161"/>
        <v>0</v>
      </c>
    </row>
    <row r="5334" spans="1:9" hidden="1">
      <c r="A5334" s="49" t="s">
        <v>8760</v>
      </c>
      <c r="B5334" s="5">
        <v>150120</v>
      </c>
      <c r="C5334" s="122" t="s">
        <v>9066</v>
      </c>
      <c r="D5334" s="5"/>
      <c r="E5334" s="123">
        <v>1</v>
      </c>
      <c r="F5334" s="9"/>
      <c r="G5334" s="8">
        <f t="shared" si="160"/>
        <v>3.2550000000000003E-2</v>
      </c>
      <c r="H5334" s="168">
        <v>3.1E-2</v>
      </c>
      <c r="I5334" s="19">
        <f t="shared" si="161"/>
        <v>0</v>
      </c>
    </row>
    <row r="5335" spans="1:9" hidden="1">
      <c r="A5335" s="49" t="s">
        <v>8760</v>
      </c>
      <c r="B5335" s="5">
        <v>150121</v>
      </c>
      <c r="C5335" s="122" t="s">
        <v>9067</v>
      </c>
      <c r="D5335" s="5"/>
      <c r="E5335" s="123">
        <v>1</v>
      </c>
      <c r="F5335" s="9"/>
      <c r="G5335" s="8">
        <f t="shared" si="160"/>
        <v>2.2837499999999999</v>
      </c>
      <c r="H5335" s="168">
        <v>2.1749999999999998</v>
      </c>
      <c r="I5335" s="19">
        <f t="shared" si="161"/>
        <v>0</v>
      </c>
    </row>
    <row r="5336" spans="1:9" hidden="1">
      <c r="A5336" s="49" t="s">
        <v>8760</v>
      </c>
      <c r="B5336" s="5">
        <v>150122</v>
      </c>
      <c r="C5336" s="122" t="s">
        <v>9068</v>
      </c>
      <c r="D5336" s="5"/>
      <c r="E5336" s="123">
        <v>1</v>
      </c>
      <c r="F5336" s="9"/>
      <c r="G5336" s="8">
        <f t="shared" si="160"/>
        <v>0.12809999999999999</v>
      </c>
      <c r="H5336" s="168">
        <v>0.122</v>
      </c>
      <c r="I5336" s="19">
        <f t="shared" si="161"/>
        <v>0</v>
      </c>
    </row>
    <row r="5337" spans="1:9" hidden="1">
      <c r="A5337" s="49" t="s">
        <v>8760</v>
      </c>
      <c r="B5337" s="5">
        <v>150125</v>
      </c>
      <c r="C5337" s="122" t="s">
        <v>9069</v>
      </c>
      <c r="D5337" s="5"/>
      <c r="E5337" s="123">
        <v>1</v>
      </c>
      <c r="F5337" s="9"/>
      <c r="G5337" s="8">
        <f t="shared" si="160"/>
        <v>3.3599999999999998E-2</v>
      </c>
      <c r="H5337" s="168">
        <v>3.2000000000000001E-2</v>
      </c>
      <c r="I5337" s="19">
        <f t="shared" si="161"/>
        <v>0</v>
      </c>
    </row>
    <row r="5338" spans="1:9" hidden="1">
      <c r="A5338" s="49" t="s">
        <v>8760</v>
      </c>
      <c r="B5338" s="5">
        <v>150126</v>
      </c>
      <c r="C5338" s="122" t="s">
        <v>9070</v>
      </c>
      <c r="D5338" s="5"/>
      <c r="E5338" s="123">
        <v>1</v>
      </c>
      <c r="F5338" s="9"/>
      <c r="G5338" s="8">
        <f t="shared" si="160"/>
        <v>0.50714999999999999</v>
      </c>
      <c r="H5338" s="168">
        <v>0.48299999999999998</v>
      </c>
      <c r="I5338" s="19">
        <f t="shared" si="161"/>
        <v>0</v>
      </c>
    </row>
    <row r="5339" spans="1:9" hidden="1">
      <c r="A5339" s="49" t="s">
        <v>8760</v>
      </c>
      <c r="B5339" s="5">
        <v>150131</v>
      </c>
      <c r="C5339" s="122" t="s">
        <v>9071</v>
      </c>
      <c r="D5339" s="5"/>
      <c r="E5339" s="123">
        <v>1</v>
      </c>
      <c r="F5339" s="9"/>
      <c r="G5339" s="8">
        <f t="shared" si="160"/>
        <v>0.15959999999999999</v>
      </c>
      <c r="H5339" s="168">
        <v>0.152</v>
      </c>
      <c r="I5339" s="19">
        <f t="shared" si="161"/>
        <v>0</v>
      </c>
    </row>
    <row r="5340" spans="1:9" hidden="1">
      <c r="A5340" s="49" t="s">
        <v>8760</v>
      </c>
      <c r="B5340" s="5">
        <v>150200</v>
      </c>
      <c r="C5340" s="122" t="s">
        <v>9072</v>
      </c>
      <c r="D5340" s="5"/>
      <c r="E5340" s="123">
        <v>1</v>
      </c>
      <c r="F5340" s="9"/>
      <c r="G5340" s="8">
        <f t="shared" si="160"/>
        <v>9.4500000000000001E-2</v>
      </c>
      <c r="H5340" s="168">
        <v>0.09</v>
      </c>
      <c r="I5340" s="19">
        <f t="shared" si="161"/>
        <v>0</v>
      </c>
    </row>
    <row r="5341" spans="1:9" hidden="1">
      <c r="A5341" s="49" t="s">
        <v>8760</v>
      </c>
      <c r="B5341" s="5">
        <v>150201</v>
      </c>
      <c r="C5341" s="122" t="s">
        <v>9073</v>
      </c>
      <c r="D5341" s="5"/>
      <c r="E5341" s="123">
        <v>1</v>
      </c>
      <c r="F5341" s="9"/>
      <c r="G5341" s="8">
        <f t="shared" si="160"/>
        <v>0.16800000000000001</v>
      </c>
      <c r="H5341" s="168">
        <v>0.16</v>
      </c>
      <c r="I5341" s="19">
        <f t="shared" si="161"/>
        <v>0</v>
      </c>
    </row>
    <row r="5342" spans="1:9" hidden="1">
      <c r="A5342" s="49" t="s">
        <v>8760</v>
      </c>
      <c r="B5342" s="5">
        <v>150800</v>
      </c>
      <c r="C5342" s="122" t="s">
        <v>9074</v>
      </c>
      <c r="D5342" s="5"/>
      <c r="E5342" s="123">
        <v>1</v>
      </c>
      <c r="F5342" s="9"/>
      <c r="G5342" s="8">
        <f t="shared" si="160"/>
        <v>0.14070000000000002</v>
      </c>
      <c r="H5342" s="168">
        <v>0.13400000000000001</v>
      </c>
      <c r="I5342" s="19">
        <f t="shared" si="161"/>
        <v>0</v>
      </c>
    </row>
    <row r="5343" spans="1:9" hidden="1">
      <c r="A5343" s="49" t="s">
        <v>8760</v>
      </c>
      <c r="B5343" s="5" t="s">
        <v>9075</v>
      </c>
      <c r="C5343" s="122" t="s">
        <v>9076</v>
      </c>
      <c r="D5343" s="5"/>
      <c r="E5343" s="123">
        <v>1</v>
      </c>
      <c r="F5343" s="9"/>
      <c r="G5343" s="8">
        <f t="shared" si="160"/>
        <v>0.30449999999999999</v>
      </c>
      <c r="H5343" s="168">
        <v>0.28999999999999998</v>
      </c>
      <c r="I5343" s="19">
        <f t="shared" si="161"/>
        <v>0</v>
      </c>
    </row>
    <row r="5344" spans="1:9" hidden="1">
      <c r="A5344" s="49" t="s">
        <v>8760</v>
      </c>
      <c r="B5344" s="5">
        <v>150801</v>
      </c>
      <c r="C5344" s="122" t="s">
        <v>9077</v>
      </c>
      <c r="D5344" s="5"/>
      <c r="E5344" s="123">
        <v>1</v>
      </c>
      <c r="F5344" s="9"/>
      <c r="G5344" s="8">
        <f t="shared" si="160"/>
        <v>0.18164999999999998</v>
      </c>
      <c r="H5344" s="168">
        <v>0.17299999999999999</v>
      </c>
      <c r="I5344" s="19">
        <f t="shared" si="161"/>
        <v>0</v>
      </c>
    </row>
    <row r="5345" spans="1:9" hidden="1">
      <c r="A5345" s="49" t="s">
        <v>8760</v>
      </c>
      <c r="B5345" s="5">
        <v>150802</v>
      </c>
      <c r="C5345" s="122" t="s">
        <v>9078</v>
      </c>
      <c r="D5345" s="5"/>
      <c r="E5345" s="123">
        <v>1</v>
      </c>
      <c r="F5345" s="9"/>
      <c r="G5345" s="8">
        <f t="shared" si="160"/>
        <v>0.14700000000000002</v>
      </c>
      <c r="H5345" s="168">
        <v>0.14000000000000001</v>
      </c>
      <c r="I5345" s="19">
        <f t="shared" si="161"/>
        <v>0</v>
      </c>
    </row>
    <row r="5346" spans="1:9" hidden="1">
      <c r="A5346" s="49" t="s">
        <v>8760</v>
      </c>
      <c r="B5346" s="5">
        <v>150803</v>
      </c>
      <c r="C5346" s="122" t="s">
        <v>9079</v>
      </c>
      <c r="D5346" s="5"/>
      <c r="E5346" s="123">
        <v>1</v>
      </c>
      <c r="F5346" s="9"/>
      <c r="G5346" s="8">
        <f t="shared" si="160"/>
        <v>0.11445</v>
      </c>
      <c r="H5346" s="168">
        <v>0.109</v>
      </c>
      <c r="I5346" s="19">
        <f t="shared" si="161"/>
        <v>0</v>
      </c>
    </row>
    <row r="5347" spans="1:9" hidden="1">
      <c r="A5347" s="49" t="s">
        <v>8760</v>
      </c>
      <c r="B5347" s="5">
        <v>150806</v>
      </c>
      <c r="C5347" s="122" t="s">
        <v>9080</v>
      </c>
      <c r="D5347" s="5"/>
      <c r="E5347" s="123">
        <v>1</v>
      </c>
      <c r="F5347" s="9"/>
      <c r="G5347" s="8">
        <f t="shared" si="160"/>
        <v>0.14700000000000002</v>
      </c>
      <c r="H5347" s="168">
        <v>0.14000000000000001</v>
      </c>
      <c r="I5347" s="19">
        <f t="shared" si="161"/>
        <v>0</v>
      </c>
    </row>
    <row r="5348" spans="1:9" hidden="1">
      <c r="A5348" s="49" t="s">
        <v>8760</v>
      </c>
      <c r="B5348" s="5">
        <v>150807</v>
      </c>
      <c r="C5348" s="122" t="s">
        <v>9081</v>
      </c>
      <c r="D5348" s="5"/>
      <c r="E5348" s="123">
        <v>1</v>
      </c>
      <c r="F5348" s="9"/>
      <c r="G5348" s="8">
        <f t="shared" si="160"/>
        <v>0.34229999999999999</v>
      </c>
      <c r="H5348" s="168">
        <v>0.32600000000000001</v>
      </c>
      <c r="I5348" s="19">
        <f t="shared" si="161"/>
        <v>0</v>
      </c>
    </row>
    <row r="5349" spans="1:9" hidden="1">
      <c r="A5349" s="49" t="s">
        <v>8760</v>
      </c>
      <c r="B5349" s="5">
        <v>215004</v>
      </c>
      <c r="C5349" s="122" t="s">
        <v>9082</v>
      </c>
      <c r="D5349" s="5" t="s">
        <v>2488</v>
      </c>
      <c r="E5349" s="123">
        <v>1</v>
      </c>
      <c r="F5349" s="9"/>
      <c r="G5349" s="8">
        <f t="shared" si="160"/>
        <v>3.2718000000000003</v>
      </c>
      <c r="H5349" s="168">
        <v>3.1160000000000001</v>
      </c>
      <c r="I5349" s="19">
        <f t="shared" si="161"/>
        <v>0</v>
      </c>
    </row>
    <row r="5350" spans="1:9" hidden="1">
      <c r="A5350" s="49" t="s">
        <v>8760</v>
      </c>
      <c r="B5350" s="5">
        <v>215006</v>
      </c>
      <c r="C5350" s="122" t="s">
        <v>9083</v>
      </c>
      <c r="D5350" s="5" t="s">
        <v>2488</v>
      </c>
      <c r="E5350" s="123">
        <v>1</v>
      </c>
      <c r="F5350" s="9"/>
      <c r="G5350" s="8">
        <f t="shared" si="160"/>
        <v>4.8825000000000003</v>
      </c>
      <c r="H5350" s="168">
        <v>4.6500000000000004</v>
      </c>
      <c r="I5350" s="19">
        <f t="shared" si="161"/>
        <v>0</v>
      </c>
    </row>
    <row r="5351" spans="1:9" hidden="1">
      <c r="A5351" s="49" t="s">
        <v>8760</v>
      </c>
      <c r="B5351" s="5" t="s">
        <v>9084</v>
      </c>
      <c r="C5351" s="122" t="s">
        <v>9085</v>
      </c>
      <c r="D5351" s="5" t="s">
        <v>2488</v>
      </c>
      <c r="E5351" s="123">
        <v>1</v>
      </c>
      <c r="F5351" s="9"/>
      <c r="G5351" s="8">
        <f t="shared" si="160"/>
        <v>41.8005</v>
      </c>
      <c r="H5351" s="168">
        <v>39.81</v>
      </c>
      <c r="I5351" s="19">
        <f t="shared" si="161"/>
        <v>0</v>
      </c>
    </row>
    <row r="5352" spans="1:9" hidden="1">
      <c r="A5352" s="49" t="s">
        <v>8760</v>
      </c>
      <c r="B5352" s="5" t="s">
        <v>9086</v>
      </c>
      <c r="C5352" s="122" t="s">
        <v>9087</v>
      </c>
      <c r="D5352" s="5" t="s">
        <v>2488</v>
      </c>
      <c r="E5352" s="123">
        <v>1</v>
      </c>
      <c r="F5352" s="9"/>
      <c r="G5352" s="8">
        <f t="shared" si="160"/>
        <v>14.185499999999999</v>
      </c>
      <c r="H5352" s="168">
        <v>13.51</v>
      </c>
      <c r="I5352" s="19">
        <f t="shared" si="161"/>
        <v>0</v>
      </c>
    </row>
    <row r="5353" spans="1:9" hidden="1">
      <c r="A5353" s="49" t="s">
        <v>8760</v>
      </c>
      <c r="B5353" s="5">
        <v>215217</v>
      </c>
      <c r="C5353" s="122" t="s">
        <v>9120</v>
      </c>
      <c r="D5353" s="5"/>
      <c r="E5353" s="123">
        <v>1</v>
      </c>
      <c r="F5353" s="9"/>
      <c r="G5353" s="8">
        <f t="shared" si="160"/>
        <v>87.271799999999999</v>
      </c>
      <c r="H5353" s="168">
        <v>83.116</v>
      </c>
      <c r="I5353" s="19">
        <f t="shared" si="161"/>
        <v>0</v>
      </c>
    </row>
    <row r="5354" spans="1:9" hidden="1">
      <c r="A5354" s="49" t="s">
        <v>8760</v>
      </c>
      <c r="B5354" s="5">
        <v>217032</v>
      </c>
      <c r="C5354" s="122" t="s">
        <v>9121</v>
      </c>
      <c r="D5354" s="5"/>
      <c r="E5354" s="123">
        <v>1</v>
      </c>
      <c r="F5354" s="9"/>
      <c r="G5354" s="8">
        <f t="shared" si="160"/>
        <v>2.2165500000000002</v>
      </c>
      <c r="H5354" s="168">
        <v>2.1110000000000002</v>
      </c>
      <c r="I5354" s="19">
        <f t="shared" si="161"/>
        <v>0</v>
      </c>
    </row>
    <row r="5355" spans="1:9" hidden="1">
      <c r="A5355" s="49" t="s">
        <v>8760</v>
      </c>
      <c r="B5355" s="5">
        <v>217034</v>
      </c>
      <c r="C5355" s="122" t="s">
        <v>9123</v>
      </c>
      <c r="D5355" s="5"/>
      <c r="E5355" s="123">
        <v>1</v>
      </c>
      <c r="F5355" s="9"/>
      <c r="G5355" s="8">
        <f t="shared" si="160"/>
        <v>3.2591999999999999</v>
      </c>
      <c r="H5355" s="168">
        <v>3.1040000000000001</v>
      </c>
      <c r="I5355" s="19">
        <f t="shared" si="161"/>
        <v>0</v>
      </c>
    </row>
    <row r="5356" spans="1:9" hidden="1">
      <c r="A5356" s="49" t="s">
        <v>8760</v>
      </c>
      <c r="B5356" s="5">
        <v>217073</v>
      </c>
      <c r="C5356" s="122" t="s">
        <v>9148</v>
      </c>
      <c r="D5356" s="5"/>
      <c r="E5356" s="123">
        <v>1</v>
      </c>
      <c r="F5356" s="9"/>
      <c r="G5356" s="8">
        <f t="shared" ref="G5356:G5395" si="162">H5356+(H5356*5%)</f>
        <v>2.16615</v>
      </c>
      <c r="H5356" s="168">
        <v>2.0630000000000002</v>
      </c>
      <c r="I5356" s="19">
        <f t="shared" ref="I5356:I5395" si="163">G5356*F5356</f>
        <v>0</v>
      </c>
    </row>
    <row r="5357" spans="1:9" hidden="1">
      <c r="A5357" s="49" t="s">
        <v>8760</v>
      </c>
      <c r="B5357" s="5">
        <v>217074</v>
      </c>
      <c r="C5357" s="122" t="s">
        <v>9149</v>
      </c>
      <c r="D5357" s="5"/>
      <c r="E5357" s="123">
        <v>1</v>
      </c>
      <c r="F5357" s="9"/>
      <c r="G5357" s="8">
        <f t="shared" si="162"/>
        <v>2.3037000000000001</v>
      </c>
      <c r="H5357" s="168">
        <v>2.194</v>
      </c>
      <c r="I5357" s="19">
        <f t="shared" si="163"/>
        <v>0</v>
      </c>
    </row>
    <row r="5358" spans="1:9" hidden="1">
      <c r="A5358" s="49" t="s">
        <v>8760</v>
      </c>
      <c r="B5358" s="5">
        <v>217075</v>
      </c>
      <c r="C5358" s="122" t="s">
        <v>9150</v>
      </c>
      <c r="D5358" s="5"/>
      <c r="E5358" s="123">
        <v>1</v>
      </c>
      <c r="F5358" s="9"/>
      <c r="G5358" s="8">
        <f t="shared" si="162"/>
        <v>2.3037000000000001</v>
      </c>
      <c r="H5358" s="165">
        <v>2.194</v>
      </c>
      <c r="I5358" s="19">
        <f t="shared" si="163"/>
        <v>0</v>
      </c>
    </row>
    <row r="5359" spans="1:9" hidden="1">
      <c r="A5359" s="49" t="s">
        <v>8760</v>
      </c>
      <c r="B5359" s="5">
        <v>217081</v>
      </c>
      <c r="C5359" s="122" t="s">
        <v>9154</v>
      </c>
      <c r="D5359" s="5"/>
      <c r="E5359" s="123">
        <v>1</v>
      </c>
      <c r="F5359" s="9"/>
      <c r="G5359" s="8">
        <f t="shared" si="162"/>
        <v>1.9236</v>
      </c>
      <c r="H5359" s="165">
        <v>1.8320000000000001</v>
      </c>
      <c r="I5359" s="19">
        <f t="shared" si="163"/>
        <v>0</v>
      </c>
    </row>
    <row r="5360" spans="1:9" hidden="1">
      <c r="A5360" s="49" t="s">
        <v>8760</v>
      </c>
      <c r="B5360" s="5">
        <v>217082</v>
      </c>
      <c r="C5360" s="122" t="s">
        <v>9155</v>
      </c>
      <c r="D5360" s="5"/>
      <c r="E5360" s="123">
        <v>1</v>
      </c>
      <c r="F5360" s="9"/>
      <c r="G5360" s="8">
        <f t="shared" si="162"/>
        <v>2.8812000000000002</v>
      </c>
      <c r="H5360" s="165">
        <v>2.7440000000000002</v>
      </c>
      <c r="I5360" s="19">
        <f t="shared" si="163"/>
        <v>0</v>
      </c>
    </row>
    <row r="5361" spans="1:9" hidden="1">
      <c r="A5361" s="49" t="s">
        <v>8760</v>
      </c>
      <c r="B5361" s="5">
        <v>217083</v>
      </c>
      <c r="C5361" s="122" t="s">
        <v>9156</v>
      </c>
      <c r="D5361" s="5"/>
      <c r="E5361" s="123">
        <v>1</v>
      </c>
      <c r="F5361" s="9"/>
      <c r="G5361" s="8">
        <f t="shared" si="162"/>
        <v>2.8812000000000002</v>
      </c>
      <c r="H5361" s="165">
        <v>2.7440000000000002</v>
      </c>
      <c r="I5361" s="19">
        <f t="shared" si="163"/>
        <v>0</v>
      </c>
    </row>
    <row r="5362" spans="1:9" hidden="1">
      <c r="A5362" s="49" t="s">
        <v>8760</v>
      </c>
      <c r="B5362" s="5">
        <v>217084</v>
      </c>
      <c r="C5362" s="122" t="s">
        <v>9157</v>
      </c>
      <c r="D5362" s="5"/>
      <c r="E5362" s="123">
        <v>1</v>
      </c>
      <c r="F5362" s="9"/>
      <c r="G5362" s="8">
        <f t="shared" si="162"/>
        <v>2.5914000000000001</v>
      </c>
      <c r="H5362" s="165">
        <v>2.468</v>
      </c>
      <c r="I5362" s="19">
        <f t="shared" si="163"/>
        <v>0</v>
      </c>
    </row>
    <row r="5363" spans="1:9" hidden="1">
      <c r="A5363" s="49" t="s">
        <v>8760</v>
      </c>
      <c r="B5363" s="5">
        <v>217091</v>
      </c>
      <c r="C5363" s="122" t="s">
        <v>9162</v>
      </c>
      <c r="D5363" s="5"/>
      <c r="E5363" s="123">
        <v>1</v>
      </c>
      <c r="F5363" s="9"/>
      <c r="G5363" s="8">
        <f t="shared" si="162"/>
        <v>4.5696000000000003</v>
      </c>
      <c r="H5363" s="165">
        <v>4.3520000000000003</v>
      </c>
      <c r="I5363" s="19">
        <f t="shared" si="163"/>
        <v>0</v>
      </c>
    </row>
    <row r="5364" spans="1:9" hidden="1">
      <c r="A5364" s="49" t="s">
        <v>8760</v>
      </c>
      <c r="B5364" s="5">
        <v>217092</v>
      </c>
      <c r="C5364" s="122" t="s">
        <v>9163</v>
      </c>
      <c r="D5364" s="5"/>
      <c r="E5364" s="123">
        <v>1</v>
      </c>
      <c r="F5364" s="9"/>
      <c r="G5364" s="8">
        <f t="shared" si="162"/>
        <v>4.3753500000000001</v>
      </c>
      <c r="H5364" s="165">
        <v>4.1669999999999998</v>
      </c>
      <c r="I5364" s="19">
        <f t="shared" si="163"/>
        <v>0</v>
      </c>
    </row>
    <row r="5365" spans="1:9" hidden="1">
      <c r="A5365" s="49" t="s">
        <v>8760</v>
      </c>
      <c r="B5365" s="5">
        <v>217093</v>
      </c>
      <c r="C5365" s="122" t="s">
        <v>9164</v>
      </c>
      <c r="D5365" s="5"/>
      <c r="E5365" s="123">
        <v>1</v>
      </c>
      <c r="F5365" s="9"/>
      <c r="G5365" s="8">
        <f t="shared" si="162"/>
        <v>4.3753500000000001</v>
      </c>
      <c r="H5365" s="165">
        <v>4.1669999999999998</v>
      </c>
      <c r="I5365" s="19">
        <f t="shared" si="163"/>
        <v>0</v>
      </c>
    </row>
    <row r="5366" spans="1:9" hidden="1">
      <c r="A5366" s="49" t="s">
        <v>8760</v>
      </c>
      <c r="B5366" s="5">
        <v>217094</v>
      </c>
      <c r="C5366" s="122" t="s">
        <v>9165</v>
      </c>
      <c r="D5366" s="5"/>
      <c r="E5366" s="123">
        <v>1</v>
      </c>
      <c r="F5366" s="9"/>
      <c r="G5366" s="8">
        <f t="shared" si="162"/>
        <v>4.6682999999999995</v>
      </c>
      <c r="H5366" s="165">
        <v>4.4459999999999997</v>
      </c>
      <c r="I5366" s="19">
        <f t="shared" si="163"/>
        <v>0</v>
      </c>
    </row>
    <row r="5367" spans="1:9" hidden="1">
      <c r="A5367" s="49" t="s">
        <v>8760</v>
      </c>
      <c r="B5367" s="5">
        <v>217095</v>
      </c>
      <c r="C5367" s="122" t="s">
        <v>9166</v>
      </c>
      <c r="D5367" s="5"/>
      <c r="E5367" s="123">
        <v>1</v>
      </c>
      <c r="F5367" s="9"/>
      <c r="G5367" s="8">
        <f t="shared" si="162"/>
        <v>4.6682999999999995</v>
      </c>
      <c r="H5367" s="165">
        <v>4.4459999999999997</v>
      </c>
      <c r="I5367" s="19">
        <f t="shared" si="163"/>
        <v>0</v>
      </c>
    </row>
    <row r="5368" spans="1:9" hidden="1">
      <c r="A5368" s="49" t="s">
        <v>8760</v>
      </c>
      <c r="B5368" s="5">
        <v>217100</v>
      </c>
      <c r="C5368" s="122" t="s">
        <v>9167</v>
      </c>
      <c r="D5368" s="5"/>
      <c r="E5368" s="123">
        <v>1</v>
      </c>
      <c r="F5368" s="9"/>
      <c r="G5368" s="8">
        <f t="shared" si="162"/>
        <v>2.4853499999999999</v>
      </c>
      <c r="H5368" s="165">
        <v>2.367</v>
      </c>
      <c r="I5368" s="19">
        <f t="shared" si="163"/>
        <v>0</v>
      </c>
    </row>
    <row r="5369" spans="1:9" hidden="1">
      <c r="A5369" s="49" t="s">
        <v>8760</v>
      </c>
      <c r="B5369" s="5">
        <v>217101</v>
      </c>
      <c r="C5369" s="122" t="s">
        <v>9168</v>
      </c>
      <c r="D5369" s="5"/>
      <c r="E5369" s="123">
        <v>1</v>
      </c>
      <c r="F5369" s="9"/>
      <c r="G5369" s="8">
        <f t="shared" si="162"/>
        <v>2.4853499999999999</v>
      </c>
      <c r="H5369" s="165">
        <v>2.367</v>
      </c>
      <c r="I5369" s="19">
        <f t="shared" si="163"/>
        <v>0</v>
      </c>
    </row>
    <row r="5370" spans="1:9" hidden="1">
      <c r="A5370" s="49" t="s">
        <v>8760</v>
      </c>
      <c r="B5370" s="5">
        <v>217102</v>
      </c>
      <c r="C5370" s="122" t="s">
        <v>9169</v>
      </c>
      <c r="D5370" s="5"/>
      <c r="E5370" s="123">
        <v>1</v>
      </c>
      <c r="F5370" s="9"/>
      <c r="G5370" s="8">
        <f t="shared" si="162"/>
        <v>3.59205</v>
      </c>
      <c r="H5370" s="165">
        <v>3.4209999999999998</v>
      </c>
      <c r="I5370" s="19">
        <f t="shared" si="163"/>
        <v>0</v>
      </c>
    </row>
    <row r="5371" spans="1:9" hidden="1">
      <c r="A5371" s="49" t="s">
        <v>8760</v>
      </c>
      <c r="B5371" s="5">
        <v>217103</v>
      </c>
      <c r="C5371" s="122" t="s">
        <v>9170</v>
      </c>
      <c r="D5371" s="5"/>
      <c r="E5371" s="123">
        <v>1</v>
      </c>
      <c r="F5371" s="9"/>
      <c r="G5371" s="8">
        <f t="shared" si="162"/>
        <v>3.59205</v>
      </c>
      <c r="H5371" s="165">
        <v>3.4209999999999998</v>
      </c>
      <c r="I5371" s="19">
        <f t="shared" si="163"/>
        <v>0</v>
      </c>
    </row>
    <row r="5372" spans="1:9" hidden="1">
      <c r="A5372" s="49" t="s">
        <v>8760</v>
      </c>
      <c r="B5372" s="5">
        <v>217104</v>
      </c>
      <c r="C5372" s="122" t="s">
        <v>9171</v>
      </c>
      <c r="D5372" s="5"/>
      <c r="E5372" s="123">
        <v>1</v>
      </c>
      <c r="F5372" s="9"/>
      <c r="G5372" s="8">
        <f t="shared" si="162"/>
        <v>2.6522999999999999</v>
      </c>
      <c r="H5372" s="165">
        <v>2.5259999999999998</v>
      </c>
      <c r="I5372" s="19">
        <f t="shared" si="163"/>
        <v>0</v>
      </c>
    </row>
    <row r="5373" spans="1:9" hidden="1">
      <c r="A5373" s="49" t="s">
        <v>8760</v>
      </c>
      <c r="B5373" s="5">
        <v>217105</v>
      </c>
      <c r="C5373" s="122" t="s">
        <v>9172</v>
      </c>
      <c r="D5373" s="5"/>
      <c r="E5373" s="123">
        <v>1</v>
      </c>
      <c r="F5373" s="9"/>
      <c r="G5373" s="8">
        <f t="shared" si="162"/>
        <v>2.6522999999999999</v>
      </c>
      <c r="H5373" s="165">
        <v>2.5259999999999998</v>
      </c>
      <c r="I5373" s="19">
        <f t="shared" si="163"/>
        <v>0</v>
      </c>
    </row>
    <row r="5374" spans="1:9" hidden="1">
      <c r="A5374" s="49" t="s">
        <v>8760</v>
      </c>
      <c r="B5374" s="5">
        <v>217106</v>
      </c>
      <c r="C5374" s="122" t="s">
        <v>9173</v>
      </c>
      <c r="D5374" s="5"/>
      <c r="E5374" s="123">
        <v>1</v>
      </c>
      <c r="F5374" s="9"/>
      <c r="G5374" s="8">
        <f t="shared" si="162"/>
        <v>3.8955000000000002</v>
      </c>
      <c r="H5374" s="165">
        <v>3.71</v>
      </c>
      <c r="I5374" s="19">
        <f t="shared" si="163"/>
        <v>0</v>
      </c>
    </row>
    <row r="5375" spans="1:9" hidden="1">
      <c r="A5375" s="49" t="s">
        <v>8760</v>
      </c>
      <c r="B5375" s="5">
        <v>217107</v>
      </c>
      <c r="C5375" s="122" t="s">
        <v>9174</v>
      </c>
      <c r="D5375" s="5"/>
      <c r="E5375" s="123">
        <v>1</v>
      </c>
      <c r="F5375" s="9"/>
      <c r="G5375" s="8">
        <f t="shared" si="162"/>
        <v>3.8955000000000002</v>
      </c>
      <c r="H5375" s="165">
        <v>3.71</v>
      </c>
      <c r="I5375" s="19">
        <f t="shared" si="163"/>
        <v>0</v>
      </c>
    </row>
    <row r="5376" spans="1:9" hidden="1">
      <c r="A5376" s="49" t="s">
        <v>8760</v>
      </c>
      <c r="B5376" s="5">
        <v>217108</v>
      </c>
      <c r="C5376" s="122" t="s">
        <v>9175</v>
      </c>
      <c r="D5376" s="5"/>
      <c r="E5376" s="123">
        <v>1</v>
      </c>
      <c r="F5376" s="9"/>
      <c r="G5376" s="8">
        <f t="shared" si="162"/>
        <v>2.3929499999999999</v>
      </c>
      <c r="H5376" s="165">
        <v>2.2789999999999999</v>
      </c>
      <c r="I5376" s="19">
        <f t="shared" si="163"/>
        <v>0</v>
      </c>
    </row>
    <row r="5377" spans="1:9" hidden="1">
      <c r="A5377" s="49" t="s">
        <v>8760</v>
      </c>
      <c r="B5377" s="5">
        <v>217109</v>
      </c>
      <c r="C5377" s="122" t="s">
        <v>9176</v>
      </c>
      <c r="D5377" s="5"/>
      <c r="E5377" s="123">
        <v>1</v>
      </c>
      <c r="F5377" s="9"/>
      <c r="G5377" s="8">
        <f t="shared" si="162"/>
        <v>2.3929499999999999</v>
      </c>
      <c r="H5377" s="165">
        <v>2.2789999999999999</v>
      </c>
      <c r="I5377" s="19">
        <f t="shared" si="163"/>
        <v>0</v>
      </c>
    </row>
    <row r="5378" spans="1:9" hidden="1">
      <c r="A5378" s="49" t="s">
        <v>8760</v>
      </c>
      <c r="B5378" s="5">
        <v>217110</v>
      </c>
      <c r="C5378" s="122" t="s">
        <v>9177</v>
      </c>
      <c r="D5378" s="5"/>
      <c r="E5378" s="123">
        <v>1</v>
      </c>
      <c r="F5378" s="9"/>
      <c r="G5378" s="8">
        <f t="shared" si="162"/>
        <v>1.2389999999999999</v>
      </c>
      <c r="H5378" s="165">
        <v>1.18</v>
      </c>
      <c r="I5378" s="19">
        <f t="shared" si="163"/>
        <v>0</v>
      </c>
    </row>
    <row r="5379" spans="1:9" hidden="1">
      <c r="A5379" s="49" t="s">
        <v>8760</v>
      </c>
      <c r="B5379" s="5">
        <v>217111</v>
      </c>
      <c r="C5379" s="122" t="s">
        <v>9178</v>
      </c>
      <c r="D5379" s="5"/>
      <c r="E5379" s="123">
        <v>1</v>
      </c>
      <c r="F5379" s="9"/>
      <c r="G5379" s="8">
        <f t="shared" si="162"/>
        <v>1.2389999999999999</v>
      </c>
      <c r="H5379" s="165">
        <v>1.18</v>
      </c>
      <c r="I5379" s="19">
        <f t="shared" si="163"/>
        <v>0</v>
      </c>
    </row>
    <row r="5380" spans="1:9" hidden="1">
      <c r="A5380" s="49" t="s">
        <v>8760</v>
      </c>
      <c r="B5380" s="5">
        <v>217124</v>
      </c>
      <c r="C5380" s="122" t="s">
        <v>9179</v>
      </c>
      <c r="D5380" s="5"/>
      <c r="E5380" s="123">
        <v>1</v>
      </c>
      <c r="F5380" s="9"/>
      <c r="G5380" s="8">
        <f t="shared" si="162"/>
        <v>2.8644000000000003</v>
      </c>
      <c r="H5380" s="165">
        <v>2.7280000000000002</v>
      </c>
      <c r="I5380" s="19">
        <f t="shared" si="163"/>
        <v>0</v>
      </c>
    </row>
    <row r="5381" spans="1:9" hidden="1">
      <c r="A5381" s="49" t="s">
        <v>8760</v>
      </c>
      <c r="B5381" s="5">
        <v>217126</v>
      </c>
      <c r="C5381" s="122" t="s">
        <v>9180</v>
      </c>
      <c r="D5381" s="5"/>
      <c r="E5381" s="123">
        <v>1</v>
      </c>
      <c r="F5381" s="9"/>
      <c r="G5381" s="8">
        <f t="shared" si="162"/>
        <v>3.59205</v>
      </c>
      <c r="H5381" s="165">
        <v>3.4209999999999998</v>
      </c>
      <c r="I5381" s="19">
        <f t="shared" si="163"/>
        <v>0</v>
      </c>
    </row>
    <row r="5382" spans="1:9" hidden="1">
      <c r="A5382" s="49" t="s">
        <v>8760</v>
      </c>
      <c r="B5382" s="5">
        <v>217129</v>
      </c>
      <c r="C5382" s="122" t="s">
        <v>9181</v>
      </c>
      <c r="D5382" s="5"/>
      <c r="E5382" s="123">
        <v>1</v>
      </c>
      <c r="F5382" s="9"/>
      <c r="G5382" s="8">
        <f t="shared" si="162"/>
        <v>4.3344000000000005</v>
      </c>
      <c r="H5382" s="165">
        <v>4.1280000000000001</v>
      </c>
      <c r="I5382" s="19">
        <f t="shared" si="163"/>
        <v>0</v>
      </c>
    </row>
    <row r="5383" spans="1:9" hidden="1">
      <c r="A5383" s="49" t="s">
        <v>8760</v>
      </c>
      <c r="B5383" s="5">
        <v>217130</v>
      </c>
      <c r="C5383" s="122" t="s">
        <v>9182</v>
      </c>
      <c r="D5383" s="5"/>
      <c r="E5383" s="123">
        <v>1</v>
      </c>
      <c r="F5383" s="9"/>
      <c r="G5383" s="8">
        <f t="shared" si="162"/>
        <v>5.2899000000000003</v>
      </c>
      <c r="H5383" s="165">
        <v>5.0380000000000003</v>
      </c>
      <c r="I5383" s="19">
        <f t="shared" si="163"/>
        <v>0</v>
      </c>
    </row>
    <row r="5384" spans="1:9" hidden="1">
      <c r="A5384" s="49" t="s">
        <v>8760</v>
      </c>
      <c r="B5384" s="5">
        <v>217148</v>
      </c>
      <c r="C5384" s="122" t="s">
        <v>9183</v>
      </c>
      <c r="D5384" s="5"/>
      <c r="E5384" s="123">
        <v>1</v>
      </c>
      <c r="F5384" s="9"/>
      <c r="G5384" s="8">
        <f t="shared" si="162"/>
        <v>5.1523500000000002</v>
      </c>
      <c r="H5384" s="165">
        <v>4.907</v>
      </c>
      <c r="I5384" s="19">
        <f t="shared" si="163"/>
        <v>0</v>
      </c>
    </row>
    <row r="5385" spans="1:9" hidden="1">
      <c r="A5385" s="49" t="s">
        <v>8760</v>
      </c>
      <c r="B5385" s="5">
        <v>217149</v>
      </c>
      <c r="C5385" s="122" t="s">
        <v>9184</v>
      </c>
      <c r="D5385" s="5"/>
      <c r="E5385" s="123">
        <v>1</v>
      </c>
      <c r="F5385" s="9"/>
      <c r="G5385" s="8">
        <f t="shared" si="162"/>
        <v>5.2899000000000003</v>
      </c>
      <c r="H5385" s="165">
        <v>5.0380000000000003</v>
      </c>
      <c r="I5385" s="19">
        <f t="shared" si="163"/>
        <v>0</v>
      </c>
    </row>
    <row r="5386" spans="1:9" hidden="1">
      <c r="A5386" s="49" t="s">
        <v>8760</v>
      </c>
      <c r="B5386" s="5">
        <v>217150</v>
      </c>
      <c r="C5386" s="122" t="s">
        <v>9185</v>
      </c>
      <c r="D5386" s="5"/>
      <c r="E5386" s="123">
        <v>1</v>
      </c>
      <c r="F5386" s="9"/>
      <c r="G5386" s="8">
        <f t="shared" si="162"/>
        <v>6.4260000000000002</v>
      </c>
      <c r="H5386" s="165">
        <v>6.12</v>
      </c>
      <c r="I5386" s="19">
        <f t="shared" si="163"/>
        <v>0</v>
      </c>
    </row>
    <row r="5387" spans="1:9" hidden="1">
      <c r="A5387" s="49" t="s">
        <v>8760</v>
      </c>
      <c r="B5387" s="5">
        <v>217151</v>
      </c>
      <c r="C5387" s="122" t="s">
        <v>9186</v>
      </c>
      <c r="D5387" s="5"/>
      <c r="E5387" s="123">
        <v>1</v>
      </c>
      <c r="F5387" s="9"/>
      <c r="G5387" s="8">
        <f t="shared" si="162"/>
        <v>7.7143500000000005</v>
      </c>
      <c r="H5387" s="165">
        <v>7.3470000000000004</v>
      </c>
      <c r="I5387" s="19">
        <f t="shared" si="163"/>
        <v>0</v>
      </c>
    </row>
    <row r="5388" spans="1:9" hidden="1">
      <c r="A5388" s="49" t="s">
        <v>8760</v>
      </c>
      <c r="B5388" s="5" t="s">
        <v>9187</v>
      </c>
      <c r="C5388" s="122" t="s">
        <v>9188</v>
      </c>
      <c r="D5388" s="5"/>
      <c r="E5388" s="123">
        <v>1</v>
      </c>
      <c r="F5388" s="9"/>
      <c r="G5388" s="8">
        <f t="shared" si="162"/>
        <v>6.4470000000000001</v>
      </c>
      <c r="H5388" s="165">
        <v>6.14</v>
      </c>
      <c r="I5388" s="19">
        <f t="shared" si="163"/>
        <v>0</v>
      </c>
    </row>
    <row r="5389" spans="1:9" hidden="1">
      <c r="A5389" s="49" t="s">
        <v>8760</v>
      </c>
      <c r="B5389" s="5" t="s">
        <v>9189</v>
      </c>
      <c r="C5389" s="122" t="s">
        <v>9190</v>
      </c>
      <c r="D5389" s="5"/>
      <c r="E5389" s="123">
        <v>1</v>
      </c>
      <c r="F5389" s="9"/>
      <c r="G5389" s="8">
        <f t="shared" si="162"/>
        <v>23.1525</v>
      </c>
      <c r="H5389" s="165">
        <v>22.05</v>
      </c>
      <c r="I5389" s="19">
        <f t="shared" si="163"/>
        <v>0</v>
      </c>
    </row>
    <row r="5390" spans="1:9" hidden="1">
      <c r="A5390" s="49" t="s">
        <v>8760</v>
      </c>
      <c r="B5390" s="5" t="s">
        <v>9191</v>
      </c>
      <c r="C5390" s="122" t="s">
        <v>9192</v>
      </c>
      <c r="D5390" s="5"/>
      <c r="E5390" s="123">
        <v>1</v>
      </c>
      <c r="F5390" s="9"/>
      <c r="G5390" s="8">
        <f t="shared" si="162"/>
        <v>9.9718499999999999</v>
      </c>
      <c r="H5390" s="165">
        <v>9.4969999999999999</v>
      </c>
      <c r="I5390" s="19">
        <f t="shared" si="163"/>
        <v>0</v>
      </c>
    </row>
    <row r="5391" spans="1:9" hidden="1">
      <c r="A5391" s="49" t="s">
        <v>8760</v>
      </c>
      <c r="B5391" s="5" t="s">
        <v>9193</v>
      </c>
      <c r="C5391" s="122" t="s">
        <v>9194</v>
      </c>
      <c r="D5391" s="5"/>
      <c r="E5391" s="123">
        <v>1</v>
      </c>
      <c r="F5391" s="9"/>
      <c r="G5391" s="8">
        <f t="shared" si="162"/>
        <v>10.554599999999999</v>
      </c>
      <c r="H5391" s="165">
        <v>10.052</v>
      </c>
      <c r="I5391" s="19">
        <f t="shared" si="163"/>
        <v>0</v>
      </c>
    </row>
    <row r="5392" spans="1:9" hidden="1">
      <c r="A5392" s="49" t="s">
        <v>8760</v>
      </c>
      <c r="B5392" s="5" t="s">
        <v>9195</v>
      </c>
      <c r="C5392" s="122" t="s">
        <v>9196</v>
      </c>
      <c r="D5392" s="5"/>
      <c r="E5392" s="123">
        <v>1</v>
      </c>
      <c r="F5392" s="9"/>
      <c r="G5392" s="8">
        <f t="shared" si="162"/>
        <v>12.6777</v>
      </c>
      <c r="H5392" s="165">
        <v>12.074</v>
      </c>
      <c r="I5392" s="19">
        <f t="shared" si="163"/>
        <v>0</v>
      </c>
    </row>
    <row r="5393" spans="1:9" hidden="1">
      <c r="A5393" s="49" t="s">
        <v>8760</v>
      </c>
      <c r="B5393" s="5" t="s">
        <v>9197</v>
      </c>
      <c r="C5393" s="122" t="s">
        <v>9198</v>
      </c>
      <c r="D5393" s="5"/>
      <c r="E5393" s="123">
        <v>1</v>
      </c>
      <c r="F5393" s="9"/>
      <c r="G5393" s="8">
        <f t="shared" si="162"/>
        <v>16.902899999999999</v>
      </c>
      <c r="H5393" s="165">
        <v>16.097999999999999</v>
      </c>
      <c r="I5393" s="19">
        <f t="shared" si="163"/>
        <v>0</v>
      </c>
    </row>
    <row r="5394" spans="1:9" hidden="1">
      <c r="A5394" s="49" t="s">
        <v>8760</v>
      </c>
      <c r="B5394" s="5" t="s">
        <v>9199</v>
      </c>
      <c r="C5394" s="122" t="s">
        <v>9200</v>
      </c>
      <c r="D5394" s="5"/>
      <c r="E5394" s="123">
        <v>1</v>
      </c>
      <c r="F5394" s="9"/>
      <c r="G5394" s="8">
        <f t="shared" si="162"/>
        <v>20.709149999999998</v>
      </c>
      <c r="H5394" s="165">
        <v>19.722999999999999</v>
      </c>
      <c r="I5394" s="19">
        <f t="shared" si="163"/>
        <v>0</v>
      </c>
    </row>
    <row r="5395" spans="1:9" hidden="1">
      <c r="A5395" s="49" t="s">
        <v>8760</v>
      </c>
      <c r="B5395" s="5" t="s">
        <v>9201</v>
      </c>
      <c r="C5395" s="122" t="s">
        <v>9202</v>
      </c>
      <c r="D5395" s="5"/>
      <c r="E5395" s="123">
        <v>1</v>
      </c>
      <c r="F5395" s="9"/>
      <c r="G5395" s="8">
        <f t="shared" si="162"/>
        <v>25.354349999999997</v>
      </c>
      <c r="H5395" s="165">
        <v>24.146999999999998</v>
      </c>
      <c r="I5395" s="19">
        <f t="shared" si="163"/>
        <v>0</v>
      </c>
    </row>
    <row r="5396" spans="1:9" hidden="1">
      <c r="A5396" s="49" t="s">
        <v>8760</v>
      </c>
      <c r="B5396" s="5" t="s">
        <v>9203</v>
      </c>
      <c r="C5396" s="122" t="s">
        <v>9204</v>
      </c>
      <c r="D5396" s="5"/>
      <c r="E5396" s="123">
        <v>1</v>
      </c>
      <c r="F5396" s="9"/>
      <c r="G5396" s="8">
        <f t="shared" ref="G5396:G5459" si="164">H5396+(H5396*5%)</f>
        <v>20.440349999999999</v>
      </c>
      <c r="H5396" s="165">
        <v>19.466999999999999</v>
      </c>
      <c r="I5396" s="19">
        <f t="shared" ref="I5396:I5459" si="165">G5396*F5396</f>
        <v>0</v>
      </c>
    </row>
    <row r="5397" spans="1:9" hidden="1">
      <c r="A5397" s="49" t="s">
        <v>8760</v>
      </c>
      <c r="B5397" s="5" t="s">
        <v>9205</v>
      </c>
      <c r="C5397" s="122" t="s">
        <v>9206</v>
      </c>
      <c r="D5397" s="5"/>
      <c r="E5397" s="123">
        <v>1</v>
      </c>
      <c r="F5397" s="9"/>
      <c r="G5397" s="8">
        <f t="shared" si="164"/>
        <v>30.295650000000002</v>
      </c>
      <c r="H5397" s="165">
        <v>28.853000000000002</v>
      </c>
      <c r="I5397" s="19">
        <f t="shared" si="165"/>
        <v>0</v>
      </c>
    </row>
    <row r="5398" spans="1:9" hidden="1">
      <c r="A5398" s="49" t="s">
        <v>8760</v>
      </c>
      <c r="B5398" s="5" t="s">
        <v>9207</v>
      </c>
      <c r="C5398" s="122" t="s">
        <v>9208</v>
      </c>
      <c r="D5398" s="5"/>
      <c r="E5398" s="123">
        <v>1</v>
      </c>
      <c r="F5398" s="9"/>
      <c r="G5398" s="8">
        <f t="shared" si="164"/>
        <v>40.578299999999999</v>
      </c>
      <c r="H5398" s="165">
        <v>38.646000000000001</v>
      </c>
      <c r="I5398" s="19">
        <f t="shared" si="165"/>
        <v>0</v>
      </c>
    </row>
    <row r="5399" spans="1:9" hidden="1">
      <c r="A5399" s="49" t="s">
        <v>8760</v>
      </c>
      <c r="B5399" s="5" t="s">
        <v>9209</v>
      </c>
      <c r="C5399" s="122" t="s">
        <v>9210</v>
      </c>
      <c r="D5399" s="5"/>
      <c r="E5399" s="123">
        <v>1</v>
      </c>
      <c r="F5399" s="9"/>
      <c r="G5399" s="8">
        <f t="shared" si="164"/>
        <v>14.2212</v>
      </c>
      <c r="H5399" s="165">
        <v>13.544</v>
      </c>
      <c r="I5399" s="19">
        <f t="shared" si="165"/>
        <v>0</v>
      </c>
    </row>
    <row r="5400" spans="1:9" hidden="1">
      <c r="A5400" s="49" t="s">
        <v>8760</v>
      </c>
      <c r="B5400" s="5" t="s">
        <v>9211</v>
      </c>
      <c r="C5400" s="122" t="s">
        <v>9212</v>
      </c>
      <c r="D5400" s="5"/>
      <c r="E5400" s="123">
        <v>1</v>
      </c>
      <c r="F5400" s="9"/>
      <c r="G5400" s="8">
        <f t="shared" si="164"/>
        <v>14.7819</v>
      </c>
      <c r="H5400" s="165">
        <v>14.077999999999999</v>
      </c>
      <c r="I5400" s="19">
        <f t="shared" si="165"/>
        <v>0</v>
      </c>
    </row>
    <row r="5401" spans="1:9" hidden="1">
      <c r="A5401" s="49" t="s">
        <v>8760</v>
      </c>
      <c r="B5401" s="5" t="s">
        <v>9213</v>
      </c>
      <c r="C5401" s="122" t="s">
        <v>9214</v>
      </c>
      <c r="D5401" s="5"/>
      <c r="E5401" s="123">
        <v>1</v>
      </c>
      <c r="F5401" s="9"/>
      <c r="G5401" s="8">
        <f t="shared" si="164"/>
        <v>17.5791</v>
      </c>
      <c r="H5401" s="165">
        <v>16.742000000000001</v>
      </c>
      <c r="I5401" s="19">
        <f t="shared" si="165"/>
        <v>0</v>
      </c>
    </row>
    <row r="5402" spans="1:9">
      <c r="A5402" s="49" t="s">
        <v>8760</v>
      </c>
      <c r="B5402" s="5" t="s">
        <v>9215</v>
      </c>
      <c r="C5402" s="122" t="s">
        <v>9216</v>
      </c>
      <c r="D5402" s="5"/>
      <c r="E5402" s="123">
        <v>1</v>
      </c>
      <c r="F5402" s="9">
        <v>55</v>
      </c>
      <c r="G5402" s="8">
        <f t="shared" si="164"/>
        <v>20.9727</v>
      </c>
      <c r="H5402" s="165">
        <v>19.974</v>
      </c>
      <c r="I5402" s="19">
        <f t="shared" si="165"/>
        <v>1153.4984999999999</v>
      </c>
    </row>
    <row r="5403" spans="1:9" hidden="1">
      <c r="A5403" s="49" t="s">
        <v>8760</v>
      </c>
      <c r="B5403" s="5" t="s">
        <v>9217</v>
      </c>
      <c r="C5403" s="122" t="s">
        <v>9218</v>
      </c>
      <c r="D5403" s="5"/>
      <c r="E5403" s="123">
        <v>1</v>
      </c>
      <c r="F5403" s="9"/>
      <c r="G5403" s="8">
        <f t="shared" si="164"/>
        <v>23.855999999999998</v>
      </c>
      <c r="H5403" s="165">
        <v>22.72</v>
      </c>
      <c r="I5403" s="19">
        <f t="shared" si="165"/>
        <v>0</v>
      </c>
    </row>
    <row r="5404" spans="1:9" hidden="1">
      <c r="A5404" s="49" t="s">
        <v>8760</v>
      </c>
      <c r="B5404" s="5" t="s">
        <v>9219</v>
      </c>
      <c r="C5404" s="122" t="s">
        <v>9220</v>
      </c>
      <c r="D5404" s="5"/>
      <c r="E5404" s="123">
        <v>1</v>
      </c>
      <c r="F5404" s="9"/>
      <c r="G5404" s="8">
        <f t="shared" si="164"/>
        <v>26.7393</v>
      </c>
      <c r="H5404" s="165">
        <v>25.466000000000001</v>
      </c>
      <c r="I5404" s="19">
        <f t="shared" si="165"/>
        <v>0</v>
      </c>
    </row>
    <row r="5405" spans="1:9" hidden="1">
      <c r="A5405" s="49" t="s">
        <v>8760</v>
      </c>
      <c r="B5405" s="5" t="s">
        <v>9221</v>
      </c>
      <c r="C5405" s="122" t="s">
        <v>9222</v>
      </c>
      <c r="D5405" s="5"/>
      <c r="E5405" s="123">
        <v>1</v>
      </c>
      <c r="F5405" s="9"/>
      <c r="G5405" s="8">
        <f t="shared" si="164"/>
        <v>29.622599999999998</v>
      </c>
      <c r="H5405" s="165">
        <v>28.212</v>
      </c>
      <c r="I5405" s="19">
        <f t="shared" si="165"/>
        <v>0</v>
      </c>
    </row>
    <row r="5406" spans="1:9" hidden="1">
      <c r="A5406" s="49" t="s">
        <v>8760</v>
      </c>
      <c r="B5406" s="5" t="s">
        <v>9223</v>
      </c>
      <c r="C5406" s="122" t="s">
        <v>9224</v>
      </c>
      <c r="D5406" s="5"/>
      <c r="E5406" s="123">
        <v>1</v>
      </c>
      <c r="F5406" s="9"/>
      <c r="G5406" s="8">
        <f t="shared" si="164"/>
        <v>32.505899999999997</v>
      </c>
      <c r="H5406" s="165">
        <v>30.957999999999998</v>
      </c>
      <c r="I5406" s="19">
        <f t="shared" si="165"/>
        <v>0</v>
      </c>
    </row>
    <row r="5407" spans="1:9" hidden="1">
      <c r="A5407" s="49" t="s">
        <v>8760</v>
      </c>
      <c r="B5407" s="5" t="s">
        <v>9225</v>
      </c>
      <c r="C5407" s="122" t="s">
        <v>9226</v>
      </c>
      <c r="D5407" s="5"/>
      <c r="E5407" s="123">
        <v>1</v>
      </c>
      <c r="F5407" s="9"/>
      <c r="G5407" s="8">
        <f t="shared" si="164"/>
        <v>35.389200000000002</v>
      </c>
      <c r="H5407" s="165">
        <v>33.704000000000001</v>
      </c>
      <c r="I5407" s="19">
        <f t="shared" si="165"/>
        <v>0</v>
      </c>
    </row>
    <row r="5408" spans="1:9" hidden="1">
      <c r="A5408" s="49" t="s">
        <v>8760</v>
      </c>
      <c r="B5408" s="5" t="s">
        <v>9227</v>
      </c>
      <c r="C5408" s="122" t="s">
        <v>9228</v>
      </c>
      <c r="D5408" s="5"/>
      <c r="E5408" s="123">
        <v>1</v>
      </c>
      <c r="F5408" s="9"/>
      <c r="G5408" s="8">
        <f t="shared" si="164"/>
        <v>22.89105</v>
      </c>
      <c r="H5408" s="165">
        <v>21.800999999999998</v>
      </c>
      <c r="I5408" s="19">
        <f t="shared" si="165"/>
        <v>0</v>
      </c>
    </row>
    <row r="5409" spans="1:9" hidden="1">
      <c r="A5409" s="49" t="s">
        <v>8760</v>
      </c>
      <c r="B5409" s="5" t="s">
        <v>9229</v>
      </c>
      <c r="C5409" s="122" t="s">
        <v>9230</v>
      </c>
      <c r="D5409" s="5"/>
      <c r="E5409" s="123">
        <v>1</v>
      </c>
      <c r="F5409" s="9"/>
      <c r="G5409" s="8">
        <f t="shared" si="164"/>
        <v>53.106900000000003</v>
      </c>
      <c r="H5409" s="165">
        <v>50.578000000000003</v>
      </c>
      <c r="I5409" s="19">
        <f t="shared" si="165"/>
        <v>0</v>
      </c>
    </row>
    <row r="5410" spans="1:9" hidden="1">
      <c r="A5410" s="49" t="s">
        <v>8760</v>
      </c>
      <c r="B5410" s="5" t="s">
        <v>9231</v>
      </c>
      <c r="C5410" s="122" t="s">
        <v>9232</v>
      </c>
      <c r="D5410" s="5"/>
      <c r="E5410" s="123">
        <v>1</v>
      </c>
      <c r="F5410" s="9"/>
      <c r="G5410" s="8">
        <f t="shared" si="164"/>
        <v>35.801850000000002</v>
      </c>
      <c r="H5410" s="165">
        <v>34.097000000000001</v>
      </c>
      <c r="I5410" s="19">
        <f t="shared" si="165"/>
        <v>0</v>
      </c>
    </row>
    <row r="5411" spans="1:9" hidden="1">
      <c r="A5411" s="49" t="s">
        <v>8760</v>
      </c>
      <c r="B5411" s="5" t="s">
        <v>9233</v>
      </c>
      <c r="C5411" s="122" t="s">
        <v>9234</v>
      </c>
      <c r="D5411" s="5"/>
      <c r="E5411" s="123">
        <v>1</v>
      </c>
      <c r="F5411" s="9"/>
      <c r="G5411" s="8">
        <f t="shared" si="164"/>
        <v>54.884550000000004</v>
      </c>
      <c r="H5411" s="165">
        <v>52.271000000000001</v>
      </c>
      <c r="I5411" s="19">
        <f t="shared" si="165"/>
        <v>0</v>
      </c>
    </row>
    <row r="5412" spans="1:9" hidden="1">
      <c r="A5412" s="49" t="s">
        <v>8760</v>
      </c>
      <c r="B5412" s="5" t="s">
        <v>9235</v>
      </c>
      <c r="C5412" s="122" t="s">
        <v>9236</v>
      </c>
      <c r="D5412" s="5"/>
      <c r="E5412" s="123">
        <v>1</v>
      </c>
      <c r="F5412" s="9"/>
      <c r="G5412" s="8">
        <f t="shared" si="164"/>
        <v>54.245100000000001</v>
      </c>
      <c r="H5412" s="165">
        <v>51.661999999999999</v>
      </c>
      <c r="I5412" s="19">
        <f t="shared" si="165"/>
        <v>0</v>
      </c>
    </row>
    <row r="5413" spans="1:9" hidden="1">
      <c r="A5413" s="49" t="s">
        <v>8760</v>
      </c>
      <c r="B5413" s="5" t="s">
        <v>9237</v>
      </c>
      <c r="C5413" s="122" t="s">
        <v>9238</v>
      </c>
      <c r="D5413" s="5"/>
      <c r="E5413" s="123">
        <v>1</v>
      </c>
      <c r="F5413" s="9"/>
      <c r="G5413" s="8">
        <f t="shared" si="164"/>
        <v>20.051850000000002</v>
      </c>
      <c r="H5413" s="165">
        <v>19.097000000000001</v>
      </c>
      <c r="I5413" s="19">
        <f t="shared" si="165"/>
        <v>0</v>
      </c>
    </row>
    <row r="5414" spans="1:9" hidden="1">
      <c r="A5414" s="49" t="s">
        <v>8760</v>
      </c>
      <c r="B5414" s="5" t="s">
        <v>9239</v>
      </c>
      <c r="C5414" s="122" t="s">
        <v>9240</v>
      </c>
      <c r="D5414" s="5"/>
      <c r="E5414" s="123">
        <v>1</v>
      </c>
      <c r="F5414" s="9"/>
      <c r="G5414" s="8">
        <f t="shared" si="164"/>
        <v>33.363749999999996</v>
      </c>
      <c r="H5414" s="165">
        <v>31.774999999999999</v>
      </c>
      <c r="I5414" s="19">
        <f t="shared" si="165"/>
        <v>0</v>
      </c>
    </row>
    <row r="5415" spans="1:9" hidden="1">
      <c r="A5415" s="49" t="s">
        <v>8760</v>
      </c>
      <c r="B5415" s="5" t="s">
        <v>9241</v>
      </c>
      <c r="C5415" s="122" t="s">
        <v>9242</v>
      </c>
      <c r="D5415" s="5"/>
      <c r="E5415" s="123">
        <v>1</v>
      </c>
      <c r="F5415" s="9"/>
      <c r="G5415" s="8">
        <f t="shared" si="164"/>
        <v>20.051850000000002</v>
      </c>
      <c r="H5415" s="165">
        <v>19.097000000000001</v>
      </c>
      <c r="I5415" s="19">
        <f t="shared" si="165"/>
        <v>0</v>
      </c>
    </row>
    <row r="5416" spans="1:9" hidden="1">
      <c r="A5416" s="49" t="s">
        <v>8760</v>
      </c>
      <c r="B5416" s="5" t="s">
        <v>9243</v>
      </c>
      <c r="C5416" s="122" t="s">
        <v>9244</v>
      </c>
      <c r="D5416" s="5"/>
      <c r="E5416" s="123">
        <v>1</v>
      </c>
      <c r="F5416" s="9"/>
      <c r="G5416" s="8">
        <f t="shared" si="164"/>
        <v>33.363749999999996</v>
      </c>
      <c r="H5416" s="165">
        <v>31.774999999999999</v>
      </c>
      <c r="I5416" s="19">
        <f t="shared" si="165"/>
        <v>0</v>
      </c>
    </row>
    <row r="5417" spans="1:9" hidden="1">
      <c r="A5417" s="49" t="s">
        <v>8760</v>
      </c>
      <c r="B5417" s="5" t="s">
        <v>9245</v>
      </c>
      <c r="C5417" s="122" t="s">
        <v>9246</v>
      </c>
      <c r="D5417" s="5"/>
      <c r="E5417" s="123">
        <v>1</v>
      </c>
      <c r="F5417" s="9"/>
      <c r="G5417" s="8">
        <f t="shared" si="164"/>
        <v>12.784800000000001</v>
      </c>
      <c r="H5417" s="165">
        <v>12.176</v>
      </c>
      <c r="I5417" s="19">
        <f t="shared" si="165"/>
        <v>0</v>
      </c>
    </row>
    <row r="5418" spans="1:9" hidden="1">
      <c r="A5418" s="49" t="s">
        <v>8760</v>
      </c>
      <c r="B5418" s="5" t="s">
        <v>9247</v>
      </c>
      <c r="C5418" s="122" t="s">
        <v>9248</v>
      </c>
      <c r="D5418" s="5"/>
      <c r="E5418" s="123">
        <v>1</v>
      </c>
      <c r="F5418" s="9"/>
      <c r="G5418" s="8">
        <f t="shared" si="164"/>
        <v>15.61875</v>
      </c>
      <c r="H5418" s="165">
        <v>14.875</v>
      </c>
      <c r="I5418" s="19">
        <f t="shared" si="165"/>
        <v>0</v>
      </c>
    </row>
    <row r="5419" spans="1:9" hidden="1">
      <c r="A5419" s="49" t="s">
        <v>8760</v>
      </c>
      <c r="B5419" s="5" t="s">
        <v>9249</v>
      </c>
      <c r="C5419" s="122" t="s">
        <v>9250</v>
      </c>
      <c r="D5419" s="5"/>
      <c r="E5419" s="123">
        <v>1</v>
      </c>
      <c r="F5419" s="9"/>
      <c r="G5419" s="8">
        <f t="shared" si="164"/>
        <v>18.205949999999998</v>
      </c>
      <c r="H5419" s="165">
        <v>17.338999999999999</v>
      </c>
      <c r="I5419" s="19">
        <f t="shared" si="165"/>
        <v>0</v>
      </c>
    </row>
    <row r="5420" spans="1:9" hidden="1">
      <c r="A5420" s="49" t="s">
        <v>8760</v>
      </c>
      <c r="B5420" s="5" t="s">
        <v>9251</v>
      </c>
      <c r="C5420" s="122" t="s">
        <v>9252</v>
      </c>
      <c r="D5420" s="5"/>
      <c r="E5420" s="123">
        <v>1</v>
      </c>
      <c r="F5420" s="9"/>
      <c r="G5420" s="8">
        <f t="shared" si="164"/>
        <v>21.171150000000001</v>
      </c>
      <c r="H5420" s="165">
        <v>20.163</v>
      </c>
      <c r="I5420" s="19">
        <f t="shared" si="165"/>
        <v>0</v>
      </c>
    </row>
    <row r="5421" spans="1:9" hidden="1">
      <c r="A5421" s="49" t="s">
        <v>8760</v>
      </c>
      <c r="B5421" s="5" t="s">
        <v>9253</v>
      </c>
      <c r="C5421" s="122" t="s">
        <v>9254</v>
      </c>
      <c r="D5421" s="5"/>
      <c r="E5421" s="123">
        <v>1</v>
      </c>
      <c r="F5421" s="9"/>
      <c r="G5421" s="8">
        <f t="shared" si="164"/>
        <v>24.276</v>
      </c>
      <c r="H5421" s="165">
        <v>23.12</v>
      </c>
      <c r="I5421" s="19">
        <f t="shared" si="165"/>
        <v>0</v>
      </c>
    </row>
    <row r="5422" spans="1:9" hidden="1">
      <c r="A5422" s="49" t="s">
        <v>8760</v>
      </c>
      <c r="B5422" s="5" t="s">
        <v>9255</v>
      </c>
      <c r="C5422" s="122" t="s">
        <v>9256</v>
      </c>
      <c r="D5422" s="5"/>
      <c r="E5422" s="123">
        <v>1</v>
      </c>
      <c r="F5422" s="9"/>
      <c r="G5422" s="8">
        <f t="shared" si="164"/>
        <v>27.347250000000003</v>
      </c>
      <c r="H5422" s="165">
        <v>26.045000000000002</v>
      </c>
      <c r="I5422" s="19">
        <f t="shared" si="165"/>
        <v>0</v>
      </c>
    </row>
    <row r="5423" spans="1:9" hidden="1">
      <c r="A5423" s="49" t="s">
        <v>8760</v>
      </c>
      <c r="B5423" s="5" t="s">
        <v>9257</v>
      </c>
      <c r="C5423" s="122" t="s">
        <v>9258</v>
      </c>
      <c r="D5423" s="5"/>
      <c r="E5423" s="123">
        <v>1</v>
      </c>
      <c r="F5423" s="9"/>
      <c r="G5423" s="8">
        <f t="shared" si="164"/>
        <v>30.360749999999999</v>
      </c>
      <c r="H5423" s="165">
        <v>28.914999999999999</v>
      </c>
      <c r="I5423" s="19">
        <f t="shared" si="165"/>
        <v>0</v>
      </c>
    </row>
    <row r="5424" spans="1:9" hidden="1">
      <c r="A5424" s="49" t="s">
        <v>8760</v>
      </c>
      <c r="B5424" s="5" t="s">
        <v>9259</v>
      </c>
      <c r="C5424" s="122" t="s">
        <v>9260</v>
      </c>
      <c r="D5424" s="5"/>
      <c r="E5424" s="123">
        <v>1</v>
      </c>
      <c r="F5424" s="9"/>
      <c r="G5424" s="8">
        <f t="shared" si="164"/>
        <v>33.374250000000004</v>
      </c>
      <c r="H5424" s="165">
        <v>31.785</v>
      </c>
      <c r="I5424" s="19">
        <f t="shared" si="165"/>
        <v>0</v>
      </c>
    </row>
    <row r="5425" spans="1:9" hidden="1">
      <c r="A5425" s="49" t="s">
        <v>8760</v>
      </c>
      <c r="B5425" s="5" t="s">
        <v>9261</v>
      </c>
      <c r="C5425" s="122" t="s">
        <v>9262</v>
      </c>
      <c r="D5425" s="5"/>
      <c r="E5425" s="123">
        <v>1</v>
      </c>
      <c r="F5425" s="9"/>
      <c r="G5425" s="8">
        <f t="shared" si="164"/>
        <v>36.363599999999998</v>
      </c>
      <c r="H5425" s="165">
        <v>34.631999999999998</v>
      </c>
      <c r="I5425" s="19">
        <f t="shared" si="165"/>
        <v>0</v>
      </c>
    </row>
    <row r="5426" spans="1:9" hidden="1">
      <c r="A5426" s="49" t="s">
        <v>8760</v>
      </c>
      <c r="B5426" s="5" t="s">
        <v>9263</v>
      </c>
      <c r="C5426" s="122" t="s">
        <v>9264</v>
      </c>
      <c r="D5426" s="5"/>
      <c r="E5426" s="123">
        <v>1</v>
      </c>
      <c r="F5426" s="9"/>
      <c r="G5426" s="8">
        <f t="shared" si="164"/>
        <v>39.443249999999999</v>
      </c>
      <c r="H5426" s="165">
        <v>37.564999999999998</v>
      </c>
      <c r="I5426" s="19">
        <f t="shared" si="165"/>
        <v>0</v>
      </c>
    </row>
    <row r="5427" spans="1:9" hidden="1">
      <c r="A5427" s="49" t="s">
        <v>8760</v>
      </c>
      <c r="B5427" s="5">
        <v>22010</v>
      </c>
      <c r="C5427" s="122" t="s">
        <v>9265</v>
      </c>
      <c r="D5427" s="5"/>
      <c r="E5427" s="123">
        <v>1</v>
      </c>
      <c r="F5427" s="9"/>
      <c r="G5427" s="8">
        <f t="shared" si="164"/>
        <v>40.808250000000001</v>
      </c>
      <c r="H5427" s="165">
        <v>38.865000000000002</v>
      </c>
      <c r="I5427" s="19">
        <f t="shared" si="165"/>
        <v>0</v>
      </c>
    </row>
    <row r="5428" spans="1:9" hidden="1">
      <c r="A5428" s="49" t="s">
        <v>8760</v>
      </c>
      <c r="B5428" s="5" t="s">
        <v>9266</v>
      </c>
      <c r="C5428" s="122" t="s">
        <v>9267</v>
      </c>
      <c r="D5428" s="5"/>
      <c r="E5428" s="123">
        <v>1</v>
      </c>
      <c r="F5428" s="9"/>
      <c r="G5428" s="8">
        <f t="shared" si="164"/>
        <v>60.476849999999999</v>
      </c>
      <c r="H5428" s="165">
        <v>57.597000000000001</v>
      </c>
      <c r="I5428" s="19">
        <f t="shared" si="165"/>
        <v>0</v>
      </c>
    </row>
    <row r="5429" spans="1:9" hidden="1">
      <c r="A5429" s="49" t="s">
        <v>8760</v>
      </c>
      <c r="B5429" s="5" t="s">
        <v>9268</v>
      </c>
      <c r="C5429" s="122" t="s">
        <v>9269</v>
      </c>
      <c r="D5429" s="5"/>
      <c r="E5429" s="123">
        <v>1</v>
      </c>
      <c r="F5429" s="9"/>
      <c r="G5429" s="8">
        <f t="shared" si="164"/>
        <v>72.503550000000004</v>
      </c>
      <c r="H5429" s="165">
        <v>69.051000000000002</v>
      </c>
      <c r="I5429" s="19">
        <f t="shared" si="165"/>
        <v>0</v>
      </c>
    </row>
    <row r="5430" spans="1:9" hidden="1">
      <c r="A5430" s="49" t="s">
        <v>8760</v>
      </c>
      <c r="B5430" s="5" t="s">
        <v>9270</v>
      </c>
      <c r="C5430" s="122" t="s">
        <v>9271</v>
      </c>
      <c r="D5430" s="5"/>
      <c r="E5430" s="123">
        <v>1</v>
      </c>
      <c r="F5430" s="9"/>
      <c r="G5430" s="8">
        <f t="shared" si="164"/>
        <v>84.114449999999991</v>
      </c>
      <c r="H5430" s="165">
        <v>80.108999999999995</v>
      </c>
      <c r="I5430" s="19">
        <f t="shared" si="165"/>
        <v>0</v>
      </c>
    </row>
    <row r="5431" spans="1:9" hidden="1">
      <c r="A5431" s="49" t="s">
        <v>8760</v>
      </c>
      <c r="B5431" s="5" t="s">
        <v>9272</v>
      </c>
      <c r="C5431" s="122" t="s">
        <v>9273</v>
      </c>
      <c r="D5431" s="5"/>
      <c r="E5431" s="123">
        <v>1</v>
      </c>
      <c r="F5431" s="9"/>
      <c r="G5431" s="8">
        <f t="shared" si="164"/>
        <v>153.1362</v>
      </c>
      <c r="H5431" s="165">
        <v>145.84399999999999</v>
      </c>
      <c r="I5431" s="19">
        <f t="shared" si="165"/>
        <v>0</v>
      </c>
    </row>
    <row r="5432" spans="1:9" hidden="1">
      <c r="A5432" s="49" t="s">
        <v>8760</v>
      </c>
      <c r="B5432" s="5" t="s">
        <v>9274</v>
      </c>
      <c r="C5432" s="122" t="s">
        <v>9275</v>
      </c>
      <c r="D5432" s="5"/>
      <c r="E5432" s="123">
        <v>1</v>
      </c>
      <c r="F5432" s="9"/>
      <c r="G5432" s="8">
        <f t="shared" si="164"/>
        <v>222.22199999999998</v>
      </c>
      <c r="H5432" s="165">
        <v>211.64</v>
      </c>
      <c r="I5432" s="19">
        <f t="shared" si="165"/>
        <v>0</v>
      </c>
    </row>
    <row r="5433" spans="1:9" hidden="1">
      <c r="A5433" s="49" t="s">
        <v>8760</v>
      </c>
      <c r="B5433" s="5">
        <v>22011</v>
      </c>
      <c r="C5433" s="122" t="s">
        <v>9276</v>
      </c>
      <c r="D5433" s="5"/>
      <c r="E5433" s="123">
        <v>1</v>
      </c>
      <c r="F5433" s="9"/>
      <c r="G5433" s="8">
        <f t="shared" si="164"/>
        <v>45.088050000000003</v>
      </c>
      <c r="H5433" s="165">
        <v>42.941000000000003</v>
      </c>
      <c r="I5433" s="19">
        <f t="shared" si="165"/>
        <v>0</v>
      </c>
    </row>
    <row r="5434" spans="1:9" hidden="1">
      <c r="A5434" s="49" t="s">
        <v>8760</v>
      </c>
      <c r="B5434" s="5" t="s">
        <v>9277</v>
      </c>
      <c r="C5434" s="122" t="s">
        <v>9278</v>
      </c>
      <c r="D5434" s="5"/>
      <c r="E5434" s="123">
        <v>1</v>
      </c>
      <c r="F5434" s="9"/>
      <c r="G5434" s="8">
        <f t="shared" si="164"/>
        <v>25.116000000000003</v>
      </c>
      <c r="H5434" s="165">
        <v>23.92</v>
      </c>
      <c r="I5434" s="19">
        <f t="shared" si="165"/>
        <v>0</v>
      </c>
    </row>
    <row r="5435" spans="1:9" hidden="1">
      <c r="A5435" s="49" t="s">
        <v>8760</v>
      </c>
      <c r="B5435" s="5">
        <v>22012</v>
      </c>
      <c r="C5435" s="122" t="s">
        <v>9279</v>
      </c>
      <c r="D5435" s="5"/>
      <c r="E5435" s="123">
        <v>1</v>
      </c>
      <c r="F5435" s="9"/>
      <c r="G5435" s="8">
        <f t="shared" si="164"/>
        <v>49.415099999999995</v>
      </c>
      <c r="H5435" s="165">
        <v>47.061999999999998</v>
      </c>
      <c r="I5435" s="19">
        <f t="shared" si="165"/>
        <v>0</v>
      </c>
    </row>
    <row r="5436" spans="1:9" hidden="1">
      <c r="A5436" s="49" t="s">
        <v>8760</v>
      </c>
      <c r="B5436" s="5">
        <v>22013</v>
      </c>
      <c r="C5436" s="122" t="s">
        <v>9280</v>
      </c>
      <c r="D5436" s="5"/>
      <c r="E5436" s="123">
        <v>1</v>
      </c>
      <c r="F5436" s="9"/>
      <c r="G5436" s="8">
        <f t="shared" si="164"/>
        <v>53.755800000000001</v>
      </c>
      <c r="H5436" s="165">
        <v>51.195999999999998</v>
      </c>
      <c r="I5436" s="19">
        <f t="shared" si="165"/>
        <v>0</v>
      </c>
    </row>
    <row r="5437" spans="1:9" hidden="1">
      <c r="A5437" s="49" t="s">
        <v>8760</v>
      </c>
      <c r="B5437" s="5">
        <v>22014</v>
      </c>
      <c r="C5437" s="122" t="s">
        <v>9281</v>
      </c>
      <c r="D5437" s="5"/>
      <c r="E5437" s="123">
        <v>1</v>
      </c>
      <c r="F5437" s="9"/>
      <c r="G5437" s="8">
        <f t="shared" si="164"/>
        <v>58.188899999999997</v>
      </c>
      <c r="H5437" s="165">
        <v>55.417999999999999</v>
      </c>
      <c r="I5437" s="19">
        <f t="shared" si="165"/>
        <v>0</v>
      </c>
    </row>
    <row r="5438" spans="1:9" hidden="1">
      <c r="A5438" s="49" t="s">
        <v>8760</v>
      </c>
      <c r="B5438" s="5" t="s">
        <v>9282</v>
      </c>
      <c r="C5438" s="122" t="s">
        <v>9283</v>
      </c>
      <c r="D5438" s="5"/>
      <c r="E5438" s="123">
        <v>1</v>
      </c>
      <c r="F5438" s="9"/>
      <c r="G5438" s="8">
        <f t="shared" si="164"/>
        <v>32.371499999999997</v>
      </c>
      <c r="H5438" s="165">
        <v>30.83</v>
      </c>
      <c r="I5438" s="19">
        <f t="shared" si="165"/>
        <v>0</v>
      </c>
    </row>
    <row r="5439" spans="1:9" hidden="1">
      <c r="A5439" s="49" t="s">
        <v>8760</v>
      </c>
      <c r="B5439" s="5">
        <v>22015</v>
      </c>
      <c r="C5439" s="122" t="s">
        <v>9284</v>
      </c>
      <c r="D5439" s="5"/>
      <c r="E5439" s="123">
        <v>1</v>
      </c>
      <c r="F5439" s="9"/>
      <c r="G5439" s="8">
        <f t="shared" si="164"/>
        <v>62.453999999999994</v>
      </c>
      <c r="H5439" s="165">
        <v>59.48</v>
      </c>
      <c r="I5439" s="19">
        <f t="shared" si="165"/>
        <v>0</v>
      </c>
    </row>
    <row r="5440" spans="1:9" hidden="1">
      <c r="A5440" s="49" t="s">
        <v>8760</v>
      </c>
      <c r="B5440" s="5">
        <v>22016</v>
      </c>
      <c r="C5440" s="122" t="s">
        <v>9285</v>
      </c>
      <c r="D5440" s="5"/>
      <c r="E5440" s="123">
        <v>1</v>
      </c>
      <c r="F5440" s="9"/>
      <c r="G5440" s="8">
        <f t="shared" si="164"/>
        <v>66.794699999999992</v>
      </c>
      <c r="H5440" s="165">
        <v>63.613999999999997</v>
      </c>
      <c r="I5440" s="19">
        <f t="shared" si="165"/>
        <v>0</v>
      </c>
    </row>
    <row r="5441" spans="1:9" hidden="1">
      <c r="A5441" s="49" t="s">
        <v>8760</v>
      </c>
      <c r="B5441" s="5">
        <v>22017</v>
      </c>
      <c r="C5441" s="122" t="s">
        <v>9286</v>
      </c>
      <c r="D5441" s="5"/>
      <c r="E5441" s="123">
        <v>1</v>
      </c>
      <c r="F5441" s="9"/>
      <c r="G5441" s="8">
        <f t="shared" si="164"/>
        <v>14.574000000000002</v>
      </c>
      <c r="H5441" s="165">
        <v>13.88</v>
      </c>
      <c r="I5441" s="19">
        <f t="shared" si="165"/>
        <v>0</v>
      </c>
    </row>
    <row r="5442" spans="1:9" hidden="1">
      <c r="A5442" s="49" t="s">
        <v>8760</v>
      </c>
      <c r="B5442" s="5">
        <v>22018</v>
      </c>
      <c r="C5442" s="122" t="s">
        <v>9287</v>
      </c>
      <c r="D5442" s="5"/>
      <c r="E5442" s="123">
        <v>1</v>
      </c>
      <c r="F5442" s="9"/>
      <c r="G5442" s="8">
        <f t="shared" si="164"/>
        <v>28.985250000000001</v>
      </c>
      <c r="H5442" s="165">
        <v>27.605</v>
      </c>
      <c r="I5442" s="19">
        <f t="shared" si="165"/>
        <v>0</v>
      </c>
    </row>
    <row r="5443" spans="1:9" hidden="1">
      <c r="A5443" s="49" t="s">
        <v>8760</v>
      </c>
      <c r="B5443" s="5" t="s">
        <v>9288</v>
      </c>
      <c r="C5443" s="122" t="s">
        <v>9289</v>
      </c>
      <c r="D5443" s="5"/>
      <c r="E5443" s="123">
        <v>1</v>
      </c>
      <c r="F5443" s="9"/>
      <c r="G5443" s="8">
        <f t="shared" si="164"/>
        <v>34.660499999999999</v>
      </c>
      <c r="H5443" s="165">
        <v>33.01</v>
      </c>
      <c r="I5443" s="19">
        <f t="shared" si="165"/>
        <v>0</v>
      </c>
    </row>
    <row r="5444" spans="1:9" hidden="1">
      <c r="A5444" s="49" t="s">
        <v>8760</v>
      </c>
      <c r="B5444" s="5" t="s">
        <v>9290</v>
      </c>
      <c r="C5444" s="122" t="s">
        <v>9291</v>
      </c>
      <c r="D5444" s="5"/>
      <c r="E5444" s="123">
        <v>1</v>
      </c>
      <c r="F5444" s="9"/>
      <c r="G5444" s="8">
        <f t="shared" si="164"/>
        <v>47.856900000000003</v>
      </c>
      <c r="H5444" s="165">
        <v>45.578000000000003</v>
      </c>
      <c r="I5444" s="19">
        <f t="shared" si="165"/>
        <v>0</v>
      </c>
    </row>
    <row r="5445" spans="1:9" hidden="1">
      <c r="A5445" s="49" t="s">
        <v>8760</v>
      </c>
      <c r="B5445" s="5" t="s">
        <v>9292</v>
      </c>
      <c r="C5445" s="122" t="s">
        <v>9293</v>
      </c>
      <c r="D5445" s="5"/>
      <c r="E5445" s="123">
        <v>1</v>
      </c>
      <c r="F5445" s="9"/>
      <c r="G5445" s="8">
        <f t="shared" si="164"/>
        <v>38.035199999999996</v>
      </c>
      <c r="H5445" s="165">
        <v>36.223999999999997</v>
      </c>
      <c r="I5445" s="19">
        <f t="shared" si="165"/>
        <v>0</v>
      </c>
    </row>
    <row r="5446" spans="1:9" hidden="1">
      <c r="A5446" s="49" t="s">
        <v>8760</v>
      </c>
      <c r="B5446" s="5" t="s">
        <v>9294</v>
      </c>
      <c r="C5446" s="122" t="s">
        <v>9295</v>
      </c>
      <c r="D5446" s="5"/>
      <c r="E5446" s="123">
        <v>1</v>
      </c>
      <c r="F5446" s="9"/>
      <c r="G5446" s="8">
        <f t="shared" si="164"/>
        <v>52.62285</v>
      </c>
      <c r="H5446" s="165">
        <v>50.116999999999997</v>
      </c>
      <c r="I5446" s="19">
        <f t="shared" si="165"/>
        <v>0</v>
      </c>
    </row>
    <row r="5447" spans="1:9" hidden="1">
      <c r="A5447" s="49" t="s">
        <v>8760</v>
      </c>
      <c r="B5447" s="5" t="s">
        <v>9296</v>
      </c>
      <c r="C5447" s="122" t="s">
        <v>9297</v>
      </c>
      <c r="D5447" s="5"/>
      <c r="E5447" s="123">
        <v>1</v>
      </c>
      <c r="F5447" s="9"/>
      <c r="G5447" s="8">
        <f t="shared" si="164"/>
        <v>41.552700000000002</v>
      </c>
      <c r="H5447" s="165">
        <v>39.573999999999998</v>
      </c>
      <c r="I5447" s="19">
        <f t="shared" si="165"/>
        <v>0</v>
      </c>
    </row>
    <row r="5448" spans="1:9" hidden="1">
      <c r="A5448" s="49" t="s">
        <v>8760</v>
      </c>
      <c r="B5448" s="5" t="s">
        <v>9298</v>
      </c>
      <c r="C5448" s="122" t="s">
        <v>9299</v>
      </c>
      <c r="D5448" s="5"/>
      <c r="E5448" s="123">
        <v>1</v>
      </c>
      <c r="F5448" s="9"/>
      <c r="G5448" s="8">
        <f t="shared" si="164"/>
        <v>57.389849999999996</v>
      </c>
      <c r="H5448" s="165">
        <v>54.656999999999996</v>
      </c>
      <c r="I5448" s="19">
        <f t="shared" si="165"/>
        <v>0</v>
      </c>
    </row>
    <row r="5449" spans="1:9" hidden="1">
      <c r="A5449" s="49" t="s">
        <v>8760</v>
      </c>
      <c r="B5449" s="5" t="s">
        <v>9300</v>
      </c>
      <c r="C5449" s="122" t="s">
        <v>9301</v>
      </c>
      <c r="D5449" s="5"/>
      <c r="E5449" s="123">
        <v>1</v>
      </c>
      <c r="F5449" s="9"/>
      <c r="G5449" s="8">
        <f t="shared" si="164"/>
        <v>45.008250000000004</v>
      </c>
      <c r="H5449" s="165">
        <v>42.865000000000002</v>
      </c>
      <c r="I5449" s="19">
        <f t="shared" si="165"/>
        <v>0</v>
      </c>
    </row>
    <row r="5450" spans="1:9" hidden="1">
      <c r="A5450" s="49" t="s">
        <v>8760</v>
      </c>
      <c r="B5450" s="5" t="s">
        <v>9302</v>
      </c>
      <c r="C5450" s="122" t="s">
        <v>9303</v>
      </c>
      <c r="D5450" s="5"/>
      <c r="E5450" s="123">
        <v>1</v>
      </c>
      <c r="F5450" s="9"/>
      <c r="G5450" s="8">
        <f t="shared" si="164"/>
        <v>62.156850000000006</v>
      </c>
      <c r="H5450" s="165">
        <v>59.197000000000003</v>
      </c>
      <c r="I5450" s="19">
        <f t="shared" si="165"/>
        <v>0</v>
      </c>
    </row>
    <row r="5451" spans="1:9" hidden="1">
      <c r="A5451" s="49" t="s">
        <v>8760</v>
      </c>
      <c r="B5451" s="5" t="s">
        <v>9304</v>
      </c>
      <c r="C5451" s="122" t="s">
        <v>9305</v>
      </c>
      <c r="D5451" s="5"/>
      <c r="E5451" s="123">
        <v>1</v>
      </c>
      <c r="F5451" s="9"/>
      <c r="G5451" s="8">
        <f t="shared" si="164"/>
        <v>51.917250000000003</v>
      </c>
      <c r="H5451" s="165">
        <v>49.445</v>
      </c>
      <c r="I5451" s="19">
        <f t="shared" si="165"/>
        <v>0</v>
      </c>
    </row>
    <row r="5452" spans="1:9" hidden="1">
      <c r="A5452" s="49" t="s">
        <v>8760</v>
      </c>
      <c r="B5452" s="5" t="s">
        <v>9306</v>
      </c>
      <c r="C5452" s="122" t="s">
        <v>9307</v>
      </c>
      <c r="D5452" s="5"/>
      <c r="E5452" s="123">
        <v>1</v>
      </c>
      <c r="F5452" s="9"/>
      <c r="G5452" s="8">
        <f t="shared" si="164"/>
        <v>108.52275</v>
      </c>
      <c r="H5452" s="165">
        <v>103.355</v>
      </c>
      <c r="I5452" s="19">
        <f t="shared" si="165"/>
        <v>0</v>
      </c>
    </row>
    <row r="5453" spans="1:9" hidden="1">
      <c r="A5453" s="49" t="s">
        <v>8760</v>
      </c>
      <c r="B5453" s="5" t="s">
        <v>9308</v>
      </c>
      <c r="C5453" s="122" t="s">
        <v>9309</v>
      </c>
      <c r="D5453" s="5"/>
      <c r="E5453" s="123">
        <v>1</v>
      </c>
      <c r="F5453" s="9"/>
      <c r="G5453" s="8">
        <f t="shared" si="164"/>
        <v>82.030199999999994</v>
      </c>
      <c r="H5453" s="165">
        <v>78.123999999999995</v>
      </c>
      <c r="I5453" s="19">
        <f t="shared" si="165"/>
        <v>0</v>
      </c>
    </row>
    <row r="5454" spans="1:9">
      <c r="A5454" s="49" t="s">
        <v>8760</v>
      </c>
      <c r="B5454" s="5" t="s">
        <v>9310</v>
      </c>
      <c r="C5454" s="122" t="s">
        <v>9311</v>
      </c>
      <c r="D5454" s="5"/>
      <c r="E5454" s="123">
        <v>1</v>
      </c>
      <c r="F5454" s="9">
        <v>20</v>
      </c>
      <c r="G5454" s="8">
        <f t="shared" si="164"/>
        <v>5.3445</v>
      </c>
      <c r="H5454" s="165">
        <v>5.09</v>
      </c>
      <c r="I5454" s="19">
        <f t="shared" si="165"/>
        <v>106.89</v>
      </c>
    </row>
    <row r="5455" spans="1:9" hidden="1">
      <c r="A5455" s="49" t="s">
        <v>8760</v>
      </c>
      <c r="B5455" s="5" t="s">
        <v>9312</v>
      </c>
      <c r="C5455" s="122" t="s">
        <v>9313</v>
      </c>
      <c r="D5455" s="5"/>
      <c r="E5455" s="123">
        <v>1</v>
      </c>
      <c r="F5455" s="9"/>
      <c r="G5455" s="8">
        <f t="shared" si="164"/>
        <v>5.5240499999999999</v>
      </c>
      <c r="H5455" s="165">
        <v>5.2610000000000001</v>
      </c>
      <c r="I5455" s="19">
        <f t="shared" si="165"/>
        <v>0</v>
      </c>
    </row>
    <row r="5456" spans="1:9" hidden="1">
      <c r="A5456" s="49" t="s">
        <v>8760</v>
      </c>
      <c r="B5456" s="5" t="s">
        <v>9314</v>
      </c>
      <c r="C5456" s="122" t="s">
        <v>9315</v>
      </c>
      <c r="D5456" s="5"/>
      <c r="E5456" s="123">
        <v>1</v>
      </c>
      <c r="F5456" s="9"/>
      <c r="G5456" s="8">
        <f t="shared" si="164"/>
        <v>5.859</v>
      </c>
      <c r="H5456" s="165">
        <v>5.58</v>
      </c>
      <c r="I5456" s="19">
        <f t="shared" si="165"/>
        <v>0</v>
      </c>
    </row>
    <row r="5457" spans="1:9" hidden="1">
      <c r="A5457" s="49" t="s">
        <v>8760</v>
      </c>
      <c r="B5457" s="5" t="s">
        <v>9316</v>
      </c>
      <c r="C5457" s="122" t="s">
        <v>9317</v>
      </c>
      <c r="D5457" s="5"/>
      <c r="E5457" s="123">
        <v>1</v>
      </c>
      <c r="F5457" s="9"/>
      <c r="G5457" s="8">
        <f t="shared" si="164"/>
        <v>6.1928999999999998</v>
      </c>
      <c r="H5457" s="165">
        <v>5.8979999999999997</v>
      </c>
      <c r="I5457" s="19">
        <f t="shared" si="165"/>
        <v>0</v>
      </c>
    </row>
    <row r="5458" spans="1:9" hidden="1">
      <c r="A5458" s="49" t="s">
        <v>8760</v>
      </c>
      <c r="B5458" s="5" t="s">
        <v>9318</v>
      </c>
      <c r="C5458" s="122" t="s">
        <v>9319</v>
      </c>
      <c r="D5458" s="5"/>
      <c r="E5458" s="123">
        <v>1</v>
      </c>
      <c r="F5458" s="9"/>
      <c r="G5458" s="8">
        <f t="shared" si="164"/>
        <v>6.4532999999999996</v>
      </c>
      <c r="H5458" s="165">
        <v>6.1459999999999999</v>
      </c>
      <c r="I5458" s="19">
        <f t="shared" si="165"/>
        <v>0</v>
      </c>
    </row>
    <row r="5459" spans="1:9" hidden="1">
      <c r="A5459" s="49" t="s">
        <v>8760</v>
      </c>
      <c r="B5459" s="5" t="s">
        <v>9320</v>
      </c>
      <c r="C5459" s="122" t="s">
        <v>9321</v>
      </c>
      <c r="D5459" s="5"/>
      <c r="E5459" s="123">
        <v>1</v>
      </c>
      <c r="F5459" s="9"/>
      <c r="G5459" s="8">
        <f t="shared" si="164"/>
        <v>6.5289000000000001</v>
      </c>
      <c r="H5459" s="165">
        <v>6.218</v>
      </c>
      <c r="I5459" s="19">
        <f t="shared" si="165"/>
        <v>0</v>
      </c>
    </row>
    <row r="5460" spans="1:9" hidden="1">
      <c r="A5460" s="49" t="s">
        <v>8760</v>
      </c>
      <c r="B5460" s="5" t="s">
        <v>9322</v>
      </c>
      <c r="C5460" s="122" t="s">
        <v>9323</v>
      </c>
      <c r="D5460" s="5"/>
      <c r="E5460" s="123">
        <v>1</v>
      </c>
      <c r="F5460" s="9"/>
      <c r="G5460" s="8">
        <f t="shared" ref="G5460:G5523" si="166">H5460+(H5460*5%)</f>
        <v>6.7157999999999998</v>
      </c>
      <c r="H5460" s="165">
        <v>6.3959999999999999</v>
      </c>
      <c r="I5460" s="19">
        <f t="shared" ref="I5460:I5523" si="167">G5460*F5460</f>
        <v>0</v>
      </c>
    </row>
    <row r="5461" spans="1:9" hidden="1">
      <c r="A5461" s="49" t="s">
        <v>8760</v>
      </c>
      <c r="B5461" s="5" t="s">
        <v>9324</v>
      </c>
      <c r="C5461" s="122" t="s">
        <v>9325</v>
      </c>
      <c r="D5461" s="5"/>
      <c r="E5461" s="123">
        <v>1</v>
      </c>
      <c r="F5461" s="9"/>
      <c r="G5461" s="8">
        <f t="shared" si="166"/>
        <v>6.8774999999999995</v>
      </c>
      <c r="H5461" s="165">
        <v>6.55</v>
      </c>
      <c r="I5461" s="19">
        <f t="shared" si="167"/>
        <v>0</v>
      </c>
    </row>
    <row r="5462" spans="1:9" hidden="1">
      <c r="A5462" s="49" t="s">
        <v>8760</v>
      </c>
      <c r="B5462" s="5" t="s">
        <v>9326</v>
      </c>
      <c r="C5462" s="122" t="s">
        <v>9327</v>
      </c>
      <c r="D5462" s="5"/>
      <c r="E5462" s="123">
        <v>1</v>
      </c>
      <c r="F5462" s="9"/>
      <c r="G5462" s="8">
        <f t="shared" si="166"/>
        <v>7.5473999999999997</v>
      </c>
      <c r="H5462" s="165">
        <v>7.1879999999999997</v>
      </c>
      <c r="I5462" s="19">
        <f t="shared" si="167"/>
        <v>0</v>
      </c>
    </row>
    <row r="5463" spans="1:9" hidden="1">
      <c r="A5463" s="49" t="s">
        <v>8760</v>
      </c>
      <c r="B5463" s="5" t="s">
        <v>9328</v>
      </c>
      <c r="C5463" s="122" t="s">
        <v>9329</v>
      </c>
      <c r="D5463" s="5"/>
      <c r="E5463" s="123">
        <v>1</v>
      </c>
      <c r="F5463" s="9"/>
      <c r="G5463" s="8">
        <f t="shared" si="166"/>
        <v>8.0545500000000008</v>
      </c>
      <c r="H5463" s="165">
        <v>7.6710000000000003</v>
      </c>
      <c r="I5463" s="19">
        <f t="shared" si="167"/>
        <v>0</v>
      </c>
    </row>
    <row r="5464" spans="1:9" hidden="1">
      <c r="A5464" s="49" t="s">
        <v>8760</v>
      </c>
      <c r="B5464" s="5" t="s">
        <v>9330</v>
      </c>
      <c r="C5464" s="122" t="s">
        <v>9331</v>
      </c>
      <c r="D5464" s="5"/>
      <c r="E5464" s="123">
        <v>1</v>
      </c>
      <c r="F5464" s="9"/>
      <c r="G5464" s="8">
        <f t="shared" si="166"/>
        <v>8.2162500000000005</v>
      </c>
      <c r="H5464" s="165">
        <v>7.8250000000000002</v>
      </c>
      <c r="I5464" s="19">
        <f t="shared" si="167"/>
        <v>0</v>
      </c>
    </row>
    <row r="5465" spans="1:9" hidden="1">
      <c r="A5465" s="49" t="s">
        <v>8760</v>
      </c>
      <c r="B5465" s="5" t="s">
        <v>9332</v>
      </c>
      <c r="C5465" s="122" t="s">
        <v>9333</v>
      </c>
      <c r="D5465" s="5"/>
      <c r="E5465" s="123">
        <v>1</v>
      </c>
      <c r="F5465" s="9"/>
      <c r="G5465" s="8">
        <f t="shared" si="166"/>
        <v>11.062799999999999</v>
      </c>
      <c r="H5465" s="165">
        <v>10.536</v>
      </c>
      <c r="I5465" s="19">
        <f t="shared" si="167"/>
        <v>0</v>
      </c>
    </row>
    <row r="5466" spans="1:9" hidden="1">
      <c r="A5466" s="49" t="s">
        <v>8760</v>
      </c>
      <c r="B5466" s="5" t="s">
        <v>9334</v>
      </c>
      <c r="C5466" s="122" t="s">
        <v>9335</v>
      </c>
      <c r="D5466" s="5"/>
      <c r="E5466" s="123">
        <v>1</v>
      </c>
      <c r="F5466" s="9"/>
      <c r="G5466" s="8">
        <f t="shared" si="166"/>
        <v>13.418999999999999</v>
      </c>
      <c r="H5466" s="165">
        <v>12.78</v>
      </c>
      <c r="I5466" s="19">
        <f t="shared" si="167"/>
        <v>0</v>
      </c>
    </row>
    <row r="5467" spans="1:9" hidden="1">
      <c r="A5467" s="49" t="s">
        <v>8760</v>
      </c>
      <c r="B5467" s="5" t="s">
        <v>9336</v>
      </c>
      <c r="C5467" s="122" t="s">
        <v>9337</v>
      </c>
      <c r="D5467" s="5"/>
      <c r="E5467" s="123">
        <v>1</v>
      </c>
      <c r="F5467" s="9"/>
      <c r="G5467" s="8">
        <f t="shared" si="166"/>
        <v>16.580549999999999</v>
      </c>
      <c r="H5467" s="165">
        <v>15.791</v>
      </c>
      <c r="I5467" s="19">
        <f t="shared" si="167"/>
        <v>0</v>
      </c>
    </row>
    <row r="5468" spans="1:9" hidden="1">
      <c r="A5468" s="49" t="s">
        <v>8760</v>
      </c>
      <c r="B5468" s="5" t="s">
        <v>9338</v>
      </c>
      <c r="C5468" s="122" t="s">
        <v>9339</v>
      </c>
      <c r="D5468" s="5"/>
      <c r="E5468" s="123">
        <v>1</v>
      </c>
      <c r="F5468" s="9"/>
      <c r="G5468" s="8">
        <f t="shared" si="166"/>
        <v>18.65325</v>
      </c>
      <c r="H5468" s="165">
        <v>17.765000000000001</v>
      </c>
      <c r="I5468" s="19">
        <f t="shared" si="167"/>
        <v>0</v>
      </c>
    </row>
    <row r="5469" spans="1:9" hidden="1">
      <c r="A5469" s="49" t="s">
        <v>8760</v>
      </c>
      <c r="B5469" s="5" t="s">
        <v>9340</v>
      </c>
      <c r="C5469" s="122" t="s">
        <v>9341</v>
      </c>
      <c r="D5469" s="5"/>
      <c r="E5469" s="123">
        <v>1</v>
      </c>
      <c r="F5469" s="9"/>
      <c r="G5469" s="8">
        <f t="shared" si="166"/>
        <v>7.5641999999999996</v>
      </c>
      <c r="H5469" s="165">
        <v>7.2039999999999997</v>
      </c>
      <c r="I5469" s="19">
        <f t="shared" si="167"/>
        <v>0</v>
      </c>
    </row>
    <row r="5470" spans="1:9" hidden="1">
      <c r="A5470" s="49" t="s">
        <v>8760</v>
      </c>
      <c r="B5470" s="5" t="s">
        <v>9342</v>
      </c>
      <c r="C5470" s="122" t="s">
        <v>9343</v>
      </c>
      <c r="D5470" s="5"/>
      <c r="E5470" s="123">
        <v>1</v>
      </c>
      <c r="F5470" s="9"/>
      <c r="G5470" s="8">
        <f t="shared" si="166"/>
        <v>8.0230499999999996</v>
      </c>
      <c r="H5470" s="165">
        <v>7.641</v>
      </c>
      <c r="I5470" s="19">
        <f t="shared" si="167"/>
        <v>0</v>
      </c>
    </row>
    <row r="5471" spans="1:9" hidden="1">
      <c r="A5471" s="49" t="s">
        <v>8760</v>
      </c>
      <c r="B5471" s="5" t="s">
        <v>9344</v>
      </c>
      <c r="C5471" s="122" t="s">
        <v>9345</v>
      </c>
      <c r="D5471" s="5"/>
      <c r="E5471" s="123">
        <v>1</v>
      </c>
      <c r="F5471" s="9"/>
      <c r="G5471" s="8">
        <f t="shared" si="166"/>
        <v>8.3086500000000001</v>
      </c>
      <c r="H5471" s="165">
        <v>7.9130000000000003</v>
      </c>
      <c r="I5471" s="19">
        <f t="shared" si="167"/>
        <v>0</v>
      </c>
    </row>
    <row r="5472" spans="1:9" hidden="1">
      <c r="A5472" s="49" t="s">
        <v>8760</v>
      </c>
      <c r="B5472" s="5" t="s">
        <v>9346</v>
      </c>
      <c r="C5472" s="122" t="s">
        <v>9347</v>
      </c>
      <c r="D5472" s="5"/>
      <c r="E5472" s="123">
        <v>1</v>
      </c>
      <c r="F5472" s="9"/>
      <c r="G5472" s="8">
        <f t="shared" si="166"/>
        <v>8.2487999999999992</v>
      </c>
      <c r="H5472" s="165">
        <v>7.8559999999999999</v>
      </c>
      <c r="I5472" s="19">
        <f t="shared" si="167"/>
        <v>0</v>
      </c>
    </row>
    <row r="5473" spans="1:9" hidden="1">
      <c r="A5473" s="49" t="s">
        <v>8760</v>
      </c>
      <c r="B5473" s="5" t="s">
        <v>9348</v>
      </c>
      <c r="C5473" s="122" t="s">
        <v>9349</v>
      </c>
      <c r="D5473" s="5"/>
      <c r="E5473" s="123">
        <v>1</v>
      </c>
      <c r="F5473" s="9"/>
      <c r="G5473" s="8">
        <f t="shared" si="166"/>
        <v>8.9281500000000005</v>
      </c>
      <c r="H5473" s="165">
        <v>8.5030000000000001</v>
      </c>
      <c r="I5473" s="19">
        <f t="shared" si="167"/>
        <v>0</v>
      </c>
    </row>
    <row r="5474" spans="1:9" hidden="1">
      <c r="A5474" s="49" t="s">
        <v>8760</v>
      </c>
      <c r="B5474" s="5" t="s">
        <v>9350</v>
      </c>
      <c r="C5474" s="122" t="s">
        <v>9351</v>
      </c>
      <c r="D5474" s="5"/>
      <c r="E5474" s="123">
        <v>1</v>
      </c>
      <c r="F5474" s="9"/>
      <c r="G5474" s="8">
        <f t="shared" si="166"/>
        <v>8.5931999999999995</v>
      </c>
      <c r="H5474" s="165">
        <v>8.1839999999999993</v>
      </c>
      <c r="I5474" s="19">
        <f t="shared" si="167"/>
        <v>0</v>
      </c>
    </row>
    <row r="5475" spans="1:9" hidden="1">
      <c r="A5475" s="49" t="s">
        <v>8760</v>
      </c>
      <c r="B5475" s="5" t="s">
        <v>9352</v>
      </c>
      <c r="C5475" s="122" t="s">
        <v>9353</v>
      </c>
      <c r="D5475" s="5"/>
      <c r="E5475" s="123">
        <v>1</v>
      </c>
      <c r="F5475" s="9"/>
      <c r="G5475" s="8">
        <f t="shared" si="166"/>
        <v>9.3985500000000002</v>
      </c>
      <c r="H5475" s="165">
        <v>8.9510000000000005</v>
      </c>
      <c r="I5475" s="19">
        <f t="shared" si="167"/>
        <v>0</v>
      </c>
    </row>
    <row r="5476" spans="1:9" hidden="1">
      <c r="A5476" s="49" t="s">
        <v>8760</v>
      </c>
      <c r="B5476" s="5" t="s">
        <v>9354</v>
      </c>
      <c r="C5476" s="122" t="s">
        <v>9355</v>
      </c>
      <c r="D5476" s="5"/>
      <c r="E5476" s="123">
        <v>1</v>
      </c>
      <c r="F5476" s="9"/>
      <c r="G5476" s="8">
        <f t="shared" si="166"/>
        <v>10.31625</v>
      </c>
      <c r="H5476" s="165">
        <v>9.8249999999999993</v>
      </c>
      <c r="I5476" s="19">
        <f t="shared" si="167"/>
        <v>0</v>
      </c>
    </row>
    <row r="5477" spans="1:9" hidden="1">
      <c r="A5477" s="49" t="s">
        <v>8760</v>
      </c>
      <c r="B5477" s="5" t="s">
        <v>9356</v>
      </c>
      <c r="C5477" s="122" t="s">
        <v>9357</v>
      </c>
      <c r="D5477" s="5"/>
      <c r="E5477" s="123">
        <v>1</v>
      </c>
      <c r="F5477" s="9"/>
      <c r="G5477" s="8">
        <f t="shared" si="166"/>
        <v>10.312049999999999</v>
      </c>
      <c r="H5477" s="165">
        <v>9.8209999999999997</v>
      </c>
      <c r="I5477" s="19">
        <f t="shared" si="167"/>
        <v>0</v>
      </c>
    </row>
    <row r="5478" spans="1:9" hidden="1">
      <c r="A5478" s="49" t="s">
        <v>8760</v>
      </c>
      <c r="B5478" s="5" t="s">
        <v>9358</v>
      </c>
      <c r="C5478" s="122" t="s">
        <v>9359</v>
      </c>
      <c r="D5478" s="5"/>
      <c r="E5478" s="123">
        <v>1</v>
      </c>
      <c r="F5478" s="9"/>
      <c r="G5478" s="8">
        <f t="shared" si="166"/>
        <v>11.234999999999999</v>
      </c>
      <c r="H5478" s="165">
        <v>10.7</v>
      </c>
      <c r="I5478" s="19">
        <f t="shared" si="167"/>
        <v>0</v>
      </c>
    </row>
    <row r="5479" spans="1:9" hidden="1">
      <c r="A5479" s="49" t="s">
        <v>8760</v>
      </c>
      <c r="B5479" s="5" t="s">
        <v>9360</v>
      </c>
      <c r="C5479" s="122" t="s">
        <v>9361</v>
      </c>
      <c r="D5479" s="5"/>
      <c r="E5479" s="123">
        <v>1</v>
      </c>
      <c r="F5479" s="9"/>
      <c r="G5479" s="8">
        <f t="shared" si="166"/>
        <v>13.748699999999999</v>
      </c>
      <c r="H5479" s="165">
        <v>13.093999999999999</v>
      </c>
      <c r="I5479" s="19">
        <f t="shared" si="167"/>
        <v>0</v>
      </c>
    </row>
    <row r="5480" spans="1:9" hidden="1">
      <c r="A5480" s="49" t="s">
        <v>8760</v>
      </c>
      <c r="B5480" s="5" t="s">
        <v>9362</v>
      </c>
      <c r="C5480" s="122" t="s">
        <v>9363</v>
      </c>
      <c r="D5480" s="5"/>
      <c r="E5480" s="123">
        <v>1</v>
      </c>
      <c r="F5480" s="9"/>
      <c r="G5480" s="8">
        <f t="shared" si="166"/>
        <v>17.18535</v>
      </c>
      <c r="H5480" s="165">
        <v>16.367000000000001</v>
      </c>
      <c r="I5480" s="19">
        <f t="shared" si="167"/>
        <v>0</v>
      </c>
    </row>
    <row r="5481" spans="1:9" hidden="1">
      <c r="A5481" s="49" t="s">
        <v>8760</v>
      </c>
      <c r="B5481" s="5" t="s">
        <v>9364</v>
      </c>
      <c r="C5481" s="122" t="s">
        <v>9365</v>
      </c>
      <c r="D5481" s="5"/>
      <c r="E5481" s="123">
        <v>1</v>
      </c>
      <c r="F5481" s="9"/>
      <c r="G5481" s="8">
        <f t="shared" si="166"/>
        <v>22.030050000000003</v>
      </c>
      <c r="H5481" s="165">
        <v>20.981000000000002</v>
      </c>
      <c r="I5481" s="19">
        <f t="shared" si="167"/>
        <v>0</v>
      </c>
    </row>
    <row r="5482" spans="1:9" hidden="1">
      <c r="A5482" s="49" t="s">
        <v>8760</v>
      </c>
      <c r="B5482" s="5">
        <v>225018</v>
      </c>
      <c r="C5482" s="122" t="s">
        <v>9366</v>
      </c>
      <c r="D5482" s="5" t="s">
        <v>9367</v>
      </c>
      <c r="E5482" s="123">
        <v>1</v>
      </c>
      <c r="F5482" s="9"/>
      <c r="G5482" s="8">
        <f t="shared" si="166"/>
        <v>374.75970000000001</v>
      </c>
      <c r="H5482" s="165">
        <v>356.91399999999999</v>
      </c>
      <c r="I5482" s="19">
        <f t="shared" si="167"/>
        <v>0</v>
      </c>
    </row>
    <row r="5483" spans="1:9" hidden="1">
      <c r="A5483" s="49" t="s">
        <v>8760</v>
      </c>
      <c r="B5483" s="5" t="s">
        <v>9368</v>
      </c>
      <c r="C5483" s="122" t="s">
        <v>9369</v>
      </c>
      <c r="D5483" s="5"/>
      <c r="E5483" s="123">
        <v>1</v>
      </c>
      <c r="F5483" s="9"/>
      <c r="G5483" s="8">
        <f t="shared" si="166"/>
        <v>7.0245000000000006</v>
      </c>
      <c r="H5483" s="165">
        <v>6.69</v>
      </c>
      <c r="I5483" s="19">
        <f t="shared" si="167"/>
        <v>0</v>
      </c>
    </row>
    <row r="5484" spans="1:9" hidden="1">
      <c r="A5484" s="49" t="s">
        <v>8760</v>
      </c>
      <c r="B5484" s="5" t="s">
        <v>9370</v>
      </c>
      <c r="C5484" s="122" t="s">
        <v>9371</v>
      </c>
      <c r="D5484" s="5"/>
      <c r="E5484" s="123">
        <v>1</v>
      </c>
      <c r="F5484" s="9"/>
      <c r="G5484" s="8">
        <f t="shared" si="166"/>
        <v>8.4031500000000001</v>
      </c>
      <c r="H5484" s="165">
        <v>8.0030000000000001</v>
      </c>
      <c r="I5484" s="19">
        <f t="shared" si="167"/>
        <v>0</v>
      </c>
    </row>
    <row r="5485" spans="1:9" hidden="1">
      <c r="A5485" s="49" t="s">
        <v>8760</v>
      </c>
      <c r="B5485" s="5" t="s">
        <v>9372</v>
      </c>
      <c r="C5485" s="122" t="s">
        <v>9373</v>
      </c>
      <c r="D5485" s="5"/>
      <c r="E5485" s="123">
        <v>1</v>
      </c>
      <c r="F5485" s="9"/>
      <c r="G5485" s="8">
        <f t="shared" si="166"/>
        <v>9.3166499999999992</v>
      </c>
      <c r="H5485" s="165">
        <v>8.8729999999999993</v>
      </c>
      <c r="I5485" s="19">
        <f t="shared" si="167"/>
        <v>0</v>
      </c>
    </row>
    <row r="5486" spans="1:9" hidden="1">
      <c r="A5486" s="49" t="s">
        <v>8760</v>
      </c>
      <c r="B5486" s="5" t="s">
        <v>9374</v>
      </c>
      <c r="C5486" s="122" t="s">
        <v>9375</v>
      </c>
      <c r="D5486" s="5"/>
      <c r="E5486" s="123">
        <v>1</v>
      </c>
      <c r="F5486" s="9"/>
      <c r="G5486" s="8">
        <f t="shared" si="166"/>
        <v>10.4664</v>
      </c>
      <c r="H5486" s="165">
        <v>9.968</v>
      </c>
      <c r="I5486" s="19">
        <f t="shared" si="167"/>
        <v>0</v>
      </c>
    </row>
    <row r="5487" spans="1:9" hidden="1">
      <c r="A5487" s="49" t="s">
        <v>8760</v>
      </c>
      <c r="B5487" s="5" t="s">
        <v>9376</v>
      </c>
      <c r="C5487" s="122" t="s">
        <v>9377</v>
      </c>
      <c r="D5487" s="5"/>
      <c r="E5487" s="123">
        <v>1</v>
      </c>
      <c r="F5487" s="9"/>
      <c r="G5487" s="8">
        <f t="shared" si="166"/>
        <v>11.616150000000001</v>
      </c>
      <c r="H5487" s="165">
        <v>11.063000000000001</v>
      </c>
      <c r="I5487" s="19">
        <f t="shared" si="167"/>
        <v>0</v>
      </c>
    </row>
    <row r="5488" spans="1:9" hidden="1">
      <c r="A5488" s="49" t="s">
        <v>8760</v>
      </c>
      <c r="B5488" s="5" t="s">
        <v>9378</v>
      </c>
      <c r="C5488" s="122" t="s">
        <v>9379</v>
      </c>
      <c r="D5488" s="5"/>
      <c r="E5488" s="123">
        <v>1</v>
      </c>
      <c r="F5488" s="9"/>
      <c r="G5488" s="8">
        <f t="shared" si="166"/>
        <v>13.773900000000001</v>
      </c>
      <c r="H5488" s="165">
        <v>13.118</v>
      </c>
      <c r="I5488" s="19">
        <f t="shared" si="167"/>
        <v>0</v>
      </c>
    </row>
    <row r="5489" spans="1:9" hidden="1">
      <c r="A5489" s="49" t="s">
        <v>8760</v>
      </c>
      <c r="B5489" s="5" t="s">
        <v>9380</v>
      </c>
      <c r="C5489" s="122" t="s">
        <v>9381</v>
      </c>
      <c r="D5489" s="5"/>
      <c r="E5489" s="123">
        <v>1</v>
      </c>
      <c r="F5489" s="9"/>
      <c r="G5489" s="8">
        <f t="shared" si="166"/>
        <v>15.49065</v>
      </c>
      <c r="H5489" s="165">
        <v>14.753</v>
      </c>
      <c r="I5489" s="19">
        <f t="shared" si="167"/>
        <v>0</v>
      </c>
    </row>
    <row r="5490" spans="1:9" hidden="1">
      <c r="A5490" s="49" t="s">
        <v>8760</v>
      </c>
      <c r="B5490" s="5" t="s">
        <v>9382</v>
      </c>
      <c r="C5490" s="122" t="s">
        <v>9383</v>
      </c>
      <c r="D5490" s="5"/>
      <c r="E5490" s="123">
        <v>1</v>
      </c>
      <c r="F5490" s="9"/>
      <c r="G5490" s="8">
        <f t="shared" si="166"/>
        <v>6.1498499999999998</v>
      </c>
      <c r="H5490" s="165">
        <v>5.8570000000000002</v>
      </c>
      <c r="I5490" s="19">
        <f t="shared" si="167"/>
        <v>0</v>
      </c>
    </row>
    <row r="5491" spans="1:9" hidden="1">
      <c r="A5491" s="49" t="s">
        <v>8760</v>
      </c>
      <c r="B5491" s="5">
        <v>230101</v>
      </c>
      <c r="C5491" s="122" t="s">
        <v>9384</v>
      </c>
      <c r="D5491" s="5"/>
      <c r="E5491" s="123">
        <v>1</v>
      </c>
      <c r="F5491" s="9"/>
      <c r="G5491" s="8">
        <f t="shared" si="166"/>
        <v>0.78434999999999999</v>
      </c>
      <c r="H5491" s="165">
        <v>0.747</v>
      </c>
      <c r="I5491" s="19">
        <f t="shared" si="167"/>
        <v>0</v>
      </c>
    </row>
    <row r="5492" spans="1:9" hidden="1">
      <c r="A5492" s="49" t="s">
        <v>8760</v>
      </c>
      <c r="B5492" s="5">
        <v>230102</v>
      </c>
      <c r="C5492" s="122" t="s">
        <v>9385</v>
      </c>
      <c r="D5492" s="5"/>
      <c r="E5492" s="123">
        <v>1</v>
      </c>
      <c r="F5492" s="9"/>
      <c r="G5492" s="8">
        <f t="shared" si="166"/>
        <v>2.2700999999999998</v>
      </c>
      <c r="H5492" s="165">
        <v>2.1619999999999999</v>
      </c>
      <c r="I5492" s="19">
        <f t="shared" si="167"/>
        <v>0</v>
      </c>
    </row>
    <row r="5493" spans="1:9" hidden="1">
      <c r="A5493" s="49" t="s">
        <v>8760</v>
      </c>
      <c r="B5493" s="5">
        <v>230103</v>
      </c>
      <c r="C5493" s="122" t="s">
        <v>9386</v>
      </c>
      <c r="D5493" s="5"/>
      <c r="E5493" s="123">
        <v>1</v>
      </c>
      <c r="F5493" s="9"/>
      <c r="G5493" s="8">
        <f t="shared" si="166"/>
        <v>5.8170000000000002</v>
      </c>
      <c r="H5493" s="165">
        <v>5.54</v>
      </c>
      <c r="I5493" s="19">
        <f t="shared" si="167"/>
        <v>0</v>
      </c>
    </row>
    <row r="5494" spans="1:9" hidden="1">
      <c r="A5494" s="49" t="s">
        <v>8760</v>
      </c>
      <c r="B5494" s="5">
        <v>230104</v>
      </c>
      <c r="C5494" s="122" t="s">
        <v>9387</v>
      </c>
      <c r="D5494" s="5"/>
      <c r="E5494" s="123">
        <v>1</v>
      </c>
      <c r="F5494" s="9"/>
      <c r="G5494" s="8">
        <f t="shared" si="166"/>
        <v>1.97715</v>
      </c>
      <c r="H5494" s="165">
        <v>1.883</v>
      </c>
      <c r="I5494" s="19">
        <f t="shared" si="167"/>
        <v>0</v>
      </c>
    </row>
    <row r="5495" spans="1:9" hidden="1">
      <c r="A5495" s="49" t="s">
        <v>8760</v>
      </c>
      <c r="B5495" s="5">
        <v>230105</v>
      </c>
      <c r="C5495" s="122" t="s">
        <v>9388</v>
      </c>
      <c r="D5495" s="5"/>
      <c r="E5495" s="123">
        <v>1</v>
      </c>
      <c r="F5495" s="9"/>
      <c r="G5495" s="8">
        <f t="shared" si="166"/>
        <v>1.8490499999999999</v>
      </c>
      <c r="H5495" s="165">
        <v>1.7609999999999999</v>
      </c>
      <c r="I5495" s="19">
        <f t="shared" si="167"/>
        <v>0</v>
      </c>
    </row>
    <row r="5496" spans="1:9" hidden="1">
      <c r="A5496" s="49" t="s">
        <v>8760</v>
      </c>
      <c r="B5496" s="5">
        <v>230106</v>
      </c>
      <c r="C5496" s="122" t="s">
        <v>9389</v>
      </c>
      <c r="D5496" s="5"/>
      <c r="E5496" s="123">
        <v>1</v>
      </c>
      <c r="F5496" s="9"/>
      <c r="G5496" s="8">
        <f t="shared" si="166"/>
        <v>1.9782</v>
      </c>
      <c r="H5496" s="165">
        <v>1.8839999999999999</v>
      </c>
      <c r="I5496" s="19">
        <f t="shared" si="167"/>
        <v>0</v>
      </c>
    </row>
    <row r="5497" spans="1:9" hidden="1">
      <c r="A5497" s="49" t="s">
        <v>8760</v>
      </c>
      <c r="B5497" s="5">
        <v>230110</v>
      </c>
      <c r="C5497" s="122" t="s">
        <v>9390</v>
      </c>
      <c r="D5497" s="5"/>
      <c r="E5497" s="123">
        <v>1</v>
      </c>
      <c r="F5497" s="9"/>
      <c r="G5497" s="8">
        <f t="shared" si="166"/>
        <v>2.0369999999999999</v>
      </c>
      <c r="H5497" s="165">
        <v>1.94</v>
      </c>
      <c r="I5497" s="19">
        <f t="shared" si="167"/>
        <v>0</v>
      </c>
    </row>
    <row r="5498" spans="1:9" hidden="1">
      <c r="A5498" s="49" t="s">
        <v>8760</v>
      </c>
      <c r="B5498" s="5" t="s">
        <v>9391</v>
      </c>
      <c r="C5498" s="122" t="s">
        <v>9392</v>
      </c>
      <c r="D5498" s="5"/>
      <c r="E5498" s="123">
        <v>1</v>
      </c>
      <c r="F5498" s="9"/>
      <c r="G5498" s="8">
        <f t="shared" si="166"/>
        <v>2.2123500000000003</v>
      </c>
      <c r="H5498" s="165">
        <v>2.1070000000000002</v>
      </c>
      <c r="I5498" s="19">
        <f t="shared" si="167"/>
        <v>0</v>
      </c>
    </row>
    <row r="5499" spans="1:9" hidden="1">
      <c r="A5499" s="49" t="s">
        <v>8760</v>
      </c>
      <c r="B5499" s="5">
        <v>230111</v>
      </c>
      <c r="C5499" s="122" t="s">
        <v>9393</v>
      </c>
      <c r="D5499" s="5"/>
      <c r="E5499" s="123">
        <v>1</v>
      </c>
      <c r="F5499" s="9"/>
      <c r="G5499" s="8">
        <f t="shared" si="166"/>
        <v>1.0300499999999999</v>
      </c>
      <c r="H5499" s="165">
        <v>0.98099999999999998</v>
      </c>
      <c r="I5499" s="19">
        <f t="shared" si="167"/>
        <v>0</v>
      </c>
    </row>
    <row r="5500" spans="1:9" hidden="1">
      <c r="A5500" s="49" t="s">
        <v>8760</v>
      </c>
      <c r="B5500" s="5" t="s">
        <v>9394</v>
      </c>
      <c r="C5500" s="122" t="s">
        <v>9395</v>
      </c>
      <c r="D5500" s="5"/>
      <c r="E5500" s="123">
        <v>1</v>
      </c>
      <c r="F5500" s="9"/>
      <c r="G5500" s="8">
        <f t="shared" si="166"/>
        <v>1.1822999999999999</v>
      </c>
      <c r="H5500" s="165">
        <v>1.1259999999999999</v>
      </c>
      <c r="I5500" s="19">
        <f t="shared" si="167"/>
        <v>0</v>
      </c>
    </row>
    <row r="5501" spans="1:9" hidden="1">
      <c r="A5501" s="49" t="s">
        <v>8760</v>
      </c>
      <c r="B5501" s="5">
        <v>230112</v>
      </c>
      <c r="C5501" s="122" t="s">
        <v>9396</v>
      </c>
      <c r="D5501" s="5"/>
      <c r="E5501" s="123">
        <v>1</v>
      </c>
      <c r="F5501" s="9"/>
      <c r="G5501" s="8">
        <f t="shared" si="166"/>
        <v>1.5918000000000001</v>
      </c>
      <c r="H5501" s="165">
        <v>1.516</v>
      </c>
      <c r="I5501" s="19">
        <f t="shared" si="167"/>
        <v>0</v>
      </c>
    </row>
    <row r="5502" spans="1:9" hidden="1">
      <c r="A5502" s="49" t="s">
        <v>8760</v>
      </c>
      <c r="B5502" s="5">
        <v>230113</v>
      </c>
      <c r="C5502" s="122" t="s">
        <v>9397</v>
      </c>
      <c r="D5502" s="5"/>
      <c r="E5502" s="123">
        <v>1</v>
      </c>
      <c r="F5502" s="9"/>
      <c r="G5502" s="8">
        <f t="shared" si="166"/>
        <v>15.970500000000001</v>
      </c>
      <c r="H5502" s="165">
        <v>15.21</v>
      </c>
      <c r="I5502" s="19">
        <f t="shared" si="167"/>
        <v>0</v>
      </c>
    </row>
    <row r="5503" spans="1:9" hidden="1">
      <c r="A5503" s="49" t="s">
        <v>8760</v>
      </c>
      <c r="B5503" s="5">
        <v>230114</v>
      </c>
      <c r="C5503" s="122" t="s">
        <v>9398</v>
      </c>
      <c r="D5503" s="5"/>
      <c r="E5503" s="123">
        <v>1</v>
      </c>
      <c r="F5503" s="9"/>
      <c r="G5503" s="8">
        <f t="shared" si="166"/>
        <v>15.970500000000001</v>
      </c>
      <c r="H5503" s="165">
        <v>15.21</v>
      </c>
      <c r="I5503" s="19">
        <f t="shared" si="167"/>
        <v>0</v>
      </c>
    </row>
    <row r="5504" spans="1:9" hidden="1">
      <c r="A5504" s="49" t="s">
        <v>8760</v>
      </c>
      <c r="B5504" s="5">
        <v>230115</v>
      </c>
      <c r="C5504" s="122" t="s">
        <v>9399</v>
      </c>
      <c r="D5504" s="5"/>
      <c r="E5504" s="123">
        <v>1</v>
      </c>
      <c r="F5504" s="9"/>
      <c r="G5504" s="8">
        <f t="shared" si="166"/>
        <v>0.84315000000000007</v>
      </c>
      <c r="H5504" s="165">
        <v>0.80300000000000005</v>
      </c>
      <c r="I5504" s="19">
        <f t="shared" si="167"/>
        <v>0</v>
      </c>
    </row>
    <row r="5505" spans="1:9" hidden="1">
      <c r="A5505" s="49" t="s">
        <v>8760</v>
      </c>
      <c r="B5505" s="5" t="s">
        <v>9400</v>
      </c>
      <c r="C5505" s="122" t="s">
        <v>9401</v>
      </c>
      <c r="D5505" s="5"/>
      <c r="E5505" s="123">
        <v>1</v>
      </c>
      <c r="F5505" s="9"/>
      <c r="G5505" s="8">
        <f t="shared" si="166"/>
        <v>4.0719000000000003</v>
      </c>
      <c r="H5505" s="165">
        <v>3.8780000000000001</v>
      </c>
      <c r="I5505" s="19">
        <f t="shared" si="167"/>
        <v>0</v>
      </c>
    </row>
    <row r="5506" spans="1:9" hidden="1">
      <c r="A5506" s="49" t="s">
        <v>8760</v>
      </c>
      <c r="B5506" s="5" t="s">
        <v>9402</v>
      </c>
      <c r="C5506" s="122" t="s">
        <v>9398</v>
      </c>
      <c r="D5506" s="5"/>
      <c r="E5506" s="123">
        <v>1</v>
      </c>
      <c r="F5506" s="9"/>
      <c r="G5506" s="8">
        <f t="shared" si="166"/>
        <v>17.2788</v>
      </c>
      <c r="H5506" s="165">
        <v>16.456</v>
      </c>
      <c r="I5506" s="19">
        <f t="shared" si="167"/>
        <v>0</v>
      </c>
    </row>
    <row r="5507" spans="1:9" hidden="1">
      <c r="A5507" s="49" t="s">
        <v>8760</v>
      </c>
      <c r="B5507" s="5" t="s">
        <v>9403</v>
      </c>
      <c r="C5507" s="122" t="s">
        <v>9397</v>
      </c>
      <c r="D5507" s="5"/>
      <c r="E5507" s="123">
        <v>1</v>
      </c>
      <c r="F5507" s="9"/>
      <c r="G5507" s="8">
        <f t="shared" si="166"/>
        <v>17.2788</v>
      </c>
      <c r="H5507" s="165">
        <v>16.456</v>
      </c>
      <c r="I5507" s="19">
        <f t="shared" si="167"/>
        <v>0</v>
      </c>
    </row>
    <row r="5508" spans="1:9" hidden="1">
      <c r="A5508" s="49" t="s">
        <v>8760</v>
      </c>
      <c r="B5508" s="5">
        <v>230125</v>
      </c>
      <c r="C5508" s="122" t="s">
        <v>9404</v>
      </c>
      <c r="D5508" s="5" t="s">
        <v>2488</v>
      </c>
      <c r="E5508" s="123">
        <v>1</v>
      </c>
      <c r="F5508" s="9"/>
      <c r="G5508" s="8">
        <f t="shared" si="166"/>
        <v>1.7324999999999999</v>
      </c>
      <c r="H5508" s="165">
        <v>1.65</v>
      </c>
      <c r="I5508" s="19">
        <f t="shared" si="167"/>
        <v>0</v>
      </c>
    </row>
    <row r="5509" spans="1:9">
      <c r="A5509" s="49" t="s">
        <v>8760</v>
      </c>
      <c r="B5509" s="5">
        <v>230130</v>
      </c>
      <c r="C5509" s="122" t="s">
        <v>9405</v>
      </c>
      <c r="D5509" s="5" t="s">
        <v>2488</v>
      </c>
      <c r="E5509" s="123">
        <v>1</v>
      </c>
      <c r="F5509" s="9">
        <f>18+8</f>
        <v>26</v>
      </c>
      <c r="G5509" s="8">
        <f t="shared" si="166"/>
        <v>6.3902999999999999</v>
      </c>
      <c r="H5509" s="165">
        <v>6.0860000000000003</v>
      </c>
      <c r="I5509" s="19">
        <f t="shared" si="167"/>
        <v>166.14779999999999</v>
      </c>
    </row>
    <row r="5510" spans="1:9" hidden="1">
      <c r="A5510" s="49" t="s">
        <v>8760</v>
      </c>
      <c r="B5510" s="5" t="s">
        <v>9406</v>
      </c>
      <c r="C5510" s="122" t="s">
        <v>9407</v>
      </c>
      <c r="D5510" s="5" t="s">
        <v>2488</v>
      </c>
      <c r="E5510" s="123">
        <v>1</v>
      </c>
      <c r="F5510" s="9"/>
      <c r="G5510" s="8">
        <f t="shared" si="166"/>
        <v>7.0644</v>
      </c>
      <c r="H5510" s="165">
        <v>6.7279999999999998</v>
      </c>
      <c r="I5510" s="19">
        <f t="shared" si="167"/>
        <v>0</v>
      </c>
    </row>
    <row r="5511" spans="1:9">
      <c r="A5511" s="49" t="s">
        <v>8760</v>
      </c>
      <c r="B5511" s="5">
        <v>230131</v>
      </c>
      <c r="C5511" s="122" t="s">
        <v>9408</v>
      </c>
      <c r="D5511" s="5" t="s">
        <v>2488</v>
      </c>
      <c r="E5511" s="123">
        <v>1</v>
      </c>
      <c r="F5511" s="9">
        <v>8</v>
      </c>
      <c r="G5511" s="8">
        <f t="shared" si="166"/>
        <v>8.23935</v>
      </c>
      <c r="H5511" s="165">
        <v>7.8470000000000004</v>
      </c>
      <c r="I5511" s="19">
        <f t="shared" si="167"/>
        <v>65.9148</v>
      </c>
    </row>
    <row r="5512" spans="1:9" hidden="1">
      <c r="A5512" s="49" t="s">
        <v>8760</v>
      </c>
      <c r="B5512" s="5" t="s">
        <v>9409</v>
      </c>
      <c r="C5512" s="122" t="s">
        <v>9410</v>
      </c>
      <c r="D5512" s="5"/>
      <c r="E5512" s="123">
        <v>1</v>
      </c>
      <c r="F5512" s="9"/>
      <c r="G5512" s="8">
        <f t="shared" si="166"/>
        <v>9.4016999999999999</v>
      </c>
      <c r="H5512" s="165">
        <v>8.9540000000000006</v>
      </c>
      <c r="I5512" s="19">
        <f t="shared" si="167"/>
        <v>0</v>
      </c>
    </row>
    <row r="5513" spans="1:9" hidden="1">
      <c r="A5513" s="49" t="s">
        <v>8760</v>
      </c>
      <c r="B5513" s="5">
        <v>230220</v>
      </c>
      <c r="C5513" s="122" t="s">
        <v>9411</v>
      </c>
      <c r="D5513" s="5"/>
      <c r="E5513" s="123">
        <v>1</v>
      </c>
      <c r="F5513" s="9"/>
      <c r="G5513" s="8">
        <f t="shared" si="166"/>
        <v>2.6449500000000001</v>
      </c>
      <c r="H5513" s="165">
        <v>2.5190000000000001</v>
      </c>
      <c r="I5513" s="19">
        <f t="shared" si="167"/>
        <v>0</v>
      </c>
    </row>
    <row r="5514" spans="1:9" hidden="1">
      <c r="A5514" s="49" t="s">
        <v>8760</v>
      </c>
      <c r="B5514" s="5" t="s">
        <v>9412</v>
      </c>
      <c r="C5514" s="122" t="s">
        <v>9413</v>
      </c>
      <c r="D5514" s="5"/>
      <c r="E5514" s="123">
        <v>1</v>
      </c>
      <c r="F5514" s="9"/>
      <c r="G5514" s="8">
        <f t="shared" si="166"/>
        <v>3.6372</v>
      </c>
      <c r="H5514" s="165">
        <v>3.464</v>
      </c>
      <c r="I5514" s="19">
        <f t="shared" si="167"/>
        <v>0</v>
      </c>
    </row>
    <row r="5515" spans="1:9" hidden="1">
      <c r="A5515" s="49" t="s">
        <v>8760</v>
      </c>
      <c r="B5515" s="5">
        <v>230222</v>
      </c>
      <c r="C5515" s="122" t="s">
        <v>9414</v>
      </c>
      <c r="D5515" s="5"/>
      <c r="E5515" s="123">
        <v>1</v>
      </c>
      <c r="F5515" s="9"/>
      <c r="G5515" s="8">
        <f t="shared" si="166"/>
        <v>0.9345</v>
      </c>
      <c r="H5515" s="165">
        <v>0.89</v>
      </c>
      <c r="I5515" s="19">
        <f t="shared" si="167"/>
        <v>0</v>
      </c>
    </row>
    <row r="5516" spans="1:9" hidden="1">
      <c r="A5516" s="49" t="s">
        <v>8760</v>
      </c>
      <c r="B5516" s="5" t="s">
        <v>9415</v>
      </c>
      <c r="C5516" s="122" t="s">
        <v>9416</v>
      </c>
      <c r="D5516" s="5"/>
      <c r="E5516" s="123">
        <v>1</v>
      </c>
      <c r="F5516" s="9"/>
      <c r="G5516" s="8">
        <f t="shared" si="166"/>
        <v>1.4658</v>
      </c>
      <c r="H5516" s="165">
        <v>1.3959999999999999</v>
      </c>
      <c r="I5516" s="19">
        <f t="shared" si="167"/>
        <v>0</v>
      </c>
    </row>
    <row r="5517" spans="1:9" hidden="1">
      <c r="A5517" s="49" t="s">
        <v>8760</v>
      </c>
      <c r="B5517" s="5">
        <v>230225</v>
      </c>
      <c r="C5517" s="122" t="s">
        <v>9417</v>
      </c>
      <c r="D5517" s="5"/>
      <c r="E5517" s="123">
        <v>1</v>
      </c>
      <c r="F5517" s="9"/>
      <c r="G5517" s="8">
        <f t="shared" si="166"/>
        <v>1.2305999999999999</v>
      </c>
      <c r="H5517" s="165">
        <v>1.1719999999999999</v>
      </c>
      <c r="I5517" s="19">
        <f t="shared" si="167"/>
        <v>0</v>
      </c>
    </row>
    <row r="5518" spans="1:9" hidden="1">
      <c r="A5518" s="49" t="s">
        <v>8760</v>
      </c>
      <c r="B5518" s="5" t="s">
        <v>9418</v>
      </c>
      <c r="C5518" s="122" t="s">
        <v>9419</v>
      </c>
      <c r="D5518" s="5"/>
      <c r="E5518" s="123">
        <v>1</v>
      </c>
      <c r="F5518" s="9"/>
      <c r="G5518" s="8">
        <f t="shared" si="166"/>
        <v>1.3891499999999999</v>
      </c>
      <c r="H5518" s="165">
        <v>1.323</v>
      </c>
      <c r="I5518" s="19">
        <f t="shared" si="167"/>
        <v>0</v>
      </c>
    </row>
    <row r="5519" spans="1:9" hidden="1">
      <c r="A5519" s="49" t="s">
        <v>8760</v>
      </c>
      <c r="B5519" s="5" t="s">
        <v>9420</v>
      </c>
      <c r="C5519" s="122" t="s">
        <v>9421</v>
      </c>
      <c r="D5519" s="5"/>
      <c r="E5519" s="123">
        <v>1</v>
      </c>
      <c r="F5519" s="9"/>
      <c r="G5519" s="8">
        <f t="shared" si="166"/>
        <v>1.6936499999999999</v>
      </c>
      <c r="H5519" s="165">
        <v>1.613</v>
      </c>
      <c r="I5519" s="19">
        <f t="shared" si="167"/>
        <v>0</v>
      </c>
    </row>
    <row r="5520" spans="1:9" hidden="1">
      <c r="A5520" s="49" t="s">
        <v>8760</v>
      </c>
      <c r="B5520" s="5" t="s">
        <v>9422</v>
      </c>
      <c r="C5520" s="122" t="s">
        <v>9423</v>
      </c>
      <c r="D5520" s="5"/>
      <c r="E5520" s="123">
        <v>1</v>
      </c>
      <c r="F5520" s="9"/>
      <c r="G5520" s="8">
        <f t="shared" si="166"/>
        <v>70.184100000000001</v>
      </c>
      <c r="H5520" s="165">
        <v>66.841999999999999</v>
      </c>
      <c r="I5520" s="19">
        <f t="shared" si="167"/>
        <v>0</v>
      </c>
    </row>
    <row r="5521" spans="1:9" hidden="1">
      <c r="A5521" s="49" t="s">
        <v>8760</v>
      </c>
      <c r="B5521" s="5">
        <v>235004</v>
      </c>
      <c r="C5521" s="122" t="s">
        <v>9424</v>
      </c>
      <c r="D5521" s="5"/>
      <c r="E5521" s="123">
        <v>1</v>
      </c>
      <c r="F5521" s="9"/>
      <c r="G5521" s="8">
        <f t="shared" si="166"/>
        <v>2.0874000000000001</v>
      </c>
      <c r="H5521" s="165">
        <v>1.988</v>
      </c>
      <c r="I5521" s="19">
        <f t="shared" si="167"/>
        <v>0</v>
      </c>
    </row>
    <row r="5522" spans="1:9" hidden="1">
      <c r="A5522" s="49" t="s">
        <v>8760</v>
      </c>
      <c r="B5522" s="5">
        <v>235012</v>
      </c>
      <c r="C5522" s="122" t="s">
        <v>9425</v>
      </c>
      <c r="D5522" s="5"/>
      <c r="E5522" s="123">
        <v>1</v>
      </c>
      <c r="F5522" s="9"/>
      <c r="G5522" s="8">
        <f t="shared" si="166"/>
        <v>0.81164999999999998</v>
      </c>
      <c r="H5522" s="165">
        <v>0.77300000000000002</v>
      </c>
      <c r="I5522" s="19">
        <f t="shared" si="167"/>
        <v>0</v>
      </c>
    </row>
    <row r="5523" spans="1:9" hidden="1">
      <c r="A5523" s="49" t="s">
        <v>8760</v>
      </c>
      <c r="B5523" s="5">
        <v>235013</v>
      </c>
      <c r="C5523" s="122" t="s">
        <v>9426</v>
      </c>
      <c r="D5523" s="5"/>
      <c r="E5523" s="123">
        <v>1</v>
      </c>
      <c r="F5523" s="9"/>
      <c r="G5523" s="8">
        <f t="shared" si="166"/>
        <v>4.2861000000000002</v>
      </c>
      <c r="H5523" s="165">
        <v>4.0819999999999999</v>
      </c>
      <c r="I5523" s="19">
        <f t="shared" si="167"/>
        <v>0</v>
      </c>
    </row>
    <row r="5524" spans="1:9" hidden="1">
      <c r="A5524" s="49" t="s">
        <v>8760</v>
      </c>
      <c r="B5524" s="5" t="s">
        <v>9427</v>
      </c>
      <c r="C5524" s="122" t="s">
        <v>9428</v>
      </c>
      <c r="D5524" s="5"/>
      <c r="E5524" s="123">
        <v>1</v>
      </c>
      <c r="F5524" s="9"/>
      <c r="G5524" s="8">
        <f t="shared" ref="G5524:G5587" si="168">H5524+(H5524*5%)</f>
        <v>3.8986499999999999</v>
      </c>
      <c r="H5524" s="165">
        <v>3.7130000000000001</v>
      </c>
      <c r="I5524" s="19">
        <f t="shared" ref="I5524:I5587" si="169">G5524*F5524</f>
        <v>0</v>
      </c>
    </row>
    <row r="5525" spans="1:9" hidden="1">
      <c r="A5525" s="49" t="s">
        <v>8760</v>
      </c>
      <c r="B5525" s="5" t="s">
        <v>9429</v>
      </c>
      <c r="C5525" s="122" t="s">
        <v>9430</v>
      </c>
      <c r="D5525" s="5"/>
      <c r="E5525" s="123">
        <v>1</v>
      </c>
      <c r="F5525" s="9"/>
      <c r="G5525" s="8">
        <f t="shared" si="168"/>
        <v>4.6861500000000005</v>
      </c>
      <c r="H5525" s="165">
        <v>4.4630000000000001</v>
      </c>
      <c r="I5525" s="19">
        <f t="shared" si="169"/>
        <v>0</v>
      </c>
    </row>
    <row r="5526" spans="1:9" hidden="1">
      <c r="A5526" s="49" t="s">
        <v>8760</v>
      </c>
      <c r="B5526" s="5" t="s">
        <v>9431</v>
      </c>
      <c r="C5526" s="122" t="s">
        <v>9432</v>
      </c>
      <c r="D5526" s="5"/>
      <c r="E5526" s="123">
        <v>1</v>
      </c>
      <c r="F5526" s="9"/>
      <c r="G5526" s="8">
        <f t="shared" si="168"/>
        <v>5.4736500000000001</v>
      </c>
      <c r="H5526" s="165">
        <v>5.2130000000000001</v>
      </c>
      <c r="I5526" s="19">
        <f t="shared" si="169"/>
        <v>0</v>
      </c>
    </row>
    <row r="5527" spans="1:9" hidden="1">
      <c r="A5527" s="49" t="s">
        <v>8760</v>
      </c>
      <c r="B5527" s="5">
        <v>235018</v>
      </c>
      <c r="C5527" s="122" t="s">
        <v>9433</v>
      </c>
      <c r="D5527" s="5"/>
      <c r="E5527" s="123">
        <v>1</v>
      </c>
      <c r="F5527" s="9"/>
      <c r="G5527" s="8">
        <f t="shared" si="168"/>
        <v>30.213749999999997</v>
      </c>
      <c r="H5527" s="165">
        <v>28.774999999999999</v>
      </c>
      <c r="I5527" s="19">
        <f t="shared" si="169"/>
        <v>0</v>
      </c>
    </row>
    <row r="5528" spans="1:9" hidden="1">
      <c r="A5528" s="49" t="s">
        <v>8760</v>
      </c>
      <c r="B5528" s="5">
        <v>235019</v>
      </c>
      <c r="C5528" s="122" t="s">
        <v>9434</v>
      </c>
      <c r="D5528" s="5"/>
      <c r="E5528" s="123">
        <v>1</v>
      </c>
      <c r="F5528" s="9"/>
      <c r="G5528" s="8">
        <f t="shared" si="168"/>
        <v>10.0464</v>
      </c>
      <c r="H5528" s="165">
        <v>9.5679999999999996</v>
      </c>
      <c r="I5528" s="19">
        <f t="shared" si="169"/>
        <v>0</v>
      </c>
    </row>
    <row r="5529" spans="1:9" hidden="1">
      <c r="A5529" s="49" t="s">
        <v>8760</v>
      </c>
      <c r="B5529" s="5">
        <v>235020</v>
      </c>
      <c r="C5529" s="122" t="s">
        <v>9435</v>
      </c>
      <c r="D5529" s="5"/>
      <c r="E5529" s="123">
        <v>1</v>
      </c>
      <c r="F5529" s="9"/>
      <c r="G5529" s="8">
        <f t="shared" si="168"/>
        <v>1.6033499999999998</v>
      </c>
      <c r="H5529" s="165">
        <v>1.5269999999999999</v>
      </c>
      <c r="I5529" s="19">
        <f t="shared" si="169"/>
        <v>0</v>
      </c>
    </row>
    <row r="5530" spans="1:9" hidden="1">
      <c r="A5530" s="49" t="s">
        <v>8760</v>
      </c>
      <c r="B5530" s="5">
        <v>235021</v>
      </c>
      <c r="C5530" s="122" t="s">
        <v>9436</v>
      </c>
      <c r="D5530" s="5"/>
      <c r="E5530" s="123">
        <v>1</v>
      </c>
      <c r="F5530" s="9"/>
      <c r="G5530" s="8">
        <f t="shared" si="168"/>
        <v>4.2861000000000002</v>
      </c>
      <c r="H5530" s="165">
        <v>4.0819999999999999</v>
      </c>
      <c r="I5530" s="19">
        <f t="shared" si="169"/>
        <v>0</v>
      </c>
    </row>
    <row r="5531" spans="1:9" hidden="1">
      <c r="A5531" s="49" t="s">
        <v>8760</v>
      </c>
      <c r="B5531" s="5">
        <v>235024</v>
      </c>
      <c r="C5531" s="122" t="s">
        <v>9437</v>
      </c>
      <c r="D5531" s="5"/>
      <c r="E5531" s="123">
        <v>1</v>
      </c>
      <c r="F5531" s="9"/>
      <c r="G5531" s="8">
        <f t="shared" si="168"/>
        <v>1.2809999999999999</v>
      </c>
      <c r="H5531" s="165">
        <v>1.22</v>
      </c>
      <c r="I5531" s="19">
        <f t="shared" si="169"/>
        <v>0</v>
      </c>
    </row>
    <row r="5532" spans="1:9" hidden="1">
      <c r="A5532" s="49" t="s">
        <v>8760</v>
      </c>
      <c r="B5532" s="5">
        <v>235025</v>
      </c>
      <c r="C5532" s="122" t="s">
        <v>9438</v>
      </c>
      <c r="D5532" s="5"/>
      <c r="E5532" s="123">
        <v>1</v>
      </c>
      <c r="F5532" s="9"/>
      <c r="G5532" s="8">
        <f t="shared" si="168"/>
        <v>0.40950000000000003</v>
      </c>
      <c r="H5532" s="165">
        <v>0.39</v>
      </c>
      <c r="I5532" s="19">
        <f t="shared" si="169"/>
        <v>0</v>
      </c>
    </row>
    <row r="5533" spans="1:9" hidden="1">
      <c r="A5533" s="49" t="s">
        <v>8760</v>
      </c>
      <c r="B5533" s="5">
        <v>235026</v>
      </c>
      <c r="C5533" s="122" t="s">
        <v>9439</v>
      </c>
      <c r="D5533" s="5"/>
      <c r="E5533" s="123">
        <v>1</v>
      </c>
      <c r="F5533" s="9"/>
      <c r="G5533" s="8">
        <f t="shared" si="168"/>
        <v>1.11405</v>
      </c>
      <c r="H5533" s="165">
        <v>1.0609999999999999</v>
      </c>
      <c r="I5533" s="19">
        <f t="shared" si="169"/>
        <v>0</v>
      </c>
    </row>
    <row r="5534" spans="1:9" hidden="1">
      <c r="A5534" s="49" t="s">
        <v>8760</v>
      </c>
      <c r="B5534" s="5">
        <v>235027</v>
      </c>
      <c r="C5534" s="122" t="s">
        <v>9440</v>
      </c>
      <c r="D5534" s="5"/>
      <c r="E5534" s="123">
        <v>1</v>
      </c>
      <c r="F5534" s="9"/>
      <c r="G5534" s="8">
        <f t="shared" si="168"/>
        <v>1.01325</v>
      </c>
      <c r="H5534" s="165">
        <v>0.96499999999999997</v>
      </c>
      <c r="I5534" s="19">
        <f t="shared" si="169"/>
        <v>0</v>
      </c>
    </row>
    <row r="5535" spans="1:9" hidden="1">
      <c r="A5535" s="49" t="s">
        <v>8760</v>
      </c>
      <c r="B5535" s="5">
        <v>235028</v>
      </c>
      <c r="C5535" s="122" t="s">
        <v>9441</v>
      </c>
      <c r="D5535" s="5" t="s">
        <v>945</v>
      </c>
      <c r="E5535" s="123">
        <v>1</v>
      </c>
      <c r="F5535" s="9"/>
      <c r="G5535" s="8">
        <f t="shared" si="168"/>
        <v>18.791849999999997</v>
      </c>
      <c r="H5535" s="165">
        <v>17.896999999999998</v>
      </c>
      <c r="I5535" s="19">
        <f t="shared" si="169"/>
        <v>0</v>
      </c>
    </row>
    <row r="5536" spans="1:9" hidden="1">
      <c r="A5536" s="49" t="s">
        <v>8760</v>
      </c>
      <c r="B5536" s="5">
        <v>235029</v>
      </c>
      <c r="C5536" s="122" t="s">
        <v>9442</v>
      </c>
      <c r="D5536" s="5" t="s">
        <v>945</v>
      </c>
      <c r="E5536" s="123">
        <v>1</v>
      </c>
      <c r="F5536" s="9"/>
      <c r="G5536" s="8">
        <f t="shared" si="168"/>
        <v>21.985949999999999</v>
      </c>
      <c r="H5536" s="165">
        <v>20.939</v>
      </c>
      <c r="I5536" s="19">
        <f t="shared" si="169"/>
        <v>0</v>
      </c>
    </row>
    <row r="5537" spans="1:9" hidden="1">
      <c r="A5537" s="49" t="s">
        <v>8760</v>
      </c>
      <c r="B5537" s="5">
        <v>235030</v>
      </c>
      <c r="C5537" s="122" t="s">
        <v>9443</v>
      </c>
      <c r="D5537" s="5"/>
      <c r="E5537" s="123">
        <v>1</v>
      </c>
      <c r="F5537" s="9"/>
      <c r="G5537" s="8">
        <f t="shared" si="168"/>
        <v>11.821950000000001</v>
      </c>
      <c r="H5537" s="165">
        <v>11.259</v>
      </c>
      <c r="I5537" s="19">
        <f t="shared" si="169"/>
        <v>0</v>
      </c>
    </row>
    <row r="5538" spans="1:9" hidden="1">
      <c r="A5538" s="49" t="s">
        <v>8760</v>
      </c>
      <c r="B5538" s="5">
        <v>235031</v>
      </c>
      <c r="C5538" s="122" t="s">
        <v>9444</v>
      </c>
      <c r="D5538" s="5" t="s">
        <v>2488</v>
      </c>
      <c r="E5538" s="123">
        <v>1</v>
      </c>
      <c r="F5538" s="9"/>
      <c r="G5538" s="8">
        <f t="shared" si="168"/>
        <v>4.5674999999999999</v>
      </c>
      <c r="H5538" s="165">
        <v>4.3499999999999996</v>
      </c>
      <c r="I5538" s="19">
        <f t="shared" si="169"/>
        <v>0</v>
      </c>
    </row>
    <row r="5539" spans="1:9" hidden="1">
      <c r="A5539" s="49" t="s">
        <v>8760</v>
      </c>
      <c r="B5539" s="5">
        <v>235032</v>
      </c>
      <c r="C5539" s="122" t="s">
        <v>9445</v>
      </c>
      <c r="D5539" s="5"/>
      <c r="E5539" s="123">
        <v>1</v>
      </c>
      <c r="F5539" s="9"/>
      <c r="G5539" s="8">
        <f t="shared" si="168"/>
        <v>1.6065</v>
      </c>
      <c r="H5539" s="165">
        <v>1.53</v>
      </c>
      <c r="I5539" s="19">
        <f t="shared" si="169"/>
        <v>0</v>
      </c>
    </row>
    <row r="5540" spans="1:9" hidden="1">
      <c r="A5540" s="49" t="s">
        <v>8760</v>
      </c>
      <c r="B5540" s="5">
        <v>235034</v>
      </c>
      <c r="C5540" s="122" t="s">
        <v>9446</v>
      </c>
      <c r="D5540" s="5" t="s">
        <v>2488</v>
      </c>
      <c r="E5540" s="123">
        <v>1</v>
      </c>
      <c r="F5540" s="9"/>
      <c r="G5540" s="8">
        <f t="shared" si="168"/>
        <v>2.57985</v>
      </c>
      <c r="H5540" s="165">
        <v>2.4569999999999999</v>
      </c>
      <c r="I5540" s="19">
        <f t="shared" si="169"/>
        <v>0</v>
      </c>
    </row>
    <row r="5541" spans="1:9" hidden="1">
      <c r="A5541" s="49" t="s">
        <v>8760</v>
      </c>
      <c r="B5541" s="5">
        <v>235037</v>
      </c>
      <c r="C5541" s="122" t="s">
        <v>9447</v>
      </c>
      <c r="D5541" s="5"/>
      <c r="E5541" s="123">
        <v>1</v>
      </c>
      <c r="F5541" s="9"/>
      <c r="G5541" s="8">
        <f t="shared" si="168"/>
        <v>1.5403500000000001</v>
      </c>
      <c r="H5541" s="165">
        <v>1.4670000000000001</v>
      </c>
      <c r="I5541" s="19">
        <f t="shared" si="169"/>
        <v>0</v>
      </c>
    </row>
    <row r="5542" spans="1:9" hidden="1">
      <c r="A5542" s="49" t="s">
        <v>8760</v>
      </c>
      <c r="B5542" s="5">
        <v>235038</v>
      </c>
      <c r="C5542" s="122" t="s">
        <v>9448</v>
      </c>
      <c r="D5542" s="5"/>
      <c r="E5542" s="123">
        <v>1</v>
      </c>
      <c r="F5542" s="9"/>
      <c r="G5542" s="8">
        <f t="shared" si="168"/>
        <v>0.6321</v>
      </c>
      <c r="H5542" s="165">
        <v>0.60199999999999998</v>
      </c>
      <c r="I5542" s="19">
        <f t="shared" si="169"/>
        <v>0</v>
      </c>
    </row>
    <row r="5543" spans="1:9" hidden="1">
      <c r="A5543" s="49" t="s">
        <v>8760</v>
      </c>
      <c r="B5543" s="5">
        <v>235039</v>
      </c>
      <c r="C5543" s="122" t="s">
        <v>9449</v>
      </c>
      <c r="D5543" s="5"/>
      <c r="E5543" s="123">
        <v>1</v>
      </c>
      <c r="F5543" s="9"/>
      <c r="G5543" s="8">
        <f t="shared" si="168"/>
        <v>1.2138</v>
      </c>
      <c r="H5543" s="165">
        <v>1.1559999999999999</v>
      </c>
      <c r="I5543" s="19">
        <f t="shared" si="169"/>
        <v>0</v>
      </c>
    </row>
    <row r="5544" spans="1:9" hidden="1">
      <c r="A5544" s="49" t="s">
        <v>8760</v>
      </c>
      <c r="B5544" s="5">
        <v>235042</v>
      </c>
      <c r="C5544" s="122" t="s">
        <v>9450</v>
      </c>
      <c r="D5544" s="5" t="s">
        <v>2488</v>
      </c>
      <c r="E5544" s="123">
        <v>1</v>
      </c>
      <c r="F5544" s="9"/>
      <c r="G5544" s="8">
        <f t="shared" si="168"/>
        <v>7.0161000000000007</v>
      </c>
      <c r="H5544" s="165">
        <v>6.6820000000000004</v>
      </c>
      <c r="I5544" s="19">
        <f t="shared" si="169"/>
        <v>0</v>
      </c>
    </row>
    <row r="5545" spans="1:9" hidden="1">
      <c r="A5545" s="49" t="s">
        <v>8760</v>
      </c>
      <c r="B5545" s="5">
        <v>235103</v>
      </c>
      <c r="C5545" s="122" t="s">
        <v>9451</v>
      </c>
      <c r="D5545" s="5"/>
      <c r="E5545" s="123">
        <v>1</v>
      </c>
      <c r="F5545" s="9"/>
      <c r="G5545" s="8">
        <f t="shared" si="168"/>
        <v>0.32340000000000002</v>
      </c>
      <c r="H5545" s="165">
        <v>0.308</v>
      </c>
      <c r="I5545" s="19">
        <f t="shared" si="169"/>
        <v>0</v>
      </c>
    </row>
    <row r="5546" spans="1:9" hidden="1">
      <c r="A5546" s="49" t="s">
        <v>8760</v>
      </c>
      <c r="B5546" s="5">
        <v>235104</v>
      </c>
      <c r="C5546" s="122" t="s">
        <v>9452</v>
      </c>
      <c r="D5546" s="5"/>
      <c r="E5546" s="123">
        <v>1</v>
      </c>
      <c r="F5546" s="9"/>
      <c r="G5546" s="8">
        <f t="shared" si="168"/>
        <v>0.64680000000000004</v>
      </c>
      <c r="H5546" s="165">
        <v>0.61599999999999999</v>
      </c>
      <c r="I5546" s="19">
        <f t="shared" si="169"/>
        <v>0</v>
      </c>
    </row>
    <row r="5547" spans="1:9" hidden="1">
      <c r="A5547" s="49" t="s">
        <v>8760</v>
      </c>
      <c r="B5547" s="5">
        <v>235205</v>
      </c>
      <c r="C5547" s="122" t="s">
        <v>9453</v>
      </c>
      <c r="D5547" s="5"/>
      <c r="E5547" s="123">
        <v>1</v>
      </c>
      <c r="F5547" s="9"/>
      <c r="G5547" s="8">
        <f t="shared" si="168"/>
        <v>0.34650000000000003</v>
      </c>
      <c r="H5547" s="165">
        <v>0.33</v>
      </c>
      <c r="I5547" s="19">
        <f t="shared" si="169"/>
        <v>0</v>
      </c>
    </row>
    <row r="5548" spans="1:9" hidden="1">
      <c r="A5548" s="49" t="s">
        <v>8760</v>
      </c>
      <c r="B5548" s="5">
        <v>235206</v>
      </c>
      <c r="C5548" s="122" t="s">
        <v>9454</v>
      </c>
      <c r="D5548" s="5"/>
      <c r="E5548" s="123">
        <v>1</v>
      </c>
      <c r="F5548" s="9"/>
      <c r="G5548" s="8">
        <f t="shared" si="168"/>
        <v>0.27300000000000002</v>
      </c>
      <c r="H5548" s="165">
        <v>0.26</v>
      </c>
      <c r="I5548" s="19">
        <f t="shared" si="169"/>
        <v>0</v>
      </c>
    </row>
    <row r="5549" spans="1:9" hidden="1">
      <c r="A5549" s="49" t="s">
        <v>8760</v>
      </c>
      <c r="B5549" s="5">
        <v>235210</v>
      </c>
      <c r="C5549" s="122" t="s">
        <v>9455</v>
      </c>
      <c r="D5549" s="5" t="s">
        <v>2488</v>
      </c>
      <c r="E5549" s="123">
        <v>1</v>
      </c>
      <c r="F5549" s="9"/>
      <c r="G5549" s="8">
        <f t="shared" si="168"/>
        <v>13.2384</v>
      </c>
      <c r="H5549" s="165">
        <v>12.608000000000001</v>
      </c>
      <c r="I5549" s="19">
        <f t="shared" si="169"/>
        <v>0</v>
      </c>
    </row>
    <row r="5550" spans="1:9" hidden="1">
      <c r="A5550" s="49" t="s">
        <v>8760</v>
      </c>
      <c r="B5550" s="5">
        <v>235211</v>
      </c>
      <c r="C5550" s="122" t="s">
        <v>9456</v>
      </c>
      <c r="D5550" s="5" t="s">
        <v>2488</v>
      </c>
      <c r="E5550" s="123">
        <v>1</v>
      </c>
      <c r="F5550" s="9"/>
      <c r="G5550" s="8">
        <f t="shared" si="168"/>
        <v>15.709050000000001</v>
      </c>
      <c r="H5550" s="165">
        <v>14.961</v>
      </c>
      <c r="I5550" s="19">
        <f t="shared" si="169"/>
        <v>0</v>
      </c>
    </row>
    <row r="5551" spans="1:9" hidden="1">
      <c r="A5551" s="49" t="s">
        <v>8760</v>
      </c>
      <c r="B5551" s="5">
        <v>235212</v>
      </c>
      <c r="C5551" s="122" t="s">
        <v>9457</v>
      </c>
      <c r="D5551" s="5" t="s">
        <v>2488</v>
      </c>
      <c r="E5551" s="123">
        <v>1</v>
      </c>
      <c r="F5551" s="9"/>
      <c r="G5551" s="8">
        <f t="shared" si="168"/>
        <v>21.034650000000003</v>
      </c>
      <c r="H5551" s="165">
        <v>20.033000000000001</v>
      </c>
      <c r="I5551" s="19">
        <f t="shared" si="169"/>
        <v>0</v>
      </c>
    </row>
    <row r="5552" spans="1:9" hidden="1">
      <c r="A5552" s="49" t="s">
        <v>8760</v>
      </c>
      <c r="B5552" s="5">
        <v>235213</v>
      </c>
      <c r="C5552" s="122" t="s">
        <v>9458</v>
      </c>
      <c r="D5552" s="5" t="s">
        <v>2488</v>
      </c>
      <c r="E5552" s="123">
        <v>1</v>
      </c>
      <c r="F5552" s="9"/>
      <c r="G5552" s="8">
        <f t="shared" si="168"/>
        <v>22.748249999999999</v>
      </c>
      <c r="H5552" s="165">
        <v>21.664999999999999</v>
      </c>
      <c r="I5552" s="19">
        <f t="shared" si="169"/>
        <v>0</v>
      </c>
    </row>
    <row r="5553" spans="1:9" hidden="1">
      <c r="A5553" s="49" t="s">
        <v>8760</v>
      </c>
      <c r="B5553" s="5">
        <v>235217</v>
      </c>
      <c r="C5553" s="122" t="s">
        <v>9459</v>
      </c>
      <c r="D5553" s="5" t="s">
        <v>2488</v>
      </c>
      <c r="E5553" s="123">
        <v>1</v>
      </c>
      <c r="F5553" s="9"/>
      <c r="G5553" s="8">
        <f t="shared" si="168"/>
        <v>23.193449999999999</v>
      </c>
      <c r="H5553" s="165">
        <v>22.088999999999999</v>
      </c>
      <c r="I5553" s="19">
        <f t="shared" si="169"/>
        <v>0</v>
      </c>
    </row>
    <row r="5554" spans="1:9" hidden="1">
      <c r="A5554" s="49" t="s">
        <v>8760</v>
      </c>
      <c r="B5554" s="5">
        <v>235221</v>
      </c>
      <c r="C5554" s="122" t="s">
        <v>9460</v>
      </c>
      <c r="D5554" s="5"/>
      <c r="E5554" s="123">
        <v>1</v>
      </c>
      <c r="F5554" s="9"/>
      <c r="G5554" s="8">
        <f t="shared" si="168"/>
        <v>0.72135000000000005</v>
      </c>
      <c r="H5554" s="165">
        <v>0.68700000000000006</v>
      </c>
      <c r="I5554" s="19">
        <f t="shared" si="169"/>
        <v>0</v>
      </c>
    </row>
    <row r="5555" spans="1:9" hidden="1">
      <c r="A5555" s="49" t="s">
        <v>8760</v>
      </c>
      <c r="B5555" s="5">
        <v>235222</v>
      </c>
      <c r="C5555" s="122" t="s">
        <v>9461</v>
      </c>
      <c r="D5555" s="5"/>
      <c r="E5555" s="123">
        <v>1</v>
      </c>
      <c r="F5555" s="9"/>
      <c r="G5555" s="8">
        <f t="shared" si="168"/>
        <v>1.4920500000000001</v>
      </c>
      <c r="H5555" s="165">
        <v>1.421</v>
      </c>
      <c r="I5555" s="19">
        <f t="shared" si="169"/>
        <v>0</v>
      </c>
    </row>
    <row r="5556" spans="1:9" hidden="1">
      <c r="A5556" s="49" t="s">
        <v>8760</v>
      </c>
      <c r="B5556" s="5">
        <v>235223</v>
      </c>
      <c r="C5556" s="122" t="s">
        <v>9462</v>
      </c>
      <c r="D5556" s="5" t="s">
        <v>2488</v>
      </c>
      <c r="E5556" s="123">
        <v>1</v>
      </c>
      <c r="F5556" s="9"/>
      <c r="G5556" s="8">
        <f t="shared" si="168"/>
        <v>3.927</v>
      </c>
      <c r="H5556" s="165">
        <v>3.74</v>
      </c>
      <c r="I5556" s="19">
        <f t="shared" si="169"/>
        <v>0</v>
      </c>
    </row>
    <row r="5557" spans="1:9" hidden="1">
      <c r="A5557" s="49" t="s">
        <v>8760</v>
      </c>
      <c r="B5557" s="5">
        <v>235224</v>
      </c>
      <c r="C5557" s="122" t="s">
        <v>9463</v>
      </c>
      <c r="D5557" s="5" t="s">
        <v>945</v>
      </c>
      <c r="E5557" s="123">
        <v>1</v>
      </c>
      <c r="F5557" s="9"/>
      <c r="G5557" s="8">
        <f t="shared" si="168"/>
        <v>13.315049999999999</v>
      </c>
      <c r="H5557" s="165">
        <v>12.680999999999999</v>
      </c>
      <c r="I5557" s="19">
        <f t="shared" si="169"/>
        <v>0</v>
      </c>
    </row>
    <row r="5558" spans="1:9" hidden="1">
      <c r="A5558" s="49" t="s">
        <v>8760</v>
      </c>
      <c r="B5558" s="5">
        <v>235226</v>
      </c>
      <c r="C5558" s="122" t="s">
        <v>9464</v>
      </c>
      <c r="D5558" s="5"/>
      <c r="E5558" s="123">
        <v>1</v>
      </c>
      <c r="F5558" s="9"/>
      <c r="G5558" s="8">
        <f t="shared" si="168"/>
        <v>1.4385000000000001</v>
      </c>
      <c r="H5558" s="165">
        <v>1.37</v>
      </c>
      <c r="I5558" s="19">
        <f t="shared" si="169"/>
        <v>0</v>
      </c>
    </row>
    <row r="5559" spans="1:9" hidden="1">
      <c r="A5559" s="49" t="s">
        <v>8760</v>
      </c>
      <c r="B5559" s="5">
        <v>235227</v>
      </c>
      <c r="C5559" s="122" t="s">
        <v>9465</v>
      </c>
      <c r="D5559" s="5"/>
      <c r="E5559" s="123">
        <v>1</v>
      </c>
      <c r="F5559" s="9"/>
      <c r="G5559" s="8">
        <f t="shared" si="168"/>
        <v>6.6265499999999999</v>
      </c>
      <c r="H5559" s="165">
        <v>6.3109999999999999</v>
      </c>
      <c r="I5559" s="19">
        <f t="shared" si="169"/>
        <v>0</v>
      </c>
    </row>
    <row r="5560" spans="1:9" hidden="1">
      <c r="A5560" s="49" t="s">
        <v>8760</v>
      </c>
      <c r="B5560" s="5">
        <v>235230</v>
      </c>
      <c r="C5560" s="122" t="s">
        <v>9466</v>
      </c>
      <c r="D5560" s="5" t="s">
        <v>2488</v>
      </c>
      <c r="E5560" s="123">
        <v>1</v>
      </c>
      <c r="F5560" s="9"/>
      <c r="G5560" s="8">
        <f t="shared" si="168"/>
        <v>11.110049999999999</v>
      </c>
      <c r="H5560" s="165">
        <v>10.581</v>
      </c>
      <c r="I5560" s="19">
        <f t="shared" si="169"/>
        <v>0</v>
      </c>
    </row>
    <row r="5561" spans="1:9" hidden="1">
      <c r="A5561" s="49" t="s">
        <v>8760</v>
      </c>
      <c r="B5561" s="5">
        <v>235231</v>
      </c>
      <c r="C5561" s="122" t="s">
        <v>9467</v>
      </c>
      <c r="D5561" s="5" t="s">
        <v>2488</v>
      </c>
      <c r="E5561" s="123">
        <v>1</v>
      </c>
      <c r="F5561" s="9"/>
      <c r="G5561" s="8">
        <f t="shared" si="168"/>
        <v>12.59685</v>
      </c>
      <c r="H5561" s="165">
        <v>11.997</v>
      </c>
      <c r="I5561" s="19">
        <f t="shared" si="169"/>
        <v>0</v>
      </c>
    </row>
    <row r="5562" spans="1:9" hidden="1">
      <c r="A5562" s="49" t="s">
        <v>8760</v>
      </c>
      <c r="B5562" s="5">
        <v>235232</v>
      </c>
      <c r="C5562" s="122" t="s">
        <v>9468</v>
      </c>
      <c r="D5562" s="5" t="s">
        <v>2488</v>
      </c>
      <c r="E5562" s="123">
        <v>1</v>
      </c>
      <c r="F5562" s="9"/>
      <c r="G5562" s="8">
        <f t="shared" si="168"/>
        <v>15.951600000000001</v>
      </c>
      <c r="H5562" s="165">
        <v>15.192</v>
      </c>
      <c r="I5562" s="19">
        <f t="shared" si="169"/>
        <v>0</v>
      </c>
    </row>
    <row r="5563" spans="1:9" hidden="1">
      <c r="A5563" s="49" t="s">
        <v>8760</v>
      </c>
      <c r="B5563" s="5">
        <v>235233</v>
      </c>
      <c r="C5563" s="122" t="s">
        <v>9469</v>
      </c>
      <c r="D5563" s="5" t="s">
        <v>2488</v>
      </c>
      <c r="E5563" s="123">
        <v>1</v>
      </c>
      <c r="F5563" s="9"/>
      <c r="G5563" s="8">
        <f t="shared" si="168"/>
        <v>20.287050000000001</v>
      </c>
      <c r="H5563" s="165">
        <v>19.321000000000002</v>
      </c>
      <c r="I5563" s="19">
        <f t="shared" si="169"/>
        <v>0</v>
      </c>
    </row>
    <row r="5564" spans="1:9" hidden="1">
      <c r="A5564" s="49" t="s">
        <v>8760</v>
      </c>
      <c r="B5564" s="5">
        <v>235234</v>
      </c>
      <c r="C5564" s="122" t="s">
        <v>9470</v>
      </c>
      <c r="D5564" s="5" t="s">
        <v>2488</v>
      </c>
      <c r="E5564" s="123">
        <v>1</v>
      </c>
      <c r="F5564" s="9"/>
      <c r="G5564" s="8">
        <f t="shared" si="168"/>
        <v>21.414749999999998</v>
      </c>
      <c r="H5564" s="165">
        <v>20.395</v>
      </c>
      <c r="I5564" s="19">
        <f t="shared" si="169"/>
        <v>0</v>
      </c>
    </row>
    <row r="5565" spans="1:9" hidden="1">
      <c r="A5565" s="49" t="s">
        <v>8760</v>
      </c>
      <c r="B5565" s="5">
        <v>235240</v>
      </c>
      <c r="C5565" s="122" t="s">
        <v>9471</v>
      </c>
      <c r="D5565" s="5" t="s">
        <v>2488</v>
      </c>
      <c r="E5565" s="123">
        <v>1</v>
      </c>
      <c r="F5565" s="9"/>
      <c r="G5565" s="8">
        <f t="shared" si="168"/>
        <v>3.98475</v>
      </c>
      <c r="H5565" s="165">
        <v>3.7949999999999999</v>
      </c>
      <c r="I5565" s="19">
        <f t="shared" si="169"/>
        <v>0</v>
      </c>
    </row>
    <row r="5566" spans="1:9" hidden="1">
      <c r="A5566" s="49" t="s">
        <v>8760</v>
      </c>
      <c r="B5566" s="5">
        <v>235241</v>
      </c>
      <c r="C5566" s="122" t="s">
        <v>9472</v>
      </c>
      <c r="D5566" s="5" t="s">
        <v>2488</v>
      </c>
      <c r="E5566" s="123">
        <v>1</v>
      </c>
      <c r="F5566" s="9"/>
      <c r="G5566" s="8">
        <f t="shared" si="168"/>
        <v>4.4845499999999996</v>
      </c>
      <c r="H5566" s="165">
        <v>4.2709999999999999</v>
      </c>
      <c r="I5566" s="19">
        <f t="shared" si="169"/>
        <v>0</v>
      </c>
    </row>
    <row r="5567" spans="1:9" hidden="1">
      <c r="A5567" s="49" t="s">
        <v>8760</v>
      </c>
      <c r="B5567" s="5">
        <v>235242</v>
      </c>
      <c r="C5567" s="122" t="s">
        <v>9473</v>
      </c>
      <c r="D5567" s="5" t="s">
        <v>2488</v>
      </c>
      <c r="E5567" s="123">
        <v>1</v>
      </c>
      <c r="F5567" s="9"/>
      <c r="G5567" s="8">
        <f t="shared" si="168"/>
        <v>4.8835499999999996</v>
      </c>
      <c r="H5567" s="165">
        <v>4.6509999999999998</v>
      </c>
      <c r="I5567" s="19">
        <f t="shared" si="169"/>
        <v>0</v>
      </c>
    </row>
    <row r="5568" spans="1:9" hidden="1">
      <c r="A5568" s="49" t="s">
        <v>8760</v>
      </c>
      <c r="B5568" s="5">
        <v>235305</v>
      </c>
      <c r="C5568" s="122" t="s">
        <v>9474</v>
      </c>
      <c r="D5568" s="5" t="s">
        <v>2488</v>
      </c>
      <c r="E5568" s="123">
        <v>1</v>
      </c>
      <c r="F5568" s="9"/>
      <c r="G5568" s="8">
        <f t="shared" si="168"/>
        <v>1.2400500000000001</v>
      </c>
      <c r="H5568" s="165">
        <v>1.181</v>
      </c>
      <c r="I5568" s="19">
        <f t="shared" si="169"/>
        <v>0</v>
      </c>
    </row>
    <row r="5569" spans="1:9" hidden="1">
      <c r="A5569" s="49" t="s">
        <v>8760</v>
      </c>
      <c r="B5569" s="5">
        <v>235309</v>
      </c>
      <c r="C5569" s="122" t="s">
        <v>9475</v>
      </c>
      <c r="D5569" s="5"/>
      <c r="E5569" s="123">
        <v>1</v>
      </c>
      <c r="F5569" s="9"/>
      <c r="G5569" s="8">
        <f t="shared" si="168"/>
        <v>18.509399999999999</v>
      </c>
      <c r="H5569" s="165">
        <v>17.628</v>
      </c>
      <c r="I5569" s="19">
        <f t="shared" si="169"/>
        <v>0</v>
      </c>
    </row>
    <row r="5570" spans="1:9" hidden="1">
      <c r="A5570" s="49" t="s">
        <v>8760</v>
      </c>
      <c r="B5570" s="5">
        <v>235310</v>
      </c>
      <c r="C5570" s="122" t="s">
        <v>9476</v>
      </c>
      <c r="D5570" s="5"/>
      <c r="E5570" s="123">
        <v>1</v>
      </c>
      <c r="F5570" s="9"/>
      <c r="G5570" s="8">
        <f t="shared" si="168"/>
        <v>18.509399999999999</v>
      </c>
      <c r="H5570" s="165">
        <v>17.628</v>
      </c>
      <c r="I5570" s="19">
        <f t="shared" si="169"/>
        <v>0</v>
      </c>
    </row>
    <row r="5571" spans="1:9" hidden="1">
      <c r="A5571" s="49" t="s">
        <v>8760</v>
      </c>
      <c r="B5571" s="5">
        <v>235311</v>
      </c>
      <c r="C5571" s="122" t="s">
        <v>9477</v>
      </c>
      <c r="D5571" s="5"/>
      <c r="E5571" s="123">
        <v>1</v>
      </c>
      <c r="F5571" s="9"/>
      <c r="G5571" s="8">
        <f t="shared" si="168"/>
        <v>5.7603</v>
      </c>
      <c r="H5571" s="165">
        <v>5.4859999999999998</v>
      </c>
      <c r="I5571" s="19">
        <f t="shared" si="169"/>
        <v>0</v>
      </c>
    </row>
    <row r="5572" spans="1:9" hidden="1">
      <c r="A5572" s="49" t="s">
        <v>8760</v>
      </c>
      <c r="B5572" s="5">
        <v>235312</v>
      </c>
      <c r="C5572" s="122" t="s">
        <v>9478</v>
      </c>
      <c r="D5572" s="5"/>
      <c r="E5572" s="123">
        <v>1</v>
      </c>
      <c r="F5572" s="9"/>
      <c r="G5572" s="8">
        <f t="shared" si="168"/>
        <v>6.0721500000000006</v>
      </c>
      <c r="H5572" s="165">
        <v>5.7830000000000004</v>
      </c>
      <c r="I5572" s="19">
        <f t="shared" si="169"/>
        <v>0</v>
      </c>
    </row>
    <row r="5573" spans="1:9" hidden="1">
      <c r="A5573" s="49" t="s">
        <v>8760</v>
      </c>
      <c r="B5573" s="5">
        <v>235322</v>
      </c>
      <c r="C5573" s="122" t="s">
        <v>9479</v>
      </c>
      <c r="D5573" s="5"/>
      <c r="E5573" s="123">
        <v>1</v>
      </c>
      <c r="F5573" s="9"/>
      <c r="G5573" s="8">
        <f t="shared" si="168"/>
        <v>0.95550000000000002</v>
      </c>
      <c r="H5573" s="165">
        <v>0.91</v>
      </c>
      <c r="I5573" s="19">
        <f t="shared" si="169"/>
        <v>0</v>
      </c>
    </row>
    <row r="5574" spans="1:9" hidden="1">
      <c r="A5574" s="49" t="s">
        <v>8760</v>
      </c>
      <c r="B5574" s="5" t="s">
        <v>9480</v>
      </c>
      <c r="C5574" s="122" t="s">
        <v>9481</v>
      </c>
      <c r="D5574" s="5"/>
      <c r="E5574" s="123">
        <v>1</v>
      </c>
      <c r="F5574" s="9"/>
      <c r="G5574" s="8">
        <f t="shared" si="168"/>
        <v>1.3440000000000001</v>
      </c>
      <c r="H5574" s="165">
        <v>1.28</v>
      </c>
      <c r="I5574" s="19">
        <f t="shared" si="169"/>
        <v>0</v>
      </c>
    </row>
    <row r="5575" spans="1:9" hidden="1">
      <c r="A5575" s="49" t="s">
        <v>8760</v>
      </c>
      <c r="B5575" s="5" t="s">
        <v>9482</v>
      </c>
      <c r="C5575" s="122" t="s">
        <v>9483</v>
      </c>
      <c r="D5575" s="5"/>
      <c r="E5575" s="123">
        <v>1</v>
      </c>
      <c r="F5575" s="9"/>
      <c r="G5575" s="8">
        <f t="shared" si="168"/>
        <v>1.8595499999999998</v>
      </c>
      <c r="H5575" s="165">
        <v>1.7709999999999999</v>
      </c>
      <c r="I5575" s="19">
        <f t="shared" si="169"/>
        <v>0</v>
      </c>
    </row>
    <row r="5576" spans="1:9" hidden="1">
      <c r="A5576" s="49" t="s">
        <v>8760</v>
      </c>
      <c r="B5576" s="5" t="s">
        <v>9484</v>
      </c>
      <c r="C5576" s="122" t="s">
        <v>9485</v>
      </c>
      <c r="D5576" s="5"/>
      <c r="E5576" s="123">
        <v>1</v>
      </c>
      <c r="F5576" s="9"/>
      <c r="G5576" s="8">
        <f t="shared" si="168"/>
        <v>2.4181499999999998</v>
      </c>
      <c r="H5576" s="165">
        <v>2.3029999999999999</v>
      </c>
      <c r="I5576" s="19">
        <f t="shared" si="169"/>
        <v>0</v>
      </c>
    </row>
    <row r="5577" spans="1:9" hidden="1">
      <c r="A5577" s="49" t="s">
        <v>8760</v>
      </c>
      <c r="B5577" s="5" t="s">
        <v>9486</v>
      </c>
      <c r="C5577" s="122" t="s">
        <v>9487</v>
      </c>
      <c r="D5577" s="5"/>
      <c r="E5577" s="123">
        <v>1</v>
      </c>
      <c r="F5577" s="9"/>
      <c r="G5577" s="8">
        <f t="shared" si="168"/>
        <v>2.98935</v>
      </c>
      <c r="H5577" s="165">
        <v>2.847</v>
      </c>
      <c r="I5577" s="19">
        <f t="shared" si="169"/>
        <v>0</v>
      </c>
    </row>
    <row r="5578" spans="1:9" hidden="1">
      <c r="A5578" s="49" t="s">
        <v>8760</v>
      </c>
      <c r="B5578" s="5">
        <v>235401</v>
      </c>
      <c r="C5578" s="122" t="s">
        <v>9488</v>
      </c>
      <c r="D5578" s="5"/>
      <c r="E5578" s="123">
        <v>1</v>
      </c>
      <c r="F5578" s="9"/>
      <c r="G5578" s="8">
        <f t="shared" si="168"/>
        <v>0.45045000000000002</v>
      </c>
      <c r="H5578" s="165">
        <v>0.42899999999999999</v>
      </c>
      <c r="I5578" s="19">
        <f t="shared" si="169"/>
        <v>0</v>
      </c>
    </row>
    <row r="5579" spans="1:9" hidden="1">
      <c r="A5579" s="49" t="s">
        <v>8760</v>
      </c>
      <c r="B5579" s="5">
        <v>235402</v>
      </c>
      <c r="C5579" s="122" t="s">
        <v>9489</v>
      </c>
      <c r="D5579" s="5"/>
      <c r="E5579" s="123">
        <v>1</v>
      </c>
      <c r="F5579" s="9"/>
      <c r="G5579" s="8">
        <f t="shared" si="168"/>
        <v>0.81479999999999997</v>
      </c>
      <c r="H5579" s="165">
        <v>0.77600000000000002</v>
      </c>
      <c r="I5579" s="19">
        <f t="shared" si="169"/>
        <v>0</v>
      </c>
    </row>
    <row r="5580" spans="1:9" hidden="1">
      <c r="A5580" s="49" t="s">
        <v>8760</v>
      </c>
      <c r="B5580" s="5" t="s">
        <v>9490</v>
      </c>
      <c r="C5580" s="122" t="s">
        <v>9491</v>
      </c>
      <c r="D5580" s="5"/>
      <c r="E5580" s="123">
        <v>1</v>
      </c>
      <c r="F5580" s="9"/>
      <c r="G5580" s="8">
        <f t="shared" si="168"/>
        <v>1.11405</v>
      </c>
      <c r="H5580" s="165">
        <v>1.0609999999999999</v>
      </c>
      <c r="I5580" s="19">
        <f t="shared" si="169"/>
        <v>0</v>
      </c>
    </row>
    <row r="5581" spans="1:9" hidden="1">
      <c r="A5581" s="49" t="s">
        <v>8760</v>
      </c>
      <c r="B5581" s="5" t="s">
        <v>9492</v>
      </c>
      <c r="C5581" s="122" t="s">
        <v>9493</v>
      </c>
      <c r="D5581" s="5"/>
      <c r="E5581" s="123">
        <v>1</v>
      </c>
      <c r="F5581" s="9"/>
      <c r="G5581" s="8">
        <f t="shared" si="168"/>
        <v>1.4133</v>
      </c>
      <c r="H5581" s="165">
        <v>1.3460000000000001</v>
      </c>
      <c r="I5581" s="19">
        <f t="shared" si="169"/>
        <v>0</v>
      </c>
    </row>
    <row r="5582" spans="1:9" hidden="1">
      <c r="A5582" s="49" t="s">
        <v>8760</v>
      </c>
      <c r="B5582" s="5" t="s">
        <v>9494</v>
      </c>
      <c r="C5582" s="122" t="s">
        <v>9495</v>
      </c>
      <c r="D5582" s="5"/>
      <c r="E5582" s="123">
        <v>1</v>
      </c>
      <c r="F5582" s="9"/>
      <c r="G5582" s="8">
        <f t="shared" si="168"/>
        <v>1.7282999999999999</v>
      </c>
      <c r="H5582" s="165">
        <v>1.6459999999999999</v>
      </c>
      <c r="I5582" s="19">
        <f t="shared" si="169"/>
        <v>0</v>
      </c>
    </row>
    <row r="5583" spans="1:9" hidden="1">
      <c r="A5583" s="49" t="s">
        <v>8760</v>
      </c>
      <c r="B5583" s="5" t="s">
        <v>9496</v>
      </c>
      <c r="C5583" s="122" t="s">
        <v>9497</v>
      </c>
      <c r="D5583" s="5"/>
      <c r="E5583" s="123">
        <v>1</v>
      </c>
      <c r="F5583" s="9"/>
      <c r="G5583" s="8">
        <f t="shared" si="168"/>
        <v>2.1</v>
      </c>
      <c r="H5583" s="165">
        <v>2</v>
      </c>
      <c r="I5583" s="19">
        <f t="shared" si="169"/>
        <v>0</v>
      </c>
    </row>
    <row r="5584" spans="1:9" hidden="1">
      <c r="A5584" s="49" t="s">
        <v>8760</v>
      </c>
      <c r="B5584" s="5">
        <v>235404</v>
      </c>
      <c r="C5584" s="122" t="s">
        <v>9498</v>
      </c>
      <c r="D5584" s="5"/>
      <c r="E5584" s="123">
        <v>1</v>
      </c>
      <c r="F5584" s="9"/>
      <c r="G5584" s="8">
        <f t="shared" si="168"/>
        <v>1.32195</v>
      </c>
      <c r="H5584" s="165">
        <v>1.2589999999999999</v>
      </c>
      <c r="I5584" s="19">
        <f t="shared" si="169"/>
        <v>0</v>
      </c>
    </row>
    <row r="5585" spans="1:9" hidden="1">
      <c r="A5585" s="49" t="s">
        <v>8760</v>
      </c>
      <c r="B5585" s="5">
        <v>235405</v>
      </c>
      <c r="C5585" s="122" t="s">
        <v>9499</v>
      </c>
      <c r="D5585" s="5"/>
      <c r="E5585" s="123">
        <v>1</v>
      </c>
      <c r="F5585" s="9"/>
      <c r="G5585" s="8">
        <f t="shared" si="168"/>
        <v>0.7833</v>
      </c>
      <c r="H5585" s="165">
        <v>0.746</v>
      </c>
      <c r="I5585" s="19">
        <f t="shared" si="169"/>
        <v>0</v>
      </c>
    </row>
    <row r="5586" spans="1:9" hidden="1">
      <c r="A5586" s="49" t="s">
        <v>8760</v>
      </c>
      <c r="B5586" s="5">
        <v>235407</v>
      </c>
      <c r="C5586" s="122" t="s">
        <v>9500</v>
      </c>
      <c r="D5586" s="5"/>
      <c r="E5586" s="123">
        <v>1</v>
      </c>
      <c r="F5586" s="9"/>
      <c r="G5586" s="8">
        <f t="shared" si="168"/>
        <v>2.2060499999999998</v>
      </c>
      <c r="H5586" s="165">
        <v>2.101</v>
      </c>
      <c r="I5586" s="19">
        <f t="shared" si="169"/>
        <v>0</v>
      </c>
    </row>
    <row r="5587" spans="1:9" hidden="1">
      <c r="A5587" s="49" t="s">
        <v>8760</v>
      </c>
      <c r="B5587" s="5">
        <v>235408</v>
      </c>
      <c r="C5587" s="122" t="s">
        <v>9501</v>
      </c>
      <c r="D5587" s="5"/>
      <c r="E5587" s="123">
        <v>1</v>
      </c>
      <c r="F5587" s="9"/>
      <c r="G5587" s="8">
        <f t="shared" si="168"/>
        <v>2.98515</v>
      </c>
      <c r="H5587" s="165">
        <v>2.843</v>
      </c>
      <c r="I5587" s="19">
        <f t="shared" si="169"/>
        <v>0</v>
      </c>
    </row>
    <row r="5588" spans="1:9" hidden="1">
      <c r="A5588" s="49" t="s">
        <v>8760</v>
      </c>
      <c r="B5588" s="5">
        <v>235409</v>
      </c>
      <c r="C5588" s="122" t="s">
        <v>9502</v>
      </c>
      <c r="D5588" s="5" t="s">
        <v>945</v>
      </c>
      <c r="E5588" s="123">
        <v>1</v>
      </c>
      <c r="F5588" s="9"/>
      <c r="G5588" s="8">
        <f t="shared" ref="G5588:G5651" si="170">H5588+(H5588*5%)</f>
        <v>14.564550000000001</v>
      </c>
      <c r="H5588" s="165">
        <v>13.871</v>
      </c>
      <c r="I5588" s="19">
        <f t="shared" ref="I5588:I5651" si="171">G5588*F5588</f>
        <v>0</v>
      </c>
    </row>
    <row r="5589" spans="1:9" hidden="1">
      <c r="A5589" s="49" t="s">
        <v>8760</v>
      </c>
      <c r="B5589" s="5">
        <v>235412</v>
      </c>
      <c r="C5589" s="122" t="s">
        <v>9503</v>
      </c>
      <c r="D5589" s="5"/>
      <c r="E5589" s="123">
        <v>1</v>
      </c>
      <c r="F5589" s="9"/>
      <c r="G5589" s="8">
        <f t="shared" si="170"/>
        <v>0.56700000000000006</v>
      </c>
      <c r="H5589" s="165">
        <v>0.54</v>
      </c>
      <c r="I5589" s="19">
        <f t="shared" si="171"/>
        <v>0</v>
      </c>
    </row>
    <row r="5590" spans="1:9" hidden="1">
      <c r="A5590" s="49" t="s">
        <v>8760</v>
      </c>
      <c r="B5590" s="5">
        <v>235413</v>
      </c>
      <c r="C5590" s="122" t="s">
        <v>9504</v>
      </c>
      <c r="D5590" s="5"/>
      <c r="E5590" s="123">
        <v>1</v>
      </c>
      <c r="F5590" s="9"/>
      <c r="G5590" s="8">
        <f t="shared" si="170"/>
        <v>1.3398000000000001</v>
      </c>
      <c r="H5590" s="165">
        <v>1.276</v>
      </c>
      <c r="I5590" s="19">
        <f t="shared" si="171"/>
        <v>0</v>
      </c>
    </row>
    <row r="5591" spans="1:9" hidden="1">
      <c r="A5591" s="49" t="s">
        <v>8760</v>
      </c>
      <c r="B5591" s="5">
        <v>235414</v>
      </c>
      <c r="C5591" s="122" t="s">
        <v>9505</v>
      </c>
      <c r="D5591" s="5"/>
      <c r="E5591" s="123">
        <v>1</v>
      </c>
      <c r="F5591" s="9"/>
      <c r="G5591" s="8">
        <f t="shared" si="170"/>
        <v>1.5791999999999999</v>
      </c>
      <c r="H5591" s="165">
        <v>1.504</v>
      </c>
      <c r="I5591" s="19">
        <f t="shared" si="171"/>
        <v>0</v>
      </c>
    </row>
    <row r="5592" spans="1:9" hidden="1">
      <c r="A5592" s="49" t="s">
        <v>8760</v>
      </c>
      <c r="B5592" s="5">
        <v>235500</v>
      </c>
      <c r="C5592" s="122" t="s">
        <v>9506</v>
      </c>
      <c r="D5592" s="5"/>
      <c r="E5592" s="123">
        <v>1</v>
      </c>
      <c r="F5592" s="9"/>
      <c r="G5592" s="8">
        <f t="shared" si="170"/>
        <v>1.5561</v>
      </c>
      <c r="H5592" s="165">
        <v>1.482</v>
      </c>
      <c r="I5592" s="19">
        <f t="shared" si="171"/>
        <v>0</v>
      </c>
    </row>
    <row r="5593" spans="1:9" hidden="1">
      <c r="A5593" s="49" t="s">
        <v>8760</v>
      </c>
      <c r="B5593" s="5" t="s">
        <v>9507</v>
      </c>
      <c r="C5593" s="122" t="s">
        <v>9508</v>
      </c>
      <c r="D5593" s="5"/>
      <c r="E5593" s="123">
        <v>1</v>
      </c>
      <c r="F5593" s="9"/>
      <c r="G5593" s="8">
        <f t="shared" si="170"/>
        <v>1.6306499999999999</v>
      </c>
      <c r="H5593" s="165">
        <v>1.5529999999999999</v>
      </c>
      <c r="I5593" s="19">
        <f t="shared" si="171"/>
        <v>0</v>
      </c>
    </row>
    <row r="5594" spans="1:9" hidden="1">
      <c r="A5594" s="49" t="s">
        <v>8760</v>
      </c>
      <c r="B5594" s="5" t="s">
        <v>9509</v>
      </c>
      <c r="C5594" s="122" t="s">
        <v>9510</v>
      </c>
      <c r="D5594" s="5"/>
      <c r="E5594" s="123">
        <v>1</v>
      </c>
      <c r="F5594" s="9"/>
      <c r="G5594" s="8">
        <f t="shared" si="170"/>
        <v>2.4569999999999999</v>
      </c>
      <c r="H5594" s="165">
        <v>2.34</v>
      </c>
      <c r="I5594" s="19">
        <f t="shared" si="171"/>
        <v>0</v>
      </c>
    </row>
    <row r="5595" spans="1:9" hidden="1">
      <c r="A5595" s="49" t="s">
        <v>8760</v>
      </c>
      <c r="B5595" s="5" t="s">
        <v>9511</v>
      </c>
      <c r="C5595" s="122" t="s">
        <v>9512</v>
      </c>
      <c r="D5595" s="5"/>
      <c r="E5595" s="123">
        <v>1</v>
      </c>
      <c r="F5595" s="9"/>
      <c r="G5595" s="8">
        <f t="shared" si="170"/>
        <v>3.0061499999999999</v>
      </c>
      <c r="H5595" s="165">
        <v>2.863</v>
      </c>
      <c r="I5595" s="19">
        <f t="shared" si="171"/>
        <v>0</v>
      </c>
    </row>
    <row r="5596" spans="1:9" hidden="1">
      <c r="A5596" s="49" t="s">
        <v>8760</v>
      </c>
      <c r="B5596" s="5">
        <v>235502</v>
      </c>
      <c r="C5596" s="122" t="s">
        <v>9513</v>
      </c>
      <c r="D5596" s="5"/>
      <c r="E5596" s="123">
        <v>1</v>
      </c>
      <c r="F5596" s="9"/>
      <c r="G5596" s="8">
        <f t="shared" si="170"/>
        <v>0.50924999999999998</v>
      </c>
      <c r="H5596" s="165">
        <v>0.48499999999999999</v>
      </c>
      <c r="I5596" s="19">
        <f t="shared" si="171"/>
        <v>0</v>
      </c>
    </row>
    <row r="5597" spans="1:9" hidden="1">
      <c r="A5597" s="49" t="s">
        <v>8760</v>
      </c>
      <c r="B5597" s="5">
        <v>235503</v>
      </c>
      <c r="C5597" s="122" t="s">
        <v>9514</v>
      </c>
      <c r="D5597" s="5"/>
      <c r="E5597" s="123">
        <v>1</v>
      </c>
      <c r="F5597" s="9"/>
      <c r="G5597" s="8">
        <f t="shared" si="170"/>
        <v>0.36119999999999997</v>
      </c>
      <c r="H5597" s="165">
        <v>0.34399999999999997</v>
      </c>
      <c r="I5597" s="19">
        <f t="shared" si="171"/>
        <v>0</v>
      </c>
    </row>
    <row r="5598" spans="1:9" hidden="1">
      <c r="A5598" s="49" t="s">
        <v>8760</v>
      </c>
      <c r="B5598" s="5">
        <v>235504</v>
      </c>
      <c r="C5598" s="122" t="s">
        <v>9515</v>
      </c>
      <c r="D5598" s="5"/>
      <c r="E5598" s="123">
        <v>1</v>
      </c>
      <c r="F5598" s="9"/>
      <c r="G5598" s="8">
        <f t="shared" si="170"/>
        <v>1.2936000000000001</v>
      </c>
      <c r="H5598" s="165">
        <v>1.232</v>
      </c>
      <c r="I5598" s="19">
        <f t="shared" si="171"/>
        <v>0</v>
      </c>
    </row>
    <row r="5599" spans="1:9" hidden="1">
      <c r="A5599" s="49" t="s">
        <v>8760</v>
      </c>
      <c r="B5599" s="5">
        <v>235505</v>
      </c>
      <c r="C5599" s="122" t="s">
        <v>9516</v>
      </c>
      <c r="D5599" s="5"/>
      <c r="E5599" s="123">
        <v>1</v>
      </c>
      <c r="F5599" s="9"/>
      <c r="G5599" s="8">
        <f t="shared" si="170"/>
        <v>0.7286999999999999</v>
      </c>
      <c r="H5599" s="165">
        <v>0.69399999999999995</v>
      </c>
      <c r="I5599" s="19">
        <f t="shared" si="171"/>
        <v>0</v>
      </c>
    </row>
    <row r="5600" spans="1:9" hidden="1">
      <c r="A5600" s="49" t="s">
        <v>8760</v>
      </c>
      <c r="B5600" s="5">
        <v>235600</v>
      </c>
      <c r="C5600" s="122" t="s">
        <v>9517</v>
      </c>
      <c r="D5600" s="5" t="s">
        <v>9049</v>
      </c>
      <c r="E5600" s="123">
        <v>1</v>
      </c>
      <c r="F5600" s="9"/>
      <c r="G5600" s="8">
        <f t="shared" si="170"/>
        <v>1.6548</v>
      </c>
      <c r="H5600" s="165">
        <v>1.5760000000000001</v>
      </c>
      <c r="I5600" s="19">
        <f t="shared" si="171"/>
        <v>0</v>
      </c>
    </row>
    <row r="5601" spans="1:9" hidden="1">
      <c r="A5601" s="49" t="s">
        <v>8760</v>
      </c>
      <c r="B5601" s="5">
        <v>23995</v>
      </c>
      <c r="C5601" s="122" t="s">
        <v>9518</v>
      </c>
      <c r="D5601" s="5"/>
      <c r="E5601" s="123">
        <v>1</v>
      </c>
      <c r="F5601" s="9"/>
      <c r="G5601" s="8">
        <f t="shared" si="170"/>
        <v>329.87954999999999</v>
      </c>
      <c r="H5601" s="165">
        <v>314.17099999999999</v>
      </c>
      <c r="I5601" s="19">
        <f t="shared" si="171"/>
        <v>0</v>
      </c>
    </row>
    <row r="5602" spans="1:9" hidden="1">
      <c r="A5602" s="49" t="s">
        <v>8760</v>
      </c>
      <c r="B5602" s="5">
        <v>240030</v>
      </c>
      <c r="C5602" s="122" t="s">
        <v>9519</v>
      </c>
      <c r="D5602" s="5" t="s">
        <v>2488</v>
      </c>
      <c r="E5602" s="123">
        <v>1</v>
      </c>
      <c r="F5602" s="9"/>
      <c r="G5602" s="8">
        <f t="shared" si="170"/>
        <v>4.1832000000000003</v>
      </c>
      <c r="H5602" s="165">
        <v>3.984</v>
      </c>
      <c r="I5602" s="19">
        <f t="shared" si="171"/>
        <v>0</v>
      </c>
    </row>
    <row r="5603" spans="1:9" hidden="1">
      <c r="A5603" s="49" t="s">
        <v>8760</v>
      </c>
      <c r="B5603" s="5" t="s">
        <v>9520</v>
      </c>
      <c r="C5603" s="122" t="s">
        <v>9521</v>
      </c>
      <c r="D5603" s="5"/>
      <c r="E5603" s="123">
        <v>1</v>
      </c>
      <c r="F5603" s="9"/>
      <c r="G5603" s="8">
        <f t="shared" si="170"/>
        <v>4.6294499999999994</v>
      </c>
      <c r="H5603" s="165">
        <v>4.4089999999999998</v>
      </c>
      <c r="I5603" s="19">
        <f t="shared" si="171"/>
        <v>0</v>
      </c>
    </row>
    <row r="5604" spans="1:9" hidden="1">
      <c r="A5604" s="49" t="s">
        <v>8760</v>
      </c>
      <c r="B5604" s="5">
        <v>240031</v>
      </c>
      <c r="C5604" s="122" t="s">
        <v>9522</v>
      </c>
      <c r="D5604" s="5"/>
      <c r="E5604" s="123">
        <v>1</v>
      </c>
      <c r="F5604" s="9"/>
      <c r="G5604" s="8">
        <f t="shared" si="170"/>
        <v>5.6342999999999996</v>
      </c>
      <c r="H5604" s="165">
        <v>5.3659999999999997</v>
      </c>
      <c r="I5604" s="19">
        <f t="shared" si="171"/>
        <v>0</v>
      </c>
    </row>
    <row r="5605" spans="1:9" hidden="1">
      <c r="A5605" s="49" t="s">
        <v>8760</v>
      </c>
      <c r="B5605" s="5" t="s">
        <v>9523</v>
      </c>
      <c r="C5605" s="122" t="s">
        <v>9524</v>
      </c>
      <c r="D5605" s="5"/>
      <c r="E5605" s="123">
        <v>1</v>
      </c>
      <c r="F5605" s="9"/>
      <c r="G5605" s="8">
        <f t="shared" si="170"/>
        <v>6.0795000000000003</v>
      </c>
      <c r="H5605" s="165">
        <v>5.79</v>
      </c>
      <c r="I5605" s="19">
        <f t="shared" si="171"/>
        <v>0</v>
      </c>
    </row>
    <row r="5606" spans="1:9">
      <c r="A5606" s="49" t="s">
        <v>8760</v>
      </c>
      <c r="B5606" s="5">
        <v>240033</v>
      </c>
      <c r="C5606" s="122" t="s">
        <v>9525</v>
      </c>
      <c r="D5606" s="5"/>
      <c r="E5606" s="123">
        <v>1</v>
      </c>
      <c r="F5606" s="9">
        <v>20</v>
      </c>
      <c r="G5606" s="8">
        <f t="shared" si="170"/>
        <v>4.5653999999999995</v>
      </c>
      <c r="H5606" s="165">
        <v>4.3479999999999999</v>
      </c>
      <c r="I5606" s="19">
        <f t="shared" si="171"/>
        <v>91.307999999999993</v>
      </c>
    </row>
    <row r="5607" spans="1:9" hidden="1">
      <c r="A5607" s="49" t="s">
        <v>8760</v>
      </c>
      <c r="B5607" s="5" t="s">
        <v>9526</v>
      </c>
      <c r="C5607" s="122" t="s">
        <v>9527</v>
      </c>
      <c r="D5607" s="5"/>
      <c r="E5607" s="123">
        <v>1</v>
      </c>
      <c r="F5607" s="9"/>
      <c r="G5607" s="8">
        <f t="shared" si="170"/>
        <v>5.5051500000000004</v>
      </c>
      <c r="H5607" s="165">
        <v>5.2430000000000003</v>
      </c>
      <c r="I5607" s="19">
        <f t="shared" si="171"/>
        <v>0</v>
      </c>
    </row>
    <row r="5608" spans="1:9" hidden="1">
      <c r="A5608" s="49" t="s">
        <v>8760</v>
      </c>
      <c r="B5608" s="5">
        <v>240034</v>
      </c>
      <c r="C5608" s="122" t="s">
        <v>9528</v>
      </c>
      <c r="D5608" s="5"/>
      <c r="E5608" s="123">
        <v>1</v>
      </c>
      <c r="F5608" s="9"/>
      <c r="G5608" s="8">
        <f t="shared" si="170"/>
        <v>6.4438499999999994</v>
      </c>
      <c r="H5608" s="165">
        <v>6.1369999999999996</v>
      </c>
      <c r="I5608" s="19">
        <f t="shared" si="171"/>
        <v>0</v>
      </c>
    </row>
    <row r="5609" spans="1:9" hidden="1">
      <c r="A5609" s="49" t="s">
        <v>8760</v>
      </c>
      <c r="B5609" s="5" t="s">
        <v>9529</v>
      </c>
      <c r="C5609" s="122" t="s">
        <v>9530</v>
      </c>
      <c r="D5609" s="5"/>
      <c r="E5609" s="123">
        <v>1</v>
      </c>
      <c r="F5609" s="9"/>
      <c r="G5609" s="8">
        <f t="shared" si="170"/>
        <v>7.0202999999999998</v>
      </c>
      <c r="H5609" s="165">
        <v>6.6859999999999999</v>
      </c>
      <c r="I5609" s="19">
        <f t="shared" si="171"/>
        <v>0</v>
      </c>
    </row>
    <row r="5610" spans="1:9" hidden="1">
      <c r="A5610" s="49" t="s">
        <v>8760</v>
      </c>
      <c r="B5610" s="5">
        <v>240035</v>
      </c>
      <c r="C5610" s="122" t="s">
        <v>9531</v>
      </c>
      <c r="D5610" s="5"/>
      <c r="E5610" s="123">
        <v>1</v>
      </c>
      <c r="F5610" s="9"/>
      <c r="G5610" s="8">
        <f t="shared" si="170"/>
        <v>19.878599999999999</v>
      </c>
      <c r="H5610" s="165">
        <v>18.931999999999999</v>
      </c>
      <c r="I5610" s="19">
        <f t="shared" si="171"/>
        <v>0</v>
      </c>
    </row>
    <row r="5611" spans="1:9" hidden="1">
      <c r="A5611" s="49" t="s">
        <v>8760</v>
      </c>
      <c r="B5611" s="5">
        <v>240036</v>
      </c>
      <c r="C5611" s="122" t="s">
        <v>9532</v>
      </c>
      <c r="D5611" s="5"/>
      <c r="E5611" s="123">
        <v>1</v>
      </c>
      <c r="F5611" s="9"/>
      <c r="G5611" s="8">
        <f t="shared" si="170"/>
        <v>22.6569</v>
      </c>
      <c r="H5611" s="165">
        <v>21.577999999999999</v>
      </c>
      <c r="I5611" s="19">
        <f t="shared" si="171"/>
        <v>0</v>
      </c>
    </row>
    <row r="5612" spans="1:9" hidden="1">
      <c r="A5612" s="49" t="s">
        <v>8760</v>
      </c>
      <c r="B5612" s="5">
        <v>240041</v>
      </c>
      <c r="C5612" s="122" t="s">
        <v>9533</v>
      </c>
      <c r="D5612" s="5"/>
      <c r="E5612" s="123">
        <v>1</v>
      </c>
      <c r="F5612" s="9"/>
      <c r="G5612" s="8">
        <f t="shared" si="170"/>
        <v>0.92925000000000002</v>
      </c>
      <c r="H5612" s="165">
        <v>0.88500000000000001</v>
      </c>
      <c r="I5612" s="19">
        <f t="shared" si="171"/>
        <v>0</v>
      </c>
    </row>
    <row r="5613" spans="1:9" hidden="1">
      <c r="A5613" s="49" t="s">
        <v>8760</v>
      </c>
      <c r="B5613" s="5" t="s">
        <v>9534</v>
      </c>
      <c r="C5613" s="122" t="s">
        <v>9535</v>
      </c>
      <c r="D5613" s="5"/>
      <c r="E5613" s="123">
        <v>1</v>
      </c>
      <c r="F5613" s="9"/>
      <c r="G5613" s="8">
        <f t="shared" si="170"/>
        <v>1.1308499999999999</v>
      </c>
      <c r="H5613" s="165">
        <v>1.077</v>
      </c>
      <c r="I5613" s="19">
        <f t="shared" si="171"/>
        <v>0</v>
      </c>
    </row>
    <row r="5614" spans="1:9" hidden="1">
      <c r="A5614" s="49" t="s">
        <v>8760</v>
      </c>
      <c r="B5614" s="5">
        <v>240933</v>
      </c>
      <c r="C5614" s="122" t="s">
        <v>9536</v>
      </c>
      <c r="D5614" s="5"/>
      <c r="E5614" s="123">
        <v>1</v>
      </c>
      <c r="F5614" s="9"/>
      <c r="G5614" s="8">
        <f t="shared" si="170"/>
        <v>12.59055</v>
      </c>
      <c r="H5614" s="165">
        <v>11.991</v>
      </c>
      <c r="I5614" s="19">
        <f t="shared" si="171"/>
        <v>0</v>
      </c>
    </row>
    <row r="5615" spans="1:9" hidden="1">
      <c r="A5615" s="49" t="s">
        <v>8760</v>
      </c>
      <c r="B5615" s="5">
        <v>240934</v>
      </c>
      <c r="C5615" s="122" t="s">
        <v>9537</v>
      </c>
      <c r="D5615" s="5"/>
      <c r="E5615" s="123">
        <v>1</v>
      </c>
      <c r="F5615" s="9"/>
      <c r="G5615" s="8">
        <f t="shared" si="170"/>
        <v>20.039250000000003</v>
      </c>
      <c r="H5615" s="165">
        <v>19.085000000000001</v>
      </c>
      <c r="I5615" s="19">
        <f t="shared" si="171"/>
        <v>0</v>
      </c>
    </row>
    <row r="5616" spans="1:9" hidden="1">
      <c r="A5616" s="49" t="s">
        <v>8760</v>
      </c>
      <c r="B5616" s="5">
        <v>245001</v>
      </c>
      <c r="C5616" s="122" t="s">
        <v>9538</v>
      </c>
      <c r="D5616" s="5"/>
      <c r="E5616" s="123">
        <v>1</v>
      </c>
      <c r="F5616" s="9"/>
      <c r="G5616" s="8">
        <f t="shared" si="170"/>
        <v>19.344149999999999</v>
      </c>
      <c r="H5616" s="165">
        <v>18.422999999999998</v>
      </c>
      <c r="I5616" s="19">
        <f t="shared" si="171"/>
        <v>0</v>
      </c>
    </row>
    <row r="5617" spans="1:9" hidden="1">
      <c r="A5617" s="49" t="s">
        <v>8760</v>
      </c>
      <c r="B5617" s="5">
        <v>245026</v>
      </c>
      <c r="C5617" s="122" t="s">
        <v>9539</v>
      </c>
      <c r="D5617" s="5"/>
      <c r="E5617" s="123">
        <v>1</v>
      </c>
      <c r="F5617" s="9"/>
      <c r="G5617" s="8">
        <f t="shared" si="170"/>
        <v>14.976150000000001</v>
      </c>
      <c r="H5617" s="165">
        <v>14.263</v>
      </c>
      <c r="I5617" s="19">
        <f t="shared" si="171"/>
        <v>0</v>
      </c>
    </row>
    <row r="5618" spans="1:9" hidden="1">
      <c r="A5618" s="49" t="s">
        <v>8760</v>
      </c>
      <c r="B5618" s="5">
        <v>245027</v>
      </c>
      <c r="C5618" s="122" t="s">
        <v>9540</v>
      </c>
      <c r="D5618" s="5"/>
      <c r="E5618" s="123">
        <v>1</v>
      </c>
      <c r="F5618" s="9"/>
      <c r="G5618" s="8">
        <f t="shared" si="170"/>
        <v>14.976150000000001</v>
      </c>
      <c r="H5618" s="165">
        <v>14.263</v>
      </c>
      <c r="I5618" s="19">
        <f t="shared" si="171"/>
        <v>0</v>
      </c>
    </row>
    <row r="5619" spans="1:9" hidden="1">
      <c r="A5619" s="49" t="s">
        <v>8760</v>
      </c>
      <c r="B5619" s="5">
        <v>245041</v>
      </c>
      <c r="C5619" s="122" t="s">
        <v>9541</v>
      </c>
      <c r="D5619" s="5"/>
      <c r="E5619" s="123">
        <v>1</v>
      </c>
      <c r="F5619" s="9"/>
      <c r="G5619" s="8">
        <f t="shared" si="170"/>
        <v>18.40335</v>
      </c>
      <c r="H5619" s="165">
        <v>17.527000000000001</v>
      </c>
      <c r="I5619" s="19">
        <f t="shared" si="171"/>
        <v>0</v>
      </c>
    </row>
    <row r="5620" spans="1:9" hidden="1">
      <c r="A5620" s="49" t="s">
        <v>8760</v>
      </c>
      <c r="B5620" s="5">
        <v>245042</v>
      </c>
      <c r="C5620" s="122" t="s">
        <v>9542</v>
      </c>
      <c r="D5620" s="5"/>
      <c r="E5620" s="123">
        <v>1</v>
      </c>
      <c r="F5620" s="9"/>
      <c r="G5620" s="8">
        <f t="shared" si="170"/>
        <v>18.40335</v>
      </c>
      <c r="H5620" s="165">
        <v>17.527000000000001</v>
      </c>
      <c r="I5620" s="19">
        <f t="shared" si="171"/>
        <v>0</v>
      </c>
    </row>
    <row r="5621" spans="1:9" hidden="1">
      <c r="A5621" s="49" t="s">
        <v>8760</v>
      </c>
      <c r="B5621" s="5">
        <v>245900</v>
      </c>
      <c r="C5621" s="122" t="s">
        <v>9543</v>
      </c>
      <c r="D5621" s="5"/>
      <c r="E5621" s="123">
        <v>1</v>
      </c>
      <c r="F5621" s="9"/>
      <c r="G5621" s="8">
        <f t="shared" si="170"/>
        <v>44.396099999999997</v>
      </c>
      <c r="H5621" s="165">
        <v>42.281999999999996</v>
      </c>
      <c r="I5621" s="19">
        <f t="shared" si="171"/>
        <v>0</v>
      </c>
    </row>
    <row r="5622" spans="1:9" hidden="1">
      <c r="A5622" s="49" t="s">
        <v>8760</v>
      </c>
      <c r="B5622" s="5">
        <v>245901</v>
      </c>
      <c r="C5622" s="122" t="s">
        <v>9544</v>
      </c>
      <c r="D5622" s="5"/>
      <c r="E5622" s="123">
        <v>1</v>
      </c>
      <c r="F5622" s="9"/>
      <c r="G5622" s="8">
        <f t="shared" si="170"/>
        <v>35.404949999999999</v>
      </c>
      <c r="H5622" s="165">
        <v>33.719000000000001</v>
      </c>
      <c r="I5622" s="19">
        <f t="shared" si="171"/>
        <v>0</v>
      </c>
    </row>
    <row r="5623" spans="1:9" hidden="1">
      <c r="A5623" s="49" t="s">
        <v>8760</v>
      </c>
      <c r="B5623" s="5" t="s">
        <v>9545</v>
      </c>
      <c r="C5623" s="122" t="s">
        <v>9546</v>
      </c>
      <c r="D5623" s="5"/>
      <c r="E5623" s="123">
        <v>1</v>
      </c>
      <c r="F5623" s="9"/>
      <c r="G5623" s="8">
        <f t="shared" si="170"/>
        <v>1.1749499999999999</v>
      </c>
      <c r="H5623" s="165">
        <v>1.119</v>
      </c>
      <c r="I5623" s="19">
        <f t="shared" si="171"/>
        <v>0</v>
      </c>
    </row>
    <row r="5624" spans="1:9" hidden="1">
      <c r="A5624" s="49" t="s">
        <v>8760</v>
      </c>
      <c r="B5624" s="5">
        <v>24603</v>
      </c>
      <c r="C5624" s="122" t="s">
        <v>9547</v>
      </c>
      <c r="D5624" s="5"/>
      <c r="E5624" s="123">
        <v>1</v>
      </c>
      <c r="F5624" s="9"/>
      <c r="G5624" s="8">
        <f t="shared" si="170"/>
        <v>0.21000000000000002</v>
      </c>
      <c r="H5624" s="165">
        <v>0.2</v>
      </c>
      <c r="I5624" s="19">
        <f t="shared" si="171"/>
        <v>0</v>
      </c>
    </row>
    <row r="5625" spans="1:9" hidden="1">
      <c r="A5625" s="49" t="s">
        <v>8760</v>
      </c>
      <c r="B5625" s="5" t="s">
        <v>9548</v>
      </c>
      <c r="C5625" s="122" t="s">
        <v>9549</v>
      </c>
      <c r="D5625" s="5"/>
      <c r="E5625" s="123">
        <v>1</v>
      </c>
      <c r="F5625" s="9"/>
      <c r="G5625" s="8">
        <f t="shared" si="170"/>
        <v>0.92505000000000004</v>
      </c>
      <c r="H5625" s="165">
        <v>0.88100000000000001</v>
      </c>
      <c r="I5625" s="19">
        <f t="shared" si="171"/>
        <v>0</v>
      </c>
    </row>
    <row r="5626" spans="1:9" hidden="1">
      <c r="A5626" s="49" t="s">
        <v>8760</v>
      </c>
      <c r="B5626" s="5" t="s">
        <v>9550</v>
      </c>
      <c r="C5626" s="122" t="s">
        <v>9551</v>
      </c>
      <c r="D5626" s="5"/>
      <c r="E5626" s="123">
        <v>1</v>
      </c>
      <c r="F5626" s="9"/>
      <c r="G5626" s="8">
        <f t="shared" si="170"/>
        <v>0.40950000000000003</v>
      </c>
      <c r="H5626" s="165">
        <v>0.39</v>
      </c>
      <c r="I5626" s="19">
        <f t="shared" si="171"/>
        <v>0</v>
      </c>
    </row>
    <row r="5627" spans="1:9" hidden="1">
      <c r="A5627" s="49" t="s">
        <v>8760</v>
      </c>
      <c r="B5627" s="5">
        <v>24619</v>
      </c>
      <c r="C5627" s="122" t="s">
        <v>9552</v>
      </c>
      <c r="D5627" s="5" t="s">
        <v>2488</v>
      </c>
      <c r="E5627" s="123">
        <v>1</v>
      </c>
      <c r="F5627" s="9"/>
      <c r="G5627" s="8">
        <f t="shared" si="170"/>
        <v>6.70845</v>
      </c>
      <c r="H5627" s="165">
        <v>6.3890000000000002</v>
      </c>
      <c r="I5627" s="19">
        <f t="shared" si="171"/>
        <v>0</v>
      </c>
    </row>
    <row r="5628" spans="1:9" hidden="1">
      <c r="A5628" s="49" t="s">
        <v>8760</v>
      </c>
      <c r="B5628" s="5">
        <v>24620</v>
      </c>
      <c r="C5628" s="122" t="s">
        <v>9553</v>
      </c>
      <c r="D5628" s="5"/>
      <c r="E5628" s="123">
        <v>1</v>
      </c>
      <c r="F5628" s="9"/>
      <c r="G5628" s="8">
        <f t="shared" si="170"/>
        <v>0.36119999999999997</v>
      </c>
      <c r="H5628" s="165">
        <v>0.34399999999999997</v>
      </c>
      <c r="I5628" s="19">
        <f t="shared" si="171"/>
        <v>0</v>
      </c>
    </row>
    <row r="5629" spans="1:9" hidden="1">
      <c r="A5629" s="49" t="s">
        <v>8760</v>
      </c>
      <c r="B5629" s="5" t="s">
        <v>9554</v>
      </c>
      <c r="C5629" s="122" t="s">
        <v>9425</v>
      </c>
      <c r="D5629" s="5"/>
      <c r="E5629" s="123">
        <v>1</v>
      </c>
      <c r="F5629" s="9"/>
      <c r="G5629" s="8">
        <f t="shared" si="170"/>
        <v>1.1875500000000001</v>
      </c>
      <c r="H5629" s="165">
        <v>1.131</v>
      </c>
      <c r="I5629" s="19">
        <f t="shared" si="171"/>
        <v>0</v>
      </c>
    </row>
    <row r="5630" spans="1:9" hidden="1">
      <c r="A5630" s="49" t="s">
        <v>8760</v>
      </c>
      <c r="B5630" s="5">
        <v>24622</v>
      </c>
      <c r="C5630" s="122" t="s">
        <v>9555</v>
      </c>
      <c r="D5630" s="5"/>
      <c r="E5630" s="123">
        <v>1</v>
      </c>
      <c r="F5630" s="9"/>
      <c r="G5630" s="8">
        <f t="shared" si="170"/>
        <v>0.7833</v>
      </c>
      <c r="H5630" s="165">
        <v>0.746</v>
      </c>
      <c r="I5630" s="19">
        <f t="shared" si="171"/>
        <v>0</v>
      </c>
    </row>
    <row r="5631" spans="1:9" hidden="1">
      <c r="A5631" s="49" t="s">
        <v>8760</v>
      </c>
      <c r="B5631" s="5">
        <v>24624</v>
      </c>
      <c r="C5631" s="122" t="s">
        <v>9556</v>
      </c>
      <c r="D5631" s="5"/>
      <c r="E5631" s="123">
        <v>1</v>
      </c>
      <c r="F5631" s="9"/>
      <c r="G5631" s="8">
        <f t="shared" si="170"/>
        <v>0.59639999999999993</v>
      </c>
      <c r="H5631" s="165">
        <v>0.56799999999999995</v>
      </c>
      <c r="I5631" s="19">
        <f t="shared" si="171"/>
        <v>0</v>
      </c>
    </row>
    <row r="5632" spans="1:9" hidden="1">
      <c r="A5632" s="49" t="s">
        <v>8760</v>
      </c>
      <c r="B5632" s="5" t="s">
        <v>9557</v>
      </c>
      <c r="C5632" s="122" t="s">
        <v>9558</v>
      </c>
      <c r="D5632" s="5" t="s">
        <v>572</v>
      </c>
      <c r="E5632" s="123">
        <v>1</v>
      </c>
      <c r="F5632" s="9"/>
      <c r="G5632" s="8">
        <f t="shared" si="170"/>
        <v>2.4139499999999998</v>
      </c>
      <c r="H5632" s="165">
        <v>2.2989999999999999</v>
      </c>
      <c r="I5632" s="19">
        <f t="shared" si="171"/>
        <v>0</v>
      </c>
    </row>
    <row r="5633" spans="1:9" hidden="1">
      <c r="A5633" s="49" t="s">
        <v>8760</v>
      </c>
      <c r="B5633" s="5" t="s">
        <v>9559</v>
      </c>
      <c r="C5633" s="122" t="s">
        <v>9560</v>
      </c>
      <c r="D5633" s="5" t="s">
        <v>572</v>
      </c>
      <c r="E5633" s="123">
        <v>1</v>
      </c>
      <c r="F5633" s="9"/>
      <c r="G5633" s="8">
        <f t="shared" si="170"/>
        <v>117.33750000000001</v>
      </c>
      <c r="H5633" s="165">
        <v>111.75</v>
      </c>
      <c r="I5633" s="19">
        <f t="shared" si="171"/>
        <v>0</v>
      </c>
    </row>
    <row r="5634" spans="1:9" hidden="1">
      <c r="A5634" s="49" t="s">
        <v>8760</v>
      </c>
      <c r="B5634" s="5">
        <v>24740</v>
      </c>
      <c r="C5634" s="122" t="s">
        <v>9561</v>
      </c>
      <c r="D5634" s="5"/>
      <c r="E5634" s="123">
        <v>1</v>
      </c>
      <c r="F5634" s="9"/>
      <c r="G5634" s="8">
        <f t="shared" si="170"/>
        <v>14.1309</v>
      </c>
      <c r="H5634" s="165">
        <v>13.458</v>
      </c>
      <c r="I5634" s="19">
        <f t="shared" si="171"/>
        <v>0</v>
      </c>
    </row>
    <row r="5635" spans="1:9" hidden="1">
      <c r="A5635" s="49" t="s">
        <v>8760</v>
      </c>
      <c r="B5635" s="5" t="s">
        <v>9562</v>
      </c>
      <c r="C5635" s="122" t="s">
        <v>9383</v>
      </c>
      <c r="D5635" s="5"/>
      <c r="E5635" s="123">
        <v>1</v>
      </c>
      <c r="F5635" s="9"/>
      <c r="G5635" s="8">
        <f t="shared" si="170"/>
        <v>7.2439499999999999</v>
      </c>
      <c r="H5635" s="165">
        <v>6.899</v>
      </c>
      <c r="I5635" s="19">
        <f t="shared" si="171"/>
        <v>0</v>
      </c>
    </row>
    <row r="5636" spans="1:9" hidden="1">
      <c r="A5636" s="49" t="s">
        <v>8760</v>
      </c>
      <c r="B5636" s="5">
        <v>24741</v>
      </c>
      <c r="C5636" s="122" t="s">
        <v>9563</v>
      </c>
      <c r="D5636" s="5"/>
      <c r="E5636" s="123">
        <v>1</v>
      </c>
      <c r="F5636" s="9"/>
      <c r="G5636" s="8">
        <f t="shared" si="170"/>
        <v>6.7273500000000004</v>
      </c>
      <c r="H5636" s="165">
        <v>6.407</v>
      </c>
      <c r="I5636" s="19">
        <f t="shared" si="171"/>
        <v>0</v>
      </c>
    </row>
    <row r="5637" spans="1:9" hidden="1">
      <c r="A5637" s="49" t="s">
        <v>8760</v>
      </c>
      <c r="B5637" s="5">
        <v>24742</v>
      </c>
      <c r="C5637" s="122" t="s">
        <v>9564</v>
      </c>
      <c r="D5637" s="5"/>
      <c r="E5637" s="123">
        <v>1</v>
      </c>
      <c r="F5637" s="9"/>
      <c r="G5637" s="8">
        <f t="shared" si="170"/>
        <v>8.5585500000000003</v>
      </c>
      <c r="H5637" s="165">
        <v>8.1509999999999998</v>
      </c>
      <c r="I5637" s="19">
        <f t="shared" si="171"/>
        <v>0</v>
      </c>
    </row>
    <row r="5638" spans="1:9" hidden="1">
      <c r="A5638" s="49" t="s">
        <v>8760</v>
      </c>
      <c r="B5638" s="5">
        <v>24745</v>
      </c>
      <c r="C5638" s="122" t="s">
        <v>9565</v>
      </c>
      <c r="D5638" s="5"/>
      <c r="E5638" s="123">
        <v>1</v>
      </c>
      <c r="F5638" s="9"/>
      <c r="G5638" s="8">
        <f t="shared" si="170"/>
        <v>9.6033000000000008</v>
      </c>
      <c r="H5638" s="165">
        <v>9.1460000000000008</v>
      </c>
      <c r="I5638" s="19">
        <f t="shared" si="171"/>
        <v>0</v>
      </c>
    </row>
    <row r="5639" spans="1:9" hidden="1">
      <c r="A5639" s="49" t="s">
        <v>8760</v>
      </c>
      <c r="B5639" s="5" t="s">
        <v>9566</v>
      </c>
      <c r="C5639" s="122" t="s">
        <v>9567</v>
      </c>
      <c r="D5639" s="5"/>
      <c r="E5639" s="123">
        <v>1</v>
      </c>
      <c r="F5639" s="9"/>
      <c r="G5639" s="8">
        <f t="shared" si="170"/>
        <v>12.692399999999999</v>
      </c>
      <c r="H5639" s="165">
        <v>12.087999999999999</v>
      </c>
      <c r="I5639" s="19">
        <f t="shared" si="171"/>
        <v>0</v>
      </c>
    </row>
    <row r="5640" spans="1:9" hidden="1">
      <c r="A5640" s="49" t="s">
        <v>8760</v>
      </c>
      <c r="B5640" s="5">
        <v>24760</v>
      </c>
      <c r="C5640" s="122" t="s">
        <v>9568</v>
      </c>
      <c r="D5640" s="5"/>
      <c r="E5640" s="123">
        <v>1</v>
      </c>
      <c r="F5640" s="9"/>
      <c r="G5640" s="8">
        <f t="shared" si="170"/>
        <v>1.10775</v>
      </c>
      <c r="H5640" s="165">
        <v>1.0549999999999999</v>
      </c>
      <c r="I5640" s="19">
        <f t="shared" si="171"/>
        <v>0</v>
      </c>
    </row>
    <row r="5641" spans="1:9" hidden="1">
      <c r="A5641" s="49" t="s">
        <v>8760</v>
      </c>
      <c r="B5641" s="5">
        <v>24810</v>
      </c>
      <c r="C5641" s="122" t="s">
        <v>9569</v>
      </c>
      <c r="D5641" s="5"/>
      <c r="E5641" s="123">
        <v>1</v>
      </c>
      <c r="F5641" s="9"/>
      <c r="G5641" s="8">
        <f t="shared" si="170"/>
        <v>8.410499999999999</v>
      </c>
      <c r="H5641" s="165">
        <v>8.01</v>
      </c>
      <c r="I5641" s="19">
        <f t="shared" si="171"/>
        <v>0</v>
      </c>
    </row>
    <row r="5642" spans="1:9" hidden="1">
      <c r="A5642" s="49" t="s">
        <v>8760</v>
      </c>
      <c r="B5642" s="5">
        <v>24811</v>
      </c>
      <c r="C5642" s="122" t="s">
        <v>9570</v>
      </c>
      <c r="D5642" s="5"/>
      <c r="E5642" s="123">
        <v>1</v>
      </c>
      <c r="F5642" s="9"/>
      <c r="G5642" s="8">
        <f t="shared" si="170"/>
        <v>18.171300000000002</v>
      </c>
      <c r="H5642" s="165">
        <v>17.306000000000001</v>
      </c>
      <c r="I5642" s="19">
        <f t="shared" si="171"/>
        <v>0</v>
      </c>
    </row>
    <row r="5643" spans="1:9" hidden="1">
      <c r="A5643" s="49" t="s">
        <v>8760</v>
      </c>
      <c r="B5643" s="5">
        <v>24909</v>
      </c>
      <c r="C5643" s="122" t="s">
        <v>9571</v>
      </c>
      <c r="D5643" s="5"/>
      <c r="E5643" s="123">
        <v>1</v>
      </c>
      <c r="F5643" s="9"/>
      <c r="G5643" s="8">
        <f t="shared" si="170"/>
        <v>8.4598500000000012</v>
      </c>
      <c r="H5643" s="165">
        <v>8.0570000000000004</v>
      </c>
      <c r="I5643" s="19">
        <f t="shared" si="171"/>
        <v>0</v>
      </c>
    </row>
    <row r="5644" spans="1:9" hidden="1">
      <c r="A5644" s="49" t="s">
        <v>8760</v>
      </c>
      <c r="B5644" s="5">
        <v>250003</v>
      </c>
      <c r="C5644" s="122" t="s">
        <v>9572</v>
      </c>
      <c r="D5644" s="5"/>
      <c r="E5644" s="123">
        <v>1</v>
      </c>
      <c r="F5644" s="9"/>
      <c r="G5644" s="8">
        <f t="shared" si="170"/>
        <v>0.8841</v>
      </c>
      <c r="H5644" s="165">
        <v>0.84199999999999997</v>
      </c>
      <c r="I5644" s="19">
        <f t="shared" si="171"/>
        <v>0</v>
      </c>
    </row>
    <row r="5645" spans="1:9" hidden="1">
      <c r="A5645" s="49" t="s">
        <v>8760</v>
      </c>
      <c r="B5645" s="5" t="s">
        <v>9573</v>
      </c>
      <c r="C5645" s="122" t="s">
        <v>9574</v>
      </c>
      <c r="D5645" s="5"/>
      <c r="E5645" s="123">
        <v>1</v>
      </c>
      <c r="F5645" s="9"/>
      <c r="G5645" s="8">
        <f t="shared" si="170"/>
        <v>2.4118500000000003</v>
      </c>
      <c r="H5645" s="165">
        <v>2.2970000000000002</v>
      </c>
      <c r="I5645" s="19">
        <f t="shared" si="171"/>
        <v>0</v>
      </c>
    </row>
    <row r="5646" spans="1:9" hidden="1">
      <c r="A5646" s="49" t="s">
        <v>8760</v>
      </c>
      <c r="B5646" s="5">
        <v>25004</v>
      </c>
      <c r="C5646" s="122" t="s">
        <v>9575</v>
      </c>
      <c r="D5646" s="5"/>
      <c r="E5646" s="123">
        <v>1</v>
      </c>
      <c r="F5646" s="9"/>
      <c r="G5646" s="8">
        <f t="shared" si="170"/>
        <v>2.88015</v>
      </c>
      <c r="H5646" s="165">
        <v>2.7429999999999999</v>
      </c>
      <c r="I5646" s="19">
        <f t="shared" si="171"/>
        <v>0</v>
      </c>
    </row>
    <row r="5647" spans="1:9" hidden="1">
      <c r="A5647" s="49" t="s">
        <v>8760</v>
      </c>
      <c r="B5647" s="5" t="s">
        <v>9576</v>
      </c>
      <c r="C5647" s="122" t="s">
        <v>9577</v>
      </c>
      <c r="D5647" s="5"/>
      <c r="E5647" s="123">
        <v>1</v>
      </c>
      <c r="F5647" s="9"/>
      <c r="G5647" s="8">
        <f t="shared" si="170"/>
        <v>0.89459999999999995</v>
      </c>
      <c r="H5647" s="165">
        <v>0.85199999999999998</v>
      </c>
      <c r="I5647" s="19">
        <f t="shared" si="171"/>
        <v>0</v>
      </c>
    </row>
    <row r="5648" spans="1:9" hidden="1">
      <c r="A5648" s="49" t="s">
        <v>8760</v>
      </c>
      <c r="B5648" s="5" t="s">
        <v>9578</v>
      </c>
      <c r="C5648" s="122" t="s">
        <v>9579</v>
      </c>
      <c r="D5648" s="5"/>
      <c r="E5648" s="123">
        <v>1</v>
      </c>
      <c r="F5648" s="9"/>
      <c r="G5648" s="8">
        <f t="shared" si="170"/>
        <v>0.72344999999999993</v>
      </c>
      <c r="H5648" s="165">
        <v>0.68899999999999995</v>
      </c>
      <c r="I5648" s="19">
        <f t="shared" si="171"/>
        <v>0</v>
      </c>
    </row>
    <row r="5649" spans="1:9" hidden="1">
      <c r="A5649" s="49" t="s">
        <v>8760</v>
      </c>
      <c r="B5649" s="5" t="s">
        <v>9580</v>
      </c>
      <c r="C5649" s="122" t="s">
        <v>9581</v>
      </c>
      <c r="D5649" s="5"/>
      <c r="E5649" s="123">
        <v>1</v>
      </c>
      <c r="F5649" s="9"/>
      <c r="G5649" s="8">
        <f t="shared" si="170"/>
        <v>1.0426500000000001</v>
      </c>
      <c r="H5649" s="165">
        <v>0.99299999999999999</v>
      </c>
      <c r="I5649" s="19">
        <f t="shared" si="171"/>
        <v>0</v>
      </c>
    </row>
    <row r="5650" spans="1:9" hidden="1">
      <c r="A5650" s="49" t="s">
        <v>8760</v>
      </c>
      <c r="B5650" s="5">
        <v>25012</v>
      </c>
      <c r="C5650" s="122" t="s">
        <v>9582</v>
      </c>
      <c r="D5650" s="5" t="s">
        <v>9367</v>
      </c>
      <c r="E5650" s="123">
        <v>1</v>
      </c>
      <c r="F5650" s="9"/>
      <c r="G5650" s="8">
        <f t="shared" si="170"/>
        <v>143.32499999999999</v>
      </c>
      <c r="H5650" s="165">
        <v>136.5</v>
      </c>
      <c r="I5650" s="19">
        <f t="shared" si="171"/>
        <v>0</v>
      </c>
    </row>
    <row r="5651" spans="1:9" hidden="1">
      <c r="A5651" s="49" t="s">
        <v>8760</v>
      </c>
      <c r="B5651" s="5" t="s">
        <v>9583</v>
      </c>
      <c r="C5651" s="122" t="s">
        <v>9584</v>
      </c>
      <c r="D5651" s="5" t="s">
        <v>9367</v>
      </c>
      <c r="E5651" s="123">
        <v>1</v>
      </c>
      <c r="F5651" s="9"/>
      <c r="G5651" s="8">
        <f t="shared" si="170"/>
        <v>61.424999999999997</v>
      </c>
      <c r="H5651" s="165">
        <v>58.5</v>
      </c>
      <c r="I5651" s="19">
        <f t="shared" si="171"/>
        <v>0</v>
      </c>
    </row>
    <row r="5652" spans="1:9" hidden="1">
      <c r="A5652" s="49" t="s">
        <v>8760</v>
      </c>
      <c r="B5652" s="5">
        <v>25013</v>
      </c>
      <c r="C5652" s="122" t="s">
        <v>9585</v>
      </c>
      <c r="D5652" s="5" t="s">
        <v>9367</v>
      </c>
      <c r="E5652" s="123">
        <v>1</v>
      </c>
      <c r="F5652" s="9"/>
      <c r="G5652" s="8">
        <f t="shared" ref="G5652:G5715" si="172">H5652+(H5652*5%)</f>
        <v>225.22499999999999</v>
      </c>
      <c r="H5652" s="165">
        <v>214.5</v>
      </c>
      <c r="I5652" s="19">
        <f t="shared" ref="I5652:I5715" si="173">G5652*F5652</f>
        <v>0</v>
      </c>
    </row>
    <row r="5653" spans="1:9" hidden="1">
      <c r="A5653" s="49" t="s">
        <v>8760</v>
      </c>
      <c r="B5653" s="5" t="s">
        <v>9586</v>
      </c>
      <c r="C5653" s="122" t="s">
        <v>9587</v>
      </c>
      <c r="D5653" s="5" t="s">
        <v>9367</v>
      </c>
      <c r="E5653" s="123">
        <v>1</v>
      </c>
      <c r="F5653" s="9"/>
      <c r="G5653" s="8">
        <f t="shared" si="172"/>
        <v>94.185000000000002</v>
      </c>
      <c r="H5653" s="165">
        <v>89.7</v>
      </c>
      <c r="I5653" s="19">
        <f t="shared" si="173"/>
        <v>0</v>
      </c>
    </row>
    <row r="5654" spans="1:9" hidden="1">
      <c r="A5654" s="49" t="s">
        <v>8760</v>
      </c>
      <c r="B5654" s="5" t="s">
        <v>9588</v>
      </c>
      <c r="C5654" s="122" t="s">
        <v>9589</v>
      </c>
      <c r="D5654" s="5" t="s">
        <v>9367</v>
      </c>
      <c r="E5654" s="123">
        <v>1</v>
      </c>
      <c r="F5654" s="9"/>
      <c r="G5654" s="8">
        <f t="shared" si="172"/>
        <v>778.05</v>
      </c>
      <c r="H5654" s="165">
        <v>741</v>
      </c>
      <c r="I5654" s="19">
        <f t="shared" si="173"/>
        <v>0</v>
      </c>
    </row>
    <row r="5655" spans="1:9" hidden="1">
      <c r="A5655" s="49" t="s">
        <v>8760</v>
      </c>
      <c r="B5655" s="5">
        <v>25014</v>
      </c>
      <c r="C5655" s="122" t="s">
        <v>9590</v>
      </c>
      <c r="D5655" s="5" t="s">
        <v>9367</v>
      </c>
      <c r="E5655" s="123">
        <v>1</v>
      </c>
      <c r="F5655" s="9"/>
      <c r="G5655" s="8">
        <f t="shared" si="172"/>
        <v>307.125</v>
      </c>
      <c r="H5655" s="165">
        <v>292.5</v>
      </c>
      <c r="I5655" s="19">
        <f t="shared" si="173"/>
        <v>0</v>
      </c>
    </row>
    <row r="5656" spans="1:9" hidden="1">
      <c r="A5656" s="49" t="s">
        <v>8760</v>
      </c>
      <c r="B5656" s="5" t="s">
        <v>9591</v>
      </c>
      <c r="C5656" s="122" t="s">
        <v>9592</v>
      </c>
      <c r="D5656" s="5" t="s">
        <v>9367</v>
      </c>
      <c r="E5656" s="123">
        <v>1</v>
      </c>
      <c r="F5656" s="9"/>
      <c r="G5656" s="8">
        <f t="shared" si="172"/>
        <v>126.94500000000001</v>
      </c>
      <c r="H5656" s="165">
        <v>120.9</v>
      </c>
      <c r="I5656" s="19">
        <f t="shared" si="173"/>
        <v>0</v>
      </c>
    </row>
    <row r="5657" spans="1:9" hidden="1">
      <c r="A5657" s="49" t="s">
        <v>8760</v>
      </c>
      <c r="B5657" s="5" t="s">
        <v>9593</v>
      </c>
      <c r="C5657" s="122" t="s">
        <v>9594</v>
      </c>
      <c r="D5657" s="5"/>
      <c r="E5657" s="123">
        <v>1</v>
      </c>
      <c r="F5657" s="9"/>
      <c r="G5657" s="8">
        <f t="shared" si="172"/>
        <v>10.760399999999999</v>
      </c>
      <c r="H5657" s="165">
        <v>10.247999999999999</v>
      </c>
      <c r="I5657" s="19">
        <f t="shared" si="173"/>
        <v>0</v>
      </c>
    </row>
    <row r="5658" spans="1:9" hidden="1">
      <c r="A5658" s="49" t="s">
        <v>8760</v>
      </c>
      <c r="B5658" s="5" t="s">
        <v>9595</v>
      </c>
      <c r="C5658" s="122" t="s">
        <v>9596</v>
      </c>
      <c r="D5658" s="5"/>
      <c r="E5658" s="123">
        <v>1</v>
      </c>
      <c r="F5658" s="9"/>
      <c r="G5658" s="8">
        <f t="shared" si="172"/>
        <v>15.06645</v>
      </c>
      <c r="H5658" s="165">
        <v>14.349</v>
      </c>
      <c r="I5658" s="19">
        <f t="shared" si="173"/>
        <v>0</v>
      </c>
    </row>
    <row r="5659" spans="1:9" hidden="1">
      <c r="A5659" s="49" t="s">
        <v>8760</v>
      </c>
      <c r="B5659" s="5" t="s">
        <v>9597</v>
      </c>
      <c r="C5659" s="122" t="s">
        <v>9598</v>
      </c>
      <c r="D5659" s="5"/>
      <c r="E5659" s="123">
        <v>1</v>
      </c>
      <c r="F5659" s="9"/>
      <c r="G5659" s="8">
        <f t="shared" si="172"/>
        <v>25.825800000000001</v>
      </c>
      <c r="H5659" s="165">
        <v>24.596</v>
      </c>
      <c r="I5659" s="19">
        <f t="shared" si="173"/>
        <v>0</v>
      </c>
    </row>
    <row r="5660" spans="1:9" hidden="1">
      <c r="A5660" s="49" t="s">
        <v>8760</v>
      </c>
      <c r="B5660" s="5">
        <v>250162</v>
      </c>
      <c r="C5660" s="122" t="s">
        <v>9599</v>
      </c>
      <c r="D5660" s="5"/>
      <c r="E5660" s="123">
        <v>1</v>
      </c>
      <c r="F5660" s="9"/>
      <c r="G5660" s="8">
        <f t="shared" si="172"/>
        <v>3.4628999999999999</v>
      </c>
      <c r="H5660" s="165">
        <v>3.298</v>
      </c>
      <c r="I5660" s="19">
        <f t="shared" si="173"/>
        <v>0</v>
      </c>
    </row>
    <row r="5661" spans="1:9" hidden="1">
      <c r="A5661" s="49" t="s">
        <v>8760</v>
      </c>
      <c r="B5661" s="5">
        <v>250170</v>
      </c>
      <c r="C5661" s="122" t="s">
        <v>9600</v>
      </c>
      <c r="D5661" s="5"/>
      <c r="E5661" s="123">
        <v>1</v>
      </c>
      <c r="F5661" s="9"/>
      <c r="G5661" s="8">
        <f t="shared" si="172"/>
        <v>4.8635999999999999</v>
      </c>
      <c r="H5661" s="165">
        <v>4.6319999999999997</v>
      </c>
      <c r="I5661" s="19">
        <f t="shared" si="173"/>
        <v>0</v>
      </c>
    </row>
    <row r="5662" spans="1:9" hidden="1">
      <c r="A5662" s="49" t="s">
        <v>8760</v>
      </c>
      <c r="B5662" s="5" t="s">
        <v>9601</v>
      </c>
      <c r="C5662" s="122" t="s">
        <v>9602</v>
      </c>
      <c r="D5662" s="5"/>
      <c r="E5662" s="123">
        <v>1</v>
      </c>
      <c r="F5662" s="9"/>
      <c r="G5662" s="8">
        <f t="shared" si="172"/>
        <v>11.811450000000001</v>
      </c>
      <c r="H5662" s="165">
        <v>11.249000000000001</v>
      </c>
      <c r="I5662" s="19">
        <f t="shared" si="173"/>
        <v>0</v>
      </c>
    </row>
    <row r="5663" spans="1:9" hidden="1">
      <c r="A5663" s="49" t="s">
        <v>8760</v>
      </c>
      <c r="B5663" s="5" t="s">
        <v>9603</v>
      </c>
      <c r="C5663" s="122" t="s">
        <v>9604</v>
      </c>
      <c r="D5663" s="5"/>
      <c r="E5663" s="123">
        <v>1</v>
      </c>
      <c r="F5663" s="9"/>
      <c r="G5663" s="8">
        <f t="shared" si="172"/>
        <v>13.7424</v>
      </c>
      <c r="H5663" s="165">
        <v>13.087999999999999</v>
      </c>
      <c r="I5663" s="19">
        <f t="shared" si="173"/>
        <v>0</v>
      </c>
    </row>
    <row r="5664" spans="1:9" hidden="1">
      <c r="A5664" s="49" t="s">
        <v>8760</v>
      </c>
      <c r="B5664" s="5" t="s">
        <v>9605</v>
      </c>
      <c r="C5664" s="122" t="s">
        <v>9606</v>
      </c>
      <c r="D5664" s="5"/>
      <c r="E5664" s="123">
        <v>1</v>
      </c>
      <c r="F5664" s="9"/>
      <c r="G5664" s="8">
        <f t="shared" si="172"/>
        <v>15.04335</v>
      </c>
      <c r="H5664" s="165">
        <v>14.327</v>
      </c>
      <c r="I5664" s="19">
        <f t="shared" si="173"/>
        <v>0</v>
      </c>
    </row>
    <row r="5665" spans="1:9" hidden="1">
      <c r="A5665" s="49" t="s">
        <v>8760</v>
      </c>
      <c r="B5665" s="5" t="s">
        <v>9607</v>
      </c>
      <c r="C5665" s="122" t="s">
        <v>9608</v>
      </c>
      <c r="D5665" s="5"/>
      <c r="E5665" s="123">
        <v>1</v>
      </c>
      <c r="F5665" s="9"/>
      <c r="G5665" s="8">
        <f t="shared" si="172"/>
        <v>25.757549999999998</v>
      </c>
      <c r="H5665" s="165">
        <v>24.530999999999999</v>
      </c>
      <c r="I5665" s="19">
        <f t="shared" si="173"/>
        <v>0</v>
      </c>
    </row>
    <row r="5666" spans="1:9" hidden="1">
      <c r="A5666" s="49" t="s">
        <v>8760</v>
      </c>
      <c r="B5666" s="5" t="s">
        <v>9609</v>
      </c>
      <c r="C5666" s="122" t="s">
        <v>9610</v>
      </c>
      <c r="D5666" s="5" t="s">
        <v>9367</v>
      </c>
      <c r="E5666" s="123">
        <v>1</v>
      </c>
      <c r="F5666" s="9"/>
      <c r="G5666" s="8">
        <f t="shared" si="172"/>
        <v>79.302300000000002</v>
      </c>
      <c r="H5666" s="165">
        <v>75.525999999999996</v>
      </c>
      <c r="I5666" s="19">
        <f t="shared" si="173"/>
        <v>0</v>
      </c>
    </row>
    <row r="5667" spans="1:9" hidden="1">
      <c r="A5667" s="49" t="s">
        <v>8760</v>
      </c>
      <c r="B5667" s="5" t="s">
        <v>9611</v>
      </c>
      <c r="C5667" s="122" t="s">
        <v>9612</v>
      </c>
      <c r="D5667" s="5"/>
      <c r="E5667" s="123">
        <v>1</v>
      </c>
      <c r="F5667" s="9"/>
      <c r="G5667" s="8">
        <f t="shared" si="172"/>
        <v>19.333649999999999</v>
      </c>
      <c r="H5667" s="165">
        <v>18.413</v>
      </c>
      <c r="I5667" s="19">
        <f t="shared" si="173"/>
        <v>0</v>
      </c>
    </row>
    <row r="5668" spans="1:9" hidden="1">
      <c r="A5668" s="49" t="s">
        <v>8760</v>
      </c>
      <c r="B5668" s="5" t="s">
        <v>9613</v>
      </c>
      <c r="C5668" s="122" t="s">
        <v>9614</v>
      </c>
      <c r="D5668" s="5"/>
      <c r="E5668" s="123">
        <v>1</v>
      </c>
      <c r="F5668" s="9"/>
      <c r="G5668" s="8">
        <f t="shared" si="172"/>
        <v>86.899049999999988</v>
      </c>
      <c r="H5668" s="165">
        <v>82.760999999999996</v>
      </c>
      <c r="I5668" s="19">
        <f t="shared" si="173"/>
        <v>0</v>
      </c>
    </row>
    <row r="5669" spans="1:9" hidden="1">
      <c r="A5669" s="49" t="s">
        <v>8760</v>
      </c>
      <c r="B5669" s="5" t="s">
        <v>9615</v>
      </c>
      <c r="C5669" s="122" t="s">
        <v>9614</v>
      </c>
      <c r="D5669" s="5"/>
      <c r="E5669" s="123">
        <v>1</v>
      </c>
      <c r="F5669" s="9"/>
      <c r="G5669" s="8">
        <f t="shared" si="172"/>
        <v>86.812950000000001</v>
      </c>
      <c r="H5669" s="165">
        <v>82.679000000000002</v>
      </c>
      <c r="I5669" s="19">
        <f t="shared" si="173"/>
        <v>0</v>
      </c>
    </row>
    <row r="5670" spans="1:9" hidden="1">
      <c r="A5670" s="49" t="s">
        <v>8760</v>
      </c>
      <c r="B5670" s="5" t="s">
        <v>9616</v>
      </c>
      <c r="C5670" s="122" t="s">
        <v>9614</v>
      </c>
      <c r="D5670" s="5"/>
      <c r="E5670" s="123">
        <v>1</v>
      </c>
      <c r="F5670" s="9"/>
      <c r="G5670" s="8">
        <f t="shared" si="172"/>
        <v>73.784549999999996</v>
      </c>
      <c r="H5670" s="165">
        <v>70.271000000000001</v>
      </c>
      <c r="I5670" s="19">
        <f t="shared" si="173"/>
        <v>0</v>
      </c>
    </row>
    <row r="5671" spans="1:9" hidden="1">
      <c r="A5671" s="49" t="s">
        <v>8760</v>
      </c>
      <c r="B5671" s="5" t="s">
        <v>9617</v>
      </c>
      <c r="C5671" s="122" t="s">
        <v>9618</v>
      </c>
      <c r="D5671" s="5" t="s">
        <v>2488</v>
      </c>
      <c r="E5671" s="123">
        <v>1</v>
      </c>
      <c r="F5671" s="9"/>
      <c r="G5671" s="8">
        <f t="shared" si="172"/>
        <v>18.693149999999999</v>
      </c>
      <c r="H5671" s="165">
        <v>17.803000000000001</v>
      </c>
      <c r="I5671" s="19">
        <f t="shared" si="173"/>
        <v>0</v>
      </c>
    </row>
    <row r="5672" spans="1:9" hidden="1">
      <c r="A5672" s="49" t="s">
        <v>8760</v>
      </c>
      <c r="B5672" s="5" t="s">
        <v>9619</v>
      </c>
      <c r="C5672" s="122" t="s">
        <v>9620</v>
      </c>
      <c r="D5672" s="5" t="s">
        <v>2488</v>
      </c>
      <c r="E5672" s="123">
        <v>1</v>
      </c>
      <c r="F5672" s="9"/>
      <c r="G5672" s="8">
        <f t="shared" si="172"/>
        <v>18.693149999999999</v>
      </c>
      <c r="H5672" s="165">
        <v>17.803000000000001</v>
      </c>
      <c r="I5672" s="19">
        <f t="shared" si="173"/>
        <v>0</v>
      </c>
    </row>
    <row r="5673" spans="1:9" hidden="1">
      <c r="A5673" s="49" t="s">
        <v>8760</v>
      </c>
      <c r="B5673" s="5" t="s">
        <v>9621</v>
      </c>
      <c r="C5673" s="122" t="s">
        <v>9622</v>
      </c>
      <c r="D5673" s="5" t="s">
        <v>2488</v>
      </c>
      <c r="E5673" s="123">
        <v>1</v>
      </c>
      <c r="F5673" s="9"/>
      <c r="G5673" s="8">
        <f t="shared" si="172"/>
        <v>14.255850000000001</v>
      </c>
      <c r="H5673" s="165">
        <v>13.577</v>
      </c>
      <c r="I5673" s="19">
        <f t="shared" si="173"/>
        <v>0</v>
      </c>
    </row>
    <row r="5674" spans="1:9" hidden="1">
      <c r="A5674" s="49" t="s">
        <v>8760</v>
      </c>
      <c r="B5674" s="5" t="s">
        <v>9623</v>
      </c>
      <c r="C5674" s="122" t="s">
        <v>9624</v>
      </c>
      <c r="D5674" s="5"/>
      <c r="E5674" s="123">
        <v>1</v>
      </c>
      <c r="F5674" s="9"/>
      <c r="G5674" s="8">
        <f t="shared" si="172"/>
        <v>13.02525</v>
      </c>
      <c r="H5674" s="165">
        <v>12.404999999999999</v>
      </c>
      <c r="I5674" s="19">
        <f t="shared" si="173"/>
        <v>0</v>
      </c>
    </row>
    <row r="5675" spans="1:9" hidden="1">
      <c r="A5675" s="49" t="s">
        <v>8760</v>
      </c>
      <c r="B5675" s="5" t="s">
        <v>9625</v>
      </c>
      <c r="C5675" s="122" t="s">
        <v>9626</v>
      </c>
      <c r="D5675" s="5"/>
      <c r="E5675" s="123">
        <v>1</v>
      </c>
      <c r="F5675" s="9"/>
      <c r="G5675" s="8">
        <f t="shared" si="172"/>
        <v>3.1363500000000002</v>
      </c>
      <c r="H5675" s="165">
        <v>2.9870000000000001</v>
      </c>
      <c r="I5675" s="19">
        <f t="shared" si="173"/>
        <v>0</v>
      </c>
    </row>
    <row r="5676" spans="1:9" hidden="1">
      <c r="A5676" s="49" t="s">
        <v>8760</v>
      </c>
      <c r="B5676" s="5" t="s">
        <v>9627</v>
      </c>
      <c r="C5676" s="122" t="s">
        <v>9628</v>
      </c>
      <c r="D5676" s="5"/>
      <c r="E5676" s="123">
        <v>1</v>
      </c>
      <c r="F5676" s="9"/>
      <c r="G5676" s="8">
        <f t="shared" si="172"/>
        <v>13.173299999999999</v>
      </c>
      <c r="H5676" s="165">
        <v>12.545999999999999</v>
      </c>
      <c r="I5676" s="19">
        <f t="shared" si="173"/>
        <v>0</v>
      </c>
    </row>
    <row r="5677" spans="1:9" hidden="1">
      <c r="A5677" s="49" t="s">
        <v>8760</v>
      </c>
      <c r="B5677" s="5" t="s">
        <v>9629</v>
      </c>
      <c r="C5677" s="122" t="s">
        <v>9630</v>
      </c>
      <c r="D5677" s="5"/>
      <c r="E5677" s="123">
        <v>1</v>
      </c>
      <c r="F5677" s="9"/>
      <c r="G5677" s="8">
        <f t="shared" si="172"/>
        <v>1.4395500000000001</v>
      </c>
      <c r="H5677" s="165">
        <v>1.371</v>
      </c>
      <c r="I5677" s="19">
        <f t="shared" si="173"/>
        <v>0</v>
      </c>
    </row>
    <row r="5678" spans="1:9">
      <c r="A5678" s="49" t="s">
        <v>8760</v>
      </c>
      <c r="B5678" s="5" t="s">
        <v>9631</v>
      </c>
      <c r="C5678" s="122" t="s">
        <v>9632</v>
      </c>
      <c r="D5678" s="5"/>
      <c r="E5678" s="123">
        <v>1</v>
      </c>
      <c r="F5678" s="9">
        <v>1200</v>
      </c>
      <c r="G5678" s="8">
        <f t="shared" si="172"/>
        <v>1.11195</v>
      </c>
      <c r="H5678" s="165">
        <v>1.0589999999999999</v>
      </c>
      <c r="I5678" s="19">
        <f t="shared" si="173"/>
        <v>1334.34</v>
      </c>
    </row>
    <row r="5679" spans="1:9" hidden="1">
      <c r="A5679" s="49" t="s">
        <v>8760</v>
      </c>
      <c r="B5679" s="5">
        <v>25044</v>
      </c>
      <c r="C5679" s="122" t="s">
        <v>9633</v>
      </c>
      <c r="D5679" s="5"/>
      <c r="E5679" s="123">
        <v>1</v>
      </c>
      <c r="F5679" s="9"/>
      <c r="G5679" s="8">
        <f t="shared" si="172"/>
        <v>17.773350000000001</v>
      </c>
      <c r="H5679" s="165">
        <v>16.927</v>
      </c>
      <c r="I5679" s="19">
        <f t="shared" si="173"/>
        <v>0</v>
      </c>
    </row>
    <row r="5680" spans="1:9" hidden="1">
      <c r="A5680" s="49" t="s">
        <v>8760</v>
      </c>
      <c r="B5680" s="5" t="s">
        <v>9634</v>
      </c>
      <c r="C5680" s="122" t="s">
        <v>9635</v>
      </c>
      <c r="D5680" s="5"/>
      <c r="E5680" s="123">
        <v>1</v>
      </c>
      <c r="F5680" s="9"/>
      <c r="G5680" s="8">
        <f t="shared" si="172"/>
        <v>4.0635000000000003</v>
      </c>
      <c r="H5680" s="165">
        <v>3.87</v>
      </c>
      <c r="I5680" s="19">
        <f t="shared" si="173"/>
        <v>0</v>
      </c>
    </row>
    <row r="5681" spans="1:9" hidden="1">
      <c r="A5681" s="49" t="s">
        <v>8760</v>
      </c>
      <c r="B5681" s="5">
        <v>25048</v>
      </c>
      <c r="C5681" s="122" t="s">
        <v>9636</v>
      </c>
      <c r="D5681" s="5"/>
      <c r="E5681" s="123">
        <v>1</v>
      </c>
      <c r="F5681" s="9"/>
      <c r="G5681" s="8">
        <f t="shared" si="172"/>
        <v>0.62685000000000002</v>
      </c>
      <c r="H5681" s="165">
        <v>0.59699999999999998</v>
      </c>
      <c r="I5681" s="19">
        <f t="shared" si="173"/>
        <v>0</v>
      </c>
    </row>
    <row r="5682" spans="1:9" hidden="1">
      <c r="A5682" s="49" t="s">
        <v>8760</v>
      </c>
      <c r="B5682" s="5" t="s">
        <v>9637</v>
      </c>
      <c r="C5682" s="122" t="s">
        <v>9638</v>
      </c>
      <c r="D5682" s="5"/>
      <c r="E5682" s="123">
        <v>1</v>
      </c>
      <c r="F5682" s="9"/>
      <c r="G5682" s="8">
        <f t="shared" si="172"/>
        <v>8.7401999999999997</v>
      </c>
      <c r="H5682" s="165">
        <v>8.3239999999999998</v>
      </c>
      <c r="I5682" s="19">
        <f t="shared" si="173"/>
        <v>0</v>
      </c>
    </row>
    <row r="5683" spans="1:9" hidden="1">
      <c r="A5683" s="49" t="s">
        <v>8760</v>
      </c>
      <c r="B5683" s="5">
        <v>25051</v>
      </c>
      <c r="C5683" s="122" t="s">
        <v>9519</v>
      </c>
      <c r="D5683" s="5" t="s">
        <v>2488</v>
      </c>
      <c r="E5683" s="123">
        <v>1</v>
      </c>
      <c r="F5683" s="9"/>
      <c r="G5683" s="8">
        <f t="shared" si="172"/>
        <v>3.7254</v>
      </c>
      <c r="H5683" s="165">
        <v>3.548</v>
      </c>
      <c r="I5683" s="19">
        <f t="shared" si="173"/>
        <v>0</v>
      </c>
    </row>
    <row r="5684" spans="1:9" hidden="1">
      <c r="A5684" s="49" t="s">
        <v>8760</v>
      </c>
      <c r="B5684" s="5">
        <v>25052</v>
      </c>
      <c r="C5684" s="122" t="s">
        <v>9639</v>
      </c>
      <c r="D5684" s="5" t="s">
        <v>2488</v>
      </c>
      <c r="E5684" s="123">
        <v>1</v>
      </c>
      <c r="F5684" s="9"/>
      <c r="G5684" s="8">
        <f t="shared" si="172"/>
        <v>6.1918500000000005</v>
      </c>
      <c r="H5684" s="165">
        <v>5.8970000000000002</v>
      </c>
      <c r="I5684" s="19">
        <f t="shared" si="173"/>
        <v>0</v>
      </c>
    </row>
    <row r="5685" spans="1:9" hidden="1">
      <c r="A5685" s="49" t="s">
        <v>8760</v>
      </c>
      <c r="B5685" s="5" t="s">
        <v>9640</v>
      </c>
      <c r="C5685" s="122" t="s">
        <v>9641</v>
      </c>
      <c r="D5685" s="5" t="s">
        <v>2488</v>
      </c>
      <c r="E5685" s="123">
        <v>1</v>
      </c>
      <c r="F5685" s="9"/>
      <c r="G5685" s="8">
        <f t="shared" si="172"/>
        <v>1.2705</v>
      </c>
      <c r="H5685" s="165">
        <v>1.21</v>
      </c>
      <c r="I5685" s="19">
        <f t="shared" si="173"/>
        <v>0</v>
      </c>
    </row>
    <row r="5686" spans="1:9" hidden="1">
      <c r="A5686" s="49" t="s">
        <v>8760</v>
      </c>
      <c r="B5686" s="5" t="s">
        <v>9642</v>
      </c>
      <c r="C5686" s="122" t="s">
        <v>9643</v>
      </c>
      <c r="D5686" s="5"/>
      <c r="E5686" s="123">
        <v>1</v>
      </c>
      <c r="F5686" s="9"/>
      <c r="G5686" s="8">
        <f t="shared" si="172"/>
        <v>0.99434999999999996</v>
      </c>
      <c r="H5686" s="165">
        <v>0.94699999999999995</v>
      </c>
      <c r="I5686" s="19">
        <f t="shared" si="173"/>
        <v>0</v>
      </c>
    </row>
    <row r="5687" spans="1:9" hidden="1">
      <c r="A5687" s="49" t="s">
        <v>8760</v>
      </c>
      <c r="B5687" s="5">
        <v>25064</v>
      </c>
      <c r="C5687" s="122" t="s">
        <v>9644</v>
      </c>
      <c r="D5687" s="5"/>
      <c r="E5687" s="123">
        <v>1</v>
      </c>
      <c r="F5687" s="9"/>
      <c r="G5687" s="8">
        <f t="shared" si="172"/>
        <v>0.88724999999999998</v>
      </c>
      <c r="H5687" s="165">
        <v>0.84499999999999997</v>
      </c>
      <c r="I5687" s="19">
        <f t="shared" si="173"/>
        <v>0</v>
      </c>
    </row>
    <row r="5688" spans="1:9" hidden="1">
      <c r="A5688" s="49" t="s">
        <v>8760</v>
      </c>
      <c r="B5688" s="5" t="s">
        <v>9645</v>
      </c>
      <c r="C5688" s="122" t="s">
        <v>9646</v>
      </c>
      <c r="D5688" s="5"/>
      <c r="E5688" s="123">
        <v>1</v>
      </c>
      <c r="F5688" s="9"/>
      <c r="G5688" s="8">
        <f t="shared" si="172"/>
        <v>2.4160500000000003</v>
      </c>
      <c r="H5688" s="165">
        <v>2.3010000000000002</v>
      </c>
      <c r="I5688" s="19">
        <f t="shared" si="173"/>
        <v>0</v>
      </c>
    </row>
    <row r="5689" spans="1:9" hidden="1">
      <c r="A5689" s="49" t="s">
        <v>8760</v>
      </c>
      <c r="B5689" s="5" t="s">
        <v>9647</v>
      </c>
      <c r="C5689" s="122" t="s">
        <v>9579</v>
      </c>
      <c r="D5689" s="5"/>
      <c r="E5689" s="123">
        <v>1</v>
      </c>
      <c r="F5689" s="9"/>
      <c r="G5689" s="8">
        <f t="shared" si="172"/>
        <v>3.2780999999999998</v>
      </c>
      <c r="H5689" s="165">
        <v>3.1219999999999999</v>
      </c>
      <c r="I5689" s="19">
        <f t="shared" si="173"/>
        <v>0</v>
      </c>
    </row>
    <row r="5690" spans="1:9" hidden="1">
      <c r="A5690" s="49" t="s">
        <v>8760</v>
      </c>
      <c r="B5690" s="5" t="s">
        <v>9648</v>
      </c>
      <c r="C5690" s="122" t="s">
        <v>9649</v>
      </c>
      <c r="D5690" s="5"/>
      <c r="E5690" s="123">
        <v>1</v>
      </c>
      <c r="F5690" s="9"/>
      <c r="G5690" s="8">
        <f t="shared" si="172"/>
        <v>3.7254</v>
      </c>
      <c r="H5690" s="165">
        <v>3.548</v>
      </c>
      <c r="I5690" s="19">
        <f t="shared" si="173"/>
        <v>0</v>
      </c>
    </row>
    <row r="5691" spans="1:9" hidden="1">
      <c r="A5691" s="49" t="s">
        <v>8760</v>
      </c>
      <c r="B5691" s="5" t="s">
        <v>9650</v>
      </c>
      <c r="C5691" s="122" t="s">
        <v>9651</v>
      </c>
      <c r="D5691" s="5"/>
      <c r="E5691" s="123">
        <v>1</v>
      </c>
      <c r="F5691" s="9"/>
      <c r="G5691" s="8">
        <f t="shared" si="172"/>
        <v>3.4167000000000001</v>
      </c>
      <c r="H5691" s="165">
        <v>3.254</v>
      </c>
      <c r="I5691" s="19">
        <f t="shared" si="173"/>
        <v>0</v>
      </c>
    </row>
    <row r="5692" spans="1:9" hidden="1">
      <c r="A5692" s="49" t="s">
        <v>8760</v>
      </c>
      <c r="B5692" s="5" t="s">
        <v>9652</v>
      </c>
      <c r="C5692" s="122" t="s">
        <v>9653</v>
      </c>
      <c r="D5692" s="5"/>
      <c r="E5692" s="123">
        <v>1</v>
      </c>
      <c r="F5692" s="9"/>
      <c r="G5692" s="8">
        <f t="shared" si="172"/>
        <v>2.7678000000000003</v>
      </c>
      <c r="H5692" s="165">
        <v>2.6360000000000001</v>
      </c>
      <c r="I5692" s="19">
        <f t="shared" si="173"/>
        <v>0</v>
      </c>
    </row>
    <row r="5693" spans="1:9" hidden="1">
      <c r="A5693" s="49" t="s">
        <v>8760</v>
      </c>
      <c r="B5693" s="5" t="s">
        <v>9654</v>
      </c>
      <c r="C5693" s="122" t="s">
        <v>9655</v>
      </c>
      <c r="D5693" s="5"/>
      <c r="E5693" s="123">
        <v>1</v>
      </c>
      <c r="F5693" s="9"/>
      <c r="G5693" s="8">
        <f t="shared" si="172"/>
        <v>5.2468500000000002</v>
      </c>
      <c r="H5693" s="165">
        <v>4.9969999999999999</v>
      </c>
      <c r="I5693" s="19">
        <f t="shared" si="173"/>
        <v>0</v>
      </c>
    </row>
    <row r="5694" spans="1:9" hidden="1">
      <c r="A5694" s="49" t="s">
        <v>8760</v>
      </c>
      <c r="B5694" s="5">
        <v>250699</v>
      </c>
      <c r="C5694" s="122" t="s">
        <v>9656</v>
      </c>
      <c r="D5694" s="5"/>
      <c r="E5694" s="123">
        <v>1</v>
      </c>
      <c r="F5694" s="9"/>
      <c r="G5694" s="8">
        <f t="shared" si="172"/>
        <v>1.72095</v>
      </c>
      <c r="H5694" s="165">
        <v>1.639</v>
      </c>
      <c r="I5694" s="19">
        <f t="shared" si="173"/>
        <v>0</v>
      </c>
    </row>
    <row r="5695" spans="1:9" hidden="1">
      <c r="A5695" s="49" t="s">
        <v>8760</v>
      </c>
      <c r="B5695" s="5" t="s">
        <v>9657</v>
      </c>
      <c r="C5695" s="122" t="s">
        <v>9658</v>
      </c>
      <c r="D5695" s="5"/>
      <c r="E5695" s="123">
        <v>1</v>
      </c>
      <c r="F5695" s="9"/>
      <c r="G5695" s="8">
        <f t="shared" si="172"/>
        <v>5.5219500000000004</v>
      </c>
      <c r="H5695" s="165">
        <v>5.2590000000000003</v>
      </c>
      <c r="I5695" s="19">
        <f t="shared" si="173"/>
        <v>0</v>
      </c>
    </row>
    <row r="5696" spans="1:9" hidden="1">
      <c r="A5696" s="49" t="s">
        <v>8760</v>
      </c>
      <c r="B5696" s="5" t="s">
        <v>9659</v>
      </c>
      <c r="C5696" s="122" t="s">
        <v>9660</v>
      </c>
      <c r="D5696" s="5"/>
      <c r="E5696" s="123">
        <v>1</v>
      </c>
      <c r="F5696" s="9"/>
      <c r="G5696" s="8">
        <f t="shared" si="172"/>
        <v>108.26759999999999</v>
      </c>
      <c r="H5696" s="165">
        <v>103.11199999999999</v>
      </c>
      <c r="I5696" s="19">
        <f t="shared" si="173"/>
        <v>0</v>
      </c>
    </row>
    <row r="5697" spans="1:9" hidden="1">
      <c r="A5697" s="49" t="s">
        <v>8760</v>
      </c>
      <c r="B5697" s="5" t="s">
        <v>9661</v>
      </c>
      <c r="C5697" s="122" t="s">
        <v>9662</v>
      </c>
      <c r="D5697" s="5"/>
      <c r="E5697" s="123">
        <v>1</v>
      </c>
      <c r="F5697" s="9"/>
      <c r="G5697" s="8">
        <f t="shared" si="172"/>
        <v>108.26759999999999</v>
      </c>
      <c r="H5697" s="165">
        <v>103.11199999999999</v>
      </c>
      <c r="I5697" s="19">
        <f t="shared" si="173"/>
        <v>0</v>
      </c>
    </row>
    <row r="5698" spans="1:9" hidden="1">
      <c r="A5698" s="49" t="s">
        <v>8760</v>
      </c>
      <c r="B5698" s="5">
        <v>25072</v>
      </c>
      <c r="C5698" s="122" t="s">
        <v>9663</v>
      </c>
      <c r="D5698" s="5"/>
      <c r="E5698" s="123">
        <v>1</v>
      </c>
      <c r="F5698" s="9"/>
      <c r="G5698" s="8">
        <f t="shared" si="172"/>
        <v>22.798650000000002</v>
      </c>
      <c r="H5698" s="165">
        <v>21.713000000000001</v>
      </c>
      <c r="I5698" s="19">
        <f t="shared" si="173"/>
        <v>0</v>
      </c>
    </row>
    <row r="5699" spans="1:9" hidden="1">
      <c r="A5699" s="49" t="s">
        <v>8760</v>
      </c>
      <c r="B5699" s="5">
        <v>25073</v>
      </c>
      <c r="C5699" s="122" t="s">
        <v>9664</v>
      </c>
      <c r="D5699" s="5"/>
      <c r="E5699" s="123">
        <v>1</v>
      </c>
      <c r="F5699" s="9"/>
      <c r="G5699" s="8">
        <f t="shared" si="172"/>
        <v>1.0101</v>
      </c>
      <c r="H5699" s="165">
        <v>0.96199999999999997</v>
      </c>
      <c r="I5699" s="19">
        <f t="shared" si="173"/>
        <v>0</v>
      </c>
    </row>
    <row r="5700" spans="1:9" hidden="1">
      <c r="A5700" s="49" t="s">
        <v>8760</v>
      </c>
      <c r="B5700" s="5">
        <v>25074</v>
      </c>
      <c r="C5700" s="122" t="s">
        <v>9665</v>
      </c>
      <c r="D5700" s="5"/>
      <c r="E5700" s="123">
        <v>1</v>
      </c>
      <c r="F5700" s="9"/>
      <c r="G5700" s="8">
        <f t="shared" si="172"/>
        <v>52.0107</v>
      </c>
      <c r="H5700" s="165">
        <v>49.533999999999999</v>
      </c>
      <c r="I5700" s="19">
        <f t="shared" si="173"/>
        <v>0</v>
      </c>
    </row>
    <row r="5701" spans="1:9" hidden="1">
      <c r="A5701" s="49" t="s">
        <v>8760</v>
      </c>
      <c r="B5701" s="5">
        <v>25075</v>
      </c>
      <c r="C5701" s="122" t="s">
        <v>9666</v>
      </c>
      <c r="D5701" s="5"/>
      <c r="E5701" s="123">
        <v>1</v>
      </c>
      <c r="F5701" s="9"/>
      <c r="G5701" s="8">
        <f t="shared" si="172"/>
        <v>2.8570500000000001</v>
      </c>
      <c r="H5701" s="165">
        <v>2.7210000000000001</v>
      </c>
      <c r="I5701" s="19">
        <f t="shared" si="173"/>
        <v>0</v>
      </c>
    </row>
    <row r="5702" spans="1:9" hidden="1">
      <c r="A5702" s="49" t="s">
        <v>8760</v>
      </c>
      <c r="B5702" s="5">
        <v>25078</v>
      </c>
      <c r="C5702" s="122" t="s">
        <v>9667</v>
      </c>
      <c r="D5702" s="5"/>
      <c r="E5702" s="123">
        <v>1</v>
      </c>
      <c r="F5702" s="9"/>
      <c r="G5702" s="8">
        <f t="shared" si="172"/>
        <v>16.280250000000002</v>
      </c>
      <c r="H5702" s="165">
        <v>15.505000000000001</v>
      </c>
      <c r="I5702" s="19">
        <f t="shared" si="173"/>
        <v>0</v>
      </c>
    </row>
    <row r="5703" spans="1:9" hidden="1">
      <c r="A5703" s="49" t="s">
        <v>8760</v>
      </c>
      <c r="B5703" s="5">
        <v>25079</v>
      </c>
      <c r="C5703" s="122" t="s">
        <v>9668</v>
      </c>
      <c r="D5703" s="5" t="s">
        <v>572</v>
      </c>
      <c r="E5703" s="123">
        <v>1</v>
      </c>
      <c r="F5703" s="9"/>
      <c r="G5703" s="8">
        <f t="shared" si="172"/>
        <v>6.1235999999999997</v>
      </c>
      <c r="H5703" s="165">
        <v>5.8319999999999999</v>
      </c>
      <c r="I5703" s="19">
        <f t="shared" si="173"/>
        <v>0</v>
      </c>
    </row>
    <row r="5704" spans="1:9" hidden="1">
      <c r="A5704" s="49" t="s">
        <v>8760</v>
      </c>
      <c r="B5704" s="5" t="s">
        <v>9669</v>
      </c>
      <c r="C5704" s="122" t="s">
        <v>9670</v>
      </c>
      <c r="D5704" s="5"/>
      <c r="E5704" s="123">
        <v>1</v>
      </c>
      <c r="F5704" s="9"/>
      <c r="G5704" s="8">
        <f t="shared" si="172"/>
        <v>1.5529500000000001</v>
      </c>
      <c r="H5704" s="165">
        <v>1.4790000000000001</v>
      </c>
      <c r="I5704" s="19">
        <f t="shared" si="173"/>
        <v>0</v>
      </c>
    </row>
    <row r="5705" spans="1:9" hidden="1">
      <c r="A5705" s="49" t="s">
        <v>8760</v>
      </c>
      <c r="B5705" s="5" t="s">
        <v>9671</v>
      </c>
      <c r="C5705" s="122" t="s">
        <v>9672</v>
      </c>
      <c r="D5705" s="5"/>
      <c r="E5705" s="123">
        <v>1</v>
      </c>
      <c r="F5705" s="9"/>
      <c r="G5705" s="8">
        <f t="shared" si="172"/>
        <v>0.99644999999999995</v>
      </c>
      <c r="H5705" s="165">
        <v>0.94899999999999995</v>
      </c>
      <c r="I5705" s="19">
        <f t="shared" si="173"/>
        <v>0</v>
      </c>
    </row>
    <row r="5706" spans="1:9" hidden="1">
      <c r="A5706" s="49" t="s">
        <v>8760</v>
      </c>
      <c r="B5706" s="5" t="s">
        <v>9673</v>
      </c>
      <c r="C5706" s="122" t="s">
        <v>9674</v>
      </c>
      <c r="D5706" s="5"/>
      <c r="E5706" s="123">
        <v>1</v>
      </c>
      <c r="F5706" s="9"/>
      <c r="G5706" s="8">
        <f t="shared" si="172"/>
        <v>2.4790500000000004</v>
      </c>
      <c r="H5706" s="165">
        <v>2.3610000000000002</v>
      </c>
      <c r="I5706" s="19">
        <f t="shared" si="173"/>
        <v>0</v>
      </c>
    </row>
    <row r="5707" spans="1:9" hidden="1">
      <c r="A5707" s="49" t="s">
        <v>8760</v>
      </c>
      <c r="B5707" s="5" t="s">
        <v>9675</v>
      </c>
      <c r="C5707" s="122" t="s">
        <v>9676</v>
      </c>
      <c r="D5707" s="5"/>
      <c r="E5707" s="123">
        <v>1</v>
      </c>
      <c r="F5707" s="9"/>
      <c r="G5707" s="8">
        <f t="shared" si="172"/>
        <v>4.99695</v>
      </c>
      <c r="H5707" s="165">
        <v>4.7590000000000003</v>
      </c>
      <c r="I5707" s="19">
        <f t="shared" si="173"/>
        <v>0</v>
      </c>
    </row>
    <row r="5708" spans="1:9" hidden="1">
      <c r="A5708" s="49" t="s">
        <v>8760</v>
      </c>
      <c r="B5708" s="5" t="s">
        <v>9677</v>
      </c>
      <c r="C5708" s="122" t="s">
        <v>9678</v>
      </c>
      <c r="D5708" s="5"/>
      <c r="E5708" s="123">
        <v>1</v>
      </c>
      <c r="F5708" s="9"/>
      <c r="G5708" s="8">
        <f t="shared" si="172"/>
        <v>3.7736999999999998</v>
      </c>
      <c r="H5708" s="165">
        <v>3.5939999999999999</v>
      </c>
      <c r="I5708" s="19">
        <f t="shared" si="173"/>
        <v>0</v>
      </c>
    </row>
    <row r="5709" spans="1:9" hidden="1">
      <c r="A5709" s="49" t="s">
        <v>8760</v>
      </c>
      <c r="B5709" s="5" t="s">
        <v>9679</v>
      </c>
      <c r="C5709" s="122" t="s">
        <v>9680</v>
      </c>
      <c r="D5709" s="5"/>
      <c r="E5709" s="123">
        <v>1</v>
      </c>
      <c r="F5709" s="9"/>
      <c r="G5709" s="8">
        <f t="shared" si="172"/>
        <v>6.5257499999999995</v>
      </c>
      <c r="H5709" s="165">
        <v>6.2149999999999999</v>
      </c>
      <c r="I5709" s="19">
        <f t="shared" si="173"/>
        <v>0</v>
      </c>
    </row>
    <row r="5710" spans="1:9" hidden="1">
      <c r="A5710" s="49" t="s">
        <v>8760</v>
      </c>
      <c r="B5710" s="5" t="s">
        <v>9681</v>
      </c>
      <c r="C5710" s="122" t="s">
        <v>9682</v>
      </c>
      <c r="D5710" s="5"/>
      <c r="E5710" s="123">
        <v>1</v>
      </c>
      <c r="F5710" s="9"/>
      <c r="G5710" s="8">
        <f t="shared" si="172"/>
        <v>3.7736999999999998</v>
      </c>
      <c r="H5710" s="165">
        <v>3.5939999999999999</v>
      </c>
      <c r="I5710" s="19">
        <f t="shared" si="173"/>
        <v>0</v>
      </c>
    </row>
    <row r="5711" spans="1:9" hidden="1">
      <c r="A5711" s="49" t="s">
        <v>8760</v>
      </c>
      <c r="B5711" s="5" t="s">
        <v>9683</v>
      </c>
      <c r="C5711" s="122" t="s">
        <v>9684</v>
      </c>
      <c r="D5711" s="5"/>
      <c r="E5711" s="123">
        <v>1</v>
      </c>
      <c r="F5711" s="9"/>
      <c r="G5711" s="8">
        <f t="shared" si="172"/>
        <v>6.5257499999999995</v>
      </c>
      <c r="H5711" s="165">
        <v>6.2149999999999999</v>
      </c>
      <c r="I5711" s="19">
        <f t="shared" si="173"/>
        <v>0</v>
      </c>
    </row>
    <row r="5712" spans="1:9" hidden="1">
      <c r="A5712" s="49" t="s">
        <v>8760</v>
      </c>
      <c r="B5712" s="5">
        <v>25101</v>
      </c>
      <c r="C5712" s="122" t="s">
        <v>9685</v>
      </c>
      <c r="D5712" s="5"/>
      <c r="E5712" s="123">
        <v>1</v>
      </c>
      <c r="F5712" s="9"/>
      <c r="G5712" s="8">
        <f t="shared" si="172"/>
        <v>0.10185</v>
      </c>
      <c r="H5712" s="165">
        <v>9.7000000000000003E-2</v>
      </c>
      <c r="I5712" s="19">
        <f t="shared" si="173"/>
        <v>0</v>
      </c>
    </row>
    <row r="5713" spans="1:9" hidden="1">
      <c r="A5713" s="49" t="s">
        <v>8760</v>
      </c>
      <c r="B5713" s="5">
        <v>25102</v>
      </c>
      <c r="C5713" s="122" t="s">
        <v>9686</v>
      </c>
      <c r="D5713" s="5"/>
      <c r="E5713" s="123">
        <v>1</v>
      </c>
      <c r="F5713" s="9"/>
      <c r="G5713" s="8">
        <f t="shared" si="172"/>
        <v>0.18479999999999999</v>
      </c>
      <c r="H5713" s="165">
        <v>0.17599999999999999</v>
      </c>
      <c r="I5713" s="19">
        <f t="shared" si="173"/>
        <v>0</v>
      </c>
    </row>
    <row r="5714" spans="1:9" hidden="1">
      <c r="A5714" s="49" t="s">
        <v>8760</v>
      </c>
      <c r="B5714" s="5">
        <v>25103</v>
      </c>
      <c r="C5714" s="122" t="s">
        <v>9687</v>
      </c>
      <c r="D5714" s="5"/>
      <c r="E5714" s="123">
        <v>1</v>
      </c>
      <c r="F5714" s="9"/>
      <c r="G5714" s="8">
        <f t="shared" si="172"/>
        <v>0.26774999999999999</v>
      </c>
      <c r="H5714" s="165">
        <v>0.255</v>
      </c>
      <c r="I5714" s="19">
        <f t="shared" si="173"/>
        <v>0</v>
      </c>
    </row>
    <row r="5715" spans="1:9" hidden="1">
      <c r="A5715" s="49" t="s">
        <v>8760</v>
      </c>
      <c r="B5715" s="5">
        <v>25104</v>
      </c>
      <c r="C5715" s="122" t="s">
        <v>9688</v>
      </c>
      <c r="D5715" s="5"/>
      <c r="E5715" s="123">
        <v>1</v>
      </c>
      <c r="F5715" s="9"/>
      <c r="G5715" s="8">
        <f t="shared" si="172"/>
        <v>0.51239999999999997</v>
      </c>
      <c r="H5715" s="165">
        <v>0.48799999999999999</v>
      </c>
      <c r="I5715" s="19">
        <f t="shared" si="173"/>
        <v>0</v>
      </c>
    </row>
    <row r="5716" spans="1:9" hidden="1">
      <c r="A5716" s="49" t="s">
        <v>8760</v>
      </c>
      <c r="B5716" s="5">
        <v>25105</v>
      </c>
      <c r="C5716" s="122" t="s">
        <v>9689</v>
      </c>
      <c r="D5716" s="5"/>
      <c r="E5716" s="123">
        <v>1</v>
      </c>
      <c r="F5716" s="9"/>
      <c r="G5716" s="8">
        <f t="shared" ref="G5716:G5779" si="174">H5716+(H5716*5%)</f>
        <v>8.2949999999999996E-2</v>
      </c>
      <c r="H5716" s="165">
        <v>7.9000000000000001E-2</v>
      </c>
      <c r="I5716" s="19">
        <f t="shared" ref="I5716:I5779" si="175">G5716*F5716</f>
        <v>0</v>
      </c>
    </row>
    <row r="5717" spans="1:9" hidden="1">
      <c r="A5717" s="49" t="s">
        <v>8760</v>
      </c>
      <c r="B5717" s="5">
        <v>25106</v>
      </c>
      <c r="C5717" s="122" t="s">
        <v>9690</v>
      </c>
      <c r="D5717" s="5"/>
      <c r="E5717" s="123">
        <v>1</v>
      </c>
      <c r="F5717" s="9"/>
      <c r="G5717" s="8">
        <f t="shared" si="174"/>
        <v>0.10185</v>
      </c>
      <c r="H5717" s="165">
        <v>9.7000000000000003E-2</v>
      </c>
      <c r="I5717" s="19">
        <f t="shared" si="175"/>
        <v>0</v>
      </c>
    </row>
    <row r="5718" spans="1:9" hidden="1">
      <c r="A5718" s="49" t="s">
        <v>8760</v>
      </c>
      <c r="B5718" s="5" t="s">
        <v>9691</v>
      </c>
      <c r="C5718" s="122" t="s">
        <v>9692</v>
      </c>
      <c r="D5718" s="5" t="s">
        <v>2488</v>
      </c>
      <c r="E5718" s="123">
        <v>1</v>
      </c>
      <c r="F5718" s="9"/>
      <c r="G5718" s="8">
        <f t="shared" si="174"/>
        <v>14.255850000000001</v>
      </c>
      <c r="H5718" s="165">
        <v>13.577</v>
      </c>
      <c r="I5718" s="19">
        <f t="shared" si="175"/>
        <v>0</v>
      </c>
    </row>
    <row r="5719" spans="1:9" hidden="1">
      <c r="A5719" s="49" t="s">
        <v>8760</v>
      </c>
      <c r="B5719" s="5" t="s">
        <v>9693</v>
      </c>
      <c r="C5719" s="122" t="s">
        <v>9694</v>
      </c>
      <c r="D5719" s="5" t="s">
        <v>2488</v>
      </c>
      <c r="E5719" s="123">
        <v>1</v>
      </c>
      <c r="F5719" s="9"/>
      <c r="G5719" s="8">
        <f t="shared" si="174"/>
        <v>6.1519500000000003</v>
      </c>
      <c r="H5719" s="165">
        <v>5.859</v>
      </c>
      <c r="I5719" s="19">
        <f t="shared" si="175"/>
        <v>0</v>
      </c>
    </row>
    <row r="5720" spans="1:9" hidden="1">
      <c r="A5720" s="49" t="s">
        <v>8760</v>
      </c>
      <c r="B5720" s="5" t="s">
        <v>9695</v>
      </c>
      <c r="C5720" s="122" t="s">
        <v>9696</v>
      </c>
      <c r="D5720" s="5" t="s">
        <v>2488</v>
      </c>
      <c r="E5720" s="123">
        <v>1</v>
      </c>
      <c r="F5720" s="9"/>
      <c r="G5720" s="8">
        <f t="shared" si="174"/>
        <v>6.9667499999999993</v>
      </c>
      <c r="H5720" s="165">
        <v>6.6349999999999998</v>
      </c>
      <c r="I5720" s="19">
        <f t="shared" si="175"/>
        <v>0</v>
      </c>
    </row>
    <row r="5721" spans="1:9" hidden="1">
      <c r="A5721" s="49" t="s">
        <v>8760</v>
      </c>
      <c r="B5721" s="5" t="s">
        <v>9697</v>
      </c>
      <c r="C5721" s="122" t="s">
        <v>9698</v>
      </c>
      <c r="D5721" s="5" t="s">
        <v>2488</v>
      </c>
      <c r="E5721" s="123">
        <v>1</v>
      </c>
      <c r="F5721" s="9"/>
      <c r="G5721" s="8">
        <f t="shared" si="174"/>
        <v>9.2158499999999997</v>
      </c>
      <c r="H5721" s="165">
        <v>8.7769999999999992</v>
      </c>
      <c r="I5721" s="19">
        <f t="shared" si="175"/>
        <v>0</v>
      </c>
    </row>
    <row r="5722" spans="1:9" hidden="1">
      <c r="A5722" s="49" t="s">
        <v>8760</v>
      </c>
      <c r="B5722" s="5" t="s">
        <v>9699</v>
      </c>
      <c r="C5722" s="122" t="s">
        <v>9700</v>
      </c>
      <c r="D5722" s="5" t="s">
        <v>2488</v>
      </c>
      <c r="E5722" s="123">
        <v>1</v>
      </c>
      <c r="F5722" s="9"/>
      <c r="G5722" s="8">
        <f t="shared" si="174"/>
        <v>11.5878</v>
      </c>
      <c r="H5722" s="165">
        <v>11.036</v>
      </c>
      <c r="I5722" s="19">
        <f t="shared" si="175"/>
        <v>0</v>
      </c>
    </row>
    <row r="5723" spans="1:9" hidden="1">
      <c r="A5723" s="49" t="s">
        <v>8760</v>
      </c>
      <c r="B5723" s="5" t="s">
        <v>9701</v>
      </c>
      <c r="C5723" s="122" t="s">
        <v>9702</v>
      </c>
      <c r="D5723" s="5" t="s">
        <v>2488</v>
      </c>
      <c r="E5723" s="123">
        <v>1</v>
      </c>
      <c r="F5723" s="9"/>
      <c r="G5723" s="8">
        <f t="shared" si="174"/>
        <v>21.670949999999998</v>
      </c>
      <c r="H5723" s="165">
        <v>20.638999999999999</v>
      </c>
      <c r="I5723" s="19">
        <f t="shared" si="175"/>
        <v>0</v>
      </c>
    </row>
    <row r="5724" spans="1:9" hidden="1">
      <c r="A5724" s="49" t="s">
        <v>8760</v>
      </c>
      <c r="B5724" s="5" t="s">
        <v>9703</v>
      </c>
      <c r="C5724" s="122" t="s">
        <v>9704</v>
      </c>
      <c r="D5724" s="5" t="s">
        <v>2488</v>
      </c>
      <c r="E5724" s="123">
        <v>1</v>
      </c>
      <c r="F5724" s="9"/>
      <c r="G5724" s="8">
        <f t="shared" si="174"/>
        <v>25.424699999999998</v>
      </c>
      <c r="H5724" s="165">
        <v>24.213999999999999</v>
      </c>
      <c r="I5724" s="19">
        <f t="shared" si="175"/>
        <v>0</v>
      </c>
    </row>
    <row r="5725" spans="1:9" hidden="1">
      <c r="A5725" s="49" t="s">
        <v>8760</v>
      </c>
      <c r="B5725" s="5" t="s">
        <v>9705</v>
      </c>
      <c r="C5725" s="122" t="s">
        <v>9706</v>
      </c>
      <c r="D5725" s="5" t="s">
        <v>2488</v>
      </c>
      <c r="E5725" s="123">
        <v>1</v>
      </c>
      <c r="F5725" s="9"/>
      <c r="G5725" s="8">
        <f t="shared" si="174"/>
        <v>8.4545999999999992</v>
      </c>
      <c r="H5725" s="165">
        <v>8.0519999999999996</v>
      </c>
      <c r="I5725" s="19">
        <f t="shared" si="175"/>
        <v>0</v>
      </c>
    </row>
    <row r="5726" spans="1:9" hidden="1">
      <c r="A5726" s="49" t="s">
        <v>8760</v>
      </c>
      <c r="B5726" s="5" t="s">
        <v>9707</v>
      </c>
      <c r="C5726" s="122" t="s">
        <v>9708</v>
      </c>
      <c r="D5726" s="5" t="s">
        <v>2488</v>
      </c>
      <c r="E5726" s="123">
        <v>1</v>
      </c>
      <c r="F5726" s="9"/>
      <c r="G5726" s="8">
        <f t="shared" si="174"/>
        <v>10.225950000000001</v>
      </c>
      <c r="H5726" s="165">
        <v>9.7390000000000008</v>
      </c>
      <c r="I5726" s="19">
        <f t="shared" si="175"/>
        <v>0</v>
      </c>
    </row>
    <row r="5727" spans="1:9" hidden="1">
      <c r="A5727" s="49" t="s">
        <v>8760</v>
      </c>
      <c r="B5727" s="5" t="s">
        <v>9709</v>
      </c>
      <c r="C5727" s="122" t="s">
        <v>9710</v>
      </c>
      <c r="D5727" s="5" t="s">
        <v>2488</v>
      </c>
      <c r="E5727" s="123">
        <v>1</v>
      </c>
      <c r="F5727" s="9"/>
      <c r="G5727" s="8">
        <f t="shared" si="174"/>
        <v>13.8012</v>
      </c>
      <c r="H5727" s="165">
        <v>13.144</v>
      </c>
      <c r="I5727" s="19">
        <f t="shared" si="175"/>
        <v>0</v>
      </c>
    </row>
    <row r="5728" spans="1:9" hidden="1">
      <c r="A5728" s="49" t="s">
        <v>8760</v>
      </c>
      <c r="B5728" s="5" t="s">
        <v>9711</v>
      </c>
      <c r="C5728" s="122" t="s">
        <v>9712</v>
      </c>
      <c r="D5728" s="5" t="s">
        <v>2488</v>
      </c>
      <c r="E5728" s="123">
        <v>1</v>
      </c>
      <c r="F5728" s="9"/>
      <c r="G5728" s="8">
        <f t="shared" si="174"/>
        <v>15.4476</v>
      </c>
      <c r="H5728" s="165">
        <v>14.712</v>
      </c>
      <c r="I5728" s="19">
        <f t="shared" si="175"/>
        <v>0</v>
      </c>
    </row>
    <row r="5729" spans="1:9" hidden="1">
      <c r="A5729" s="49" t="s">
        <v>8760</v>
      </c>
      <c r="B5729" s="5" t="s">
        <v>9713</v>
      </c>
      <c r="C5729" s="122" t="s">
        <v>9714</v>
      </c>
      <c r="D5729" s="5" t="s">
        <v>2488</v>
      </c>
      <c r="E5729" s="123">
        <v>1</v>
      </c>
      <c r="F5729" s="9"/>
      <c r="G5729" s="8">
        <f t="shared" si="174"/>
        <v>18.081</v>
      </c>
      <c r="H5729" s="165">
        <v>17.22</v>
      </c>
      <c r="I5729" s="19">
        <f t="shared" si="175"/>
        <v>0</v>
      </c>
    </row>
    <row r="5730" spans="1:9" hidden="1">
      <c r="A5730" s="49" t="s">
        <v>8760</v>
      </c>
      <c r="B5730" s="5" t="s">
        <v>9715</v>
      </c>
      <c r="C5730" s="122" t="s">
        <v>9716</v>
      </c>
      <c r="D5730" s="5" t="s">
        <v>2488</v>
      </c>
      <c r="E5730" s="123">
        <v>1</v>
      </c>
      <c r="F5730" s="9"/>
      <c r="G5730" s="8">
        <f t="shared" si="174"/>
        <v>27.921599999999998</v>
      </c>
      <c r="H5730" s="165">
        <v>26.591999999999999</v>
      </c>
      <c r="I5730" s="19">
        <f t="shared" si="175"/>
        <v>0</v>
      </c>
    </row>
    <row r="5731" spans="1:9" hidden="1">
      <c r="A5731" s="49" t="s">
        <v>8760</v>
      </c>
      <c r="B5731" s="5" t="s">
        <v>9717</v>
      </c>
      <c r="C5731" s="122" t="s">
        <v>9718</v>
      </c>
      <c r="D5731" s="5" t="s">
        <v>2488</v>
      </c>
      <c r="E5731" s="123">
        <v>1</v>
      </c>
      <c r="F5731" s="9"/>
      <c r="G5731" s="8">
        <f t="shared" si="174"/>
        <v>40.640249999999995</v>
      </c>
      <c r="H5731" s="165">
        <v>38.704999999999998</v>
      </c>
      <c r="I5731" s="19">
        <f t="shared" si="175"/>
        <v>0</v>
      </c>
    </row>
    <row r="5732" spans="1:9" hidden="1">
      <c r="A5732" s="49" t="s">
        <v>8760</v>
      </c>
      <c r="B5732" s="5" t="s">
        <v>9719</v>
      </c>
      <c r="C5732" s="122" t="s">
        <v>9720</v>
      </c>
      <c r="D5732" s="5" t="s">
        <v>2488</v>
      </c>
      <c r="E5732" s="123">
        <v>1</v>
      </c>
      <c r="F5732" s="9"/>
      <c r="G5732" s="8">
        <f t="shared" si="174"/>
        <v>13.43055</v>
      </c>
      <c r="H5732" s="165">
        <v>12.791</v>
      </c>
      <c r="I5732" s="19">
        <f t="shared" si="175"/>
        <v>0</v>
      </c>
    </row>
    <row r="5733" spans="1:9" hidden="1">
      <c r="A5733" s="49" t="s">
        <v>8760</v>
      </c>
      <c r="B5733" s="5" t="s">
        <v>9721</v>
      </c>
      <c r="C5733" s="122" t="s">
        <v>9722</v>
      </c>
      <c r="D5733" s="5" t="s">
        <v>2488</v>
      </c>
      <c r="E5733" s="123">
        <v>1</v>
      </c>
      <c r="F5733" s="9"/>
      <c r="G5733" s="8">
        <f t="shared" si="174"/>
        <v>18.260549999999999</v>
      </c>
      <c r="H5733" s="165">
        <v>17.390999999999998</v>
      </c>
      <c r="I5733" s="19">
        <f t="shared" si="175"/>
        <v>0</v>
      </c>
    </row>
    <row r="5734" spans="1:9" hidden="1">
      <c r="A5734" s="49" t="s">
        <v>8760</v>
      </c>
      <c r="B5734" s="5" t="s">
        <v>9723</v>
      </c>
      <c r="C5734" s="122" t="s">
        <v>9724</v>
      </c>
      <c r="D5734" s="5" t="s">
        <v>2488</v>
      </c>
      <c r="E5734" s="123">
        <v>1</v>
      </c>
      <c r="F5734" s="9"/>
      <c r="G5734" s="8">
        <f t="shared" si="174"/>
        <v>23.0916</v>
      </c>
      <c r="H5734" s="165">
        <v>21.992000000000001</v>
      </c>
      <c r="I5734" s="19">
        <f t="shared" si="175"/>
        <v>0</v>
      </c>
    </row>
    <row r="5735" spans="1:9" hidden="1">
      <c r="A5735" s="49" t="s">
        <v>8760</v>
      </c>
      <c r="B5735" s="5" t="s">
        <v>9725</v>
      </c>
      <c r="C5735" s="122" t="s">
        <v>9726</v>
      </c>
      <c r="D5735" s="5" t="s">
        <v>2488</v>
      </c>
      <c r="E5735" s="123">
        <v>1</v>
      </c>
      <c r="F5735" s="9"/>
      <c r="G5735" s="8">
        <f t="shared" si="174"/>
        <v>40.936350000000004</v>
      </c>
      <c r="H5735" s="165">
        <v>38.987000000000002</v>
      </c>
      <c r="I5735" s="19">
        <f t="shared" si="175"/>
        <v>0</v>
      </c>
    </row>
    <row r="5736" spans="1:9" hidden="1">
      <c r="A5736" s="49" t="s">
        <v>8760</v>
      </c>
      <c r="B5736" s="5" t="s">
        <v>9727</v>
      </c>
      <c r="C5736" s="122" t="s">
        <v>9728</v>
      </c>
      <c r="D5736" s="5" t="s">
        <v>2488</v>
      </c>
      <c r="E5736" s="123">
        <v>1</v>
      </c>
      <c r="F5736" s="9"/>
      <c r="G5736" s="8">
        <f t="shared" si="174"/>
        <v>30.057300000000001</v>
      </c>
      <c r="H5736" s="165">
        <v>28.626000000000001</v>
      </c>
      <c r="I5736" s="19">
        <f t="shared" si="175"/>
        <v>0</v>
      </c>
    </row>
    <row r="5737" spans="1:9" hidden="1">
      <c r="A5737" s="49" t="s">
        <v>8760</v>
      </c>
      <c r="B5737" s="5" t="s">
        <v>9729</v>
      </c>
      <c r="C5737" s="122" t="s">
        <v>9730</v>
      </c>
      <c r="D5737" s="5" t="s">
        <v>2488</v>
      </c>
      <c r="E5737" s="123">
        <v>1</v>
      </c>
      <c r="F5737" s="9"/>
      <c r="G5737" s="8">
        <f t="shared" si="174"/>
        <v>23.715299999999999</v>
      </c>
      <c r="H5737" s="165">
        <v>22.585999999999999</v>
      </c>
      <c r="I5737" s="19">
        <f t="shared" si="175"/>
        <v>0</v>
      </c>
    </row>
    <row r="5738" spans="1:9" hidden="1">
      <c r="A5738" s="49" t="s">
        <v>8760</v>
      </c>
      <c r="B5738" s="5" t="s">
        <v>9731</v>
      </c>
      <c r="C5738" s="122" t="s">
        <v>9732</v>
      </c>
      <c r="D5738" s="5" t="s">
        <v>2488</v>
      </c>
      <c r="E5738" s="123">
        <v>1</v>
      </c>
      <c r="F5738" s="9"/>
      <c r="G5738" s="8">
        <f t="shared" si="174"/>
        <v>15.06645</v>
      </c>
      <c r="H5738" s="165">
        <v>14.349</v>
      </c>
      <c r="I5738" s="19">
        <f t="shared" si="175"/>
        <v>0</v>
      </c>
    </row>
    <row r="5739" spans="1:9" hidden="1">
      <c r="A5739" s="49" t="s">
        <v>8760</v>
      </c>
      <c r="B5739" s="5" t="s">
        <v>9733</v>
      </c>
      <c r="C5739" s="122" t="s">
        <v>9734</v>
      </c>
      <c r="D5739" s="5" t="s">
        <v>2488</v>
      </c>
      <c r="E5739" s="123">
        <v>1</v>
      </c>
      <c r="F5739" s="9"/>
      <c r="G5739" s="8">
        <f t="shared" si="174"/>
        <v>30.3492</v>
      </c>
      <c r="H5739" s="165">
        <v>28.904</v>
      </c>
      <c r="I5739" s="19">
        <f t="shared" si="175"/>
        <v>0</v>
      </c>
    </row>
    <row r="5740" spans="1:9" hidden="1">
      <c r="A5740" s="49" t="s">
        <v>8760</v>
      </c>
      <c r="B5740" s="5" t="s">
        <v>9735</v>
      </c>
      <c r="C5740" s="122" t="s">
        <v>9736</v>
      </c>
      <c r="D5740" s="5" t="s">
        <v>2488</v>
      </c>
      <c r="E5740" s="123">
        <v>1</v>
      </c>
      <c r="F5740" s="9"/>
      <c r="G5740" s="8">
        <f t="shared" si="174"/>
        <v>13.83165</v>
      </c>
      <c r="H5740" s="165">
        <v>13.173</v>
      </c>
      <c r="I5740" s="19">
        <f t="shared" si="175"/>
        <v>0</v>
      </c>
    </row>
    <row r="5741" spans="1:9" hidden="1">
      <c r="A5741" s="49" t="s">
        <v>8760</v>
      </c>
      <c r="B5741" s="5" t="s">
        <v>9737</v>
      </c>
      <c r="C5741" s="122" t="s">
        <v>9738</v>
      </c>
      <c r="D5741" s="5" t="s">
        <v>2488</v>
      </c>
      <c r="E5741" s="123">
        <v>1</v>
      </c>
      <c r="F5741" s="9"/>
      <c r="G5741" s="8">
        <f t="shared" si="174"/>
        <v>21.994350000000001</v>
      </c>
      <c r="H5741" s="165">
        <v>20.946999999999999</v>
      </c>
      <c r="I5741" s="19">
        <f t="shared" si="175"/>
        <v>0</v>
      </c>
    </row>
    <row r="5742" spans="1:9" hidden="1">
      <c r="A5742" s="49" t="s">
        <v>8760</v>
      </c>
      <c r="B5742" s="5" t="s">
        <v>9739</v>
      </c>
      <c r="C5742" s="122" t="s">
        <v>9740</v>
      </c>
      <c r="D5742" s="5" t="s">
        <v>2488</v>
      </c>
      <c r="E5742" s="123">
        <v>1</v>
      </c>
      <c r="F5742" s="9"/>
      <c r="G5742" s="8">
        <f t="shared" si="174"/>
        <v>51.06465</v>
      </c>
      <c r="H5742" s="165">
        <v>48.633000000000003</v>
      </c>
      <c r="I5742" s="19">
        <f t="shared" si="175"/>
        <v>0</v>
      </c>
    </row>
    <row r="5743" spans="1:9" hidden="1">
      <c r="A5743" s="49" t="s">
        <v>8760</v>
      </c>
      <c r="B5743" s="5" t="s">
        <v>9741</v>
      </c>
      <c r="C5743" s="122" t="s">
        <v>9742</v>
      </c>
      <c r="D5743" s="5" t="s">
        <v>2488</v>
      </c>
      <c r="E5743" s="123">
        <v>1</v>
      </c>
      <c r="F5743" s="9"/>
      <c r="G5743" s="8">
        <f t="shared" si="174"/>
        <v>31.704750000000001</v>
      </c>
      <c r="H5743" s="165">
        <v>30.195</v>
      </c>
      <c r="I5743" s="19">
        <f t="shared" si="175"/>
        <v>0</v>
      </c>
    </row>
    <row r="5744" spans="1:9" hidden="1">
      <c r="A5744" s="49" t="s">
        <v>8760</v>
      </c>
      <c r="B5744" s="5" t="s">
        <v>9743</v>
      </c>
      <c r="C5744" s="122" t="s">
        <v>9744</v>
      </c>
      <c r="D5744" s="5" t="s">
        <v>2488</v>
      </c>
      <c r="E5744" s="123">
        <v>1</v>
      </c>
      <c r="F5744" s="9"/>
      <c r="G5744" s="8">
        <f t="shared" si="174"/>
        <v>41.700750000000006</v>
      </c>
      <c r="H5744" s="165">
        <v>39.715000000000003</v>
      </c>
      <c r="I5744" s="19">
        <f t="shared" si="175"/>
        <v>0</v>
      </c>
    </row>
    <row r="5745" spans="1:9" hidden="1">
      <c r="A5745" s="49" t="s">
        <v>8760</v>
      </c>
      <c r="B5745" s="5" t="s">
        <v>9745</v>
      </c>
      <c r="C5745" s="122" t="s">
        <v>9746</v>
      </c>
      <c r="D5745" s="5" t="s">
        <v>2488</v>
      </c>
      <c r="E5745" s="123">
        <v>1</v>
      </c>
      <c r="F5745" s="9"/>
      <c r="G5745" s="8">
        <f t="shared" si="174"/>
        <v>64.340850000000003</v>
      </c>
      <c r="H5745" s="165">
        <v>61.277000000000001</v>
      </c>
      <c r="I5745" s="19">
        <f t="shared" si="175"/>
        <v>0</v>
      </c>
    </row>
    <row r="5746" spans="1:9" hidden="1">
      <c r="A5746" s="49" t="s">
        <v>8760</v>
      </c>
      <c r="B5746" s="5" t="s">
        <v>9747</v>
      </c>
      <c r="C5746" s="122" t="s">
        <v>9748</v>
      </c>
      <c r="D5746" s="5" t="s">
        <v>2488</v>
      </c>
      <c r="E5746" s="123">
        <v>1</v>
      </c>
      <c r="F5746" s="9"/>
      <c r="G5746" s="8">
        <f t="shared" si="174"/>
        <v>37.051349999999999</v>
      </c>
      <c r="H5746" s="165">
        <v>35.286999999999999</v>
      </c>
      <c r="I5746" s="19">
        <f t="shared" si="175"/>
        <v>0</v>
      </c>
    </row>
    <row r="5747" spans="1:9" hidden="1">
      <c r="A5747" s="49" t="s">
        <v>8760</v>
      </c>
      <c r="B5747" s="5" t="s">
        <v>9749</v>
      </c>
      <c r="C5747" s="122" t="s">
        <v>9750</v>
      </c>
      <c r="D5747" s="5" t="s">
        <v>2488</v>
      </c>
      <c r="E5747" s="123">
        <v>1</v>
      </c>
      <c r="F5747" s="9"/>
      <c r="G5747" s="8">
        <f t="shared" si="174"/>
        <v>29.577449999999999</v>
      </c>
      <c r="H5747" s="165">
        <v>28.169</v>
      </c>
      <c r="I5747" s="19">
        <f t="shared" si="175"/>
        <v>0</v>
      </c>
    </row>
    <row r="5748" spans="1:9" hidden="1">
      <c r="A5748" s="49" t="s">
        <v>8760</v>
      </c>
      <c r="B5748" s="5" t="s">
        <v>9751</v>
      </c>
      <c r="C5748" s="122" t="s">
        <v>9752</v>
      </c>
      <c r="D5748" s="5"/>
      <c r="E5748" s="123">
        <v>1</v>
      </c>
      <c r="F5748" s="9"/>
      <c r="G5748" s="8">
        <f t="shared" si="174"/>
        <v>5.8096500000000004</v>
      </c>
      <c r="H5748" s="165">
        <v>5.5330000000000004</v>
      </c>
      <c r="I5748" s="19">
        <f t="shared" si="175"/>
        <v>0</v>
      </c>
    </row>
    <row r="5749" spans="1:9" hidden="1">
      <c r="A5749" s="49" t="s">
        <v>8760</v>
      </c>
      <c r="B5749" s="5" t="s">
        <v>9753</v>
      </c>
      <c r="C5749" s="122" t="s">
        <v>9754</v>
      </c>
      <c r="D5749" s="5"/>
      <c r="E5749" s="123">
        <v>1</v>
      </c>
      <c r="F5749" s="9"/>
      <c r="G5749" s="8">
        <f t="shared" si="174"/>
        <v>5.0819999999999999</v>
      </c>
      <c r="H5749" s="165">
        <v>4.84</v>
      </c>
      <c r="I5749" s="19">
        <f t="shared" si="175"/>
        <v>0</v>
      </c>
    </row>
    <row r="5750" spans="1:9" hidden="1">
      <c r="A5750" s="49" t="s">
        <v>8760</v>
      </c>
      <c r="B5750" s="5" t="s">
        <v>9755</v>
      </c>
      <c r="C5750" s="122" t="s">
        <v>9756</v>
      </c>
      <c r="D5750" s="5"/>
      <c r="E5750" s="123">
        <v>1</v>
      </c>
      <c r="F5750" s="9"/>
      <c r="G5750" s="8">
        <f t="shared" si="174"/>
        <v>6.3829500000000001</v>
      </c>
      <c r="H5750" s="165">
        <v>6.0789999999999997</v>
      </c>
      <c r="I5750" s="19">
        <f t="shared" si="175"/>
        <v>0</v>
      </c>
    </row>
    <row r="5751" spans="1:9" hidden="1">
      <c r="A5751" s="49" t="s">
        <v>8760</v>
      </c>
      <c r="B5751" s="5" t="s">
        <v>9757</v>
      </c>
      <c r="C5751" s="122" t="s">
        <v>9758</v>
      </c>
      <c r="D5751" s="5"/>
      <c r="E5751" s="123">
        <v>1</v>
      </c>
      <c r="F5751" s="9"/>
      <c r="G5751" s="8">
        <f t="shared" si="174"/>
        <v>12.72495</v>
      </c>
      <c r="H5751" s="165">
        <v>12.119</v>
      </c>
      <c r="I5751" s="19">
        <f t="shared" si="175"/>
        <v>0</v>
      </c>
    </row>
    <row r="5752" spans="1:9" hidden="1">
      <c r="A5752" s="49" t="s">
        <v>8760</v>
      </c>
      <c r="B5752" s="5">
        <v>25147</v>
      </c>
      <c r="C5752" s="122" t="s">
        <v>9759</v>
      </c>
      <c r="D5752" s="5"/>
      <c r="E5752" s="123">
        <v>1</v>
      </c>
      <c r="F5752" s="9"/>
      <c r="G5752" s="8">
        <f t="shared" si="174"/>
        <v>9.2893499999999989</v>
      </c>
      <c r="H5752" s="165">
        <v>8.8469999999999995</v>
      </c>
      <c r="I5752" s="19">
        <f t="shared" si="175"/>
        <v>0</v>
      </c>
    </row>
    <row r="5753" spans="1:9" hidden="1">
      <c r="A5753" s="49" t="s">
        <v>8760</v>
      </c>
      <c r="B5753" s="5">
        <v>25150.1</v>
      </c>
      <c r="C5753" s="122" t="s">
        <v>9760</v>
      </c>
      <c r="D5753" s="5"/>
      <c r="E5753" s="123">
        <v>1</v>
      </c>
      <c r="F5753" s="9"/>
      <c r="G5753" s="8">
        <f t="shared" si="174"/>
        <v>6.0165000000000006</v>
      </c>
      <c r="H5753" s="165">
        <v>5.73</v>
      </c>
      <c r="I5753" s="19">
        <f t="shared" si="175"/>
        <v>0</v>
      </c>
    </row>
    <row r="5754" spans="1:9" hidden="1">
      <c r="A5754" s="49" t="s">
        <v>8760</v>
      </c>
      <c r="B5754" s="5">
        <v>25155</v>
      </c>
      <c r="C5754" s="122" t="s">
        <v>9761</v>
      </c>
      <c r="D5754" s="5"/>
      <c r="E5754" s="123">
        <v>1</v>
      </c>
      <c r="F5754" s="9"/>
      <c r="G5754" s="8">
        <f t="shared" si="174"/>
        <v>2.6669999999999998</v>
      </c>
      <c r="H5754" s="165">
        <v>2.54</v>
      </c>
      <c r="I5754" s="19">
        <f t="shared" si="175"/>
        <v>0</v>
      </c>
    </row>
    <row r="5755" spans="1:9" hidden="1">
      <c r="A5755" s="49" t="s">
        <v>8760</v>
      </c>
      <c r="B5755" s="5">
        <v>25156.1</v>
      </c>
      <c r="C5755" s="122" t="s">
        <v>9762</v>
      </c>
      <c r="D5755" s="5"/>
      <c r="E5755" s="123">
        <v>1</v>
      </c>
      <c r="F5755" s="9"/>
      <c r="G5755" s="8">
        <f t="shared" si="174"/>
        <v>2.88435</v>
      </c>
      <c r="H5755" s="165">
        <v>2.7469999999999999</v>
      </c>
      <c r="I5755" s="19">
        <f t="shared" si="175"/>
        <v>0</v>
      </c>
    </row>
    <row r="5756" spans="1:9" hidden="1">
      <c r="A5756" s="49" t="s">
        <v>8760</v>
      </c>
      <c r="B5756" s="5">
        <v>25157.1</v>
      </c>
      <c r="C5756" s="122" t="s">
        <v>9763</v>
      </c>
      <c r="D5756" s="5"/>
      <c r="E5756" s="123">
        <v>1</v>
      </c>
      <c r="F5756" s="9"/>
      <c r="G5756" s="8">
        <f t="shared" si="174"/>
        <v>9.2568000000000001</v>
      </c>
      <c r="H5756" s="165">
        <v>8.8160000000000007</v>
      </c>
      <c r="I5756" s="19">
        <f t="shared" si="175"/>
        <v>0</v>
      </c>
    </row>
    <row r="5757" spans="1:9" hidden="1">
      <c r="A5757" s="49" t="s">
        <v>8760</v>
      </c>
      <c r="B5757" s="5" t="s">
        <v>9764</v>
      </c>
      <c r="C5757" s="122" t="s">
        <v>9765</v>
      </c>
      <c r="D5757" s="5"/>
      <c r="E5757" s="123">
        <v>1</v>
      </c>
      <c r="F5757" s="9"/>
      <c r="G5757" s="8">
        <f t="shared" si="174"/>
        <v>11.3988</v>
      </c>
      <c r="H5757" s="165">
        <v>10.856</v>
      </c>
      <c r="I5757" s="19">
        <f t="shared" si="175"/>
        <v>0</v>
      </c>
    </row>
    <row r="5758" spans="1:9" hidden="1">
      <c r="A5758" s="49" t="s">
        <v>8760</v>
      </c>
      <c r="B5758" s="5">
        <v>25160.1</v>
      </c>
      <c r="C5758" s="122" t="s">
        <v>9766</v>
      </c>
      <c r="D5758" s="5"/>
      <c r="E5758" s="123">
        <v>1</v>
      </c>
      <c r="F5758" s="9"/>
      <c r="G5758" s="8">
        <f t="shared" si="174"/>
        <v>6.0658500000000002</v>
      </c>
      <c r="H5758" s="165">
        <v>5.7770000000000001</v>
      </c>
      <c r="I5758" s="19">
        <f t="shared" si="175"/>
        <v>0</v>
      </c>
    </row>
    <row r="5759" spans="1:9" hidden="1">
      <c r="A5759" s="49" t="s">
        <v>8760</v>
      </c>
      <c r="B5759" s="5">
        <v>25161.1</v>
      </c>
      <c r="C5759" s="122" t="s">
        <v>9767</v>
      </c>
      <c r="D5759" s="5"/>
      <c r="E5759" s="123">
        <v>1</v>
      </c>
      <c r="F5759" s="9"/>
      <c r="G5759" s="8">
        <f t="shared" si="174"/>
        <v>7.4707500000000007</v>
      </c>
      <c r="H5759" s="165">
        <v>7.1150000000000002</v>
      </c>
      <c r="I5759" s="19">
        <f t="shared" si="175"/>
        <v>0</v>
      </c>
    </row>
    <row r="5760" spans="1:9" hidden="1">
      <c r="A5760" s="49" t="s">
        <v>8760</v>
      </c>
      <c r="B5760" s="5">
        <v>25163</v>
      </c>
      <c r="C5760" s="122" t="s">
        <v>9768</v>
      </c>
      <c r="D5760" s="5"/>
      <c r="E5760" s="123">
        <v>1</v>
      </c>
      <c r="F5760" s="9"/>
      <c r="G5760" s="8">
        <f t="shared" si="174"/>
        <v>1.4510999999999998</v>
      </c>
      <c r="H5760" s="165">
        <v>1.3819999999999999</v>
      </c>
      <c r="I5760" s="19">
        <f t="shared" si="175"/>
        <v>0</v>
      </c>
    </row>
    <row r="5761" spans="1:9" hidden="1">
      <c r="A5761" s="49" t="s">
        <v>8760</v>
      </c>
      <c r="B5761" s="5" t="s">
        <v>9769</v>
      </c>
      <c r="C5761" s="122" t="s">
        <v>9770</v>
      </c>
      <c r="D5761" s="5"/>
      <c r="E5761" s="123">
        <v>1</v>
      </c>
      <c r="F5761" s="9"/>
      <c r="G5761" s="8">
        <f t="shared" si="174"/>
        <v>1.51095</v>
      </c>
      <c r="H5761" s="165">
        <v>1.4390000000000001</v>
      </c>
      <c r="I5761" s="19">
        <f t="shared" si="175"/>
        <v>0</v>
      </c>
    </row>
    <row r="5762" spans="1:9" hidden="1">
      <c r="A5762" s="49" t="s">
        <v>8760</v>
      </c>
      <c r="B5762" s="5">
        <v>25165</v>
      </c>
      <c r="C5762" s="122" t="s">
        <v>9771</v>
      </c>
      <c r="D5762" s="5"/>
      <c r="E5762" s="123">
        <v>1</v>
      </c>
      <c r="F5762" s="9"/>
      <c r="G5762" s="8">
        <f t="shared" si="174"/>
        <v>1.51095</v>
      </c>
      <c r="H5762" s="165">
        <v>1.4390000000000001</v>
      </c>
      <c r="I5762" s="19">
        <f t="shared" si="175"/>
        <v>0</v>
      </c>
    </row>
    <row r="5763" spans="1:9" hidden="1">
      <c r="A5763" s="49" t="s">
        <v>8760</v>
      </c>
      <c r="B5763" s="5" t="s">
        <v>9772</v>
      </c>
      <c r="C5763" s="122" t="s">
        <v>9773</v>
      </c>
      <c r="D5763" s="5"/>
      <c r="E5763" s="123">
        <v>1</v>
      </c>
      <c r="F5763" s="9"/>
      <c r="G5763" s="8">
        <f t="shared" si="174"/>
        <v>1.76715</v>
      </c>
      <c r="H5763" s="165">
        <v>1.6830000000000001</v>
      </c>
      <c r="I5763" s="19">
        <f t="shared" si="175"/>
        <v>0</v>
      </c>
    </row>
    <row r="5764" spans="1:9" hidden="1">
      <c r="A5764" s="49" t="s">
        <v>8760</v>
      </c>
      <c r="B5764" s="5">
        <v>25167</v>
      </c>
      <c r="C5764" s="122" t="s">
        <v>9774</v>
      </c>
      <c r="D5764" s="5"/>
      <c r="E5764" s="123">
        <v>1</v>
      </c>
      <c r="F5764" s="9"/>
      <c r="G5764" s="8">
        <f t="shared" si="174"/>
        <v>1.0772999999999999</v>
      </c>
      <c r="H5764" s="165">
        <v>1.026</v>
      </c>
      <c r="I5764" s="19">
        <f t="shared" si="175"/>
        <v>0</v>
      </c>
    </row>
    <row r="5765" spans="1:9" hidden="1">
      <c r="A5765" s="49" t="s">
        <v>8760</v>
      </c>
      <c r="B5765" s="5" t="s">
        <v>9775</v>
      </c>
      <c r="C5765" s="122" t="s">
        <v>9776</v>
      </c>
      <c r="D5765" s="5"/>
      <c r="E5765" s="123">
        <v>1</v>
      </c>
      <c r="F5765" s="9"/>
      <c r="G5765" s="8">
        <f t="shared" si="174"/>
        <v>1.21905</v>
      </c>
      <c r="H5765" s="165">
        <v>1.161</v>
      </c>
      <c r="I5765" s="19">
        <f t="shared" si="175"/>
        <v>0</v>
      </c>
    </row>
    <row r="5766" spans="1:9" hidden="1">
      <c r="A5766" s="49" t="s">
        <v>8760</v>
      </c>
      <c r="B5766" s="5">
        <v>25169.1</v>
      </c>
      <c r="C5766" s="122" t="s">
        <v>9777</v>
      </c>
      <c r="D5766" s="5"/>
      <c r="E5766" s="123">
        <v>1</v>
      </c>
      <c r="F5766" s="9"/>
      <c r="G5766" s="8">
        <f t="shared" si="174"/>
        <v>3.2970000000000002</v>
      </c>
      <c r="H5766" s="165">
        <v>3.14</v>
      </c>
      <c r="I5766" s="19">
        <f t="shared" si="175"/>
        <v>0</v>
      </c>
    </row>
    <row r="5767" spans="1:9" hidden="1">
      <c r="A5767" s="49" t="s">
        <v>8760</v>
      </c>
      <c r="B5767" s="5">
        <v>25171</v>
      </c>
      <c r="C5767" s="122" t="s">
        <v>9768</v>
      </c>
      <c r="D5767" s="5"/>
      <c r="E5767" s="123">
        <v>1</v>
      </c>
      <c r="F5767" s="9"/>
      <c r="G5767" s="8">
        <f t="shared" si="174"/>
        <v>1.4049</v>
      </c>
      <c r="H5767" s="165">
        <v>1.3380000000000001</v>
      </c>
      <c r="I5767" s="19">
        <f t="shared" si="175"/>
        <v>0</v>
      </c>
    </row>
    <row r="5768" spans="1:9" hidden="1">
      <c r="A5768" s="49" t="s">
        <v>8760</v>
      </c>
      <c r="B5768" s="5" t="s">
        <v>9778</v>
      </c>
      <c r="C5768" s="122" t="s">
        <v>9770</v>
      </c>
      <c r="D5768" s="5"/>
      <c r="E5768" s="123">
        <v>1</v>
      </c>
      <c r="F5768" s="9"/>
      <c r="G5768" s="8">
        <f t="shared" si="174"/>
        <v>1.5445500000000001</v>
      </c>
      <c r="H5768" s="165">
        <v>1.4710000000000001</v>
      </c>
      <c r="I5768" s="19">
        <f t="shared" si="175"/>
        <v>0</v>
      </c>
    </row>
    <row r="5769" spans="1:9" hidden="1">
      <c r="A5769" s="49" t="s">
        <v>8760</v>
      </c>
      <c r="B5769" s="5">
        <v>25173.1</v>
      </c>
      <c r="C5769" s="122" t="s">
        <v>9779</v>
      </c>
      <c r="D5769" s="5"/>
      <c r="E5769" s="123">
        <v>1</v>
      </c>
      <c r="F5769" s="9"/>
      <c r="G5769" s="8">
        <f t="shared" si="174"/>
        <v>1.70625</v>
      </c>
      <c r="H5769" s="165">
        <v>1.625</v>
      </c>
      <c r="I5769" s="19">
        <f t="shared" si="175"/>
        <v>0</v>
      </c>
    </row>
    <row r="5770" spans="1:9">
      <c r="A5770" s="49" t="s">
        <v>8760</v>
      </c>
      <c r="B5770" s="5">
        <v>25190.1</v>
      </c>
      <c r="C5770" s="122" t="s">
        <v>9780</v>
      </c>
      <c r="D5770" s="5"/>
      <c r="E5770" s="123">
        <v>1</v>
      </c>
      <c r="F5770" s="9">
        <v>740</v>
      </c>
      <c r="G5770" s="8">
        <f t="shared" si="174"/>
        <v>7.5137999999999998</v>
      </c>
      <c r="H5770" s="165">
        <v>7.1559999999999997</v>
      </c>
      <c r="I5770" s="19">
        <f t="shared" si="175"/>
        <v>5560.2119999999995</v>
      </c>
    </row>
    <row r="5771" spans="1:9">
      <c r="A5771" s="49" t="s">
        <v>8760</v>
      </c>
      <c r="B5771" s="5" t="s">
        <v>9781</v>
      </c>
      <c r="C5771" s="122" t="s">
        <v>9782</v>
      </c>
      <c r="D5771" s="5"/>
      <c r="E5771" s="123">
        <v>1</v>
      </c>
      <c r="F5771" s="9">
        <v>15</v>
      </c>
      <c r="G5771" s="8">
        <f t="shared" si="174"/>
        <v>136.5147</v>
      </c>
      <c r="H5771" s="165">
        <v>130.01400000000001</v>
      </c>
      <c r="I5771" s="19">
        <f t="shared" si="175"/>
        <v>2047.7205000000001</v>
      </c>
    </row>
    <row r="5772" spans="1:9" hidden="1">
      <c r="A5772" s="49" t="s">
        <v>8760</v>
      </c>
      <c r="B5772" s="5">
        <v>25212</v>
      </c>
      <c r="C5772" s="122" t="s">
        <v>9783</v>
      </c>
      <c r="D5772" s="5" t="s">
        <v>9367</v>
      </c>
      <c r="E5772" s="123">
        <v>1</v>
      </c>
      <c r="F5772" s="9"/>
      <c r="G5772" s="8">
        <f t="shared" si="174"/>
        <v>143.32499999999999</v>
      </c>
      <c r="H5772" s="165">
        <v>136.5</v>
      </c>
      <c r="I5772" s="19">
        <f t="shared" si="175"/>
        <v>0</v>
      </c>
    </row>
    <row r="5773" spans="1:9" hidden="1">
      <c r="A5773" s="49" t="s">
        <v>8760</v>
      </c>
      <c r="B5773" s="5" t="s">
        <v>9784</v>
      </c>
      <c r="C5773" s="122" t="s">
        <v>9785</v>
      </c>
      <c r="D5773" s="5" t="s">
        <v>9367</v>
      </c>
      <c r="E5773" s="123">
        <v>1</v>
      </c>
      <c r="F5773" s="9"/>
      <c r="G5773" s="8">
        <f t="shared" si="174"/>
        <v>511.875</v>
      </c>
      <c r="H5773" s="165">
        <v>487.5</v>
      </c>
      <c r="I5773" s="19">
        <f t="shared" si="175"/>
        <v>0</v>
      </c>
    </row>
    <row r="5774" spans="1:9" hidden="1">
      <c r="A5774" s="49" t="s">
        <v>8760</v>
      </c>
      <c r="B5774" s="5">
        <v>25213</v>
      </c>
      <c r="C5774" s="122" t="s">
        <v>9786</v>
      </c>
      <c r="D5774" s="5" t="s">
        <v>9367</v>
      </c>
      <c r="E5774" s="123">
        <v>1</v>
      </c>
      <c r="F5774" s="9"/>
      <c r="G5774" s="8">
        <f t="shared" si="174"/>
        <v>212.625</v>
      </c>
      <c r="H5774" s="165">
        <v>202.5</v>
      </c>
      <c r="I5774" s="19">
        <f t="shared" si="175"/>
        <v>0</v>
      </c>
    </row>
    <row r="5775" spans="1:9" hidden="1">
      <c r="A5775" s="49" t="s">
        <v>8760</v>
      </c>
      <c r="B5775" s="5" t="s">
        <v>9787</v>
      </c>
      <c r="C5775" s="122" t="s">
        <v>9788</v>
      </c>
      <c r="D5775" s="5" t="s">
        <v>9367</v>
      </c>
      <c r="E5775" s="123">
        <v>1</v>
      </c>
      <c r="F5775" s="9"/>
      <c r="G5775" s="8">
        <f t="shared" si="174"/>
        <v>737.1</v>
      </c>
      <c r="H5775" s="165">
        <v>702</v>
      </c>
      <c r="I5775" s="19">
        <f t="shared" si="175"/>
        <v>0</v>
      </c>
    </row>
    <row r="5776" spans="1:9" hidden="1">
      <c r="A5776" s="49" t="s">
        <v>8760</v>
      </c>
      <c r="B5776" s="5">
        <v>25214</v>
      </c>
      <c r="C5776" s="122" t="s">
        <v>9789</v>
      </c>
      <c r="D5776" s="5" t="s">
        <v>9367</v>
      </c>
      <c r="E5776" s="123">
        <v>1</v>
      </c>
      <c r="F5776" s="9"/>
      <c r="G5776" s="8">
        <f t="shared" si="174"/>
        <v>244.91249999999999</v>
      </c>
      <c r="H5776" s="165">
        <v>233.25</v>
      </c>
      <c r="I5776" s="19">
        <f t="shared" si="175"/>
        <v>0</v>
      </c>
    </row>
    <row r="5777" spans="1:9" hidden="1">
      <c r="A5777" s="49" t="s">
        <v>8760</v>
      </c>
      <c r="B5777" s="5" t="s">
        <v>9790</v>
      </c>
      <c r="C5777" s="122" t="s">
        <v>9791</v>
      </c>
      <c r="D5777" s="5" t="s">
        <v>9367</v>
      </c>
      <c r="E5777" s="123">
        <v>1</v>
      </c>
      <c r="F5777" s="9"/>
      <c r="G5777" s="8">
        <f t="shared" si="174"/>
        <v>941.85</v>
      </c>
      <c r="H5777" s="165">
        <v>897</v>
      </c>
      <c r="I5777" s="19">
        <f t="shared" si="175"/>
        <v>0</v>
      </c>
    </row>
    <row r="5778" spans="1:9" hidden="1">
      <c r="A5778" s="49" t="s">
        <v>8760</v>
      </c>
      <c r="B5778" s="5">
        <v>25215</v>
      </c>
      <c r="C5778" s="122" t="s">
        <v>9792</v>
      </c>
      <c r="D5778" s="5" t="s">
        <v>9367</v>
      </c>
      <c r="E5778" s="123">
        <v>1</v>
      </c>
      <c r="F5778" s="9"/>
      <c r="G5778" s="8">
        <f t="shared" si="174"/>
        <v>317.36250000000001</v>
      </c>
      <c r="H5778" s="165">
        <v>302.25</v>
      </c>
      <c r="I5778" s="19">
        <f t="shared" si="175"/>
        <v>0</v>
      </c>
    </row>
    <row r="5779" spans="1:9" hidden="1">
      <c r="A5779" s="49" t="s">
        <v>8760</v>
      </c>
      <c r="B5779" s="5" t="s">
        <v>9793</v>
      </c>
      <c r="C5779" s="122" t="s">
        <v>9794</v>
      </c>
      <c r="D5779" s="5" t="s">
        <v>9367</v>
      </c>
      <c r="E5779" s="123">
        <v>1</v>
      </c>
      <c r="F5779" s="9"/>
      <c r="G5779" s="8">
        <f t="shared" si="174"/>
        <v>1126.125</v>
      </c>
      <c r="H5779" s="165">
        <v>1072.5</v>
      </c>
      <c r="I5779" s="19">
        <f t="shared" si="175"/>
        <v>0</v>
      </c>
    </row>
    <row r="5780" spans="1:9" hidden="1">
      <c r="A5780" s="49" t="s">
        <v>8760</v>
      </c>
      <c r="B5780" s="5">
        <v>25220.1</v>
      </c>
      <c r="C5780" s="122" t="s">
        <v>9795</v>
      </c>
      <c r="D5780" s="5"/>
      <c r="E5780" s="123">
        <v>1</v>
      </c>
      <c r="F5780" s="9"/>
      <c r="G5780" s="8">
        <f t="shared" ref="G5780:G5843" si="176">H5780+(H5780*5%)</f>
        <v>0.47460000000000002</v>
      </c>
      <c r="H5780" s="165">
        <v>0.45200000000000001</v>
      </c>
      <c r="I5780" s="19">
        <f t="shared" ref="I5780:I5843" si="177">G5780*F5780</f>
        <v>0</v>
      </c>
    </row>
    <row r="5781" spans="1:9" hidden="1">
      <c r="A5781" s="49" t="s">
        <v>8760</v>
      </c>
      <c r="B5781" s="5" t="s">
        <v>9796</v>
      </c>
      <c r="C5781" s="122" t="s">
        <v>9797</v>
      </c>
      <c r="D5781" s="5"/>
      <c r="E5781" s="123">
        <v>1</v>
      </c>
      <c r="F5781" s="9"/>
      <c r="G5781" s="8">
        <f t="shared" si="176"/>
        <v>62.695500000000003</v>
      </c>
      <c r="H5781" s="165">
        <v>59.71</v>
      </c>
      <c r="I5781" s="19">
        <f t="shared" si="177"/>
        <v>0</v>
      </c>
    </row>
    <row r="5782" spans="1:9" hidden="1">
      <c r="A5782" s="49" t="s">
        <v>8760</v>
      </c>
      <c r="B5782" s="5" t="s">
        <v>9798</v>
      </c>
      <c r="C5782" s="122" t="s">
        <v>9799</v>
      </c>
      <c r="D5782" s="5"/>
      <c r="E5782" s="123">
        <v>1</v>
      </c>
      <c r="F5782" s="9"/>
      <c r="G5782" s="8">
        <f t="shared" si="176"/>
        <v>19.856550000000002</v>
      </c>
      <c r="H5782" s="165">
        <v>18.911000000000001</v>
      </c>
      <c r="I5782" s="19">
        <f t="shared" si="177"/>
        <v>0</v>
      </c>
    </row>
    <row r="5783" spans="1:9" hidden="1">
      <c r="A5783" s="49" t="s">
        <v>8760</v>
      </c>
      <c r="B5783" s="5">
        <v>25226.1</v>
      </c>
      <c r="C5783" s="122" t="s">
        <v>9800</v>
      </c>
      <c r="D5783" s="5"/>
      <c r="E5783" s="123">
        <v>1</v>
      </c>
      <c r="F5783" s="9"/>
      <c r="G5783" s="8">
        <f t="shared" si="176"/>
        <v>93.654749999999993</v>
      </c>
      <c r="H5783" s="165">
        <v>89.194999999999993</v>
      </c>
      <c r="I5783" s="19">
        <f t="shared" si="177"/>
        <v>0</v>
      </c>
    </row>
    <row r="5784" spans="1:9" hidden="1">
      <c r="A5784" s="49" t="s">
        <v>8760</v>
      </c>
      <c r="B5784" s="5">
        <v>25229</v>
      </c>
      <c r="C5784" s="122" t="s">
        <v>9801</v>
      </c>
      <c r="D5784" s="5"/>
      <c r="E5784" s="123">
        <v>1</v>
      </c>
      <c r="F5784" s="9"/>
      <c r="G5784" s="8">
        <f t="shared" si="176"/>
        <v>1.4479500000000001</v>
      </c>
      <c r="H5784" s="165">
        <v>1.379</v>
      </c>
      <c r="I5784" s="19">
        <f t="shared" si="177"/>
        <v>0</v>
      </c>
    </row>
    <row r="5785" spans="1:9" hidden="1">
      <c r="A5785" s="49" t="s">
        <v>8760</v>
      </c>
      <c r="B5785" s="5">
        <v>25233.1</v>
      </c>
      <c r="C5785" s="122" t="s">
        <v>9802</v>
      </c>
      <c r="D5785" s="5"/>
      <c r="E5785" s="123">
        <v>1</v>
      </c>
      <c r="F5785" s="9"/>
      <c r="G5785" s="8">
        <f t="shared" si="176"/>
        <v>1.1592</v>
      </c>
      <c r="H5785" s="165">
        <v>1.1040000000000001</v>
      </c>
      <c r="I5785" s="19">
        <f t="shared" si="177"/>
        <v>0</v>
      </c>
    </row>
    <row r="5786" spans="1:9" hidden="1">
      <c r="A5786" s="49" t="s">
        <v>8760</v>
      </c>
      <c r="B5786" s="5">
        <v>25234.1</v>
      </c>
      <c r="C5786" s="122" t="s">
        <v>9803</v>
      </c>
      <c r="D5786" s="5"/>
      <c r="E5786" s="123">
        <v>1</v>
      </c>
      <c r="F5786" s="9"/>
      <c r="G5786" s="8">
        <f t="shared" si="176"/>
        <v>3.2465999999999999</v>
      </c>
      <c r="H5786" s="165">
        <v>3.0920000000000001</v>
      </c>
      <c r="I5786" s="19">
        <f t="shared" si="177"/>
        <v>0</v>
      </c>
    </row>
    <row r="5787" spans="1:9" hidden="1">
      <c r="A5787" s="49" t="s">
        <v>8760</v>
      </c>
      <c r="B5787" s="5">
        <v>25235</v>
      </c>
      <c r="C5787" s="122" t="s">
        <v>9758</v>
      </c>
      <c r="D5787" s="5"/>
      <c r="E5787" s="123">
        <v>1</v>
      </c>
      <c r="F5787" s="9"/>
      <c r="G5787" s="8">
        <f t="shared" si="176"/>
        <v>8.1963000000000008</v>
      </c>
      <c r="H5787" s="165">
        <v>7.806</v>
      </c>
      <c r="I5787" s="19">
        <f t="shared" si="177"/>
        <v>0</v>
      </c>
    </row>
    <row r="5788" spans="1:9" hidden="1">
      <c r="A5788" s="49" t="s">
        <v>8760</v>
      </c>
      <c r="B5788" s="5" t="s">
        <v>9804</v>
      </c>
      <c r="C5788" s="122" t="s">
        <v>9805</v>
      </c>
      <c r="D5788" s="5"/>
      <c r="E5788" s="123">
        <v>1</v>
      </c>
      <c r="F5788" s="9"/>
      <c r="G5788" s="8">
        <f t="shared" si="176"/>
        <v>0.94815000000000005</v>
      </c>
      <c r="H5788" s="165">
        <v>0.90300000000000002</v>
      </c>
      <c r="I5788" s="19">
        <f t="shared" si="177"/>
        <v>0</v>
      </c>
    </row>
    <row r="5789" spans="1:9">
      <c r="A5789" s="49" t="s">
        <v>8760</v>
      </c>
      <c r="B5789" s="5">
        <v>25238.1</v>
      </c>
      <c r="C5789" s="122" t="s">
        <v>9806</v>
      </c>
      <c r="D5789" s="5"/>
      <c r="E5789" s="123">
        <v>1</v>
      </c>
      <c r="F5789" s="9">
        <f>346+18</f>
        <v>364</v>
      </c>
      <c r="G5789" s="8">
        <f t="shared" si="176"/>
        <v>0.8546999999999999</v>
      </c>
      <c r="H5789" s="165">
        <v>0.81399999999999995</v>
      </c>
      <c r="I5789" s="19">
        <f t="shared" si="177"/>
        <v>311.11079999999998</v>
      </c>
    </row>
    <row r="5790" spans="1:9" hidden="1">
      <c r="A5790" s="49" t="s">
        <v>8760</v>
      </c>
      <c r="B5790" s="5">
        <v>25239</v>
      </c>
      <c r="C5790" s="122" t="s">
        <v>9807</v>
      </c>
      <c r="D5790" s="5"/>
      <c r="E5790" s="123">
        <v>1</v>
      </c>
      <c r="F5790" s="9"/>
      <c r="G5790" s="8">
        <f t="shared" si="176"/>
        <v>1.25265</v>
      </c>
      <c r="H5790" s="165">
        <v>1.1930000000000001</v>
      </c>
      <c r="I5790" s="19">
        <f t="shared" si="177"/>
        <v>0</v>
      </c>
    </row>
    <row r="5791" spans="1:9" hidden="1">
      <c r="A5791" s="49" t="s">
        <v>8760</v>
      </c>
      <c r="B5791" s="5" t="s">
        <v>9808</v>
      </c>
      <c r="C5791" s="122" t="s">
        <v>9809</v>
      </c>
      <c r="D5791" s="5"/>
      <c r="E5791" s="123">
        <v>1</v>
      </c>
      <c r="F5791" s="9"/>
      <c r="G5791" s="8">
        <f t="shared" si="176"/>
        <v>1.35765</v>
      </c>
      <c r="H5791" s="165">
        <v>1.2929999999999999</v>
      </c>
      <c r="I5791" s="19">
        <f t="shared" si="177"/>
        <v>0</v>
      </c>
    </row>
    <row r="5792" spans="1:9" hidden="1">
      <c r="A5792" s="49" t="s">
        <v>8760</v>
      </c>
      <c r="B5792" s="5">
        <v>25250.1</v>
      </c>
      <c r="C5792" s="122" t="s">
        <v>9810</v>
      </c>
      <c r="D5792" s="5"/>
      <c r="E5792" s="123">
        <v>1</v>
      </c>
      <c r="F5792" s="9"/>
      <c r="G5792" s="8">
        <f t="shared" si="176"/>
        <v>3.4398</v>
      </c>
      <c r="H5792" s="165">
        <v>3.2759999999999998</v>
      </c>
      <c r="I5792" s="19">
        <f t="shared" si="177"/>
        <v>0</v>
      </c>
    </row>
    <row r="5793" spans="1:9" hidden="1">
      <c r="A5793" s="49" t="s">
        <v>8760</v>
      </c>
      <c r="B5793" s="5">
        <v>25251.1</v>
      </c>
      <c r="C5793" s="122" t="s">
        <v>9811</v>
      </c>
      <c r="D5793" s="5"/>
      <c r="E5793" s="123">
        <v>1</v>
      </c>
      <c r="F5793" s="9"/>
      <c r="G5793" s="8">
        <f t="shared" si="176"/>
        <v>7.3961999999999994</v>
      </c>
      <c r="H5793" s="165">
        <v>7.0439999999999996</v>
      </c>
      <c r="I5793" s="19">
        <f t="shared" si="177"/>
        <v>0</v>
      </c>
    </row>
    <row r="5794" spans="1:9" hidden="1">
      <c r="A5794" s="49" t="s">
        <v>8760</v>
      </c>
      <c r="B5794" s="5">
        <v>25255.1</v>
      </c>
      <c r="C5794" s="122" t="s">
        <v>9812</v>
      </c>
      <c r="D5794" s="5" t="s">
        <v>2488</v>
      </c>
      <c r="E5794" s="123">
        <v>1</v>
      </c>
      <c r="F5794" s="9"/>
      <c r="G5794" s="8">
        <f t="shared" si="176"/>
        <v>8.9827499999999993</v>
      </c>
      <c r="H5794" s="165">
        <v>8.5549999999999997</v>
      </c>
      <c r="I5794" s="19">
        <f t="shared" si="177"/>
        <v>0</v>
      </c>
    </row>
    <row r="5795" spans="1:9" hidden="1">
      <c r="A5795" s="49" t="s">
        <v>8760</v>
      </c>
      <c r="B5795" s="5">
        <v>25270</v>
      </c>
      <c r="C5795" s="122" t="s">
        <v>9813</v>
      </c>
      <c r="D5795" s="5"/>
      <c r="E5795" s="123">
        <v>1</v>
      </c>
      <c r="F5795" s="9"/>
      <c r="G5795" s="8">
        <f t="shared" si="176"/>
        <v>10.4076</v>
      </c>
      <c r="H5795" s="165">
        <v>9.9120000000000008</v>
      </c>
      <c r="I5795" s="19">
        <f t="shared" si="177"/>
        <v>0</v>
      </c>
    </row>
    <row r="5796" spans="1:9" hidden="1">
      <c r="A5796" s="49" t="s">
        <v>8760</v>
      </c>
      <c r="B5796" s="5">
        <v>25271</v>
      </c>
      <c r="C5796" s="122" t="s">
        <v>9814</v>
      </c>
      <c r="D5796" s="5"/>
      <c r="E5796" s="123">
        <v>1</v>
      </c>
      <c r="F5796" s="9"/>
      <c r="G5796" s="8">
        <f t="shared" si="176"/>
        <v>11.355749999999999</v>
      </c>
      <c r="H5796" s="165">
        <v>10.815</v>
      </c>
      <c r="I5796" s="19">
        <f t="shared" si="177"/>
        <v>0</v>
      </c>
    </row>
    <row r="5797" spans="1:9" hidden="1">
      <c r="A5797" s="49" t="s">
        <v>8760</v>
      </c>
      <c r="B5797" s="5">
        <v>25272</v>
      </c>
      <c r="C5797" s="122" t="s">
        <v>9815</v>
      </c>
      <c r="D5797" s="5"/>
      <c r="E5797" s="123">
        <v>1</v>
      </c>
      <c r="F5797" s="9"/>
      <c r="G5797" s="8">
        <f t="shared" si="176"/>
        <v>6.0773999999999999</v>
      </c>
      <c r="H5797" s="165">
        <v>5.7880000000000003</v>
      </c>
      <c r="I5797" s="19">
        <f t="shared" si="177"/>
        <v>0</v>
      </c>
    </row>
    <row r="5798" spans="1:9" hidden="1">
      <c r="A5798" s="49" t="s">
        <v>8760</v>
      </c>
      <c r="B5798" s="5">
        <v>25273</v>
      </c>
      <c r="C5798" s="122" t="s">
        <v>9816</v>
      </c>
      <c r="D5798" s="5"/>
      <c r="E5798" s="123">
        <v>1</v>
      </c>
      <c r="F5798" s="9"/>
      <c r="G5798" s="8">
        <f t="shared" si="176"/>
        <v>4.9507500000000002</v>
      </c>
      <c r="H5798" s="165">
        <v>4.7149999999999999</v>
      </c>
      <c r="I5798" s="19">
        <f t="shared" si="177"/>
        <v>0</v>
      </c>
    </row>
    <row r="5799" spans="1:9" hidden="1">
      <c r="A5799" s="49" t="s">
        <v>8760</v>
      </c>
      <c r="B5799" s="5">
        <v>25325</v>
      </c>
      <c r="C5799" s="122" t="s">
        <v>9817</v>
      </c>
      <c r="D5799" s="5"/>
      <c r="E5799" s="123">
        <v>1</v>
      </c>
      <c r="F5799" s="9"/>
      <c r="G5799" s="8">
        <f t="shared" si="176"/>
        <v>1.4007000000000001</v>
      </c>
      <c r="H5799" s="165">
        <v>1.3340000000000001</v>
      </c>
      <c r="I5799" s="19">
        <f t="shared" si="177"/>
        <v>0</v>
      </c>
    </row>
    <row r="5800" spans="1:9" hidden="1">
      <c r="A5800" s="49" t="s">
        <v>8760</v>
      </c>
      <c r="B5800" s="5">
        <v>25327.1</v>
      </c>
      <c r="C5800" s="122" t="s">
        <v>9818</v>
      </c>
      <c r="D5800" s="5"/>
      <c r="E5800" s="123">
        <v>1</v>
      </c>
      <c r="F5800" s="9"/>
      <c r="G5800" s="8">
        <f t="shared" si="176"/>
        <v>4.9045500000000004</v>
      </c>
      <c r="H5800" s="165">
        <v>4.6710000000000003</v>
      </c>
      <c r="I5800" s="19">
        <f t="shared" si="177"/>
        <v>0</v>
      </c>
    </row>
    <row r="5801" spans="1:9" hidden="1">
      <c r="A5801" s="49" t="s">
        <v>8760</v>
      </c>
      <c r="B5801" s="5">
        <v>25328.1</v>
      </c>
      <c r="C5801" s="122" t="s">
        <v>9819</v>
      </c>
      <c r="D5801" s="5"/>
      <c r="E5801" s="123">
        <v>1</v>
      </c>
      <c r="F5801" s="9"/>
      <c r="G5801" s="8">
        <f t="shared" si="176"/>
        <v>6.5604000000000005</v>
      </c>
      <c r="H5801" s="165">
        <v>6.2480000000000002</v>
      </c>
      <c r="I5801" s="19">
        <f t="shared" si="177"/>
        <v>0</v>
      </c>
    </row>
    <row r="5802" spans="1:9" hidden="1">
      <c r="A5802" s="49" t="s">
        <v>8760</v>
      </c>
      <c r="B5802" s="5">
        <v>25329</v>
      </c>
      <c r="C5802" s="122" t="s">
        <v>9820</v>
      </c>
      <c r="D5802" s="5"/>
      <c r="E5802" s="123">
        <v>1</v>
      </c>
      <c r="F5802" s="9"/>
      <c r="G5802" s="8">
        <f t="shared" si="176"/>
        <v>8.0188500000000005</v>
      </c>
      <c r="H5802" s="165">
        <v>7.6369999999999996</v>
      </c>
      <c r="I5802" s="19">
        <f t="shared" si="177"/>
        <v>0</v>
      </c>
    </row>
    <row r="5803" spans="1:9" hidden="1">
      <c r="A5803" s="49" t="s">
        <v>8760</v>
      </c>
      <c r="B5803" s="5">
        <v>25330.1</v>
      </c>
      <c r="C5803" s="122" t="s">
        <v>9821</v>
      </c>
      <c r="D5803" s="5"/>
      <c r="E5803" s="123">
        <v>1</v>
      </c>
      <c r="F5803" s="9"/>
      <c r="G5803" s="8">
        <f t="shared" si="176"/>
        <v>5.4547500000000007</v>
      </c>
      <c r="H5803" s="165">
        <v>5.1950000000000003</v>
      </c>
      <c r="I5803" s="19">
        <f t="shared" si="177"/>
        <v>0</v>
      </c>
    </row>
    <row r="5804" spans="1:9" hidden="1">
      <c r="A5804" s="49" t="s">
        <v>8760</v>
      </c>
      <c r="B5804" s="5">
        <v>25336</v>
      </c>
      <c r="C5804" s="122" t="s">
        <v>9822</v>
      </c>
      <c r="D5804" s="5"/>
      <c r="E5804" s="123">
        <v>1</v>
      </c>
      <c r="F5804" s="9"/>
      <c r="G5804" s="8">
        <f t="shared" si="176"/>
        <v>1.8480000000000001</v>
      </c>
      <c r="H5804" s="165">
        <v>1.76</v>
      </c>
      <c r="I5804" s="19">
        <f t="shared" si="177"/>
        <v>0</v>
      </c>
    </row>
    <row r="5805" spans="1:9" hidden="1">
      <c r="A5805" s="49" t="s">
        <v>8760</v>
      </c>
      <c r="B5805" s="5">
        <v>25341.1</v>
      </c>
      <c r="C5805" s="122" t="s">
        <v>9823</v>
      </c>
      <c r="D5805" s="5"/>
      <c r="E5805" s="123">
        <v>1</v>
      </c>
      <c r="F5805" s="9"/>
      <c r="G5805" s="8">
        <f t="shared" si="176"/>
        <v>8.5134000000000007</v>
      </c>
      <c r="H5805" s="165">
        <v>8.1080000000000005</v>
      </c>
      <c r="I5805" s="19">
        <f t="shared" si="177"/>
        <v>0</v>
      </c>
    </row>
    <row r="5806" spans="1:9" hidden="1">
      <c r="A5806" s="49" t="s">
        <v>8760</v>
      </c>
      <c r="B5806" s="5">
        <v>25358.1</v>
      </c>
      <c r="C5806" s="122" t="s">
        <v>9824</v>
      </c>
      <c r="D5806" s="5"/>
      <c r="E5806" s="123">
        <v>1</v>
      </c>
      <c r="F5806" s="9"/>
      <c r="G5806" s="8">
        <f t="shared" si="176"/>
        <v>12.653550000000001</v>
      </c>
      <c r="H5806" s="165">
        <v>12.051</v>
      </c>
      <c r="I5806" s="19">
        <f t="shared" si="177"/>
        <v>0</v>
      </c>
    </row>
    <row r="5807" spans="1:9" hidden="1">
      <c r="A5807" s="49" t="s">
        <v>8760</v>
      </c>
      <c r="B5807" s="5">
        <v>25365</v>
      </c>
      <c r="C5807" s="122" t="s">
        <v>9825</v>
      </c>
      <c r="D5807" s="5"/>
      <c r="E5807" s="123">
        <v>1</v>
      </c>
      <c r="F5807" s="9"/>
      <c r="G5807" s="8">
        <f t="shared" si="176"/>
        <v>1.0741499999999999</v>
      </c>
      <c r="H5807" s="165">
        <v>1.0229999999999999</v>
      </c>
      <c r="I5807" s="19">
        <f t="shared" si="177"/>
        <v>0</v>
      </c>
    </row>
    <row r="5808" spans="1:9" hidden="1">
      <c r="A5808" s="49" t="s">
        <v>8760</v>
      </c>
      <c r="B5808" s="5">
        <v>25403.1</v>
      </c>
      <c r="C5808" s="122" t="s">
        <v>9676</v>
      </c>
      <c r="D5808" s="5"/>
      <c r="E5808" s="123">
        <v>1</v>
      </c>
      <c r="F5808" s="9"/>
      <c r="G5808" s="8">
        <f t="shared" si="176"/>
        <v>1.36605</v>
      </c>
      <c r="H5808" s="165">
        <v>1.3009999999999999</v>
      </c>
      <c r="I5808" s="19">
        <f t="shared" si="177"/>
        <v>0</v>
      </c>
    </row>
    <row r="5809" spans="1:9" hidden="1">
      <c r="A5809" s="49" t="s">
        <v>8760</v>
      </c>
      <c r="B5809" s="5">
        <v>25405.1</v>
      </c>
      <c r="C5809" s="122" t="s">
        <v>9676</v>
      </c>
      <c r="D5809" s="5"/>
      <c r="E5809" s="123">
        <v>1</v>
      </c>
      <c r="F5809" s="9"/>
      <c r="G5809" s="8">
        <f t="shared" si="176"/>
        <v>5.3476499999999998</v>
      </c>
      <c r="H5809" s="165">
        <v>5.093</v>
      </c>
      <c r="I5809" s="19">
        <f t="shared" si="177"/>
        <v>0</v>
      </c>
    </row>
    <row r="5810" spans="1:9" hidden="1">
      <c r="A5810" s="49" t="s">
        <v>8760</v>
      </c>
      <c r="B5810" s="5">
        <v>25407.1</v>
      </c>
      <c r="C5810" s="122" t="s">
        <v>9676</v>
      </c>
      <c r="D5810" s="5"/>
      <c r="E5810" s="123">
        <v>1</v>
      </c>
      <c r="F5810" s="9"/>
      <c r="G5810" s="8">
        <f t="shared" si="176"/>
        <v>2.6166</v>
      </c>
      <c r="H5810" s="165">
        <v>2.492</v>
      </c>
      <c r="I5810" s="19">
        <f t="shared" si="177"/>
        <v>0</v>
      </c>
    </row>
    <row r="5811" spans="1:9" hidden="1">
      <c r="A5811" s="49" t="s">
        <v>8760</v>
      </c>
      <c r="B5811" s="5" t="s">
        <v>9826</v>
      </c>
      <c r="C5811" s="122" t="s">
        <v>9827</v>
      </c>
      <c r="D5811" s="5"/>
      <c r="E5811" s="123">
        <v>1</v>
      </c>
      <c r="F5811" s="9"/>
      <c r="G5811" s="8">
        <f t="shared" si="176"/>
        <v>2.9368500000000002</v>
      </c>
      <c r="H5811" s="165">
        <v>2.7970000000000002</v>
      </c>
      <c r="I5811" s="19">
        <f t="shared" si="177"/>
        <v>0</v>
      </c>
    </row>
    <row r="5812" spans="1:9" hidden="1">
      <c r="A5812" s="49" t="s">
        <v>8760</v>
      </c>
      <c r="B5812" s="5">
        <v>25438.1</v>
      </c>
      <c r="C5812" s="122" t="s">
        <v>9828</v>
      </c>
      <c r="D5812" s="5"/>
      <c r="E5812" s="123">
        <v>1</v>
      </c>
      <c r="F5812" s="9"/>
      <c r="G5812" s="8">
        <f t="shared" si="176"/>
        <v>1.51095</v>
      </c>
      <c r="H5812" s="165">
        <v>1.4390000000000001</v>
      </c>
      <c r="I5812" s="19">
        <f t="shared" si="177"/>
        <v>0</v>
      </c>
    </row>
    <row r="5813" spans="1:9" hidden="1">
      <c r="A5813" s="49" t="s">
        <v>8760</v>
      </c>
      <c r="B5813" s="5">
        <v>25445</v>
      </c>
      <c r="C5813" s="122" t="s">
        <v>9829</v>
      </c>
      <c r="D5813" s="5"/>
      <c r="E5813" s="123">
        <v>1</v>
      </c>
      <c r="F5813" s="9"/>
      <c r="G5813" s="8">
        <f t="shared" si="176"/>
        <v>9.6064499999999988</v>
      </c>
      <c r="H5813" s="165">
        <v>9.1489999999999991</v>
      </c>
      <c r="I5813" s="19">
        <f t="shared" si="177"/>
        <v>0</v>
      </c>
    </row>
    <row r="5814" spans="1:9" hidden="1">
      <c r="A5814" s="49" t="s">
        <v>8760</v>
      </c>
      <c r="B5814" s="5" t="s">
        <v>9830</v>
      </c>
      <c r="C5814" s="122" t="s">
        <v>9831</v>
      </c>
      <c r="D5814" s="5" t="s">
        <v>2488</v>
      </c>
      <c r="E5814" s="123">
        <v>1</v>
      </c>
      <c r="F5814" s="9"/>
      <c r="G5814" s="8">
        <f t="shared" si="176"/>
        <v>15.4056</v>
      </c>
      <c r="H5814" s="165">
        <v>14.672000000000001</v>
      </c>
      <c r="I5814" s="19">
        <f t="shared" si="177"/>
        <v>0</v>
      </c>
    </row>
    <row r="5815" spans="1:9" hidden="1">
      <c r="A5815" s="49" t="s">
        <v>8760</v>
      </c>
      <c r="B5815" s="5">
        <v>25447</v>
      </c>
      <c r="C5815" s="122" t="s">
        <v>9832</v>
      </c>
      <c r="D5815" s="5"/>
      <c r="E5815" s="123">
        <v>1</v>
      </c>
      <c r="F5815" s="9"/>
      <c r="G5815" s="8">
        <f t="shared" si="176"/>
        <v>11.376750000000001</v>
      </c>
      <c r="H5815" s="165">
        <v>10.835000000000001</v>
      </c>
      <c r="I5815" s="19">
        <f t="shared" si="177"/>
        <v>0</v>
      </c>
    </row>
    <row r="5816" spans="1:9" hidden="1">
      <c r="A5816" s="49" t="s">
        <v>8760</v>
      </c>
      <c r="B5816" s="5" t="s">
        <v>9833</v>
      </c>
      <c r="C5816" s="122" t="s">
        <v>9834</v>
      </c>
      <c r="D5816" s="5"/>
      <c r="E5816" s="123">
        <v>1</v>
      </c>
      <c r="F5816" s="9"/>
      <c r="G5816" s="8">
        <f t="shared" si="176"/>
        <v>3.2403</v>
      </c>
      <c r="H5816" s="165">
        <v>3.0859999999999999</v>
      </c>
      <c r="I5816" s="19">
        <f t="shared" si="177"/>
        <v>0</v>
      </c>
    </row>
    <row r="5817" spans="1:9" hidden="1">
      <c r="A5817" s="49" t="s">
        <v>8760</v>
      </c>
      <c r="B5817" s="5" t="s">
        <v>9835</v>
      </c>
      <c r="C5817" s="122" t="s">
        <v>9836</v>
      </c>
      <c r="D5817" s="5" t="s">
        <v>945</v>
      </c>
      <c r="E5817" s="123">
        <v>1</v>
      </c>
      <c r="F5817" s="9"/>
      <c r="G5817" s="8">
        <f t="shared" si="176"/>
        <v>16.436699999999998</v>
      </c>
      <c r="H5817" s="165">
        <v>15.654</v>
      </c>
      <c r="I5817" s="19">
        <f t="shared" si="177"/>
        <v>0</v>
      </c>
    </row>
    <row r="5818" spans="1:9" hidden="1">
      <c r="A5818" s="49" t="s">
        <v>8760</v>
      </c>
      <c r="B5818" s="5" t="s">
        <v>9837</v>
      </c>
      <c r="C5818" s="122" t="s">
        <v>9838</v>
      </c>
      <c r="D5818" s="5" t="s">
        <v>2488</v>
      </c>
      <c r="E5818" s="123">
        <v>1</v>
      </c>
      <c r="F5818" s="9"/>
      <c r="G5818" s="8">
        <f t="shared" si="176"/>
        <v>16.436699999999998</v>
      </c>
      <c r="H5818" s="165">
        <v>15.654</v>
      </c>
      <c r="I5818" s="19">
        <f t="shared" si="177"/>
        <v>0</v>
      </c>
    </row>
    <row r="5819" spans="1:9" hidden="1">
      <c r="A5819" s="49" t="s">
        <v>8760</v>
      </c>
      <c r="B5819" s="5" t="s">
        <v>9839</v>
      </c>
      <c r="C5819" s="122" t="s">
        <v>9840</v>
      </c>
      <c r="D5819" s="5" t="s">
        <v>2488</v>
      </c>
      <c r="E5819" s="123">
        <v>1</v>
      </c>
      <c r="F5819" s="9"/>
      <c r="G5819" s="8">
        <f t="shared" si="176"/>
        <v>35.741999999999997</v>
      </c>
      <c r="H5819" s="165">
        <v>34.04</v>
      </c>
      <c r="I5819" s="19">
        <f t="shared" si="177"/>
        <v>0</v>
      </c>
    </row>
    <row r="5820" spans="1:9">
      <c r="A5820" s="49" t="s">
        <v>8760</v>
      </c>
      <c r="B5820" s="5" t="s">
        <v>9841</v>
      </c>
      <c r="C5820" s="122" t="s">
        <v>9842</v>
      </c>
      <c r="D5820" s="5"/>
      <c r="E5820" s="123">
        <v>1</v>
      </c>
      <c r="F5820" s="9">
        <v>1.5</v>
      </c>
      <c r="G5820" s="8">
        <f t="shared" si="176"/>
        <v>55.28145</v>
      </c>
      <c r="H5820" s="165">
        <v>52.649000000000001</v>
      </c>
      <c r="I5820" s="19">
        <f t="shared" si="177"/>
        <v>82.922174999999996</v>
      </c>
    </row>
    <row r="5821" spans="1:9" hidden="1">
      <c r="A5821" s="49" t="s">
        <v>8760</v>
      </c>
      <c r="B5821" s="5" t="s">
        <v>9843</v>
      </c>
      <c r="C5821" s="122" t="s">
        <v>9844</v>
      </c>
      <c r="D5821" s="5"/>
      <c r="E5821" s="123">
        <v>1</v>
      </c>
      <c r="F5821" s="9"/>
      <c r="G5821" s="8">
        <f t="shared" si="176"/>
        <v>18.709949999999999</v>
      </c>
      <c r="H5821" s="165">
        <v>17.818999999999999</v>
      </c>
      <c r="I5821" s="19">
        <f t="shared" si="177"/>
        <v>0</v>
      </c>
    </row>
    <row r="5822" spans="1:9" hidden="1">
      <c r="A5822" s="49" t="s">
        <v>8760</v>
      </c>
      <c r="B5822" s="5" t="s">
        <v>9845</v>
      </c>
      <c r="C5822" s="122" t="s">
        <v>9846</v>
      </c>
      <c r="D5822" s="5"/>
      <c r="E5822" s="123">
        <v>1</v>
      </c>
      <c r="F5822" s="9"/>
      <c r="G5822" s="8">
        <f t="shared" si="176"/>
        <v>75.221999999999994</v>
      </c>
      <c r="H5822" s="165">
        <v>71.64</v>
      </c>
      <c r="I5822" s="19">
        <f t="shared" si="177"/>
        <v>0</v>
      </c>
    </row>
    <row r="5823" spans="1:9" hidden="1">
      <c r="A5823" s="49" t="s">
        <v>8760</v>
      </c>
      <c r="B5823" s="5">
        <v>25455</v>
      </c>
      <c r="C5823" s="122" t="s">
        <v>9846</v>
      </c>
      <c r="D5823" s="5"/>
      <c r="E5823" s="123">
        <v>1</v>
      </c>
      <c r="F5823" s="9"/>
      <c r="G5823" s="8">
        <f t="shared" si="176"/>
        <v>36.523199999999996</v>
      </c>
      <c r="H5823" s="165">
        <v>34.783999999999999</v>
      </c>
      <c r="I5823" s="19">
        <f t="shared" si="177"/>
        <v>0</v>
      </c>
    </row>
    <row r="5824" spans="1:9" hidden="1">
      <c r="A5824" s="49" t="s">
        <v>8760</v>
      </c>
      <c r="B5824" s="5" t="s">
        <v>9847</v>
      </c>
      <c r="C5824" s="122" t="s">
        <v>9848</v>
      </c>
      <c r="D5824" s="5"/>
      <c r="E5824" s="123">
        <v>1</v>
      </c>
      <c r="F5824" s="9"/>
      <c r="G5824" s="8">
        <f t="shared" si="176"/>
        <v>5.4631500000000006</v>
      </c>
      <c r="H5824" s="165">
        <v>5.2030000000000003</v>
      </c>
      <c r="I5824" s="19">
        <f t="shared" si="177"/>
        <v>0</v>
      </c>
    </row>
    <row r="5825" spans="1:9" hidden="1">
      <c r="A5825" s="49" t="s">
        <v>8760</v>
      </c>
      <c r="B5825" s="5" t="s">
        <v>9849</v>
      </c>
      <c r="C5825" s="122" t="s">
        <v>9850</v>
      </c>
      <c r="D5825" s="5"/>
      <c r="E5825" s="123">
        <v>1</v>
      </c>
      <c r="F5825" s="9"/>
      <c r="G5825" s="8">
        <f t="shared" si="176"/>
        <v>38.772300000000001</v>
      </c>
      <c r="H5825" s="165">
        <v>36.926000000000002</v>
      </c>
      <c r="I5825" s="19">
        <f t="shared" si="177"/>
        <v>0</v>
      </c>
    </row>
    <row r="5826" spans="1:9" hidden="1">
      <c r="A5826" s="49" t="s">
        <v>8760</v>
      </c>
      <c r="B5826" s="5" t="s">
        <v>9851</v>
      </c>
      <c r="C5826" s="122" t="s">
        <v>9852</v>
      </c>
      <c r="D5826" s="5"/>
      <c r="E5826" s="123">
        <v>1</v>
      </c>
      <c r="F5826" s="9"/>
      <c r="G5826" s="8">
        <f t="shared" si="176"/>
        <v>43.254750000000001</v>
      </c>
      <c r="H5826" s="165">
        <v>41.195</v>
      </c>
      <c r="I5826" s="19">
        <f t="shared" si="177"/>
        <v>0</v>
      </c>
    </row>
    <row r="5827" spans="1:9" hidden="1">
      <c r="A5827" s="49" t="s">
        <v>8760</v>
      </c>
      <c r="B5827" s="5" t="s">
        <v>9853</v>
      </c>
      <c r="C5827" s="122" t="s">
        <v>9854</v>
      </c>
      <c r="D5827" s="5"/>
      <c r="E5827" s="123">
        <v>1</v>
      </c>
      <c r="F5827" s="9"/>
      <c r="G5827" s="8">
        <f t="shared" si="176"/>
        <v>46.4373</v>
      </c>
      <c r="H5827" s="165">
        <v>44.225999999999999</v>
      </c>
      <c r="I5827" s="19">
        <f t="shared" si="177"/>
        <v>0</v>
      </c>
    </row>
    <row r="5828" spans="1:9" hidden="1">
      <c r="A5828" s="49" t="s">
        <v>8760</v>
      </c>
      <c r="B5828" s="5" t="s">
        <v>9855</v>
      </c>
      <c r="C5828" s="122" t="s">
        <v>9856</v>
      </c>
      <c r="D5828" s="5"/>
      <c r="E5828" s="123">
        <v>1</v>
      </c>
      <c r="F5828" s="9"/>
      <c r="G5828" s="8">
        <f t="shared" si="176"/>
        <v>50.396850000000001</v>
      </c>
      <c r="H5828" s="165">
        <v>47.997</v>
      </c>
      <c r="I5828" s="19">
        <f t="shared" si="177"/>
        <v>0</v>
      </c>
    </row>
    <row r="5829" spans="1:9" hidden="1">
      <c r="A5829" s="49" t="s">
        <v>8760</v>
      </c>
      <c r="B5829" s="5" t="s">
        <v>9857</v>
      </c>
      <c r="C5829" s="122" t="s">
        <v>9858</v>
      </c>
      <c r="D5829" s="5"/>
      <c r="E5829" s="123">
        <v>1</v>
      </c>
      <c r="F5829" s="9"/>
      <c r="G5829" s="8">
        <f t="shared" si="176"/>
        <v>53.848199999999999</v>
      </c>
      <c r="H5829" s="165">
        <v>51.283999999999999</v>
      </c>
      <c r="I5829" s="19">
        <f t="shared" si="177"/>
        <v>0</v>
      </c>
    </row>
    <row r="5830" spans="1:9" hidden="1">
      <c r="A5830" s="49" t="s">
        <v>8760</v>
      </c>
      <c r="B5830" s="5" t="s">
        <v>9859</v>
      </c>
      <c r="C5830" s="122" t="s">
        <v>9860</v>
      </c>
      <c r="D5830" s="5"/>
      <c r="E5830" s="123">
        <v>1</v>
      </c>
      <c r="F5830" s="9"/>
      <c r="G5830" s="8">
        <f t="shared" si="176"/>
        <v>61.7547</v>
      </c>
      <c r="H5830" s="165">
        <v>58.814</v>
      </c>
      <c r="I5830" s="19">
        <f t="shared" si="177"/>
        <v>0</v>
      </c>
    </row>
    <row r="5831" spans="1:9" hidden="1">
      <c r="A5831" s="49" t="s">
        <v>8760</v>
      </c>
      <c r="B5831" s="5" t="s">
        <v>9861</v>
      </c>
      <c r="C5831" s="122" t="s">
        <v>9862</v>
      </c>
      <c r="D5831" s="5"/>
      <c r="E5831" s="123">
        <v>1</v>
      </c>
      <c r="F5831" s="9"/>
      <c r="G5831" s="8">
        <f t="shared" si="176"/>
        <v>70.668149999999997</v>
      </c>
      <c r="H5831" s="165">
        <v>67.302999999999997</v>
      </c>
      <c r="I5831" s="19">
        <f t="shared" si="177"/>
        <v>0</v>
      </c>
    </row>
    <row r="5832" spans="1:9" hidden="1">
      <c r="A5832" s="49" t="s">
        <v>8760</v>
      </c>
      <c r="B5832" s="5" t="s">
        <v>9863</v>
      </c>
      <c r="C5832" s="122" t="s">
        <v>9864</v>
      </c>
      <c r="D5832" s="5"/>
      <c r="E5832" s="123">
        <v>1</v>
      </c>
      <c r="F5832" s="9"/>
      <c r="G5832" s="8">
        <f t="shared" si="176"/>
        <v>78.512699999999995</v>
      </c>
      <c r="H5832" s="165">
        <v>74.774000000000001</v>
      </c>
      <c r="I5832" s="19">
        <f t="shared" si="177"/>
        <v>0</v>
      </c>
    </row>
    <row r="5833" spans="1:9" hidden="1">
      <c r="A5833" s="49" t="s">
        <v>8760</v>
      </c>
      <c r="B5833" s="5" t="s">
        <v>9865</v>
      </c>
      <c r="C5833" s="122" t="s">
        <v>9866</v>
      </c>
      <c r="D5833" s="5"/>
      <c r="E5833" s="123">
        <v>1</v>
      </c>
      <c r="F5833" s="9"/>
      <c r="G5833" s="8">
        <f t="shared" si="176"/>
        <v>104.56950000000001</v>
      </c>
      <c r="H5833" s="165">
        <v>99.59</v>
      </c>
      <c r="I5833" s="19">
        <f t="shared" si="177"/>
        <v>0</v>
      </c>
    </row>
    <row r="5834" spans="1:9" hidden="1">
      <c r="A5834" s="49" t="s">
        <v>8760</v>
      </c>
      <c r="B5834" s="5">
        <v>25534.1</v>
      </c>
      <c r="C5834" s="122" t="s">
        <v>9867</v>
      </c>
      <c r="D5834" s="5"/>
      <c r="E5834" s="123">
        <v>1</v>
      </c>
      <c r="F5834" s="9"/>
      <c r="G5834" s="8">
        <f t="shared" si="176"/>
        <v>17.555999999999997</v>
      </c>
      <c r="H5834" s="165">
        <v>16.72</v>
      </c>
      <c r="I5834" s="19">
        <f t="shared" si="177"/>
        <v>0</v>
      </c>
    </row>
    <row r="5835" spans="1:9" hidden="1">
      <c r="A5835" s="49" t="s">
        <v>8760</v>
      </c>
      <c r="B5835" s="5" t="s">
        <v>9868</v>
      </c>
      <c r="C5835" s="122" t="s">
        <v>9869</v>
      </c>
      <c r="D5835" s="5"/>
      <c r="E5835" s="123">
        <v>1</v>
      </c>
      <c r="F5835" s="9"/>
      <c r="G5835" s="8">
        <f t="shared" si="176"/>
        <v>32.7684</v>
      </c>
      <c r="H5835" s="165">
        <v>31.207999999999998</v>
      </c>
      <c r="I5835" s="19">
        <f t="shared" si="177"/>
        <v>0</v>
      </c>
    </row>
    <row r="5836" spans="1:9" hidden="1">
      <c r="A5836" s="49" t="s">
        <v>8760</v>
      </c>
      <c r="B5836" s="5" t="s">
        <v>9870</v>
      </c>
      <c r="C5836" s="122" t="s">
        <v>9871</v>
      </c>
      <c r="D5836" s="5"/>
      <c r="E5836" s="123">
        <v>1</v>
      </c>
      <c r="F5836" s="9"/>
      <c r="G5836" s="8">
        <f t="shared" si="176"/>
        <v>32.7684</v>
      </c>
      <c r="H5836" s="165">
        <v>31.207999999999998</v>
      </c>
      <c r="I5836" s="19">
        <f t="shared" si="177"/>
        <v>0</v>
      </c>
    </row>
    <row r="5837" spans="1:9" hidden="1">
      <c r="A5837" s="49" t="s">
        <v>8760</v>
      </c>
      <c r="B5837" s="5" t="s">
        <v>9872</v>
      </c>
      <c r="C5837" s="122" t="s">
        <v>9873</v>
      </c>
      <c r="D5837" s="5"/>
      <c r="E5837" s="123">
        <v>1</v>
      </c>
      <c r="F5837" s="9"/>
      <c r="G5837" s="8">
        <f t="shared" si="176"/>
        <v>129.9375</v>
      </c>
      <c r="H5837" s="165">
        <v>123.75</v>
      </c>
      <c r="I5837" s="19">
        <f t="shared" si="177"/>
        <v>0</v>
      </c>
    </row>
    <row r="5838" spans="1:9" hidden="1">
      <c r="A5838" s="49" t="s">
        <v>8760</v>
      </c>
      <c r="B5838" s="5" t="s">
        <v>9874</v>
      </c>
      <c r="C5838" s="122" t="s">
        <v>9875</v>
      </c>
      <c r="D5838" s="5"/>
      <c r="E5838" s="123">
        <v>1</v>
      </c>
      <c r="F5838" s="9"/>
      <c r="G5838" s="8">
        <f t="shared" si="176"/>
        <v>178.17765</v>
      </c>
      <c r="H5838" s="165">
        <v>169.69300000000001</v>
      </c>
      <c r="I5838" s="19">
        <f t="shared" si="177"/>
        <v>0</v>
      </c>
    </row>
    <row r="5839" spans="1:9" hidden="1">
      <c r="A5839" s="49" t="s">
        <v>8760</v>
      </c>
      <c r="B5839" s="5" t="s">
        <v>9876</v>
      </c>
      <c r="C5839" s="122" t="s">
        <v>9877</v>
      </c>
      <c r="D5839" s="5"/>
      <c r="E5839" s="123">
        <v>1</v>
      </c>
      <c r="F5839" s="9"/>
      <c r="G5839" s="8">
        <f t="shared" si="176"/>
        <v>171.67500000000001</v>
      </c>
      <c r="H5839" s="165">
        <v>163.5</v>
      </c>
      <c r="I5839" s="19">
        <f t="shared" si="177"/>
        <v>0</v>
      </c>
    </row>
    <row r="5840" spans="1:9" hidden="1">
      <c r="A5840" s="49" t="s">
        <v>8760</v>
      </c>
      <c r="B5840" s="5">
        <v>25609.1</v>
      </c>
      <c r="C5840" s="122" t="s">
        <v>9878</v>
      </c>
      <c r="D5840" s="5"/>
      <c r="E5840" s="123">
        <v>1</v>
      </c>
      <c r="F5840" s="9"/>
      <c r="G5840" s="8">
        <f t="shared" si="176"/>
        <v>1.4175</v>
      </c>
      <c r="H5840" s="165">
        <v>1.35</v>
      </c>
      <c r="I5840" s="19">
        <f t="shared" si="177"/>
        <v>0</v>
      </c>
    </row>
    <row r="5841" spans="1:9" hidden="1">
      <c r="A5841" s="49" t="s">
        <v>8760</v>
      </c>
      <c r="B5841" s="5">
        <v>25630</v>
      </c>
      <c r="C5841" s="122" t="s">
        <v>9879</v>
      </c>
      <c r="D5841" s="5"/>
      <c r="E5841" s="123">
        <v>1</v>
      </c>
      <c r="F5841" s="9"/>
      <c r="G5841" s="8">
        <f t="shared" si="176"/>
        <v>0.16275000000000001</v>
      </c>
      <c r="H5841" s="165">
        <v>0.155</v>
      </c>
      <c r="I5841" s="19">
        <f t="shared" si="177"/>
        <v>0</v>
      </c>
    </row>
    <row r="5842" spans="1:9" hidden="1">
      <c r="A5842" s="49" t="s">
        <v>8760</v>
      </c>
      <c r="B5842" s="5">
        <v>25631</v>
      </c>
      <c r="C5842" s="122" t="s">
        <v>9880</v>
      </c>
      <c r="D5842" s="5"/>
      <c r="E5842" s="123">
        <v>1</v>
      </c>
      <c r="F5842" s="9"/>
      <c r="G5842" s="8">
        <f t="shared" si="176"/>
        <v>0.18689999999999998</v>
      </c>
      <c r="H5842" s="165">
        <v>0.17799999999999999</v>
      </c>
      <c r="I5842" s="19">
        <f t="shared" si="177"/>
        <v>0</v>
      </c>
    </row>
    <row r="5843" spans="1:9" hidden="1">
      <c r="A5843" s="49" t="s">
        <v>8760</v>
      </c>
      <c r="B5843" s="5">
        <v>25632</v>
      </c>
      <c r="C5843" s="122" t="s">
        <v>9881</v>
      </c>
      <c r="D5843" s="5"/>
      <c r="E5843" s="123">
        <v>1</v>
      </c>
      <c r="F5843" s="9"/>
      <c r="G5843" s="8">
        <f t="shared" si="176"/>
        <v>0.21000000000000002</v>
      </c>
      <c r="H5843" s="165">
        <v>0.2</v>
      </c>
      <c r="I5843" s="19">
        <f t="shared" si="177"/>
        <v>0</v>
      </c>
    </row>
    <row r="5844" spans="1:9" hidden="1">
      <c r="A5844" s="49" t="s">
        <v>8760</v>
      </c>
      <c r="B5844" s="5">
        <v>25640</v>
      </c>
      <c r="C5844" s="122" t="s">
        <v>9882</v>
      </c>
      <c r="D5844" s="5"/>
      <c r="E5844" s="123">
        <v>1</v>
      </c>
      <c r="F5844" s="9"/>
      <c r="G5844" s="8">
        <f t="shared" ref="G5844:G5907" si="178">H5844+(H5844*5%)</f>
        <v>0.16275000000000001</v>
      </c>
      <c r="H5844" s="165">
        <v>0.155</v>
      </c>
      <c r="I5844" s="19">
        <f t="shared" ref="I5844:I5907" si="179">G5844*F5844</f>
        <v>0</v>
      </c>
    </row>
    <row r="5845" spans="1:9" hidden="1">
      <c r="A5845" s="49" t="s">
        <v>8760</v>
      </c>
      <c r="B5845" s="5">
        <v>25641</v>
      </c>
      <c r="C5845" s="122" t="s">
        <v>9883</v>
      </c>
      <c r="D5845" s="5"/>
      <c r="E5845" s="123">
        <v>1</v>
      </c>
      <c r="F5845" s="9"/>
      <c r="G5845" s="8">
        <f t="shared" si="178"/>
        <v>0.18689999999999998</v>
      </c>
      <c r="H5845" s="165">
        <v>0.17799999999999999</v>
      </c>
      <c r="I5845" s="19">
        <f t="shared" si="179"/>
        <v>0</v>
      </c>
    </row>
    <row r="5846" spans="1:9" hidden="1">
      <c r="A5846" s="49" t="s">
        <v>8760</v>
      </c>
      <c r="B5846" s="5">
        <v>25642</v>
      </c>
      <c r="C5846" s="122" t="s">
        <v>9884</v>
      </c>
      <c r="D5846" s="5"/>
      <c r="E5846" s="123">
        <v>1</v>
      </c>
      <c r="F5846" s="9"/>
      <c r="G5846" s="8">
        <f t="shared" si="178"/>
        <v>0.21000000000000002</v>
      </c>
      <c r="H5846" s="165">
        <v>0.2</v>
      </c>
      <c r="I5846" s="19">
        <f t="shared" si="179"/>
        <v>0</v>
      </c>
    </row>
    <row r="5847" spans="1:9" hidden="1">
      <c r="A5847" s="49" t="s">
        <v>8760</v>
      </c>
      <c r="B5847" s="5" t="s">
        <v>9885</v>
      </c>
      <c r="C5847" s="122" t="s">
        <v>9886</v>
      </c>
      <c r="D5847" s="5"/>
      <c r="E5847" s="123">
        <v>1</v>
      </c>
      <c r="F5847" s="9"/>
      <c r="G5847" s="8">
        <f t="shared" si="178"/>
        <v>10.8066</v>
      </c>
      <c r="H5847" s="165">
        <v>10.292</v>
      </c>
      <c r="I5847" s="19">
        <f t="shared" si="179"/>
        <v>0</v>
      </c>
    </row>
    <row r="5848" spans="1:9" hidden="1">
      <c r="A5848" s="49" t="s">
        <v>8760</v>
      </c>
      <c r="B5848" s="5" t="s">
        <v>9887</v>
      </c>
      <c r="C5848" s="122" t="s">
        <v>9888</v>
      </c>
      <c r="D5848" s="5"/>
      <c r="E5848" s="123">
        <v>1</v>
      </c>
      <c r="F5848" s="9"/>
      <c r="G5848" s="8">
        <f t="shared" si="178"/>
        <v>10.8066</v>
      </c>
      <c r="H5848" s="165">
        <v>10.292</v>
      </c>
      <c r="I5848" s="19">
        <f t="shared" si="179"/>
        <v>0</v>
      </c>
    </row>
    <row r="5849" spans="1:9">
      <c r="A5849" s="49" t="s">
        <v>8760</v>
      </c>
      <c r="B5849" s="5" t="s">
        <v>9889</v>
      </c>
      <c r="C5849" s="122" t="s">
        <v>9886</v>
      </c>
      <c r="D5849" s="5"/>
      <c r="E5849" s="123">
        <v>1</v>
      </c>
      <c r="F5849" s="9">
        <v>414</v>
      </c>
      <c r="G5849" s="8">
        <f t="shared" si="178"/>
        <v>10.938899999999999</v>
      </c>
      <c r="H5849" s="165">
        <v>10.417999999999999</v>
      </c>
      <c r="I5849" s="19">
        <f t="shared" si="179"/>
        <v>4528.7045999999991</v>
      </c>
    </row>
    <row r="5850" spans="1:9">
      <c r="A5850" s="49" t="s">
        <v>8760</v>
      </c>
      <c r="B5850" s="5" t="s">
        <v>9890</v>
      </c>
      <c r="C5850" s="122" t="s">
        <v>9888</v>
      </c>
      <c r="D5850" s="5"/>
      <c r="E5850" s="123">
        <v>1</v>
      </c>
      <c r="F5850" s="9">
        <v>413</v>
      </c>
      <c r="G5850" s="8">
        <f t="shared" si="178"/>
        <v>10.938899999999999</v>
      </c>
      <c r="H5850" s="165">
        <v>10.417999999999999</v>
      </c>
      <c r="I5850" s="19">
        <f t="shared" si="179"/>
        <v>4517.765699999999</v>
      </c>
    </row>
    <row r="5851" spans="1:9" hidden="1">
      <c r="A5851" s="49" t="s">
        <v>8760</v>
      </c>
      <c r="B5851" s="5">
        <v>25681.1</v>
      </c>
      <c r="C5851" s="122" t="s">
        <v>9891</v>
      </c>
      <c r="D5851" s="5"/>
      <c r="E5851" s="123">
        <v>1</v>
      </c>
      <c r="F5851" s="9"/>
      <c r="G5851" s="8">
        <f t="shared" si="178"/>
        <v>3.4817999999999998</v>
      </c>
      <c r="H5851" s="165">
        <v>3.3159999999999998</v>
      </c>
      <c r="I5851" s="19">
        <f t="shared" si="179"/>
        <v>0</v>
      </c>
    </row>
    <row r="5852" spans="1:9" hidden="1">
      <c r="A5852" s="49" t="s">
        <v>8760</v>
      </c>
      <c r="B5852" s="5">
        <v>25682.1</v>
      </c>
      <c r="C5852" s="122" t="s">
        <v>9892</v>
      </c>
      <c r="D5852" s="5"/>
      <c r="E5852" s="123">
        <v>1</v>
      </c>
      <c r="F5852" s="9"/>
      <c r="G5852" s="8">
        <f t="shared" si="178"/>
        <v>2.3383499999999997</v>
      </c>
      <c r="H5852" s="165">
        <v>2.2269999999999999</v>
      </c>
      <c r="I5852" s="19">
        <f t="shared" si="179"/>
        <v>0</v>
      </c>
    </row>
    <row r="5853" spans="1:9" hidden="1">
      <c r="A5853" s="49" t="s">
        <v>8760</v>
      </c>
      <c r="B5853" s="5">
        <v>25683.1</v>
      </c>
      <c r="C5853" s="122" t="s">
        <v>9893</v>
      </c>
      <c r="D5853" s="5"/>
      <c r="E5853" s="123">
        <v>1</v>
      </c>
      <c r="F5853" s="9"/>
      <c r="G5853" s="8">
        <f t="shared" si="178"/>
        <v>0.66885000000000006</v>
      </c>
      <c r="H5853" s="165">
        <v>0.63700000000000001</v>
      </c>
      <c r="I5853" s="19">
        <f t="shared" si="179"/>
        <v>0</v>
      </c>
    </row>
    <row r="5854" spans="1:9" hidden="1">
      <c r="A5854" s="49" t="s">
        <v>8760</v>
      </c>
      <c r="B5854" s="5" t="s">
        <v>9894</v>
      </c>
      <c r="C5854" s="122" t="s">
        <v>9895</v>
      </c>
      <c r="D5854" s="5"/>
      <c r="E5854" s="123">
        <v>1</v>
      </c>
      <c r="F5854" s="9"/>
      <c r="G5854" s="8">
        <f t="shared" si="178"/>
        <v>1.5802499999999999</v>
      </c>
      <c r="H5854" s="165">
        <v>1.5049999999999999</v>
      </c>
      <c r="I5854" s="19">
        <f t="shared" si="179"/>
        <v>0</v>
      </c>
    </row>
    <row r="5855" spans="1:9" hidden="1">
      <c r="A5855" s="49" t="s">
        <v>8760</v>
      </c>
      <c r="B5855" s="5">
        <v>25733.1</v>
      </c>
      <c r="C5855" s="122" t="s">
        <v>9896</v>
      </c>
      <c r="D5855" s="5"/>
      <c r="E5855" s="123">
        <v>1</v>
      </c>
      <c r="F5855" s="9"/>
      <c r="G5855" s="8">
        <f t="shared" si="178"/>
        <v>1.1822999999999999</v>
      </c>
      <c r="H5855" s="165">
        <v>1.1259999999999999</v>
      </c>
      <c r="I5855" s="19">
        <f t="shared" si="179"/>
        <v>0</v>
      </c>
    </row>
    <row r="5856" spans="1:9" hidden="1">
      <c r="A5856" s="49" t="s">
        <v>8760</v>
      </c>
      <c r="B5856" s="5" t="s">
        <v>9897</v>
      </c>
      <c r="C5856" s="122" t="s">
        <v>9898</v>
      </c>
      <c r="D5856" s="5"/>
      <c r="E5856" s="123">
        <v>1</v>
      </c>
      <c r="F5856" s="9"/>
      <c r="G5856" s="8">
        <f t="shared" si="178"/>
        <v>3.6172499999999999</v>
      </c>
      <c r="H5856" s="165">
        <v>3.4449999999999998</v>
      </c>
      <c r="I5856" s="19">
        <f t="shared" si="179"/>
        <v>0</v>
      </c>
    </row>
    <row r="5857" spans="1:9" hidden="1">
      <c r="A5857" s="49" t="s">
        <v>8760</v>
      </c>
      <c r="B5857" s="5">
        <v>25734.1</v>
      </c>
      <c r="C5857" s="122" t="s">
        <v>9899</v>
      </c>
      <c r="D5857" s="5"/>
      <c r="E5857" s="123">
        <v>1</v>
      </c>
      <c r="F5857" s="9"/>
      <c r="G5857" s="8">
        <f t="shared" si="178"/>
        <v>3.3358500000000002</v>
      </c>
      <c r="H5857" s="165">
        <v>3.177</v>
      </c>
      <c r="I5857" s="19">
        <f t="shared" si="179"/>
        <v>0</v>
      </c>
    </row>
    <row r="5858" spans="1:9">
      <c r="A5858" s="49" t="s">
        <v>8760</v>
      </c>
      <c r="B5858" s="5">
        <v>25735</v>
      </c>
      <c r="C5858" s="122" t="s">
        <v>9900</v>
      </c>
      <c r="D5858" s="5"/>
      <c r="E5858" s="123">
        <v>1</v>
      </c>
      <c r="F5858" s="9">
        <v>22</v>
      </c>
      <c r="G5858" s="8">
        <f t="shared" si="178"/>
        <v>0.9597</v>
      </c>
      <c r="H5858" s="165">
        <v>0.91400000000000003</v>
      </c>
      <c r="I5858" s="19">
        <f t="shared" si="179"/>
        <v>21.113399999999999</v>
      </c>
    </row>
    <row r="5859" spans="1:9" hidden="1">
      <c r="A5859" s="49" t="s">
        <v>8760</v>
      </c>
      <c r="B5859" s="5" t="s">
        <v>9901</v>
      </c>
      <c r="C5859" s="122" t="s">
        <v>9902</v>
      </c>
      <c r="D5859" s="5"/>
      <c r="E5859" s="123">
        <v>1</v>
      </c>
      <c r="F5859" s="9"/>
      <c r="G5859" s="8">
        <f t="shared" si="178"/>
        <v>1.2347999999999999</v>
      </c>
      <c r="H5859" s="165">
        <v>1.1759999999999999</v>
      </c>
      <c r="I5859" s="19">
        <f t="shared" si="179"/>
        <v>0</v>
      </c>
    </row>
    <row r="5860" spans="1:9">
      <c r="A5860" s="49" t="s">
        <v>8760</v>
      </c>
      <c r="B5860" s="5">
        <v>25736</v>
      </c>
      <c r="C5860" s="122" t="s">
        <v>9903</v>
      </c>
      <c r="D5860" s="5"/>
      <c r="E5860" s="123">
        <v>1</v>
      </c>
      <c r="F5860" s="9">
        <v>1250</v>
      </c>
      <c r="G5860" s="8">
        <f t="shared" si="178"/>
        <v>2.7625499999999996</v>
      </c>
      <c r="H5860" s="165">
        <v>2.6309999999999998</v>
      </c>
      <c r="I5860" s="19">
        <f t="shared" si="179"/>
        <v>3453.1874999999995</v>
      </c>
    </row>
    <row r="5861" spans="1:9" hidden="1">
      <c r="A5861" s="49" t="s">
        <v>8760</v>
      </c>
      <c r="B5861" s="5" t="s">
        <v>9904</v>
      </c>
      <c r="C5861" s="122" t="s">
        <v>9905</v>
      </c>
      <c r="D5861" s="5"/>
      <c r="E5861" s="123">
        <v>1</v>
      </c>
      <c r="F5861" s="9"/>
      <c r="G5861" s="8">
        <f t="shared" si="178"/>
        <v>3.2455500000000002</v>
      </c>
      <c r="H5861" s="165">
        <v>3.0910000000000002</v>
      </c>
      <c r="I5861" s="19">
        <f t="shared" si="179"/>
        <v>0</v>
      </c>
    </row>
    <row r="5862" spans="1:9" hidden="1">
      <c r="A5862" s="49" t="s">
        <v>8760</v>
      </c>
      <c r="B5862" s="5">
        <v>25738</v>
      </c>
      <c r="C5862" s="122" t="s">
        <v>9906</v>
      </c>
      <c r="D5862" s="5"/>
      <c r="E5862" s="123">
        <v>1</v>
      </c>
      <c r="F5862" s="9"/>
      <c r="G5862" s="8">
        <f t="shared" si="178"/>
        <v>3.4125000000000001</v>
      </c>
      <c r="H5862" s="165">
        <v>3.25</v>
      </c>
      <c r="I5862" s="19">
        <f t="shared" si="179"/>
        <v>0</v>
      </c>
    </row>
    <row r="5863" spans="1:9" hidden="1">
      <c r="A5863" s="49" t="s">
        <v>8760</v>
      </c>
      <c r="B5863" s="5" t="s">
        <v>9907</v>
      </c>
      <c r="C5863" s="122" t="s">
        <v>9908</v>
      </c>
      <c r="D5863" s="5"/>
      <c r="E5863" s="123">
        <v>1</v>
      </c>
      <c r="F5863" s="9"/>
      <c r="G5863" s="8">
        <f t="shared" si="178"/>
        <v>1.20645</v>
      </c>
      <c r="H5863" s="165">
        <v>1.149</v>
      </c>
      <c r="I5863" s="19">
        <f t="shared" si="179"/>
        <v>0</v>
      </c>
    </row>
    <row r="5864" spans="1:9" hidden="1">
      <c r="A5864" s="49" t="s">
        <v>8760</v>
      </c>
      <c r="B5864" s="5">
        <v>25801</v>
      </c>
      <c r="C5864" s="122" t="s">
        <v>9909</v>
      </c>
      <c r="D5864" s="5"/>
      <c r="E5864" s="123">
        <v>1</v>
      </c>
      <c r="F5864" s="9"/>
      <c r="G5864" s="8">
        <f t="shared" si="178"/>
        <v>0.1323</v>
      </c>
      <c r="H5864" s="165">
        <v>0.126</v>
      </c>
      <c r="I5864" s="19">
        <f t="shared" si="179"/>
        <v>0</v>
      </c>
    </row>
    <row r="5865" spans="1:9" hidden="1">
      <c r="A5865" s="49" t="s">
        <v>8760</v>
      </c>
      <c r="B5865" s="5">
        <v>25802</v>
      </c>
      <c r="C5865" s="122" t="s">
        <v>9910</v>
      </c>
      <c r="D5865" s="5"/>
      <c r="E5865" s="123">
        <v>1</v>
      </c>
      <c r="F5865" s="9"/>
      <c r="G5865" s="8">
        <f t="shared" si="178"/>
        <v>0.19109999999999999</v>
      </c>
      <c r="H5865" s="165">
        <v>0.182</v>
      </c>
      <c r="I5865" s="19">
        <f t="shared" si="179"/>
        <v>0</v>
      </c>
    </row>
    <row r="5866" spans="1:9" hidden="1">
      <c r="A5866" s="49" t="s">
        <v>8760</v>
      </c>
      <c r="B5866" s="5">
        <v>25803</v>
      </c>
      <c r="C5866" s="122" t="s">
        <v>9911</v>
      </c>
      <c r="D5866" s="5"/>
      <c r="E5866" s="123">
        <v>1</v>
      </c>
      <c r="F5866" s="9"/>
      <c r="G5866" s="8">
        <f t="shared" si="178"/>
        <v>0.22364999999999999</v>
      </c>
      <c r="H5866" s="165">
        <v>0.21299999999999999</v>
      </c>
      <c r="I5866" s="19">
        <f t="shared" si="179"/>
        <v>0</v>
      </c>
    </row>
    <row r="5867" spans="1:9" hidden="1">
      <c r="A5867" s="49" t="s">
        <v>8760</v>
      </c>
      <c r="B5867" s="5">
        <v>25804</v>
      </c>
      <c r="C5867" s="122" t="s">
        <v>9912</v>
      </c>
      <c r="D5867" s="5"/>
      <c r="E5867" s="123">
        <v>1</v>
      </c>
      <c r="F5867" s="9"/>
      <c r="G5867" s="8">
        <f t="shared" si="178"/>
        <v>0.30345</v>
      </c>
      <c r="H5867" s="165">
        <v>0.28899999999999998</v>
      </c>
      <c r="I5867" s="19">
        <f t="shared" si="179"/>
        <v>0</v>
      </c>
    </row>
    <row r="5868" spans="1:9" hidden="1">
      <c r="A5868" s="49" t="s">
        <v>8760</v>
      </c>
      <c r="B5868" s="5">
        <v>25902</v>
      </c>
      <c r="C5868" s="122" t="s">
        <v>9913</v>
      </c>
      <c r="D5868" s="5"/>
      <c r="E5868" s="123">
        <v>1</v>
      </c>
      <c r="F5868" s="9"/>
      <c r="G5868" s="8">
        <f t="shared" si="178"/>
        <v>1.3408499999999999</v>
      </c>
      <c r="H5868" s="165">
        <v>1.2769999999999999</v>
      </c>
      <c r="I5868" s="19">
        <f t="shared" si="179"/>
        <v>0</v>
      </c>
    </row>
    <row r="5869" spans="1:9" hidden="1">
      <c r="A5869" s="49" t="s">
        <v>8760</v>
      </c>
      <c r="B5869" s="5">
        <v>25903</v>
      </c>
      <c r="C5869" s="122" t="s">
        <v>9914</v>
      </c>
      <c r="D5869" s="5"/>
      <c r="E5869" s="123">
        <v>1</v>
      </c>
      <c r="F5869" s="9"/>
      <c r="G5869" s="8">
        <f t="shared" si="178"/>
        <v>1.6915499999999999</v>
      </c>
      <c r="H5869" s="165">
        <v>1.611</v>
      </c>
      <c r="I5869" s="19">
        <f t="shared" si="179"/>
        <v>0</v>
      </c>
    </row>
    <row r="5870" spans="1:9" hidden="1">
      <c r="A5870" s="49" t="s">
        <v>8760</v>
      </c>
      <c r="B5870" s="5">
        <v>25910</v>
      </c>
      <c r="C5870" s="122" t="s">
        <v>9915</v>
      </c>
      <c r="D5870" s="5"/>
      <c r="E5870" s="123">
        <v>1</v>
      </c>
      <c r="F5870" s="9"/>
      <c r="G5870" s="8">
        <f t="shared" si="178"/>
        <v>0.65415000000000001</v>
      </c>
      <c r="H5870" s="165">
        <v>0.623</v>
      </c>
      <c r="I5870" s="19">
        <f t="shared" si="179"/>
        <v>0</v>
      </c>
    </row>
    <row r="5871" spans="1:9" hidden="1">
      <c r="A5871" s="49" t="s">
        <v>8760</v>
      </c>
      <c r="B5871" s="5" t="s">
        <v>9916</v>
      </c>
      <c r="C5871" s="122" t="s">
        <v>9917</v>
      </c>
      <c r="D5871" s="5" t="s">
        <v>9367</v>
      </c>
      <c r="E5871" s="123">
        <v>1</v>
      </c>
      <c r="F5871" s="9"/>
      <c r="G5871" s="8">
        <f t="shared" si="178"/>
        <v>105.53654999999999</v>
      </c>
      <c r="H5871" s="165">
        <v>100.511</v>
      </c>
      <c r="I5871" s="19">
        <f t="shared" si="179"/>
        <v>0</v>
      </c>
    </row>
    <row r="5872" spans="1:9" hidden="1">
      <c r="A5872" s="49" t="s">
        <v>8760</v>
      </c>
      <c r="B5872" s="5" t="s">
        <v>9918</v>
      </c>
      <c r="C5872" s="122" t="s">
        <v>9919</v>
      </c>
      <c r="D5872" s="5" t="s">
        <v>9367</v>
      </c>
      <c r="E5872" s="123">
        <v>1</v>
      </c>
      <c r="F5872" s="9"/>
      <c r="G5872" s="8">
        <f t="shared" si="178"/>
        <v>157.4769</v>
      </c>
      <c r="H5872" s="165">
        <v>149.97800000000001</v>
      </c>
      <c r="I5872" s="19">
        <f t="shared" si="179"/>
        <v>0</v>
      </c>
    </row>
    <row r="5873" spans="1:9" hidden="1">
      <c r="A5873" s="49" t="s">
        <v>8760</v>
      </c>
      <c r="B5873" s="5" t="s">
        <v>9920</v>
      </c>
      <c r="C5873" s="122" t="s">
        <v>9921</v>
      </c>
      <c r="D5873" s="5" t="s">
        <v>9367</v>
      </c>
      <c r="E5873" s="123">
        <v>1</v>
      </c>
      <c r="F5873" s="9"/>
      <c r="G5873" s="8">
        <f t="shared" si="178"/>
        <v>240.68205</v>
      </c>
      <c r="H5873" s="165">
        <v>229.221</v>
      </c>
      <c r="I5873" s="19">
        <f t="shared" si="179"/>
        <v>0</v>
      </c>
    </row>
    <row r="5874" spans="1:9" hidden="1">
      <c r="A5874" s="49" t="s">
        <v>8760</v>
      </c>
      <c r="B5874" s="5" t="s">
        <v>9922</v>
      </c>
      <c r="C5874" s="122" t="s">
        <v>9923</v>
      </c>
      <c r="D5874" s="5"/>
      <c r="E5874" s="123">
        <v>1</v>
      </c>
      <c r="F5874" s="9"/>
      <c r="G5874" s="8">
        <f t="shared" si="178"/>
        <v>31.064250000000001</v>
      </c>
      <c r="H5874" s="165">
        <v>29.585000000000001</v>
      </c>
      <c r="I5874" s="19">
        <f t="shared" si="179"/>
        <v>0</v>
      </c>
    </row>
    <row r="5875" spans="1:9" hidden="1">
      <c r="A5875" s="49" t="s">
        <v>8760</v>
      </c>
      <c r="B5875" s="5" t="s">
        <v>9924</v>
      </c>
      <c r="C5875" s="122" t="s">
        <v>9925</v>
      </c>
      <c r="D5875" s="5"/>
      <c r="E5875" s="123">
        <v>1</v>
      </c>
      <c r="F5875" s="9"/>
      <c r="G5875" s="8">
        <f t="shared" si="178"/>
        <v>31.064250000000001</v>
      </c>
      <c r="H5875" s="165">
        <v>29.585000000000001</v>
      </c>
      <c r="I5875" s="19">
        <f t="shared" si="179"/>
        <v>0</v>
      </c>
    </row>
    <row r="5876" spans="1:9" hidden="1">
      <c r="A5876" s="49" t="s">
        <v>8760</v>
      </c>
      <c r="B5876" s="5">
        <v>25933</v>
      </c>
      <c r="C5876" s="122" t="s">
        <v>9926</v>
      </c>
      <c r="D5876" s="5"/>
      <c r="E5876" s="123">
        <v>1</v>
      </c>
      <c r="F5876" s="9"/>
      <c r="G5876" s="8">
        <f t="shared" si="178"/>
        <v>5.5209000000000001</v>
      </c>
      <c r="H5876" s="165">
        <v>5.258</v>
      </c>
      <c r="I5876" s="19">
        <f t="shared" si="179"/>
        <v>0</v>
      </c>
    </row>
    <row r="5877" spans="1:9" hidden="1">
      <c r="A5877" s="49" t="s">
        <v>8760</v>
      </c>
      <c r="B5877" s="5">
        <v>25934.1</v>
      </c>
      <c r="C5877" s="122" t="s">
        <v>9927</v>
      </c>
      <c r="D5877" s="5"/>
      <c r="E5877" s="123">
        <v>1</v>
      </c>
      <c r="F5877" s="9"/>
      <c r="G5877" s="8">
        <f t="shared" si="178"/>
        <v>11.502750000000001</v>
      </c>
      <c r="H5877" s="165">
        <v>10.955</v>
      </c>
      <c r="I5877" s="19">
        <f t="shared" si="179"/>
        <v>0</v>
      </c>
    </row>
    <row r="5878" spans="1:9" hidden="1">
      <c r="A5878" s="49" t="s">
        <v>8760</v>
      </c>
      <c r="B5878" s="5">
        <v>25935</v>
      </c>
      <c r="C5878" s="122" t="s">
        <v>9928</v>
      </c>
      <c r="D5878" s="5"/>
      <c r="E5878" s="123">
        <v>1</v>
      </c>
      <c r="F5878" s="9"/>
      <c r="G5878" s="8">
        <f t="shared" si="178"/>
        <v>19.578300000000002</v>
      </c>
      <c r="H5878" s="165">
        <v>18.646000000000001</v>
      </c>
      <c r="I5878" s="19">
        <f t="shared" si="179"/>
        <v>0</v>
      </c>
    </row>
    <row r="5879" spans="1:9" hidden="1">
      <c r="A5879" s="49" t="s">
        <v>8760</v>
      </c>
      <c r="B5879" s="5">
        <v>25965.1</v>
      </c>
      <c r="C5879" s="122" t="s">
        <v>9929</v>
      </c>
      <c r="D5879" s="5"/>
      <c r="E5879" s="123">
        <v>1</v>
      </c>
      <c r="F5879" s="9"/>
      <c r="G5879" s="8">
        <f t="shared" si="178"/>
        <v>1.3503000000000001</v>
      </c>
      <c r="H5879" s="165">
        <v>1.286</v>
      </c>
      <c r="I5879" s="19">
        <f t="shared" si="179"/>
        <v>0</v>
      </c>
    </row>
    <row r="5880" spans="1:9" hidden="1">
      <c r="A5880" s="49" t="s">
        <v>8760</v>
      </c>
      <c r="B5880" s="5" t="s">
        <v>9930</v>
      </c>
      <c r="C5880" s="122" t="s">
        <v>9931</v>
      </c>
      <c r="D5880" s="5"/>
      <c r="E5880" s="123">
        <v>1</v>
      </c>
      <c r="F5880" s="9"/>
      <c r="G5880" s="8">
        <f t="shared" si="178"/>
        <v>17.091899999999999</v>
      </c>
      <c r="H5880" s="165">
        <v>16.277999999999999</v>
      </c>
      <c r="I5880" s="19">
        <f t="shared" si="179"/>
        <v>0</v>
      </c>
    </row>
    <row r="5881" spans="1:9" hidden="1">
      <c r="A5881" s="49" t="s">
        <v>8760</v>
      </c>
      <c r="B5881" s="5" t="s">
        <v>9932</v>
      </c>
      <c r="C5881" s="122" t="s">
        <v>9933</v>
      </c>
      <c r="D5881" s="5"/>
      <c r="E5881" s="123">
        <v>1</v>
      </c>
      <c r="F5881" s="9"/>
      <c r="G5881" s="8">
        <f t="shared" si="178"/>
        <v>18.69735</v>
      </c>
      <c r="H5881" s="165">
        <v>17.806999999999999</v>
      </c>
      <c r="I5881" s="19">
        <f t="shared" si="179"/>
        <v>0</v>
      </c>
    </row>
    <row r="5882" spans="1:9" hidden="1">
      <c r="A5882" s="49" t="s">
        <v>8760</v>
      </c>
      <c r="B5882" s="5" t="s">
        <v>9934</v>
      </c>
      <c r="C5882" s="122" t="s">
        <v>9935</v>
      </c>
      <c r="D5882" s="5"/>
      <c r="E5882" s="123">
        <v>1</v>
      </c>
      <c r="F5882" s="9"/>
      <c r="G5882" s="8">
        <f t="shared" si="178"/>
        <v>20.12745</v>
      </c>
      <c r="H5882" s="165">
        <v>19.169</v>
      </c>
      <c r="I5882" s="19">
        <f t="shared" si="179"/>
        <v>0</v>
      </c>
    </row>
    <row r="5883" spans="1:9" hidden="1">
      <c r="A5883" s="49" t="s">
        <v>8760</v>
      </c>
      <c r="B5883" s="5" t="s">
        <v>9936</v>
      </c>
      <c r="C5883" s="122" t="s">
        <v>9937</v>
      </c>
      <c r="D5883" s="5"/>
      <c r="E5883" s="123">
        <v>1</v>
      </c>
      <c r="F5883" s="9"/>
      <c r="G5883" s="8">
        <f t="shared" si="178"/>
        <v>21.894600000000001</v>
      </c>
      <c r="H5883" s="165">
        <v>20.852</v>
      </c>
      <c r="I5883" s="19">
        <f t="shared" si="179"/>
        <v>0</v>
      </c>
    </row>
    <row r="5884" spans="1:9" hidden="1">
      <c r="A5884" s="49" t="s">
        <v>8760</v>
      </c>
      <c r="B5884" s="5" t="s">
        <v>9938</v>
      </c>
      <c r="C5884" s="122" t="s">
        <v>9939</v>
      </c>
      <c r="D5884" s="5"/>
      <c r="E5884" s="123">
        <v>1</v>
      </c>
      <c r="F5884" s="9"/>
      <c r="G5884" s="8">
        <f t="shared" si="178"/>
        <v>24.861900000000002</v>
      </c>
      <c r="H5884" s="165">
        <v>23.678000000000001</v>
      </c>
      <c r="I5884" s="19">
        <f t="shared" si="179"/>
        <v>0</v>
      </c>
    </row>
    <row r="5885" spans="1:9" hidden="1">
      <c r="A5885" s="49" t="s">
        <v>8760</v>
      </c>
      <c r="B5885" s="5" t="s">
        <v>9940</v>
      </c>
      <c r="C5885" s="122" t="s">
        <v>9941</v>
      </c>
      <c r="D5885" s="5"/>
      <c r="E5885" s="123">
        <v>1</v>
      </c>
      <c r="F5885" s="9"/>
      <c r="G5885" s="8">
        <f t="shared" si="178"/>
        <v>26.468399999999999</v>
      </c>
      <c r="H5885" s="165">
        <v>25.207999999999998</v>
      </c>
      <c r="I5885" s="19">
        <f t="shared" si="179"/>
        <v>0</v>
      </c>
    </row>
    <row r="5886" spans="1:9" hidden="1">
      <c r="A5886" s="49" t="s">
        <v>8760</v>
      </c>
      <c r="B5886" s="5" t="s">
        <v>9942</v>
      </c>
      <c r="C5886" s="122" t="s">
        <v>9943</v>
      </c>
      <c r="D5886" s="5"/>
      <c r="E5886" s="123">
        <v>1</v>
      </c>
      <c r="F5886" s="9"/>
      <c r="G5886" s="8">
        <f t="shared" si="178"/>
        <v>27.747299999999999</v>
      </c>
      <c r="H5886" s="165">
        <v>26.425999999999998</v>
      </c>
      <c r="I5886" s="19">
        <f t="shared" si="179"/>
        <v>0</v>
      </c>
    </row>
    <row r="5887" spans="1:9" hidden="1">
      <c r="A5887" s="49" t="s">
        <v>8760</v>
      </c>
      <c r="B5887" s="5" t="s">
        <v>9944</v>
      </c>
      <c r="C5887" s="122" t="s">
        <v>9945</v>
      </c>
      <c r="D5887" s="5"/>
      <c r="E5887" s="123">
        <v>1</v>
      </c>
      <c r="F5887" s="9"/>
      <c r="G5887" s="8">
        <f t="shared" si="178"/>
        <v>31.231200000000001</v>
      </c>
      <c r="H5887" s="165">
        <v>29.744</v>
      </c>
      <c r="I5887" s="19">
        <f t="shared" si="179"/>
        <v>0</v>
      </c>
    </row>
    <row r="5888" spans="1:9" hidden="1">
      <c r="A5888" s="49" t="s">
        <v>8760</v>
      </c>
      <c r="B5888" s="5" t="s">
        <v>9946</v>
      </c>
      <c r="C5888" s="122" t="s">
        <v>9947</v>
      </c>
      <c r="D5888" s="5"/>
      <c r="E5888" s="123">
        <v>1</v>
      </c>
      <c r="F5888" s="9"/>
      <c r="G5888" s="8">
        <f t="shared" si="178"/>
        <v>34.115549999999999</v>
      </c>
      <c r="H5888" s="165">
        <v>32.491</v>
      </c>
      <c r="I5888" s="19">
        <f t="shared" si="179"/>
        <v>0</v>
      </c>
    </row>
    <row r="5889" spans="1:9" hidden="1">
      <c r="A5889" s="49" t="s">
        <v>8760</v>
      </c>
      <c r="B5889" s="5" t="s">
        <v>9948</v>
      </c>
      <c r="C5889" s="122" t="s">
        <v>9949</v>
      </c>
      <c r="D5889" s="5"/>
      <c r="E5889" s="123">
        <v>1</v>
      </c>
      <c r="F5889" s="9"/>
      <c r="G5889" s="8">
        <f t="shared" si="178"/>
        <v>37.2729</v>
      </c>
      <c r="H5889" s="165">
        <v>35.497999999999998</v>
      </c>
      <c r="I5889" s="19">
        <f t="shared" si="179"/>
        <v>0</v>
      </c>
    </row>
    <row r="5890" spans="1:9" hidden="1">
      <c r="A5890" s="49" t="s">
        <v>8760</v>
      </c>
      <c r="B5890" s="5" t="s">
        <v>9950</v>
      </c>
      <c r="C5890" s="122" t="s">
        <v>9951</v>
      </c>
      <c r="D5890" s="5"/>
      <c r="E5890" s="123">
        <v>1</v>
      </c>
      <c r="F5890" s="9"/>
      <c r="G5890" s="8">
        <f t="shared" si="178"/>
        <v>43.220100000000002</v>
      </c>
      <c r="H5890" s="165">
        <v>41.161999999999999</v>
      </c>
      <c r="I5890" s="19">
        <f t="shared" si="179"/>
        <v>0</v>
      </c>
    </row>
    <row r="5891" spans="1:9" hidden="1">
      <c r="A5891" s="49" t="s">
        <v>8760</v>
      </c>
      <c r="B5891" s="5">
        <v>26062</v>
      </c>
      <c r="C5891" s="122" t="s">
        <v>9952</v>
      </c>
      <c r="D5891" s="5"/>
      <c r="E5891" s="123">
        <v>1</v>
      </c>
      <c r="F5891" s="9"/>
      <c r="G5891" s="8">
        <f t="shared" si="178"/>
        <v>1.16235</v>
      </c>
      <c r="H5891" s="165">
        <v>1.107</v>
      </c>
      <c r="I5891" s="19">
        <f t="shared" si="179"/>
        <v>0</v>
      </c>
    </row>
    <row r="5892" spans="1:9" hidden="1">
      <c r="A5892" s="49" t="s">
        <v>8760</v>
      </c>
      <c r="B5892" s="5">
        <v>26064</v>
      </c>
      <c r="C5892" s="122" t="s">
        <v>9953</v>
      </c>
      <c r="D5892" s="5"/>
      <c r="E5892" s="123">
        <v>1</v>
      </c>
      <c r="F5892" s="9"/>
      <c r="G5892" s="8">
        <f t="shared" si="178"/>
        <v>0.82635000000000003</v>
      </c>
      <c r="H5892" s="165">
        <v>0.78700000000000003</v>
      </c>
      <c r="I5892" s="19">
        <f t="shared" si="179"/>
        <v>0</v>
      </c>
    </row>
    <row r="5893" spans="1:9" hidden="1">
      <c r="A5893" s="49" t="s">
        <v>8760</v>
      </c>
      <c r="B5893" s="5">
        <v>275001</v>
      </c>
      <c r="C5893" s="122" t="s">
        <v>9954</v>
      </c>
      <c r="D5893" s="5"/>
      <c r="E5893" s="123">
        <v>1</v>
      </c>
      <c r="F5893" s="9"/>
      <c r="G5893" s="8">
        <f t="shared" si="178"/>
        <v>6.7745999999999995</v>
      </c>
      <c r="H5893" s="165">
        <v>6.452</v>
      </c>
      <c r="I5893" s="19">
        <f t="shared" si="179"/>
        <v>0</v>
      </c>
    </row>
    <row r="5894" spans="1:9" hidden="1">
      <c r="A5894" s="49" t="s">
        <v>8760</v>
      </c>
      <c r="B5894" s="5">
        <v>275003</v>
      </c>
      <c r="C5894" s="122" t="s">
        <v>9955</v>
      </c>
      <c r="D5894" s="5"/>
      <c r="E5894" s="123">
        <v>1</v>
      </c>
      <c r="F5894" s="9"/>
      <c r="G5894" s="8">
        <f t="shared" si="178"/>
        <v>12.960150000000001</v>
      </c>
      <c r="H5894" s="165">
        <v>12.343</v>
      </c>
      <c r="I5894" s="19">
        <f t="shared" si="179"/>
        <v>0</v>
      </c>
    </row>
    <row r="5895" spans="1:9" hidden="1">
      <c r="A5895" s="49" t="s">
        <v>8760</v>
      </c>
      <c r="B5895" s="5">
        <v>276001</v>
      </c>
      <c r="C5895" s="122" t="s">
        <v>9956</v>
      </c>
      <c r="D5895" s="5"/>
      <c r="E5895" s="123">
        <v>1</v>
      </c>
      <c r="F5895" s="9"/>
      <c r="G5895" s="8">
        <f t="shared" si="178"/>
        <v>0.43364999999999998</v>
      </c>
      <c r="H5895" s="165">
        <v>0.41299999999999998</v>
      </c>
      <c r="I5895" s="19">
        <f t="shared" si="179"/>
        <v>0</v>
      </c>
    </row>
    <row r="5896" spans="1:9" hidden="1">
      <c r="A5896" s="49" t="s">
        <v>8760</v>
      </c>
      <c r="B5896" s="5">
        <v>276002</v>
      </c>
      <c r="C5896" s="122" t="s">
        <v>9957</v>
      </c>
      <c r="D5896" s="5"/>
      <c r="E5896" s="123">
        <v>1</v>
      </c>
      <c r="F5896" s="9"/>
      <c r="G5896" s="8">
        <f t="shared" si="178"/>
        <v>0.48195000000000005</v>
      </c>
      <c r="H5896" s="165">
        <v>0.45900000000000002</v>
      </c>
      <c r="I5896" s="19">
        <f t="shared" si="179"/>
        <v>0</v>
      </c>
    </row>
    <row r="5897" spans="1:9" hidden="1">
      <c r="A5897" s="49" t="s">
        <v>8760</v>
      </c>
      <c r="B5897" s="5">
        <v>280000</v>
      </c>
      <c r="C5897" s="122" t="s">
        <v>9958</v>
      </c>
      <c r="D5897" s="5"/>
      <c r="E5897" s="123">
        <v>1</v>
      </c>
      <c r="F5897" s="9"/>
      <c r="G5897" s="8">
        <f t="shared" si="178"/>
        <v>16.382100000000001</v>
      </c>
      <c r="H5897" s="165">
        <v>15.602</v>
      </c>
      <c r="I5897" s="19">
        <f t="shared" si="179"/>
        <v>0</v>
      </c>
    </row>
    <row r="5898" spans="1:9" hidden="1">
      <c r="A5898" s="49" t="s">
        <v>8760</v>
      </c>
      <c r="B5898" s="5">
        <v>280001</v>
      </c>
      <c r="C5898" s="122" t="s">
        <v>9959</v>
      </c>
      <c r="D5898" s="5" t="s">
        <v>945</v>
      </c>
      <c r="E5898" s="123">
        <v>1</v>
      </c>
      <c r="F5898" s="9"/>
      <c r="G5898" s="8">
        <f t="shared" si="178"/>
        <v>24.3537</v>
      </c>
      <c r="H5898" s="165">
        <v>23.193999999999999</v>
      </c>
      <c r="I5898" s="19">
        <f t="shared" si="179"/>
        <v>0</v>
      </c>
    </row>
    <row r="5899" spans="1:9" hidden="1">
      <c r="A5899" s="49" t="s">
        <v>8760</v>
      </c>
      <c r="B5899" s="5">
        <v>280004</v>
      </c>
      <c r="C5899" s="122" t="s">
        <v>9960</v>
      </c>
      <c r="D5899" s="5"/>
      <c r="E5899" s="123">
        <v>1</v>
      </c>
      <c r="F5899" s="9"/>
      <c r="G5899" s="8">
        <f t="shared" si="178"/>
        <v>26.055750000000003</v>
      </c>
      <c r="H5899" s="165">
        <v>24.815000000000001</v>
      </c>
      <c r="I5899" s="19">
        <f t="shared" si="179"/>
        <v>0</v>
      </c>
    </row>
    <row r="5900" spans="1:9" hidden="1">
      <c r="A5900" s="49" t="s">
        <v>8760</v>
      </c>
      <c r="B5900" s="5">
        <v>280005</v>
      </c>
      <c r="C5900" s="122" t="s">
        <v>9961</v>
      </c>
      <c r="D5900" s="5" t="s">
        <v>945</v>
      </c>
      <c r="E5900" s="123">
        <v>1</v>
      </c>
      <c r="F5900" s="9"/>
      <c r="G5900" s="8">
        <f t="shared" si="178"/>
        <v>11.55315</v>
      </c>
      <c r="H5900" s="165">
        <v>11.003</v>
      </c>
      <c r="I5900" s="19">
        <f t="shared" si="179"/>
        <v>0</v>
      </c>
    </row>
    <row r="5901" spans="1:9" hidden="1">
      <c r="A5901" s="49" t="s">
        <v>8760</v>
      </c>
      <c r="B5901" s="5">
        <v>280007</v>
      </c>
      <c r="C5901" s="122" t="s">
        <v>9962</v>
      </c>
      <c r="D5901" s="5"/>
      <c r="E5901" s="123">
        <v>1</v>
      </c>
      <c r="F5901" s="9"/>
      <c r="G5901" s="8">
        <f t="shared" si="178"/>
        <v>21.655199999999997</v>
      </c>
      <c r="H5901" s="165">
        <v>20.623999999999999</v>
      </c>
      <c r="I5901" s="19">
        <f t="shared" si="179"/>
        <v>0</v>
      </c>
    </row>
    <row r="5902" spans="1:9" hidden="1">
      <c r="A5902" s="49" t="s">
        <v>8760</v>
      </c>
      <c r="B5902" s="5">
        <v>280008</v>
      </c>
      <c r="C5902" s="122" t="s">
        <v>9963</v>
      </c>
      <c r="D5902" s="5"/>
      <c r="E5902" s="123">
        <v>1</v>
      </c>
      <c r="F5902" s="9"/>
      <c r="G5902" s="8">
        <f t="shared" si="178"/>
        <v>35.436450000000001</v>
      </c>
      <c r="H5902" s="165">
        <v>33.749000000000002</v>
      </c>
      <c r="I5902" s="19">
        <f t="shared" si="179"/>
        <v>0</v>
      </c>
    </row>
    <row r="5903" spans="1:9" hidden="1">
      <c r="A5903" s="49" t="s">
        <v>8760</v>
      </c>
      <c r="B5903" s="5">
        <v>280009</v>
      </c>
      <c r="C5903" s="122" t="s">
        <v>9964</v>
      </c>
      <c r="D5903" s="5"/>
      <c r="E5903" s="123">
        <v>1</v>
      </c>
      <c r="F5903" s="9"/>
      <c r="G5903" s="8">
        <f t="shared" si="178"/>
        <v>14.983499999999999</v>
      </c>
      <c r="H5903" s="165">
        <v>14.27</v>
      </c>
      <c r="I5903" s="19">
        <f t="shared" si="179"/>
        <v>0</v>
      </c>
    </row>
    <row r="5904" spans="1:9" hidden="1">
      <c r="A5904" s="49" t="s">
        <v>8760</v>
      </c>
      <c r="B5904" s="5">
        <v>280011</v>
      </c>
      <c r="C5904" s="122" t="s">
        <v>9965</v>
      </c>
      <c r="D5904" s="5"/>
      <c r="E5904" s="123">
        <v>1</v>
      </c>
      <c r="F5904" s="9"/>
      <c r="G5904" s="8">
        <f t="shared" si="178"/>
        <v>11.3673</v>
      </c>
      <c r="H5904" s="165">
        <v>10.826000000000001</v>
      </c>
      <c r="I5904" s="19">
        <f t="shared" si="179"/>
        <v>0</v>
      </c>
    </row>
    <row r="5905" spans="1:9" hidden="1">
      <c r="A5905" s="49" t="s">
        <v>8760</v>
      </c>
      <c r="B5905" s="5">
        <v>280013</v>
      </c>
      <c r="C5905" s="122" t="s">
        <v>9966</v>
      </c>
      <c r="D5905" s="5"/>
      <c r="E5905" s="123">
        <v>1</v>
      </c>
      <c r="F5905" s="9"/>
      <c r="G5905" s="8">
        <f t="shared" si="178"/>
        <v>7.6660500000000003</v>
      </c>
      <c r="H5905" s="165">
        <v>7.3010000000000002</v>
      </c>
      <c r="I5905" s="19">
        <f t="shared" si="179"/>
        <v>0</v>
      </c>
    </row>
    <row r="5906" spans="1:9" hidden="1">
      <c r="A5906" s="49" t="s">
        <v>8760</v>
      </c>
      <c r="B5906" s="5">
        <v>280014</v>
      </c>
      <c r="C5906" s="122" t="s">
        <v>9967</v>
      </c>
      <c r="D5906" s="5"/>
      <c r="E5906" s="123">
        <v>1</v>
      </c>
      <c r="F5906" s="9"/>
      <c r="G5906" s="8">
        <f t="shared" si="178"/>
        <v>32.797800000000002</v>
      </c>
      <c r="H5906" s="165">
        <v>31.236000000000001</v>
      </c>
      <c r="I5906" s="19">
        <f t="shared" si="179"/>
        <v>0</v>
      </c>
    </row>
    <row r="5907" spans="1:9" hidden="1">
      <c r="A5907" s="49" t="s">
        <v>8760</v>
      </c>
      <c r="B5907" s="5">
        <v>280015</v>
      </c>
      <c r="C5907" s="122" t="s">
        <v>9968</v>
      </c>
      <c r="D5907" s="5"/>
      <c r="E5907" s="123">
        <v>1</v>
      </c>
      <c r="F5907" s="9"/>
      <c r="G5907" s="8">
        <f t="shared" si="178"/>
        <v>34.579650000000001</v>
      </c>
      <c r="H5907" s="165">
        <v>32.933</v>
      </c>
      <c r="I5907" s="19">
        <f t="shared" si="179"/>
        <v>0</v>
      </c>
    </row>
    <row r="5908" spans="1:9" hidden="1">
      <c r="A5908" s="49" t="s">
        <v>8760</v>
      </c>
      <c r="B5908" s="5">
        <v>280021</v>
      </c>
      <c r="C5908" s="122" t="s">
        <v>9969</v>
      </c>
      <c r="D5908" s="5"/>
      <c r="E5908" s="123">
        <v>1</v>
      </c>
      <c r="F5908" s="9"/>
      <c r="G5908" s="8">
        <f t="shared" ref="G5908:G5971" si="180">H5908+(H5908*5%)</f>
        <v>2.6858999999999997</v>
      </c>
      <c r="H5908" s="165">
        <v>2.5579999999999998</v>
      </c>
      <c r="I5908" s="19">
        <f t="shared" ref="I5908:I5971" si="181">G5908*F5908</f>
        <v>0</v>
      </c>
    </row>
    <row r="5909" spans="1:9" hidden="1">
      <c r="A5909" s="49" t="s">
        <v>8760</v>
      </c>
      <c r="B5909" s="5">
        <v>280075</v>
      </c>
      <c r="C5909" s="122" t="s">
        <v>9970</v>
      </c>
      <c r="D5909" s="5"/>
      <c r="E5909" s="123">
        <v>1</v>
      </c>
      <c r="F5909" s="9"/>
      <c r="G5909" s="8">
        <f t="shared" si="180"/>
        <v>8.1206999999999994</v>
      </c>
      <c r="H5909" s="165">
        <v>7.734</v>
      </c>
      <c r="I5909" s="19">
        <f t="shared" si="181"/>
        <v>0</v>
      </c>
    </row>
    <row r="5910" spans="1:9" hidden="1">
      <c r="A5910" s="49" t="s">
        <v>8760</v>
      </c>
      <c r="B5910" s="5">
        <v>280100</v>
      </c>
      <c r="C5910" s="122" t="s">
        <v>9665</v>
      </c>
      <c r="D5910" s="5"/>
      <c r="E5910" s="123">
        <v>1</v>
      </c>
      <c r="F5910" s="9"/>
      <c r="G5910" s="8">
        <f t="shared" si="180"/>
        <v>124.5342</v>
      </c>
      <c r="H5910" s="165">
        <v>118.604</v>
      </c>
      <c r="I5910" s="19">
        <f t="shared" si="181"/>
        <v>0</v>
      </c>
    </row>
    <row r="5911" spans="1:9" hidden="1">
      <c r="A5911" s="49" t="s">
        <v>8760</v>
      </c>
      <c r="B5911" s="5" t="s">
        <v>9971</v>
      </c>
      <c r="C5911" s="122" t="s">
        <v>9972</v>
      </c>
      <c r="D5911" s="5"/>
      <c r="E5911" s="123">
        <v>1</v>
      </c>
      <c r="F5911" s="9"/>
      <c r="G5911" s="8">
        <f t="shared" si="180"/>
        <v>12.6189</v>
      </c>
      <c r="H5911" s="165">
        <v>12.018000000000001</v>
      </c>
      <c r="I5911" s="19">
        <f t="shared" si="181"/>
        <v>0</v>
      </c>
    </row>
    <row r="5912" spans="1:9" hidden="1">
      <c r="A5912" s="49" t="s">
        <v>8760</v>
      </c>
      <c r="B5912" s="5">
        <v>280107</v>
      </c>
      <c r="C5912" s="122" t="s">
        <v>9973</v>
      </c>
      <c r="D5912" s="5"/>
      <c r="E5912" s="123">
        <v>1</v>
      </c>
      <c r="F5912" s="9"/>
      <c r="G5912" s="8">
        <f t="shared" si="180"/>
        <v>8.9354999999999993</v>
      </c>
      <c r="H5912" s="165">
        <v>8.51</v>
      </c>
      <c r="I5912" s="19">
        <f t="shared" si="181"/>
        <v>0</v>
      </c>
    </row>
    <row r="5913" spans="1:9" hidden="1">
      <c r="A5913" s="49" t="s">
        <v>8760</v>
      </c>
      <c r="B5913" s="5">
        <v>280200</v>
      </c>
      <c r="C5913" s="122" t="s">
        <v>9974</v>
      </c>
      <c r="D5913" s="5"/>
      <c r="E5913" s="123">
        <v>1</v>
      </c>
      <c r="F5913" s="9"/>
      <c r="G5913" s="8">
        <f t="shared" si="180"/>
        <v>3.2760000000000002</v>
      </c>
      <c r="H5913" s="165">
        <v>3.12</v>
      </c>
      <c r="I5913" s="19">
        <f t="shared" si="181"/>
        <v>0</v>
      </c>
    </row>
    <row r="5914" spans="1:9" hidden="1">
      <c r="A5914" s="49" t="s">
        <v>8760</v>
      </c>
      <c r="B5914" s="5">
        <v>280300</v>
      </c>
      <c r="C5914" s="122" t="s">
        <v>9975</v>
      </c>
      <c r="D5914" s="5" t="s">
        <v>945</v>
      </c>
      <c r="E5914" s="123">
        <v>1</v>
      </c>
      <c r="F5914" s="9"/>
      <c r="G5914" s="8">
        <f t="shared" si="180"/>
        <v>316.27785</v>
      </c>
      <c r="H5914" s="165">
        <v>301.21699999999998</v>
      </c>
      <c r="I5914" s="19">
        <f t="shared" si="181"/>
        <v>0</v>
      </c>
    </row>
    <row r="5915" spans="1:9" hidden="1">
      <c r="A5915" s="49" t="s">
        <v>8760</v>
      </c>
      <c r="B5915" s="5">
        <v>280301</v>
      </c>
      <c r="C5915" s="122" t="s">
        <v>9976</v>
      </c>
      <c r="D5915" s="5"/>
      <c r="E5915" s="123">
        <v>1</v>
      </c>
      <c r="F5915" s="9"/>
      <c r="G5915" s="8">
        <f t="shared" si="180"/>
        <v>2.5137</v>
      </c>
      <c r="H5915" s="165">
        <v>2.3940000000000001</v>
      </c>
      <c r="I5915" s="19">
        <f t="shared" si="181"/>
        <v>0</v>
      </c>
    </row>
    <row r="5916" spans="1:9" hidden="1">
      <c r="A5916" s="49" t="s">
        <v>8760</v>
      </c>
      <c r="B5916" s="5">
        <v>280302</v>
      </c>
      <c r="C5916" s="122" t="s">
        <v>9977</v>
      </c>
      <c r="D5916" s="5" t="s">
        <v>945</v>
      </c>
      <c r="E5916" s="123">
        <v>1</v>
      </c>
      <c r="F5916" s="9"/>
      <c r="G5916" s="8">
        <f t="shared" si="180"/>
        <v>316.27785</v>
      </c>
      <c r="H5916" s="165">
        <v>301.21699999999998</v>
      </c>
      <c r="I5916" s="19">
        <f t="shared" si="181"/>
        <v>0</v>
      </c>
    </row>
    <row r="5917" spans="1:9" hidden="1">
      <c r="A5917" s="49" t="s">
        <v>8760</v>
      </c>
      <c r="B5917" s="5">
        <v>285100</v>
      </c>
      <c r="C5917" s="122" t="s">
        <v>9978</v>
      </c>
      <c r="D5917" s="5"/>
      <c r="E5917" s="123">
        <v>1</v>
      </c>
      <c r="F5917" s="9"/>
      <c r="G5917" s="8">
        <f t="shared" si="180"/>
        <v>1.21065</v>
      </c>
      <c r="H5917" s="165">
        <v>1.153</v>
      </c>
      <c r="I5917" s="19">
        <f t="shared" si="181"/>
        <v>0</v>
      </c>
    </row>
    <row r="5918" spans="1:9" hidden="1">
      <c r="A5918" s="49" t="s">
        <v>8760</v>
      </c>
      <c r="B5918" s="5">
        <v>285101</v>
      </c>
      <c r="C5918" s="122" t="s">
        <v>9979</v>
      </c>
      <c r="D5918" s="5" t="s">
        <v>945</v>
      </c>
      <c r="E5918" s="123">
        <v>1</v>
      </c>
      <c r="F5918" s="9"/>
      <c r="G5918" s="8">
        <f t="shared" si="180"/>
        <v>2.6270999999999995</v>
      </c>
      <c r="H5918" s="165">
        <v>2.5019999999999998</v>
      </c>
      <c r="I5918" s="19">
        <f t="shared" si="181"/>
        <v>0</v>
      </c>
    </row>
    <row r="5919" spans="1:9" hidden="1">
      <c r="A5919" s="49" t="s">
        <v>8760</v>
      </c>
      <c r="B5919" s="5" t="s">
        <v>9980</v>
      </c>
      <c r="C5919" s="122" t="s">
        <v>9981</v>
      </c>
      <c r="D5919" s="5"/>
      <c r="E5919" s="123">
        <v>1</v>
      </c>
      <c r="F5919" s="9"/>
      <c r="G5919" s="8">
        <f t="shared" si="180"/>
        <v>31.842300000000002</v>
      </c>
      <c r="H5919" s="165">
        <v>30.326000000000001</v>
      </c>
      <c r="I5919" s="19">
        <f t="shared" si="181"/>
        <v>0</v>
      </c>
    </row>
    <row r="5920" spans="1:9" hidden="1">
      <c r="A5920" s="49" t="s">
        <v>8760</v>
      </c>
      <c r="B5920" s="5" t="s">
        <v>9982</v>
      </c>
      <c r="C5920" s="122" t="s">
        <v>9983</v>
      </c>
      <c r="D5920" s="5"/>
      <c r="E5920" s="123">
        <v>1</v>
      </c>
      <c r="F5920" s="9"/>
      <c r="G5920" s="8">
        <f t="shared" si="180"/>
        <v>37.633050000000004</v>
      </c>
      <c r="H5920" s="165">
        <v>35.841000000000001</v>
      </c>
      <c r="I5920" s="19">
        <f t="shared" si="181"/>
        <v>0</v>
      </c>
    </row>
    <row r="5921" spans="1:9" hidden="1">
      <c r="A5921" s="49" t="s">
        <v>8760</v>
      </c>
      <c r="B5921" s="5" t="s">
        <v>9984</v>
      </c>
      <c r="C5921" s="122" t="s">
        <v>9985</v>
      </c>
      <c r="D5921" s="5"/>
      <c r="E5921" s="123">
        <v>1</v>
      </c>
      <c r="F5921" s="9"/>
      <c r="G5921" s="8">
        <f t="shared" si="180"/>
        <v>42.637349999999998</v>
      </c>
      <c r="H5921" s="165">
        <v>40.606999999999999</v>
      </c>
      <c r="I5921" s="19">
        <f t="shared" si="181"/>
        <v>0</v>
      </c>
    </row>
    <row r="5922" spans="1:9" hidden="1">
      <c r="A5922" s="49" t="s">
        <v>8760</v>
      </c>
      <c r="B5922" s="5" t="s">
        <v>9986</v>
      </c>
      <c r="C5922" s="122" t="s">
        <v>9987</v>
      </c>
      <c r="D5922" s="5"/>
      <c r="E5922" s="123">
        <v>1</v>
      </c>
      <c r="F5922" s="9"/>
      <c r="G5922" s="8">
        <f t="shared" si="180"/>
        <v>48.805050000000001</v>
      </c>
      <c r="H5922" s="165">
        <v>46.481000000000002</v>
      </c>
      <c r="I5922" s="19">
        <f t="shared" si="181"/>
        <v>0</v>
      </c>
    </row>
    <row r="5923" spans="1:9" hidden="1">
      <c r="A5923" s="49" t="s">
        <v>8760</v>
      </c>
      <c r="B5923" s="5" t="s">
        <v>9988</v>
      </c>
      <c r="C5923" s="122" t="s">
        <v>9989</v>
      </c>
      <c r="D5923" s="5"/>
      <c r="E5923" s="123">
        <v>1</v>
      </c>
      <c r="F5923" s="9"/>
      <c r="G5923" s="8">
        <f t="shared" si="180"/>
        <v>54.938100000000006</v>
      </c>
      <c r="H5923" s="165">
        <v>52.322000000000003</v>
      </c>
      <c r="I5923" s="19">
        <f t="shared" si="181"/>
        <v>0</v>
      </c>
    </row>
    <row r="5924" spans="1:9" hidden="1">
      <c r="A5924" s="49" t="s">
        <v>8760</v>
      </c>
      <c r="B5924" s="5" t="s">
        <v>9990</v>
      </c>
      <c r="C5924" s="122" t="s">
        <v>9991</v>
      </c>
      <c r="D5924" s="5"/>
      <c r="E5924" s="123">
        <v>1</v>
      </c>
      <c r="F5924" s="9"/>
      <c r="G5924" s="8">
        <f t="shared" si="180"/>
        <v>60.991350000000004</v>
      </c>
      <c r="H5924" s="165">
        <v>58.087000000000003</v>
      </c>
      <c r="I5924" s="19">
        <f t="shared" si="181"/>
        <v>0</v>
      </c>
    </row>
    <row r="5925" spans="1:9" hidden="1">
      <c r="A5925" s="49" t="s">
        <v>8760</v>
      </c>
      <c r="B5925" s="5" t="s">
        <v>9992</v>
      </c>
      <c r="C5925" s="122" t="s">
        <v>9993</v>
      </c>
      <c r="D5925" s="5"/>
      <c r="E5925" s="123">
        <v>1</v>
      </c>
      <c r="F5925" s="9"/>
      <c r="G5925" s="8">
        <f t="shared" si="180"/>
        <v>67.125450000000001</v>
      </c>
      <c r="H5925" s="165">
        <v>63.929000000000002</v>
      </c>
      <c r="I5925" s="19">
        <f t="shared" si="181"/>
        <v>0</v>
      </c>
    </row>
    <row r="5926" spans="1:9" hidden="1">
      <c r="A5926" s="49" t="s">
        <v>8760</v>
      </c>
      <c r="B5926" s="5" t="s">
        <v>9994</v>
      </c>
      <c r="C5926" s="122" t="s">
        <v>9995</v>
      </c>
      <c r="D5926" s="5"/>
      <c r="E5926" s="123">
        <v>1</v>
      </c>
      <c r="F5926" s="9"/>
      <c r="G5926" s="8">
        <f t="shared" si="180"/>
        <v>73.194450000000003</v>
      </c>
      <c r="H5926" s="165">
        <v>69.709000000000003</v>
      </c>
      <c r="I5926" s="19">
        <f t="shared" si="181"/>
        <v>0</v>
      </c>
    </row>
    <row r="5927" spans="1:9" hidden="1">
      <c r="A5927" s="49" t="s">
        <v>8760</v>
      </c>
      <c r="B5927" s="5" t="s">
        <v>9996</v>
      </c>
      <c r="C5927" s="122" t="s">
        <v>9997</v>
      </c>
      <c r="D5927" s="5"/>
      <c r="E5927" s="123">
        <v>1</v>
      </c>
      <c r="F5927" s="9"/>
      <c r="G5927" s="8">
        <f t="shared" si="180"/>
        <v>79.328550000000007</v>
      </c>
      <c r="H5927" s="165">
        <v>75.551000000000002</v>
      </c>
      <c r="I5927" s="19">
        <f t="shared" si="181"/>
        <v>0</v>
      </c>
    </row>
    <row r="5928" spans="1:9" hidden="1">
      <c r="A5928" s="49" t="s">
        <v>8760</v>
      </c>
      <c r="B5928" s="5">
        <v>290105</v>
      </c>
      <c r="C5928" s="122" t="s">
        <v>9998</v>
      </c>
      <c r="D5928" s="5" t="s">
        <v>9367</v>
      </c>
      <c r="E5928" s="123">
        <v>1</v>
      </c>
      <c r="F5928" s="9"/>
      <c r="G5928" s="8">
        <f t="shared" si="180"/>
        <v>102.18810000000001</v>
      </c>
      <c r="H5928" s="165">
        <v>97.322000000000003</v>
      </c>
      <c r="I5928" s="19">
        <f t="shared" si="181"/>
        <v>0</v>
      </c>
    </row>
    <row r="5929" spans="1:9" hidden="1">
      <c r="A5929" s="49" t="s">
        <v>8760</v>
      </c>
      <c r="B5929" s="5">
        <v>295100</v>
      </c>
      <c r="C5929" s="122" t="s">
        <v>9999</v>
      </c>
      <c r="D5929" s="5"/>
      <c r="E5929" s="123">
        <v>1</v>
      </c>
      <c r="F5929" s="9"/>
      <c r="G5929" s="8">
        <f t="shared" si="180"/>
        <v>7.9065000000000003</v>
      </c>
      <c r="H5929" s="165">
        <v>7.53</v>
      </c>
      <c r="I5929" s="19">
        <f t="shared" si="181"/>
        <v>0</v>
      </c>
    </row>
    <row r="5930" spans="1:9" hidden="1">
      <c r="A5930" s="49" t="s">
        <v>8760</v>
      </c>
      <c r="B5930" s="5">
        <v>295101</v>
      </c>
      <c r="C5930" s="122" t="s">
        <v>10000</v>
      </c>
      <c r="D5930" s="5"/>
      <c r="E5930" s="123">
        <v>1</v>
      </c>
      <c r="F5930" s="9"/>
      <c r="G5930" s="8">
        <f t="shared" si="180"/>
        <v>7.9065000000000003</v>
      </c>
      <c r="H5930" s="165">
        <v>7.53</v>
      </c>
      <c r="I5930" s="19">
        <f t="shared" si="181"/>
        <v>0</v>
      </c>
    </row>
    <row r="5931" spans="1:9" hidden="1">
      <c r="A5931" s="49" t="s">
        <v>8760</v>
      </c>
      <c r="B5931" s="5">
        <v>295107</v>
      </c>
      <c r="C5931" s="122" t="s">
        <v>10001</v>
      </c>
      <c r="D5931" s="5"/>
      <c r="E5931" s="123">
        <v>1</v>
      </c>
      <c r="F5931" s="9"/>
      <c r="G5931" s="8">
        <f t="shared" si="180"/>
        <v>7.31745</v>
      </c>
      <c r="H5931" s="165">
        <v>6.9690000000000003</v>
      </c>
      <c r="I5931" s="19">
        <f t="shared" si="181"/>
        <v>0</v>
      </c>
    </row>
    <row r="5932" spans="1:9" hidden="1">
      <c r="A5932" s="49" t="s">
        <v>8760</v>
      </c>
      <c r="B5932" s="5" t="s">
        <v>10002</v>
      </c>
      <c r="C5932" s="122" t="s">
        <v>10003</v>
      </c>
      <c r="D5932" s="5"/>
      <c r="E5932" s="123">
        <v>1</v>
      </c>
      <c r="F5932" s="9"/>
      <c r="G5932" s="8">
        <f t="shared" si="180"/>
        <v>25.186349999999997</v>
      </c>
      <c r="H5932" s="165">
        <v>23.986999999999998</v>
      </c>
      <c r="I5932" s="19">
        <f t="shared" si="181"/>
        <v>0</v>
      </c>
    </row>
    <row r="5933" spans="1:9" hidden="1">
      <c r="A5933" s="49" t="s">
        <v>8760</v>
      </c>
      <c r="B5933" s="5" t="s">
        <v>10004</v>
      </c>
      <c r="C5933" s="122" t="s">
        <v>10000</v>
      </c>
      <c r="D5933" s="5"/>
      <c r="E5933" s="123">
        <v>1</v>
      </c>
      <c r="F5933" s="9"/>
      <c r="G5933" s="8">
        <f t="shared" si="180"/>
        <v>25.186349999999997</v>
      </c>
      <c r="H5933" s="165">
        <v>23.986999999999998</v>
      </c>
      <c r="I5933" s="19">
        <f t="shared" si="181"/>
        <v>0</v>
      </c>
    </row>
    <row r="5934" spans="1:9" hidden="1">
      <c r="A5934" s="49" t="s">
        <v>8760</v>
      </c>
      <c r="B5934" s="5">
        <v>299100</v>
      </c>
      <c r="C5934" s="122" t="s">
        <v>10005</v>
      </c>
      <c r="D5934" s="5" t="s">
        <v>2488</v>
      </c>
      <c r="E5934" s="123">
        <v>1</v>
      </c>
      <c r="F5934" s="9"/>
      <c r="G5934" s="8">
        <f t="shared" si="180"/>
        <v>4.2041999999999993</v>
      </c>
      <c r="H5934" s="165">
        <v>4.0039999999999996</v>
      </c>
      <c r="I5934" s="19">
        <f t="shared" si="181"/>
        <v>0</v>
      </c>
    </row>
    <row r="5935" spans="1:9" hidden="1">
      <c r="A5935" s="49" t="s">
        <v>8760</v>
      </c>
      <c r="B5935" s="5">
        <v>29950</v>
      </c>
      <c r="C5935" s="122" t="s">
        <v>10006</v>
      </c>
      <c r="D5935" s="5"/>
      <c r="E5935" s="123">
        <v>1</v>
      </c>
      <c r="F5935" s="9"/>
      <c r="G5935" s="8">
        <f t="shared" si="180"/>
        <v>11.00085</v>
      </c>
      <c r="H5935" s="165">
        <v>10.477</v>
      </c>
      <c r="I5935" s="19">
        <f t="shared" si="181"/>
        <v>0</v>
      </c>
    </row>
    <row r="5936" spans="1:9" hidden="1">
      <c r="A5936" s="49" t="s">
        <v>8760</v>
      </c>
      <c r="B5936" s="5">
        <v>29951</v>
      </c>
      <c r="C5936" s="122" t="s">
        <v>10007</v>
      </c>
      <c r="D5936" s="5"/>
      <c r="E5936" s="123">
        <v>1</v>
      </c>
      <c r="F5936" s="9"/>
      <c r="G5936" s="8">
        <f t="shared" si="180"/>
        <v>11.00085</v>
      </c>
      <c r="H5936" s="165">
        <v>10.477</v>
      </c>
      <c r="I5936" s="19">
        <f t="shared" si="181"/>
        <v>0</v>
      </c>
    </row>
    <row r="5937" spans="1:9" hidden="1">
      <c r="A5937" s="49" t="s">
        <v>8760</v>
      </c>
      <c r="B5937" s="5">
        <v>29952</v>
      </c>
      <c r="C5937" s="122" t="s">
        <v>10006</v>
      </c>
      <c r="D5937" s="5"/>
      <c r="E5937" s="123">
        <v>1</v>
      </c>
      <c r="F5937" s="9"/>
      <c r="G5937" s="8">
        <f t="shared" si="180"/>
        <v>10.938899999999999</v>
      </c>
      <c r="H5937" s="165">
        <v>10.417999999999999</v>
      </c>
      <c r="I5937" s="19">
        <f t="shared" si="181"/>
        <v>0</v>
      </c>
    </row>
    <row r="5938" spans="1:9" hidden="1">
      <c r="A5938" s="49" t="s">
        <v>8760</v>
      </c>
      <c r="B5938" s="5">
        <v>29953</v>
      </c>
      <c r="C5938" s="122" t="s">
        <v>10007</v>
      </c>
      <c r="D5938" s="5"/>
      <c r="E5938" s="123">
        <v>1</v>
      </c>
      <c r="F5938" s="9"/>
      <c r="G5938" s="8">
        <f t="shared" si="180"/>
        <v>10.938899999999999</v>
      </c>
      <c r="H5938" s="165">
        <v>10.417999999999999</v>
      </c>
      <c r="I5938" s="19">
        <f t="shared" si="181"/>
        <v>0</v>
      </c>
    </row>
    <row r="5939" spans="1:9" hidden="1">
      <c r="A5939" s="49" t="s">
        <v>8760</v>
      </c>
      <c r="B5939" s="5">
        <v>299540</v>
      </c>
      <c r="C5939" s="122" t="s">
        <v>10008</v>
      </c>
      <c r="D5939" s="5"/>
      <c r="E5939" s="123">
        <v>1</v>
      </c>
      <c r="F5939" s="9"/>
      <c r="G5939" s="8">
        <f t="shared" si="180"/>
        <v>28.1967</v>
      </c>
      <c r="H5939" s="165">
        <v>26.853999999999999</v>
      </c>
      <c r="I5939" s="19">
        <f t="shared" si="181"/>
        <v>0</v>
      </c>
    </row>
    <row r="5940" spans="1:9" hidden="1">
      <c r="A5940" s="49" t="s">
        <v>8760</v>
      </c>
      <c r="B5940" s="5">
        <v>299541</v>
      </c>
      <c r="C5940" s="122" t="s">
        <v>10009</v>
      </c>
      <c r="D5940" s="5"/>
      <c r="E5940" s="123">
        <v>1</v>
      </c>
      <c r="F5940" s="9"/>
      <c r="G5940" s="8">
        <f t="shared" si="180"/>
        <v>28.1967</v>
      </c>
      <c r="H5940" s="165">
        <v>26.853999999999999</v>
      </c>
      <c r="I5940" s="19">
        <f t="shared" si="181"/>
        <v>0</v>
      </c>
    </row>
    <row r="5941" spans="1:9" hidden="1">
      <c r="A5941" s="49" t="s">
        <v>8760</v>
      </c>
      <c r="B5941" s="5">
        <v>299560</v>
      </c>
      <c r="C5941" s="122" t="s">
        <v>10010</v>
      </c>
      <c r="D5941" s="5"/>
      <c r="E5941" s="123">
        <v>1</v>
      </c>
      <c r="F5941" s="9"/>
      <c r="G5941" s="8">
        <f t="shared" si="180"/>
        <v>4.8331499999999998</v>
      </c>
      <c r="H5941" s="165">
        <v>4.6029999999999998</v>
      </c>
      <c r="I5941" s="19">
        <f t="shared" si="181"/>
        <v>0</v>
      </c>
    </row>
    <row r="5942" spans="1:9" hidden="1">
      <c r="A5942" s="49" t="s">
        <v>8760</v>
      </c>
      <c r="B5942" s="5">
        <v>30002</v>
      </c>
      <c r="C5942" s="122" t="s">
        <v>10011</v>
      </c>
      <c r="D5942" s="5"/>
      <c r="E5942" s="123">
        <v>1</v>
      </c>
      <c r="F5942" s="9"/>
      <c r="G5942" s="8">
        <f t="shared" si="180"/>
        <v>20.879250000000003</v>
      </c>
      <c r="H5942" s="165">
        <v>19.885000000000002</v>
      </c>
      <c r="I5942" s="19">
        <f t="shared" si="181"/>
        <v>0</v>
      </c>
    </row>
    <row r="5943" spans="1:9" hidden="1">
      <c r="A5943" s="49" t="s">
        <v>8760</v>
      </c>
      <c r="B5943" s="5">
        <v>30004</v>
      </c>
      <c r="C5943" s="122" t="s">
        <v>10012</v>
      </c>
      <c r="D5943" s="5"/>
      <c r="E5943" s="123">
        <v>1</v>
      </c>
      <c r="F5943" s="9"/>
      <c r="G5943" s="8">
        <f t="shared" si="180"/>
        <v>1.218</v>
      </c>
      <c r="H5943" s="165">
        <v>1.1599999999999999</v>
      </c>
      <c r="I5943" s="19">
        <f t="shared" si="181"/>
        <v>0</v>
      </c>
    </row>
    <row r="5944" spans="1:9" hidden="1">
      <c r="A5944" s="49" t="s">
        <v>8760</v>
      </c>
      <c r="B5944" s="5">
        <v>30006</v>
      </c>
      <c r="C5944" s="122" t="s">
        <v>10013</v>
      </c>
      <c r="D5944" s="5"/>
      <c r="E5944" s="123">
        <v>1</v>
      </c>
      <c r="F5944" s="9"/>
      <c r="G5944" s="8">
        <f t="shared" si="180"/>
        <v>15.959999999999999</v>
      </c>
      <c r="H5944" s="165">
        <v>15.2</v>
      </c>
      <c r="I5944" s="19">
        <f t="shared" si="181"/>
        <v>0</v>
      </c>
    </row>
    <row r="5945" spans="1:9" hidden="1">
      <c r="A5945" s="49" t="s">
        <v>8760</v>
      </c>
      <c r="B5945" s="5">
        <v>30007</v>
      </c>
      <c r="C5945" s="122" t="s">
        <v>10014</v>
      </c>
      <c r="D5945" s="5"/>
      <c r="E5945" s="123">
        <v>1</v>
      </c>
      <c r="F5945" s="9"/>
      <c r="G5945" s="8">
        <f t="shared" si="180"/>
        <v>0.88305</v>
      </c>
      <c r="H5945" s="165">
        <v>0.84099999999999997</v>
      </c>
      <c r="I5945" s="19">
        <f t="shared" si="181"/>
        <v>0</v>
      </c>
    </row>
    <row r="5946" spans="1:9" hidden="1">
      <c r="A5946" s="49" t="s">
        <v>8760</v>
      </c>
      <c r="B5946" s="5" t="s">
        <v>10015</v>
      </c>
      <c r="C5946" s="122" t="s">
        <v>10016</v>
      </c>
      <c r="D5946" s="5"/>
      <c r="E5946" s="123">
        <v>1</v>
      </c>
      <c r="F5946" s="9"/>
      <c r="G5946" s="8">
        <f t="shared" si="180"/>
        <v>89.085149999999999</v>
      </c>
      <c r="H5946" s="165">
        <v>84.843000000000004</v>
      </c>
      <c r="I5946" s="19">
        <f t="shared" si="181"/>
        <v>0</v>
      </c>
    </row>
    <row r="5947" spans="1:9" hidden="1">
      <c r="A5947" s="49" t="s">
        <v>8760</v>
      </c>
      <c r="B5947" s="5" t="s">
        <v>10017</v>
      </c>
      <c r="C5947" s="122" t="s">
        <v>10018</v>
      </c>
      <c r="D5947" s="5"/>
      <c r="E5947" s="123">
        <v>1</v>
      </c>
      <c r="F5947" s="9"/>
      <c r="G5947" s="8">
        <f t="shared" si="180"/>
        <v>89.085149999999999</v>
      </c>
      <c r="H5947" s="165">
        <v>84.843000000000004</v>
      </c>
      <c r="I5947" s="19">
        <f t="shared" si="181"/>
        <v>0</v>
      </c>
    </row>
    <row r="5948" spans="1:9" hidden="1">
      <c r="A5948" s="49" t="s">
        <v>8760</v>
      </c>
      <c r="B5948" s="5" t="s">
        <v>10019</v>
      </c>
      <c r="C5948" s="122" t="s">
        <v>10020</v>
      </c>
      <c r="D5948" s="5"/>
      <c r="E5948" s="123">
        <v>1</v>
      </c>
      <c r="F5948" s="9"/>
      <c r="G5948" s="8">
        <f t="shared" si="180"/>
        <v>98.87115</v>
      </c>
      <c r="H5948" s="165">
        <v>94.162999999999997</v>
      </c>
      <c r="I5948" s="19">
        <f t="shared" si="181"/>
        <v>0</v>
      </c>
    </row>
    <row r="5949" spans="1:9" hidden="1">
      <c r="A5949" s="49" t="s">
        <v>8760</v>
      </c>
      <c r="B5949" s="5" t="s">
        <v>10021</v>
      </c>
      <c r="C5949" s="122" t="s">
        <v>10022</v>
      </c>
      <c r="D5949" s="5"/>
      <c r="E5949" s="123">
        <v>1</v>
      </c>
      <c r="F5949" s="9"/>
      <c r="G5949" s="8">
        <f t="shared" si="180"/>
        <v>98.87115</v>
      </c>
      <c r="H5949" s="165">
        <v>94.162999999999997</v>
      </c>
      <c r="I5949" s="19">
        <f t="shared" si="181"/>
        <v>0</v>
      </c>
    </row>
    <row r="5950" spans="1:9" hidden="1">
      <c r="A5950" s="49" t="s">
        <v>8760</v>
      </c>
      <c r="B5950" s="5" t="s">
        <v>10023</v>
      </c>
      <c r="C5950" s="122" t="s">
        <v>10024</v>
      </c>
      <c r="D5950" s="5"/>
      <c r="E5950" s="123">
        <v>1</v>
      </c>
      <c r="F5950" s="9"/>
      <c r="G5950" s="8">
        <f t="shared" si="180"/>
        <v>108.81675000000001</v>
      </c>
      <c r="H5950" s="165">
        <v>103.63500000000001</v>
      </c>
      <c r="I5950" s="19">
        <f t="shared" si="181"/>
        <v>0</v>
      </c>
    </row>
    <row r="5951" spans="1:9" hidden="1">
      <c r="A5951" s="49" t="s">
        <v>8760</v>
      </c>
      <c r="B5951" s="5" t="s">
        <v>10025</v>
      </c>
      <c r="C5951" s="122" t="s">
        <v>10026</v>
      </c>
      <c r="D5951" s="5"/>
      <c r="E5951" s="123">
        <v>1</v>
      </c>
      <c r="F5951" s="9"/>
      <c r="G5951" s="8">
        <f t="shared" si="180"/>
        <v>108.81675000000001</v>
      </c>
      <c r="H5951" s="165">
        <v>103.63500000000001</v>
      </c>
      <c r="I5951" s="19">
        <f t="shared" si="181"/>
        <v>0</v>
      </c>
    </row>
    <row r="5952" spans="1:9" hidden="1">
      <c r="A5952" s="49" t="s">
        <v>8760</v>
      </c>
      <c r="B5952" s="5" t="s">
        <v>10027</v>
      </c>
      <c r="C5952" s="122" t="s">
        <v>10028</v>
      </c>
      <c r="D5952" s="5"/>
      <c r="E5952" s="123">
        <v>1</v>
      </c>
      <c r="F5952" s="9"/>
      <c r="G5952" s="8">
        <f t="shared" si="180"/>
        <v>30.5214</v>
      </c>
      <c r="H5952" s="165">
        <v>29.068000000000001</v>
      </c>
      <c r="I5952" s="19">
        <f t="shared" si="181"/>
        <v>0</v>
      </c>
    </row>
    <row r="5953" spans="1:9" hidden="1">
      <c r="A5953" s="49" t="s">
        <v>8760</v>
      </c>
      <c r="B5953" s="5" t="s">
        <v>10029</v>
      </c>
      <c r="C5953" s="122" t="s">
        <v>10030</v>
      </c>
      <c r="D5953" s="5"/>
      <c r="E5953" s="123">
        <v>1</v>
      </c>
      <c r="F5953" s="9"/>
      <c r="G5953" s="8">
        <f t="shared" si="180"/>
        <v>114.51300000000001</v>
      </c>
      <c r="H5953" s="165">
        <v>109.06</v>
      </c>
      <c r="I5953" s="19">
        <f t="shared" si="181"/>
        <v>0</v>
      </c>
    </row>
    <row r="5954" spans="1:9" hidden="1">
      <c r="A5954" s="49" t="s">
        <v>8760</v>
      </c>
      <c r="B5954" s="5" t="s">
        <v>10031</v>
      </c>
      <c r="C5954" s="122" t="s">
        <v>10032</v>
      </c>
      <c r="D5954" s="5"/>
      <c r="E5954" s="123">
        <v>1</v>
      </c>
      <c r="F5954" s="9"/>
      <c r="G5954" s="8">
        <f t="shared" si="180"/>
        <v>124.05435</v>
      </c>
      <c r="H5954" s="165">
        <v>118.14700000000001</v>
      </c>
      <c r="I5954" s="19">
        <f t="shared" si="181"/>
        <v>0</v>
      </c>
    </row>
    <row r="5955" spans="1:9" hidden="1">
      <c r="A5955" s="49" t="s">
        <v>8760</v>
      </c>
      <c r="B5955" s="5" t="s">
        <v>10033</v>
      </c>
      <c r="C5955" s="122" t="s">
        <v>10034</v>
      </c>
      <c r="D5955" s="5" t="s">
        <v>2488</v>
      </c>
      <c r="E5955" s="123">
        <v>1</v>
      </c>
      <c r="F5955" s="9"/>
      <c r="G5955" s="8">
        <f t="shared" si="180"/>
        <v>30.5214</v>
      </c>
      <c r="H5955" s="165">
        <v>29.068000000000001</v>
      </c>
      <c r="I5955" s="19">
        <f t="shared" si="181"/>
        <v>0</v>
      </c>
    </row>
    <row r="5956" spans="1:9" hidden="1">
      <c r="A5956" s="49" t="s">
        <v>8760</v>
      </c>
      <c r="B5956" s="5" t="s">
        <v>10035</v>
      </c>
      <c r="C5956" s="122" t="s">
        <v>10036</v>
      </c>
      <c r="D5956" s="5"/>
      <c r="E5956" s="123">
        <v>1</v>
      </c>
      <c r="F5956" s="9"/>
      <c r="G5956" s="8">
        <f t="shared" si="180"/>
        <v>114.51300000000001</v>
      </c>
      <c r="H5956" s="165">
        <v>109.06</v>
      </c>
      <c r="I5956" s="19">
        <f t="shared" si="181"/>
        <v>0</v>
      </c>
    </row>
    <row r="5957" spans="1:9" hidden="1">
      <c r="A5957" s="49" t="s">
        <v>8760</v>
      </c>
      <c r="B5957" s="5" t="s">
        <v>10037</v>
      </c>
      <c r="C5957" s="122" t="s">
        <v>10038</v>
      </c>
      <c r="D5957" s="5"/>
      <c r="E5957" s="123">
        <v>1</v>
      </c>
      <c r="F5957" s="9"/>
      <c r="G5957" s="8">
        <f t="shared" si="180"/>
        <v>124.05435</v>
      </c>
      <c r="H5957" s="165">
        <v>118.14700000000001</v>
      </c>
      <c r="I5957" s="19">
        <f t="shared" si="181"/>
        <v>0</v>
      </c>
    </row>
    <row r="5958" spans="1:9" hidden="1">
      <c r="A5958" s="49" t="s">
        <v>8760</v>
      </c>
      <c r="B5958" s="5">
        <v>3275305032</v>
      </c>
      <c r="C5958" s="122" t="s">
        <v>10039</v>
      </c>
      <c r="D5958" s="5"/>
      <c r="E5958" s="123">
        <v>1</v>
      </c>
      <c r="F5958" s="9"/>
      <c r="G5958" s="8">
        <f t="shared" si="180"/>
        <v>45.530100000000004</v>
      </c>
      <c r="H5958" s="165">
        <v>43.362000000000002</v>
      </c>
      <c r="I5958" s="19">
        <f t="shared" si="181"/>
        <v>0</v>
      </c>
    </row>
    <row r="5959" spans="1:9" hidden="1">
      <c r="A5959" s="49" t="s">
        <v>8760</v>
      </c>
      <c r="B5959" s="5" t="s">
        <v>10040</v>
      </c>
      <c r="C5959" s="122" t="s">
        <v>10041</v>
      </c>
      <c r="D5959" s="5"/>
      <c r="E5959" s="123">
        <v>1</v>
      </c>
      <c r="F5959" s="9"/>
      <c r="G5959" s="8">
        <f t="shared" si="180"/>
        <v>33.876149999999996</v>
      </c>
      <c r="H5959" s="165">
        <v>32.262999999999998</v>
      </c>
      <c r="I5959" s="19">
        <f t="shared" si="181"/>
        <v>0</v>
      </c>
    </row>
    <row r="5960" spans="1:9" hidden="1">
      <c r="A5960" s="49" t="s">
        <v>8760</v>
      </c>
      <c r="B5960" s="5" t="s">
        <v>10042</v>
      </c>
      <c r="C5960" s="122" t="s">
        <v>10043</v>
      </c>
      <c r="D5960" s="5"/>
      <c r="E5960" s="123">
        <v>1</v>
      </c>
      <c r="F5960" s="9"/>
      <c r="G5960" s="8">
        <f t="shared" si="180"/>
        <v>11.980499999999999</v>
      </c>
      <c r="H5960" s="165">
        <v>11.41</v>
      </c>
      <c r="I5960" s="19">
        <f t="shared" si="181"/>
        <v>0</v>
      </c>
    </row>
    <row r="5961" spans="1:9" hidden="1">
      <c r="A5961" s="49" t="s">
        <v>8760</v>
      </c>
      <c r="B5961" s="5" t="s">
        <v>10044</v>
      </c>
      <c r="C5961" s="122" t="s">
        <v>10045</v>
      </c>
      <c r="D5961" s="5"/>
      <c r="E5961" s="123">
        <v>1</v>
      </c>
      <c r="F5961" s="9"/>
      <c r="G5961" s="8">
        <f t="shared" si="180"/>
        <v>50.813699999999997</v>
      </c>
      <c r="H5961" s="165">
        <v>48.393999999999998</v>
      </c>
      <c r="I5961" s="19">
        <f t="shared" si="181"/>
        <v>0</v>
      </c>
    </row>
    <row r="5962" spans="1:9" hidden="1">
      <c r="A5962" s="49" t="s">
        <v>8760</v>
      </c>
      <c r="B5962" s="5" t="s">
        <v>10046</v>
      </c>
      <c r="C5962" s="122" t="s">
        <v>10047</v>
      </c>
      <c r="D5962" s="5"/>
      <c r="E5962" s="123">
        <v>1</v>
      </c>
      <c r="F5962" s="9"/>
      <c r="G5962" s="8">
        <f t="shared" si="180"/>
        <v>59.281950000000002</v>
      </c>
      <c r="H5962" s="165">
        <v>56.459000000000003</v>
      </c>
      <c r="I5962" s="19">
        <f t="shared" si="181"/>
        <v>0</v>
      </c>
    </row>
    <row r="5963" spans="1:9" hidden="1">
      <c r="A5963" s="49" t="s">
        <v>8760</v>
      </c>
      <c r="B5963" s="5" t="s">
        <v>10048</v>
      </c>
      <c r="C5963" s="122" t="s">
        <v>10049</v>
      </c>
      <c r="D5963" s="5"/>
      <c r="E5963" s="123">
        <v>1</v>
      </c>
      <c r="F5963" s="9"/>
      <c r="G5963" s="8">
        <f t="shared" si="180"/>
        <v>127.0857</v>
      </c>
      <c r="H5963" s="165">
        <v>121.03400000000001</v>
      </c>
      <c r="I5963" s="19">
        <f t="shared" si="181"/>
        <v>0</v>
      </c>
    </row>
    <row r="5964" spans="1:9" hidden="1">
      <c r="A5964" s="49" t="s">
        <v>8760</v>
      </c>
      <c r="B5964" s="5" t="s">
        <v>10050</v>
      </c>
      <c r="C5964" s="122" t="s">
        <v>10051</v>
      </c>
      <c r="D5964" s="5"/>
      <c r="E5964" s="123">
        <v>1</v>
      </c>
      <c r="F5964" s="9"/>
      <c r="G5964" s="8">
        <f t="shared" si="180"/>
        <v>137.62035</v>
      </c>
      <c r="H5964" s="165">
        <v>131.06700000000001</v>
      </c>
      <c r="I5964" s="19">
        <f t="shared" si="181"/>
        <v>0</v>
      </c>
    </row>
    <row r="5965" spans="1:9" hidden="1">
      <c r="A5965" s="49" t="s">
        <v>8760</v>
      </c>
      <c r="B5965" s="5" t="s">
        <v>10052</v>
      </c>
      <c r="C5965" s="122" t="s">
        <v>10053</v>
      </c>
      <c r="D5965" s="5"/>
      <c r="E5965" s="123">
        <v>1</v>
      </c>
      <c r="F5965" s="9"/>
      <c r="G5965" s="8">
        <f t="shared" si="180"/>
        <v>33.876149999999996</v>
      </c>
      <c r="H5965" s="165">
        <v>32.262999999999998</v>
      </c>
      <c r="I5965" s="19">
        <f t="shared" si="181"/>
        <v>0</v>
      </c>
    </row>
    <row r="5966" spans="1:9" hidden="1">
      <c r="A5966" s="49" t="s">
        <v>8760</v>
      </c>
      <c r="B5966" s="5" t="s">
        <v>10054</v>
      </c>
      <c r="C5966" s="122" t="s">
        <v>10055</v>
      </c>
      <c r="D5966" s="5"/>
      <c r="E5966" s="123">
        <v>1</v>
      </c>
      <c r="F5966" s="9"/>
      <c r="G5966" s="8">
        <f t="shared" si="180"/>
        <v>42.379049999999999</v>
      </c>
      <c r="H5966" s="165">
        <v>40.360999999999997</v>
      </c>
      <c r="I5966" s="19">
        <f t="shared" si="181"/>
        <v>0</v>
      </c>
    </row>
    <row r="5967" spans="1:9" hidden="1">
      <c r="A5967" s="49" t="s">
        <v>8760</v>
      </c>
      <c r="B5967" s="5" t="s">
        <v>10056</v>
      </c>
      <c r="C5967" s="122" t="s">
        <v>10057</v>
      </c>
      <c r="D5967" s="5"/>
      <c r="E5967" s="123">
        <v>1</v>
      </c>
      <c r="F5967" s="9"/>
      <c r="G5967" s="8">
        <f t="shared" si="180"/>
        <v>50.813699999999997</v>
      </c>
      <c r="H5967" s="165">
        <v>48.393999999999998</v>
      </c>
      <c r="I5967" s="19">
        <f t="shared" si="181"/>
        <v>0</v>
      </c>
    </row>
    <row r="5968" spans="1:9" hidden="1">
      <c r="A5968" s="49" t="s">
        <v>8760</v>
      </c>
      <c r="B5968" s="5" t="s">
        <v>10058</v>
      </c>
      <c r="C5968" s="122" t="s">
        <v>10059</v>
      </c>
      <c r="D5968" s="5"/>
      <c r="E5968" s="123">
        <v>1</v>
      </c>
      <c r="F5968" s="9"/>
      <c r="G5968" s="8">
        <f t="shared" si="180"/>
        <v>59.281950000000002</v>
      </c>
      <c r="H5968" s="165">
        <v>56.459000000000003</v>
      </c>
      <c r="I5968" s="19">
        <f t="shared" si="181"/>
        <v>0</v>
      </c>
    </row>
    <row r="5969" spans="1:9" hidden="1">
      <c r="A5969" s="49" t="s">
        <v>8760</v>
      </c>
      <c r="B5969" s="5" t="s">
        <v>10060</v>
      </c>
      <c r="C5969" s="122" t="s">
        <v>10061</v>
      </c>
      <c r="D5969" s="5"/>
      <c r="E5969" s="123">
        <v>1</v>
      </c>
      <c r="F5969" s="9"/>
      <c r="G5969" s="8">
        <f t="shared" si="180"/>
        <v>127.0857</v>
      </c>
      <c r="H5969" s="165">
        <v>121.03400000000001</v>
      </c>
      <c r="I5969" s="19">
        <f t="shared" si="181"/>
        <v>0</v>
      </c>
    </row>
    <row r="5970" spans="1:9" hidden="1">
      <c r="A5970" s="49" t="s">
        <v>8760</v>
      </c>
      <c r="B5970" s="5" t="s">
        <v>10062</v>
      </c>
      <c r="C5970" s="122" t="s">
        <v>10063</v>
      </c>
      <c r="D5970" s="5"/>
      <c r="E5970" s="123">
        <v>1</v>
      </c>
      <c r="F5970" s="9"/>
      <c r="G5970" s="8">
        <f t="shared" si="180"/>
        <v>137.62035</v>
      </c>
      <c r="H5970" s="165">
        <v>131.06700000000001</v>
      </c>
      <c r="I5970" s="19">
        <f t="shared" si="181"/>
        <v>0</v>
      </c>
    </row>
    <row r="5971" spans="1:9" hidden="1">
      <c r="A5971" s="49" t="s">
        <v>8760</v>
      </c>
      <c r="B5971" s="5" t="s">
        <v>10064</v>
      </c>
      <c r="C5971" s="122" t="s">
        <v>10065</v>
      </c>
      <c r="D5971" s="5"/>
      <c r="E5971" s="123">
        <v>1</v>
      </c>
      <c r="F5971" s="9"/>
      <c r="G5971" s="8">
        <f t="shared" si="180"/>
        <v>37.2834</v>
      </c>
      <c r="H5971" s="165">
        <v>35.508000000000003</v>
      </c>
      <c r="I5971" s="19">
        <f t="shared" si="181"/>
        <v>0</v>
      </c>
    </row>
    <row r="5972" spans="1:9" hidden="1">
      <c r="A5972" s="49" t="s">
        <v>8760</v>
      </c>
      <c r="B5972" s="5" t="s">
        <v>10066</v>
      </c>
      <c r="C5972" s="122" t="s">
        <v>10067</v>
      </c>
      <c r="D5972" s="5"/>
      <c r="E5972" s="123">
        <v>1</v>
      </c>
      <c r="F5972" s="9"/>
      <c r="G5972" s="8">
        <f t="shared" ref="G5972:G6035" si="182">H5972+(H5972*5%)</f>
        <v>46.62</v>
      </c>
      <c r="H5972" s="165">
        <v>44.4</v>
      </c>
      <c r="I5972" s="19">
        <f t="shared" ref="I5972:I6035" si="183">G5972*F5972</f>
        <v>0</v>
      </c>
    </row>
    <row r="5973" spans="1:9" hidden="1">
      <c r="A5973" s="49" t="s">
        <v>8760</v>
      </c>
      <c r="B5973" s="5" t="s">
        <v>10068</v>
      </c>
      <c r="C5973" s="122" t="s">
        <v>10069</v>
      </c>
      <c r="D5973" s="5"/>
      <c r="E5973" s="123">
        <v>1</v>
      </c>
      <c r="F5973" s="9"/>
      <c r="G5973" s="8">
        <f t="shared" si="182"/>
        <v>55.949249999999999</v>
      </c>
      <c r="H5973" s="165">
        <v>53.284999999999997</v>
      </c>
      <c r="I5973" s="19">
        <f t="shared" si="183"/>
        <v>0</v>
      </c>
    </row>
    <row r="5974" spans="1:9" hidden="1">
      <c r="A5974" s="49" t="s">
        <v>8760</v>
      </c>
      <c r="B5974" s="5" t="s">
        <v>10070</v>
      </c>
      <c r="C5974" s="122" t="s">
        <v>10071</v>
      </c>
      <c r="D5974" s="5"/>
      <c r="E5974" s="123">
        <v>1</v>
      </c>
      <c r="F5974" s="9"/>
      <c r="G5974" s="8">
        <f t="shared" si="182"/>
        <v>83.887650000000008</v>
      </c>
      <c r="H5974" s="165">
        <v>79.893000000000001</v>
      </c>
      <c r="I5974" s="19">
        <f t="shared" si="183"/>
        <v>0</v>
      </c>
    </row>
    <row r="5975" spans="1:9" hidden="1">
      <c r="A5975" s="49" t="s">
        <v>8760</v>
      </c>
      <c r="B5975" s="5" t="s">
        <v>10072</v>
      </c>
      <c r="C5975" s="122" t="s">
        <v>10073</v>
      </c>
      <c r="D5975" s="5"/>
      <c r="E5975" s="123">
        <v>1</v>
      </c>
      <c r="F5975" s="9"/>
      <c r="G5975" s="8">
        <f t="shared" si="182"/>
        <v>139.87365</v>
      </c>
      <c r="H5975" s="165">
        <v>133.21299999999999</v>
      </c>
      <c r="I5975" s="19">
        <f t="shared" si="183"/>
        <v>0</v>
      </c>
    </row>
    <row r="5976" spans="1:9" hidden="1">
      <c r="A5976" s="49" t="s">
        <v>8760</v>
      </c>
      <c r="B5976" s="5" t="s">
        <v>10074</v>
      </c>
      <c r="C5976" s="122" t="s">
        <v>10075</v>
      </c>
      <c r="D5976" s="5"/>
      <c r="E5976" s="123">
        <v>1</v>
      </c>
      <c r="F5976" s="9"/>
      <c r="G5976" s="8">
        <f t="shared" si="182"/>
        <v>151.52549999999999</v>
      </c>
      <c r="H5976" s="165">
        <v>144.31</v>
      </c>
      <c r="I5976" s="19">
        <f t="shared" si="183"/>
        <v>0</v>
      </c>
    </row>
    <row r="5977" spans="1:9" hidden="1">
      <c r="A5977" s="49" t="s">
        <v>8760</v>
      </c>
      <c r="B5977" s="5" t="s">
        <v>10076</v>
      </c>
      <c r="C5977" s="122" t="s">
        <v>10077</v>
      </c>
      <c r="D5977" s="5"/>
      <c r="E5977" s="123">
        <v>1</v>
      </c>
      <c r="F5977" s="9"/>
      <c r="G5977" s="8">
        <f t="shared" si="182"/>
        <v>37.2834</v>
      </c>
      <c r="H5977" s="165">
        <v>35.508000000000003</v>
      </c>
      <c r="I5977" s="19">
        <f t="shared" si="183"/>
        <v>0</v>
      </c>
    </row>
    <row r="5978" spans="1:9" hidden="1">
      <c r="A5978" s="49" t="s">
        <v>8760</v>
      </c>
      <c r="B5978" s="5" t="s">
        <v>10078</v>
      </c>
      <c r="C5978" s="122" t="s">
        <v>10079</v>
      </c>
      <c r="D5978" s="5"/>
      <c r="E5978" s="123">
        <v>1</v>
      </c>
      <c r="F5978" s="9"/>
      <c r="G5978" s="8">
        <f t="shared" si="182"/>
        <v>46.62</v>
      </c>
      <c r="H5978" s="165">
        <v>44.4</v>
      </c>
      <c r="I5978" s="19">
        <f t="shared" si="183"/>
        <v>0</v>
      </c>
    </row>
    <row r="5979" spans="1:9" hidden="1">
      <c r="A5979" s="49" t="s">
        <v>8760</v>
      </c>
      <c r="B5979" s="5" t="s">
        <v>10080</v>
      </c>
      <c r="C5979" s="122" t="s">
        <v>10081</v>
      </c>
      <c r="D5979" s="5"/>
      <c r="E5979" s="123">
        <v>1</v>
      </c>
      <c r="F5979" s="9"/>
      <c r="G5979" s="8">
        <f t="shared" si="182"/>
        <v>55.949249999999999</v>
      </c>
      <c r="H5979" s="165">
        <v>53.284999999999997</v>
      </c>
      <c r="I5979" s="19">
        <f t="shared" si="183"/>
        <v>0</v>
      </c>
    </row>
    <row r="5980" spans="1:9" hidden="1">
      <c r="A5980" s="49" t="s">
        <v>8760</v>
      </c>
      <c r="B5980" s="5" t="s">
        <v>10082</v>
      </c>
      <c r="C5980" s="122" t="s">
        <v>10083</v>
      </c>
      <c r="D5980" s="5"/>
      <c r="E5980" s="123">
        <v>1</v>
      </c>
      <c r="F5980" s="9"/>
      <c r="G5980" s="8">
        <f t="shared" si="182"/>
        <v>83.887650000000008</v>
      </c>
      <c r="H5980" s="165">
        <v>79.893000000000001</v>
      </c>
      <c r="I5980" s="19">
        <f t="shared" si="183"/>
        <v>0</v>
      </c>
    </row>
    <row r="5981" spans="1:9" hidden="1">
      <c r="A5981" s="49" t="s">
        <v>8760</v>
      </c>
      <c r="B5981" s="5" t="s">
        <v>10084</v>
      </c>
      <c r="C5981" s="122" t="s">
        <v>10085</v>
      </c>
      <c r="D5981" s="5"/>
      <c r="E5981" s="123">
        <v>1</v>
      </c>
      <c r="F5981" s="9"/>
      <c r="G5981" s="8">
        <f t="shared" si="182"/>
        <v>139.87365</v>
      </c>
      <c r="H5981" s="165">
        <v>133.21299999999999</v>
      </c>
      <c r="I5981" s="19">
        <f t="shared" si="183"/>
        <v>0</v>
      </c>
    </row>
    <row r="5982" spans="1:9" hidden="1">
      <c r="A5982" s="49" t="s">
        <v>8760</v>
      </c>
      <c r="B5982" s="5" t="s">
        <v>10086</v>
      </c>
      <c r="C5982" s="122" t="s">
        <v>10087</v>
      </c>
      <c r="D5982" s="5"/>
      <c r="E5982" s="123">
        <v>1</v>
      </c>
      <c r="F5982" s="9"/>
      <c r="G5982" s="8">
        <f t="shared" si="182"/>
        <v>151.52549999999999</v>
      </c>
      <c r="H5982" s="165">
        <v>144.31</v>
      </c>
      <c r="I5982" s="19">
        <f t="shared" si="183"/>
        <v>0</v>
      </c>
    </row>
    <row r="5983" spans="1:9" hidden="1">
      <c r="A5983" s="49" t="s">
        <v>8760</v>
      </c>
      <c r="B5983" s="5" t="s">
        <v>10088</v>
      </c>
      <c r="C5983" s="122" t="s">
        <v>10089</v>
      </c>
      <c r="D5983" s="5"/>
      <c r="E5983" s="123">
        <v>1</v>
      </c>
      <c r="F5983" s="9"/>
      <c r="G5983" s="8">
        <f t="shared" si="182"/>
        <v>50.936550000000004</v>
      </c>
      <c r="H5983" s="165">
        <v>48.511000000000003</v>
      </c>
      <c r="I5983" s="19">
        <f t="shared" si="183"/>
        <v>0</v>
      </c>
    </row>
    <row r="5984" spans="1:9" hidden="1">
      <c r="A5984" s="49" t="s">
        <v>8760</v>
      </c>
      <c r="B5984" s="5" t="s">
        <v>10090</v>
      </c>
      <c r="C5984" s="122" t="s">
        <v>10091</v>
      </c>
      <c r="D5984" s="5"/>
      <c r="E5984" s="123">
        <v>1</v>
      </c>
      <c r="F5984" s="9"/>
      <c r="G5984" s="8">
        <f t="shared" si="182"/>
        <v>152.79704999999998</v>
      </c>
      <c r="H5984" s="165">
        <v>145.52099999999999</v>
      </c>
      <c r="I5984" s="19">
        <f t="shared" si="183"/>
        <v>0</v>
      </c>
    </row>
    <row r="5985" spans="1:9" hidden="1">
      <c r="A5985" s="49" t="s">
        <v>8760</v>
      </c>
      <c r="B5985" s="5" t="s">
        <v>10092</v>
      </c>
      <c r="C5985" s="122" t="s">
        <v>10093</v>
      </c>
      <c r="D5985" s="5"/>
      <c r="E5985" s="123">
        <v>1</v>
      </c>
      <c r="F5985" s="9"/>
      <c r="G5985" s="8">
        <f t="shared" si="182"/>
        <v>165.65010000000001</v>
      </c>
      <c r="H5985" s="165">
        <v>157.762</v>
      </c>
      <c r="I5985" s="19">
        <f t="shared" si="183"/>
        <v>0</v>
      </c>
    </row>
    <row r="5986" spans="1:9" hidden="1">
      <c r="A5986" s="49" t="s">
        <v>8760</v>
      </c>
      <c r="B5986" s="5" t="s">
        <v>10094</v>
      </c>
      <c r="C5986" s="122" t="s">
        <v>10095</v>
      </c>
      <c r="D5986" s="5"/>
      <c r="E5986" s="123">
        <v>1</v>
      </c>
      <c r="F5986" s="9"/>
      <c r="G5986" s="8">
        <f t="shared" si="182"/>
        <v>50.936550000000004</v>
      </c>
      <c r="H5986" s="165">
        <v>48.511000000000003</v>
      </c>
      <c r="I5986" s="19">
        <f t="shared" si="183"/>
        <v>0</v>
      </c>
    </row>
    <row r="5987" spans="1:9" hidden="1">
      <c r="A5987" s="49" t="s">
        <v>8760</v>
      </c>
      <c r="B5987" s="5" t="s">
        <v>10096</v>
      </c>
      <c r="C5987" s="122" t="s">
        <v>10097</v>
      </c>
      <c r="D5987" s="5"/>
      <c r="E5987" s="123">
        <v>1</v>
      </c>
      <c r="F5987" s="9"/>
      <c r="G5987" s="8">
        <f t="shared" si="182"/>
        <v>152.79704999999998</v>
      </c>
      <c r="H5987" s="165">
        <v>145.52099999999999</v>
      </c>
      <c r="I5987" s="19">
        <f t="shared" si="183"/>
        <v>0</v>
      </c>
    </row>
    <row r="5988" spans="1:9" hidden="1">
      <c r="A5988" s="49" t="s">
        <v>8760</v>
      </c>
      <c r="B5988" s="5" t="s">
        <v>10098</v>
      </c>
      <c r="C5988" s="122" t="s">
        <v>10099</v>
      </c>
      <c r="D5988" s="5"/>
      <c r="E5988" s="123">
        <v>1</v>
      </c>
      <c r="F5988" s="9"/>
      <c r="G5988" s="8">
        <f t="shared" si="182"/>
        <v>165.65010000000001</v>
      </c>
      <c r="H5988" s="165">
        <v>157.762</v>
      </c>
      <c r="I5988" s="19">
        <f t="shared" si="183"/>
        <v>0</v>
      </c>
    </row>
    <row r="5989" spans="1:9" hidden="1">
      <c r="A5989" s="49" t="s">
        <v>8760</v>
      </c>
      <c r="B5989" s="5" t="s">
        <v>10100</v>
      </c>
      <c r="C5989" s="122" t="s">
        <v>10101</v>
      </c>
      <c r="D5989" s="5"/>
      <c r="E5989" s="123">
        <v>1</v>
      </c>
      <c r="F5989" s="9"/>
      <c r="G5989" s="8">
        <f t="shared" si="182"/>
        <v>166.07954999999998</v>
      </c>
      <c r="H5989" s="165">
        <v>158.17099999999999</v>
      </c>
      <c r="I5989" s="19">
        <f t="shared" si="183"/>
        <v>0</v>
      </c>
    </row>
    <row r="5990" spans="1:9" hidden="1">
      <c r="A5990" s="49" t="s">
        <v>8760</v>
      </c>
      <c r="B5990" s="5">
        <v>3295004482</v>
      </c>
      <c r="C5990" s="122" t="s">
        <v>10102</v>
      </c>
      <c r="D5990" s="5" t="s">
        <v>2488</v>
      </c>
      <c r="E5990" s="123">
        <v>1</v>
      </c>
      <c r="F5990" s="9"/>
      <c r="G5990" s="8">
        <f t="shared" si="182"/>
        <v>36.266999999999996</v>
      </c>
      <c r="H5990" s="165">
        <v>34.54</v>
      </c>
      <c r="I5990" s="19">
        <f t="shared" si="183"/>
        <v>0</v>
      </c>
    </row>
    <row r="5991" spans="1:9" hidden="1">
      <c r="A5991" s="49" t="s">
        <v>8760</v>
      </c>
      <c r="B5991" s="5">
        <v>3295004902</v>
      </c>
      <c r="C5991" s="122" t="s">
        <v>10103</v>
      </c>
      <c r="D5991" s="5" t="s">
        <v>2488</v>
      </c>
      <c r="E5991" s="123">
        <v>1</v>
      </c>
      <c r="F5991" s="9"/>
      <c r="G5991" s="8">
        <f t="shared" si="182"/>
        <v>39.353999999999999</v>
      </c>
      <c r="H5991" s="165">
        <v>37.479999999999997</v>
      </c>
      <c r="I5991" s="19">
        <f t="shared" si="183"/>
        <v>0</v>
      </c>
    </row>
    <row r="5992" spans="1:9" hidden="1">
      <c r="A5992" s="49" t="s">
        <v>8760</v>
      </c>
      <c r="B5992" s="5">
        <v>3295005332</v>
      </c>
      <c r="C5992" s="122" t="s">
        <v>10104</v>
      </c>
      <c r="D5992" s="5" t="s">
        <v>2488</v>
      </c>
      <c r="E5992" s="123">
        <v>1</v>
      </c>
      <c r="F5992" s="9"/>
      <c r="G5992" s="8">
        <f t="shared" si="182"/>
        <v>42.508200000000002</v>
      </c>
      <c r="H5992" s="165">
        <v>40.484000000000002</v>
      </c>
      <c r="I5992" s="19">
        <f t="shared" si="183"/>
        <v>0</v>
      </c>
    </row>
    <row r="5993" spans="1:9" hidden="1">
      <c r="A5993" s="49" t="s">
        <v>8760</v>
      </c>
      <c r="B5993" s="5">
        <v>3295005762</v>
      </c>
      <c r="C5993" s="122" t="s">
        <v>10105</v>
      </c>
      <c r="D5993" s="5" t="s">
        <v>2488</v>
      </c>
      <c r="E5993" s="123">
        <v>1</v>
      </c>
      <c r="F5993" s="9"/>
      <c r="G5993" s="8">
        <f t="shared" si="182"/>
        <v>45.6708</v>
      </c>
      <c r="H5993" s="165">
        <v>43.496000000000002</v>
      </c>
      <c r="I5993" s="19">
        <f t="shared" si="183"/>
        <v>0</v>
      </c>
    </row>
    <row r="5994" spans="1:9" hidden="1">
      <c r="A5994" s="49" t="s">
        <v>8760</v>
      </c>
      <c r="B5994" s="5">
        <v>3295006192</v>
      </c>
      <c r="C5994" s="122" t="s">
        <v>10106</v>
      </c>
      <c r="D5994" s="5" t="s">
        <v>2488</v>
      </c>
      <c r="E5994" s="123">
        <v>1</v>
      </c>
      <c r="F5994" s="9"/>
      <c r="G5994" s="8">
        <f t="shared" si="182"/>
        <v>48.832349999999998</v>
      </c>
      <c r="H5994" s="165">
        <v>46.506999999999998</v>
      </c>
      <c r="I5994" s="19">
        <f t="shared" si="183"/>
        <v>0</v>
      </c>
    </row>
    <row r="5995" spans="1:9" hidden="1">
      <c r="A5995" s="49" t="s">
        <v>8760</v>
      </c>
      <c r="B5995" s="5">
        <v>3295006632</v>
      </c>
      <c r="C5995" s="122" t="s">
        <v>10107</v>
      </c>
      <c r="D5995" s="5" t="s">
        <v>2488</v>
      </c>
      <c r="E5995" s="123">
        <v>1</v>
      </c>
      <c r="F5995" s="9"/>
      <c r="G5995" s="8">
        <f t="shared" si="182"/>
        <v>52.062149999999995</v>
      </c>
      <c r="H5995" s="165">
        <v>49.582999999999998</v>
      </c>
      <c r="I5995" s="19">
        <f t="shared" si="183"/>
        <v>0</v>
      </c>
    </row>
    <row r="5996" spans="1:9" hidden="1">
      <c r="A5996" s="49" t="s">
        <v>8760</v>
      </c>
      <c r="B5996" s="5">
        <v>3295007062</v>
      </c>
      <c r="C5996" s="122" t="s">
        <v>10108</v>
      </c>
      <c r="D5996" s="5" t="s">
        <v>2488</v>
      </c>
      <c r="E5996" s="123">
        <v>1</v>
      </c>
      <c r="F5996" s="9"/>
      <c r="G5996" s="8">
        <f t="shared" si="182"/>
        <v>48.020700000000005</v>
      </c>
      <c r="H5996" s="165">
        <v>45.734000000000002</v>
      </c>
      <c r="I5996" s="19">
        <f t="shared" si="183"/>
        <v>0</v>
      </c>
    </row>
    <row r="5997" spans="1:9" hidden="1">
      <c r="A5997" s="49" t="s">
        <v>8760</v>
      </c>
      <c r="B5997" s="5" t="s">
        <v>10109</v>
      </c>
      <c r="C5997" s="122" t="s">
        <v>10110</v>
      </c>
      <c r="D5997" s="5" t="s">
        <v>2488</v>
      </c>
      <c r="E5997" s="123">
        <v>1</v>
      </c>
      <c r="F5997" s="9"/>
      <c r="G5997" s="8">
        <f t="shared" si="182"/>
        <v>99.839249999999993</v>
      </c>
      <c r="H5997" s="165">
        <v>95.084999999999994</v>
      </c>
      <c r="I5997" s="19">
        <f t="shared" si="183"/>
        <v>0</v>
      </c>
    </row>
    <row r="5998" spans="1:9" hidden="1">
      <c r="A5998" s="49" t="s">
        <v>8760</v>
      </c>
      <c r="B5998" s="5" t="s">
        <v>10111</v>
      </c>
      <c r="C5998" s="122" t="s">
        <v>10112</v>
      </c>
      <c r="D5998" s="5" t="s">
        <v>2488</v>
      </c>
      <c r="E5998" s="123">
        <v>1</v>
      </c>
      <c r="F5998" s="9"/>
      <c r="G5998" s="8">
        <f t="shared" si="182"/>
        <v>99.839249999999993</v>
      </c>
      <c r="H5998" s="165">
        <v>95.084999999999994</v>
      </c>
      <c r="I5998" s="19">
        <f t="shared" si="183"/>
        <v>0</v>
      </c>
    </row>
    <row r="5999" spans="1:9" hidden="1">
      <c r="A5999" s="49" t="s">
        <v>8760</v>
      </c>
      <c r="B5999" s="5">
        <v>3295305032</v>
      </c>
      <c r="C5999" s="122" t="s">
        <v>10113</v>
      </c>
      <c r="D5999" s="5" t="s">
        <v>2488</v>
      </c>
      <c r="E5999" s="123">
        <v>1</v>
      </c>
      <c r="F5999" s="9"/>
      <c r="G5999" s="8">
        <f t="shared" si="182"/>
        <v>39.148199999999996</v>
      </c>
      <c r="H5999" s="165">
        <v>37.283999999999999</v>
      </c>
      <c r="I5999" s="19">
        <f t="shared" si="183"/>
        <v>0</v>
      </c>
    </row>
    <row r="6000" spans="1:9" hidden="1">
      <c r="A6000" s="49" t="s">
        <v>8760</v>
      </c>
      <c r="B6000" s="5">
        <v>3295305512</v>
      </c>
      <c r="C6000" s="122" t="s">
        <v>10114</v>
      </c>
      <c r="D6000" s="5" t="s">
        <v>2488</v>
      </c>
      <c r="E6000" s="123">
        <v>1</v>
      </c>
      <c r="F6000" s="9"/>
      <c r="G6000" s="8">
        <f t="shared" si="182"/>
        <v>42.918750000000003</v>
      </c>
      <c r="H6000" s="165">
        <v>40.875</v>
      </c>
      <c r="I6000" s="19">
        <f t="shared" si="183"/>
        <v>0</v>
      </c>
    </row>
    <row r="6001" spans="1:9" hidden="1">
      <c r="A6001" s="49" t="s">
        <v>8760</v>
      </c>
      <c r="B6001" s="5">
        <v>3295306002</v>
      </c>
      <c r="C6001" s="122" t="s">
        <v>10115</v>
      </c>
      <c r="D6001" s="5" t="s">
        <v>2488</v>
      </c>
      <c r="E6001" s="123">
        <v>1</v>
      </c>
      <c r="F6001" s="9"/>
      <c r="G6001" s="8">
        <f t="shared" si="182"/>
        <v>46.776449999999997</v>
      </c>
      <c r="H6001" s="165">
        <v>44.548999999999999</v>
      </c>
      <c r="I6001" s="19">
        <f t="shared" si="183"/>
        <v>0</v>
      </c>
    </row>
    <row r="6002" spans="1:9" hidden="1">
      <c r="A6002" s="49" t="s">
        <v>8760</v>
      </c>
      <c r="B6002" s="5">
        <v>3295306492</v>
      </c>
      <c r="C6002" s="122" t="s">
        <v>10116</v>
      </c>
      <c r="D6002" s="5"/>
      <c r="E6002" s="123">
        <v>1</v>
      </c>
      <c r="F6002" s="9"/>
      <c r="G6002" s="8">
        <f t="shared" si="182"/>
        <v>50.994300000000003</v>
      </c>
      <c r="H6002" s="165">
        <v>48.566000000000003</v>
      </c>
      <c r="I6002" s="19">
        <f t="shared" si="183"/>
        <v>0</v>
      </c>
    </row>
    <row r="6003" spans="1:9" hidden="1">
      <c r="A6003" s="49" t="s">
        <v>8760</v>
      </c>
      <c r="B6003" s="5">
        <v>3295306972</v>
      </c>
      <c r="C6003" s="122" t="s">
        <v>10117</v>
      </c>
      <c r="D6003" s="5"/>
      <c r="E6003" s="123">
        <v>1</v>
      </c>
      <c r="F6003" s="9"/>
      <c r="G6003" s="8">
        <f t="shared" si="182"/>
        <v>54.404699999999998</v>
      </c>
      <c r="H6003" s="165">
        <v>51.814</v>
      </c>
      <c r="I6003" s="19">
        <f t="shared" si="183"/>
        <v>0</v>
      </c>
    </row>
    <row r="6004" spans="1:9" hidden="1">
      <c r="A6004" s="49" t="s">
        <v>8760</v>
      </c>
      <c r="B6004" s="5">
        <v>3295307462</v>
      </c>
      <c r="C6004" s="122" t="s">
        <v>10118</v>
      </c>
      <c r="D6004" s="5" t="s">
        <v>2488</v>
      </c>
      <c r="E6004" s="123">
        <v>1</v>
      </c>
      <c r="F6004" s="9"/>
      <c r="G6004" s="8">
        <f t="shared" si="182"/>
        <v>58.255050000000004</v>
      </c>
      <c r="H6004" s="165">
        <v>55.481000000000002</v>
      </c>
      <c r="I6004" s="19">
        <f t="shared" si="183"/>
        <v>0</v>
      </c>
    </row>
    <row r="6005" spans="1:9" hidden="1">
      <c r="A6005" s="49" t="s">
        <v>8760</v>
      </c>
      <c r="B6005" s="5">
        <v>3295307952</v>
      </c>
      <c r="C6005" s="122" t="s">
        <v>10119</v>
      </c>
      <c r="D6005" s="5" t="s">
        <v>2488</v>
      </c>
      <c r="E6005" s="123">
        <v>1</v>
      </c>
      <c r="F6005" s="9"/>
      <c r="G6005" s="8">
        <f t="shared" si="182"/>
        <v>62.113799999999998</v>
      </c>
      <c r="H6005" s="165">
        <v>59.155999999999999</v>
      </c>
      <c r="I6005" s="19">
        <f t="shared" si="183"/>
        <v>0</v>
      </c>
    </row>
    <row r="6006" spans="1:9" hidden="1">
      <c r="A6006" s="49" t="s">
        <v>8760</v>
      </c>
      <c r="B6006" s="5">
        <v>3295308442</v>
      </c>
      <c r="C6006" s="122" t="s">
        <v>10120</v>
      </c>
      <c r="D6006" s="5" t="s">
        <v>2488</v>
      </c>
      <c r="E6006" s="123">
        <v>1</v>
      </c>
      <c r="F6006" s="9"/>
      <c r="G6006" s="8">
        <f t="shared" si="182"/>
        <v>57.361500000000007</v>
      </c>
      <c r="H6006" s="165">
        <v>54.63</v>
      </c>
      <c r="I6006" s="19">
        <f t="shared" si="183"/>
        <v>0</v>
      </c>
    </row>
    <row r="6007" spans="1:9" hidden="1">
      <c r="A6007" s="49" t="s">
        <v>8760</v>
      </c>
      <c r="B6007" s="5">
        <v>3295505412</v>
      </c>
      <c r="C6007" s="122" t="s">
        <v>10121</v>
      </c>
      <c r="D6007" s="5" t="s">
        <v>2488</v>
      </c>
      <c r="E6007" s="123">
        <v>1</v>
      </c>
      <c r="F6007" s="9"/>
      <c r="G6007" s="8">
        <f t="shared" si="182"/>
        <v>47.466300000000004</v>
      </c>
      <c r="H6007" s="165">
        <v>45.206000000000003</v>
      </c>
      <c r="I6007" s="19">
        <f t="shared" si="183"/>
        <v>0</v>
      </c>
    </row>
    <row r="6008" spans="1:9" hidden="1">
      <c r="A6008" s="49" t="s">
        <v>8760</v>
      </c>
      <c r="B6008" s="5">
        <v>3295505932</v>
      </c>
      <c r="C6008" s="122" t="s">
        <v>10122</v>
      </c>
      <c r="D6008" s="5" t="s">
        <v>2488</v>
      </c>
      <c r="E6008" s="123">
        <v>1</v>
      </c>
      <c r="F6008" s="9"/>
      <c r="G6008" s="8">
        <f t="shared" si="182"/>
        <v>51.706200000000003</v>
      </c>
      <c r="H6008" s="165">
        <v>49.244</v>
      </c>
      <c r="I6008" s="19">
        <f t="shared" si="183"/>
        <v>0</v>
      </c>
    </row>
    <row r="6009" spans="1:9" hidden="1">
      <c r="A6009" s="49" t="s">
        <v>8760</v>
      </c>
      <c r="B6009" s="5">
        <v>3295506462</v>
      </c>
      <c r="C6009" s="122" t="s">
        <v>10123</v>
      </c>
      <c r="D6009" s="5" t="s">
        <v>2488</v>
      </c>
      <c r="E6009" s="123">
        <v>1</v>
      </c>
      <c r="F6009" s="9"/>
      <c r="G6009" s="8">
        <f t="shared" si="182"/>
        <v>56.030100000000004</v>
      </c>
      <c r="H6009" s="165">
        <v>53.362000000000002</v>
      </c>
      <c r="I6009" s="19">
        <f t="shared" si="183"/>
        <v>0</v>
      </c>
    </row>
    <row r="6010" spans="1:9" hidden="1">
      <c r="A6010" s="49" t="s">
        <v>8760</v>
      </c>
      <c r="B6010" s="5">
        <v>3295506982</v>
      </c>
      <c r="C6010" s="122" t="s">
        <v>10124</v>
      </c>
      <c r="D6010" s="5" t="s">
        <v>2488</v>
      </c>
      <c r="E6010" s="123">
        <v>1</v>
      </c>
      <c r="F6010" s="9"/>
      <c r="G6010" s="8">
        <f t="shared" si="182"/>
        <v>60.271050000000002</v>
      </c>
      <c r="H6010" s="165">
        <v>57.401000000000003</v>
      </c>
      <c r="I6010" s="19">
        <f t="shared" si="183"/>
        <v>0</v>
      </c>
    </row>
    <row r="6011" spans="1:9" hidden="1">
      <c r="A6011" s="49" t="s">
        <v>8760</v>
      </c>
      <c r="B6011" s="5">
        <v>3295507512</v>
      </c>
      <c r="C6011" s="122" t="s">
        <v>10125</v>
      </c>
      <c r="D6011" s="5" t="s">
        <v>2488</v>
      </c>
      <c r="E6011" s="123">
        <v>1</v>
      </c>
      <c r="F6011" s="9"/>
      <c r="G6011" s="8">
        <f t="shared" si="182"/>
        <v>64.592849999999999</v>
      </c>
      <c r="H6011" s="165">
        <v>61.517000000000003</v>
      </c>
      <c r="I6011" s="19">
        <f t="shared" si="183"/>
        <v>0</v>
      </c>
    </row>
    <row r="6012" spans="1:9" hidden="1">
      <c r="A6012" s="49" t="s">
        <v>8760</v>
      </c>
      <c r="B6012" s="5">
        <v>3295508042</v>
      </c>
      <c r="C6012" s="122" t="s">
        <v>10126</v>
      </c>
      <c r="D6012" s="5" t="s">
        <v>2488</v>
      </c>
      <c r="E6012" s="123">
        <v>1</v>
      </c>
      <c r="F6012" s="9"/>
      <c r="G6012" s="8">
        <f t="shared" si="182"/>
        <v>68.915700000000001</v>
      </c>
      <c r="H6012" s="165">
        <v>65.634</v>
      </c>
      <c r="I6012" s="19">
        <f t="shared" si="183"/>
        <v>0</v>
      </c>
    </row>
    <row r="6013" spans="1:9" hidden="1">
      <c r="A6013" s="49" t="s">
        <v>8760</v>
      </c>
      <c r="B6013" s="5">
        <v>3295508572</v>
      </c>
      <c r="C6013" s="122" t="s">
        <v>10127</v>
      </c>
      <c r="D6013" s="5" t="s">
        <v>2488</v>
      </c>
      <c r="E6013" s="123">
        <v>1</v>
      </c>
      <c r="F6013" s="9"/>
      <c r="G6013" s="8">
        <f t="shared" si="182"/>
        <v>73.238550000000004</v>
      </c>
      <c r="H6013" s="165">
        <v>69.751000000000005</v>
      </c>
      <c r="I6013" s="19">
        <f t="shared" si="183"/>
        <v>0</v>
      </c>
    </row>
    <row r="6014" spans="1:9" hidden="1">
      <c r="A6014" s="49" t="s">
        <v>8760</v>
      </c>
      <c r="B6014" s="5" t="s">
        <v>10128</v>
      </c>
      <c r="C6014" s="122" t="s">
        <v>10129</v>
      </c>
      <c r="D6014" s="5"/>
      <c r="E6014" s="123">
        <v>1</v>
      </c>
      <c r="F6014" s="9"/>
      <c r="G6014" s="8">
        <f t="shared" si="182"/>
        <v>110.8086</v>
      </c>
      <c r="H6014" s="165">
        <v>105.532</v>
      </c>
      <c r="I6014" s="19">
        <f t="shared" si="183"/>
        <v>0</v>
      </c>
    </row>
    <row r="6015" spans="1:9" hidden="1">
      <c r="A6015" s="49" t="s">
        <v>8760</v>
      </c>
      <c r="B6015" s="5" t="s">
        <v>10130</v>
      </c>
      <c r="C6015" s="122" t="s">
        <v>10131</v>
      </c>
      <c r="D6015" s="5"/>
      <c r="E6015" s="123">
        <v>1</v>
      </c>
      <c r="F6015" s="9"/>
      <c r="G6015" s="8">
        <f t="shared" si="182"/>
        <v>120.0423</v>
      </c>
      <c r="H6015" s="165">
        <v>114.32599999999999</v>
      </c>
      <c r="I6015" s="19">
        <f t="shared" si="183"/>
        <v>0</v>
      </c>
    </row>
    <row r="6016" spans="1:9" hidden="1">
      <c r="A6016" s="49" t="s">
        <v>8760</v>
      </c>
      <c r="B6016" s="5" t="s">
        <v>10132</v>
      </c>
      <c r="C6016" s="122" t="s">
        <v>10133</v>
      </c>
      <c r="D6016" s="5"/>
      <c r="E6016" s="123">
        <v>1</v>
      </c>
      <c r="F6016" s="9"/>
      <c r="G6016" s="8">
        <f t="shared" si="182"/>
        <v>110.8086</v>
      </c>
      <c r="H6016" s="165">
        <v>105.532</v>
      </c>
      <c r="I6016" s="19">
        <f t="shared" si="183"/>
        <v>0</v>
      </c>
    </row>
    <row r="6017" spans="1:9" hidden="1">
      <c r="A6017" s="49" t="s">
        <v>8760</v>
      </c>
      <c r="B6017" s="5" t="s">
        <v>10134</v>
      </c>
      <c r="C6017" s="122" t="s">
        <v>10135</v>
      </c>
      <c r="D6017" s="5"/>
      <c r="E6017" s="123">
        <v>1</v>
      </c>
      <c r="F6017" s="9"/>
      <c r="G6017" s="8">
        <f t="shared" si="182"/>
        <v>120.0423</v>
      </c>
      <c r="H6017" s="165">
        <v>114.32599999999999</v>
      </c>
      <c r="I6017" s="19">
        <f t="shared" si="183"/>
        <v>0</v>
      </c>
    </row>
    <row r="6018" spans="1:9" hidden="1">
      <c r="A6018" s="49" t="s">
        <v>8760</v>
      </c>
      <c r="B6018" s="5">
        <v>3296006482</v>
      </c>
      <c r="C6018" s="122" t="s">
        <v>10136</v>
      </c>
      <c r="D6018" s="5" t="s">
        <v>2488</v>
      </c>
      <c r="E6018" s="123">
        <v>1</v>
      </c>
      <c r="F6018" s="9"/>
      <c r="G6018" s="8">
        <f t="shared" si="182"/>
        <v>61.505849999999995</v>
      </c>
      <c r="H6018" s="165">
        <v>58.576999999999998</v>
      </c>
      <c r="I6018" s="19">
        <f t="shared" si="183"/>
        <v>0</v>
      </c>
    </row>
    <row r="6019" spans="1:9" hidden="1">
      <c r="A6019" s="49" t="s">
        <v>8760</v>
      </c>
      <c r="B6019" s="5">
        <v>3296007112</v>
      </c>
      <c r="C6019" s="122" t="s">
        <v>10137</v>
      </c>
      <c r="D6019" s="5" t="s">
        <v>2488</v>
      </c>
      <c r="E6019" s="123">
        <v>1</v>
      </c>
      <c r="F6019" s="9"/>
      <c r="G6019" s="8">
        <f t="shared" si="182"/>
        <v>67.1601</v>
      </c>
      <c r="H6019" s="165">
        <v>63.962000000000003</v>
      </c>
      <c r="I6019" s="19">
        <f t="shared" si="183"/>
        <v>0</v>
      </c>
    </row>
    <row r="6020" spans="1:9" hidden="1">
      <c r="A6020" s="49" t="s">
        <v>8760</v>
      </c>
      <c r="B6020" s="5">
        <v>3296007752</v>
      </c>
      <c r="C6020" s="122" t="s">
        <v>10138</v>
      </c>
      <c r="D6020" s="5" t="s">
        <v>2488</v>
      </c>
      <c r="E6020" s="123">
        <v>1</v>
      </c>
      <c r="F6020" s="9"/>
      <c r="G6020" s="8">
        <f t="shared" si="182"/>
        <v>72.909900000000007</v>
      </c>
      <c r="H6020" s="165">
        <v>69.438000000000002</v>
      </c>
      <c r="I6020" s="19">
        <f t="shared" si="183"/>
        <v>0</v>
      </c>
    </row>
    <row r="6021" spans="1:9" hidden="1">
      <c r="A6021" s="49" t="s">
        <v>8760</v>
      </c>
      <c r="B6021" s="5">
        <v>3296008382</v>
      </c>
      <c r="C6021" s="122" t="s">
        <v>10139</v>
      </c>
      <c r="D6021" s="5" t="s">
        <v>2488</v>
      </c>
      <c r="E6021" s="123">
        <v>1</v>
      </c>
      <c r="F6021" s="9"/>
      <c r="G6021" s="8">
        <f t="shared" si="182"/>
        <v>78.564149999999998</v>
      </c>
      <c r="H6021" s="165">
        <v>74.822999999999993</v>
      </c>
      <c r="I6021" s="19">
        <f t="shared" si="183"/>
        <v>0</v>
      </c>
    </row>
    <row r="6022" spans="1:9" hidden="1">
      <c r="A6022" s="49" t="s">
        <v>8760</v>
      </c>
      <c r="B6022" s="5">
        <v>3296009022</v>
      </c>
      <c r="C6022" s="122" t="s">
        <v>10140</v>
      </c>
      <c r="D6022" s="5" t="s">
        <v>2488</v>
      </c>
      <c r="E6022" s="123">
        <v>1</v>
      </c>
      <c r="F6022" s="9"/>
      <c r="G6022" s="8">
        <f t="shared" si="182"/>
        <v>84.30765000000001</v>
      </c>
      <c r="H6022" s="165">
        <v>80.293000000000006</v>
      </c>
      <c r="I6022" s="19">
        <f t="shared" si="183"/>
        <v>0</v>
      </c>
    </row>
    <row r="6023" spans="1:9" hidden="1">
      <c r="A6023" s="49" t="s">
        <v>8760</v>
      </c>
      <c r="B6023" s="5">
        <v>3296009662</v>
      </c>
      <c r="C6023" s="122" t="s">
        <v>10141</v>
      </c>
      <c r="D6023" s="5" t="s">
        <v>2488</v>
      </c>
      <c r="E6023" s="123">
        <v>1</v>
      </c>
      <c r="F6023" s="9"/>
      <c r="G6023" s="8">
        <f t="shared" si="182"/>
        <v>90.051150000000007</v>
      </c>
      <c r="H6023" s="165">
        <v>85.763000000000005</v>
      </c>
      <c r="I6023" s="19">
        <f t="shared" si="183"/>
        <v>0</v>
      </c>
    </row>
    <row r="6024" spans="1:9" hidden="1">
      <c r="A6024" s="49" t="s">
        <v>8760</v>
      </c>
      <c r="B6024" s="5">
        <v>3296010302</v>
      </c>
      <c r="C6024" s="122" t="s">
        <v>10142</v>
      </c>
      <c r="D6024" s="5" t="s">
        <v>2488</v>
      </c>
      <c r="E6024" s="123">
        <v>1</v>
      </c>
      <c r="F6024" s="9"/>
      <c r="G6024" s="8">
        <f t="shared" si="182"/>
        <v>95.793599999999998</v>
      </c>
      <c r="H6024" s="165">
        <v>91.231999999999999</v>
      </c>
      <c r="I6024" s="19">
        <f t="shared" si="183"/>
        <v>0</v>
      </c>
    </row>
    <row r="6025" spans="1:9" hidden="1">
      <c r="A6025" s="49" t="s">
        <v>8760</v>
      </c>
      <c r="B6025" s="5">
        <v>3296010942</v>
      </c>
      <c r="C6025" s="122" t="s">
        <v>10143</v>
      </c>
      <c r="D6025" s="5" t="s">
        <v>2488</v>
      </c>
      <c r="E6025" s="123">
        <v>1</v>
      </c>
      <c r="F6025" s="9"/>
      <c r="G6025" s="8">
        <f t="shared" si="182"/>
        <v>101.53604999999999</v>
      </c>
      <c r="H6025" s="165">
        <v>96.700999999999993</v>
      </c>
      <c r="I6025" s="19">
        <f t="shared" si="183"/>
        <v>0</v>
      </c>
    </row>
    <row r="6026" spans="1:9" hidden="1">
      <c r="A6026" s="49" t="s">
        <v>8760</v>
      </c>
      <c r="B6026" s="5">
        <v>3296011582</v>
      </c>
      <c r="C6026" s="122" t="s">
        <v>10144</v>
      </c>
      <c r="D6026" s="5" t="s">
        <v>2488</v>
      </c>
      <c r="E6026" s="123">
        <v>1</v>
      </c>
      <c r="F6026" s="9"/>
      <c r="G6026" s="8">
        <f t="shared" si="182"/>
        <v>93.29249999999999</v>
      </c>
      <c r="H6026" s="165">
        <v>88.85</v>
      </c>
      <c r="I6026" s="19">
        <f t="shared" si="183"/>
        <v>0</v>
      </c>
    </row>
    <row r="6027" spans="1:9" hidden="1">
      <c r="A6027" s="49" t="s">
        <v>8760</v>
      </c>
      <c r="B6027" s="5" t="s">
        <v>10145</v>
      </c>
      <c r="C6027" s="122" t="s">
        <v>10146</v>
      </c>
      <c r="D6027" s="5"/>
      <c r="E6027" s="123">
        <v>1</v>
      </c>
      <c r="F6027" s="9"/>
      <c r="G6027" s="8">
        <f t="shared" si="182"/>
        <v>121.95435000000001</v>
      </c>
      <c r="H6027" s="165">
        <v>116.14700000000001</v>
      </c>
      <c r="I6027" s="19">
        <f t="shared" si="183"/>
        <v>0</v>
      </c>
    </row>
    <row r="6028" spans="1:9" hidden="1">
      <c r="A6028" s="49" t="s">
        <v>8760</v>
      </c>
      <c r="B6028" s="5" t="s">
        <v>10147</v>
      </c>
      <c r="C6028" s="122" t="s">
        <v>10148</v>
      </c>
      <c r="D6028" s="5"/>
      <c r="E6028" s="123">
        <v>1</v>
      </c>
      <c r="F6028" s="9"/>
      <c r="G6028" s="8">
        <f t="shared" si="182"/>
        <v>121.95435000000001</v>
      </c>
      <c r="H6028" s="165">
        <v>116.14700000000001</v>
      </c>
      <c r="I6028" s="19">
        <f t="shared" si="183"/>
        <v>0</v>
      </c>
    </row>
    <row r="6029" spans="1:9" hidden="1">
      <c r="A6029" s="49" t="s">
        <v>8760</v>
      </c>
      <c r="B6029" s="5">
        <v>3296507632</v>
      </c>
      <c r="C6029" s="122" t="s">
        <v>10149</v>
      </c>
      <c r="D6029" s="5" t="s">
        <v>2488</v>
      </c>
      <c r="E6029" s="123">
        <v>1</v>
      </c>
      <c r="F6029" s="9"/>
      <c r="G6029" s="8">
        <f t="shared" si="182"/>
        <v>78.189299999999989</v>
      </c>
      <c r="H6029" s="165">
        <v>74.465999999999994</v>
      </c>
      <c r="I6029" s="19">
        <f t="shared" si="183"/>
        <v>0</v>
      </c>
    </row>
    <row r="6030" spans="1:9" hidden="1">
      <c r="A6030" s="49" t="s">
        <v>8760</v>
      </c>
      <c r="B6030" s="5">
        <v>3296508382</v>
      </c>
      <c r="C6030" s="122" t="s">
        <v>10150</v>
      </c>
      <c r="D6030" s="5" t="s">
        <v>2488</v>
      </c>
      <c r="E6030" s="123">
        <v>1</v>
      </c>
      <c r="F6030" s="9"/>
      <c r="G6030" s="8">
        <f t="shared" si="182"/>
        <v>85.549800000000005</v>
      </c>
      <c r="H6030" s="165">
        <v>81.475999999999999</v>
      </c>
      <c r="I6030" s="19">
        <f t="shared" si="183"/>
        <v>0</v>
      </c>
    </row>
    <row r="6031" spans="1:9" hidden="1">
      <c r="A6031" s="49" t="s">
        <v>8760</v>
      </c>
      <c r="B6031" s="5">
        <v>3296509132</v>
      </c>
      <c r="C6031" s="122" t="s">
        <v>10151</v>
      </c>
      <c r="D6031" s="5" t="s">
        <v>2488</v>
      </c>
      <c r="E6031" s="123">
        <v>1</v>
      </c>
      <c r="F6031" s="9"/>
      <c r="G6031" s="8">
        <f t="shared" si="182"/>
        <v>92.905049999999989</v>
      </c>
      <c r="H6031" s="165">
        <v>88.480999999999995</v>
      </c>
      <c r="I6031" s="19">
        <f t="shared" si="183"/>
        <v>0</v>
      </c>
    </row>
    <row r="6032" spans="1:9" hidden="1">
      <c r="A6032" s="49" t="s">
        <v>8760</v>
      </c>
      <c r="B6032" s="5">
        <v>3296509712</v>
      </c>
      <c r="C6032" s="122" t="s">
        <v>10152</v>
      </c>
      <c r="D6032" s="5" t="s">
        <v>2488</v>
      </c>
      <c r="E6032" s="123">
        <v>1</v>
      </c>
      <c r="F6032" s="9"/>
      <c r="G6032" s="8">
        <f t="shared" si="182"/>
        <v>30.008999999999997</v>
      </c>
      <c r="H6032" s="165">
        <v>28.58</v>
      </c>
      <c r="I6032" s="19">
        <f t="shared" si="183"/>
        <v>0</v>
      </c>
    </row>
    <row r="6033" spans="1:9" hidden="1">
      <c r="A6033" s="49" t="s">
        <v>8760</v>
      </c>
      <c r="B6033" s="5">
        <v>3296509892</v>
      </c>
      <c r="C6033" s="122" t="s">
        <v>10153</v>
      </c>
      <c r="D6033" s="5" t="s">
        <v>2488</v>
      </c>
      <c r="E6033" s="123">
        <v>1</v>
      </c>
      <c r="F6033" s="9"/>
      <c r="G6033" s="8">
        <f t="shared" si="182"/>
        <v>100.36215</v>
      </c>
      <c r="H6033" s="165">
        <v>95.582999999999998</v>
      </c>
      <c r="I6033" s="19">
        <f t="shared" si="183"/>
        <v>0</v>
      </c>
    </row>
    <row r="6034" spans="1:9" hidden="1">
      <c r="A6034" s="49" t="s">
        <v>8760</v>
      </c>
      <c r="B6034" s="5">
        <v>3296510642</v>
      </c>
      <c r="C6034" s="122" t="s">
        <v>10154</v>
      </c>
      <c r="D6034" s="5" t="s">
        <v>2488</v>
      </c>
      <c r="E6034" s="123">
        <v>1</v>
      </c>
      <c r="F6034" s="9"/>
      <c r="G6034" s="8">
        <f t="shared" si="182"/>
        <v>107.71635000000001</v>
      </c>
      <c r="H6034" s="165">
        <v>102.587</v>
      </c>
      <c r="I6034" s="19">
        <f t="shared" si="183"/>
        <v>0</v>
      </c>
    </row>
    <row r="6035" spans="1:9" hidden="1">
      <c r="A6035" s="49" t="s">
        <v>8760</v>
      </c>
      <c r="B6035" s="5">
        <v>3296511402</v>
      </c>
      <c r="C6035" s="122" t="s">
        <v>10155</v>
      </c>
      <c r="D6035" s="5" t="s">
        <v>2488</v>
      </c>
      <c r="E6035" s="123">
        <v>1</v>
      </c>
      <c r="F6035" s="9"/>
      <c r="G6035" s="8">
        <f t="shared" si="182"/>
        <v>115.17344999999999</v>
      </c>
      <c r="H6035" s="165">
        <v>109.68899999999999</v>
      </c>
      <c r="I6035" s="19">
        <f t="shared" si="183"/>
        <v>0</v>
      </c>
    </row>
    <row r="6036" spans="1:9" hidden="1">
      <c r="A6036" s="49" t="s">
        <v>8760</v>
      </c>
      <c r="B6036" s="5">
        <v>3296512162</v>
      </c>
      <c r="C6036" s="122" t="s">
        <v>10156</v>
      </c>
      <c r="D6036" s="5" t="s">
        <v>2488</v>
      </c>
      <c r="E6036" s="123">
        <v>1</v>
      </c>
      <c r="F6036" s="9"/>
      <c r="G6036" s="8">
        <f t="shared" ref="G6036:G6099" si="184">H6036+(H6036*5%)</f>
        <v>122.62320000000001</v>
      </c>
      <c r="H6036" s="165">
        <v>116.78400000000001</v>
      </c>
      <c r="I6036" s="19">
        <f t="shared" ref="I6036:I6099" si="185">G6036*F6036</f>
        <v>0</v>
      </c>
    </row>
    <row r="6037" spans="1:9" hidden="1">
      <c r="A6037" s="49" t="s">
        <v>8760</v>
      </c>
      <c r="B6037" s="5" t="s">
        <v>10157</v>
      </c>
      <c r="C6037" s="122" t="s">
        <v>10158</v>
      </c>
      <c r="D6037" s="5"/>
      <c r="E6037" s="123">
        <v>1</v>
      </c>
      <c r="F6037" s="9"/>
      <c r="G6037" s="8">
        <f t="shared" si="184"/>
        <v>144.26684999999998</v>
      </c>
      <c r="H6037" s="165">
        <v>137.39699999999999</v>
      </c>
      <c r="I6037" s="19">
        <f t="shared" si="185"/>
        <v>0</v>
      </c>
    </row>
    <row r="6038" spans="1:9" hidden="1">
      <c r="A6038" s="49" t="s">
        <v>8760</v>
      </c>
      <c r="B6038" s="5" t="s">
        <v>10159</v>
      </c>
      <c r="C6038" s="122" t="s">
        <v>10160</v>
      </c>
      <c r="D6038" s="5"/>
      <c r="E6038" s="123">
        <v>1</v>
      </c>
      <c r="F6038" s="9"/>
      <c r="G6038" s="8">
        <f t="shared" si="184"/>
        <v>144.26684999999998</v>
      </c>
      <c r="H6038" s="165">
        <v>137.39699999999999</v>
      </c>
      <c r="I6038" s="19">
        <f t="shared" si="185"/>
        <v>0</v>
      </c>
    </row>
    <row r="6039" spans="1:9" hidden="1">
      <c r="A6039" s="49" t="s">
        <v>8760</v>
      </c>
      <c r="B6039" s="5" t="s">
        <v>10161</v>
      </c>
      <c r="C6039" s="122" t="s">
        <v>10162</v>
      </c>
      <c r="D6039" s="5"/>
      <c r="E6039" s="123">
        <v>1</v>
      </c>
      <c r="F6039" s="9"/>
      <c r="G6039" s="8">
        <f t="shared" si="184"/>
        <v>139.25730000000001</v>
      </c>
      <c r="H6039" s="165">
        <v>132.626</v>
      </c>
      <c r="I6039" s="19">
        <f t="shared" si="185"/>
        <v>0</v>
      </c>
    </row>
    <row r="6040" spans="1:9" hidden="1">
      <c r="A6040" s="49" t="s">
        <v>8760</v>
      </c>
      <c r="B6040" s="5" t="s">
        <v>10163</v>
      </c>
      <c r="C6040" s="122" t="s">
        <v>10164</v>
      </c>
      <c r="D6040" s="5"/>
      <c r="E6040" s="123">
        <v>1</v>
      </c>
      <c r="F6040" s="9"/>
      <c r="G6040" s="8">
        <f t="shared" si="184"/>
        <v>139.25730000000001</v>
      </c>
      <c r="H6040" s="165">
        <v>132.626</v>
      </c>
      <c r="I6040" s="19">
        <f t="shared" si="185"/>
        <v>0</v>
      </c>
    </row>
    <row r="6041" spans="1:9" hidden="1">
      <c r="A6041" s="49" t="s">
        <v>8760</v>
      </c>
      <c r="B6041" s="5" t="s">
        <v>10165</v>
      </c>
      <c r="C6041" s="122" t="s">
        <v>10166</v>
      </c>
      <c r="D6041" s="5"/>
      <c r="E6041" s="123">
        <v>1</v>
      </c>
      <c r="F6041" s="9"/>
      <c r="G6041" s="8">
        <f t="shared" si="184"/>
        <v>151.89824999999999</v>
      </c>
      <c r="H6041" s="165">
        <v>144.66499999999999</v>
      </c>
      <c r="I6041" s="19">
        <f t="shared" si="185"/>
        <v>0</v>
      </c>
    </row>
    <row r="6042" spans="1:9" hidden="1">
      <c r="A6042" s="49" t="s">
        <v>8760</v>
      </c>
      <c r="B6042" s="5" t="s">
        <v>10167</v>
      </c>
      <c r="C6042" s="122" t="s">
        <v>10168</v>
      </c>
      <c r="D6042" s="5"/>
      <c r="E6042" s="123">
        <v>1</v>
      </c>
      <c r="F6042" s="9"/>
      <c r="G6042" s="8">
        <f t="shared" si="184"/>
        <v>151.8972</v>
      </c>
      <c r="H6042" s="165">
        <v>144.66399999999999</v>
      </c>
      <c r="I6042" s="19">
        <f t="shared" si="185"/>
        <v>0</v>
      </c>
    </row>
    <row r="6043" spans="1:9" hidden="1">
      <c r="A6043" s="49" t="s">
        <v>8760</v>
      </c>
      <c r="B6043" s="5" t="s">
        <v>10169</v>
      </c>
      <c r="C6043" s="122" t="s">
        <v>10170</v>
      </c>
      <c r="D6043" s="5"/>
      <c r="E6043" s="123">
        <v>1</v>
      </c>
      <c r="F6043" s="9"/>
      <c r="G6043" s="8">
        <f t="shared" si="184"/>
        <v>178.39814999999999</v>
      </c>
      <c r="H6043" s="165">
        <v>169.90299999999999</v>
      </c>
      <c r="I6043" s="19">
        <f t="shared" si="185"/>
        <v>0</v>
      </c>
    </row>
    <row r="6044" spans="1:9" hidden="1">
      <c r="A6044" s="49" t="s">
        <v>8760</v>
      </c>
      <c r="B6044" s="5" t="s">
        <v>10171</v>
      </c>
      <c r="C6044" s="122" t="s">
        <v>10172</v>
      </c>
      <c r="D6044" s="5"/>
      <c r="E6044" s="123">
        <v>1</v>
      </c>
      <c r="F6044" s="9"/>
      <c r="G6044" s="8">
        <f t="shared" si="184"/>
        <v>178.39814999999999</v>
      </c>
      <c r="H6044" s="165">
        <v>169.90299999999999</v>
      </c>
      <c r="I6044" s="19">
        <f t="shared" si="185"/>
        <v>0</v>
      </c>
    </row>
    <row r="6045" spans="1:9" hidden="1">
      <c r="A6045" s="49" t="s">
        <v>8760</v>
      </c>
      <c r="B6045" s="5" t="s">
        <v>10173</v>
      </c>
      <c r="C6045" s="122" t="s">
        <v>10174</v>
      </c>
      <c r="D6045" s="5"/>
      <c r="E6045" s="123">
        <v>1</v>
      </c>
      <c r="F6045" s="9"/>
      <c r="G6045" s="8">
        <f t="shared" si="184"/>
        <v>205.87665000000001</v>
      </c>
      <c r="H6045" s="165">
        <v>196.07300000000001</v>
      </c>
      <c r="I6045" s="19">
        <f t="shared" si="185"/>
        <v>0</v>
      </c>
    </row>
    <row r="6046" spans="1:9" hidden="1">
      <c r="A6046" s="49" t="s">
        <v>8760</v>
      </c>
      <c r="B6046" s="5" t="s">
        <v>10175</v>
      </c>
      <c r="C6046" s="122" t="s">
        <v>10176</v>
      </c>
      <c r="D6046" s="5"/>
      <c r="E6046" s="123">
        <v>1</v>
      </c>
      <c r="F6046" s="9"/>
      <c r="G6046" s="8">
        <f t="shared" si="184"/>
        <v>201.35954999999998</v>
      </c>
      <c r="H6046" s="165">
        <v>191.77099999999999</v>
      </c>
      <c r="I6046" s="19">
        <f t="shared" si="185"/>
        <v>0</v>
      </c>
    </row>
    <row r="6047" spans="1:9" hidden="1">
      <c r="A6047" s="49" t="s">
        <v>8760</v>
      </c>
      <c r="B6047" s="5" t="s">
        <v>10177</v>
      </c>
      <c r="C6047" s="122" t="s">
        <v>10178</v>
      </c>
      <c r="D6047" s="5"/>
      <c r="E6047" s="123">
        <v>1</v>
      </c>
      <c r="F6047" s="9"/>
      <c r="G6047" s="8">
        <f t="shared" si="184"/>
        <v>47.700450000000004</v>
      </c>
      <c r="H6047" s="165">
        <v>45.429000000000002</v>
      </c>
      <c r="I6047" s="19">
        <f t="shared" si="185"/>
        <v>0</v>
      </c>
    </row>
    <row r="6048" spans="1:9" hidden="1">
      <c r="A6048" s="49" t="s">
        <v>8760</v>
      </c>
      <c r="B6048" s="5" t="s">
        <v>10179</v>
      </c>
      <c r="C6048" s="122" t="s">
        <v>10180</v>
      </c>
      <c r="D6048" s="5"/>
      <c r="E6048" s="123">
        <v>1</v>
      </c>
      <c r="F6048" s="9"/>
      <c r="G6048" s="8">
        <f t="shared" si="184"/>
        <v>59.6631</v>
      </c>
      <c r="H6048" s="165">
        <v>56.822000000000003</v>
      </c>
      <c r="I6048" s="19">
        <f t="shared" si="185"/>
        <v>0</v>
      </c>
    </row>
    <row r="6049" spans="1:9" hidden="1">
      <c r="A6049" s="49" t="s">
        <v>8760</v>
      </c>
      <c r="B6049" s="5" t="s">
        <v>10181</v>
      </c>
      <c r="C6049" s="122" t="s">
        <v>10182</v>
      </c>
      <c r="D6049" s="5"/>
      <c r="E6049" s="123">
        <v>1</v>
      </c>
      <c r="F6049" s="9"/>
      <c r="G6049" s="8">
        <f t="shared" si="184"/>
        <v>71.551200000000009</v>
      </c>
      <c r="H6049" s="165">
        <v>68.144000000000005</v>
      </c>
      <c r="I6049" s="19">
        <f t="shared" si="185"/>
        <v>0</v>
      </c>
    </row>
    <row r="6050" spans="1:9" hidden="1">
      <c r="A6050" s="49" t="s">
        <v>8760</v>
      </c>
      <c r="B6050" s="5" t="s">
        <v>10183</v>
      </c>
      <c r="C6050" s="122" t="s">
        <v>10184</v>
      </c>
      <c r="D6050" s="5"/>
      <c r="E6050" s="123">
        <v>1</v>
      </c>
      <c r="F6050" s="9"/>
      <c r="G6050" s="8">
        <f t="shared" si="184"/>
        <v>107.36879999999999</v>
      </c>
      <c r="H6050" s="165">
        <v>102.256</v>
      </c>
      <c r="I6050" s="19">
        <f t="shared" si="185"/>
        <v>0</v>
      </c>
    </row>
    <row r="6051" spans="1:9" hidden="1">
      <c r="A6051" s="49" t="s">
        <v>8760</v>
      </c>
      <c r="B6051" s="5" t="s">
        <v>10185</v>
      </c>
      <c r="C6051" s="122" t="s">
        <v>10186</v>
      </c>
      <c r="D6051" s="5"/>
      <c r="E6051" s="123">
        <v>1</v>
      </c>
      <c r="F6051" s="9"/>
      <c r="G6051" s="8">
        <f t="shared" si="184"/>
        <v>179.00085000000001</v>
      </c>
      <c r="H6051" s="165">
        <v>170.477</v>
      </c>
      <c r="I6051" s="19">
        <f t="shared" si="185"/>
        <v>0</v>
      </c>
    </row>
    <row r="6052" spans="1:9" hidden="1">
      <c r="A6052" s="49" t="s">
        <v>8760</v>
      </c>
      <c r="B6052" s="5" t="s">
        <v>10187</v>
      </c>
      <c r="C6052" s="122" t="s">
        <v>10188</v>
      </c>
      <c r="D6052" s="5"/>
      <c r="E6052" s="123">
        <v>1</v>
      </c>
      <c r="F6052" s="9"/>
      <c r="G6052" s="8">
        <f t="shared" si="184"/>
        <v>193.78380000000001</v>
      </c>
      <c r="H6052" s="165">
        <v>184.55600000000001</v>
      </c>
      <c r="I6052" s="19">
        <f t="shared" si="185"/>
        <v>0</v>
      </c>
    </row>
    <row r="6053" spans="1:9" hidden="1">
      <c r="A6053" s="49" t="s">
        <v>8760</v>
      </c>
      <c r="B6053" s="5" t="s">
        <v>10189</v>
      </c>
      <c r="C6053" s="122" t="s">
        <v>10190</v>
      </c>
      <c r="D6053" s="5"/>
      <c r="E6053" s="123">
        <v>1</v>
      </c>
      <c r="F6053" s="9"/>
      <c r="G6053" s="8">
        <f t="shared" si="184"/>
        <v>47.700450000000004</v>
      </c>
      <c r="H6053" s="165">
        <v>45.429000000000002</v>
      </c>
      <c r="I6053" s="19">
        <f t="shared" si="185"/>
        <v>0</v>
      </c>
    </row>
    <row r="6054" spans="1:9" hidden="1">
      <c r="A6054" s="49" t="s">
        <v>8760</v>
      </c>
      <c r="B6054" s="5" t="s">
        <v>10191</v>
      </c>
      <c r="C6054" s="122" t="s">
        <v>10192</v>
      </c>
      <c r="D6054" s="5"/>
      <c r="E6054" s="123">
        <v>1</v>
      </c>
      <c r="F6054" s="9"/>
      <c r="G6054" s="8">
        <f t="shared" si="184"/>
        <v>59.6631</v>
      </c>
      <c r="H6054" s="165">
        <v>56.822000000000003</v>
      </c>
      <c r="I6054" s="19">
        <f t="shared" si="185"/>
        <v>0</v>
      </c>
    </row>
    <row r="6055" spans="1:9" hidden="1">
      <c r="A6055" s="49" t="s">
        <v>8760</v>
      </c>
      <c r="B6055" s="5" t="s">
        <v>10193</v>
      </c>
      <c r="C6055" s="122" t="s">
        <v>10194</v>
      </c>
      <c r="D6055" s="5"/>
      <c r="E6055" s="123">
        <v>1</v>
      </c>
      <c r="F6055" s="9"/>
      <c r="G6055" s="8">
        <f t="shared" si="184"/>
        <v>107.36879999999999</v>
      </c>
      <c r="H6055" s="165">
        <v>102.256</v>
      </c>
      <c r="I6055" s="19">
        <f t="shared" si="185"/>
        <v>0</v>
      </c>
    </row>
    <row r="6056" spans="1:9" hidden="1">
      <c r="A6056" s="49" t="s">
        <v>8760</v>
      </c>
      <c r="B6056" s="5" t="s">
        <v>10195</v>
      </c>
      <c r="C6056" s="122" t="s">
        <v>10196</v>
      </c>
      <c r="D6056" s="5"/>
      <c r="E6056" s="123">
        <v>1</v>
      </c>
      <c r="F6056" s="9"/>
      <c r="G6056" s="8">
        <f t="shared" si="184"/>
        <v>179.00085000000001</v>
      </c>
      <c r="H6056" s="165">
        <v>170.477</v>
      </c>
      <c r="I6056" s="19">
        <f t="shared" si="185"/>
        <v>0</v>
      </c>
    </row>
    <row r="6057" spans="1:9" hidden="1">
      <c r="A6057" s="49" t="s">
        <v>8760</v>
      </c>
      <c r="B6057" s="5" t="s">
        <v>10197</v>
      </c>
      <c r="C6057" s="122" t="s">
        <v>10198</v>
      </c>
      <c r="D6057" s="5"/>
      <c r="E6057" s="123">
        <v>1</v>
      </c>
      <c r="F6057" s="9"/>
      <c r="G6057" s="8">
        <f t="shared" si="184"/>
        <v>65.064300000000003</v>
      </c>
      <c r="H6057" s="165">
        <v>61.966000000000001</v>
      </c>
      <c r="I6057" s="19">
        <f t="shared" si="185"/>
        <v>0</v>
      </c>
    </row>
    <row r="6058" spans="1:9" hidden="1">
      <c r="A6058" s="49" t="s">
        <v>8760</v>
      </c>
      <c r="B6058" s="5" t="s">
        <v>10199</v>
      </c>
      <c r="C6058" s="122" t="s">
        <v>10200</v>
      </c>
      <c r="D6058" s="5"/>
      <c r="E6058" s="123">
        <v>1</v>
      </c>
      <c r="F6058" s="9"/>
      <c r="G6058" s="8">
        <f t="shared" si="184"/>
        <v>78.046499999999995</v>
      </c>
      <c r="H6058" s="165">
        <v>74.33</v>
      </c>
      <c r="I6058" s="19">
        <f t="shared" si="185"/>
        <v>0</v>
      </c>
    </row>
    <row r="6059" spans="1:9" hidden="1">
      <c r="A6059" s="49" t="s">
        <v>8760</v>
      </c>
      <c r="B6059" s="5" t="s">
        <v>10201</v>
      </c>
      <c r="C6059" s="122" t="s">
        <v>10202</v>
      </c>
      <c r="D6059" s="5"/>
      <c r="E6059" s="123">
        <v>1</v>
      </c>
      <c r="F6059" s="9"/>
      <c r="G6059" s="8">
        <f t="shared" si="184"/>
        <v>91.122150000000005</v>
      </c>
      <c r="H6059" s="165">
        <v>86.783000000000001</v>
      </c>
      <c r="I6059" s="19">
        <f t="shared" si="185"/>
        <v>0</v>
      </c>
    </row>
    <row r="6060" spans="1:9" hidden="1">
      <c r="A6060" s="49" t="s">
        <v>8760</v>
      </c>
      <c r="B6060" s="5" t="s">
        <v>10203</v>
      </c>
      <c r="C6060" s="122" t="s">
        <v>10204</v>
      </c>
      <c r="D6060" s="5"/>
      <c r="E6060" s="123">
        <v>1</v>
      </c>
      <c r="F6060" s="9"/>
      <c r="G6060" s="8">
        <f t="shared" si="184"/>
        <v>117.1275</v>
      </c>
      <c r="H6060" s="165">
        <v>111.55</v>
      </c>
      <c r="I6060" s="19">
        <f t="shared" si="185"/>
        <v>0</v>
      </c>
    </row>
    <row r="6061" spans="1:9" hidden="1">
      <c r="A6061" s="49" t="s">
        <v>8760</v>
      </c>
      <c r="B6061" s="5" t="s">
        <v>10205</v>
      </c>
      <c r="C6061" s="122" t="s">
        <v>10206</v>
      </c>
      <c r="D6061" s="5"/>
      <c r="E6061" s="123">
        <v>1</v>
      </c>
      <c r="F6061" s="9"/>
      <c r="G6061" s="8">
        <f t="shared" si="184"/>
        <v>195.2475</v>
      </c>
      <c r="H6061" s="165">
        <v>185.95</v>
      </c>
      <c r="I6061" s="19">
        <f t="shared" si="185"/>
        <v>0</v>
      </c>
    </row>
    <row r="6062" spans="1:9" hidden="1">
      <c r="A6062" s="49" t="s">
        <v>8760</v>
      </c>
      <c r="B6062" s="5" t="s">
        <v>10207</v>
      </c>
      <c r="C6062" s="122" t="s">
        <v>10208</v>
      </c>
      <c r="D6062" s="5"/>
      <c r="E6062" s="123">
        <v>1</v>
      </c>
      <c r="F6062" s="9"/>
      <c r="G6062" s="8">
        <f t="shared" si="184"/>
        <v>211.4931</v>
      </c>
      <c r="H6062" s="165">
        <v>201.422</v>
      </c>
      <c r="I6062" s="19">
        <f t="shared" si="185"/>
        <v>0</v>
      </c>
    </row>
    <row r="6063" spans="1:9" hidden="1">
      <c r="A6063" s="49" t="s">
        <v>8760</v>
      </c>
      <c r="B6063" s="5" t="s">
        <v>10209</v>
      </c>
      <c r="C6063" s="122" t="s">
        <v>10210</v>
      </c>
      <c r="D6063" s="5"/>
      <c r="E6063" s="123">
        <v>1</v>
      </c>
      <c r="F6063" s="9"/>
      <c r="G6063" s="8">
        <f t="shared" si="184"/>
        <v>65.064300000000003</v>
      </c>
      <c r="H6063" s="165">
        <v>61.966000000000001</v>
      </c>
      <c r="I6063" s="19">
        <f t="shared" si="185"/>
        <v>0</v>
      </c>
    </row>
    <row r="6064" spans="1:9" hidden="1">
      <c r="A6064" s="49" t="s">
        <v>8760</v>
      </c>
      <c r="B6064" s="5" t="s">
        <v>10211</v>
      </c>
      <c r="C6064" s="122" t="s">
        <v>10212</v>
      </c>
      <c r="D6064" s="5"/>
      <c r="E6064" s="123">
        <v>1</v>
      </c>
      <c r="F6064" s="9"/>
      <c r="G6064" s="8">
        <f t="shared" si="184"/>
        <v>78.046499999999995</v>
      </c>
      <c r="H6064" s="165">
        <v>74.33</v>
      </c>
      <c r="I6064" s="19">
        <f t="shared" si="185"/>
        <v>0</v>
      </c>
    </row>
    <row r="6065" spans="1:9" hidden="1">
      <c r="A6065" s="49" t="s">
        <v>8760</v>
      </c>
      <c r="B6065" s="5" t="s">
        <v>10213</v>
      </c>
      <c r="C6065" s="122" t="s">
        <v>10214</v>
      </c>
      <c r="D6065" s="5"/>
      <c r="E6065" s="123">
        <v>1</v>
      </c>
      <c r="F6065" s="9"/>
      <c r="G6065" s="8">
        <f t="shared" si="184"/>
        <v>91.122150000000005</v>
      </c>
      <c r="H6065" s="165">
        <v>86.783000000000001</v>
      </c>
      <c r="I6065" s="19">
        <f t="shared" si="185"/>
        <v>0</v>
      </c>
    </row>
    <row r="6066" spans="1:9" hidden="1">
      <c r="A6066" s="49" t="s">
        <v>8760</v>
      </c>
      <c r="B6066" s="5" t="s">
        <v>10215</v>
      </c>
      <c r="C6066" s="122" t="s">
        <v>10216</v>
      </c>
      <c r="D6066" s="5"/>
      <c r="E6066" s="123">
        <v>1</v>
      </c>
      <c r="F6066" s="9"/>
      <c r="G6066" s="8">
        <f t="shared" si="184"/>
        <v>195.2475</v>
      </c>
      <c r="H6066" s="165">
        <v>185.95</v>
      </c>
      <c r="I6066" s="19">
        <f t="shared" si="185"/>
        <v>0</v>
      </c>
    </row>
    <row r="6067" spans="1:9" hidden="1">
      <c r="A6067" s="49" t="s">
        <v>8760</v>
      </c>
      <c r="B6067" s="5" t="s">
        <v>10217</v>
      </c>
      <c r="C6067" s="122" t="s">
        <v>10218</v>
      </c>
      <c r="D6067" s="5"/>
      <c r="E6067" s="123">
        <v>1</v>
      </c>
      <c r="F6067" s="9"/>
      <c r="G6067" s="8">
        <f t="shared" si="184"/>
        <v>211.4931</v>
      </c>
      <c r="H6067" s="165">
        <v>201.422</v>
      </c>
      <c r="I6067" s="19">
        <f t="shared" si="185"/>
        <v>0</v>
      </c>
    </row>
    <row r="6068" spans="1:9" hidden="1">
      <c r="A6068" s="49" t="s">
        <v>8760</v>
      </c>
      <c r="B6068" s="5" t="s">
        <v>10219</v>
      </c>
      <c r="C6068" s="122" t="s">
        <v>10220</v>
      </c>
      <c r="D6068" s="5"/>
      <c r="E6068" s="123">
        <v>1</v>
      </c>
      <c r="F6068" s="9"/>
      <c r="G6068" s="8">
        <f t="shared" si="184"/>
        <v>84.624750000000006</v>
      </c>
      <c r="H6068" s="165">
        <v>80.594999999999999</v>
      </c>
      <c r="I6068" s="19">
        <f t="shared" si="185"/>
        <v>0</v>
      </c>
    </row>
    <row r="6069" spans="1:9" hidden="1">
      <c r="A6069" s="49" t="s">
        <v>8760</v>
      </c>
      <c r="B6069" s="5" t="s">
        <v>10221</v>
      </c>
      <c r="C6069" s="122" t="s">
        <v>10222</v>
      </c>
      <c r="D6069" s="5"/>
      <c r="E6069" s="123">
        <v>1</v>
      </c>
      <c r="F6069" s="9"/>
      <c r="G6069" s="8">
        <f t="shared" si="184"/>
        <v>98.749349999999993</v>
      </c>
      <c r="H6069" s="165">
        <v>94.046999999999997</v>
      </c>
      <c r="I6069" s="19">
        <f t="shared" si="185"/>
        <v>0</v>
      </c>
    </row>
    <row r="6070" spans="1:9" hidden="1">
      <c r="A6070" s="49" t="s">
        <v>8760</v>
      </c>
      <c r="B6070" s="5" t="s">
        <v>10223</v>
      </c>
      <c r="C6070" s="122" t="s">
        <v>10224</v>
      </c>
      <c r="D6070" s="5"/>
      <c r="E6070" s="123">
        <v>1</v>
      </c>
      <c r="F6070" s="9"/>
      <c r="G6070" s="8">
        <f t="shared" si="184"/>
        <v>229.29374999999999</v>
      </c>
      <c r="H6070" s="165">
        <v>218.375</v>
      </c>
      <c r="I6070" s="19">
        <f t="shared" si="185"/>
        <v>0</v>
      </c>
    </row>
    <row r="6071" spans="1:9" hidden="1">
      <c r="A6071" s="49" t="s">
        <v>8760</v>
      </c>
      <c r="B6071" s="5" t="s">
        <v>10225</v>
      </c>
      <c r="C6071" s="122" t="s">
        <v>10226</v>
      </c>
      <c r="D6071" s="5"/>
      <c r="E6071" s="123">
        <v>1</v>
      </c>
      <c r="F6071" s="9"/>
      <c r="G6071" s="8">
        <f t="shared" si="184"/>
        <v>84.624750000000006</v>
      </c>
      <c r="H6071" s="165">
        <v>80.594999999999999</v>
      </c>
      <c r="I6071" s="19">
        <f t="shared" si="185"/>
        <v>0</v>
      </c>
    </row>
    <row r="6072" spans="1:9" hidden="1">
      <c r="A6072" s="49" t="s">
        <v>8760</v>
      </c>
      <c r="B6072" s="5" t="s">
        <v>10227</v>
      </c>
      <c r="C6072" s="122" t="s">
        <v>10228</v>
      </c>
      <c r="D6072" s="5"/>
      <c r="E6072" s="123">
        <v>1</v>
      </c>
      <c r="F6072" s="9"/>
      <c r="G6072" s="8">
        <f t="shared" si="184"/>
        <v>98.749349999999993</v>
      </c>
      <c r="H6072" s="165">
        <v>94.046999999999997</v>
      </c>
      <c r="I6072" s="19">
        <f t="shared" si="185"/>
        <v>0</v>
      </c>
    </row>
    <row r="6073" spans="1:9" hidden="1">
      <c r="A6073" s="49" t="s">
        <v>8760</v>
      </c>
      <c r="B6073" s="5" t="s">
        <v>10229</v>
      </c>
      <c r="C6073" s="122" t="s">
        <v>10230</v>
      </c>
      <c r="D6073" s="5"/>
      <c r="E6073" s="123">
        <v>1</v>
      </c>
      <c r="F6073" s="9"/>
      <c r="G6073" s="8">
        <f t="shared" si="184"/>
        <v>229.29374999999999</v>
      </c>
      <c r="H6073" s="165">
        <v>218.375</v>
      </c>
      <c r="I6073" s="19">
        <f t="shared" si="185"/>
        <v>0</v>
      </c>
    </row>
    <row r="6074" spans="1:9" hidden="1">
      <c r="A6074" s="49" t="s">
        <v>8760</v>
      </c>
      <c r="B6074" s="5" t="s">
        <v>10231</v>
      </c>
      <c r="C6074" s="122" t="s">
        <v>10232</v>
      </c>
      <c r="D6074" s="5"/>
      <c r="E6074" s="123">
        <v>1</v>
      </c>
      <c r="F6074" s="9"/>
      <c r="G6074" s="8">
        <f t="shared" si="184"/>
        <v>247.3905</v>
      </c>
      <c r="H6074" s="165">
        <v>235.61</v>
      </c>
      <c r="I6074" s="19">
        <f t="shared" si="185"/>
        <v>0</v>
      </c>
    </row>
    <row r="6075" spans="1:9" hidden="1">
      <c r="A6075" s="49" t="s">
        <v>8760</v>
      </c>
      <c r="B6075" s="5" t="s">
        <v>10233</v>
      </c>
      <c r="C6075" s="122" t="s">
        <v>10234</v>
      </c>
      <c r="D6075" s="5"/>
      <c r="E6075" s="123">
        <v>1</v>
      </c>
      <c r="F6075" s="9"/>
      <c r="G6075" s="8">
        <f t="shared" si="184"/>
        <v>247.3905</v>
      </c>
      <c r="H6075" s="165">
        <v>235.61</v>
      </c>
      <c r="I6075" s="19">
        <f t="shared" si="185"/>
        <v>0</v>
      </c>
    </row>
    <row r="6076" spans="1:9" hidden="1">
      <c r="A6076" s="49" t="s">
        <v>8760</v>
      </c>
      <c r="B6076" s="5" t="s">
        <v>10235</v>
      </c>
      <c r="C6076" s="122" t="s">
        <v>10236</v>
      </c>
      <c r="D6076" s="5"/>
      <c r="E6076" s="123">
        <v>1</v>
      </c>
      <c r="F6076" s="9"/>
      <c r="G6076" s="8">
        <f t="shared" si="184"/>
        <v>302.67405000000002</v>
      </c>
      <c r="H6076" s="165">
        <v>288.26100000000002</v>
      </c>
      <c r="I6076" s="19">
        <f t="shared" si="185"/>
        <v>0</v>
      </c>
    </row>
    <row r="6077" spans="1:9" hidden="1">
      <c r="A6077" s="49" t="s">
        <v>8760</v>
      </c>
      <c r="B6077" s="5">
        <v>3396008112</v>
      </c>
      <c r="C6077" s="122" t="s">
        <v>10237</v>
      </c>
      <c r="D6077" s="5" t="s">
        <v>2488</v>
      </c>
      <c r="E6077" s="123">
        <v>1</v>
      </c>
      <c r="F6077" s="9"/>
      <c r="G6077" s="8">
        <f t="shared" si="184"/>
        <v>92.538600000000002</v>
      </c>
      <c r="H6077" s="165">
        <v>88.132000000000005</v>
      </c>
      <c r="I6077" s="19">
        <f t="shared" si="185"/>
        <v>0</v>
      </c>
    </row>
    <row r="6078" spans="1:9" hidden="1">
      <c r="A6078" s="49" t="s">
        <v>8760</v>
      </c>
      <c r="B6078" s="5">
        <v>3396008612</v>
      </c>
      <c r="C6078" s="122" t="s">
        <v>10238</v>
      </c>
      <c r="D6078" s="5" t="s">
        <v>2488</v>
      </c>
      <c r="E6078" s="123">
        <v>1</v>
      </c>
      <c r="F6078" s="9"/>
      <c r="G6078" s="8">
        <f t="shared" si="184"/>
        <v>98.026949999999999</v>
      </c>
      <c r="H6078" s="165">
        <v>93.358999999999995</v>
      </c>
      <c r="I6078" s="19">
        <f t="shared" si="185"/>
        <v>0</v>
      </c>
    </row>
    <row r="6079" spans="1:9" hidden="1">
      <c r="A6079" s="49" t="s">
        <v>8760</v>
      </c>
      <c r="B6079" s="5">
        <v>3396009112</v>
      </c>
      <c r="C6079" s="122" t="s">
        <v>10239</v>
      </c>
      <c r="D6079" s="5" t="s">
        <v>2488</v>
      </c>
      <c r="E6079" s="123">
        <v>1</v>
      </c>
      <c r="F6079" s="9"/>
      <c r="G6079" s="8">
        <f t="shared" si="184"/>
        <v>103.38825</v>
      </c>
      <c r="H6079" s="165">
        <v>98.465000000000003</v>
      </c>
      <c r="I6079" s="19">
        <f t="shared" si="185"/>
        <v>0</v>
      </c>
    </row>
    <row r="6080" spans="1:9" hidden="1">
      <c r="A6080" s="49" t="s">
        <v>8760</v>
      </c>
      <c r="B6080" s="5">
        <v>3396009612</v>
      </c>
      <c r="C6080" s="122" t="s">
        <v>10240</v>
      </c>
      <c r="D6080" s="5" t="s">
        <v>2488</v>
      </c>
      <c r="E6080" s="123">
        <v>1</v>
      </c>
      <c r="F6080" s="9"/>
      <c r="G6080" s="8">
        <f t="shared" si="184"/>
        <v>108.74955</v>
      </c>
      <c r="H6080" s="165">
        <v>103.571</v>
      </c>
      <c r="I6080" s="19">
        <f t="shared" si="185"/>
        <v>0</v>
      </c>
    </row>
    <row r="6081" spans="1:9" hidden="1">
      <c r="A6081" s="49" t="s">
        <v>8760</v>
      </c>
      <c r="B6081" s="5" t="s">
        <v>10241</v>
      </c>
      <c r="C6081" s="122" t="s">
        <v>10242</v>
      </c>
      <c r="D6081" s="5"/>
      <c r="E6081" s="123">
        <v>1</v>
      </c>
      <c r="F6081" s="9"/>
      <c r="G6081" s="8">
        <f t="shared" si="184"/>
        <v>155.97120000000001</v>
      </c>
      <c r="H6081" s="165">
        <v>148.54400000000001</v>
      </c>
      <c r="I6081" s="19">
        <f t="shared" si="185"/>
        <v>0</v>
      </c>
    </row>
    <row r="6082" spans="1:9" hidden="1">
      <c r="A6082" s="49" t="s">
        <v>8760</v>
      </c>
      <c r="B6082" s="5" t="s">
        <v>10243</v>
      </c>
      <c r="C6082" s="122" t="s">
        <v>10244</v>
      </c>
      <c r="D6082" s="5"/>
      <c r="E6082" s="123">
        <v>1</v>
      </c>
      <c r="F6082" s="9"/>
      <c r="G6082" s="8">
        <f t="shared" si="184"/>
        <v>168.95654999999999</v>
      </c>
      <c r="H6082" s="165">
        <v>160.911</v>
      </c>
      <c r="I6082" s="19">
        <f t="shared" si="185"/>
        <v>0</v>
      </c>
    </row>
    <row r="6083" spans="1:9" hidden="1">
      <c r="A6083" s="49" t="s">
        <v>8760</v>
      </c>
      <c r="B6083" s="5" t="s">
        <v>10245</v>
      </c>
      <c r="C6083" s="122" t="s">
        <v>10246</v>
      </c>
      <c r="D6083" s="5"/>
      <c r="E6083" s="123">
        <v>1</v>
      </c>
      <c r="F6083" s="9"/>
      <c r="G6083" s="8">
        <f t="shared" si="184"/>
        <v>155.97120000000001</v>
      </c>
      <c r="H6083" s="165">
        <v>148.54400000000001</v>
      </c>
      <c r="I6083" s="19">
        <f t="shared" si="185"/>
        <v>0</v>
      </c>
    </row>
    <row r="6084" spans="1:9" hidden="1">
      <c r="A6084" s="49" t="s">
        <v>8760</v>
      </c>
      <c r="B6084" s="5" t="s">
        <v>10247</v>
      </c>
      <c r="C6084" s="122" t="s">
        <v>10248</v>
      </c>
      <c r="D6084" s="5"/>
      <c r="E6084" s="123">
        <v>1</v>
      </c>
      <c r="F6084" s="9"/>
      <c r="G6084" s="8">
        <f t="shared" si="184"/>
        <v>168.95654999999999</v>
      </c>
      <c r="H6084" s="165">
        <v>160.911</v>
      </c>
      <c r="I6084" s="19">
        <f t="shared" si="185"/>
        <v>0</v>
      </c>
    </row>
    <row r="6085" spans="1:9" hidden="1">
      <c r="A6085" s="49" t="s">
        <v>8760</v>
      </c>
      <c r="B6085" s="5">
        <v>3396510182</v>
      </c>
      <c r="C6085" s="122" t="s">
        <v>10249</v>
      </c>
      <c r="D6085" s="5" t="s">
        <v>2488</v>
      </c>
      <c r="E6085" s="123">
        <v>1</v>
      </c>
      <c r="F6085" s="9"/>
      <c r="G6085" s="8">
        <f t="shared" si="184"/>
        <v>124.83135</v>
      </c>
      <c r="H6085" s="165">
        <v>118.887</v>
      </c>
      <c r="I6085" s="19">
        <f t="shared" si="185"/>
        <v>0</v>
      </c>
    </row>
    <row r="6086" spans="1:9" hidden="1">
      <c r="A6086" s="49" t="s">
        <v>8760</v>
      </c>
      <c r="B6086" s="5">
        <v>3396510772</v>
      </c>
      <c r="C6086" s="122" t="s">
        <v>10250</v>
      </c>
      <c r="D6086" s="5" t="s">
        <v>2488</v>
      </c>
      <c r="E6086" s="123">
        <v>1</v>
      </c>
      <c r="F6086" s="9"/>
      <c r="G6086" s="8">
        <f t="shared" si="184"/>
        <v>131.72460000000001</v>
      </c>
      <c r="H6086" s="165">
        <v>125.452</v>
      </c>
      <c r="I6086" s="19">
        <f t="shared" si="185"/>
        <v>0</v>
      </c>
    </row>
    <row r="6087" spans="1:9" hidden="1">
      <c r="A6087" s="49" t="s">
        <v>8760</v>
      </c>
      <c r="B6087" s="5">
        <v>3396511372</v>
      </c>
      <c r="C6087" s="122" t="s">
        <v>10251</v>
      </c>
      <c r="D6087" s="5" t="s">
        <v>2488</v>
      </c>
      <c r="E6087" s="123">
        <v>1</v>
      </c>
      <c r="F6087" s="9"/>
      <c r="G6087" s="8">
        <f t="shared" si="184"/>
        <v>138.87299999999999</v>
      </c>
      <c r="H6087" s="165">
        <v>132.26</v>
      </c>
      <c r="I6087" s="19">
        <f t="shared" si="185"/>
        <v>0</v>
      </c>
    </row>
    <row r="6088" spans="1:9" hidden="1">
      <c r="A6088" s="49" t="s">
        <v>8760</v>
      </c>
      <c r="B6088" s="5" t="s">
        <v>10252</v>
      </c>
      <c r="C6088" s="122" t="s">
        <v>10253</v>
      </c>
      <c r="D6088" s="5"/>
      <c r="E6088" s="123">
        <v>1</v>
      </c>
      <c r="F6088" s="9"/>
      <c r="G6088" s="8">
        <f t="shared" si="184"/>
        <v>170.12730000000002</v>
      </c>
      <c r="H6088" s="165">
        <v>162.02600000000001</v>
      </c>
      <c r="I6088" s="19">
        <f t="shared" si="185"/>
        <v>0</v>
      </c>
    </row>
    <row r="6089" spans="1:9" hidden="1">
      <c r="A6089" s="49" t="s">
        <v>8760</v>
      </c>
      <c r="B6089" s="5" t="s">
        <v>10254</v>
      </c>
      <c r="C6089" s="122" t="s">
        <v>10255</v>
      </c>
      <c r="D6089" s="5"/>
      <c r="E6089" s="123">
        <v>1</v>
      </c>
      <c r="F6089" s="9"/>
      <c r="G6089" s="8">
        <f t="shared" si="184"/>
        <v>184.28235000000001</v>
      </c>
      <c r="H6089" s="165">
        <v>175.50700000000001</v>
      </c>
      <c r="I6089" s="19">
        <f t="shared" si="185"/>
        <v>0</v>
      </c>
    </row>
    <row r="6090" spans="1:9" hidden="1">
      <c r="A6090" s="49" t="s">
        <v>8760</v>
      </c>
      <c r="B6090" s="5" t="s">
        <v>10256</v>
      </c>
      <c r="C6090" s="122" t="s">
        <v>10257</v>
      </c>
      <c r="D6090" s="5"/>
      <c r="E6090" s="123">
        <v>1</v>
      </c>
      <c r="F6090" s="9"/>
      <c r="G6090" s="8">
        <f t="shared" si="184"/>
        <v>170.12730000000002</v>
      </c>
      <c r="H6090" s="165">
        <v>162.02600000000001</v>
      </c>
      <c r="I6090" s="19">
        <f t="shared" si="185"/>
        <v>0</v>
      </c>
    </row>
    <row r="6091" spans="1:9" hidden="1">
      <c r="A6091" s="49" t="s">
        <v>8760</v>
      </c>
      <c r="B6091" s="5" t="s">
        <v>10258</v>
      </c>
      <c r="C6091" s="122" t="s">
        <v>10259</v>
      </c>
      <c r="D6091" s="5"/>
      <c r="E6091" s="123">
        <v>1</v>
      </c>
      <c r="F6091" s="9"/>
      <c r="G6091" s="8">
        <f t="shared" si="184"/>
        <v>184.28235000000001</v>
      </c>
      <c r="H6091" s="165">
        <v>175.50700000000001</v>
      </c>
      <c r="I6091" s="19">
        <f t="shared" si="185"/>
        <v>0</v>
      </c>
    </row>
    <row r="6092" spans="1:9" hidden="1">
      <c r="A6092" s="49" t="s">
        <v>8760</v>
      </c>
      <c r="B6092" s="5">
        <v>3397008372</v>
      </c>
      <c r="C6092" s="122" t="s">
        <v>10260</v>
      </c>
      <c r="D6092" s="5"/>
      <c r="E6092" s="123">
        <v>1</v>
      </c>
      <c r="F6092" s="9"/>
      <c r="G6092" s="8">
        <f t="shared" si="184"/>
        <v>119.3661</v>
      </c>
      <c r="H6092" s="165">
        <v>113.682</v>
      </c>
      <c r="I6092" s="19">
        <f t="shared" si="185"/>
        <v>0</v>
      </c>
    </row>
    <row r="6093" spans="1:9" hidden="1">
      <c r="A6093" s="49" t="s">
        <v>8760</v>
      </c>
      <c r="B6093" s="5">
        <v>3397009062</v>
      </c>
      <c r="C6093" s="122" t="s">
        <v>10261</v>
      </c>
      <c r="D6093" s="5" t="s">
        <v>2488</v>
      </c>
      <c r="E6093" s="123">
        <v>1</v>
      </c>
      <c r="F6093" s="9"/>
      <c r="G6093" s="8">
        <f t="shared" si="184"/>
        <v>128.74259999999998</v>
      </c>
      <c r="H6093" s="165">
        <v>122.61199999999999</v>
      </c>
      <c r="I6093" s="19">
        <f t="shared" si="185"/>
        <v>0</v>
      </c>
    </row>
    <row r="6094" spans="1:9" hidden="1">
      <c r="A6094" s="49" t="s">
        <v>8760</v>
      </c>
      <c r="B6094" s="5">
        <v>3397009752</v>
      </c>
      <c r="C6094" s="122" t="s">
        <v>10262</v>
      </c>
      <c r="D6094" s="5" t="s">
        <v>2488</v>
      </c>
      <c r="E6094" s="123">
        <v>1</v>
      </c>
      <c r="F6094" s="9"/>
      <c r="G6094" s="8">
        <f t="shared" si="184"/>
        <v>138.11069999999998</v>
      </c>
      <c r="H6094" s="165">
        <v>131.53399999999999</v>
      </c>
      <c r="I6094" s="19">
        <f t="shared" si="185"/>
        <v>0</v>
      </c>
    </row>
    <row r="6095" spans="1:9" hidden="1">
      <c r="A6095" s="49" t="s">
        <v>8760</v>
      </c>
      <c r="B6095" s="5">
        <v>3397010442</v>
      </c>
      <c r="C6095" s="122" t="s">
        <v>10263</v>
      </c>
      <c r="D6095" s="5" t="s">
        <v>2488</v>
      </c>
      <c r="E6095" s="123">
        <v>1</v>
      </c>
      <c r="F6095" s="9"/>
      <c r="G6095" s="8">
        <f t="shared" si="184"/>
        <v>147.48614999999998</v>
      </c>
      <c r="H6095" s="165">
        <v>140.46299999999999</v>
      </c>
      <c r="I6095" s="19">
        <f t="shared" si="185"/>
        <v>0</v>
      </c>
    </row>
    <row r="6096" spans="1:9" hidden="1">
      <c r="A6096" s="49" t="s">
        <v>8760</v>
      </c>
      <c r="B6096" s="5">
        <v>3397011132</v>
      </c>
      <c r="C6096" s="122" t="s">
        <v>10264</v>
      </c>
      <c r="D6096" s="5" t="s">
        <v>2488</v>
      </c>
      <c r="E6096" s="123">
        <v>1</v>
      </c>
      <c r="F6096" s="9"/>
      <c r="G6096" s="8">
        <f t="shared" si="184"/>
        <v>156.85634999999999</v>
      </c>
      <c r="H6096" s="165">
        <v>149.387</v>
      </c>
      <c r="I6096" s="19">
        <f t="shared" si="185"/>
        <v>0</v>
      </c>
    </row>
    <row r="6097" spans="1:9" hidden="1">
      <c r="A6097" s="49" t="s">
        <v>8760</v>
      </c>
      <c r="B6097" s="5">
        <v>3397011832</v>
      </c>
      <c r="C6097" s="122" t="s">
        <v>10265</v>
      </c>
      <c r="D6097" s="5" t="s">
        <v>2488</v>
      </c>
      <c r="E6097" s="123">
        <v>1</v>
      </c>
      <c r="F6097" s="9"/>
      <c r="G6097" s="8">
        <f t="shared" si="184"/>
        <v>166.36095</v>
      </c>
      <c r="H6097" s="165">
        <v>158.43899999999999</v>
      </c>
      <c r="I6097" s="19">
        <f t="shared" si="185"/>
        <v>0</v>
      </c>
    </row>
    <row r="6098" spans="1:9" hidden="1">
      <c r="A6098" s="49" t="s">
        <v>8760</v>
      </c>
      <c r="B6098" s="5">
        <v>3397012522</v>
      </c>
      <c r="C6098" s="122" t="s">
        <v>10266</v>
      </c>
      <c r="D6098" s="5" t="s">
        <v>2488</v>
      </c>
      <c r="E6098" s="123">
        <v>1</v>
      </c>
      <c r="F6098" s="9"/>
      <c r="G6098" s="8">
        <f t="shared" si="184"/>
        <v>175.73745</v>
      </c>
      <c r="H6098" s="165">
        <v>167.369</v>
      </c>
      <c r="I6098" s="19">
        <f t="shared" si="185"/>
        <v>0</v>
      </c>
    </row>
    <row r="6099" spans="1:9" hidden="1">
      <c r="A6099" s="49" t="s">
        <v>8760</v>
      </c>
      <c r="B6099" s="5" t="s">
        <v>10267</v>
      </c>
      <c r="C6099" s="122" t="s">
        <v>10268</v>
      </c>
      <c r="D6099" s="5"/>
      <c r="E6099" s="123">
        <v>1</v>
      </c>
      <c r="F6099" s="9"/>
      <c r="G6099" s="8">
        <f t="shared" si="184"/>
        <v>184.40625</v>
      </c>
      <c r="H6099" s="165">
        <v>175.625</v>
      </c>
      <c r="I6099" s="19">
        <f t="shared" si="185"/>
        <v>0</v>
      </c>
    </row>
    <row r="6100" spans="1:9" hidden="1">
      <c r="A6100" s="49" t="s">
        <v>8760</v>
      </c>
      <c r="B6100" s="5" t="s">
        <v>10269</v>
      </c>
      <c r="C6100" s="122" t="s">
        <v>10270</v>
      </c>
      <c r="D6100" s="5"/>
      <c r="E6100" s="123">
        <v>1</v>
      </c>
      <c r="F6100" s="9"/>
      <c r="G6100" s="8">
        <f t="shared" ref="G6100:G6163" si="186">H6100+(H6100*5%)</f>
        <v>199.80135000000001</v>
      </c>
      <c r="H6100" s="165">
        <v>190.28700000000001</v>
      </c>
      <c r="I6100" s="19">
        <f t="shared" ref="I6100:I6163" si="187">G6100*F6100</f>
        <v>0</v>
      </c>
    </row>
    <row r="6101" spans="1:9" hidden="1">
      <c r="A6101" s="49" t="s">
        <v>8760</v>
      </c>
      <c r="B6101" s="5" t="s">
        <v>10271</v>
      </c>
      <c r="C6101" s="122" t="s">
        <v>10272</v>
      </c>
      <c r="D6101" s="5"/>
      <c r="E6101" s="123">
        <v>1</v>
      </c>
      <c r="F6101" s="9"/>
      <c r="G6101" s="8">
        <f t="shared" si="186"/>
        <v>184.40625</v>
      </c>
      <c r="H6101" s="165">
        <v>175.625</v>
      </c>
      <c r="I6101" s="19">
        <f t="shared" si="187"/>
        <v>0</v>
      </c>
    </row>
    <row r="6102" spans="1:9" hidden="1">
      <c r="A6102" s="49" t="s">
        <v>8760</v>
      </c>
      <c r="B6102" s="5" t="s">
        <v>10273</v>
      </c>
      <c r="C6102" s="122" t="s">
        <v>10274</v>
      </c>
      <c r="D6102" s="5"/>
      <c r="E6102" s="123">
        <v>1</v>
      </c>
      <c r="F6102" s="9"/>
      <c r="G6102" s="8">
        <f t="shared" si="186"/>
        <v>199.80135000000001</v>
      </c>
      <c r="H6102" s="165">
        <v>190.28700000000001</v>
      </c>
      <c r="I6102" s="19">
        <f t="shared" si="187"/>
        <v>0</v>
      </c>
    </row>
    <row r="6103" spans="1:9" hidden="1">
      <c r="A6103" s="49" t="s">
        <v>8760</v>
      </c>
      <c r="B6103" s="5" t="s">
        <v>10275</v>
      </c>
      <c r="C6103" s="122" t="s">
        <v>10276</v>
      </c>
      <c r="D6103" s="5"/>
      <c r="E6103" s="123">
        <v>1</v>
      </c>
      <c r="F6103" s="9"/>
      <c r="G6103" s="8">
        <f t="shared" si="186"/>
        <v>182.38185000000001</v>
      </c>
      <c r="H6103" s="165">
        <v>173.697</v>
      </c>
      <c r="I6103" s="19">
        <f t="shared" si="187"/>
        <v>0</v>
      </c>
    </row>
    <row r="6104" spans="1:9" hidden="1">
      <c r="A6104" s="49" t="s">
        <v>8760</v>
      </c>
      <c r="B6104" s="5" t="s">
        <v>10277</v>
      </c>
      <c r="C6104" s="122" t="s">
        <v>10278</v>
      </c>
      <c r="D6104" s="5"/>
      <c r="E6104" s="123">
        <v>1</v>
      </c>
      <c r="F6104" s="9"/>
      <c r="G6104" s="8">
        <f t="shared" si="186"/>
        <v>211.19804999999999</v>
      </c>
      <c r="H6104" s="165">
        <v>201.14099999999999</v>
      </c>
      <c r="I6104" s="19">
        <f t="shared" si="187"/>
        <v>0</v>
      </c>
    </row>
    <row r="6105" spans="1:9" hidden="1">
      <c r="A6105" s="49" t="s">
        <v>8760</v>
      </c>
      <c r="B6105" s="5" t="s">
        <v>10279</v>
      </c>
      <c r="C6105" s="122" t="s">
        <v>10280</v>
      </c>
      <c r="D6105" s="5"/>
      <c r="E6105" s="123">
        <v>1</v>
      </c>
      <c r="F6105" s="9"/>
      <c r="G6105" s="8">
        <f t="shared" si="186"/>
        <v>211.19804999999999</v>
      </c>
      <c r="H6105" s="165">
        <v>201.14099999999999</v>
      </c>
      <c r="I6105" s="19">
        <f t="shared" si="187"/>
        <v>0</v>
      </c>
    </row>
    <row r="6106" spans="1:9" hidden="1">
      <c r="A6106" s="49" t="s">
        <v>8760</v>
      </c>
      <c r="B6106" s="5" t="s">
        <v>10281</v>
      </c>
      <c r="C6106" s="122" t="s">
        <v>10282</v>
      </c>
      <c r="D6106" s="5"/>
      <c r="E6106" s="123">
        <v>1</v>
      </c>
      <c r="F6106" s="9"/>
      <c r="G6106" s="8">
        <f t="shared" si="186"/>
        <v>228.5703</v>
      </c>
      <c r="H6106" s="165">
        <v>217.68600000000001</v>
      </c>
      <c r="I6106" s="19">
        <f t="shared" si="187"/>
        <v>0</v>
      </c>
    </row>
    <row r="6107" spans="1:9" hidden="1">
      <c r="A6107" s="49" t="s">
        <v>8760</v>
      </c>
      <c r="B6107" s="5" t="s">
        <v>10283</v>
      </c>
      <c r="C6107" s="122" t="s">
        <v>10284</v>
      </c>
      <c r="D6107" s="5"/>
      <c r="E6107" s="123">
        <v>1</v>
      </c>
      <c r="F6107" s="9"/>
      <c r="G6107" s="8">
        <f t="shared" si="186"/>
        <v>228.5703</v>
      </c>
      <c r="H6107" s="165">
        <v>217.68600000000001</v>
      </c>
      <c r="I6107" s="19">
        <f t="shared" si="187"/>
        <v>0</v>
      </c>
    </row>
    <row r="6108" spans="1:9" hidden="1">
      <c r="A6108" s="49" t="s">
        <v>8760</v>
      </c>
      <c r="B6108" s="5" t="s">
        <v>10285</v>
      </c>
      <c r="C6108" s="122" t="s">
        <v>10286</v>
      </c>
      <c r="D6108" s="5"/>
      <c r="E6108" s="123">
        <v>1</v>
      </c>
      <c r="F6108" s="9"/>
      <c r="G6108" s="8">
        <f t="shared" si="186"/>
        <v>266.59814999999998</v>
      </c>
      <c r="H6108" s="165">
        <v>253.90299999999999</v>
      </c>
      <c r="I6108" s="19">
        <f t="shared" si="187"/>
        <v>0</v>
      </c>
    </row>
    <row r="6109" spans="1:9" hidden="1">
      <c r="A6109" s="49" t="s">
        <v>8760</v>
      </c>
      <c r="B6109" s="5" t="s">
        <v>10287</v>
      </c>
      <c r="C6109" s="122" t="s">
        <v>10288</v>
      </c>
      <c r="D6109" s="5"/>
      <c r="E6109" s="123">
        <v>1</v>
      </c>
      <c r="F6109" s="9"/>
      <c r="G6109" s="8">
        <f t="shared" si="186"/>
        <v>266.59814999999998</v>
      </c>
      <c r="H6109" s="165">
        <v>253.90299999999999</v>
      </c>
      <c r="I6109" s="19">
        <f t="shared" si="187"/>
        <v>0</v>
      </c>
    </row>
    <row r="6110" spans="1:9" hidden="1">
      <c r="A6110" s="49" t="s">
        <v>8760</v>
      </c>
      <c r="B6110" s="5" t="s">
        <v>10289</v>
      </c>
      <c r="C6110" s="122" t="s">
        <v>10290</v>
      </c>
      <c r="D6110" s="5"/>
      <c r="E6110" s="123">
        <v>1</v>
      </c>
      <c r="F6110" s="9"/>
      <c r="G6110" s="8">
        <f t="shared" si="186"/>
        <v>285.77954999999997</v>
      </c>
      <c r="H6110" s="165">
        <v>272.17099999999999</v>
      </c>
      <c r="I6110" s="19">
        <f t="shared" si="187"/>
        <v>0</v>
      </c>
    </row>
    <row r="6111" spans="1:9" hidden="1">
      <c r="A6111" s="49" t="s">
        <v>8760</v>
      </c>
      <c r="B6111" s="5" t="s">
        <v>10291</v>
      </c>
      <c r="C6111" s="122" t="s">
        <v>10292</v>
      </c>
      <c r="D6111" s="5"/>
      <c r="E6111" s="123">
        <v>1</v>
      </c>
      <c r="F6111" s="9"/>
      <c r="G6111" s="8">
        <f t="shared" si="186"/>
        <v>316.55610000000001</v>
      </c>
      <c r="H6111" s="165">
        <v>301.48200000000003</v>
      </c>
      <c r="I6111" s="19">
        <f t="shared" si="187"/>
        <v>0</v>
      </c>
    </row>
    <row r="6112" spans="1:9" hidden="1">
      <c r="A6112" s="49" t="s">
        <v>8760</v>
      </c>
      <c r="B6112" s="5" t="s">
        <v>10293</v>
      </c>
      <c r="C6112" s="122" t="s">
        <v>10294</v>
      </c>
      <c r="D6112" s="5"/>
      <c r="E6112" s="123">
        <v>1</v>
      </c>
      <c r="F6112" s="9"/>
      <c r="G6112" s="8">
        <f t="shared" si="186"/>
        <v>285.77954999999997</v>
      </c>
      <c r="H6112" s="165">
        <v>272.17099999999999</v>
      </c>
      <c r="I6112" s="19">
        <f t="shared" si="187"/>
        <v>0</v>
      </c>
    </row>
    <row r="6113" spans="1:9" hidden="1">
      <c r="A6113" s="49" t="s">
        <v>8760</v>
      </c>
      <c r="B6113" s="5" t="s">
        <v>10295</v>
      </c>
      <c r="C6113" s="122" t="s">
        <v>10296</v>
      </c>
      <c r="D6113" s="5"/>
      <c r="E6113" s="123">
        <v>1</v>
      </c>
      <c r="F6113" s="9"/>
      <c r="G6113" s="8">
        <f t="shared" si="186"/>
        <v>316.55610000000001</v>
      </c>
      <c r="H6113" s="165">
        <v>301.48200000000003</v>
      </c>
      <c r="I6113" s="19">
        <f t="shared" si="187"/>
        <v>0</v>
      </c>
    </row>
    <row r="6114" spans="1:9" hidden="1">
      <c r="A6114" s="49" t="s">
        <v>8760</v>
      </c>
      <c r="B6114" s="5" t="s">
        <v>10297</v>
      </c>
      <c r="C6114" s="122" t="s">
        <v>10298</v>
      </c>
      <c r="D6114" s="5"/>
      <c r="E6114" s="123">
        <v>1</v>
      </c>
      <c r="F6114" s="9"/>
      <c r="G6114" s="8">
        <f t="shared" si="186"/>
        <v>234.66974999999999</v>
      </c>
      <c r="H6114" s="165">
        <v>223.495</v>
      </c>
      <c r="I6114" s="19">
        <f t="shared" si="187"/>
        <v>0</v>
      </c>
    </row>
    <row r="6115" spans="1:9" hidden="1">
      <c r="A6115" s="49" t="s">
        <v>8760</v>
      </c>
      <c r="B6115" s="5" t="s">
        <v>10299</v>
      </c>
      <c r="C6115" s="122" t="s">
        <v>10300</v>
      </c>
      <c r="D6115" s="5"/>
      <c r="E6115" s="123">
        <v>1</v>
      </c>
      <c r="F6115" s="9"/>
      <c r="G6115" s="8">
        <f t="shared" si="186"/>
        <v>234.66974999999999</v>
      </c>
      <c r="H6115" s="165">
        <v>223.495</v>
      </c>
      <c r="I6115" s="19">
        <f t="shared" si="187"/>
        <v>0</v>
      </c>
    </row>
    <row r="6116" spans="1:9" hidden="1">
      <c r="A6116" s="49" t="s">
        <v>8760</v>
      </c>
      <c r="B6116" s="5" t="s">
        <v>10301</v>
      </c>
      <c r="C6116" s="122" t="s">
        <v>10302</v>
      </c>
      <c r="D6116" s="5"/>
      <c r="E6116" s="123">
        <v>1</v>
      </c>
      <c r="F6116" s="9"/>
      <c r="G6116" s="8">
        <f t="shared" si="186"/>
        <v>299.62694999999997</v>
      </c>
      <c r="H6116" s="165">
        <v>285.35899999999998</v>
      </c>
      <c r="I6116" s="19">
        <f t="shared" si="187"/>
        <v>0</v>
      </c>
    </row>
    <row r="6117" spans="1:9" hidden="1">
      <c r="A6117" s="49" t="s">
        <v>8760</v>
      </c>
      <c r="B6117" s="5" t="s">
        <v>10303</v>
      </c>
      <c r="C6117" s="122" t="s">
        <v>10304</v>
      </c>
      <c r="D6117" s="5"/>
      <c r="E6117" s="123">
        <v>1</v>
      </c>
      <c r="F6117" s="9"/>
      <c r="G6117" s="8">
        <f t="shared" si="186"/>
        <v>299.62694999999997</v>
      </c>
      <c r="H6117" s="165">
        <v>285.35899999999998</v>
      </c>
      <c r="I6117" s="19">
        <f t="shared" si="187"/>
        <v>0</v>
      </c>
    </row>
    <row r="6118" spans="1:9" hidden="1">
      <c r="A6118" s="49" t="s">
        <v>8760</v>
      </c>
      <c r="B6118" s="5" t="s">
        <v>10305</v>
      </c>
      <c r="C6118" s="122" t="s">
        <v>10306</v>
      </c>
      <c r="D6118" s="5"/>
      <c r="E6118" s="123">
        <v>1</v>
      </c>
      <c r="F6118" s="9"/>
      <c r="G6118" s="8">
        <f t="shared" si="186"/>
        <v>243.07395</v>
      </c>
      <c r="H6118" s="165">
        <v>231.499</v>
      </c>
      <c r="I6118" s="19">
        <f t="shared" si="187"/>
        <v>0</v>
      </c>
    </row>
    <row r="6119" spans="1:9" hidden="1">
      <c r="A6119" s="49" t="s">
        <v>8760</v>
      </c>
      <c r="B6119" s="5" t="s">
        <v>10307</v>
      </c>
      <c r="C6119" s="122" t="s">
        <v>10308</v>
      </c>
      <c r="D6119" s="5"/>
      <c r="E6119" s="123">
        <v>1</v>
      </c>
      <c r="F6119" s="9"/>
      <c r="G6119" s="8">
        <f t="shared" si="186"/>
        <v>243.07395</v>
      </c>
      <c r="H6119" s="165">
        <v>231.499</v>
      </c>
      <c r="I6119" s="19">
        <f t="shared" si="187"/>
        <v>0</v>
      </c>
    </row>
    <row r="6120" spans="1:9" hidden="1">
      <c r="A6120" s="49" t="s">
        <v>8760</v>
      </c>
      <c r="B6120" s="5" t="s">
        <v>10309</v>
      </c>
      <c r="C6120" s="122" t="s">
        <v>10310</v>
      </c>
      <c r="D6120" s="5"/>
      <c r="E6120" s="123">
        <v>1</v>
      </c>
      <c r="F6120" s="9"/>
      <c r="G6120" s="8">
        <f t="shared" si="186"/>
        <v>467.76870000000002</v>
      </c>
      <c r="H6120" s="165">
        <v>445.49400000000003</v>
      </c>
      <c r="I6120" s="19">
        <f t="shared" si="187"/>
        <v>0</v>
      </c>
    </row>
    <row r="6121" spans="1:9" hidden="1">
      <c r="A6121" s="49" t="s">
        <v>8760</v>
      </c>
      <c r="B6121" s="5" t="s">
        <v>10311</v>
      </c>
      <c r="C6121" s="122" t="s">
        <v>10312</v>
      </c>
      <c r="D6121" s="5"/>
      <c r="E6121" s="123">
        <v>1</v>
      </c>
      <c r="F6121" s="9"/>
      <c r="G6121" s="8">
        <f t="shared" si="186"/>
        <v>72.4101</v>
      </c>
      <c r="H6121" s="165">
        <v>68.962000000000003</v>
      </c>
      <c r="I6121" s="19">
        <f t="shared" si="187"/>
        <v>0</v>
      </c>
    </row>
    <row r="6122" spans="1:9" hidden="1">
      <c r="A6122" s="49" t="s">
        <v>8760</v>
      </c>
      <c r="B6122" s="5" t="s">
        <v>10313</v>
      </c>
      <c r="C6122" s="122" t="s">
        <v>10314</v>
      </c>
      <c r="D6122" s="5"/>
      <c r="E6122" s="123">
        <v>1</v>
      </c>
      <c r="F6122" s="9"/>
      <c r="G6122" s="8">
        <f t="shared" si="186"/>
        <v>271.47750000000002</v>
      </c>
      <c r="H6122" s="165">
        <v>258.55</v>
      </c>
      <c r="I6122" s="19">
        <f t="shared" si="187"/>
        <v>0</v>
      </c>
    </row>
    <row r="6123" spans="1:9" hidden="1">
      <c r="A6123" s="49" t="s">
        <v>8760</v>
      </c>
      <c r="B6123" s="5" t="s">
        <v>10315</v>
      </c>
      <c r="C6123" s="122" t="s">
        <v>10316</v>
      </c>
      <c r="D6123" s="5"/>
      <c r="E6123" s="123">
        <v>1</v>
      </c>
      <c r="F6123" s="9"/>
      <c r="G6123" s="8">
        <f t="shared" si="186"/>
        <v>72.4101</v>
      </c>
      <c r="H6123" s="165">
        <v>68.962000000000003</v>
      </c>
      <c r="I6123" s="19">
        <f t="shared" si="187"/>
        <v>0</v>
      </c>
    </row>
    <row r="6124" spans="1:9" hidden="1">
      <c r="A6124" s="49" t="s">
        <v>8760</v>
      </c>
      <c r="B6124" s="5" t="s">
        <v>10317</v>
      </c>
      <c r="C6124" s="122" t="s">
        <v>10318</v>
      </c>
      <c r="D6124" s="5"/>
      <c r="E6124" s="123">
        <v>1</v>
      </c>
      <c r="F6124" s="9"/>
      <c r="G6124" s="8">
        <f t="shared" si="186"/>
        <v>271.47750000000002</v>
      </c>
      <c r="H6124" s="165">
        <v>258.55</v>
      </c>
      <c r="I6124" s="19">
        <f t="shared" si="187"/>
        <v>0</v>
      </c>
    </row>
    <row r="6125" spans="1:9" hidden="1">
      <c r="A6125" s="49" t="s">
        <v>8760</v>
      </c>
      <c r="B6125" s="5" t="s">
        <v>10319</v>
      </c>
      <c r="C6125" s="122" t="s">
        <v>10320</v>
      </c>
      <c r="D6125" s="5"/>
      <c r="E6125" s="123">
        <v>1</v>
      </c>
      <c r="F6125" s="9"/>
      <c r="G6125" s="8">
        <f t="shared" si="186"/>
        <v>78.334199999999996</v>
      </c>
      <c r="H6125" s="165">
        <v>74.603999999999999</v>
      </c>
      <c r="I6125" s="19">
        <f t="shared" si="187"/>
        <v>0</v>
      </c>
    </row>
    <row r="6126" spans="1:9" hidden="1">
      <c r="A6126" s="49" t="s">
        <v>8760</v>
      </c>
      <c r="B6126" s="5" t="s">
        <v>10321</v>
      </c>
      <c r="C6126" s="122" t="s">
        <v>10322</v>
      </c>
      <c r="D6126" s="5"/>
      <c r="E6126" s="123">
        <v>1</v>
      </c>
      <c r="F6126" s="9"/>
      <c r="G6126" s="8">
        <f t="shared" si="186"/>
        <v>97.905149999999992</v>
      </c>
      <c r="H6126" s="165">
        <v>93.242999999999995</v>
      </c>
      <c r="I6126" s="19">
        <f t="shared" si="187"/>
        <v>0</v>
      </c>
    </row>
    <row r="6127" spans="1:9" hidden="1">
      <c r="A6127" s="49" t="s">
        <v>8760</v>
      </c>
      <c r="B6127" s="5" t="s">
        <v>10323</v>
      </c>
      <c r="C6127" s="122" t="s">
        <v>10324</v>
      </c>
      <c r="D6127" s="5"/>
      <c r="E6127" s="123">
        <v>1</v>
      </c>
      <c r="F6127" s="9"/>
      <c r="G6127" s="8">
        <f t="shared" si="186"/>
        <v>117.54225</v>
      </c>
      <c r="H6127" s="165">
        <v>111.94499999999999</v>
      </c>
      <c r="I6127" s="19">
        <f t="shared" si="187"/>
        <v>0</v>
      </c>
    </row>
    <row r="6128" spans="1:9" hidden="1">
      <c r="A6128" s="49" t="s">
        <v>8760</v>
      </c>
      <c r="B6128" s="5" t="s">
        <v>10325</v>
      </c>
      <c r="C6128" s="122" t="s">
        <v>10326</v>
      </c>
      <c r="D6128" s="5"/>
      <c r="E6128" s="123">
        <v>1</v>
      </c>
      <c r="F6128" s="9"/>
      <c r="G6128" s="8">
        <f t="shared" si="186"/>
        <v>293.79525000000001</v>
      </c>
      <c r="H6128" s="165">
        <v>279.80500000000001</v>
      </c>
      <c r="I6128" s="19">
        <f t="shared" si="187"/>
        <v>0</v>
      </c>
    </row>
    <row r="6129" spans="1:9" hidden="1">
      <c r="A6129" s="49" t="s">
        <v>8760</v>
      </c>
      <c r="B6129" s="5" t="s">
        <v>10327</v>
      </c>
      <c r="C6129" s="122" t="s">
        <v>10328</v>
      </c>
      <c r="D6129" s="5"/>
      <c r="E6129" s="123">
        <v>1</v>
      </c>
      <c r="F6129" s="9"/>
      <c r="G6129" s="8">
        <f t="shared" si="186"/>
        <v>78.334199999999996</v>
      </c>
      <c r="H6129" s="165">
        <v>74.603999999999999</v>
      </c>
      <c r="I6129" s="19">
        <f t="shared" si="187"/>
        <v>0</v>
      </c>
    </row>
    <row r="6130" spans="1:9" hidden="1">
      <c r="A6130" s="49" t="s">
        <v>8760</v>
      </c>
      <c r="B6130" s="5" t="s">
        <v>10329</v>
      </c>
      <c r="C6130" s="122" t="s">
        <v>10330</v>
      </c>
      <c r="D6130" s="5"/>
      <c r="E6130" s="123">
        <v>1</v>
      </c>
      <c r="F6130" s="9"/>
      <c r="G6130" s="8">
        <f t="shared" si="186"/>
        <v>97.905149999999992</v>
      </c>
      <c r="H6130" s="165">
        <v>93.242999999999995</v>
      </c>
      <c r="I6130" s="19">
        <f t="shared" si="187"/>
        <v>0</v>
      </c>
    </row>
    <row r="6131" spans="1:9" hidden="1">
      <c r="A6131" s="49" t="s">
        <v>8760</v>
      </c>
      <c r="B6131" s="5" t="s">
        <v>10331</v>
      </c>
      <c r="C6131" s="122" t="s">
        <v>10332</v>
      </c>
      <c r="D6131" s="5"/>
      <c r="E6131" s="123">
        <v>1</v>
      </c>
      <c r="F6131" s="9"/>
      <c r="G6131" s="8">
        <f t="shared" si="186"/>
        <v>117.54225</v>
      </c>
      <c r="H6131" s="165">
        <v>111.94499999999999</v>
      </c>
      <c r="I6131" s="19">
        <f t="shared" si="187"/>
        <v>0</v>
      </c>
    </row>
    <row r="6132" spans="1:9" hidden="1">
      <c r="A6132" s="49" t="s">
        <v>8760</v>
      </c>
      <c r="B6132" s="5" t="s">
        <v>10333</v>
      </c>
      <c r="C6132" s="122" t="s">
        <v>10334</v>
      </c>
      <c r="D6132" s="5"/>
      <c r="E6132" s="123">
        <v>1</v>
      </c>
      <c r="F6132" s="9"/>
      <c r="G6132" s="8">
        <f t="shared" si="186"/>
        <v>293.79525000000001</v>
      </c>
      <c r="H6132" s="165">
        <v>279.80500000000001</v>
      </c>
      <c r="I6132" s="19">
        <f t="shared" si="187"/>
        <v>0</v>
      </c>
    </row>
    <row r="6133" spans="1:9" hidden="1">
      <c r="A6133" s="49" t="s">
        <v>8760</v>
      </c>
      <c r="B6133" s="5" t="s">
        <v>10335</v>
      </c>
      <c r="C6133" s="122" t="s">
        <v>10336</v>
      </c>
      <c r="D6133" s="5"/>
      <c r="E6133" s="123">
        <v>1</v>
      </c>
      <c r="F6133" s="9"/>
      <c r="G6133" s="8">
        <f t="shared" si="186"/>
        <v>84.340199999999996</v>
      </c>
      <c r="H6133" s="165">
        <v>80.323999999999998</v>
      </c>
      <c r="I6133" s="19">
        <f t="shared" si="187"/>
        <v>0</v>
      </c>
    </row>
    <row r="6134" spans="1:9" hidden="1">
      <c r="A6134" s="49" t="s">
        <v>8760</v>
      </c>
      <c r="B6134" s="5" t="s">
        <v>10337</v>
      </c>
      <c r="C6134" s="122" t="s">
        <v>10338</v>
      </c>
      <c r="D6134" s="5"/>
      <c r="E6134" s="123">
        <v>1</v>
      </c>
      <c r="F6134" s="9"/>
      <c r="G6134" s="8">
        <f t="shared" si="186"/>
        <v>105.38220000000001</v>
      </c>
      <c r="H6134" s="165">
        <v>100.364</v>
      </c>
      <c r="I6134" s="19">
        <f t="shared" si="187"/>
        <v>0</v>
      </c>
    </row>
    <row r="6135" spans="1:9" hidden="1">
      <c r="A6135" s="49" t="s">
        <v>8760</v>
      </c>
      <c r="B6135" s="5" t="s">
        <v>10339</v>
      </c>
      <c r="C6135" s="122" t="s">
        <v>10340</v>
      </c>
      <c r="D6135" s="5"/>
      <c r="E6135" s="123">
        <v>1</v>
      </c>
      <c r="F6135" s="9"/>
      <c r="G6135" s="8">
        <f t="shared" si="186"/>
        <v>126.52395</v>
      </c>
      <c r="H6135" s="165">
        <v>120.499</v>
      </c>
      <c r="I6135" s="19">
        <f t="shared" si="187"/>
        <v>0</v>
      </c>
    </row>
    <row r="6136" spans="1:9" hidden="1">
      <c r="A6136" s="49" t="s">
        <v>8760</v>
      </c>
      <c r="B6136" s="5" t="s">
        <v>10341</v>
      </c>
      <c r="C6136" s="122" t="s">
        <v>10342</v>
      </c>
      <c r="D6136" s="5"/>
      <c r="E6136" s="123">
        <v>1</v>
      </c>
      <c r="F6136" s="9"/>
      <c r="G6136" s="8">
        <f t="shared" si="186"/>
        <v>342.68115</v>
      </c>
      <c r="H6136" s="165">
        <v>326.363</v>
      </c>
      <c r="I6136" s="19">
        <f t="shared" si="187"/>
        <v>0</v>
      </c>
    </row>
    <row r="6137" spans="1:9" hidden="1">
      <c r="A6137" s="49" t="s">
        <v>8760</v>
      </c>
      <c r="B6137" s="5" t="s">
        <v>10343</v>
      </c>
      <c r="C6137" s="122" t="s">
        <v>10344</v>
      </c>
      <c r="D6137" s="5"/>
      <c r="E6137" s="123">
        <v>1</v>
      </c>
      <c r="F6137" s="9"/>
      <c r="G6137" s="8">
        <f t="shared" si="186"/>
        <v>84.340199999999996</v>
      </c>
      <c r="H6137" s="165">
        <v>80.323999999999998</v>
      </c>
      <c r="I6137" s="19">
        <f t="shared" si="187"/>
        <v>0</v>
      </c>
    </row>
    <row r="6138" spans="1:9" hidden="1">
      <c r="A6138" s="49" t="s">
        <v>8760</v>
      </c>
      <c r="B6138" s="5" t="s">
        <v>10345</v>
      </c>
      <c r="C6138" s="122" t="s">
        <v>10346</v>
      </c>
      <c r="D6138" s="5"/>
      <c r="E6138" s="123">
        <v>1</v>
      </c>
      <c r="F6138" s="9"/>
      <c r="G6138" s="8">
        <f t="shared" si="186"/>
        <v>105.38220000000001</v>
      </c>
      <c r="H6138" s="165">
        <v>100.364</v>
      </c>
      <c r="I6138" s="19">
        <f t="shared" si="187"/>
        <v>0</v>
      </c>
    </row>
    <row r="6139" spans="1:9" hidden="1">
      <c r="A6139" s="49" t="s">
        <v>8760</v>
      </c>
      <c r="B6139" s="5" t="s">
        <v>10347</v>
      </c>
      <c r="C6139" s="122" t="s">
        <v>10348</v>
      </c>
      <c r="D6139" s="5"/>
      <c r="E6139" s="123">
        <v>1</v>
      </c>
      <c r="F6139" s="9"/>
      <c r="G6139" s="8">
        <f t="shared" si="186"/>
        <v>126.52395</v>
      </c>
      <c r="H6139" s="165">
        <v>120.499</v>
      </c>
      <c r="I6139" s="19">
        <f t="shared" si="187"/>
        <v>0</v>
      </c>
    </row>
    <row r="6140" spans="1:9" hidden="1">
      <c r="A6140" s="49" t="s">
        <v>8760</v>
      </c>
      <c r="B6140" s="5" t="s">
        <v>10349</v>
      </c>
      <c r="C6140" s="122" t="s">
        <v>10350</v>
      </c>
      <c r="D6140" s="5"/>
      <c r="E6140" s="123">
        <v>1</v>
      </c>
      <c r="F6140" s="9"/>
      <c r="G6140" s="8">
        <f t="shared" si="186"/>
        <v>168.69299999999998</v>
      </c>
      <c r="H6140" s="165">
        <v>160.66</v>
      </c>
      <c r="I6140" s="19">
        <f t="shared" si="187"/>
        <v>0</v>
      </c>
    </row>
    <row r="6141" spans="1:9" hidden="1">
      <c r="A6141" s="49" t="s">
        <v>8760</v>
      </c>
      <c r="B6141" s="5" t="s">
        <v>10351</v>
      </c>
      <c r="C6141" s="122" t="s">
        <v>10352</v>
      </c>
      <c r="D6141" s="5"/>
      <c r="E6141" s="123">
        <v>1</v>
      </c>
      <c r="F6141" s="9"/>
      <c r="G6141" s="8">
        <f t="shared" si="186"/>
        <v>342.68115</v>
      </c>
      <c r="H6141" s="165">
        <v>326.363</v>
      </c>
      <c r="I6141" s="19">
        <f t="shared" si="187"/>
        <v>0</v>
      </c>
    </row>
    <row r="6142" spans="1:9" hidden="1">
      <c r="A6142" s="49" t="s">
        <v>8760</v>
      </c>
      <c r="B6142" s="5" t="s">
        <v>10353</v>
      </c>
      <c r="C6142" s="122" t="s">
        <v>10354</v>
      </c>
      <c r="D6142" s="5"/>
      <c r="E6142" s="123">
        <v>1</v>
      </c>
      <c r="F6142" s="9"/>
      <c r="G6142" s="8">
        <f t="shared" si="186"/>
        <v>90.426000000000002</v>
      </c>
      <c r="H6142" s="165">
        <v>86.12</v>
      </c>
      <c r="I6142" s="19">
        <f t="shared" si="187"/>
        <v>0</v>
      </c>
    </row>
    <row r="6143" spans="1:9" hidden="1">
      <c r="A6143" s="49" t="s">
        <v>8760</v>
      </c>
      <c r="B6143" s="5" t="s">
        <v>10355</v>
      </c>
      <c r="C6143" s="122" t="s">
        <v>10356</v>
      </c>
      <c r="D6143" s="5"/>
      <c r="E6143" s="123">
        <v>1</v>
      </c>
      <c r="F6143" s="9"/>
      <c r="G6143" s="8">
        <f t="shared" si="186"/>
        <v>113.02515</v>
      </c>
      <c r="H6143" s="165">
        <v>107.643</v>
      </c>
      <c r="I6143" s="19">
        <f t="shared" si="187"/>
        <v>0</v>
      </c>
    </row>
    <row r="6144" spans="1:9" hidden="1">
      <c r="A6144" s="49" t="s">
        <v>8760</v>
      </c>
      <c r="B6144" s="5" t="s">
        <v>10357</v>
      </c>
      <c r="C6144" s="122" t="s">
        <v>10358</v>
      </c>
      <c r="D6144" s="5"/>
      <c r="E6144" s="123">
        <v>1</v>
      </c>
      <c r="F6144" s="9"/>
      <c r="G6144" s="8">
        <f t="shared" si="186"/>
        <v>135.62535</v>
      </c>
      <c r="H6144" s="165">
        <v>129.167</v>
      </c>
      <c r="I6144" s="19">
        <f t="shared" si="187"/>
        <v>0</v>
      </c>
    </row>
    <row r="6145" spans="1:9" hidden="1">
      <c r="A6145" s="49" t="s">
        <v>8760</v>
      </c>
      <c r="B6145" s="5" t="s">
        <v>10359</v>
      </c>
      <c r="C6145" s="122" t="s">
        <v>10360</v>
      </c>
      <c r="D6145" s="5"/>
      <c r="E6145" s="123">
        <v>1</v>
      </c>
      <c r="F6145" s="9"/>
      <c r="G6145" s="8">
        <f t="shared" si="186"/>
        <v>158.23814999999999</v>
      </c>
      <c r="H6145" s="165">
        <v>150.703</v>
      </c>
      <c r="I6145" s="19">
        <f t="shared" si="187"/>
        <v>0</v>
      </c>
    </row>
    <row r="6146" spans="1:9" hidden="1">
      <c r="A6146" s="49" t="s">
        <v>8760</v>
      </c>
      <c r="B6146" s="5" t="s">
        <v>10361</v>
      </c>
      <c r="C6146" s="122" t="s">
        <v>10362</v>
      </c>
      <c r="D6146" s="5"/>
      <c r="E6146" s="123">
        <v>1</v>
      </c>
      <c r="F6146" s="9"/>
      <c r="G6146" s="8">
        <f t="shared" si="186"/>
        <v>180.8373</v>
      </c>
      <c r="H6146" s="165">
        <v>172.226</v>
      </c>
      <c r="I6146" s="19">
        <f t="shared" si="187"/>
        <v>0</v>
      </c>
    </row>
    <row r="6147" spans="1:9" hidden="1">
      <c r="A6147" s="49" t="s">
        <v>8760</v>
      </c>
      <c r="B6147" s="5" t="s">
        <v>10363</v>
      </c>
      <c r="C6147" s="122" t="s">
        <v>10364</v>
      </c>
      <c r="D6147" s="5"/>
      <c r="E6147" s="123">
        <v>1</v>
      </c>
      <c r="F6147" s="9"/>
      <c r="G6147" s="8">
        <f t="shared" si="186"/>
        <v>339.07544999999999</v>
      </c>
      <c r="H6147" s="165">
        <v>322.92899999999997</v>
      </c>
      <c r="I6147" s="19">
        <f t="shared" si="187"/>
        <v>0</v>
      </c>
    </row>
    <row r="6148" spans="1:9" hidden="1">
      <c r="A6148" s="49" t="s">
        <v>8760</v>
      </c>
      <c r="B6148" s="5" t="s">
        <v>10365</v>
      </c>
      <c r="C6148" s="122" t="s">
        <v>10366</v>
      </c>
      <c r="D6148" s="5"/>
      <c r="E6148" s="123">
        <v>1</v>
      </c>
      <c r="F6148" s="9"/>
      <c r="G6148" s="8">
        <f t="shared" si="186"/>
        <v>367.33094999999997</v>
      </c>
      <c r="H6148" s="165">
        <v>349.839</v>
      </c>
      <c r="I6148" s="19">
        <f t="shared" si="187"/>
        <v>0</v>
      </c>
    </row>
    <row r="6149" spans="1:9" hidden="1">
      <c r="A6149" s="49" t="s">
        <v>8760</v>
      </c>
      <c r="B6149" s="5" t="s">
        <v>10367</v>
      </c>
      <c r="C6149" s="122" t="s">
        <v>10368</v>
      </c>
      <c r="D6149" s="5"/>
      <c r="E6149" s="123">
        <v>1</v>
      </c>
      <c r="F6149" s="9"/>
      <c r="G6149" s="8">
        <f t="shared" si="186"/>
        <v>384.35669999999999</v>
      </c>
      <c r="H6149" s="165">
        <v>366.05399999999997</v>
      </c>
      <c r="I6149" s="19">
        <f t="shared" si="187"/>
        <v>0</v>
      </c>
    </row>
    <row r="6150" spans="1:9" hidden="1">
      <c r="A6150" s="49" t="s">
        <v>8760</v>
      </c>
      <c r="B6150" s="5" t="s">
        <v>10369</v>
      </c>
      <c r="C6150" s="122" t="s">
        <v>10370</v>
      </c>
      <c r="D6150" s="5"/>
      <c r="E6150" s="123">
        <v>1</v>
      </c>
      <c r="F6150" s="9"/>
      <c r="G6150" s="8">
        <f t="shared" si="186"/>
        <v>90.426000000000002</v>
      </c>
      <c r="H6150" s="165">
        <v>86.12</v>
      </c>
      <c r="I6150" s="19">
        <f t="shared" si="187"/>
        <v>0</v>
      </c>
    </row>
    <row r="6151" spans="1:9" hidden="1">
      <c r="A6151" s="49" t="s">
        <v>8760</v>
      </c>
      <c r="B6151" s="5" t="s">
        <v>10371</v>
      </c>
      <c r="C6151" s="122" t="s">
        <v>10372</v>
      </c>
      <c r="D6151" s="5"/>
      <c r="E6151" s="123">
        <v>1</v>
      </c>
      <c r="F6151" s="9"/>
      <c r="G6151" s="8">
        <f t="shared" si="186"/>
        <v>113.02515</v>
      </c>
      <c r="H6151" s="165">
        <v>107.643</v>
      </c>
      <c r="I6151" s="19">
        <f t="shared" si="187"/>
        <v>0</v>
      </c>
    </row>
    <row r="6152" spans="1:9" hidden="1">
      <c r="A6152" s="49" t="s">
        <v>8760</v>
      </c>
      <c r="B6152" s="5" t="s">
        <v>10373</v>
      </c>
      <c r="C6152" s="122" t="s">
        <v>10374</v>
      </c>
      <c r="D6152" s="5"/>
      <c r="E6152" s="123">
        <v>1</v>
      </c>
      <c r="F6152" s="9"/>
      <c r="G6152" s="8">
        <f t="shared" si="186"/>
        <v>135.62535</v>
      </c>
      <c r="H6152" s="165">
        <v>129.167</v>
      </c>
      <c r="I6152" s="19">
        <f t="shared" si="187"/>
        <v>0</v>
      </c>
    </row>
    <row r="6153" spans="1:9" hidden="1">
      <c r="A6153" s="49" t="s">
        <v>8760</v>
      </c>
      <c r="B6153" s="5" t="s">
        <v>10375</v>
      </c>
      <c r="C6153" s="122" t="s">
        <v>10376</v>
      </c>
      <c r="D6153" s="5"/>
      <c r="E6153" s="123">
        <v>1</v>
      </c>
      <c r="F6153" s="9"/>
      <c r="G6153" s="8">
        <f t="shared" si="186"/>
        <v>158.23814999999999</v>
      </c>
      <c r="H6153" s="165">
        <v>150.703</v>
      </c>
      <c r="I6153" s="19">
        <f t="shared" si="187"/>
        <v>0</v>
      </c>
    </row>
    <row r="6154" spans="1:9" hidden="1">
      <c r="A6154" s="49" t="s">
        <v>8760</v>
      </c>
      <c r="B6154" s="5" t="s">
        <v>10377</v>
      </c>
      <c r="C6154" s="122" t="s">
        <v>10378</v>
      </c>
      <c r="D6154" s="5"/>
      <c r="E6154" s="123">
        <v>1</v>
      </c>
      <c r="F6154" s="9"/>
      <c r="G6154" s="8">
        <f t="shared" si="186"/>
        <v>180.8373</v>
      </c>
      <c r="H6154" s="165">
        <v>172.226</v>
      </c>
      <c r="I6154" s="19">
        <f t="shared" si="187"/>
        <v>0</v>
      </c>
    </row>
    <row r="6155" spans="1:9" hidden="1">
      <c r="A6155" s="49" t="s">
        <v>8760</v>
      </c>
      <c r="B6155" s="5" t="s">
        <v>10379</v>
      </c>
      <c r="C6155" s="122" t="s">
        <v>10380</v>
      </c>
      <c r="D6155" s="5"/>
      <c r="E6155" s="123">
        <v>1</v>
      </c>
      <c r="F6155" s="9"/>
      <c r="G6155" s="8">
        <f t="shared" si="186"/>
        <v>339.07544999999999</v>
      </c>
      <c r="H6155" s="165">
        <v>322.92899999999997</v>
      </c>
      <c r="I6155" s="19">
        <f t="shared" si="187"/>
        <v>0</v>
      </c>
    </row>
    <row r="6156" spans="1:9" hidden="1">
      <c r="A6156" s="49" t="s">
        <v>8760</v>
      </c>
      <c r="B6156" s="5" t="s">
        <v>10381</v>
      </c>
      <c r="C6156" s="122" t="s">
        <v>10382</v>
      </c>
      <c r="D6156" s="5"/>
      <c r="E6156" s="123">
        <v>1</v>
      </c>
      <c r="F6156" s="9"/>
      <c r="G6156" s="8">
        <f t="shared" si="186"/>
        <v>367.33094999999997</v>
      </c>
      <c r="H6156" s="165">
        <v>349.839</v>
      </c>
      <c r="I6156" s="19">
        <f t="shared" si="187"/>
        <v>0</v>
      </c>
    </row>
    <row r="6157" spans="1:9" hidden="1">
      <c r="A6157" s="49" t="s">
        <v>8760</v>
      </c>
      <c r="B6157" s="5" t="s">
        <v>10383</v>
      </c>
      <c r="C6157" s="122" t="s">
        <v>10384</v>
      </c>
      <c r="D6157" s="5"/>
      <c r="E6157" s="123">
        <v>1</v>
      </c>
      <c r="F6157" s="9"/>
      <c r="G6157" s="8">
        <f t="shared" si="186"/>
        <v>384.35669999999999</v>
      </c>
      <c r="H6157" s="165">
        <v>366.05399999999997</v>
      </c>
      <c r="I6157" s="19">
        <f t="shared" si="187"/>
        <v>0</v>
      </c>
    </row>
    <row r="6158" spans="1:9" hidden="1">
      <c r="A6158" s="49" t="s">
        <v>8760</v>
      </c>
      <c r="B6158" s="5" t="s">
        <v>10385</v>
      </c>
      <c r="C6158" s="122" t="s">
        <v>10386</v>
      </c>
      <c r="D6158" s="5"/>
      <c r="E6158" s="123">
        <v>1</v>
      </c>
      <c r="F6158" s="9"/>
      <c r="G6158" s="8">
        <f t="shared" si="186"/>
        <v>144.8202</v>
      </c>
      <c r="H6158" s="165">
        <v>137.92400000000001</v>
      </c>
      <c r="I6158" s="19">
        <f t="shared" si="187"/>
        <v>0</v>
      </c>
    </row>
    <row r="6159" spans="1:9" hidden="1">
      <c r="A6159" s="49" t="s">
        <v>8760</v>
      </c>
      <c r="B6159" s="5" t="s">
        <v>10387</v>
      </c>
      <c r="C6159" s="122" t="s">
        <v>10388</v>
      </c>
      <c r="D6159" s="5"/>
      <c r="E6159" s="123">
        <v>1</v>
      </c>
      <c r="F6159" s="9"/>
      <c r="G6159" s="8">
        <f t="shared" si="186"/>
        <v>168.90825000000001</v>
      </c>
      <c r="H6159" s="165">
        <v>160.86500000000001</v>
      </c>
      <c r="I6159" s="19">
        <f t="shared" si="187"/>
        <v>0</v>
      </c>
    </row>
    <row r="6160" spans="1:9" hidden="1">
      <c r="A6160" s="49" t="s">
        <v>8760</v>
      </c>
      <c r="B6160" s="5" t="s">
        <v>10389</v>
      </c>
      <c r="C6160" s="122" t="s">
        <v>10390</v>
      </c>
      <c r="D6160" s="5"/>
      <c r="E6160" s="123">
        <v>1</v>
      </c>
      <c r="F6160" s="9"/>
      <c r="G6160" s="8">
        <f t="shared" si="186"/>
        <v>193.06245000000001</v>
      </c>
      <c r="H6160" s="165">
        <v>183.869</v>
      </c>
      <c r="I6160" s="19">
        <f t="shared" si="187"/>
        <v>0</v>
      </c>
    </row>
    <row r="6161" spans="1:9" hidden="1">
      <c r="A6161" s="49" t="s">
        <v>8760</v>
      </c>
      <c r="B6161" s="5" t="s">
        <v>10391</v>
      </c>
      <c r="C6161" s="122" t="s">
        <v>10392</v>
      </c>
      <c r="D6161" s="5"/>
      <c r="E6161" s="123">
        <v>1</v>
      </c>
      <c r="F6161" s="9"/>
      <c r="G6161" s="8">
        <f t="shared" si="186"/>
        <v>301.63665000000003</v>
      </c>
      <c r="H6161" s="165">
        <v>287.27300000000002</v>
      </c>
      <c r="I6161" s="19">
        <f t="shared" si="187"/>
        <v>0</v>
      </c>
    </row>
    <row r="6162" spans="1:9" hidden="1">
      <c r="A6162" s="49" t="s">
        <v>8760</v>
      </c>
      <c r="B6162" s="5" t="s">
        <v>10393</v>
      </c>
      <c r="C6162" s="122" t="s">
        <v>10394</v>
      </c>
      <c r="D6162" s="5"/>
      <c r="E6162" s="123">
        <v>1</v>
      </c>
      <c r="F6162" s="9"/>
      <c r="G6162" s="8">
        <f t="shared" si="186"/>
        <v>106.6905</v>
      </c>
      <c r="H6162" s="165">
        <v>101.61</v>
      </c>
      <c r="I6162" s="19">
        <f t="shared" si="187"/>
        <v>0</v>
      </c>
    </row>
    <row r="6163" spans="1:9" hidden="1">
      <c r="A6163" s="49" t="s">
        <v>8760</v>
      </c>
      <c r="B6163" s="5" t="s">
        <v>10395</v>
      </c>
      <c r="C6163" s="122" t="s">
        <v>10396</v>
      </c>
      <c r="D6163" s="5"/>
      <c r="E6163" s="123">
        <v>1</v>
      </c>
      <c r="F6163" s="9"/>
      <c r="G6163" s="8">
        <f t="shared" si="186"/>
        <v>392.12880000000001</v>
      </c>
      <c r="H6163" s="165">
        <v>373.45600000000002</v>
      </c>
      <c r="I6163" s="19">
        <f t="shared" si="187"/>
        <v>0</v>
      </c>
    </row>
    <row r="6164" spans="1:9" hidden="1">
      <c r="A6164" s="49" t="s">
        <v>8760</v>
      </c>
      <c r="B6164" s="5" t="s">
        <v>10397</v>
      </c>
      <c r="C6164" s="122" t="s">
        <v>10398</v>
      </c>
      <c r="D6164" s="5"/>
      <c r="E6164" s="123">
        <v>1</v>
      </c>
      <c r="F6164" s="9"/>
      <c r="G6164" s="8">
        <f t="shared" ref="G6164:G6219" si="188">H6164+(H6164*5%)</f>
        <v>434.36610000000002</v>
      </c>
      <c r="H6164" s="165">
        <v>413.68200000000002</v>
      </c>
      <c r="I6164" s="19">
        <f t="shared" ref="I6164:I6219" si="189">G6164*F6164</f>
        <v>0</v>
      </c>
    </row>
    <row r="6165" spans="1:9" hidden="1">
      <c r="A6165" s="49" t="s">
        <v>8760</v>
      </c>
      <c r="B6165" s="5" t="s">
        <v>10399</v>
      </c>
      <c r="C6165" s="122" t="s">
        <v>10400</v>
      </c>
      <c r="D6165" s="5"/>
      <c r="E6165" s="123">
        <v>1</v>
      </c>
      <c r="F6165" s="9"/>
      <c r="G6165" s="8">
        <f t="shared" si="188"/>
        <v>144.8202</v>
      </c>
      <c r="H6165" s="165">
        <v>137.92400000000001</v>
      </c>
      <c r="I6165" s="19">
        <f t="shared" si="189"/>
        <v>0</v>
      </c>
    </row>
    <row r="6166" spans="1:9" hidden="1">
      <c r="A6166" s="49" t="s">
        <v>8760</v>
      </c>
      <c r="B6166" s="5" t="s">
        <v>10401</v>
      </c>
      <c r="C6166" s="122" t="s">
        <v>10402</v>
      </c>
      <c r="D6166" s="5"/>
      <c r="E6166" s="123">
        <v>1</v>
      </c>
      <c r="F6166" s="9"/>
      <c r="G6166" s="8">
        <f t="shared" si="188"/>
        <v>168.90825000000001</v>
      </c>
      <c r="H6166" s="165">
        <v>160.86500000000001</v>
      </c>
      <c r="I6166" s="19">
        <f t="shared" si="189"/>
        <v>0</v>
      </c>
    </row>
    <row r="6167" spans="1:9" hidden="1">
      <c r="A6167" s="49" t="s">
        <v>8760</v>
      </c>
      <c r="B6167" s="5" t="s">
        <v>10403</v>
      </c>
      <c r="C6167" s="122" t="s">
        <v>10404</v>
      </c>
      <c r="D6167" s="5"/>
      <c r="E6167" s="123">
        <v>1</v>
      </c>
      <c r="F6167" s="9"/>
      <c r="G6167" s="8">
        <f t="shared" si="188"/>
        <v>193.06245000000001</v>
      </c>
      <c r="H6167" s="165">
        <v>183.869</v>
      </c>
      <c r="I6167" s="19">
        <f t="shared" si="189"/>
        <v>0</v>
      </c>
    </row>
    <row r="6168" spans="1:9" hidden="1">
      <c r="A6168" s="49" t="s">
        <v>8760</v>
      </c>
      <c r="B6168" s="5" t="s">
        <v>10405</v>
      </c>
      <c r="C6168" s="122" t="s">
        <v>10406</v>
      </c>
      <c r="D6168" s="5"/>
      <c r="E6168" s="123">
        <v>1</v>
      </c>
      <c r="F6168" s="9"/>
      <c r="G6168" s="8">
        <f t="shared" si="188"/>
        <v>86.582999999999998</v>
      </c>
      <c r="H6168" s="165">
        <v>82.46</v>
      </c>
      <c r="I6168" s="19">
        <f t="shared" si="189"/>
        <v>0</v>
      </c>
    </row>
    <row r="6169" spans="1:9" hidden="1">
      <c r="A6169" s="49" t="s">
        <v>8760</v>
      </c>
      <c r="B6169" s="5" t="s">
        <v>10407</v>
      </c>
      <c r="C6169" s="122" t="s">
        <v>10408</v>
      </c>
      <c r="D6169" s="5"/>
      <c r="E6169" s="123">
        <v>1</v>
      </c>
      <c r="F6169" s="9"/>
      <c r="G6169" s="8">
        <f t="shared" si="188"/>
        <v>361.95600000000002</v>
      </c>
      <c r="H6169" s="165">
        <v>344.72</v>
      </c>
      <c r="I6169" s="19">
        <f t="shared" si="189"/>
        <v>0</v>
      </c>
    </row>
    <row r="6170" spans="1:9" hidden="1">
      <c r="A6170" s="49" t="s">
        <v>8760</v>
      </c>
      <c r="B6170" s="5" t="s">
        <v>10409</v>
      </c>
      <c r="C6170" s="122" t="s">
        <v>10410</v>
      </c>
      <c r="D6170" s="5"/>
      <c r="E6170" s="123">
        <v>1</v>
      </c>
      <c r="F6170" s="9"/>
      <c r="G6170" s="8">
        <f t="shared" si="188"/>
        <v>392.12880000000001</v>
      </c>
      <c r="H6170" s="165">
        <v>373.45600000000002</v>
      </c>
      <c r="I6170" s="19">
        <f t="shared" si="189"/>
        <v>0</v>
      </c>
    </row>
    <row r="6171" spans="1:9" hidden="1">
      <c r="A6171" s="49" t="s">
        <v>8760</v>
      </c>
      <c r="B6171" s="5" t="s">
        <v>10411</v>
      </c>
      <c r="C6171" s="122" t="s">
        <v>10412</v>
      </c>
      <c r="D6171" s="5"/>
      <c r="E6171" s="123">
        <v>1</v>
      </c>
      <c r="F6171" s="9"/>
      <c r="G6171" s="8">
        <f t="shared" si="188"/>
        <v>434.36610000000002</v>
      </c>
      <c r="H6171" s="165">
        <v>413.68200000000002</v>
      </c>
      <c r="I6171" s="19">
        <f t="shared" si="189"/>
        <v>0</v>
      </c>
    </row>
    <row r="6172" spans="1:9" hidden="1">
      <c r="A6172" s="49" t="s">
        <v>8760</v>
      </c>
      <c r="B6172" s="5" t="s">
        <v>10413</v>
      </c>
      <c r="C6172" s="122" t="s">
        <v>10414</v>
      </c>
      <c r="D6172" s="5"/>
      <c r="E6172" s="123">
        <v>1</v>
      </c>
      <c r="F6172" s="9"/>
      <c r="G6172" s="8">
        <f t="shared" si="188"/>
        <v>179.71064999999999</v>
      </c>
      <c r="H6172" s="165">
        <v>171.15299999999999</v>
      </c>
      <c r="I6172" s="19">
        <f t="shared" si="189"/>
        <v>0</v>
      </c>
    </row>
    <row r="6173" spans="1:9" hidden="1">
      <c r="A6173" s="49" t="s">
        <v>8760</v>
      </c>
      <c r="B6173" s="5" t="s">
        <v>10415</v>
      </c>
      <c r="C6173" s="122" t="s">
        <v>10416</v>
      </c>
      <c r="D6173" s="5"/>
      <c r="E6173" s="123">
        <v>1</v>
      </c>
      <c r="F6173" s="9"/>
      <c r="G6173" s="8">
        <f t="shared" si="188"/>
        <v>205.42095</v>
      </c>
      <c r="H6173" s="165">
        <v>195.63900000000001</v>
      </c>
      <c r="I6173" s="19">
        <f t="shared" si="189"/>
        <v>0</v>
      </c>
    </row>
    <row r="6174" spans="1:9" hidden="1">
      <c r="A6174" s="49" t="s">
        <v>8760</v>
      </c>
      <c r="B6174" s="5" t="s">
        <v>10417</v>
      </c>
      <c r="C6174" s="122" t="s">
        <v>10418</v>
      </c>
      <c r="D6174" s="5"/>
      <c r="E6174" s="123">
        <v>1</v>
      </c>
      <c r="F6174" s="9"/>
      <c r="G6174" s="8">
        <f t="shared" si="188"/>
        <v>385.13265000000001</v>
      </c>
      <c r="H6174" s="165">
        <v>366.79300000000001</v>
      </c>
      <c r="I6174" s="19">
        <f t="shared" si="189"/>
        <v>0</v>
      </c>
    </row>
    <row r="6175" spans="1:9" hidden="1">
      <c r="A6175" s="49" t="s">
        <v>8760</v>
      </c>
      <c r="B6175" s="5" t="s">
        <v>10419</v>
      </c>
      <c r="C6175" s="122" t="s">
        <v>10420</v>
      </c>
      <c r="D6175" s="5"/>
      <c r="E6175" s="123">
        <v>1</v>
      </c>
      <c r="F6175" s="9"/>
      <c r="G6175" s="8">
        <f t="shared" si="188"/>
        <v>417.20909999999998</v>
      </c>
      <c r="H6175" s="165">
        <v>397.34199999999998</v>
      </c>
      <c r="I6175" s="19">
        <f t="shared" si="189"/>
        <v>0</v>
      </c>
    </row>
    <row r="6176" spans="1:9" hidden="1">
      <c r="A6176" s="49" t="s">
        <v>8760</v>
      </c>
      <c r="B6176" s="5" t="s">
        <v>10421</v>
      </c>
      <c r="C6176" s="122" t="s">
        <v>10422</v>
      </c>
      <c r="D6176" s="5"/>
      <c r="E6176" s="123">
        <v>1</v>
      </c>
      <c r="F6176" s="9"/>
      <c r="G6176" s="8">
        <f t="shared" si="188"/>
        <v>462.12599999999998</v>
      </c>
      <c r="H6176" s="165">
        <v>440.12</v>
      </c>
      <c r="I6176" s="19">
        <f t="shared" si="189"/>
        <v>0</v>
      </c>
    </row>
    <row r="6177" spans="1:9" hidden="1">
      <c r="A6177" s="49" t="s">
        <v>8760</v>
      </c>
      <c r="B6177" s="5" t="s">
        <v>10423</v>
      </c>
      <c r="C6177" s="122" t="s">
        <v>10424</v>
      </c>
      <c r="D6177" s="5"/>
      <c r="E6177" s="123">
        <v>1</v>
      </c>
      <c r="F6177" s="9"/>
      <c r="G6177" s="8">
        <f t="shared" si="188"/>
        <v>179.71064999999999</v>
      </c>
      <c r="H6177" s="165">
        <v>171.15299999999999</v>
      </c>
      <c r="I6177" s="19">
        <f t="shared" si="189"/>
        <v>0</v>
      </c>
    </row>
    <row r="6178" spans="1:9" hidden="1">
      <c r="A6178" s="49" t="s">
        <v>8760</v>
      </c>
      <c r="B6178" s="5" t="s">
        <v>10425</v>
      </c>
      <c r="C6178" s="122" t="s">
        <v>10426</v>
      </c>
      <c r="D6178" s="5"/>
      <c r="E6178" s="123">
        <v>1</v>
      </c>
      <c r="F6178" s="9"/>
      <c r="G6178" s="8">
        <f t="shared" si="188"/>
        <v>205.42095</v>
      </c>
      <c r="H6178" s="165">
        <v>195.63900000000001</v>
      </c>
      <c r="I6178" s="19">
        <f t="shared" si="189"/>
        <v>0</v>
      </c>
    </row>
    <row r="6179" spans="1:9" hidden="1">
      <c r="A6179" s="49" t="s">
        <v>8760</v>
      </c>
      <c r="B6179" s="5" t="s">
        <v>10427</v>
      </c>
      <c r="C6179" s="122" t="s">
        <v>10428</v>
      </c>
      <c r="D6179" s="5"/>
      <c r="E6179" s="123">
        <v>1</v>
      </c>
      <c r="F6179" s="9"/>
      <c r="G6179" s="8">
        <f t="shared" si="188"/>
        <v>385.13265000000001</v>
      </c>
      <c r="H6179" s="165">
        <v>366.79300000000001</v>
      </c>
      <c r="I6179" s="19">
        <f t="shared" si="189"/>
        <v>0</v>
      </c>
    </row>
    <row r="6180" spans="1:9" hidden="1">
      <c r="A6180" s="49" t="s">
        <v>8760</v>
      </c>
      <c r="B6180" s="5" t="s">
        <v>10429</v>
      </c>
      <c r="C6180" s="122" t="s">
        <v>10430</v>
      </c>
      <c r="D6180" s="5"/>
      <c r="E6180" s="123">
        <v>1</v>
      </c>
      <c r="F6180" s="9"/>
      <c r="G6180" s="8">
        <f t="shared" si="188"/>
        <v>417.20909999999998</v>
      </c>
      <c r="H6180" s="165">
        <v>397.34199999999998</v>
      </c>
      <c r="I6180" s="19">
        <f t="shared" si="189"/>
        <v>0</v>
      </c>
    </row>
    <row r="6181" spans="1:9" hidden="1">
      <c r="A6181" s="49" t="s">
        <v>8760</v>
      </c>
      <c r="B6181" s="5" t="s">
        <v>10431</v>
      </c>
      <c r="C6181" s="122" t="s">
        <v>10432</v>
      </c>
      <c r="D6181" s="5"/>
      <c r="E6181" s="123">
        <v>1</v>
      </c>
      <c r="F6181" s="9"/>
      <c r="G6181" s="8">
        <f t="shared" si="188"/>
        <v>462.12599999999998</v>
      </c>
      <c r="H6181" s="165">
        <v>440.12</v>
      </c>
      <c r="I6181" s="19">
        <f t="shared" si="189"/>
        <v>0</v>
      </c>
    </row>
    <row r="6182" spans="1:9" hidden="1">
      <c r="A6182" s="49" t="s">
        <v>8760</v>
      </c>
      <c r="B6182" s="5" t="s">
        <v>10433</v>
      </c>
      <c r="C6182" s="122" t="s">
        <v>10434</v>
      </c>
      <c r="D6182" s="5"/>
      <c r="E6182" s="123">
        <v>1</v>
      </c>
      <c r="F6182" s="9"/>
      <c r="G6182" s="8">
        <f t="shared" si="188"/>
        <v>217.8603</v>
      </c>
      <c r="H6182" s="165">
        <v>207.48599999999999</v>
      </c>
      <c r="I6182" s="19">
        <f t="shared" si="189"/>
        <v>0</v>
      </c>
    </row>
    <row r="6183" spans="1:9" hidden="1">
      <c r="A6183" s="49" t="s">
        <v>8760</v>
      </c>
      <c r="B6183" s="5" t="s">
        <v>10435</v>
      </c>
      <c r="C6183" s="122" t="s">
        <v>10436</v>
      </c>
      <c r="D6183" s="5"/>
      <c r="E6183" s="123">
        <v>1</v>
      </c>
      <c r="F6183" s="9"/>
      <c r="G6183" s="8">
        <f t="shared" si="188"/>
        <v>442.4889</v>
      </c>
      <c r="H6183" s="165">
        <v>421.41800000000001</v>
      </c>
      <c r="I6183" s="19">
        <f t="shared" si="189"/>
        <v>0</v>
      </c>
    </row>
    <row r="6184" spans="1:9" hidden="1">
      <c r="A6184" s="49" t="s">
        <v>8760</v>
      </c>
      <c r="B6184" s="5" t="s">
        <v>10437</v>
      </c>
      <c r="C6184" s="122" t="s">
        <v>10438</v>
      </c>
      <c r="D6184" s="5"/>
      <c r="E6184" s="123">
        <v>1</v>
      </c>
      <c r="F6184" s="9"/>
      <c r="G6184" s="8">
        <f t="shared" si="188"/>
        <v>217.8603</v>
      </c>
      <c r="H6184" s="165">
        <v>207.48599999999999</v>
      </c>
      <c r="I6184" s="19">
        <f t="shared" si="189"/>
        <v>0</v>
      </c>
    </row>
    <row r="6185" spans="1:9" hidden="1">
      <c r="A6185" s="49" t="s">
        <v>8760</v>
      </c>
      <c r="B6185" s="5" t="s">
        <v>10439</v>
      </c>
      <c r="C6185" s="122" t="s">
        <v>10440</v>
      </c>
      <c r="D6185" s="5"/>
      <c r="E6185" s="123">
        <v>1</v>
      </c>
      <c r="F6185" s="9"/>
      <c r="G6185" s="8">
        <f t="shared" si="188"/>
        <v>231.66149999999999</v>
      </c>
      <c r="H6185" s="165">
        <v>220.63</v>
      </c>
      <c r="I6185" s="19">
        <f t="shared" si="189"/>
        <v>0</v>
      </c>
    </row>
    <row r="6186" spans="1:9" hidden="1">
      <c r="A6186" s="49" t="s">
        <v>8760</v>
      </c>
      <c r="B6186" s="5" t="s">
        <v>10441</v>
      </c>
      <c r="C6186" s="122" t="s">
        <v>10442</v>
      </c>
      <c r="D6186" s="5"/>
      <c r="E6186" s="123">
        <v>1</v>
      </c>
      <c r="F6186" s="9"/>
      <c r="G6186" s="8">
        <f t="shared" si="188"/>
        <v>442.4889</v>
      </c>
      <c r="H6186" s="165">
        <v>421.41800000000001</v>
      </c>
      <c r="I6186" s="19">
        <f t="shared" si="189"/>
        <v>0</v>
      </c>
    </row>
    <row r="6187" spans="1:9" hidden="1">
      <c r="A6187" s="49" t="s">
        <v>8760</v>
      </c>
      <c r="B6187" s="5" t="s">
        <v>10443</v>
      </c>
      <c r="C6187" s="122" t="s">
        <v>10444</v>
      </c>
      <c r="D6187" s="5"/>
      <c r="E6187" s="123">
        <v>1</v>
      </c>
      <c r="F6187" s="9"/>
      <c r="G6187" s="8">
        <f t="shared" si="188"/>
        <v>91.900199999999998</v>
      </c>
      <c r="H6187" s="165">
        <v>87.524000000000001</v>
      </c>
      <c r="I6187" s="19">
        <f t="shared" si="189"/>
        <v>0</v>
      </c>
    </row>
    <row r="6188" spans="1:9" hidden="1">
      <c r="A6188" s="49" t="s">
        <v>8760</v>
      </c>
      <c r="B6188" s="5" t="s">
        <v>10445</v>
      </c>
      <c r="C6188" s="122" t="s">
        <v>10446</v>
      </c>
      <c r="D6188" s="5"/>
      <c r="E6188" s="123">
        <v>1</v>
      </c>
      <c r="F6188" s="9"/>
      <c r="G6188" s="8">
        <f t="shared" si="188"/>
        <v>28.423500000000001</v>
      </c>
      <c r="H6188" s="165">
        <v>27.07</v>
      </c>
      <c r="I6188" s="19">
        <f t="shared" si="189"/>
        <v>0</v>
      </c>
    </row>
    <row r="6189" spans="1:9" hidden="1">
      <c r="A6189" s="49" t="s">
        <v>8760</v>
      </c>
      <c r="B6189" s="5" t="s">
        <v>10447</v>
      </c>
      <c r="C6189" s="122" t="s">
        <v>10448</v>
      </c>
      <c r="D6189" s="5"/>
      <c r="E6189" s="123">
        <v>1</v>
      </c>
      <c r="F6189" s="9"/>
      <c r="G6189" s="8">
        <f t="shared" si="188"/>
        <v>280.87395000000004</v>
      </c>
      <c r="H6189" s="165">
        <v>267.49900000000002</v>
      </c>
      <c r="I6189" s="19">
        <f t="shared" si="189"/>
        <v>0</v>
      </c>
    </row>
    <row r="6190" spans="1:9" hidden="1">
      <c r="A6190" s="49" t="s">
        <v>8760</v>
      </c>
      <c r="B6190" s="5" t="s">
        <v>10449</v>
      </c>
      <c r="C6190" s="122" t="s">
        <v>10450</v>
      </c>
      <c r="D6190" s="5"/>
      <c r="E6190" s="123">
        <v>1</v>
      </c>
      <c r="F6190" s="9"/>
      <c r="G6190" s="8">
        <f t="shared" si="188"/>
        <v>374.4615</v>
      </c>
      <c r="H6190" s="165">
        <v>356.63</v>
      </c>
      <c r="I6190" s="19">
        <f t="shared" si="189"/>
        <v>0</v>
      </c>
    </row>
    <row r="6191" spans="1:9" hidden="1">
      <c r="A6191" s="49" t="s">
        <v>8760</v>
      </c>
      <c r="B6191" s="5" t="s">
        <v>10451</v>
      </c>
      <c r="C6191" s="122" t="s">
        <v>10452</v>
      </c>
      <c r="D6191" s="5"/>
      <c r="E6191" s="123">
        <v>1</v>
      </c>
      <c r="F6191" s="9"/>
      <c r="G6191" s="8">
        <f t="shared" si="188"/>
        <v>760.58534999999995</v>
      </c>
      <c r="H6191" s="165">
        <v>724.36699999999996</v>
      </c>
      <c r="I6191" s="19">
        <f t="shared" si="189"/>
        <v>0</v>
      </c>
    </row>
    <row r="6192" spans="1:9" hidden="1">
      <c r="A6192" s="49" t="s">
        <v>8760</v>
      </c>
      <c r="B6192" s="5" t="s">
        <v>10453</v>
      </c>
      <c r="C6192" s="122" t="s">
        <v>10454</v>
      </c>
      <c r="D6192" s="5"/>
      <c r="E6192" s="123">
        <v>1</v>
      </c>
      <c r="F6192" s="9"/>
      <c r="G6192" s="8">
        <f t="shared" si="188"/>
        <v>280.87395000000004</v>
      </c>
      <c r="H6192" s="165">
        <v>267.49900000000002</v>
      </c>
      <c r="I6192" s="19">
        <f t="shared" si="189"/>
        <v>0</v>
      </c>
    </row>
    <row r="6193" spans="1:9" hidden="1">
      <c r="A6193" s="49" t="s">
        <v>8760</v>
      </c>
      <c r="B6193" s="5" t="s">
        <v>10455</v>
      </c>
      <c r="C6193" s="122" t="s">
        <v>10456</v>
      </c>
      <c r="D6193" s="5"/>
      <c r="E6193" s="123">
        <v>1</v>
      </c>
      <c r="F6193" s="9"/>
      <c r="G6193" s="8">
        <f t="shared" si="188"/>
        <v>374.4615</v>
      </c>
      <c r="H6193" s="165">
        <v>356.63</v>
      </c>
      <c r="I6193" s="19">
        <f t="shared" si="189"/>
        <v>0</v>
      </c>
    </row>
    <row r="6194" spans="1:9" hidden="1">
      <c r="A6194" s="49" t="s">
        <v>8760</v>
      </c>
      <c r="B6194" s="5" t="s">
        <v>10457</v>
      </c>
      <c r="C6194" s="122" t="s">
        <v>10458</v>
      </c>
      <c r="D6194" s="5"/>
      <c r="E6194" s="123">
        <v>1</v>
      </c>
      <c r="F6194" s="9"/>
      <c r="G6194" s="8">
        <f t="shared" si="188"/>
        <v>760.58534999999995</v>
      </c>
      <c r="H6194" s="165">
        <v>724.36699999999996</v>
      </c>
      <c r="I6194" s="19">
        <f t="shared" si="189"/>
        <v>0</v>
      </c>
    </row>
    <row r="6195" spans="1:9" hidden="1">
      <c r="A6195" s="49" t="s">
        <v>8760</v>
      </c>
      <c r="B6195" s="5" t="s">
        <v>10459</v>
      </c>
      <c r="C6195" s="122" t="s">
        <v>10460</v>
      </c>
      <c r="D6195" s="5"/>
      <c r="E6195" s="123">
        <v>1</v>
      </c>
      <c r="F6195" s="9"/>
      <c r="G6195" s="8">
        <f t="shared" si="188"/>
        <v>266.66534999999999</v>
      </c>
      <c r="H6195" s="165">
        <v>253.96700000000001</v>
      </c>
      <c r="I6195" s="19">
        <f t="shared" si="189"/>
        <v>0</v>
      </c>
    </row>
    <row r="6196" spans="1:9" hidden="1">
      <c r="A6196" s="49" t="s">
        <v>8760</v>
      </c>
      <c r="B6196" s="5" t="s">
        <v>10461</v>
      </c>
      <c r="C6196" s="122" t="s">
        <v>10462</v>
      </c>
      <c r="D6196" s="5"/>
      <c r="E6196" s="123">
        <v>1</v>
      </c>
      <c r="F6196" s="9"/>
      <c r="G6196" s="8">
        <f t="shared" si="188"/>
        <v>355.53629999999998</v>
      </c>
      <c r="H6196" s="165">
        <v>338.60599999999999</v>
      </c>
      <c r="I6196" s="19">
        <f t="shared" si="189"/>
        <v>0</v>
      </c>
    </row>
    <row r="6197" spans="1:9" hidden="1">
      <c r="A6197" s="49" t="s">
        <v>8760</v>
      </c>
      <c r="B6197" s="5" t="s">
        <v>10463</v>
      </c>
      <c r="C6197" s="122" t="s">
        <v>10464</v>
      </c>
      <c r="D6197" s="5"/>
      <c r="E6197" s="123">
        <v>1</v>
      </c>
      <c r="F6197" s="9"/>
      <c r="G6197" s="8">
        <f t="shared" si="188"/>
        <v>611.03489999999999</v>
      </c>
      <c r="H6197" s="165">
        <v>581.93799999999999</v>
      </c>
      <c r="I6197" s="19">
        <f t="shared" si="189"/>
        <v>0</v>
      </c>
    </row>
    <row r="6198" spans="1:9" hidden="1">
      <c r="A6198" s="49" t="s">
        <v>8760</v>
      </c>
      <c r="B6198" s="5" t="s">
        <v>10465</v>
      </c>
      <c r="C6198" s="122" t="s">
        <v>10466</v>
      </c>
      <c r="D6198" s="5"/>
      <c r="E6198" s="123">
        <v>1</v>
      </c>
      <c r="F6198" s="9"/>
      <c r="G6198" s="8">
        <f t="shared" si="188"/>
        <v>722.15640000000008</v>
      </c>
      <c r="H6198" s="165">
        <v>687.76800000000003</v>
      </c>
      <c r="I6198" s="19">
        <f t="shared" si="189"/>
        <v>0</v>
      </c>
    </row>
    <row r="6199" spans="1:9" hidden="1">
      <c r="A6199" s="49" t="s">
        <v>8760</v>
      </c>
      <c r="B6199" s="5" t="s">
        <v>10467</v>
      </c>
      <c r="C6199" s="122" t="s">
        <v>10468</v>
      </c>
      <c r="D6199" s="5"/>
      <c r="E6199" s="123">
        <v>1</v>
      </c>
      <c r="F6199" s="9"/>
      <c r="G6199" s="8">
        <f t="shared" si="188"/>
        <v>266.66534999999999</v>
      </c>
      <c r="H6199" s="165">
        <v>253.96700000000001</v>
      </c>
      <c r="I6199" s="19">
        <f t="shared" si="189"/>
        <v>0</v>
      </c>
    </row>
    <row r="6200" spans="1:9" hidden="1">
      <c r="A6200" s="49" t="s">
        <v>8760</v>
      </c>
      <c r="B6200" s="5" t="s">
        <v>10469</v>
      </c>
      <c r="C6200" s="122" t="s">
        <v>10470</v>
      </c>
      <c r="D6200" s="5"/>
      <c r="E6200" s="123">
        <v>1</v>
      </c>
      <c r="F6200" s="9"/>
      <c r="G6200" s="8">
        <f t="shared" si="188"/>
        <v>355.53629999999998</v>
      </c>
      <c r="H6200" s="165">
        <v>338.60599999999999</v>
      </c>
      <c r="I6200" s="19">
        <f t="shared" si="189"/>
        <v>0</v>
      </c>
    </row>
    <row r="6201" spans="1:9" hidden="1">
      <c r="A6201" s="49" t="s">
        <v>8760</v>
      </c>
      <c r="B6201" s="5" t="s">
        <v>10471</v>
      </c>
      <c r="C6201" s="122" t="s">
        <v>10472</v>
      </c>
      <c r="D6201" s="5"/>
      <c r="E6201" s="123">
        <v>1</v>
      </c>
      <c r="F6201" s="9"/>
      <c r="G6201" s="8">
        <f t="shared" si="188"/>
        <v>611.03489999999999</v>
      </c>
      <c r="H6201" s="165">
        <v>581.93799999999999</v>
      </c>
      <c r="I6201" s="19">
        <f t="shared" si="189"/>
        <v>0</v>
      </c>
    </row>
    <row r="6202" spans="1:9" hidden="1">
      <c r="A6202" s="49" t="s">
        <v>8760</v>
      </c>
      <c r="B6202" s="5" t="s">
        <v>10473</v>
      </c>
      <c r="C6202" s="122" t="s">
        <v>10474</v>
      </c>
      <c r="D6202" s="5"/>
      <c r="E6202" s="123">
        <v>1</v>
      </c>
      <c r="F6202" s="9"/>
      <c r="G6202" s="8">
        <f t="shared" si="188"/>
        <v>722.15640000000008</v>
      </c>
      <c r="H6202" s="165">
        <v>687.76800000000003</v>
      </c>
      <c r="I6202" s="19">
        <f t="shared" si="189"/>
        <v>0</v>
      </c>
    </row>
    <row r="6203" spans="1:9" hidden="1">
      <c r="A6203" s="49" t="s">
        <v>8760</v>
      </c>
      <c r="B6203" s="5" t="s">
        <v>10475</v>
      </c>
      <c r="C6203" s="122" t="s">
        <v>10476</v>
      </c>
      <c r="D6203" s="5"/>
      <c r="E6203" s="123">
        <v>1</v>
      </c>
      <c r="F6203" s="9"/>
      <c r="G6203" s="8">
        <f t="shared" si="188"/>
        <v>393.46965</v>
      </c>
      <c r="H6203" s="165">
        <v>374.733</v>
      </c>
      <c r="I6203" s="19">
        <f t="shared" si="189"/>
        <v>0</v>
      </c>
    </row>
    <row r="6204" spans="1:9" hidden="1">
      <c r="A6204" s="49" t="s">
        <v>8760</v>
      </c>
      <c r="B6204" s="5" t="s">
        <v>10459</v>
      </c>
      <c r="C6204" s="122" t="s">
        <v>10460</v>
      </c>
      <c r="D6204" s="5"/>
      <c r="E6204" s="123">
        <v>1</v>
      </c>
      <c r="F6204" s="9"/>
      <c r="G6204" s="8">
        <f t="shared" si="188"/>
        <v>393.46965</v>
      </c>
      <c r="H6204" s="165">
        <v>374.733</v>
      </c>
      <c r="I6204" s="19">
        <f t="shared" si="189"/>
        <v>0</v>
      </c>
    </row>
    <row r="6205" spans="1:9" hidden="1">
      <c r="A6205" s="49" t="s">
        <v>8760</v>
      </c>
      <c r="B6205" s="5" t="s">
        <v>10477</v>
      </c>
      <c r="C6205" s="122" t="s">
        <v>10478</v>
      </c>
      <c r="D6205" s="5"/>
      <c r="E6205" s="123">
        <v>1</v>
      </c>
      <c r="F6205" s="9"/>
      <c r="G6205" s="8">
        <f t="shared" si="188"/>
        <v>238.48860000000002</v>
      </c>
      <c r="H6205" s="165">
        <v>227.13200000000001</v>
      </c>
      <c r="I6205" s="19">
        <f t="shared" si="189"/>
        <v>0</v>
      </c>
    </row>
    <row r="6206" spans="1:9" hidden="1">
      <c r="A6206" s="49" t="s">
        <v>8760</v>
      </c>
      <c r="B6206" s="5" t="s">
        <v>10479</v>
      </c>
      <c r="C6206" s="122" t="s">
        <v>10480</v>
      </c>
      <c r="D6206" s="5"/>
      <c r="E6206" s="123">
        <v>1</v>
      </c>
      <c r="F6206" s="9"/>
      <c r="G6206" s="8">
        <f t="shared" si="188"/>
        <v>645.93899999999996</v>
      </c>
      <c r="H6206" s="165">
        <v>615.17999999999995</v>
      </c>
      <c r="I6206" s="19">
        <f t="shared" si="189"/>
        <v>0</v>
      </c>
    </row>
    <row r="6207" spans="1:9" hidden="1">
      <c r="A6207" s="49" t="s">
        <v>8760</v>
      </c>
      <c r="B6207" s="5" t="s">
        <v>10481</v>
      </c>
      <c r="C6207" s="122" t="s">
        <v>10482</v>
      </c>
      <c r="D6207" s="5"/>
      <c r="E6207" s="123">
        <v>1</v>
      </c>
      <c r="F6207" s="9"/>
      <c r="G6207" s="8">
        <f t="shared" si="188"/>
        <v>238.48965000000001</v>
      </c>
      <c r="H6207" s="165">
        <v>227.13300000000001</v>
      </c>
      <c r="I6207" s="19">
        <f t="shared" si="189"/>
        <v>0</v>
      </c>
    </row>
    <row r="6208" spans="1:9" hidden="1">
      <c r="A6208" s="49" t="s">
        <v>8760</v>
      </c>
      <c r="B6208" s="5" t="s">
        <v>10483</v>
      </c>
      <c r="C6208" s="122" t="s">
        <v>10484</v>
      </c>
      <c r="D6208" s="5"/>
      <c r="E6208" s="123">
        <v>1</v>
      </c>
      <c r="F6208" s="9"/>
      <c r="G6208" s="8">
        <f t="shared" si="188"/>
        <v>318.03030000000001</v>
      </c>
      <c r="H6208" s="165">
        <v>302.88600000000002</v>
      </c>
      <c r="I6208" s="19">
        <f t="shared" si="189"/>
        <v>0</v>
      </c>
    </row>
    <row r="6209" spans="1:9" hidden="1">
      <c r="A6209" s="49" t="s">
        <v>8760</v>
      </c>
      <c r="B6209" s="5" t="s">
        <v>10485</v>
      </c>
      <c r="C6209" s="122" t="s">
        <v>10486</v>
      </c>
      <c r="D6209" s="5"/>
      <c r="E6209" s="123">
        <v>1</v>
      </c>
      <c r="F6209" s="9"/>
      <c r="G6209" s="8">
        <f t="shared" si="188"/>
        <v>645.93899999999996</v>
      </c>
      <c r="H6209" s="165">
        <v>615.17999999999995</v>
      </c>
      <c r="I6209" s="19">
        <f t="shared" si="189"/>
        <v>0</v>
      </c>
    </row>
    <row r="6210" spans="1:9" hidden="1">
      <c r="A6210" s="49" t="s">
        <v>8760</v>
      </c>
      <c r="B6210" s="5" t="s">
        <v>10487</v>
      </c>
      <c r="C6210" s="122" t="s">
        <v>10488</v>
      </c>
      <c r="D6210" s="5"/>
      <c r="E6210" s="123">
        <v>1</v>
      </c>
      <c r="F6210" s="9"/>
      <c r="G6210" s="8">
        <f t="shared" si="188"/>
        <v>252.53655000000001</v>
      </c>
      <c r="H6210" s="165">
        <v>240.511</v>
      </c>
      <c r="I6210" s="19">
        <f t="shared" si="189"/>
        <v>0</v>
      </c>
    </row>
    <row r="6211" spans="1:9" hidden="1">
      <c r="A6211" s="49" t="s">
        <v>8760</v>
      </c>
      <c r="B6211" s="5" t="s">
        <v>10489</v>
      </c>
      <c r="C6211" s="122" t="s">
        <v>10490</v>
      </c>
      <c r="D6211" s="5"/>
      <c r="E6211" s="123">
        <v>1</v>
      </c>
      <c r="F6211" s="9"/>
      <c r="G6211" s="8">
        <f t="shared" si="188"/>
        <v>336.74340000000001</v>
      </c>
      <c r="H6211" s="165">
        <v>320.70800000000003</v>
      </c>
      <c r="I6211" s="19">
        <f t="shared" si="189"/>
        <v>0</v>
      </c>
    </row>
    <row r="6212" spans="1:9" hidden="1">
      <c r="A6212" s="49" t="s">
        <v>8760</v>
      </c>
      <c r="B6212" s="5" t="s">
        <v>10491</v>
      </c>
      <c r="C6212" s="122" t="s">
        <v>10492</v>
      </c>
      <c r="D6212" s="5"/>
      <c r="E6212" s="123">
        <v>1</v>
      </c>
      <c r="F6212" s="9"/>
      <c r="G6212" s="8">
        <f t="shared" si="188"/>
        <v>578.68965000000003</v>
      </c>
      <c r="H6212" s="165">
        <v>551.13300000000004</v>
      </c>
      <c r="I6212" s="19">
        <f t="shared" si="189"/>
        <v>0</v>
      </c>
    </row>
    <row r="6213" spans="1:9" hidden="1">
      <c r="A6213" s="49" t="s">
        <v>8760</v>
      </c>
      <c r="B6213" s="5" t="s">
        <v>10493</v>
      </c>
      <c r="C6213" s="122" t="s">
        <v>10494</v>
      </c>
      <c r="D6213" s="5"/>
      <c r="E6213" s="123">
        <v>1</v>
      </c>
      <c r="F6213" s="9"/>
      <c r="G6213" s="8">
        <f t="shared" si="188"/>
        <v>683.9405999999999</v>
      </c>
      <c r="H6213" s="165">
        <v>651.37199999999996</v>
      </c>
      <c r="I6213" s="19">
        <f t="shared" si="189"/>
        <v>0</v>
      </c>
    </row>
    <row r="6214" spans="1:9" hidden="1">
      <c r="A6214" s="49" t="s">
        <v>8760</v>
      </c>
      <c r="B6214" s="5" t="s">
        <v>10495</v>
      </c>
      <c r="C6214" s="122" t="s">
        <v>10496</v>
      </c>
      <c r="D6214" s="5"/>
      <c r="E6214" s="123">
        <v>1</v>
      </c>
      <c r="F6214" s="9"/>
      <c r="G6214" s="8">
        <f t="shared" si="188"/>
        <v>252.53655000000001</v>
      </c>
      <c r="H6214" s="165">
        <v>240.511</v>
      </c>
      <c r="I6214" s="19">
        <f t="shared" si="189"/>
        <v>0</v>
      </c>
    </row>
    <row r="6215" spans="1:9" hidden="1">
      <c r="A6215" s="49" t="s">
        <v>8760</v>
      </c>
      <c r="B6215" s="5" t="s">
        <v>10497</v>
      </c>
      <c r="C6215" s="122" t="s">
        <v>10498</v>
      </c>
      <c r="D6215" s="5"/>
      <c r="E6215" s="123">
        <v>1</v>
      </c>
      <c r="F6215" s="9"/>
      <c r="G6215" s="8">
        <f t="shared" si="188"/>
        <v>336.74340000000001</v>
      </c>
      <c r="H6215" s="165">
        <v>320.70800000000003</v>
      </c>
      <c r="I6215" s="19">
        <f t="shared" si="189"/>
        <v>0</v>
      </c>
    </row>
    <row r="6216" spans="1:9" hidden="1">
      <c r="A6216" s="49" t="s">
        <v>8760</v>
      </c>
      <c r="B6216" s="5" t="s">
        <v>10499</v>
      </c>
      <c r="C6216" s="122" t="s">
        <v>10500</v>
      </c>
      <c r="D6216" s="5"/>
      <c r="E6216" s="123">
        <v>1</v>
      </c>
      <c r="F6216" s="9"/>
      <c r="G6216" s="8">
        <f t="shared" si="188"/>
        <v>578.68965000000003</v>
      </c>
      <c r="H6216" s="165">
        <v>551.13300000000004</v>
      </c>
      <c r="I6216" s="19">
        <f t="shared" si="189"/>
        <v>0</v>
      </c>
    </row>
    <row r="6217" spans="1:9" hidden="1">
      <c r="A6217" s="49" t="s">
        <v>8760</v>
      </c>
      <c r="B6217" s="5" t="s">
        <v>10501</v>
      </c>
      <c r="C6217" s="122" t="s">
        <v>10502</v>
      </c>
      <c r="D6217" s="5"/>
      <c r="E6217" s="123">
        <v>1</v>
      </c>
      <c r="F6217" s="9"/>
      <c r="G6217" s="8">
        <f t="shared" si="188"/>
        <v>683.9405999999999</v>
      </c>
      <c r="H6217" s="165">
        <v>651.37199999999996</v>
      </c>
      <c r="I6217" s="19">
        <f t="shared" si="189"/>
        <v>0</v>
      </c>
    </row>
    <row r="6218" spans="1:9" hidden="1">
      <c r="A6218" s="49" t="s">
        <v>8760</v>
      </c>
      <c r="B6218" s="5" t="s">
        <v>10503</v>
      </c>
      <c r="C6218" s="122" t="s">
        <v>10504</v>
      </c>
      <c r="D6218" s="5"/>
      <c r="E6218" s="123">
        <v>1</v>
      </c>
      <c r="F6218" s="9"/>
      <c r="G6218" s="8">
        <f t="shared" si="188"/>
        <v>318.03030000000001</v>
      </c>
      <c r="H6218" s="165">
        <v>302.88600000000002</v>
      </c>
      <c r="I6218" s="19">
        <f t="shared" si="189"/>
        <v>0</v>
      </c>
    </row>
    <row r="6219" spans="1:9" hidden="1">
      <c r="A6219" s="49" t="s">
        <v>8760</v>
      </c>
      <c r="B6219" s="5" t="s">
        <v>10505</v>
      </c>
      <c r="C6219" s="122" t="s">
        <v>10506</v>
      </c>
      <c r="D6219" s="5"/>
      <c r="E6219" s="123">
        <v>1</v>
      </c>
      <c r="F6219" s="9"/>
      <c r="G6219" s="8">
        <f t="shared" si="188"/>
        <v>645.93899999999996</v>
      </c>
      <c r="H6219" s="165">
        <v>615.17999999999995</v>
      </c>
      <c r="I6219" s="19">
        <f t="shared" si="189"/>
        <v>0</v>
      </c>
    </row>
    <row r="6220" spans="1:9" hidden="1">
      <c r="A6220" s="49" t="s">
        <v>8760</v>
      </c>
      <c r="B6220" s="5" t="s">
        <v>10507</v>
      </c>
      <c r="C6220" s="122" t="s">
        <v>10508</v>
      </c>
      <c r="D6220" s="5"/>
      <c r="E6220" s="123">
        <v>1</v>
      </c>
      <c r="F6220" s="9"/>
      <c r="G6220" s="8">
        <f t="shared" ref="G6220:G6283" si="190">H6220+(H6220*5%)</f>
        <v>252.53655000000001</v>
      </c>
      <c r="H6220" s="165">
        <v>240.511</v>
      </c>
      <c r="I6220" s="19">
        <f t="shared" ref="I6220:I6283" si="191">G6220*F6220</f>
        <v>0</v>
      </c>
    </row>
    <row r="6221" spans="1:9" hidden="1">
      <c r="A6221" s="49" t="s">
        <v>8760</v>
      </c>
      <c r="B6221" s="5" t="s">
        <v>10509</v>
      </c>
      <c r="C6221" s="122" t="s">
        <v>10510</v>
      </c>
      <c r="D6221" s="5"/>
      <c r="E6221" s="123">
        <v>1</v>
      </c>
      <c r="F6221" s="9"/>
      <c r="G6221" s="8">
        <f t="shared" si="190"/>
        <v>336.74340000000001</v>
      </c>
      <c r="H6221" s="165">
        <v>320.70800000000003</v>
      </c>
      <c r="I6221" s="19">
        <f t="shared" si="191"/>
        <v>0</v>
      </c>
    </row>
    <row r="6222" spans="1:9" hidden="1">
      <c r="A6222" s="49" t="s">
        <v>8760</v>
      </c>
      <c r="B6222" s="5" t="s">
        <v>10511</v>
      </c>
      <c r="C6222" s="122" t="s">
        <v>10512</v>
      </c>
      <c r="D6222" s="5"/>
      <c r="E6222" s="123">
        <v>1</v>
      </c>
      <c r="F6222" s="9"/>
      <c r="G6222" s="8">
        <f t="shared" si="190"/>
        <v>578.68965000000003</v>
      </c>
      <c r="H6222" s="165">
        <v>551.13300000000004</v>
      </c>
      <c r="I6222" s="19">
        <f t="shared" si="191"/>
        <v>0</v>
      </c>
    </row>
    <row r="6223" spans="1:9" hidden="1">
      <c r="A6223" s="49" t="s">
        <v>8760</v>
      </c>
      <c r="B6223" s="5" t="s">
        <v>10513</v>
      </c>
      <c r="C6223" s="122" t="s">
        <v>10514</v>
      </c>
      <c r="D6223" s="5"/>
      <c r="E6223" s="123">
        <v>1</v>
      </c>
      <c r="F6223" s="9"/>
      <c r="G6223" s="8">
        <f t="shared" si="190"/>
        <v>683.9405999999999</v>
      </c>
      <c r="H6223" s="165">
        <v>651.37199999999996</v>
      </c>
      <c r="I6223" s="19">
        <f t="shared" si="191"/>
        <v>0</v>
      </c>
    </row>
    <row r="6224" spans="1:9" hidden="1">
      <c r="A6224" s="49" t="s">
        <v>8760</v>
      </c>
      <c r="B6224" s="5" t="s">
        <v>10515</v>
      </c>
      <c r="C6224" s="122" t="s">
        <v>10516</v>
      </c>
      <c r="D6224" s="5"/>
      <c r="E6224" s="123">
        <v>1</v>
      </c>
      <c r="F6224" s="9"/>
      <c r="G6224" s="8">
        <f t="shared" si="190"/>
        <v>252.53655000000001</v>
      </c>
      <c r="H6224" s="165">
        <v>240.511</v>
      </c>
      <c r="I6224" s="19">
        <f t="shared" si="191"/>
        <v>0</v>
      </c>
    </row>
    <row r="6225" spans="1:9" hidden="1">
      <c r="A6225" s="49" t="s">
        <v>8760</v>
      </c>
      <c r="B6225" s="5" t="s">
        <v>10517</v>
      </c>
      <c r="C6225" s="122" t="s">
        <v>10518</v>
      </c>
      <c r="D6225" s="5"/>
      <c r="E6225" s="123">
        <v>1</v>
      </c>
      <c r="F6225" s="9"/>
      <c r="G6225" s="8">
        <f t="shared" si="190"/>
        <v>683.9405999999999</v>
      </c>
      <c r="H6225" s="165">
        <v>651.37199999999996</v>
      </c>
      <c r="I6225" s="19">
        <f t="shared" si="191"/>
        <v>0</v>
      </c>
    </row>
    <row r="6226" spans="1:9" hidden="1">
      <c r="A6226" s="49" t="s">
        <v>8760</v>
      </c>
      <c r="B6226" s="5" t="s">
        <v>10519</v>
      </c>
      <c r="C6226" s="122" t="s">
        <v>10520</v>
      </c>
      <c r="D6226" s="5"/>
      <c r="E6226" s="123">
        <v>1</v>
      </c>
      <c r="F6226" s="9"/>
      <c r="G6226" s="8">
        <f t="shared" si="190"/>
        <v>578.68650000000002</v>
      </c>
      <c r="H6226" s="165">
        <v>551.13</v>
      </c>
      <c r="I6226" s="19">
        <f t="shared" si="191"/>
        <v>0</v>
      </c>
    </row>
    <row r="6227" spans="1:9" hidden="1">
      <c r="A6227" s="49" t="s">
        <v>8760</v>
      </c>
      <c r="B6227" s="5" t="s">
        <v>10517</v>
      </c>
      <c r="C6227" s="122" t="s">
        <v>10518</v>
      </c>
      <c r="D6227" s="5"/>
      <c r="E6227" s="123">
        <v>1</v>
      </c>
      <c r="F6227" s="9"/>
      <c r="G6227" s="8">
        <f t="shared" si="190"/>
        <v>683.9405999999999</v>
      </c>
      <c r="H6227" s="165">
        <v>651.37199999999996</v>
      </c>
      <c r="I6227" s="19">
        <f t="shared" si="191"/>
        <v>0</v>
      </c>
    </row>
    <row r="6228" spans="1:9" hidden="1">
      <c r="A6228" s="49" t="s">
        <v>8760</v>
      </c>
      <c r="B6228" s="5" t="s">
        <v>10521</v>
      </c>
      <c r="C6228" s="122" t="s">
        <v>10522</v>
      </c>
      <c r="D6228" s="5" t="s">
        <v>2488</v>
      </c>
      <c r="E6228" s="123">
        <v>1</v>
      </c>
      <c r="F6228" s="9"/>
      <c r="G6228" s="8">
        <f t="shared" si="190"/>
        <v>55.11345</v>
      </c>
      <c r="H6228" s="165">
        <v>52.488999999999997</v>
      </c>
      <c r="I6228" s="19">
        <f t="shared" si="191"/>
        <v>0</v>
      </c>
    </row>
    <row r="6229" spans="1:9" hidden="1">
      <c r="A6229" s="49" t="s">
        <v>8760</v>
      </c>
      <c r="B6229" s="5" t="s">
        <v>10523</v>
      </c>
      <c r="C6229" s="122" t="s">
        <v>10524</v>
      </c>
      <c r="D6229" s="5" t="s">
        <v>2488</v>
      </c>
      <c r="E6229" s="123">
        <v>1</v>
      </c>
      <c r="F6229" s="9"/>
      <c r="G6229" s="8">
        <f t="shared" si="190"/>
        <v>58.6173</v>
      </c>
      <c r="H6229" s="165">
        <v>55.826000000000001</v>
      </c>
      <c r="I6229" s="19">
        <f t="shared" si="191"/>
        <v>0</v>
      </c>
    </row>
    <row r="6230" spans="1:9" hidden="1">
      <c r="A6230" s="49" t="s">
        <v>8760</v>
      </c>
      <c r="B6230" s="5" t="s">
        <v>10525</v>
      </c>
      <c r="C6230" s="122" t="s">
        <v>10526</v>
      </c>
      <c r="D6230" s="5" t="s">
        <v>2488</v>
      </c>
      <c r="E6230" s="123">
        <v>1</v>
      </c>
      <c r="F6230" s="9"/>
      <c r="G6230" s="8">
        <f t="shared" si="190"/>
        <v>61.96575</v>
      </c>
      <c r="H6230" s="165">
        <v>59.015000000000001</v>
      </c>
      <c r="I6230" s="19">
        <f t="shared" si="191"/>
        <v>0</v>
      </c>
    </row>
    <row r="6231" spans="1:9" hidden="1">
      <c r="A6231" s="49" t="s">
        <v>8760</v>
      </c>
      <c r="B6231" s="5" t="s">
        <v>10527</v>
      </c>
      <c r="C6231" s="122" t="s">
        <v>10528</v>
      </c>
      <c r="D6231" s="5" t="s">
        <v>2488</v>
      </c>
      <c r="E6231" s="123">
        <v>1</v>
      </c>
      <c r="F6231" s="9"/>
      <c r="G6231" s="8">
        <f t="shared" si="190"/>
        <v>72.002700000000004</v>
      </c>
      <c r="H6231" s="165">
        <v>68.573999999999998</v>
      </c>
      <c r="I6231" s="19">
        <f t="shared" si="191"/>
        <v>0</v>
      </c>
    </row>
    <row r="6232" spans="1:9" hidden="1">
      <c r="A6232" s="49" t="s">
        <v>8760</v>
      </c>
      <c r="B6232" s="5" t="s">
        <v>10529</v>
      </c>
      <c r="C6232" s="122" t="s">
        <v>10530</v>
      </c>
      <c r="D6232" s="5" t="s">
        <v>2488</v>
      </c>
      <c r="E6232" s="123">
        <v>1</v>
      </c>
      <c r="F6232" s="9"/>
      <c r="G6232" s="8">
        <f t="shared" si="190"/>
        <v>75.687150000000003</v>
      </c>
      <c r="H6232" s="165">
        <v>72.082999999999998</v>
      </c>
      <c r="I6232" s="19">
        <f t="shared" si="191"/>
        <v>0</v>
      </c>
    </row>
    <row r="6233" spans="1:9" hidden="1">
      <c r="A6233" s="49" t="s">
        <v>8760</v>
      </c>
      <c r="B6233" s="5" t="s">
        <v>10531</v>
      </c>
      <c r="C6233" s="122" t="s">
        <v>10532</v>
      </c>
      <c r="D6233" s="5" t="s">
        <v>2488</v>
      </c>
      <c r="E6233" s="123">
        <v>1</v>
      </c>
      <c r="F6233" s="9"/>
      <c r="G6233" s="8">
        <f t="shared" si="190"/>
        <v>79.539599999999993</v>
      </c>
      <c r="H6233" s="165">
        <v>75.751999999999995</v>
      </c>
      <c r="I6233" s="19">
        <f t="shared" si="191"/>
        <v>0</v>
      </c>
    </row>
    <row r="6234" spans="1:9" hidden="1">
      <c r="A6234" s="49" t="s">
        <v>8760</v>
      </c>
      <c r="B6234" s="5" t="s">
        <v>10533</v>
      </c>
      <c r="C6234" s="122" t="s">
        <v>10534</v>
      </c>
      <c r="D6234" s="5" t="s">
        <v>2488</v>
      </c>
      <c r="E6234" s="123">
        <v>1</v>
      </c>
      <c r="F6234" s="9"/>
      <c r="G6234" s="8">
        <f t="shared" si="190"/>
        <v>83.366849999999999</v>
      </c>
      <c r="H6234" s="165">
        <v>79.397000000000006</v>
      </c>
      <c r="I6234" s="19">
        <f t="shared" si="191"/>
        <v>0</v>
      </c>
    </row>
    <row r="6235" spans="1:9" hidden="1">
      <c r="A6235" s="49" t="s">
        <v>8760</v>
      </c>
      <c r="B6235" s="5" t="s">
        <v>10535</v>
      </c>
      <c r="C6235" s="122" t="s">
        <v>10536</v>
      </c>
      <c r="D6235" s="5" t="s">
        <v>2488</v>
      </c>
      <c r="E6235" s="123">
        <v>1</v>
      </c>
      <c r="F6235" s="9"/>
      <c r="G6235" s="8">
        <f t="shared" si="190"/>
        <v>87.192000000000007</v>
      </c>
      <c r="H6235" s="165">
        <v>83.04</v>
      </c>
      <c r="I6235" s="19">
        <f t="shared" si="191"/>
        <v>0</v>
      </c>
    </row>
    <row r="6236" spans="1:9" hidden="1">
      <c r="A6236" s="49" t="s">
        <v>8760</v>
      </c>
      <c r="B6236" s="5" t="s">
        <v>10537</v>
      </c>
      <c r="C6236" s="122" t="s">
        <v>10538</v>
      </c>
      <c r="D6236" s="5" t="s">
        <v>2488</v>
      </c>
      <c r="E6236" s="123">
        <v>1</v>
      </c>
      <c r="F6236" s="9"/>
      <c r="G6236" s="8">
        <f t="shared" si="190"/>
        <v>90.961500000000001</v>
      </c>
      <c r="H6236" s="165">
        <v>86.63</v>
      </c>
      <c r="I6236" s="19">
        <f t="shared" si="191"/>
        <v>0</v>
      </c>
    </row>
    <row r="6237" spans="1:9" hidden="1">
      <c r="A6237" s="49" t="s">
        <v>8760</v>
      </c>
      <c r="B6237" s="5" t="s">
        <v>10539</v>
      </c>
      <c r="C6237" s="122" t="s">
        <v>10540</v>
      </c>
      <c r="D6237" s="5" t="s">
        <v>2488</v>
      </c>
      <c r="E6237" s="123">
        <v>1</v>
      </c>
      <c r="F6237" s="9"/>
      <c r="G6237" s="8">
        <f t="shared" si="190"/>
        <v>94.730999999999995</v>
      </c>
      <c r="H6237" s="165">
        <v>90.22</v>
      </c>
      <c r="I6237" s="19">
        <f t="shared" si="191"/>
        <v>0</v>
      </c>
    </row>
    <row r="6238" spans="1:9" hidden="1">
      <c r="A6238" s="49" t="s">
        <v>8760</v>
      </c>
      <c r="B6238" s="5" t="s">
        <v>10541</v>
      </c>
      <c r="C6238" s="122" t="s">
        <v>10542</v>
      </c>
      <c r="D6238" s="5" t="s">
        <v>2488</v>
      </c>
      <c r="E6238" s="123">
        <v>1</v>
      </c>
      <c r="F6238" s="9"/>
      <c r="G6238" s="8">
        <f t="shared" si="190"/>
        <v>98.69265</v>
      </c>
      <c r="H6238" s="165">
        <v>93.992999999999995</v>
      </c>
      <c r="I6238" s="19">
        <f t="shared" si="191"/>
        <v>0</v>
      </c>
    </row>
    <row r="6239" spans="1:9" hidden="1">
      <c r="A6239" s="49" t="s">
        <v>8760</v>
      </c>
      <c r="B6239" s="5" t="s">
        <v>10543</v>
      </c>
      <c r="C6239" s="122" t="s">
        <v>10544</v>
      </c>
      <c r="D6239" s="5" t="s">
        <v>2488</v>
      </c>
      <c r="E6239" s="123">
        <v>1</v>
      </c>
      <c r="F6239" s="9"/>
      <c r="G6239" s="8">
        <f t="shared" si="190"/>
        <v>102.6564</v>
      </c>
      <c r="H6239" s="165">
        <v>97.768000000000001</v>
      </c>
      <c r="I6239" s="19">
        <f t="shared" si="191"/>
        <v>0</v>
      </c>
    </row>
    <row r="6240" spans="1:9" hidden="1">
      <c r="A6240" s="49" t="s">
        <v>8760</v>
      </c>
      <c r="B6240" s="5" t="s">
        <v>10545</v>
      </c>
      <c r="C6240" s="122" t="s">
        <v>10546</v>
      </c>
      <c r="D6240" s="5" t="s">
        <v>2488</v>
      </c>
      <c r="E6240" s="123">
        <v>1</v>
      </c>
      <c r="F6240" s="9"/>
      <c r="G6240" s="8">
        <f t="shared" si="190"/>
        <v>106.61805</v>
      </c>
      <c r="H6240" s="165">
        <v>101.541</v>
      </c>
      <c r="I6240" s="19">
        <f t="shared" si="191"/>
        <v>0</v>
      </c>
    </row>
    <row r="6241" spans="1:9" hidden="1">
      <c r="A6241" s="49" t="s">
        <v>8760</v>
      </c>
      <c r="B6241" s="5" t="s">
        <v>10547</v>
      </c>
      <c r="C6241" s="122" t="s">
        <v>10548</v>
      </c>
      <c r="D6241" s="5" t="s">
        <v>2488</v>
      </c>
      <c r="E6241" s="123">
        <v>1</v>
      </c>
      <c r="F6241" s="9"/>
      <c r="G6241" s="8">
        <f t="shared" si="190"/>
        <v>110.5818</v>
      </c>
      <c r="H6241" s="165">
        <v>105.316</v>
      </c>
      <c r="I6241" s="19">
        <f t="shared" si="191"/>
        <v>0</v>
      </c>
    </row>
    <row r="6242" spans="1:9" hidden="1">
      <c r="A6242" s="49" t="s">
        <v>8760</v>
      </c>
      <c r="B6242" s="5" t="s">
        <v>10549</v>
      </c>
      <c r="C6242" s="122" t="s">
        <v>10550</v>
      </c>
      <c r="D6242" s="5" t="s">
        <v>2488</v>
      </c>
      <c r="E6242" s="123">
        <v>1</v>
      </c>
      <c r="F6242" s="9"/>
      <c r="G6242" s="8">
        <f t="shared" si="190"/>
        <v>61.452300000000001</v>
      </c>
      <c r="H6242" s="165">
        <v>58.526000000000003</v>
      </c>
      <c r="I6242" s="19">
        <f t="shared" si="191"/>
        <v>0</v>
      </c>
    </row>
    <row r="6243" spans="1:9" hidden="1">
      <c r="A6243" s="49" t="s">
        <v>8760</v>
      </c>
      <c r="B6243" s="5" t="s">
        <v>10551</v>
      </c>
      <c r="C6243" s="122" t="s">
        <v>10552</v>
      </c>
      <c r="D6243" s="5" t="s">
        <v>2488</v>
      </c>
      <c r="E6243" s="123">
        <v>1</v>
      </c>
      <c r="F6243" s="9"/>
      <c r="G6243" s="8">
        <f t="shared" si="190"/>
        <v>63.632099999999994</v>
      </c>
      <c r="H6243" s="165">
        <v>60.601999999999997</v>
      </c>
      <c r="I6243" s="19">
        <f t="shared" si="191"/>
        <v>0</v>
      </c>
    </row>
    <row r="6244" spans="1:9" hidden="1">
      <c r="A6244" s="49" t="s">
        <v>8760</v>
      </c>
      <c r="B6244" s="5" t="s">
        <v>10553</v>
      </c>
      <c r="C6244" s="122" t="s">
        <v>10554</v>
      </c>
      <c r="D6244" s="5" t="s">
        <v>2488</v>
      </c>
      <c r="E6244" s="123">
        <v>1</v>
      </c>
      <c r="F6244" s="9"/>
      <c r="G6244" s="8">
        <f t="shared" si="190"/>
        <v>65.657550000000001</v>
      </c>
      <c r="H6244" s="165">
        <v>62.530999999999999</v>
      </c>
      <c r="I6244" s="19">
        <f t="shared" si="191"/>
        <v>0</v>
      </c>
    </row>
    <row r="6245" spans="1:9" hidden="1">
      <c r="A6245" s="49" t="s">
        <v>8760</v>
      </c>
      <c r="B6245" s="5" t="s">
        <v>10555</v>
      </c>
      <c r="C6245" s="122" t="s">
        <v>10556</v>
      </c>
      <c r="D6245" s="5" t="s">
        <v>2488</v>
      </c>
      <c r="E6245" s="123">
        <v>1</v>
      </c>
      <c r="F6245" s="9"/>
      <c r="G6245" s="8">
        <f t="shared" si="190"/>
        <v>67.837350000000001</v>
      </c>
      <c r="H6245" s="165">
        <v>64.606999999999999</v>
      </c>
      <c r="I6245" s="19">
        <f t="shared" si="191"/>
        <v>0</v>
      </c>
    </row>
    <row r="6246" spans="1:9" hidden="1">
      <c r="A6246" s="49" t="s">
        <v>8760</v>
      </c>
      <c r="B6246" s="5" t="s">
        <v>10557</v>
      </c>
      <c r="C6246" s="122" t="s">
        <v>10558</v>
      </c>
      <c r="D6246" s="5" t="s">
        <v>2488</v>
      </c>
      <c r="E6246" s="123">
        <v>1</v>
      </c>
      <c r="F6246" s="9"/>
      <c r="G6246" s="8">
        <f t="shared" si="190"/>
        <v>70.787850000000006</v>
      </c>
      <c r="H6246" s="165">
        <v>67.417000000000002</v>
      </c>
      <c r="I6246" s="19">
        <f t="shared" si="191"/>
        <v>0</v>
      </c>
    </row>
    <row r="6247" spans="1:9" hidden="1">
      <c r="A6247" s="49" t="s">
        <v>8760</v>
      </c>
      <c r="B6247" s="5" t="s">
        <v>10559</v>
      </c>
      <c r="C6247" s="122" t="s">
        <v>10560</v>
      </c>
      <c r="D6247" s="5" t="s">
        <v>2488</v>
      </c>
      <c r="E6247" s="123">
        <v>1</v>
      </c>
      <c r="F6247" s="9"/>
      <c r="G6247" s="8">
        <f t="shared" si="190"/>
        <v>72.656850000000006</v>
      </c>
      <c r="H6247" s="165">
        <v>69.197000000000003</v>
      </c>
      <c r="I6247" s="19">
        <f t="shared" si="191"/>
        <v>0</v>
      </c>
    </row>
    <row r="6248" spans="1:9" hidden="1">
      <c r="A6248" s="49" t="s">
        <v>8760</v>
      </c>
      <c r="B6248" s="5" t="s">
        <v>10561</v>
      </c>
      <c r="C6248" s="122" t="s">
        <v>10562</v>
      </c>
      <c r="D6248" s="5" t="s">
        <v>2488</v>
      </c>
      <c r="E6248" s="123">
        <v>1</v>
      </c>
      <c r="F6248" s="9"/>
      <c r="G6248" s="8">
        <f t="shared" si="190"/>
        <v>75.377399999999994</v>
      </c>
      <c r="H6248" s="165">
        <v>71.787999999999997</v>
      </c>
      <c r="I6248" s="19">
        <f t="shared" si="191"/>
        <v>0</v>
      </c>
    </row>
    <row r="6249" spans="1:9" hidden="1">
      <c r="A6249" s="49" t="s">
        <v>8760</v>
      </c>
      <c r="B6249" s="5" t="s">
        <v>10563</v>
      </c>
      <c r="C6249" s="122" t="s">
        <v>10564</v>
      </c>
      <c r="D6249" s="5" t="s">
        <v>2488</v>
      </c>
      <c r="E6249" s="123">
        <v>1</v>
      </c>
      <c r="F6249" s="9"/>
      <c r="G6249" s="8">
        <f t="shared" si="190"/>
        <v>78.096900000000005</v>
      </c>
      <c r="H6249" s="165">
        <v>74.378</v>
      </c>
      <c r="I6249" s="19">
        <f t="shared" si="191"/>
        <v>0</v>
      </c>
    </row>
    <row r="6250" spans="1:9" hidden="1">
      <c r="A6250" s="49" t="s">
        <v>8760</v>
      </c>
      <c r="B6250" s="5" t="s">
        <v>10565</v>
      </c>
      <c r="C6250" s="122" t="s">
        <v>10566</v>
      </c>
      <c r="D6250" s="5" t="s">
        <v>2488</v>
      </c>
      <c r="E6250" s="123">
        <v>1</v>
      </c>
      <c r="F6250" s="9"/>
      <c r="G6250" s="8">
        <f t="shared" si="190"/>
        <v>80.201100000000011</v>
      </c>
      <c r="H6250" s="165">
        <v>76.382000000000005</v>
      </c>
      <c r="I6250" s="19">
        <f t="shared" si="191"/>
        <v>0</v>
      </c>
    </row>
    <row r="6251" spans="1:9" hidden="1">
      <c r="A6251" s="49" t="s">
        <v>8760</v>
      </c>
      <c r="B6251" s="5" t="s">
        <v>10567</v>
      </c>
      <c r="C6251" s="122" t="s">
        <v>10568</v>
      </c>
      <c r="D6251" s="5" t="s">
        <v>2488</v>
      </c>
      <c r="E6251" s="123">
        <v>1</v>
      </c>
      <c r="F6251" s="9"/>
      <c r="G6251" s="8">
        <f t="shared" si="190"/>
        <v>82.303200000000004</v>
      </c>
      <c r="H6251" s="165">
        <v>78.384</v>
      </c>
      <c r="I6251" s="19">
        <f t="shared" si="191"/>
        <v>0</v>
      </c>
    </row>
    <row r="6252" spans="1:9" hidden="1">
      <c r="A6252" s="49" t="s">
        <v>8760</v>
      </c>
      <c r="B6252" s="5" t="s">
        <v>10569</v>
      </c>
      <c r="C6252" s="122" t="s">
        <v>10570</v>
      </c>
      <c r="D6252" s="5" t="s">
        <v>2488</v>
      </c>
      <c r="E6252" s="123">
        <v>1</v>
      </c>
      <c r="F6252" s="9"/>
      <c r="G6252" s="8">
        <f t="shared" si="190"/>
        <v>84.428399999999996</v>
      </c>
      <c r="H6252" s="165">
        <v>80.408000000000001</v>
      </c>
      <c r="I6252" s="19">
        <f t="shared" si="191"/>
        <v>0</v>
      </c>
    </row>
    <row r="6253" spans="1:9" hidden="1">
      <c r="A6253" s="49" t="s">
        <v>8760</v>
      </c>
      <c r="B6253" s="5" t="s">
        <v>10571</v>
      </c>
      <c r="C6253" s="122" t="s">
        <v>10572</v>
      </c>
      <c r="D6253" s="5" t="s">
        <v>2488</v>
      </c>
      <c r="E6253" s="123">
        <v>1</v>
      </c>
      <c r="F6253" s="9"/>
      <c r="G6253" s="8">
        <f t="shared" si="190"/>
        <v>86.554650000000009</v>
      </c>
      <c r="H6253" s="165">
        <v>82.433000000000007</v>
      </c>
      <c r="I6253" s="19">
        <f t="shared" si="191"/>
        <v>0</v>
      </c>
    </row>
    <row r="6254" spans="1:9" hidden="1">
      <c r="A6254" s="49" t="s">
        <v>8760</v>
      </c>
      <c r="B6254" s="5" t="s">
        <v>10573</v>
      </c>
      <c r="C6254" s="122" t="s">
        <v>10574</v>
      </c>
      <c r="D6254" s="5" t="s">
        <v>2488</v>
      </c>
      <c r="E6254" s="123">
        <v>1</v>
      </c>
      <c r="F6254" s="9"/>
      <c r="G6254" s="8">
        <f t="shared" si="190"/>
        <v>88.679849999999988</v>
      </c>
      <c r="H6254" s="165">
        <v>84.456999999999994</v>
      </c>
      <c r="I6254" s="19">
        <f t="shared" si="191"/>
        <v>0</v>
      </c>
    </row>
    <row r="6255" spans="1:9" hidden="1">
      <c r="A6255" s="49" t="s">
        <v>8760</v>
      </c>
      <c r="B6255" s="5" t="s">
        <v>10575</v>
      </c>
      <c r="C6255" s="122" t="s">
        <v>10576</v>
      </c>
      <c r="D6255" s="5" t="s">
        <v>2488</v>
      </c>
      <c r="E6255" s="123">
        <v>1</v>
      </c>
      <c r="F6255" s="9"/>
      <c r="G6255" s="8">
        <f t="shared" si="190"/>
        <v>90.947850000000003</v>
      </c>
      <c r="H6255" s="165">
        <v>86.617000000000004</v>
      </c>
      <c r="I6255" s="19">
        <f t="shared" si="191"/>
        <v>0</v>
      </c>
    </row>
    <row r="6256" spans="1:9" hidden="1">
      <c r="A6256" s="49" t="s">
        <v>8760</v>
      </c>
      <c r="B6256" s="5" t="s">
        <v>10577</v>
      </c>
      <c r="C6256" s="122" t="s">
        <v>10578</v>
      </c>
      <c r="D6256" s="5" t="s">
        <v>2488</v>
      </c>
      <c r="E6256" s="123">
        <v>1</v>
      </c>
      <c r="F6256" s="9"/>
      <c r="G6256" s="8">
        <f t="shared" si="190"/>
        <v>58.885050000000007</v>
      </c>
      <c r="H6256" s="165">
        <v>56.081000000000003</v>
      </c>
      <c r="I6256" s="19">
        <f t="shared" si="191"/>
        <v>0</v>
      </c>
    </row>
    <row r="6257" spans="1:9" hidden="1">
      <c r="A6257" s="49" t="s">
        <v>8760</v>
      </c>
      <c r="B6257" s="5" t="s">
        <v>10579</v>
      </c>
      <c r="C6257" s="122" t="s">
        <v>10580</v>
      </c>
      <c r="D6257" s="5" t="s">
        <v>2488</v>
      </c>
      <c r="E6257" s="123">
        <v>1</v>
      </c>
      <c r="F6257" s="9"/>
      <c r="G6257" s="8">
        <f t="shared" si="190"/>
        <v>60.988200000000006</v>
      </c>
      <c r="H6257" s="165">
        <v>58.084000000000003</v>
      </c>
      <c r="I6257" s="19">
        <f t="shared" si="191"/>
        <v>0</v>
      </c>
    </row>
    <row r="6258" spans="1:9" hidden="1">
      <c r="A6258" s="49" t="s">
        <v>8760</v>
      </c>
      <c r="B6258" s="5" t="s">
        <v>10581</v>
      </c>
      <c r="C6258" s="122" t="s">
        <v>10582</v>
      </c>
      <c r="D6258" s="5" t="s">
        <v>2488</v>
      </c>
      <c r="E6258" s="123">
        <v>1</v>
      </c>
      <c r="F6258" s="9"/>
      <c r="G6258" s="8">
        <f t="shared" si="190"/>
        <v>63.090299999999999</v>
      </c>
      <c r="H6258" s="165">
        <v>60.085999999999999</v>
      </c>
      <c r="I6258" s="19">
        <f t="shared" si="191"/>
        <v>0</v>
      </c>
    </row>
    <row r="6259" spans="1:9" hidden="1">
      <c r="A6259" s="49" t="s">
        <v>8760</v>
      </c>
      <c r="B6259" s="5" t="s">
        <v>10583</v>
      </c>
      <c r="C6259" s="122" t="s">
        <v>10584</v>
      </c>
      <c r="D6259" s="5" t="s">
        <v>2488</v>
      </c>
      <c r="E6259" s="123">
        <v>1</v>
      </c>
      <c r="F6259" s="9"/>
      <c r="G6259" s="8">
        <f t="shared" si="190"/>
        <v>65.192400000000006</v>
      </c>
      <c r="H6259" s="165">
        <v>62.088000000000001</v>
      </c>
      <c r="I6259" s="19">
        <f t="shared" si="191"/>
        <v>0</v>
      </c>
    </row>
    <row r="6260" spans="1:9" hidden="1">
      <c r="A6260" s="49" t="s">
        <v>8760</v>
      </c>
      <c r="B6260" s="5" t="s">
        <v>10585</v>
      </c>
      <c r="C6260" s="122" t="s">
        <v>10586</v>
      </c>
      <c r="D6260" s="5" t="s">
        <v>2488</v>
      </c>
      <c r="E6260" s="123">
        <v>1</v>
      </c>
      <c r="F6260" s="9"/>
      <c r="G6260" s="8">
        <f t="shared" si="190"/>
        <v>67.908749999999998</v>
      </c>
      <c r="H6260" s="165">
        <v>64.674999999999997</v>
      </c>
      <c r="I6260" s="19">
        <f t="shared" si="191"/>
        <v>0</v>
      </c>
    </row>
    <row r="6261" spans="1:9" hidden="1">
      <c r="A6261" s="49" t="s">
        <v>8760</v>
      </c>
      <c r="B6261" s="5" t="s">
        <v>10587</v>
      </c>
      <c r="C6261" s="122" t="s">
        <v>10588</v>
      </c>
      <c r="D6261" s="5" t="s">
        <v>2488</v>
      </c>
      <c r="E6261" s="123">
        <v>1</v>
      </c>
      <c r="F6261" s="9"/>
      <c r="G6261" s="8">
        <f t="shared" si="190"/>
        <v>70.322699999999998</v>
      </c>
      <c r="H6261" s="165">
        <v>66.974000000000004</v>
      </c>
      <c r="I6261" s="19">
        <f t="shared" si="191"/>
        <v>0</v>
      </c>
    </row>
    <row r="6262" spans="1:9" hidden="1">
      <c r="A6262" s="49" t="s">
        <v>8760</v>
      </c>
      <c r="B6262" s="5" t="s">
        <v>10589</v>
      </c>
      <c r="C6262" s="122" t="s">
        <v>10590</v>
      </c>
      <c r="D6262" s="5" t="s">
        <v>2488</v>
      </c>
      <c r="E6262" s="123">
        <v>1</v>
      </c>
      <c r="F6262" s="9"/>
      <c r="G6262" s="8">
        <f t="shared" si="190"/>
        <v>72.88785</v>
      </c>
      <c r="H6262" s="165">
        <v>69.417000000000002</v>
      </c>
      <c r="I6262" s="19">
        <f t="shared" si="191"/>
        <v>0</v>
      </c>
    </row>
    <row r="6263" spans="1:9" hidden="1">
      <c r="A6263" s="49" t="s">
        <v>8760</v>
      </c>
      <c r="B6263" s="5" t="s">
        <v>10591</v>
      </c>
      <c r="C6263" s="122" t="s">
        <v>10592</v>
      </c>
      <c r="D6263" s="5" t="s">
        <v>2488</v>
      </c>
      <c r="E6263" s="123">
        <v>1</v>
      </c>
      <c r="F6263" s="9"/>
      <c r="G6263" s="8">
        <f t="shared" si="190"/>
        <v>75.428849999999997</v>
      </c>
      <c r="H6263" s="165">
        <v>71.837000000000003</v>
      </c>
      <c r="I6263" s="19">
        <f t="shared" si="191"/>
        <v>0</v>
      </c>
    </row>
    <row r="6264" spans="1:9" hidden="1">
      <c r="A6264" s="49" t="s">
        <v>8760</v>
      </c>
      <c r="B6264" s="5" t="s">
        <v>10593</v>
      </c>
      <c r="C6264" s="122" t="s">
        <v>10594</v>
      </c>
      <c r="D6264" s="5" t="s">
        <v>2488</v>
      </c>
      <c r="E6264" s="123">
        <v>1</v>
      </c>
      <c r="F6264" s="9"/>
      <c r="G6264" s="8">
        <f t="shared" si="190"/>
        <v>77.555099999999996</v>
      </c>
      <c r="H6264" s="165">
        <v>73.861999999999995</v>
      </c>
      <c r="I6264" s="19">
        <f t="shared" si="191"/>
        <v>0</v>
      </c>
    </row>
    <row r="6265" spans="1:9" hidden="1">
      <c r="A6265" s="49" t="s">
        <v>8760</v>
      </c>
      <c r="B6265" s="5" t="s">
        <v>10595</v>
      </c>
      <c r="C6265" s="122" t="s">
        <v>10596</v>
      </c>
      <c r="D6265" s="5" t="s">
        <v>2488</v>
      </c>
      <c r="E6265" s="123">
        <v>1</v>
      </c>
      <c r="F6265" s="9"/>
      <c r="G6265" s="8">
        <f t="shared" si="190"/>
        <v>79.657200000000003</v>
      </c>
      <c r="H6265" s="165">
        <v>75.864000000000004</v>
      </c>
      <c r="I6265" s="19">
        <f t="shared" si="191"/>
        <v>0</v>
      </c>
    </row>
    <row r="6266" spans="1:9" hidden="1">
      <c r="A6266" s="49" t="s">
        <v>8760</v>
      </c>
      <c r="B6266" s="5" t="s">
        <v>10597</v>
      </c>
      <c r="C6266" s="122" t="s">
        <v>10598</v>
      </c>
      <c r="D6266" s="5" t="s">
        <v>2488</v>
      </c>
      <c r="E6266" s="123">
        <v>1</v>
      </c>
      <c r="F6266" s="9"/>
      <c r="G6266" s="8">
        <f t="shared" si="190"/>
        <v>81.755099999999999</v>
      </c>
      <c r="H6266" s="165">
        <v>77.861999999999995</v>
      </c>
      <c r="I6266" s="19">
        <f t="shared" si="191"/>
        <v>0</v>
      </c>
    </row>
    <row r="6267" spans="1:9" hidden="1">
      <c r="A6267" s="49" t="s">
        <v>8760</v>
      </c>
      <c r="B6267" s="5" t="s">
        <v>10599</v>
      </c>
      <c r="C6267" s="122" t="s">
        <v>10600</v>
      </c>
      <c r="D6267" s="5" t="s">
        <v>2488</v>
      </c>
      <c r="E6267" s="123">
        <v>1</v>
      </c>
      <c r="F6267" s="9"/>
      <c r="G6267" s="8">
        <f t="shared" si="190"/>
        <v>83.851949999999988</v>
      </c>
      <c r="H6267" s="165">
        <v>79.858999999999995</v>
      </c>
      <c r="I6267" s="19">
        <f t="shared" si="191"/>
        <v>0</v>
      </c>
    </row>
    <row r="6268" spans="1:9" hidden="1">
      <c r="A6268" s="49" t="s">
        <v>8760</v>
      </c>
      <c r="B6268" s="5" t="s">
        <v>10601</v>
      </c>
      <c r="C6268" s="122" t="s">
        <v>10602</v>
      </c>
      <c r="D6268" s="5" t="s">
        <v>2488</v>
      </c>
      <c r="E6268" s="123">
        <v>1</v>
      </c>
      <c r="F6268" s="9"/>
      <c r="G6268" s="8">
        <f t="shared" si="190"/>
        <v>85.949849999999998</v>
      </c>
      <c r="H6268" s="165">
        <v>81.856999999999999</v>
      </c>
      <c r="I6268" s="19">
        <f t="shared" si="191"/>
        <v>0</v>
      </c>
    </row>
    <row r="6269" spans="1:9" hidden="1">
      <c r="A6269" s="49" t="s">
        <v>8760</v>
      </c>
      <c r="B6269" s="5" t="s">
        <v>10603</v>
      </c>
      <c r="C6269" s="122" t="s">
        <v>10604</v>
      </c>
      <c r="D6269" s="5" t="s">
        <v>2488</v>
      </c>
      <c r="E6269" s="123">
        <v>1</v>
      </c>
      <c r="F6269" s="9"/>
      <c r="G6269" s="8">
        <f t="shared" si="190"/>
        <v>88.046700000000001</v>
      </c>
      <c r="H6269" s="165">
        <v>83.853999999999999</v>
      </c>
      <c r="I6269" s="19">
        <f t="shared" si="191"/>
        <v>0</v>
      </c>
    </row>
    <row r="6270" spans="1:9" hidden="1">
      <c r="A6270" s="49" t="s">
        <v>8760</v>
      </c>
      <c r="B6270" s="5" t="s">
        <v>10605</v>
      </c>
      <c r="C6270" s="122" t="s">
        <v>10606</v>
      </c>
      <c r="D6270" s="5" t="s">
        <v>2488</v>
      </c>
      <c r="E6270" s="123">
        <v>1</v>
      </c>
      <c r="F6270" s="9"/>
      <c r="G6270" s="8">
        <f t="shared" si="190"/>
        <v>206.09819999999999</v>
      </c>
      <c r="H6270" s="165">
        <v>196.28399999999999</v>
      </c>
      <c r="I6270" s="19">
        <f t="shared" si="191"/>
        <v>0</v>
      </c>
    </row>
    <row r="6271" spans="1:9" hidden="1">
      <c r="A6271" s="49" t="s">
        <v>8760</v>
      </c>
      <c r="B6271" s="5" t="s">
        <v>10607</v>
      </c>
      <c r="C6271" s="122" t="s">
        <v>10608</v>
      </c>
      <c r="D6271" s="5" t="s">
        <v>2488</v>
      </c>
      <c r="E6271" s="123">
        <v>1</v>
      </c>
      <c r="F6271" s="9"/>
      <c r="G6271" s="8">
        <f t="shared" si="190"/>
        <v>217.66290000000001</v>
      </c>
      <c r="H6271" s="165">
        <v>207.298</v>
      </c>
      <c r="I6271" s="19">
        <f t="shared" si="191"/>
        <v>0</v>
      </c>
    </row>
    <row r="6272" spans="1:9" hidden="1">
      <c r="A6272" s="49" t="s">
        <v>8760</v>
      </c>
      <c r="B6272" s="5" t="s">
        <v>10609</v>
      </c>
      <c r="C6272" s="122" t="s">
        <v>10610</v>
      </c>
      <c r="D6272" s="5" t="s">
        <v>2488</v>
      </c>
      <c r="E6272" s="123">
        <v>1</v>
      </c>
      <c r="F6272" s="9"/>
      <c r="G6272" s="8">
        <f t="shared" si="190"/>
        <v>229.88910000000001</v>
      </c>
      <c r="H6272" s="165">
        <v>218.94200000000001</v>
      </c>
      <c r="I6272" s="19">
        <f t="shared" si="191"/>
        <v>0</v>
      </c>
    </row>
    <row r="6273" spans="1:9" hidden="1">
      <c r="A6273" s="49" t="s">
        <v>8760</v>
      </c>
      <c r="B6273" s="5" t="s">
        <v>10611</v>
      </c>
      <c r="C6273" s="122" t="s">
        <v>10612</v>
      </c>
      <c r="D6273" s="5" t="s">
        <v>2488</v>
      </c>
      <c r="E6273" s="123">
        <v>1</v>
      </c>
      <c r="F6273" s="9"/>
      <c r="G6273" s="8">
        <f t="shared" si="190"/>
        <v>241.41810000000001</v>
      </c>
      <c r="H6273" s="165">
        <v>229.922</v>
      </c>
      <c r="I6273" s="19">
        <f t="shared" si="191"/>
        <v>0</v>
      </c>
    </row>
    <row r="6274" spans="1:9" hidden="1">
      <c r="A6274" s="49" t="s">
        <v>8760</v>
      </c>
      <c r="B6274" s="5" t="s">
        <v>10613</v>
      </c>
      <c r="C6274" s="122" t="s">
        <v>10614</v>
      </c>
      <c r="D6274" s="5" t="s">
        <v>2488</v>
      </c>
      <c r="E6274" s="123">
        <v>1</v>
      </c>
      <c r="F6274" s="9"/>
      <c r="G6274" s="8">
        <f t="shared" si="190"/>
        <v>253.01745</v>
      </c>
      <c r="H6274" s="165">
        <v>240.96899999999999</v>
      </c>
      <c r="I6274" s="19">
        <f t="shared" si="191"/>
        <v>0</v>
      </c>
    </row>
    <row r="6275" spans="1:9" hidden="1">
      <c r="A6275" s="49" t="s">
        <v>8760</v>
      </c>
      <c r="B6275" s="5" t="s">
        <v>10615</v>
      </c>
      <c r="C6275" s="122" t="s">
        <v>10616</v>
      </c>
      <c r="D6275" s="5" t="s">
        <v>2488</v>
      </c>
      <c r="E6275" s="123">
        <v>1</v>
      </c>
      <c r="F6275" s="9"/>
      <c r="G6275" s="8">
        <f t="shared" si="190"/>
        <v>300.13409999999999</v>
      </c>
      <c r="H6275" s="165">
        <v>285.84199999999998</v>
      </c>
      <c r="I6275" s="19">
        <f t="shared" si="191"/>
        <v>0</v>
      </c>
    </row>
    <row r="6276" spans="1:9" hidden="1">
      <c r="A6276" s="49" t="s">
        <v>8760</v>
      </c>
      <c r="B6276" s="5" t="s">
        <v>10617</v>
      </c>
      <c r="C6276" s="122" t="s">
        <v>10618</v>
      </c>
      <c r="D6276" s="5" t="s">
        <v>2488</v>
      </c>
      <c r="E6276" s="123">
        <v>1</v>
      </c>
      <c r="F6276" s="9"/>
      <c r="G6276" s="8">
        <f t="shared" si="190"/>
        <v>228.018</v>
      </c>
      <c r="H6276" s="165">
        <v>217.16</v>
      </c>
      <c r="I6276" s="19">
        <f t="shared" si="191"/>
        <v>0</v>
      </c>
    </row>
    <row r="6277" spans="1:9" hidden="1">
      <c r="A6277" s="49" t="s">
        <v>8760</v>
      </c>
      <c r="B6277" s="5" t="s">
        <v>10619</v>
      </c>
      <c r="C6277" s="122" t="s">
        <v>10620</v>
      </c>
      <c r="D6277" s="5" t="s">
        <v>2488</v>
      </c>
      <c r="E6277" s="123">
        <v>1</v>
      </c>
      <c r="F6277" s="9"/>
      <c r="G6277" s="8">
        <f t="shared" si="190"/>
        <v>239.58165</v>
      </c>
      <c r="H6277" s="165">
        <v>228.173</v>
      </c>
      <c r="I6277" s="19">
        <f t="shared" si="191"/>
        <v>0</v>
      </c>
    </row>
    <row r="6278" spans="1:9" hidden="1">
      <c r="A6278" s="49" t="s">
        <v>8760</v>
      </c>
      <c r="B6278" s="5" t="s">
        <v>10621</v>
      </c>
      <c r="C6278" s="122" t="s">
        <v>10622</v>
      </c>
      <c r="D6278" s="5" t="s">
        <v>2488</v>
      </c>
      <c r="E6278" s="123">
        <v>1</v>
      </c>
      <c r="F6278" s="9"/>
      <c r="G6278" s="8">
        <f t="shared" si="190"/>
        <v>251.19254999999998</v>
      </c>
      <c r="H6278" s="165">
        <v>239.23099999999999</v>
      </c>
      <c r="I6278" s="19">
        <f t="shared" si="191"/>
        <v>0</v>
      </c>
    </row>
    <row r="6279" spans="1:9" hidden="1">
      <c r="A6279" s="49" t="s">
        <v>8760</v>
      </c>
      <c r="B6279" s="5" t="s">
        <v>10623</v>
      </c>
      <c r="C6279" s="122" t="s">
        <v>10624</v>
      </c>
      <c r="D6279" s="5" t="s">
        <v>2488</v>
      </c>
      <c r="E6279" s="123">
        <v>1</v>
      </c>
      <c r="F6279" s="9"/>
      <c r="G6279" s="8">
        <f t="shared" si="190"/>
        <v>263.34944999999999</v>
      </c>
      <c r="H6279" s="165">
        <v>250.809</v>
      </c>
      <c r="I6279" s="19">
        <f t="shared" si="191"/>
        <v>0</v>
      </c>
    </row>
    <row r="6280" spans="1:9" hidden="1">
      <c r="A6280" s="49" t="s">
        <v>8760</v>
      </c>
      <c r="B6280" s="5" t="s">
        <v>10625</v>
      </c>
      <c r="C6280" s="122" t="s">
        <v>10626</v>
      </c>
      <c r="D6280" s="5" t="s">
        <v>2488</v>
      </c>
      <c r="E6280" s="123">
        <v>1</v>
      </c>
      <c r="F6280" s="9"/>
      <c r="G6280" s="8">
        <f t="shared" si="190"/>
        <v>274.94985000000003</v>
      </c>
      <c r="H6280" s="165">
        <v>261.85700000000003</v>
      </c>
      <c r="I6280" s="19">
        <f t="shared" si="191"/>
        <v>0</v>
      </c>
    </row>
    <row r="6281" spans="1:9" hidden="1">
      <c r="A6281" s="49" t="s">
        <v>8760</v>
      </c>
      <c r="B6281" s="5" t="s">
        <v>10627</v>
      </c>
      <c r="C6281" s="122" t="s">
        <v>10628</v>
      </c>
      <c r="D6281" s="5" t="s">
        <v>2488</v>
      </c>
      <c r="E6281" s="123">
        <v>1</v>
      </c>
      <c r="F6281" s="9"/>
      <c r="G6281" s="8">
        <f t="shared" si="190"/>
        <v>298.78589999999997</v>
      </c>
      <c r="H6281" s="165">
        <v>284.55799999999999</v>
      </c>
      <c r="I6281" s="19">
        <f t="shared" si="191"/>
        <v>0</v>
      </c>
    </row>
    <row r="6282" spans="1:9" hidden="1">
      <c r="A6282" s="49" t="s">
        <v>8760</v>
      </c>
      <c r="B6282" s="5" t="s">
        <v>10629</v>
      </c>
      <c r="C6282" s="122" t="s">
        <v>10630</v>
      </c>
      <c r="D6282" s="5" t="s">
        <v>2488</v>
      </c>
      <c r="E6282" s="123">
        <v>1</v>
      </c>
      <c r="F6282" s="9"/>
      <c r="G6282" s="8">
        <f t="shared" si="190"/>
        <v>322.06545</v>
      </c>
      <c r="H6282" s="165">
        <v>306.72899999999998</v>
      </c>
      <c r="I6282" s="19">
        <f t="shared" si="191"/>
        <v>0</v>
      </c>
    </row>
    <row r="6283" spans="1:9" hidden="1">
      <c r="A6283" s="49" t="s">
        <v>8760</v>
      </c>
      <c r="B6283" s="5">
        <v>490130</v>
      </c>
      <c r="C6283" s="122" t="s">
        <v>10631</v>
      </c>
      <c r="D6283" s="5"/>
      <c r="E6283" s="123">
        <v>1</v>
      </c>
      <c r="F6283" s="9"/>
      <c r="G6283" s="8">
        <f t="shared" si="190"/>
        <v>7.2565499999999998</v>
      </c>
      <c r="H6283" s="165">
        <v>6.9109999999999996</v>
      </c>
      <c r="I6283" s="19">
        <f t="shared" si="191"/>
        <v>0</v>
      </c>
    </row>
    <row r="6284" spans="1:9">
      <c r="A6284" s="49" t="s">
        <v>8760</v>
      </c>
      <c r="B6284" s="5">
        <v>490131</v>
      </c>
      <c r="C6284" s="122" t="s">
        <v>10632</v>
      </c>
      <c r="D6284" s="5"/>
      <c r="E6284" s="123">
        <v>1</v>
      </c>
      <c r="F6284" s="9">
        <f>35+21</f>
        <v>56</v>
      </c>
      <c r="G6284" s="8">
        <f t="shared" ref="G6284:G6347" si="192">H6284+(H6284*5%)</f>
        <v>10.082100000000001</v>
      </c>
      <c r="H6284" s="165">
        <v>9.6020000000000003</v>
      </c>
      <c r="I6284" s="19">
        <f t="shared" ref="I6284:I6347" si="193">G6284*F6284</f>
        <v>564.59760000000006</v>
      </c>
    </row>
    <row r="6285" spans="1:9" hidden="1">
      <c r="A6285" s="49" t="s">
        <v>8760</v>
      </c>
      <c r="B6285" s="5">
        <v>490132</v>
      </c>
      <c r="C6285" s="122" t="s">
        <v>10633</v>
      </c>
      <c r="D6285" s="5"/>
      <c r="E6285" s="123">
        <v>1</v>
      </c>
      <c r="F6285" s="9"/>
      <c r="G6285" s="8">
        <f t="shared" si="192"/>
        <v>4.2671999999999999</v>
      </c>
      <c r="H6285" s="165">
        <v>4.0640000000000001</v>
      </c>
      <c r="I6285" s="19">
        <f t="shared" si="193"/>
        <v>0</v>
      </c>
    </row>
    <row r="6286" spans="1:9" hidden="1">
      <c r="A6286" s="49" t="s">
        <v>8760</v>
      </c>
      <c r="B6286" s="5">
        <v>55019.1</v>
      </c>
      <c r="C6286" s="122" t="s">
        <v>10634</v>
      </c>
      <c r="D6286" s="5"/>
      <c r="E6286" s="123">
        <v>1</v>
      </c>
      <c r="F6286" s="9"/>
      <c r="G6286" s="8">
        <f t="shared" si="192"/>
        <v>2.1913500000000004</v>
      </c>
      <c r="H6286" s="165">
        <v>2.0870000000000002</v>
      </c>
      <c r="I6286" s="19">
        <f t="shared" si="193"/>
        <v>0</v>
      </c>
    </row>
    <row r="6287" spans="1:9" hidden="1">
      <c r="A6287" s="49" t="s">
        <v>8760</v>
      </c>
      <c r="B6287" s="5">
        <v>55021</v>
      </c>
      <c r="C6287" s="122" t="s">
        <v>10635</v>
      </c>
      <c r="D6287" s="5"/>
      <c r="E6287" s="123">
        <v>1</v>
      </c>
      <c r="F6287" s="9"/>
      <c r="G6287" s="8">
        <f t="shared" si="192"/>
        <v>1.55925</v>
      </c>
      <c r="H6287" s="165">
        <v>1.4850000000000001</v>
      </c>
      <c r="I6287" s="19">
        <f t="shared" si="193"/>
        <v>0</v>
      </c>
    </row>
    <row r="6288" spans="1:9" hidden="1">
      <c r="A6288" s="49" t="s">
        <v>8760</v>
      </c>
      <c r="B6288" s="5" t="s">
        <v>10636</v>
      </c>
      <c r="C6288" s="122" t="s">
        <v>10637</v>
      </c>
      <c r="D6288" s="5"/>
      <c r="E6288" s="123">
        <v>1</v>
      </c>
      <c r="F6288" s="9"/>
      <c r="G6288" s="8">
        <f t="shared" si="192"/>
        <v>9.1244999999999994</v>
      </c>
      <c r="H6288" s="165">
        <v>8.69</v>
      </c>
      <c r="I6288" s="19">
        <f t="shared" si="193"/>
        <v>0</v>
      </c>
    </row>
    <row r="6289" spans="1:9" hidden="1">
      <c r="A6289" s="49" t="s">
        <v>8760</v>
      </c>
      <c r="B6289" s="5" t="s">
        <v>10638</v>
      </c>
      <c r="C6289" s="122" t="s">
        <v>10639</v>
      </c>
      <c r="D6289" s="5"/>
      <c r="E6289" s="123">
        <v>1</v>
      </c>
      <c r="F6289" s="9"/>
      <c r="G6289" s="8">
        <f t="shared" si="192"/>
        <v>8.0934000000000008</v>
      </c>
      <c r="H6289" s="165">
        <v>7.7080000000000002</v>
      </c>
      <c r="I6289" s="19">
        <f t="shared" si="193"/>
        <v>0</v>
      </c>
    </row>
    <row r="6290" spans="1:9" hidden="1">
      <c r="A6290" s="49" t="s">
        <v>8760</v>
      </c>
      <c r="B6290" s="5">
        <v>80012</v>
      </c>
      <c r="C6290" s="122" t="s">
        <v>10640</v>
      </c>
      <c r="D6290" s="5"/>
      <c r="E6290" s="123">
        <v>1</v>
      </c>
      <c r="F6290" s="9"/>
      <c r="G6290" s="8">
        <f t="shared" si="192"/>
        <v>2.9799000000000002</v>
      </c>
      <c r="H6290" s="165">
        <v>2.8380000000000001</v>
      </c>
      <c r="I6290" s="19">
        <f t="shared" si="193"/>
        <v>0</v>
      </c>
    </row>
    <row r="6291" spans="1:9" hidden="1">
      <c r="A6291" s="49" t="s">
        <v>8760</v>
      </c>
      <c r="B6291" s="5" t="s">
        <v>10641</v>
      </c>
      <c r="C6291" s="122" t="s">
        <v>10642</v>
      </c>
      <c r="D6291" s="5"/>
      <c r="E6291" s="123">
        <v>1</v>
      </c>
      <c r="F6291" s="9"/>
      <c r="G6291" s="8">
        <f t="shared" si="192"/>
        <v>3.4293</v>
      </c>
      <c r="H6291" s="165">
        <v>3.266</v>
      </c>
      <c r="I6291" s="19">
        <f t="shared" si="193"/>
        <v>0</v>
      </c>
    </row>
    <row r="6292" spans="1:9" hidden="1">
      <c r="A6292" s="49" t="s">
        <v>8760</v>
      </c>
      <c r="B6292" s="5" t="s">
        <v>10643</v>
      </c>
      <c r="C6292" s="122" t="s">
        <v>10644</v>
      </c>
      <c r="D6292" s="5"/>
      <c r="E6292" s="123">
        <v>1</v>
      </c>
      <c r="F6292" s="9"/>
      <c r="G6292" s="8">
        <f t="shared" si="192"/>
        <v>8.3139000000000003</v>
      </c>
      <c r="H6292" s="165">
        <v>7.9180000000000001</v>
      </c>
      <c r="I6292" s="19">
        <f t="shared" si="193"/>
        <v>0</v>
      </c>
    </row>
    <row r="6293" spans="1:9" hidden="1">
      <c r="A6293" s="49" t="s">
        <v>8760</v>
      </c>
      <c r="B6293" s="5">
        <v>80015</v>
      </c>
      <c r="C6293" s="122" t="s">
        <v>10645</v>
      </c>
      <c r="D6293" s="5"/>
      <c r="E6293" s="123">
        <v>1</v>
      </c>
      <c r="F6293" s="9"/>
      <c r="G6293" s="8">
        <f t="shared" si="192"/>
        <v>66.6267</v>
      </c>
      <c r="H6293" s="165">
        <v>63.454000000000001</v>
      </c>
      <c r="I6293" s="19">
        <f t="shared" si="193"/>
        <v>0</v>
      </c>
    </row>
    <row r="6294" spans="1:9" hidden="1">
      <c r="A6294" s="49" t="s">
        <v>8760</v>
      </c>
      <c r="B6294" s="5">
        <v>80017</v>
      </c>
      <c r="C6294" s="122" t="s">
        <v>10646</v>
      </c>
      <c r="D6294" s="5"/>
      <c r="E6294" s="123">
        <v>1</v>
      </c>
      <c r="F6294" s="9"/>
      <c r="G6294" s="8">
        <f t="shared" si="192"/>
        <v>2.9799000000000002</v>
      </c>
      <c r="H6294" s="165">
        <v>2.8380000000000001</v>
      </c>
      <c r="I6294" s="19">
        <f t="shared" si="193"/>
        <v>0</v>
      </c>
    </row>
    <row r="6295" spans="1:9" hidden="1">
      <c r="A6295" s="49" t="s">
        <v>8760</v>
      </c>
      <c r="B6295" s="5" t="s">
        <v>10647</v>
      </c>
      <c r="C6295" s="122" t="s">
        <v>10648</v>
      </c>
      <c r="D6295" s="5"/>
      <c r="E6295" s="123">
        <v>1</v>
      </c>
      <c r="F6295" s="9"/>
      <c r="G6295" s="8">
        <f t="shared" si="192"/>
        <v>2.6617500000000001</v>
      </c>
      <c r="H6295" s="165">
        <v>2.5350000000000001</v>
      </c>
      <c r="I6295" s="19">
        <f t="shared" si="193"/>
        <v>0</v>
      </c>
    </row>
    <row r="6296" spans="1:9" hidden="1">
      <c r="A6296" s="49" t="s">
        <v>8760</v>
      </c>
      <c r="B6296" s="5">
        <v>80019</v>
      </c>
      <c r="C6296" s="122" t="s">
        <v>10649</v>
      </c>
      <c r="D6296" s="5" t="s">
        <v>9367</v>
      </c>
      <c r="E6296" s="123">
        <v>1</v>
      </c>
      <c r="F6296" s="9"/>
      <c r="G6296" s="8">
        <f t="shared" si="192"/>
        <v>119.67689999999999</v>
      </c>
      <c r="H6296" s="165">
        <v>113.97799999999999</v>
      </c>
      <c r="I6296" s="19">
        <f t="shared" si="193"/>
        <v>0</v>
      </c>
    </row>
    <row r="6297" spans="1:9" hidden="1">
      <c r="A6297" s="49" t="s">
        <v>8760</v>
      </c>
      <c r="B6297" s="5">
        <v>80021</v>
      </c>
      <c r="C6297" s="122" t="s">
        <v>10650</v>
      </c>
      <c r="D6297" s="5" t="s">
        <v>9367</v>
      </c>
      <c r="E6297" s="123">
        <v>1</v>
      </c>
      <c r="F6297" s="9"/>
      <c r="G6297" s="8">
        <f t="shared" si="192"/>
        <v>121.23825000000001</v>
      </c>
      <c r="H6297" s="165">
        <v>115.465</v>
      </c>
      <c r="I6297" s="19">
        <f t="shared" si="193"/>
        <v>0</v>
      </c>
    </row>
    <row r="6298" spans="1:9" hidden="1">
      <c r="A6298" s="49" t="s">
        <v>8760</v>
      </c>
      <c r="B6298" s="5">
        <v>80028</v>
      </c>
      <c r="C6298" s="122" t="s">
        <v>10651</v>
      </c>
      <c r="D6298" s="5" t="s">
        <v>9367</v>
      </c>
      <c r="E6298" s="123">
        <v>1</v>
      </c>
      <c r="F6298" s="9"/>
      <c r="G6298" s="8">
        <f t="shared" si="192"/>
        <v>79.935450000000003</v>
      </c>
      <c r="H6298" s="165">
        <v>76.129000000000005</v>
      </c>
      <c r="I6298" s="19">
        <f t="shared" si="193"/>
        <v>0</v>
      </c>
    </row>
    <row r="6299" spans="1:9" hidden="1">
      <c r="A6299" s="49" t="s">
        <v>8760</v>
      </c>
      <c r="B6299" s="5">
        <v>80029</v>
      </c>
      <c r="C6299" s="122" t="s">
        <v>10652</v>
      </c>
      <c r="D6299" s="5" t="s">
        <v>572</v>
      </c>
      <c r="E6299" s="123">
        <v>1</v>
      </c>
      <c r="F6299" s="9"/>
      <c r="G6299" s="8">
        <f t="shared" si="192"/>
        <v>0.73814999999999997</v>
      </c>
      <c r="H6299" s="165">
        <v>0.70299999999999996</v>
      </c>
      <c r="I6299" s="19">
        <f t="shared" si="193"/>
        <v>0</v>
      </c>
    </row>
    <row r="6300" spans="1:9" hidden="1">
      <c r="A6300" s="49" t="s">
        <v>8760</v>
      </c>
      <c r="B6300" s="5">
        <v>80030</v>
      </c>
      <c r="C6300" s="122" t="s">
        <v>10653</v>
      </c>
      <c r="D6300" s="5"/>
      <c r="E6300" s="123">
        <v>1</v>
      </c>
      <c r="F6300" s="9"/>
      <c r="G6300" s="8">
        <f t="shared" si="192"/>
        <v>65.654399999999995</v>
      </c>
      <c r="H6300" s="165">
        <v>62.527999999999999</v>
      </c>
      <c r="I6300" s="19">
        <f t="shared" si="193"/>
        <v>0</v>
      </c>
    </row>
    <row r="6301" spans="1:9" hidden="1">
      <c r="A6301" s="49" t="s">
        <v>8760</v>
      </c>
      <c r="B6301" s="5">
        <v>80034</v>
      </c>
      <c r="C6301" s="122" t="s">
        <v>10654</v>
      </c>
      <c r="D6301" s="5"/>
      <c r="E6301" s="123">
        <v>1</v>
      </c>
      <c r="F6301" s="9"/>
      <c r="G6301" s="8">
        <f t="shared" si="192"/>
        <v>35.039550000000006</v>
      </c>
      <c r="H6301" s="165">
        <v>33.371000000000002</v>
      </c>
      <c r="I6301" s="19">
        <f t="shared" si="193"/>
        <v>0</v>
      </c>
    </row>
    <row r="6302" spans="1:9" hidden="1">
      <c r="A6302" s="49" t="s">
        <v>8760</v>
      </c>
      <c r="B6302" s="5">
        <v>80035</v>
      </c>
      <c r="C6302" s="122" t="s">
        <v>10655</v>
      </c>
      <c r="D6302" s="5"/>
      <c r="E6302" s="123">
        <v>1</v>
      </c>
      <c r="F6302" s="9"/>
      <c r="G6302" s="8">
        <f t="shared" si="192"/>
        <v>26.981849999999998</v>
      </c>
      <c r="H6302" s="165">
        <v>25.696999999999999</v>
      </c>
      <c r="I6302" s="19">
        <f t="shared" si="193"/>
        <v>0</v>
      </c>
    </row>
    <row r="6303" spans="1:9" hidden="1">
      <c r="A6303" s="49" t="s">
        <v>8760</v>
      </c>
      <c r="B6303" s="5">
        <v>80039</v>
      </c>
      <c r="C6303" s="122" t="s">
        <v>10656</v>
      </c>
      <c r="D6303" s="5"/>
      <c r="E6303" s="123">
        <v>1</v>
      </c>
      <c r="F6303" s="9"/>
      <c r="G6303" s="8">
        <f t="shared" si="192"/>
        <v>53.922749999999994</v>
      </c>
      <c r="H6303" s="165">
        <v>51.354999999999997</v>
      </c>
      <c r="I6303" s="19">
        <f t="shared" si="193"/>
        <v>0</v>
      </c>
    </row>
    <row r="6304" spans="1:9">
      <c r="A6304" s="49" t="s">
        <v>8760</v>
      </c>
      <c r="B6304" s="5">
        <v>80042</v>
      </c>
      <c r="C6304" s="122" t="s">
        <v>10657</v>
      </c>
      <c r="D6304" s="5" t="s">
        <v>9367</v>
      </c>
      <c r="E6304" s="123">
        <v>1</v>
      </c>
      <c r="F6304" s="9">
        <v>3</v>
      </c>
      <c r="G6304" s="8">
        <f t="shared" si="192"/>
        <v>120.09059999999999</v>
      </c>
      <c r="H6304" s="165">
        <v>114.372</v>
      </c>
      <c r="I6304" s="19">
        <f t="shared" si="193"/>
        <v>360.27179999999998</v>
      </c>
    </row>
    <row r="6305" spans="1:9">
      <c r="A6305" s="49" t="s">
        <v>8760</v>
      </c>
      <c r="B6305" s="5">
        <v>80043</v>
      </c>
      <c r="C6305" s="122" t="s">
        <v>10658</v>
      </c>
      <c r="D6305" s="5"/>
      <c r="E6305" s="123">
        <v>1</v>
      </c>
      <c r="F6305" s="9">
        <v>38</v>
      </c>
      <c r="G6305" s="8">
        <f t="shared" si="192"/>
        <v>45.329549999999998</v>
      </c>
      <c r="H6305" s="165">
        <v>43.170999999999999</v>
      </c>
      <c r="I6305" s="19">
        <f t="shared" si="193"/>
        <v>1722.5228999999999</v>
      </c>
    </row>
    <row r="6306" spans="1:9" hidden="1">
      <c r="A6306" s="49" t="s">
        <v>8760</v>
      </c>
      <c r="B6306" s="5">
        <v>80050</v>
      </c>
      <c r="C6306" s="122" t="s">
        <v>10659</v>
      </c>
      <c r="D6306" s="5"/>
      <c r="E6306" s="123">
        <v>1</v>
      </c>
      <c r="F6306" s="9"/>
      <c r="G6306" s="8">
        <f t="shared" si="192"/>
        <v>390.05189999999999</v>
      </c>
      <c r="H6306" s="165">
        <v>371.47800000000001</v>
      </c>
      <c r="I6306" s="19">
        <f t="shared" si="193"/>
        <v>0</v>
      </c>
    </row>
    <row r="6307" spans="1:9" hidden="1">
      <c r="A6307" s="49" t="s">
        <v>8760</v>
      </c>
      <c r="B6307" s="5">
        <v>80112</v>
      </c>
      <c r="C6307" s="122" t="s">
        <v>10660</v>
      </c>
      <c r="D6307" s="5"/>
      <c r="E6307" s="123">
        <v>1</v>
      </c>
      <c r="F6307" s="9"/>
      <c r="G6307" s="8">
        <f t="shared" si="192"/>
        <v>22.283100000000001</v>
      </c>
      <c r="H6307" s="165">
        <v>21.222000000000001</v>
      </c>
      <c r="I6307" s="19">
        <f t="shared" si="193"/>
        <v>0</v>
      </c>
    </row>
    <row r="6308" spans="1:9" hidden="1">
      <c r="A6308" s="49" t="s">
        <v>8760</v>
      </c>
      <c r="B6308" s="5">
        <v>80113</v>
      </c>
      <c r="C6308" s="122" t="s">
        <v>10661</v>
      </c>
      <c r="D6308" s="5"/>
      <c r="E6308" s="123">
        <v>1</v>
      </c>
      <c r="F6308" s="9"/>
      <c r="G6308" s="8">
        <f t="shared" si="192"/>
        <v>18.29205</v>
      </c>
      <c r="H6308" s="165">
        <v>17.420999999999999</v>
      </c>
      <c r="I6308" s="19">
        <f t="shared" si="193"/>
        <v>0</v>
      </c>
    </row>
    <row r="6309" spans="1:9" hidden="1">
      <c r="A6309" s="49" t="s">
        <v>8760</v>
      </c>
      <c r="B6309" s="5">
        <v>80495</v>
      </c>
      <c r="C6309" s="122" t="s">
        <v>10662</v>
      </c>
      <c r="D6309" s="5" t="s">
        <v>9367</v>
      </c>
      <c r="E6309" s="123">
        <v>1</v>
      </c>
      <c r="F6309" s="9"/>
      <c r="G6309" s="8">
        <f t="shared" si="192"/>
        <v>255.9333</v>
      </c>
      <c r="H6309" s="165">
        <v>243.74600000000001</v>
      </c>
      <c r="I6309" s="19">
        <f t="shared" si="193"/>
        <v>0</v>
      </c>
    </row>
    <row r="6310" spans="1:9" hidden="1">
      <c r="A6310" s="49" t="s">
        <v>8760</v>
      </c>
      <c r="B6310" s="5">
        <v>80496</v>
      </c>
      <c r="C6310" s="122" t="s">
        <v>10663</v>
      </c>
      <c r="D6310" s="5" t="s">
        <v>9367</v>
      </c>
      <c r="E6310" s="123">
        <v>1</v>
      </c>
      <c r="F6310" s="9"/>
      <c r="G6310" s="8">
        <f t="shared" si="192"/>
        <v>596.81999999999994</v>
      </c>
      <c r="H6310" s="165">
        <v>568.4</v>
      </c>
      <c r="I6310" s="19">
        <f t="shared" si="193"/>
        <v>0</v>
      </c>
    </row>
    <row r="6311" spans="1:9" hidden="1">
      <c r="A6311" s="49" t="s">
        <v>8760</v>
      </c>
      <c r="B6311" s="5">
        <v>80497</v>
      </c>
      <c r="C6311" s="122" t="s">
        <v>10664</v>
      </c>
      <c r="D6311" s="5" t="s">
        <v>9367</v>
      </c>
      <c r="E6311" s="123">
        <v>1</v>
      </c>
      <c r="F6311" s="9"/>
      <c r="G6311" s="8">
        <f t="shared" si="192"/>
        <v>207.52620000000002</v>
      </c>
      <c r="H6311" s="165">
        <v>197.64400000000001</v>
      </c>
      <c r="I6311" s="19">
        <f t="shared" si="193"/>
        <v>0</v>
      </c>
    </row>
    <row r="6312" spans="1:9" hidden="1">
      <c r="A6312" s="49" t="s">
        <v>8760</v>
      </c>
      <c r="B6312" s="5">
        <v>80498</v>
      </c>
      <c r="C6312" s="122" t="s">
        <v>10665</v>
      </c>
      <c r="D6312" s="5" t="s">
        <v>9367</v>
      </c>
      <c r="E6312" s="123">
        <v>1</v>
      </c>
      <c r="F6312" s="9"/>
      <c r="G6312" s="8">
        <f t="shared" si="192"/>
        <v>327.40995000000004</v>
      </c>
      <c r="H6312" s="165">
        <v>311.81900000000002</v>
      </c>
      <c r="I6312" s="19">
        <f t="shared" si="193"/>
        <v>0</v>
      </c>
    </row>
    <row r="6313" spans="1:9" hidden="1">
      <c r="A6313" s="49" t="s">
        <v>8760</v>
      </c>
      <c r="B6313" s="5">
        <v>80499</v>
      </c>
      <c r="C6313" s="122" t="s">
        <v>10666</v>
      </c>
      <c r="D6313" s="5" t="s">
        <v>9367</v>
      </c>
      <c r="E6313" s="123">
        <v>1</v>
      </c>
      <c r="F6313" s="9"/>
      <c r="G6313" s="8">
        <f t="shared" si="192"/>
        <v>359.69745</v>
      </c>
      <c r="H6313" s="165">
        <v>342.56900000000002</v>
      </c>
      <c r="I6313" s="19">
        <f t="shared" si="193"/>
        <v>0</v>
      </c>
    </row>
    <row r="6314" spans="1:9" hidden="1">
      <c r="A6314" s="49" t="s">
        <v>8760</v>
      </c>
      <c r="B6314" s="5" t="s">
        <v>10667</v>
      </c>
      <c r="C6314" s="122" t="s">
        <v>10668</v>
      </c>
      <c r="D6314" s="5"/>
      <c r="E6314" s="123">
        <v>1</v>
      </c>
      <c r="F6314" s="9"/>
      <c r="G6314" s="8">
        <f t="shared" si="192"/>
        <v>20.05395</v>
      </c>
      <c r="H6314" s="165">
        <v>19.099</v>
      </c>
      <c r="I6314" s="19">
        <f t="shared" si="193"/>
        <v>0</v>
      </c>
    </row>
    <row r="6315" spans="1:9" hidden="1">
      <c r="A6315" s="49" t="s">
        <v>8760</v>
      </c>
      <c r="B6315" s="5" t="s">
        <v>10669</v>
      </c>
      <c r="C6315" s="122" t="s">
        <v>10670</v>
      </c>
      <c r="D6315" s="5"/>
      <c r="E6315" s="123">
        <v>1</v>
      </c>
      <c r="F6315" s="9"/>
      <c r="G6315" s="8">
        <f t="shared" si="192"/>
        <v>23.025449999999999</v>
      </c>
      <c r="H6315" s="165">
        <v>21.928999999999998</v>
      </c>
      <c r="I6315" s="19">
        <f t="shared" si="193"/>
        <v>0</v>
      </c>
    </row>
    <row r="6316" spans="1:9" hidden="1">
      <c r="A6316" s="49" t="s">
        <v>8760</v>
      </c>
      <c r="B6316" s="5" t="s">
        <v>10671</v>
      </c>
      <c r="C6316" s="122" t="s">
        <v>10672</v>
      </c>
      <c r="D6316" s="5"/>
      <c r="E6316" s="123">
        <v>1</v>
      </c>
      <c r="F6316" s="9"/>
      <c r="G6316" s="8">
        <f t="shared" si="192"/>
        <v>209.72909999999999</v>
      </c>
      <c r="H6316" s="165">
        <v>199.74199999999999</v>
      </c>
      <c r="I6316" s="19">
        <f t="shared" si="193"/>
        <v>0</v>
      </c>
    </row>
    <row r="6317" spans="1:9" hidden="1">
      <c r="A6317" s="49" t="s">
        <v>8760</v>
      </c>
      <c r="B6317" s="5" t="s">
        <v>10673</v>
      </c>
      <c r="C6317" s="122" t="s">
        <v>10674</v>
      </c>
      <c r="D6317" s="5"/>
      <c r="E6317" s="123">
        <v>1</v>
      </c>
      <c r="F6317" s="9"/>
      <c r="G6317" s="8">
        <f t="shared" si="192"/>
        <v>233.03280000000001</v>
      </c>
      <c r="H6317" s="165">
        <v>221.93600000000001</v>
      </c>
      <c r="I6317" s="19">
        <f t="shared" si="193"/>
        <v>0</v>
      </c>
    </row>
    <row r="6318" spans="1:9" hidden="1">
      <c r="A6318" s="49" t="s">
        <v>8760</v>
      </c>
      <c r="B6318" s="5" t="s">
        <v>10675</v>
      </c>
      <c r="C6318" s="122" t="s">
        <v>10676</v>
      </c>
      <c r="D6318" s="5"/>
      <c r="E6318" s="123">
        <v>1</v>
      </c>
      <c r="F6318" s="9"/>
      <c r="G6318" s="8">
        <f t="shared" si="192"/>
        <v>198.9288</v>
      </c>
      <c r="H6318" s="165">
        <v>189.45599999999999</v>
      </c>
      <c r="I6318" s="19">
        <f t="shared" si="193"/>
        <v>0</v>
      </c>
    </row>
    <row r="6319" spans="1:9" hidden="1">
      <c r="A6319" s="49" t="s">
        <v>8760</v>
      </c>
      <c r="B6319" s="5" t="s">
        <v>10677</v>
      </c>
      <c r="C6319" s="122" t="s">
        <v>10678</v>
      </c>
      <c r="D6319" s="5"/>
      <c r="E6319" s="123">
        <v>1</v>
      </c>
      <c r="F6319" s="9"/>
      <c r="G6319" s="8">
        <f t="shared" si="192"/>
        <v>150.1962</v>
      </c>
      <c r="H6319" s="165">
        <v>143.04400000000001</v>
      </c>
      <c r="I6319" s="19">
        <f t="shared" si="193"/>
        <v>0</v>
      </c>
    </row>
    <row r="6320" spans="1:9" hidden="1">
      <c r="A6320" s="49" t="s">
        <v>8760</v>
      </c>
      <c r="B6320" s="5" t="s">
        <v>10679</v>
      </c>
      <c r="C6320" s="122" t="s">
        <v>10680</v>
      </c>
      <c r="D6320" s="5"/>
      <c r="E6320" s="123">
        <v>1</v>
      </c>
      <c r="F6320" s="9"/>
      <c r="G6320" s="8">
        <f t="shared" si="192"/>
        <v>117.37320000000001</v>
      </c>
      <c r="H6320" s="165">
        <v>111.78400000000001</v>
      </c>
      <c r="I6320" s="19">
        <f t="shared" si="193"/>
        <v>0</v>
      </c>
    </row>
    <row r="6321" spans="1:9" hidden="1">
      <c r="A6321" s="49" t="s">
        <v>8760</v>
      </c>
      <c r="B6321" s="5" t="s">
        <v>10681</v>
      </c>
      <c r="C6321" s="122" t="s">
        <v>10682</v>
      </c>
      <c r="D6321" s="5"/>
      <c r="E6321" s="123">
        <v>1</v>
      </c>
      <c r="F6321" s="9"/>
      <c r="G6321" s="8">
        <f t="shared" si="192"/>
        <v>11.899649999999999</v>
      </c>
      <c r="H6321" s="165">
        <v>11.333</v>
      </c>
      <c r="I6321" s="19">
        <f t="shared" si="193"/>
        <v>0</v>
      </c>
    </row>
    <row r="6322" spans="1:9" hidden="1">
      <c r="A6322" s="49" t="s">
        <v>8760</v>
      </c>
      <c r="B6322" s="5" t="s">
        <v>10683</v>
      </c>
      <c r="C6322" s="122" t="s">
        <v>10684</v>
      </c>
      <c r="D6322" s="5"/>
      <c r="E6322" s="123">
        <v>1</v>
      </c>
      <c r="F6322" s="9"/>
      <c r="G6322" s="8">
        <f t="shared" si="192"/>
        <v>13.47885</v>
      </c>
      <c r="H6322" s="165">
        <v>12.837</v>
      </c>
      <c r="I6322" s="19">
        <f t="shared" si="193"/>
        <v>0</v>
      </c>
    </row>
    <row r="6323" spans="1:9" hidden="1">
      <c r="A6323" s="49" t="s">
        <v>8760</v>
      </c>
      <c r="B6323" s="5" t="s">
        <v>10685</v>
      </c>
      <c r="C6323" s="122" t="s">
        <v>10686</v>
      </c>
      <c r="D6323" s="5"/>
      <c r="E6323" s="123">
        <v>1</v>
      </c>
      <c r="F6323" s="9"/>
      <c r="G6323" s="8">
        <f t="shared" si="192"/>
        <v>112.76895</v>
      </c>
      <c r="H6323" s="165">
        <v>107.399</v>
      </c>
      <c r="I6323" s="19">
        <f t="shared" si="193"/>
        <v>0</v>
      </c>
    </row>
    <row r="6324" spans="1:9" hidden="1">
      <c r="A6324" s="49" t="s">
        <v>8760</v>
      </c>
      <c r="B6324" s="5" t="s">
        <v>10687</v>
      </c>
      <c r="C6324" s="122" t="s">
        <v>10688</v>
      </c>
      <c r="D6324" s="5"/>
      <c r="E6324" s="123">
        <v>1</v>
      </c>
      <c r="F6324" s="9"/>
      <c r="G6324" s="8">
        <f t="shared" si="192"/>
        <v>99.459149999999994</v>
      </c>
      <c r="H6324" s="165">
        <v>94.722999999999999</v>
      </c>
      <c r="I6324" s="19">
        <f t="shared" si="193"/>
        <v>0</v>
      </c>
    </row>
    <row r="6325" spans="1:9" hidden="1">
      <c r="A6325" s="49" t="s">
        <v>8760</v>
      </c>
      <c r="B6325" s="5" t="s">
        <v>10689</v>
      </c>
      <c r="C6325" s="122" t="s">
        <v>10690</v>
      </c>
      <c r="D6325" s="5" t="s">
        <v>9367</v>
      </c>
      <c r="E6325" s="123">
        <v>1</v>
      </c>
      <c r="F6325" s="9"/>
      <c r="G6325" s="8">
        <f t="shared" si="192"/>
        <v>265.55865</v>
      </c>
      <c r="H6325" s="165">
        <v>252.91300000000001</v>
      </c>
      <c r="I6325" s="19">
        <f t="shared" si="193"/>
        <v>0</v>
      </c>
    </row>
    <row r="6326" spans="1:9" hidden="1">
      <c r="A6326" s="49" t="s">
        <v>8760</v>
      </c>
      <c r="B6326" s="5">
        <v>805901</v>
      </c>
      <c r="C6326" s="122" t="s">
        <v>10691</v>
      </c>
      <c r="D6326" s="5" t="s">
        <v>9367</v>
      </c>
      <c r="E6326" s="123">
        <v>1</v>
      </c>
      <c r="F6326" s="9"/>
      <c r="G6326" s="8">
        <f t="shared" si="192"/>
        <v>246.37934999999999</v>
      </c>
      <c r="H6326" s="165">
        <v>234.64699999999999</v>
      </c>
      <c r="I6326" s="19">
        <f t="shared" si="193"/>
        <v>0</v>
      </c>
    </row>
    <row r="6327" spans="1:9" hidden="1">
      <c r="A6327" s="49" t="s">
        <v>8760</v>
      </c>
      <c r="B6327" s="5" t="s">
        <v>10692</v>
      </c>
      <c r="C6327" s="122" t="s">
        <v>10693</v>
      </c>
      <c r="D6327" s="5"/>
      <c r="E6327" s="123">
        <v>1</v>
      </c>
      <c r="F6327" s="9"/>
      <c r="G6327" s="8">
        <f t="shared" si="192"/>
        <v>4.0488</v>
      </c>
      <c r="H6327" s="165">
        <v>3.8559999999999999</v>
      </c>
      <c r="I6327" s="19">
        <f t="shared" si="193"/>
        <v>0</v>
      </c>
    </row>
    <row r="6328" spans="1:9" hidden="1">
      <c r="A6328" s="49" t="s">
        <v>8760</v>
      </c>
      <c r="B6328" s="5" t="s">
        <v>10694</v>
      </c>
      <c r="C6328" s="122" t="s">
        <v>10695</v>
      </c>
      <c r="D6328" s="5"/>
      <c r="E6328" s="123">
        <v>1</v>
      </c>
      <c r="F6328" s="9"/>
      <c r="G6328" s="8">
        <f t="shared" si="192"/>
        <v>4.9444499999999998</v>
      </c>
      <c r="H6328" s="165">
        <v>4.7089999999999996</v>
      </c>
      <c r="I6328" s="19">
        <f t="shared" si="193"/>
        <v>0</v>
      </c>
    </row>
    <row r="6329" spans="1:9" hidden="1">
      <c r="A6329" s="49" t="s">
        <v>8760</v>
      </c>
      <c r="B6329" s="5" t="s">
        <v>10696</v>
      </c>
      <c r="C6329" s="122" t="s">
        <v>10697</v>
      </c>
      <c r="D6329" s="5"/>
      <c r="E6329" s="123">
        <v>1</v>
      </c>
      <c r="F6329" s="9"/>
      <c r="G6329" s="8">
        <f t="shared" si="192"/>
        <v>2.88015</v>
      </c>
      <c r="H6329" s="165">
        <v>2.7429999999999999</v>
      </c>
      <c r="I6329" s="19">
        <f t="shared" si="193"/>
        <v>0</v>
      </c>
    </row>
    <row r="6330" spans="1:9" hidden="1">
      <c r="A6330" s="49" t="s">
        <v>8760</v>
      </c>
      <c r="B6330" s="5" t="s">
        <v>10698</v>
      </c>
      <c r="C6330" s="122" t="s">
        <v>10699</v>
      </c>
      <c r="D6330" s="5"/>
      <c r="E6330" s="123">
        <v>1</v>
      </c>
      <c r="F6330" s="9"/>
      <c r="G6330" s="8">
        <f t="shared" si="192"/>
        <v>2.3551500000000001</v>
      </c>
      <c r="H6330" s="165">
        <v>2.2429999999999999</v>
      </c>
      <c r="I6330" s="19">
        <f t="shared" si="193"/>
        <v>0</v>
      </c>
    </row>
    <row r="6331" spans="1:9" hidden="1">
      <c r="A6331" s="49" t="s">
        <v>8760</v>
      </c>
      <c r="B6331" s="5" t="s">
        <v>10700</v>
      </c>
      <c r="C6331" s="122" t="s">
        <v>10701</v>
      </c>
      <c r="D6331" s="5"/>
      <c r="E6331" s="123">
        <v>1</v>
      </c>
      <c r="F6331" s="9"/>
      <c r="G6331" s="8">
        <f t="shared" si="192"/>
        <v>24.73695</v>
      </c>
      <c r="H6331" s="165">
        <v>23.559000000000001</v>
      </c>
      <c r="I6331" s="19">
        <f t="shared" si="193"/>
        <v>0</v>
      </c>
    </row>
    <row r="6332" spans="1:9" hidden="1">
      <c r="A6332" s="49" t="s">
        <v>8760</v>
      </c>
      <c r="B6332" s="5" t="s">
        <v>10702</v>
      </c>
      <c r="C6332" s="122" t="s">
        <v>10703</v>
      </c>
      <c r="D6332" s="5"/>
      <c r="E6332" s="123">
        <v>1</v>
      </c>
      <c r="F6332" s="9"/>
      <c r="G6332" s="8">
        <f t="shared" si="192"/>
        <v>30.9099</v>
      </c>
      <c r="H6332" s="165">
        <v>29.437999999999999</v>
      </c>
      <c r="I6332" s="19">
        <f t="shared" si="193"/>
        <v>0</v>
      </c>
    </row>
    <row r="6333" spans="1:9" hidden="1">
      <c r="A6333" s="49" t="s">
        <v>8760</v>
      </c>
      <c r="B6333" s="5" t="s">
        <v>10704</v>
      </c>
      <c r="C6333" s="122" t="s">
        <v>10705</v>
      </c>
      <c r="D6333" s="5"/>
      <c r="E6333" s="123">
        <v>1</v>
      </c>
      <c r="F6333" s="9"/>
      <c r="G6333" s="8">
        <f t="shared" si="192"/>
        <v>37.285499999999999</v>
      </c>
      <c r="H6333" s="165">
        <v>35.51</v>
      </c>
      <c r="I6333" s="19">
        <f t="shared" si="193"/>
        <v>0</v>
      </c>
    </row>
    <row r="6334" spans="1:9" hidden="1">
      <c r="A6334" s="49" t="s">
        <v>8760</v>
      </c>
      <c r="B6334" s="5" t="s">
        <v>10706</v>
      </c>
      <c r="C6334" s="122" t="s">
        <v>10707</v>
      </c>
      <c r="D6334" s="5"/>
      <c r="E6334" s="123">
        <v>1</v>
      </c>
      <c r="F6334" s="9"/>
      <c r="G6334" s="8">
        <f t="shared" si="192"/>
        <v>31.7163</v>
      </c>
      <c r="H6334" s="165">
        <v>30.206</v>
      </c>
      <c r="I6334" s="19">
        <f t="shared" si="193"/>
        <v>0</v>
      </c>
    </row>
    <row r="6335" spans="1:9" hidden="1">
      <c r="A6335" s="49" t="s">
        <v>8760</v>
      </c>
      <c r="B6335" s="5" t="s">
        <v>10708</v>
      </c>
      <c r="C6335" s="122" t="s">
        <v>10709</v>
      </c>
      <c r="D6335" s="5"/>
      <c r="E6335" s="123">
        <v>1</v>
      </c>
      <c r="F6335" s="9"/>
      <c r="G6335" s="8">
        <f t="shared" si="192"/>
        <v>39.616499999999995</v>
      </c>
      <c r="H6335" s="165">
        <v>37.729999999999997</v>
      </c>
      <c r="I6335" s="19">
        <f t="shared" si="193"/>
        <v>0</v>
      </c>
    </row>
    <row r="6336" spans="1:9" hidden="1">
      <c r="A6336" s="49" t="s">
        <v>8760</v>
      </c>
      <c r="B6336" s="5" t="s">
        <v>10710</v>
      </c>
      <c r="C6336" s="122" t="s">
        <v>10711</v>
      </c>
      <c r="D6336" s="5"/>
      <c r="E6336" s="123">
        <v>1</v>
      </c>
      <c r="F6336" s="9"/>
      <c r="G6336" s="8">
        <f t="shared" si="192"/>
        <v>47.789700000000003</v>
      </c>
      <c r="H6336" s="165">
        <v>45.514000000000003</v>
      </c>
      <c r="I6336" s="19">
        <f t="shared" si="193"/>
        <v>0</v>
      </c>
    </row>
    <row r="6337" spans="1:9" hidden="1">
      <c r="A6337" s="49" t="s">
        <v>8760</v>
      </c>
      <c r="B6337" s="5" t="s">
        <v>10712</v>
      </c>
      <c r="C6337" s="122" t="s">
        <v>10713</v>
      </c>
      <c r="D6337" s="5"/>
      <c r="E6337" s="123">
        <v>1</v>
      </c>
      <c r="F6337" s="9"/>
      <c r="G6337" s="8">
        <f t="shared" si="192"/>
        <v>31.7163</v>
      </c>
      <c r="H6337" s="165">
        <v>30.206</v>
      </c>
      <c r="I6337" s="19">
        <f t="shared" si="193"/>
        <v>0</v>
      </c>
    </row>
    <row r="6338" spans="1:9" hidden="1">
      <c r="A6338" s="49" t="s">
        <v>8760</v>
      </c>
      <c r="B6338" s="5" t="s">
        <v>10714</v>
      </c>
      <c r="C6338" s="122" t="s">
        <v>10715</v>
      </c>
      <c r="D6338" s="5"/>
      <c r="E6338" s="123">
        <v>1</v>
      </c>
      <c r="F6338" s="9"/>
      <c r="G6338" s="8">
        <f t="shared" si="192"/>
        <v>39.616499999999995</v>
      </c>
      <c r="H6338" s="165">
        <v>37.729999999999997</v>
      </c>
      <c r="I6338" s="19">
        <f t="shared" si="193"/>
        <v>0</v>
      </c>
    </row>
    <row r="6339" spans="1:9" hidden="1">
      <c r="A6339" s="49" t="s">
        <v>8760</v>
      </c>
      <c r="B6339" s="5" t="s">
        <v>10716</v>
      </c>
      <c r="C6339" s="122" t="s">
        <v>10717</v>
      </c>
      <c r="D6339" s="5"/>
      <c r="E6339" s="123">
        <v>1</v>
      </c>
      <c r="F6339" s="9"/>
      <c r="G6339" s="8">
        <f t="shared" si="192"/>
        <v>47.789700000000003</v>
      </c>
      <c r="H6339" s="165">
        <v>45.514000000000003</v>
      </c>
      <c r="I6339" s="19">
        <f t="shared" si="193"/>
        <v>0</v>
      </c>
    </row>
    <row r="6340" spans="1:9" hidden="1">
      <c r="A6340" s="49" t="s">
        <v>8760</v>
      </c>
      <c r="B6340" s="5" t="s">
        <v>10718</v>
      </c>
      <c r="C6340" s="122" t="s">
        <v>10719</v>
      </c>
      <c r="D6340" s="5"/>
      <c r="E6340" s="123">
        <v>1</v>
      </c>
      <c r="F6340" s="9"/>
      <c r="G6340" s="8">
        <f t="shared" si="192"/>
        <v>27.649649999999998</v>
      </c>
      <c r="H6340" s="165">
        <v>26.332999999999998</v>
      </c>
      <c r="I6340" s="19">
        <f t="shared" si="193"/>
        <v>0</v>
      </c>
    </row>
    <row r="6341" spans="1:9" hidden="1">
      <c r="A6341" s="49" t="s">
        <v>8760</v>
      </c>
      <c r="B6341" s="5" t="s">
        <v>10720</v>
      </c>
      <c r="C6341" s="122" t="s">
        <v>10721</v>
      </c>
      <c r="D6341" s="5"/>
      <c r="E6341" s="123">
        <v>1</v>
      </c>
      <c r="F6341" s="9"/>
      <c r="G6341" s="8">
        <f t="shared" si="192"/>
        <v>34.5702</v>
      </c>
      <c r="H6341" s="165">
        <v>32.923999999999999</v>
      </c>
      <c r="I6341" s="19">
        <f t="shared" si="193"/>
        <v>0</v>
      </c>
    </row>
    <row r="6342" spans="1:9" hidden="1">
      <c r="A6342" s="49" t="s">
        <v>8760</v>
      </c>
      <c r="B6342" s="5" t="s">
        <v>10722</v>
      </c>
      <c r="C6342" s="122" t="s">
        <v>10723</v>
      </c>
      <c r="D6342" s="5"/>
      <c r="E6342" s="123">
        <v>1</v>
      </c>
      <c r="F6342" s="9"/>
      <c r="G6342" s="8">
        <f t="shared" si="192"/>
        <v>41.672400000000003</v>
      </c>
      <c r="H6342" s="165">
        <v>39.688000000000002</v>
      </c>
      <c r="I6342" s="19">
        <f t="shared" si="193"/>
        <v>0</v>
      </c>
    </row>
    <row r="6343" spans="1:9" hidden="1">
      <c r="A6343" s="49" t="s">
        <v>8760</v>
      </c>
      <c r="B6343" s="5" t="s">
        <v>10724</v>
      </c>
      <c r="C6343" s="122" t="s">
        <v>10725</v>
      </c>
      <c r="D6343" s="5"/>
      <c r="E6343" s="123">
        <v>1</v>
      </c>
      <c r="F6343" s="9"/>
      <c r="G6343" s="8">
        <f t="shared" si="192"/>
        <v>57.234450000000002</v>
      </c>
      <c r="H6343" s="165">
        <v>54.509</v>
      </c>
      <c r="I6343" s="19">
        <f t="shared" si="193"/>
        <v>0</v>
      </c>
    </row>
    <row r="6344" spans="1:9" hidden="1">
      <c r="A6344" s="49" t="s">
        <v>8760</v>
      </c>
      <c r="B6344" s="5" t="s">
        <v>10726</v>
      </c>
      <c r="C6344" s="122" t="s">
        <v>10727</v>
      </c>
      <c r="D6344" s="5"/>
      <c r="E6344" s="123">
        <v>1</v>
      </c>
      <c r="F6344" s="9"/>
      <c r="G6344" s="8">
        <f t="shared" si="192"/>
        <v>57.234450000000002</v>
      </c>
      <c r="H6344" s="165">
        <v>54.509</v>
      </c>
      <c r="I6344" s="19">
        <f t="shared" si="193"/>
        <v>0</v>
      </c>
    </row>
    <row r="6345" spans="1:9" hidden="1">
      <c r="A6345" s="49" t="s">
        <v>8760</v>
      </c>
      <c r="B6345" s="5" t="s">
        <v>10728</v>
      </c>
      <c r="C6345" s="122" t="s">
        <v>10729</v>
      </c>
      <c r="D6345" s="5"/>
      <c r="E6345" s="123">
        <v>1</v>
      </c>
      <c r="F6345" s="9"/>
      <c r="G6345" s="8">
        <f t="shared" si="192"/>
        <v>39.443249999999999</v>
      </c>
      <c r="H6345" s="165">
        <v>37.564999999999998</v>
      </c>
      <c r="I6345" s="19">
        <f t="shared" si="193"/>
        <v>0</v>
      </c>
    </row>
    <row r="6346" spans="1:9" hidden="1">
      <c r="A6346" s="49" t="s">
        <v>8760</v>
      </c>
      <c r="B6346" s="5" t="s">
        <v>10730</v>
      </c>
      <c r="C6346" s="122" t="s">
        <v>10731</v>
      </c>
      <c r="D6346" s="5"/>
      <c r="E6346" s="123">
        <v>1</v>
      </c>
      <c r="F6346" s="9"/>
      <c r="G6346" s="8">
        <f t="shared" si="192"/>
        <v>119.7882</v>
      </c>
      <c r="H6346" s="165">
        <v>114.084</v>
      </c>
      <c r="I6346" s="19">
        <f t="shared" si="193"/>
        <v>0</v>
      </c>
    </row>
    <row r="6347" spans="1:9" hidden="1">
      <c r="A6347" s="49" t="s">
        <v>8760</v>
      </c>
      <c r="B6347" s="5" t="s">
        <v>10732</v>
      </c>
      <c r="C6347" s="122" t="s">
        <v>10733</v>
      </c>
      <c r="D6347" s="5"/>
      <c r="E6347" s="123">
        <v>1</v>
      </c>
      <c r="F6347" s="9"/>
      <c r="G6347" s="8">
        <f t="shared" si="192"/>
        <v>44.905350000000006</v>
      </c>
      <c r="H6347" s="165">
        <v>42.767000000000003</v>
      </c>
      <c r="I6347" s="19">
        <f t="shared" si="193"/>
        <v>0</v>
      </c>
    </row>
    <row r="6348" spans="1:9" hidden="1">
      <c r="A6348" s="49" t="s">
        <v>8760</v>
      </c>
      <c r="B6348" s="5" t="s">
        <v>10734</v>
      </c>
      <c r="C6348" s="122" t="s">
        <v>10735</v>
      </c>
      <c r="D6348" s="5"/>
      <c r="E6348" s="123">
        <v>1</v>
      </c>
      <c r="F6348" s="9"/>
      <c r="G6348" s="8">
        <f t="shared" ref="G6348:G6411" si="194">H6348+(H6348*5%)</f>
        <v>45.918599999999998</v>
      </c>
      <c r="H6348" s="165">
        <v>43.731999999999999</v>
      </c>
      <c r="I6348" s="19">
        <f t="shared" ref="I6348:I6411" si="195">G6348*F6348</f>
        <v>0</v>
      </c>
    </row>
    <row r="6349" spans="1:9" hidden="1">
      <c r="A6349" s="49" t="s">
        <v>8760</v>
      </c>
      <c r="B6349" s="5" t="s">
        <v>10736</v>
      </c>
      <c r="C6349" s="122" t="s">
        <v>10737</v>
      </c>
      <c r="D6349" s="5"/>
      <c r="E6349" s="123">
        <v>1</v>
      </c>
      <c r="F6349" s="9"/>
      <c r="G6349" s="8">
        <f t="shared" si="194"/>
        <v>57.228149999999999</v>
      </c>
      <c r="H6349" s="165">
        <v>54.503</v>
      </c>
      <c r="I6349" s="19">
        <f t="shared" si="195"/>
        <v>0</v>
      </c>
    </row>
    <row r="6350" spans="1:9" hidden="1">
      <c r="A6350" s="49" t="s">
        <v>8760</v>
      </c>
      <c r="B6350" s="5" t="s">
        <v>10738</v>
      </c>
      <c r="C6350" s="122" t="s">
        <v>10739</v>
      </c>
      <c r="D6350" s="5"/>
      <c r="E6350" s="123">
        <v>1</v>
      </c>
      <c r="F6350" s="9"/>
      <c r="G6350" s="8">
        <f t="shared" si="194"/>
        <v>57.468600000000002</v>
      </c>
      <c r="H6350" s="165">
        <v>54.731999999999999</v>
      </c>
      <c r="I6350" s="19">
        <f t="shared" si="195"/>
        <v>0</v>
      </c>
    </row>
    <row r="6351" spans="1:9" hidden="1">
      <c r="A6351" s="49" t="s">
        <v>8760</v>
      </c>
      <c r="B6351" s="5" t="s">
        <v>10740</v>
      </c>
      <c r="C6351" s="122" t="s">
        <v>10741</v>
      </c>
      <c r="D6351" s="5"/>
      <c r="E6351" s="123">
        <v>1</v>
      </c>
      <c r="F6351" s="9"/>
      <c r="G6351" s="8">
        <f t="shared" si="194"/>
        <v>53.220300000000002</v>
      </c>
      <c r="H6351" s="165">
        <v>50.686</v>
      </c>
      <c r="I6351" s="19">
        <f t="shared" si="195"/>
        <v>0</v>
      </c>
    </row>
    <row r="6352" spans="1:9" hidden="1">
      <c r="A6352" s="49" t="s">
        <v>8760</v>
      </c>
      <c r="B6352" s="5" t="s">
        <v>10742</v>
      </c>
      <c r="C6352" s="122" t="s">
        <v>10743</v>
      </c>
      <c r="D6352" s="5"/>
      <c r="E6352" s="123">
        <v>1</v>
      </c>
      <c r="F6352" s="9"/>
      <c r="G6352" s="8">
        <f t="shared" si="194"/>
        <v>47.233200000000004</v>
      </c>
      <c r="H6352" s="165">
        <v>44.984000000000002</v>
      </c>
      <c r="I6352" s="19">
        <f t="shared" si="195"/>
        <v>0</v>
      </c>
    </row>
    <row r="6353" spans="1:9" hidden="1">
      <c r="A6353" s="49" t="s">
        <v>8760</v>
      </c>
      <c r="B6353" s="5" t="s">
        <v>10744</v>
      </c>
      <c r="C6353" s="122" t="s">
        <v>10745</v>
      </c>
      <c r="D6353" s="5"/>
      <c r="E6353" s="123">
        <v>1</v>
      </c>
      <c r="F6353" s="9"/>
      <c r="G6353" s="8">
        <f t="shared" si="194"/>
        <v>30.823800000000002</v>
      </c>
      <c r="H6353" s="165">
        <v>29.356000000000002</v>
      </c>
      <c r="I6353" s="19">
        <f t="shared" si="195"/>
        <v>0</v>
      </c>
    </row>
    <row r="6354" spans="1:9" hidden="1">
      <c r="A6354" s="49" t="s">
        <v>8760</v>
      </c>
      <c r="B6354" s="5" t="s">
        <v>10746</v>
      </c>
      <c r="C6354" s="122" t="s">
        <v>10747</v>
      </c>
      <c r="D6354" s="5"/>
      <c r="E6354" s="123">
        <v>1</v>
      </c>
      <c r="F6354" s="9"/>
      <c r="G6354" s="8">
        <f t="shared" si="194"/>
        <v>30.823800000000002</v>
      </c>
      <c r="H6354" s="165">
        <v>29.356000000000002</v>
      </c>
      <c r="I6354" s="19">
        <f t="shared" si="195"/>
        <v>0</v>
      </c>
    </row>
    <row r="6355" spans="1:9" hidden="1">
      <c r="A6355" s="49" t="s">
        <v>8760</v>
      </c>
      <c r="B6355" s="5" t="s">
        <v>10748</v>
      </c>
      <c r="C6355" s="122" t="s">
        <v>10749</v>
      </c>
      <c r="D6355" s="5"/>
      <c r="E6355" s="123">
        <v>1</v>
      </c>
      <c r="F6355" s="9"/>
      <c r="G6355" s="8">
        <f t="shared" si="194"/>
        <v>21.614250000000002</v>
      </c>
      <c r="H6355" s="165">
        <v>20.585000000000001</v>
      </c>
      <c r="I6355" s="19">
        <f t="shared" si="195"/>
        <v>0</v>
      </c>
    </row>
    <row r="6356" spans="1:9" hidden="1">
      <c r="A6356" s="49" t="s">
        <v>8760</v>
      </c>
      <c r="B6356" s="5" t="s">
        <v>10750</v>
      </c>
      <c r="C6356" s="122" t="s">
        <v>10751</v>
      </c>
      <c r="D6356" s="5"/>
      <c r="E6356" s="123">
        <v>1</v>
      </c>
      <c r="F6356" s="9"/>
      <c r="G6356" s="8">
        <f t="shared" si="194"/>
        <v>25.806899999999999</v>
      </c>
      <c r="H6356" s="165">
        <v>24.577999999999999</v>
      </c>
      <c r="I6356" s="19">
        <f t="shared" si="195"/>
        <v>0</v>
      </c>
    </row>
    <row r="6357" spans="1:9" hidden="1">
      <c r="A6357" s="49" t="s">
        <v>8760</v>
      </c>
      <c r="B6357" s="5" t="s">
        <v>10752</v>
      </c>
      <c r="C6357" s="122" t="s">
        <v>10753</v>
      </c>
      <c r="D6357" s="5"/>
      <c r="E6357" s="123">
        <v>1</v>
      </c>
      <c r="F6357" s="9"/>
      <c r="G6357" s="8">
        <f t="shared" si="194"/>
        <v>37.543799999999997</v>
      </c>
      <c r="H6357" s="165">
        <v>35.756</v>
      </c>
      <c r="I6357" s="19">
        <f t="shared" si="195"/>
        <v>0</v>
      </c>
    </row>
    <row r="6358" spans="1:9" hidden="1">
      <c r="A6358" s="49" t="s">
        <v>8760</v>
      </c>
      <c r="B6358" s="5" t="s">
        <v>10754</v>
      </c>
      <c r="C6358" s="122" t="s">
        <v>10755</v>
      </c>
      <c r="D6358" s="5"/>
      <c r="E6358" s="123">
        <v>1</v>
      </c>
      <c r="F6358" s="9"/>
      <c r="G6358" s="8">
        <f t="shared" si="194"/>
        <v>26.621700000000001</v>
      </c>
      <c r="H6358" s="165">
        <v>25.353999999999999</v>
      </c>
      <c r="I6358" s="19">
        <f t="shared" si="195"/>
        <v>0</v>
      </c>
    </row>
    <row r="6359" spans="1:9" hidden="1">
      <c r="A6359" s="49" t="s">
        <v>8760</v>
      </c>
      <c r="B6359" s="5" t="s">
        <v>10756</v>
      </c>
      <c r="C6359" s="122" t="s">
        <v>10757</v>
      </c>
      <c r="D6359" s="5"/>
      <c r="E6359" s="123">
        <v>1</v>
      </c>
      <c r="F6359" s="9"/>
      <c r="G6359" s="8">
        <f t="shared" si="194"/>
        <v>43.89105</v>
      </c>
      <c r="H6359" s="165">
        <v>41.801000000000002</v>
      </c>
      <c r="I6359" s="19">
        <f t="shared" si="195"/>
        <v>0</v>
      </c>
    </row>
    <row r="6360" spans="1:9" hidden="1">
      <c r="A6360" s="49" t="s">
        <v>8760</v>
      </c>
      <c r="B6360" s="5" t="s">
        <v>10758</v>
      </c>
      <c r="C6360" s="122" t="s">
        <v>10759</v>
      </c>
      <c r="D6360" s="5"/>
      <c r="E6360" s="123">
        <v>1</v>
      </c>
      <c r="F6360" s="9"/>
      <c r="G6360" s="8">
        <f t="shared" si="194"/>
        <v>31.486349999999998</v>
      </c>
      <c r="H6360" s="165">
        <v>29.986999999999998</v>
      </c>
      <c r="I6360" s="19">
        <f t="shared" si="195"/>
        <v>0</v>
      </c>
    </row>
    <row r="6361" spans="1:9" hidden="1">
      <c r="A6361" s="49" t="s">
        <v>8760</v>
      </c>
      <c r="B6361" s="5" t="s">
        <v>10760</v>
      </c>
      <c r="C6361" s="122" t="s">
        <v>10761</v>
      </c>
      <c r="D6361" s="5"/>
      <c r="E6361" s="123">
        <v>1</v>
      </c>
      <c r="F6361" s="9"/>
      <c r="G6361" s="8">
        <f t="shared" si="194"/>
        <v>49.084350000000001</v>
      </c>
      <c r="H6361" s="165">
        <v>46.747</v>
      </c>
      <c r="I6361" s="19">
        <f t="shared" si="195"/>
        <v>0</v>
      </c>
    </row>
    <row r="6362" spans="1:9" hidden="1">
      <c r="A6362" s="49" t="s">
        <v>8760</v>
      </c>
      <c r="B6362" s="5" t="s">
        <v>10762</v>
      </c>
      <c r="C6362" s="122" t="s">
        <v>10763</v>
      </c>
      <c r="D6362" s="5"/>
      <c r="E6362" s="123">
        <v>1</v>
      </c>
      <c r="F6362" s="9"/>
      <c r="G6362" s="8">
        <f t="shared" si="194"/>
        <v>120.1494</v>
      </c>
      <c r="H6362" s="165">
        <v>114.428</v>
      </c>
      <c r="I6362" s="19">
        <f t="shared" si="195"/>
        <v>0</v>
      </c>
    </row>
    <row r="6363" spans="1:9" hidden="1">
      <c r="A6363" s="49" t="s">
        <v>8760</v>
      </c>
      <c r="B6363" s="5" t="s">
        <v>10764</v>
      </c>
      <c r="C6363" s="122" t="s">
        <v>10765</v>
      </c>
      <c r="D6363" s="5"/>
      <c r="E6363" s="123">
        <v>1</v>
      </c>
      <c r="F6363" s="9"/>
      <c r="G6363" s="8">
        <f t="shared" si="194"/>
        <v>51.14235</v>
      </c>
      <c r="H6363" s="165">
        <v>48.707000000000001</v>
      </c>
      <c r="I6363" s="19">
        <f t="shared" si="195"/>
        <v>0</v>
      </c>
    </row>
    <row r="6364" spans="1:9" hidden="1">
      <c r="A6364" s="49" t="s">
        <v>8760</v>
      </c>
      <c r="B6364" s="5" t="s">
        <v>10766</v>
      </c>
      <c r="C6364" s="122" t="s">
        <v>10767</v>
      </c>
      <c r="D6364" s="5"/>
      <c r="E6364" s="123">
        <v>1</v>
      </c>
      <c r="F6364" s="9"/>
      <c r="G6364" s="8">
        <f t="shared" si="194"/>
        <v>21.7623</v>
      </c>
      <c r="H6364" s="165">
        <v>20.725999999999999</v>
      </c>
      <c r="I6364" s="19">
        <f t="shared" si="195"/>
        <v>0</v>
      </c>
    </row>
    <row r="6365" spans="1:9" hidden="1">
      <c r="A6365" s="49" t="s">
        <v>8760</v>
      </c>
      <c r="B6365" s="5" t="s">
        <v>10768</v>
      </c>
      <c r="C6365" s="122" t="s">
        <v>10769</v>
      </c>
      <c r="D6365" s="5"/>
      <c r="E6365" s="123">
        <v>1</v>
      </c>
      <c r="F6365" s="9"/>
      <c r="G6365" s="8">
        <f t="shared" si="194"/>
        <v>25.580099999999998</v>
      </c>
      <c r="H6365" s="165">
        <v>24.361999999999998</v>
      </c>
      <c r="I6365" s="19">
        <f t="shared" si="195"/>
        <v>0</v>
      </c>
    </row>
    <row r="6366" spans="1:9" hidden="1">
      <c r="A6366" s="49" t="s">
        <v>8760</v>
      </c>
      <c r="B6366" s="5" t="s">
        <v>10770</v>
      </c>
      <c r="C6366" s="122" t="s">
        <v>10771</v>
      </c>
      <c r="D6366" s="5"/>
      <c r="E6366" s="123">
        <v>1</v>
      </c>
      <c r="F6366" s="9"/>
      <c r="G6366" s="8">
        <f t="shared" si="194"/>
        <v>297.22980000000001</v>
      </c>
      <c r="H6366" s="165">
        <v>283.07600000000002</v>
      </c>
      <c r="I6366" s="19">
        <f t="shared" si="195"/>
        <v>0</v>
      </c>
    </row>
    <row r="6367" spans="1:9" hidden="1">
      <c r="A6367" s="49" t="s">
        <v>8760</v>
      </c>
      <c r="B6367" s="5" t="s">
        <v>10772</v>
      </c>
      <c r="C6367" s="122" t="s">
        <v>10773</v>
      </c>
      <c r="D6367" s="5"/>
      <c r="E6367" s="123">
        <v>1</v>
      </c>
      <c r="F6367" s="9"/>
      <c r="G6367" s="8">
        <f t="shared" si="194"/>
        <v>122.89725</v>
      </c>
      <c r="H6367" s="165">
        <v>117.045</v>
      </c>
      <c r="I6367" s="19">
        <f t="shared" si="195"/>
        <v>0</v>
      </c>
    </row>
    <row r="6368" spans="1:9" hidden="1">
      <c r="A6368" s="49" t="s">
        <v>8760</v>
      </c>
      <c r="B6368" s="5" t="s">
        <v>10774</v>
      </c>
      <c r="C6368" s="122" t="s">
        <v>10775</v>
      </c>
      <c r="D6368" s="5"/>
      <c r="E6368" s="123">
        <v>1</v>
      </c>
      <c r="F6368" s="9"/>
      <c r="G6368" s="8">
        <f t="shared" si="194"/>
        <v>123.24584999999999</v>
      </c>
      <c r="H6368" s="165">
        <v>117.377</v>
      </c>
      <c r="I6368" s="19">
        <f t="shared" si="195"/>
        <v>0</v>
      </c>
    </row>
    <row r="6369" spans="1:9" hidden="1">
      <c r="A6369" s="49" t="s">
        <v>8760</v>
      </c>
      <c r="B6369" s="5" t="s">
        <v>10776</v>
      </c>
      <c r="C6369" s="122" t="s">
        <v>10777</v>
      </c>
      <c r="D6369" s="5"/>
      <c r="E6369" s="123">
        <v>1</v>
      </c>
      <c r="F6369" s="9"/>
      <c r="G6369" s="8">
        <f t="shared" si="194"/>
        <v>125.87925000000001</v>
      </c>
      <c r="H6369" s="165">
        <v>119.88500000000001</v>
      </c>
      <c r="I6369" s="19">
        <f t="shared" si="195"/>
        <v>0</v>
      </c>
    </row>
    <row r="6370" spans="1:9" hidden="1">
      <c r="A6370" s="49" t="s">
        <v>8760</v>
      </c>
      <c r="B6370" s="5" t="s">
        <v>10778</v>
      </c>
      <c r="C6370" s="122" t="s">
        <v>10779</v>
      </c>
      <c r="D6370" s="5"/>
      <c r="E6370" s="123">
        <v>1</v>
      </c>
      <c r="F6370" s="9"/>
      <c r="G6370" s="8">
        <f t="shared" si="194"/>
        <v>129.57735</v>
      </c>
      <c r="H6370" s="165">
        <v>123.407</v>
      </c>
      <c r="I6370" s="19">
        <f t="shared" si="195"/>
        <v>0</v>
      </c>
    </row>
    <row r="6371" spans="1:9" hidden="1">
      <c r="A6371" s="49" t="s">
        <v>8760</v>
      </c>
      <c r="B6371" s="5">
        <v>825100</v>
      </c>
      <c r="C6371" s="122" t="s">
        <v>10780</v>
      </c>
      <c r="D6371" s="5" t="s">
        <v>9367</v>
      </c>
      <c r="E6371" s="123">
        <v>1</v>
      </c>
      <c r="F6371" s="9"/>
      <c r="G6371" s="8">
        <f t="shared" si="194"/>
        <v>173.92935</v>
      </c>
      <c r="H6371" s="165">
        <v>165.64699999999999</v>
      </c>
      <c r="I6371" s="19">
        <f t="shared" si="195"/>
        <v>0</v>
      </c>
    </row>
    <row r="6372" spans="1:9" hidden="1">
      <c r="A6372" s="49" t="s">
        <v>8760</v>
      </c>
      <c r="B6372" s="5">
        <v>825101</v>
      </c>
      <c r="C6372" s="122" t="s">
        <v>10781</v>
      </c>
      <c r="D6372" s="5" t="s">
        <v>9367</v>
      </c>
      <c r="E6372" s="123">
        <v>1</v>
      </c>
      <c r="F6372" s="9"/>
      <c r="G6372" s="8">
        <f t="shared" si="194"/>
        <v>89.152349999999998</v>
      </c>
      <c r="H6372" s="165">
        <v>84.906999999999996</v>
      </c>
      <c r="I6372" s="19">
        <f t="shared" si="195"/>
        <v>0</v>
      </c>
    </row>
    <row r="6373" spans="1:9" hidden="1">
      <c r="A6373" s="49" t="s">
        <v>8760</v>
      </c>
      <c r="B6373" s="5">
        <v>825102</v>
      </c>
      <c r="C6373" s="122" t="s">
        <v>10782</v>
      </c>
      <c r="D6373" s="5" t="s">
        <v>9367</v>
      </c>
      <c r="E6373" s="123">
        <v>1</v>
      </c>
      <c r="F6373" s="9"/>
      <c r="G6373" s="8">
        <f t="shared" si="194"/>
        <v>194.9556</v>
      </c>
      <c r="H6373" s="165">
        <v>185.672</v>
      </c>
      <c r="I6373" s="19">
        <f t="shared" si="195"/>
        <v>0</v>
      </c>
    </row>
    <row r="6374" spans="1:9" hidden="1">
      <c r="A6374" s="49" t="s">
        <v>8760</v>
      </c>
      <c r="B6374" s="5">
        <v>825103</v>
      </c>
      <c r="C6374" s="122" t="s">
        <v>10780</v>
      </c>
      <c r="D6374" s="5" t="s">
        <v>9367</v>
      </c>
      <c r="E6374" s="123">
        <v>1</v>
      </c>
      <c r="F6374" s="9"/>
      <c r="G6374" s="8">
        <f t="shared" si="194"/>
        <v>250.46385000000001</v>
      </c>
      <c r="H6374" s="165">
        <v>238.53700000000001</v>
      </c>
      <c r="I6374" s="19">
        <f t="shared" si="195"/>
        <v>0</v>
      </c>
    </row>
    <row r="6375" spans="1:9" hidden="1">
      <c r="A6375" s="49" t="s">
        <v>8760</v>
      </c>
      <c r="B6375" s="5">
        <v>825104</v>
      </c>
      <c r="C6375" s="122" t="s">
        <v>10783</v>
      </c>
      <c r="D6375" s="5" t="s">
        <v>9367</v>
      </c>
      <c r="E6375" s="123">
        <v>1</v>
      </c>
      <c r="F6375" s="9"/>
      <c r="G6375" s="8">
        <f t="shared" si="194"/>
        <v>263.1447</v>
      </c>
      <c r="H6375" s="165">
        <v>250.614</v>
      </c>
      <c r="I6375" s="19">
        <f t="shared" si="195"/>
        <v>0</v>
      </c>
    </row>
    <row r="6376" spans="1:9" hidden="1">
      <c r="A6376" s="49" t="s">
        <v>8760</v>
      </c>
      <c r="B6376" s="5">
        <v>825109</v>
      </c>
      <c r="C6376" s="122" t="s">
        <v>10784</v>
      </c>
      <c r="D6376" s="5" t="s">
        <v>9367</v>
      </c>
      <c r="E6376" s="123">
        <v>1</v>
      </c>
      <c r="F6376" s="9"/>
      <c r="G6376" s="8">
        <f t="shared" si="194"/>
        <v>191.14515</v>
      </c>
      <c r="H6376" s="165">
        <v>182.04300000000001</v>
      </c>
      <c r="I6376" s="19">
        <f t="shared" si="195"/>
        <v>0</v>
      </c>
    </row>
    <row r="6377" spans="1:9" hidden="1">
      <c r="A6377" s="49" t="s">
        <v>8760</v>
      </c>
      <c r="B6377" s="5" t="s">
        <v>10785</v>
      </c>
      <c r="C6377" s="122" t="s">
        <v>10786</v>
      </c>
      <c r="D6377" s="5" t="s">
        <v>572</v>
      </c>
      <c r="E6377" s="123">
        <v>1</v>
      </c>
      <c r="F6377" s="9"/>
      <c r="G6377" s="8">
        <f t="shared" si="194"/>
        <v>5.6532</v>
      </c>
      <c r="H6377" s="165">
        <v>5.3840000000000003</v>
      </c>
      <c r="I6377" s="19">
        <f t="shared" si="195"/>
        <v>0</v>
      </c>
    </row>
    <row r="6378" spans="1:9" hidden="1">
      <c r="A6378" s="49" t="s">
        <v>8760</v>
      </c>
      <c r="B6378" s="5" t="s">
        <v>10787</v>
      </c>
      <c r="C6378" s="122" t="s">
        <v>10788</v>
      </c>
      <c r="D6378" s="5" t="s">
        <v>9367</v>
      </c>
      <c r="E6378" s="123">
        <v>1</v>
      </c>
      <c r="F6378" s="9"/>
      <c r="G6378" s="8">
        <f t="shared" si="194"/>
        <v>190.22219999999999</v>
      </c>
      <c r="H6378" s="165">
        <v>181.16399999999999</v>
      </c>
      <c r="I6378" s="19">
        <f t="shared" si="195"/>
        <v>0</v>
      </c>
    </row>
    <row r="6379" spans="1:9" hidden="1">
      <c r="A6379" s="49" t="s">
        <v>8760</v>
      </c>
      <c r="B6379" s="5">
        <v>840201</v>
      </c>
      <c r="C6379" s="122" t="s">
        <v>10789</v>
      </c>
      <c r="D6379" s="5"/>
      <c r="E6379" s="123">
        <v>1</v>
      </c>
      <c r="F6379" s="9"/>
      <c r="G6379" s="8">
        <f t="shared" si="194"/>
        <v>54.358500000000006</v>
      </c>
      <c r="H6379" s="165">
        <v>51.77</v>
      </c>
      <c r="I6379" s="19">
        <f t="shared" si="195"/>
        <v>0</v>
      </c>
    </row>
    <row r="6380" spans="1:9" hidden="1">
      <c r="A6380" s="49" t="s">
        <v>8760</v>
      </c>
      <c r="B6380" s="5">
        <v>840216</v>
      </c>
      <c r="C6380" s="122" t="s">
        <v>10790</v>
      </c>
      <c r="D6380" s="5"/>
      <c r="E6380" s="123">
        <v>1</v>
      </c>
      <c r="F6380" s="9"/>
      <c r="G6380" s="8">
        <f t="shared" si="194"/>
        <v>53.35575</v>
      </c>
      <c r="H6380" s="165">
        <v>50.814999999999998</v>
      </c>
      <c r="I6380" s="19">
        <f t="shared" si="195"/>
        <v>0</v>
      </c>
    </row>
    <row r="6381" spans="1:9" hidden="1">
      <c r="A6381" s="49" t="s">
        <v>8760</v>
      </c>
      <c r="B6381" s="5">
        <v>840231</v>
      </c>
      <c r="C6381" s="122" t="s">
        <v>10791</v>
      </c>
      <c r="D6381" s="5"/>
      <c r="E6381" s="123">
        <v>1</v>
      </c>
      <c r="F6381" s="9"/>
      <c r="G6381" s="8">
        <f t="shared" si="194"/>
        <v>61.641300000000001</v>
      </c>
      <c r="H6381" s="165">
        <v>58.706000000000003</v>
      </c>
      <c r="I6381" s="19">
        <f t="shared" si="195"/>
        <v>0</v>
      </c>
    </row>
    <row r="6382" spans="1:9" hidden="1">
      <c r="A6382" s="49" t="s">
        <v>8760</v>
      </c>
      <c r="B6382" s="5">
        <v>840241</v>
      </c>
      <c r="C6382" s="122" t="s">
        <v>10792</v>
      </c>
      <c r="D6382" s="5"/>
      <c r="E6382" s="123">
        <v>1</v>
      </c>
      <c r="F6382" s="9"/>
      <c r="G6382" s="8">
        <f t="shared" si="194"/>
        <v>61.641300000000001</v>
      </c>
      <c r="H6382" s="165">
        <v>58.706000000000003</v>
      </c>
      <c r="I6382" s="19">
        <f t="shared" si="195"/>
        <v>0</v>
      </c>
    </row>
    <row r="6383" spans="1:9" hidden="1">
      <c r="A6383" s="49" t="s">
        <v>8760</v>
      </c>
      <c r="B6383" s="5">
        <v>840261</v>
      </c>
      <c r="C6383" s="122" t="s">
        <v>10793</v>
      </c>
      <c r="D6383" s="5"/>
      <c r="E6383" s="123">
        <v>1</v>
      </c>
      <c r="F6383" s="9"/>
      <c r="G6383" s="8">
        <f t="shared" si="194"/>
        <v>49.762650000000001</v>
      </c>
      <c r="H6383" s="165">
        <v>47.393000000000001</v>
      </c>
      <c r="I6383" s="19">
        <f t="shared" si="195"/>
        <v>0</v>
      </c>
    </row>
    <row r="6384" spans="1:9" hidden="1">
      <c r="A6384" s="49" t="s">
        <v>8760</v>
      </c>
      <c r="B6384" s="5">
        <v>840262</v>
      </c>
      <c r="C6384" s="122" t="s">
        <v>10794</v>
      </c>
      <c r="D6384" s="5"/>
      <c r="E6384" s="123">
        <v>1</v>
      </c>
      <c r="F6384" s="9"/>
      <c r="G6384" s="8">
        <f t="shared" si="194"/>
        <v>49.762650000000001</v>
      </c>
      <c r="H6384" s="165">
        <v>47.393000000000001</v>
      </c>
      <c r="I6384" s="19">
        <f t="shared" si="195"/>
        <v>0</v>
      </c>
    </row>
    <row r="6385" spans="1:9" hidden="1">
      <c r="A6385" s="49" t="s">
        <v>8760</v>
      </c>
      <c r="B6385" s="5">
        <v>840271</v>
      </c>
      <c r="C6385" s="122" t="s">
        <v>10795</v>
      </c>
      <c r="D6385" s="5"/>
      <c r="E6385" s="123">
        <v>1</v>
      </c>
      <c r="F6385" s="9"/>
      <c r="G6385" s="8">
        <f t="shared" si="194"/>
        <v>53.35575</v>
      </c>
      <c r="H6385" s="165">
        <v>50.814999999999998</v>
      </c>
      <c r="I6385" s="19">
        <f t="shared" si="195"/>
        <v>0</v>
      </c>
    </row>
    <row r="6386" spans="1:9" hidden="1">
      <c r="A6386" s="49" t="s">
        <v>8760</v>
      </c>
      <c r="B6386" s="5">
        <v>840314</v>
      </c>
      <c r="C6386" s="122" t="s">
        <v>10796</v>
      </c>
      <c r="D6386" s="5"/>
      <c r="E6386" s="123">
        <v>1</v>
      </c>
      <c r="F6386" s="9"/>
      <c r="G6386" s="8">
        <f t="shared" si="194"/>
        <v>169.6233</v>
      </c>
      <c r="H6386" s="165">
        <v>161.54599999999999</v>
      </c>
      <c r="I6386" s="19">
        <f t="shared" si="195"/>
        <v>0</v>
      </c>
    </row>
    <row r="6387" spans="1:9" hidden="1">
      <c r="A6387" s="49" t="s">
        <v>8760</v>
      </c>
      <c r="B6387" s="5">
        <v>840315</v>
      </c>
      <c r="C6387" s="122" t="s">
        <v>10797</v>
      </c>
      <c r="D6387" s="5"/>
      <c r="E6387" s="123">
        <v>1</v>
      </c>
      <c r="F6387" s="9"/>
      <c r="G6387" s="8">
        <f t="shared" si="194"/>
        <v>363.35354999999998</v>
      </c>
      <c r="H6387" s="165">
        <v>346.05099999999999</v>
      </c>
      <c r="I6387" s="19">
        <f t="shared" si="195"/>
        <v>0</v>
      </c>
    </row>
    <row r="6388" spans="1:9" hidden="1">
      <c r="A6388" s="49" t="s">
        <v>8760</v>
      </c>
      <c r="B6388" s="5">
        <v>840601</v>
      </c>
      <c r="C6388" s="122" t="s">
        <v>10798</v>
      </c>
      <c r="D6388" s="5"/>
      <c r="E6388" s="123">
        <v>1</v>
      </c>
      <c r="F6388" s="9"/>
      <c r="G6388" s="8">
        <f t="shared" si="194"/>
        <v>44.842350000000003</v>
      </c>
      <c r="H6388" s="165">
        <v>42.707000000000001</v>
      </c>
      <c r="I6388" s="19">
        <f t="shared" si="195"/>
        <v>0</v>
      </c>
    </row>
    <row r="6389" spans="1:9" hidden="1">
      <c r="A6389" s="49" t="s">
        <v>8760</v>
      </c>
      <c r="B6389" s="5">
        <v>840703</v>
      </c>
      <c r="C6389" s="122" t="s">
        <v>10799</v>
      </c>
      <c r="D6389" s="5"/>
      <c r="E6389" s="123">
        <v>1</v>
      </c>
      <c r="F6389" s="9"/>
      <c r="G6389" s="8">
        <f t="shared" si="194"/>
        <v>51.745049999999999</v>
      </c>
      <c r="H6389" s="165">
        <v>49.280999999999999</v>
      </c>
      <c r="I6389" s="19">
        <f t="shared" si="195"/>
        <v>0</v>
      </c>
    </row>
    <row r="6390" spans="1:9" hidden="1">
      <c r="A6390" s="49" t="s">
        <v>8760</v>
      </c>
      <c r="B6390" s="5">
        <v>840803</v>
      </c>
      <c r="C6390" s="122" t="s">
        <v>10800</v>
      </c>
      <c r="D6390" s="5"/>
      <c r="E6390" s="123">
        <v>1</v>
      </c>
      <c r="F6390" s="9"/>
      <c r="G6390" s="8">
        <f t="shared" si="194"/>
        <v>51.035249999999998</v>
      </c>
      <c r="H6390" s="165">
        <v>48.604999999999997</v>
      </c>
      <c r="I6390" s="19">
        <f t="shared" si="195"/>
        <v>0</v>
      </c>
    </row>
    <row r="6391" spans="1:9" hidden="1">
      <c r="A6391" s="49" t="s">
        <v>8760</v>
      </c>
      <c r="B6391" s="5">
        <v>85102</v>
      </c>
      <c r="C6391" s="122" t="s">
        <v>10801</v>
      </c>
      <c r="D6391" s="5"/>
      <c r="E6391" s="123">
        <v>1</v>
      </c>
      <c r="F6391" s="9"/>
      <c r="G6391" s="8">
        <f t="shared" si="194"/>
        <v>46.710299999999997</v>
      </c>
      <c r="H6391" s="165">
        <v>44.485999999999997</v>
      </c>
      <c r="I6391" s="19">
        <f t="shared" si="195"/>
        <v>0</v>
      </c>
    </row>
    <row r="6392" spans="1:9" hidden="1">
      <c r="A6392" s="49" t="s">
        <v>8760</v>
      </c>
      <c r="B6392" s="5" t="s">
        <v>10802</v>
      </c>
      <c r="C6392" s="122" t="s">
        <v>10803</v>
      </c>
      <c r="D6392" s="5"/>
      <c r="E6392" s="123">
        <v>1</v>
      </c>
      <c r="F6392" s="9"/>
      <c r="G6392" s="8">
        <f t="shared" si="194"/>
        <v>19.4544</v>
      </c>
      <c r="H6392" s="165">
        <v>18.527999999999999</v>
      </c>
      <c r="I6392" s="19">
        <f t="shared" si="195"/>
        <v>0</v>
      </c>
    </row>
    <row r="6393" spans="1:9" hidden="1">
      <c r="A6393" s="49" t="s">
        <v>8760</v>
      </c>
      <c r="B6393" s="5" t="s">
        <v>10804</v>
      </c>
      <c r="C6393" s="122" t="s">
        <v>10805</v>
      </c>
      <c r="D6393" s="5"/>
      <c r="E6393" s="123">
        <v>1</v>
      </c>
      <c r="F6393" s="9"/>
      <c r="G6393" s="8">
        <f t="shared" si="194"/>
        <v>52.714199999999998</v>
      </c>
      <c r="H6393" s="165">
        <v>50.204000000000001</v>
      </c>
      <c r="I6393" s="19">
        <f t="shared" si="195"/>
        <v>0</v>
      </c>
    </row>
    <row r="6394" spans="1:9" hidden="1">
      <c r="A6394" s="49" t="s">
        <v>8760</v>
      </c>
      <c r="B6394" s="5" t="s">
        <v>10806</v>
      </c>
      <c r="C6394" s="122" t="s">
        <v>10807</v>
      </c>
      <c r="D6394" s="5"/>
      <c r="E6394" s="123">
        <v>1</v>
      </c>
      <c r="F6394" s="9"/>
      <c r="G6394" s="8">
        <f t="shared" si="194"/>
        <v>52.596599999999995</v>
      </c>
      <c r="H6394" s="165">
        <v>50.091999999999999</v>
      </c>
      <c r="I6394" s="19">
        <f t="shared" si="195"/>
        <v>0</v>
      </c>
    </row>
    <row r="6395" spans="1:9" hidden="1">
      <c r="A6395" s="49" t="s">
        <v>8760</v>
      </c>
      <c r="B6395" s="5">
        <v>85611</v>
      </c>
      <c r="C6395" s="122" t="s">
        <v>10808</v>
      </c>
      <c r="D6395" s="5"/>
      <c r="E6395" s="123">
        <v>1</v>
      </c>
      <c r="F6395" s="9"/>
      <c r="G6395" s="8">
        <f t="shared" si="194"/>
        <v>7.6124999999999998</v>
      </c>
      <c r="H6395" s="165">
        <v>7.25</v>
      </c>
      <c r="I6395" s="19">
        <f t="shared" si="195"/>
        <v>0</v>
      </c>
    </row>
    <row r="6396" spans="1:9" hidden="1">
      <c r="A6396" s="49" t="s">
        <v>8760</v>
      </c>
      <c r="B6396" s="5">
        <v>85621</v>
      </c>
      <c r="C6396" s="122" t="s">
        <v>10809</v>
      </c>
      <c r="D6396" s="5"/>
      <c r="E6396" s="123">
        <v>1</v>
      </c>
      <c r="F6396" s="9"/>
      <c r="G6396" s="8">
        <f t="shared" si="194"/>
        <v>7.5883500000000002</v>
      </c>
      <c r="H6396" s="165">
        <v>7.2270000000000003</v>
      </c>
      <c r="I6396" s="19">
        <f t="shared" si="195"/>
        <v>0</v>
      </c>
    </row>
    <row r="6397" spans="1:9" hidden="1">
      <c r="A6397" s="49" t="s">
        <v>8760</v>
      </c>
      <c r="B6397" s="5">
        <v>85626</v>
      </c>
      <c r="C6397" s="122" t="s">
        <v>10810</v>
      </c>
      <c r="D6397" s="5"/>
      <c r="E6397" s="123">
        <v>1</v>
      </c>
      <c r="F6397" s="9"/>
      <c r="G6397" s="8">
        <f t="shared" si="194"/>
        <v>47.158649999999994</v>
      </c>
      <c r="H6397" s="165">
        <v>44.912999999999997</v>
      </c>
      <c r="I6397" s="19">
        <f t="shared" si="195"/>
        <v>0</v>
      </c>
    </row>
    <row r="6398" spans="1:9" hidden="1">
      <c r="A6398" s="49" t="s">
        <v>8760</v>
      </c>
      <c r="B6398" s="5">
        <v>85650</v>
      </c>
      <c r="C6398" s="122" t="s">
        <v>10811</v>
      </c>
      <c r="D6398" s="5"/>
      <c r="E6398" s="123">
        <v>1</v>
      </c>
      <c r="F6398" s="9"/>
      <c r="G6398" s="8">
        <f t="shared" si="194"/>
        <v>42.8568</v>
      </c>
      <c r="H6398" s="165">
        <v>40.816000000000003</v>
      </c>
      <c r="I6398" s="19">
        <f t="shared" si="195"/>
        <v>0</v>
      </c>
    </row>
    <row r="6399" spans="1:9" hidden="1">
      <c r="A6399" s="49" t="s">
        <v>8760</v>
      </c>
      <c r="B6399" s="5">
        <v>85950</v>
      </c>
      <c r="C6399" s="122" t="s">
        <v>10812</v>
      </c>
      <c r="D6399" s="5"/>
      <c r="E6399" s="123">
        <v>1</v>
      </c>
      <c r="F6399" s="9"/>
      <c r="G6399" s="8">
        <f t="shared" si="194"/>
        <v>107.14830000000001</v>
      </c>
      <c r="H6399" s="165">
        <v>102.04600000000001</v>
      </c>
      <c r="I6399" s="19">
        <f t="shared" si="195"/>
        <v>0</v>
      </c>
    </row>
    <row r="6400" spans="1:9" hidden="1">
      <c r="A6400" s="49" t="s">
        <v>8760</v>
      </c>
      <c r="B6400" s="5">
        <v>85960</v>
      </c>
      <c r="C6400" s="122" t="s">
        <v>10813</v>
      </c>
      <c r="D6400" s="5"/>
      <c r="E6400" s="123">
        <v>1</v>
      </c>
      <c r="F6400" s="9"/>
      <c r="G6400" s="8">
        <f t="shared" si="194"/>
        <v>133.06440000000001</v>
      </c>
      <c r="H6400" s="165">
        <v>126.72799999999999</v>
      </c>
      <c r="I6400" s="19">
        <f t="shared" si="195"/>
        <v>0</v>
      </c>
    </row>
    <row r="6401" spans="1:9" hidden="1">
      <c r="A6401" s="49" t="s">
        <v>8760</v>
      </c>
      <c r="B6401" s="5" t="s">
        <v>10814</v>
      </c>
      <c r="C6401" s="122" t="s">
        <v>10815</v>
      </c>
      <c r="D6401" s="5"/>
      <c r="E6401" s="123">
        <v>1</v>
      </c>
      <c r="F6401" s="9"/>
      <c r="G6401" s="8">
        <f t="shared" si="194"/>
        <v>81.528300000000002</v>
      </c>
      <c r="H6401" s="165">
        <v>77.646000000000001</v>
      </c>
      <c r="I6401" s="19">
        <f t="shared" si="195"/>
        <v>0</v>
      </c>
    </row>
    <row r="6402" spans="1:9" hidden="1">
      <c r="A6402" s="49" t="s">
        <v>8760</v>
      </c>
      <c r="B6402" s="5" t="s">
        <v>10816</v>
      </c>
      <c r="C6402" s="122" t="s">
        <v>10817</v>
      </c>
      <c r="D6402" s="5"/>
      <c r="E6402" s="123">
        <v>1</v>
      </c>
      <c r="F6402" s="9"/>
      <c r="G6402" s="8">
        <f t="shared" si="194"/>
        <v>136.84125</v>
      </c>
      <c r="H6402" s="165">
        <v>130.32499999999999</v>
      </c>
      <c r="I6402" s="19">
        <f t="shared" si="195"/>
        <v>0</v>
      </c>
    </row>
    <row r="6403" spans="1:9" hidden="1">
      <c r="A6403" s="49" t="s">
        <v>8760</v>
      </c>
      <c r="B6403" s="5" t="s">
        <v>10818</v>
      </c>
      <c r="C6403" s="122" t="s">
        <v>10819</v>
      </c>
      <c r="D6403" s="5"/>
      <c r="E6403" s="123">
        <v>1</v>
      </c>
      <c r="F6403" s="9"/>
      <c r="G6403" s="8">
        <f t="shared" si="194"/>
        <v>194.64585</v>
      </c>
      <c r="H6403" s="165">
        <v>185.37700000000001</v>
      </c>
      <c r="I6403" s="19">
        <f t="shared" si="195"/>
        <v>0</v>
      </c>
    </row>
    <row r="6404" spans="1:9" hidden="1">
      <c r="A6404" s="49" t="s">
        <v>8760</v>
      </c>
      <c r="B6404" s="5" t="s">
        <v>10820</v>
      </c>
      <c r="C6404" s="122" t="s">
        <v>10821</v>
      </c>
      <c r="D6404" s="5"/>
      <c r="E6404" s="123">
        <v>1</v>
      </c>
      <c r="F6404" s="9"/>
      <c r="G6404" s="8">
        <f t="shared" si="194"/>
        <v>76.579650000000001</v>
      </c>
      <c r="H6404" s="165">
        <v>72.933000000000007</v>
      </c>
      <c r="I6404" s="19">
        <f t="shared" si="195"/>
        <v>0</v>
      </c>
    </row>
    <row r="6405" spans="1:9" hidden="1">
      <c r="A6405" s="49" t="s">
        <v>8760</v>
      </c>
      <c r="B6405" s="5" t="s">
        <v>10822</v>
      </c>
      <c r="C6405" s="122" t="s">
        <v>10823</v>
      </c>
      <c r="D6405" s="5"/>
      <c r="E6405" s="123">
        <v>1</v>
      </c>
      <c r="F6405" s="9"/>
      <c r="G6405" s="8">
        <f t="shared" si="194"/>
        <v>128.98935</v>
      </c>
      <c r="H6405" s="165">
        <v>122.84699999999999</v>
      </c>
      <c r="I6405" s="19">
        <f t="shared" si="195"/>
        <v>0</v>
      </c>
    </row>
    <row r="6406" spans="1:9" hidden="1">
      <c r="A6406" s="49" t="s">
        <v>8760</v>
      </c>
      <c r="B6406" s="5" t="s">
        <v>10824</v>
      </c>
      <c r="C6406" s="122" t="s">
        <v>10825</v>
      </c>
      <c r="D6406" s="5"/>
      <c r="E6406" s="123">
        <v>1</v>
      </c>
      <c r="F6406" s="9"/>
      <c r="G6406" s="8">
        <f t="shared" si="194"/>
        <v>34.309800000000003</v>
      </c>
      <c r="H6406" s="165">
        <v>32.676000000000002</v>
      </c>
      <c r="I6406" s="19">
        <f t="shared" si="195"/>
        <v>0</v>
      </c>
    </row>
    <row r="6407" spans="1:9" hidden="1">
      <c r="A6407" s="49" t="s">
        <v>8760</v>
      </c>
      <c r="B6407" s="5" t="s">
        <v>10826</v>
      </c>
      <c r="C6407" s="122" t="s">
        <v>10827</v>
      </c>
      <c r="D6407" s="5"/>
      <c r="E6407" s="123">
        <v>1</v>
      </c>
      <c r="F6407" s="9"/>
      <c r="G6407" s="8">
        <f t="shared" si="194"/>
        <v>31.985099999999999</v>
      </c>
      <c r="H6407" s="165">
        <v>30.462</v>
      </c>
      <c r="I6407" s="19">
        <f t="shared" si="195"/>
        <v>0</v>
      </c>
    </row>
    <row r="6408" spans="1:9" hidden="1">
      <c r="A6408" s="49" t="s">
        <v>8760</v>
      </c>
      <c r="B6408" s="5" t="s">
        <v>10828</v>
      </c>
      <c r="C6408" s="122" t="s">
        <v>10829</v>
      </c>
      <c r="D6408" s="5"/>
      <c r="E6408" s="123">
        <v>1</v>
      </c>
      <c r="F6408" s="9"/>
      <c r="G6408" s="8">
        <f t="shared" si="194"/>
        <v>14.19285</v>
      </c>
      <c r="H6408" s="165">
        <v>13.516999999999999</v>
      </c>
      <c r="I6408" s="19">
        <f t="shared" si="195"/>
        <v>0</v>
      </c>
    </row>
    <row r="6409" spans="1:9" hidden="1">
      <c r="A6409" s="49" t="s">
        <v>8760</v>
      </c>
      <c r="B6409" s="5" t="s">
        <v>10830</v>
      </c>
      <c r="C6409" s="122" t="s">
        <v>10831</v>
      </c>
      <c r="D6409" s="5"/>
      <c r="E6409" s="123">
        <v>1</v>
      </c>
      <c r="F6409" s="9"/>
      <c r="G6409" s="8">
        <f t="shared" si="194"/>
        <v>9.3586500000000008</v>
      </c>
      <c r="H6409" s="165">
        <v>8.9130000000000003</v>
      </c>
      <c r="I6409" s="19">
        <f t="shared" si="195"/>
        <v>0</v>
      </c>
    </row>
    <row r="6410" spans="1:9" hidden="1">
      <c r="A6410" s="49" t="s">
        <v>8760</v>
      </c>
      <c r="B6410" s="5">
        <v>875010</v>
      </c>
      <c r="C6410" s="122" t="s">
        <v>10832</v>
      </c>
      <c r="D6410" s="5"/>
      <c r="E6410" s="123">
        <v>1</v>
      </c>
      <c r="F6410" s="9"/>
      <c r="G6410" s="8">
        <f t="shared" si="194"/>
        <v>0.69195000000000007</v>
      </c>
      <c r="H6410" s="165">
        <v>0.65900000000000003</v>
      </c>
      <c r="I6410" s="19">
        <f t="shared" si="195"/>
        <v>0</v>
      </c>
    </row>
    <row r="6411" spans="1:9" hidden="1">
      <c r="A6411" s="49" t="s">
        <v>8760</v>
      </c>
      <c r="B6411" s="5" t="s">
        <v>10833</v>
      </c>
      <c r="C6411" s="122" t="s">
        <v>10834</v>
      </c>
      <c r="D6411" s="5"/>
      <c r="E6411" s="123">
        <v>1</v>
      </c>
      <c r="F6411" s="9"/>
      <c r="G6411" s="8">
        <f t="shared" si="194"/>
        <v>0.69195000000000007</v>
      </c>
      <c r="H6411" s="165">
        <v>0.65900000000000003</v>
      </c>
      <c r="I6411" s="19">
        <f t="shared" si="195"/>
        <v>0</v>
      </c>
    </row>
    <row r="6412" spans="1:9" hidden="1">
      <c r="A6412" s="49" t="s">
        <v>8760</v>
      </c>
      <c r="B6412" s="5">
        <v>875011</v>
      </c>
      <c r="C6412" s="122" t="s">
        <v>10835</v>
      </c>
      <c r="D6412" s="5"/>
      <c r="E6412" s="123">
        <v>1</v>
      </c>
      <c r="F6412" s="9"/>
      <c r="G6412" s="8">
        <f t="shared" ref="G6412:G6475" si="196">H6412+(H6412*5%)</f>
        <v>1.16445</v>
      </c>
      <c r="H6412" s="165">
        <v>1.109</v>
      </c>
      <c r="I6412" s="19">
        <f t="shared" ref="I6412:I6475" si="197">G6412*F6412</f>
        <v>0</v>
      </c>
    </row>
    <row r="6413" spans="1:9" hidden="1">
      <c r="A6413" s="49" t="s">
        <v>8760</v>
      </c>
      <c r="B6413" s="5">
        <v>875012</v>
      </c>
      <c r="C6413" s="122" t="s">
        <v>10836</v>
      </c>
      <c r="D6413" s="5" t="s">
        <v>945</v>
      </c>
      <c r="E6413" s="123">
        <v>1</v>
      </c>
      <c r="F6413" s="9"/>
      <c r="G6413" s="8">
        <f t="shared" si="196"/>
        <v>3.9354000000000005</v>
      </c>
      <c r="H6413" s="165">
        <v>3.7480000000000002</v>
      </c>
      <c r="I6413" s="19">
        <f t="shared" si="197"/>
        <v>0</v>
      </c>
    </row>
    <row r="6414" spans="1:9" hidden="1">
      <c r="A6414" s="49" t="s">
        <v>8760</v>
      </c>
      <c r="B6414" s="5" t="s">
        <v>10837</v>
      </c>
      <c r="C6414" s="122" t="s">
        <v>10838</v>
      </c>
      <c r="D6414" s="5" t="s">
        <v>945</v>
      </c>
      <c r="E6414" s="123">
        <v>1</v>
      </c>
      <c r="F6414" s="9"/>
      <c r="G6414" s="8">
        <f t="shared" si="196"/>
        <v>3.9354000000000005</v>
      </c>
      <c r="H6414" s="165">
        <v>3.7480000000000002</v>
      </c>
      <c r="I6414" s="19">
        <f t="shared" si="197"/>
        <v>0</v>
      </c>
    </row>
    <row r="6415" spans="1:9" hidden="1">
      <c r="A6415" s="49" t="s">
        <v>8760</v>
      </c>
      <c r="B6415" s="5">
        <v>875013</v>
      </c>
      <c r="C6415" s="122" t="s">
        <v>10839</v>
      </c>
      <c r="D6415" s="5"/>
      <c r="E6415" s="123">
        <v>1</v>
      </c>
      <c r="F6415" s="9"/>
      <c r="G6415" s="8">
        <f t="shared" si="196"/>
        <v>0.189</v>
      </c>
      <c r="H6415" s="165">
        <v>0.18</v>
      </c>
      <c r="I6415" s="19">
        <f t="shared" si="197"/>
        <v>0</v>
      </c>
    </row>
    <row r="6416" spans="1:9" hidden="1">
      <c r="A6416" s="49" t="s">
        <v>8760</v>
      </c>
      <c r="B6416" s="5">
        <v>875014</v>
      </c>
      <c r="C6416" s="122" t="s">
        <v>10840</v>
      </c>
      <c r="D6416" s="5"/>
      <c r="E6416" s="123">
        <v>1</v>
      </c>
      <c r="F6416" s="9"/>
      <c r="G6416" s="8">
        <f t="shared" si="196"/>
        <v>0.34755000000000003</v>
      </c>
      <c r="H6416" s="165">
        <v>0.33100000000000002</v>
      </c>
      <c r="I6416" s="19">
        <f t="shared" si="197"/>
        <v>0</v>
      </c>
    </row>
    <row r="6417" spans="1:9" hidden="1">
      <c r="A6417" s="49" t="s">
        <v>8760</v>
      </c>
      <c r="B6417" s="5">
        <v>875015</v>
      </c>
      <c r="C6417" s="122" t="s">
        <v>10841</v>
      </c>
      <c r="D6417" s="5"/>
      <c r="E6417" s="123">
        <v>1</v>
      </c>
      <c r="F6417" s="9"/>
      <c r="G6417" s="8">
        <f t="shared" si="196"/>
        <v>1.2400500000000001</v>
      </c>
      <c r="H6417" s="165">
        <v>1.181</v>
      </c>
      <c r="I6417" s="19">
        <f t="shared" si="197"/>
        <v>0</v>
      </c>
    </row>
    <row r="6418" spans="1:9" hidden="1">
      <c r="A6418" s="49" t="s">
        <v>8760</v>
      </c>
      <c r="B6418" s="5">
        <v>875016</v>
      </c>
      <c r="C6418" s="122" t="s">
        <v>10842</v>
      </c>
      <c r="D6418" s="5" t="s">
        <v>945</v>
      </c>
      <c r="E6418" s="123">
        <v>1</v>
      </c>
      <c r="F6418" s="9"/>
      <c r="G6418" s="8">
        <f t="shared" si="196"/>
        <v>13.85685</v>
      </c>
      <c r="H6418" s="165">
        <v>13.196999999999999</v>
      </c>
      <c r="I6418" s="19">
        <f t="shared" si="197"/>
        <v>0</v>
      </c>
    </row>
    <row r="6419" spans="1:9" hidden="1">
      <c r="A6419" s="49" t="s">
        <v>8760</v>
      </c>
      <c r="B6419" s="5" t="s">
        <v>10843</v>
      </c>
      <c r="C6419" s="122" t="s">
        <v>10844</v>
      </c>
      <c r="D6419" s="5" t="s">
        <v>945</v>
      </c>
      <c r="E6419" s="123">
        <v>1</v>
      </c>
      <c r="F6419" s="9"/>
      <c r="G6419" s="8">
        <f t="shared" si="196"/>
        <v>13.85685</v>
      </c>
      <c r="H6419" s="165">
        <v>13.196999999999999</v>
      </c>
      <c r="I6419" s="19">
        <f t="shared" si="197"/>
        <v>0</v>
      </c>
    </row>
    <row r="6420" spans="1:9" hidden="1">
      <c r="A6420" s="49" t="s">
        <v>8760</v>
      </c>
      <c r="B6420" s="5">
        <v>875017</v>
      </c>
      <c r="C6420" s="122" t="s">
        <v>10845</v>
      </c>
      <c r="D6420" s="5" t="s">
        <v>945</v>
      </c>
      <c r="E6420" s="123">
        <v>1</v>
      </c>
      <c r="F6420" s="9"/>
      <c r="G6420" s="8">
        <f t="shared" si="196"/>
        <v>13.85685</v>
      </c>
      <c r="H6420" s="165">
        <v>13.196999999999999</v>
      </c>
      <c r="I6420" s="19">
        <f t="shared" si="197"/>
        <v>0</v>
      </c>
    </row>
    <row r="6421" spans="1:9" hidden="1">
      <c r="A6421" s="49" t="s">
        <v>8760</v>
      </c>
      <c r="B6421" s="5" t="s">
        <v>10846</v>
      </c>
      <c r="C6421" s="122" t="s">
        <v>10847</v>
      </c>
      <c r="D6421" s="5" t="s">
        <v>945</v>
      </c>
      <c r="E6421" s="123">
        <v>1</v>
      </c>
      <c r="F6421" s="9"/>
      <c r="G6421" s="8">
        <f t="shared" si="196"/>
        <v>13.85685</v>
      </c>
      <c r="H6421" s="165">
        <v>13.196999999999999</v>
      </c>
      <c r="I6421" s="19">
        <f t="shared" si="197"/>
        <v>0</v>
      </c>
    </row>
    <row r="6422" spans="1:9" hidden="1">
      <c r="A6422" s="49" t="s">
        <v>8760</v>
      </c>
      <c r="B6422" s="5">
        <v>875018</v>
      </c>
      <c r="C6422" s="122" t="s">
        <v>10848</v>
      </c>
      <c r="D6422" s="5" t="s">
        <v>945</v>
      </c>
      <c r="E6422" s="123">
        <v>1</v>
      </c>
      <c r="F6422" s="9"/>
      <c r="G6422" s="8">
        <f t="shared" si="196"/>
        <v>4.0813500000000005</v>
      </c>
      <c r="H6422" s="165">
        <v>3.887</v>
      </c>
      <c r="I6422" s="19">
        <f t="shared" si="197"/>
        <v>0</v>
      </c>
    </row>
    <row r="6423" spans="1:9" hidden="1">
      <c r="A6423" s="49" t="s">
        <v>8760</v>
      </c>
      <c r="B6423" s="5" t="s">
        <v>10849</v>
      </c>
      <c r="C6423" s="122" t="s">
        <v>10850</v>
      </c>
      <c r="D6423" s="5" t="s">
        <v>945</v>
      </c>
      <c r="E6423" s="123">
        <v>1</v>
      </c>
      <c r="F6423" s="9"/>
      <c r="G6423" s="8">
        <f t="shared" si="196"/>
        <v>4.0813500000000005</v>
      </c>
      <c r="H6423" s="165">
        <v>3.887</v>
      </c>
      <c r="I6423" s="19">
        <f t="shared" si="197"/>
        <v>0</v>
      </c>
    </row>
    <row r="6424" spans="1:9" hidden="1">
      <c r="A6424" s="49" t="s">
        <v>8760</v>
      </c>
      <c r="B6424" s="5">
        <v>875019</v>
      </c>
      <c r="C6424" s="122" t="s">
        <v>10851</v>
      </c>
      <c r="D6424" s="5" t="s">
        <v>945</v>
      </c>
      <c r="E6424" s="123">
        <v>1</v>
      </c>
      <c r="F6424" s="9"/>
      <c r="G6424" s="8">
        <f t="shared" si="196"/>
        <v>12.04875</v>
      </c>
      <c r="H6424" s="165">
        <v>11.475</v>
      </c>
      <c r="I6424" s="19">
        <f t="shared" si="197"/>
        <v>0</v>
      </c>
    </row>
    <row r="6425" spans="1:9" hidden="1">
      <c r="A6425" s="49" t="s">
        <v>8760</v>
      </c>
      <c r="B6425" s="5" t="s">
        <v>10852</v>
      </c>
      <c r="C6425" s="122" t="s">
        <v>10853</v>
      </c>
      <c r="D6425" s="5" t="s">
        <v>945</v>
      </c>
      <c r="E6425" s="123">
        <v>1</v>
      </c>
      <c r="F6425" s="9"/>
      <c r="G6425" s="8">
        <f t="shared" si="196"/>
        <v>12.04875</v>
      </c>
      <c r="H6425" s="165">
        <v>11.475</v>
      </c>
      <c r="I6425" s="19">
        <f t="shared" si="197"/>
        <v>0</v>
      </c>
    </row>
    <row r="6426" spans="1:9" hidden="1">
      <c r="A6426" s="49" t="s">
        <v>8760</v>
      </c>
      <c r="B6426" s="5">
        <v>875020</v>
      </c>
      <c r="C6426" s="122" t="s">
        <v>10854</v>
      </c>
      <c r="D6426" s="5" t="s">
        <v>945</v>
      </c>
      <c r="E6426" s="123">
        <v>1</v>
      </c>
      <c r="F6426" s="9"/>
      <c r="G6426" s="8">
        <f t="shared" si="196"/>
        <v>12.04875</v>
      </c>
      <c r="H6426" s="165">
        <v>11.475</v>
      </c>
      <c r="I6426" s="19">
        <f t="shared" si="197"/>
        <v>0</v>
      </c>
    </row>
    <row r="6427" spans="1:9" hidden="1">
      <c r="A6427" s="49" t="s">
        <v>8760</v>
      </c>
      <c r="B6427" s="5" t="s">
        <v>10855</v>
      </c>
      <c r="C6427" s="122" t="s">
        <v>10856</v>
      </c>
      <c r="D6427" s="5" t="s">
        <v>945</v>
      </c>
      <c r="E6427" s="123">
        <v>1</v>
      </c>
      <c r="F6427" s="9"/>
      <c r="G6427" s="8">
        <f t="shared" si="196"/>
        <v>12.04875</v>
      </c>
      <c r="H6427" s="165">
        <v>11.475</v>
      </c>
      <c r="I6427" s="19">
        <f t="shared" si="197"/>
        <v>0</v>
      </c>
    </row>
    <row r="6428" spans="1:9" hidden="1">
      <c r="A6428" s="49" t="s">
        <v>8760</v>
      </c>
      <c r="B6428" s="5">
        <v>875030</v>
      </c>
      <c r="C6428" s="122" t="s">
        <v>10857</v>
      </c>
      <c r="D6428" s="5" t="s">
        <v>9367</v>
      </c>
      <c r="E6428" s="123">
        <v>1</v>
      </c>
      <c r="F6428" s="9"/>
      <c r="G6428" s="8">
        <f t="shared" si="196"/>
        <v>126.01995000000001</v>
      </c>
      <c r="H6428" s="165">
        <v>120.01900000000001</v>
      </c>
      <c r="I6428" s="19">
        <f t="shared" si="197"/>
        <v>0</v>
      </c>
    </row>
    <row r="6429" spans="1:9" hidden="1">
      <c r="A6429" s="49" t="s">
        <v>8760</v>
      </c>
      <c r="B6429" s="5">
        <v>875031</v>
      </c>
      <c r="C6429" s="122" t="s">
        <v>10858</v>
      </c>
      <c r="D6429" s="5" t="s">
        <v>9367</v>
      </c>
      <c r="E6429" s="123">
        <v>1</v>
      </c>
      <c r="F6429" s="9"/>
      <c r="G6429" s="8">
        <f t="shared" si="196"/>
        <v>218.52705</v>
      </c>
      <c r="H6429" s="165">
        <v>208.12100000000001</v>
      </c>
      <c r="I6429" s="19">
        <f t="shared" si="197"/>
        <v>0</v>
      </c>
    </row>
    <row r="6430" spans="1:9" hidden="1">
      <c r="A6430" s="49" t="s">
        <v>8760</v>
      </c>
      <c r="B6430" s="5">
        <v>875033</v>
      </c>
      <c r="C6430" s="122" t="s">
        <v>10859</v>
      </c>
      <c r="D6430" s="5" t="s">
        <v>9367</v>
      </c>
      <c r="E6430" s="123">
        <v>1</v>
      </c>
      <c r="F6430" s="9"/>
      <c r="G6430" s="8">
        <f t="shared" si="196"/>
        <v>129.01875000000001</v>
      </c>
      <c r="H6430" s="165">
        <v>122.875</v>
      </c>
      <c r="I6430" s="19">
        <f t="shared" si="197"/>
        <v>0</v>
      </c>
    </row>
    <row r="6431" spans="1:9" hidden="1">
      <c r="A6431" s="49" t="s">
        <v>8760</v>
      </c>
      <c r="B6431" s="5">
        <v>875040</v>
      </c>
      <c r="C6431" s="122" t="s">
        <v>10860</v>
      </c>
      <c r="D6431" s="5"/>
      <c r="E6431" s="123">
        <v>1</v>
      </c>
      <c r="F6431" s="9"/>
      <c r="G6431" s="8">
        <f t="shared" si="196"/>
        <v>5.4736500000000001</v>
      </c>
      <c r="H6431" s="165">
        <v>5.2130000000000001</v>
      </c>
      <c r="I6431" s="19">
        <f t="shared" si="197"/>
        <v>0</v>
      </c>
    </row>
    <row r="6432" spans="1:9" hidden="1">
      <c r="A6432" s="49" t="s">
        <v>8760</v>
      </c>
      <c r="B6432" s="5">
        <v>875042</v>
      </c>
      <c r="C6432" s="122" t="s">
        <v>10861</v>
      </c>
      <c r="D6432" s="5"/>
      <c r="E6432" s="123">
        <v>1</v>
      </c>
      <c r="F6432" s="9"/>
      <c r="G6432" s="8">
        <f t="shared" si="196"/>
        <v>0.77805000000000002</v>
      </c>
      <c r="H6432" s="165">
        <v>0.74099999999999999</v>
      </c>
      <c r="I6432" s="19">
        <f t="shared" si="197"/>
        <v>0</v>
      </c>
    </row>
    <row r="6433" spans="1:9" hidden="1">
      <c r="A6433" s="49" t="s">
        <v>8760</v>
      </c>
      <c r="B6433" s="5">
        <v>875043</v>
      </c>
      <c r="C6433" s="122" t="s">
        <v>10862</v>
      </c>
      <c r="D6433" s="5"/>
      <c r="E6433" s="123">
        <v>1</v>
      </c>
      <c r="F6433" s="9"/>
      <c r="G6433" s="8">
        <f t="shared" si="196"/>
        <v>0.28560000000000002</v>
      </c>
      <c r="H6433" s="165">
        <v>0.27200000000000002</v>
      </c>
      <c r="I6433" s="19">
        <f t="shared" si="197"/>
        <v>0</v>
      </c>
    </row>
    <row r="6434" spans="1:9" hidden="1">
      <c r="A6434" s="49" t="s">
        <v>8760</v>
      </c>
      <c r="B6434" s="5" t="s">
        <v>10863</v>
      </c>
      <c r="C6434" s="122" t="s">
        <v>10864</v>
      </c>
      <c r="D6434" s="5"/>
      <c r="E6434" s="123">
        <v>1</v>
      </c>
      <c r="F6434" s="9"/>
      <c r="G6434" s="8">
        <f t="shared" si="196"/>
        <v>88.013100000000009</v>
      </c>
      <c r="H6434" s="165">
        <v>83.822000000000003</v>
      </c>
      <c r="I6434" s="19">
        <f t="shared" si="197"/>
        <v>0</v>
      </c>
    </row>
    <row r="6435" spans="1:9" hidden="1">
      <c r="A6435" s="49" t="s">
        <v>8760</v>
      </c>
      <c r="B6435" s="5" t="s">
        <v>10865</v>
      </c>
      <c r="C6435" s="122" t="s">
        <v>10866</v>
      </c>
      <c r="D6435" s="5"/>
      <c r="E6435" s="123">
        <v>1</v>
      </c>
      <c r="F6435" s="9"/>
      <c r="G6435" s="8">
        <f t="shared" si="196"/>
        <v>186.36450000000002</v>
      </c>
      <c r="H6435" s="165">
        <v>177.49</v>
      </c>
      <c r="I6435" s="19">
        <f t="shared" si="197"/>
        <v>0</v>
      </c>
    </row>
    <row r="6436" spans="1:9" hidden="1">
      <c r="A6436" s="49" t="s">
        <v>8760</v>
      </c>
      <c r="B6436" s="5">
        <v>875071</v>
      </c>
      <c r="C6436" s="122" t="s">
        <v>10867</v>
      </c>
      <c r="D6436" s="5"/>
      <c r="E6436" s="123">
        <v>1</v>
      </c>
      <c r="F6436" s="9"/>
      <c r="G6436" s="8">
        <f t="shared" si="196"/>
        <v>1.81335</v>
      </c>
      <c r="H6436" s="165">
        <v>1.7270000000000001</v>
      </c>
      <c r="I6436" s="19">
        <f t="shared" si="197"/>
        <v>0</v>
      </c>
    </row>
    <row r="6437" spans="1:9" hidden="1">
      <c r="A6437" s="49" t="s">
        <v>8760</v>
      </c>
      <c r="B6437" s="5">
        <v>875072</v>
      </c>
      <c r="C6437" s="122" t="s">
        <v>10868</v>
      </c>
      <c r="D6437" s="5"/>
      <c r="E6437" s="123">
        <v>1</v>
      </c>
      <c r="F6437" s="9"/>
      <c r="G6437" s="8">
        <f t="shared" si="196"/>
        <v>64.031099999999995</v>
      </c>
      <c r="H6437" s="165">
        <v>60.981999999999999</v>
      </c>
      <c r="I6437" s="19">
        <f t="shared" si="197"/>
        <v>0</v>
      </c>
    </row>
    <row r="6438" spans="1:9" hidden="1">
      <c r="A6438" s="49" t="s">
        <v>8760</v>
      </c>
      <c r="B6438" s="5">
        <v>875073</v>
      </c>
      <c r="C6438" s="122" t="s">
        <v>10869</v>
      </c>
      <c r="D6438" s="5" t="s">
        <v>945</v>
      </c>
      <c r="E6438" s="123">
        <v>1</v>
      </c>
      <c r="F6438" s="9"/>
      <c r="G6438" s="8">
        <f t="shared" si="196"/>
        <v>6.9121500000000005</v>
      </c>
      <c r="H6438" s="165">
        <v>6.5830000000000002</v>
      </c>
      <c r="I6438" s="19">
        <f t="shared" si="197"/>
        <v>0</v>
      </c>
    </row>
    <row r="6439" spans="1:9" hidden="1">
      <c r="A6439" s="49" t="s">
        <v>8760</v>
      </c>
      <c r="B6439" s="5">
        <v>875074</v>
      </c>
      <c r="C6439" s="122" t="s">
        <v>10870</v>
      </c>
      <c r="D6439" s="5"/>
      <c r="E6439" s="123">
        <v>1</v>
      </c>
      <c r="F6439" s="9"/>
      <c r="G6439" s="8">
        <f t="shared" si="196"/>
        <v>76.837950000000006</v>
      </c>
      <c r="H6439" s="165">
        <v>73.179000000000002</v>
      </c>
      <c r="I6439" s="19">
        <f t="shared" si="197"/>
        <v>0</v>
      </c>
    </row>
    <row r="6440" spans="1:9" hidden="1">
      <c r="A6440" s="49" t="s">
        <v>8760</v>
      </c>
      <c r="B6440" s="5">
        <v>875100</v>
      </c>
      <c r="C6440" s="122" t="s">
        <v>10871</v>
      </c>
      <c r="D6440" s="5"/>
      <c r="E6440" s="123">
        <v>1</v>
      </c>
      <c r="F6440" s="9"/>
      <c r="G6440" s="8">
        <f t="shared" si="196"/>
        <v>70.306950000000001</v>
      </c>
      <c r="H6440" s="165">
        <v>66.959000000000003</v>
      </c>
      <c r="I6440" s="19">
        <f t="shared" si="197"/>
        <v>0</v>
      </c>
    </row>
    <row r="6441" spans="1:9" hidden="1">
      <c r="A6441" s="49" t="s">
        <v>8760</v>
      </c>
      <c r="B6441" s="5" t="s">
        <v>10872</v>
      </c>
      <c r="C6441" s="122" t="s">
        <v>10873</v>
      </c>
      <c r="D6441" s="5"/>
      <c r="E6441" s="123">
        <v>1</v>
      </c>
      <c r="F6441" s="9"/>
      <c r="G6441" s="8">
        <f t="shared" si="196"/>
        <v>70.709099999999992</v>
      </c>
      <c r="H6441" s="165">
        <v>67.341999999999999</v>
      </c>
      <c r="I6441" s="19">
        <f t="shared" si="197"/>
        <v>0</v>
      </c>
    </row>
    <row r="6442" spans="1:9" hidden="1">
      <c r="A6442" s="49" t="s">
        <v>8760</v>
      </c>
      <c r="B6442" s="5">
        <v>875101</v>
      </c>
      <c r="C6442" s="122" t="s">
        <v>10874</v>
      </c>
      <c r="D6442" s="5"/>
      <c r="E6442" s="123">
        <v>1</v>
      </c>
      <c r="F6442" s="9"/>
      <c r="G6442" s="8">
        <f t="shared" si="196"/>
        <v>73.2333</v>
      </c>
      <c r="H6442" s="165">
        <v>69.745999999999995</v>
      </c>
      <c r="I6442" s="19">
        <f t="shared" si="197"/>
        <v>0</v>
      </c>
    </row>
    <row r="6443" spans="1:9" hidden="1">
      <c r="A6443" s="49" t="s">
        <v>8760</v>
      </c>
      <c r="B6443" s="5" t="s">
        <v>10875</v>
      </c>
      <c r="C6443" s="122" t="s">
        <v>10876</v>
      </c>
      <c r="D6443" s="5"/>
      <c r="E6443" s="123">
        <v>1</v>
      </c>
      <c r="F6443" s="9"/>
      <c r="G6443" s="8">
        <f t="shared" si="196"/>
        <v>73.82235</v>
      </c>
      <c r="H6443" s="165">
        <v>70.307000000000002</v>
      </c>
      <c r="I6443" s="19">
        <f t="shared" si="197"/>
        <v>0</v>
      </c>
    </row>
    <row r="6444" spans="1:9" hidden="1">
      <c r="A6444" s="49" t="s">
        <v>8760</v>
      </c>
      <c r="B6444" s="5">
        <v>875102</v>
      </c>
      <c r="C6444" s="122" t="s">
        <v>10877</v>
      </c>
      <c r="D6444" s="5"/>
      <c r="E6444" s="123">
        <v>1</v>
      </c>
      <c r="F6444" s="9"/>
      <c r="G6444" s="8">
        <f t="shared" si="196"/>
        <v>76.159649999999999</v>
      </c>
      <c r="H6444" s="165">
        <v>72.533000000000001</v>
      </c>
      <c r="I6444" s="19">
        <f t="shared" si="197"/>
        <v>0</v>
      </c>
    </row>
    <row r="6445" spans="1:9" hidden="1">
      <c r="A6445" s="49" t="s">
        <v>8760</v>
      </c>
      <c r="B6445" s="5" t="s">
        <v>10878</v>
      </c>
      <c r="C6445" s="122" t="s">
        <v>10879</v>
      </c>
      <c r="D6445" s="5"/>
      <c r="E6445" s="123">
        <v>1</v>
      </c>
      <c r="F6445" s="9"/>
      <c r="G6445" s="8">
        <f t="shared" si="196"/>
        <v>76.949249999999992</v>
      </c>
      <c r="H6445" s="165">
        <v>73.284999999999997</v>
      </c>
      <c r="I6445" s="19">
        <f t="shared" si="197"/>
        <v>0</v>
      </c>
    </row>
    <row r="6446" spans="1:9" hidden="1">
      <c r="A6446" s="49" t="s">
        <v>8760</v>
      </c>
      <c r="B6446" s="5">
        <v>875103</v>
      </c>
      <c r="C6446" s="122" t="s">
        <v>10880</v>
      </c>
      <c r="D6446" s="5"/>
      <c r="E6446" s="123">
        <v>1</v>
      </c>
      <c r="F6446" s="9"/>
      <c r="G6446" s="8">
        <f t="shared" si="196"/>
        <v>46.651499999999999</v>
      </c>
      <c r="H6446" s="165">
        <v>44.43</v>
      </c>
      <c r="I6446" s="19">
        <f t="shared" si="197"/>
        <v>0</v>
      </c>
    </row>
    <row r="6447" spans="1:9" hidden="1">
      <c r="A6447" s="49" t="s">
        <v>8760</v>
      </c>
      <c r="B6447" s="5" t="s">
        <v>10881</v>
      </c>
      <c r="C6447" s="122" t="s">
        <v>10882</v>
      </c>
      <c r="D6447" s="5"/>
      <c r="E6447" s="123">
        <v>1</v>
      </c>
      <c r="F6447" s="9"/>
      <c r="G6447" s="8">
        <f t="shared" si="196"/>
        <v>47.053650000000005</v>
      </c>
      <c r="H6447" s="165">
        <v>44.813000000000002</v>
      </c>
      <c r="I6447" s="19">
        <f t="shared" si="197"/>
        <v>0</v>
      </c>
    </row>
    <row r="6448" spans="1:9" hidden="1">
      <c r="A6448" s="49" t="s">
        <v>8760</v>
      </c>
      <c r="B6448" s="5">
        <v>875104</v>
      </c>
      <c r="C6448" s="122" t="s">
        <v>10883</v>
      </c>
      <c r="D6448" s="5"/>
      <c r="E6448" s="123">
        <v>1</v>
      </c>
      <c r="F6448" s="9"/>
      <c r="G6448" s="8">
        <f t="shared" si="196"/>
        <v>49.576799999999999</v>
      </c>
      <c r="H6448" s="165">
        <v>47.216000000000001</v>
      </c>
      <c r="I6448" s="19">
        <f t="shared" si="197"/>
        <v>0</v>
      </c>
    </row>
    <row r="6449" spans="1:9" hidden="1">
      <c r="A6449" s="49" t="s">
        <v>8760</v>
      </c>
      <c r="B6449" s="5" t="s">
        <v>10884</v>
      </c>
      <c r="C6449" s="122" t="s">
        <v>10885</v>
      </c>
      <c r="D6449" s="5"/>
      <c r="E6449" s="123">
        <v>1</v>
      </c>
      <c r="F6449" s="9"/>
      <c r="G6449" s="8">
        <f t="shared" si="196"/>
        <v>50.165849999999999</v>
      </c>
      <c r="H6449" s="165">
        <v>47.777000000000001</v>
      </c>
      <c r="I6449" s="19">
        <f t="shared" si="197"/>
        <v>0</v>
      </c>
    </row>
    <row r="6450" spans="1:9" hidden="1">
      <c r="A6450" s="49" t="s">
        <v>8760</v>
      </c>
      <c r="B6450" s="5">
        <v>875105</v>
      </c>
      <c r="C6450" s="122" t="s">
        <v>10886</v>
      </c>
      <c r="D6450" s="5"/>
      <c r="E6450" s="123">
        <v>1</v>
      </c>
      <c r="F6450" s="9"/>
      <c r="G6450" s="8">
        <f t="shared" si="196"/>
        <v>52.504199999999997</v>
      </c>
      <c r="H6450" s="165">
        <v>50.003999999999998</v>
      </c>
      <c r="I6450" s="19">
        <f t="shared" si="197"/>
        <v>0</v>
      </c>
    </row>
    <row r="6451" spans="1:9" hidden="1">
      <c r="A6451" s="49" t="s">
        <v>8760</v>
      </c>
      <c r="B6451" s="5" t="s">
        <v>10887</v>
      </c>
      <c r="C6451" s="122" t="s">
        <v>10888</v>
      </c>
      <c r="D6451" s="5"/>
      <c r="E6451" s="123">
        <v>1</v>
      </c>
      <c r="F6451" s="9"/>
      <c r="G6451" s="8">
        <f t="shared" si="196"/>
        <v>53.293799999999997</v>
      </c>
      <c r="H6451" s="165">
        <v>50.756</v>
      </c>
      <c r="I6451" s="19">
        <f t="shared" si="197"/>
        <v>0</v>
      </c>
    </row>
    <row r="6452" spans="1:9" hidden="1">
      <c r="A6452" s="49" t="s">
        <v>8760</v>
      </c>
      <c r="B6452" s="5">
        <v>875110</v>
      </c>
      <c r="C6452" s="122" t="s">
        <v>10889</v>
      </c>
      <c r="D6452" s="5"/>
      <c r="E6452" s="123">
        <v>1</v>
      </c>
      <c r="F6452" s="9"/>
      <c r="G6452" s="8">
        <f t="shared" si="196"/>
        <v>71.038800000000009</v>
      </c>
      <c r="H6452" s="165">
        <v>67.656000000000006</v>
      </c>
      <c r="I6452" s="19">
        <f t="shared" si="197"/>
        <v>0</v>
      </c>
    </row>
    <row r="6453" spans="1:9" hidden="1">
      <c r="A6453" s="49" t="s">
        <v>8760</v>
      </c>
      <c r="B6453" s="5" t="s">
        <v>10890</v>
      </c>
      <c r="C6453" s="122" t="s">
        <v>10891</v>
      </c>
      <c r="D6453" s="5"/>
      <c r="E6453" s="123">
        <v>1</v>
      </c>
      <c r="F6453" s="9"/>
      <c r="G6453" s="8">
        <f t="shared" si="196"/>
        <v>71.913450000000012</v>
      </c>
      <c r="H6453" s="165">
        <v>68.489000000000004</v>
      </c>
      <c r="I6453" s="19">
        <f t="shared" si="197"/>
        <v>0</v>
      </c>
    </row>
    <row r="6454" spans="1:9" hidden="1">
      <c r="A6454" s="49" t="s">
        <v>8760</v>
      </c>
      <c r="B6454" s="5">
        <v>875111</v>
      </c>
      <c r="C6454" s="122" t="s">
        <v>10892</v>
      </c>
      <c r="D6454" s="5"/>
      <c r="E6454" s="123">
        <v>1</v>
      </c>
      <c r="F6454" s="9"/>
      <c r="G6454" s="8">
        <f t="shared" si="196"/>
        <v>70.851900000000001</v>
      </c>
      <c r="H6454" s="165">
        <v>67.477999999999994</v>
      </c>
      <c r="I6454" s="19">
        <f t="shared" si="197"/>
        <v>0</v>
      </c>
    </row>
    <row r="6455" spans="1:9" hidden="1">
      <c r="A6455" s="49" t="s">
        <v>8760</v>
      </c>
      <c r="B6455" s="5" t="s">
        <v>10893</v>
      </c>
      <c r="C6455" s="122" t="s">
        <v>10894</v>
      </c>
      <c r="D6455" s="5"/>
      <c r="E6455" s="123">
        <v>1</v>
      </c>
      <c r="F6455" s="9"/>
      <c r="G6455" s="8">
        <f t="shared" si="196"/>
        <v>71.439899999999994</v>
      </c>
      <c r="H6455" s="165">
        <v>68.037999999999997</v>
      </c>
      <c r="I6455" s="19">
        <f t="shared" si="197"/>
        <v>0</v>
      </c>
    </row>
    <row r="6456" spans="1:9" hidden="1">
      <c r="A6456" s="49" t="s">
        <v>8760</v>
      </c>
      <c r="B6456" s="5">
        <v>875112</v>
      </c>
      <c r="C6456" s="122" t="s">
        <v>10895</v>
      </c>
      <c r="D6456" s="5"/>
      <c r="E6456" s="123">
        <v>1</v>
      </c>
      <c r="F6456" s="9"/>
      <c r="G6456" s="8">
        <f t="shared" si="196"/>
        <v>73.620750000000001</v>
      </c>
      <c r="H6456" s="165">
        <v>70.114999999999995</v>
      </c>
      <c r="I6456" s="19">
        <f t="shared" si="197"/>
        <v>0</v>
      </c>
    </row>
    <row r="6457" spans="1:9" hidden="1">
      <c r="A6457" s="49" t="s">
        <v>8760</v>
      </c>
      <c r="B6457" s="5" t="s">
        <v>10896</v>
      </c>
      <c r="C6457" s="122" t="s">
        <v>10897</v>
      </c>
      <c r="D6457" s="5"/>
      <c r="E6457" s="123">
        <v>1</v>
      </c>
      <c r="F6457" s="9"/>
      <c r="G6457" s="8">
        <f t="shared" si="196"/>
        <v>74.036549999999991</v>
      </c>
      <c r="H6457" s="165">
        <v>70.510999999999996</v>
      </c>
      <c r="I6457" s="19">
        <f t="shared" si="197"/>
        <v>0</v>
      </c>
    </row>
    <row r="6458" spans="1:9" hidden="1">
      <c r="A6458" s="49" t="s">
        <v>8760</v>
      </c>
      <c r="B6458" s="5">
        <v>875113</v>
      </c>
      <c r="C6458" s="122" t="s">
        <v>10898</v>
      </c>
      <c r="D6458" s="5"/>
      <c r="E6458" s="123">
        <v>1</v>
      </c>
      <c r="F6458" s="9"/>
      <c r="G6458" s="8">
        <f t="shared" si="196"/>
        <v>76.533450000000002</v>
      </c>
      <c r="H6458" s="165">
        <v>72.888999999999996</v>
      </c>
      <c r="I6458" s="19">
        <f t="shared" si="197"/>
        <v>0</v>
      </c>
    </row>
    <row r="6459" spans="1:9" hidden="1">
      <c r="A6459" s="49" t="s">
        <v>8760</v>
      </c>
      <c r="B6459" s="5" t="s">
        <v>10899</v>
      </c>
      <c r="C6459" s="122" t="s">
        <v>10900</v>
      </c>
      <c r="D6459" s="5"/>
      <c r="E6459" s="123">
        <v>1</v>
      </c>
      <c r="F6459" s="9"/>
      <c r="G6459" s="8">
        <f t="shared" si="196"/>
        <v>77.178150000000002</v>
      </c>
      <c r="H6459" s="165">
        <v>73.503</v>
      </c>
      <c r="I6459" s="19">
        <f t="shared" si="197"/>
        <v>0</v>
      </c>
    </row>
    <row r="6460" spans="1:9" hidden="1">
      <c r="A6460" s="49" t="s">
        <v>8760</v>
      </c>
      <c r="B6460" s="5">
        <v>875114</v>
      </c>
      <c r="C6460" s="122" t="s">
        <v>10901</v>
      </c>
      <c r="D6460" s="5"/>
      <c r="E6460" s="123">
        <v>1</v>
      </c>
      <c r="F6460" s="9"/>
      <c r="G6460" s="8">
        <f t="shared" si="196"/>
        <v>122.47515</v>
      </c>
      <c r="H6460" s="165">
        <v>116.643</v>
      </c>
      <c r="I6460" s="19">
        <f t="shared" si="197"/>
        <v>0</v>
      </c>
    </row>
    <row r="6461" spans="1:9" hidden="1">
      <c r="A6461" s="49" t="s">
        <v>8760</v>
      </c>
      <c r="B6461" s="5" t="s">
        <v>10902</v>
      </c>
      <c r="C6461" s="122" t="s">
        <v>10903</v>
      </c>
      <c r="D6461" s="5"/>
      <c r="E6461" s="123">
        <v>1</v>
      </c>
      <c r="F6461" s="9"/>
      <c r="G6461" s="8">
        <f t="shared" si="196"/>
        <v>123.22694999999999</v>
      </c>
      <c r="H6461" s="165">
        <v>117.35899999999999</v>
      </c>
      <c r="I6461" s="19">
        <f t="shared" si="197"/>
        <v>0</v>
      </c>
    </row>
    <row r="6462" spans="1:9" hidden="1">
      <c r="A6462" s="49" t="s">
        <v>8760</v>
      </c>
      <c r="B6462" s="5">
        <v>875120</v>
      </c>
      <c r="C6462" s="122" t="s">
        <v>10904</v>
      </c>
      <c r="D6462" s="5" t="s">
        <v>945</v>
      </c>
      <c r="E6462" s="123">
        <v>1</v>
      </c>
      <c r="F6462" s="9"/>
      <c r="G6462" s="8">
        <f t="shared" si="196"/>
        <v>71.038800000000009</v>
      </c>
      <c r="H6462" s="165">
        <v>67.656000000000006</v>
      </c>
      <c r="I6462" s="19">
        <f t="shared" si="197"/>
        <v>0</v>
      </c>
    </row>
    <row r="6463" spans="1:9" hidden="1">
      <c r="A6463" s="49" t="s">
        <v>8760</v>
      </c>
      <c r="B6463" s="5" t="s">
        <v>10905</v>
      </c>
      <c r="C6463" s="122" t="s">
        <v>10906</v>
      </c>
      <c r="D6463" s="5" t="s">
        <v>945</v>
      </c>
      <c r="E6463" s="123">
        <v>1</v>
      </c>
      <c r="F6463" s="9"/>
      <c r="G6463" s="8">
        <f t="shared" si="196"/>
        <v>71.913450000000012</v>
      </c>
      <c r="H6463" s="165">
        <v>68.489000000000004</v>
      </c>
      <c r="I6463" s="19">
        <f t="shared" si="197"/>
        <v>0</v>
      </c>
    </row>
    <row r="6464" spans="1:9" hidden="1">
      <c r="A6464" s="49" t="s">
        <v>8760</v>
      </c>
      <c r="B6464" s="5">
        <v>875121</v>
      </c>
      <c r="C6464" s="122" t="s">
        <v>10907</v>
      </c>
      <c r="D6464" s="5" t="s">
        <v>2488</v>
      </c>
      <c r="E6464" s="123">
        <v>1</v>
      </c>
      <c r="F6464" s="9"/>
      <c r="G6464" s="8">
        <f t="shared" si="196"/>
        <v>70.851900000000001</v>
      </c>
      <c r="H6464" s="165">
        <v>67.477999999999994</v>
      </c>
      <c r="I6464" s="19">
        <f t="shared" si="197"/>
        <v>0</v>
      </c>
    </row>
    <row r="6465" spans="1:9" hidden="1">
      <c r="A6465" s="49" t="s">
        <v>8760</v>
      </c>
      <c r="B6465" s="5" t="s">
        <v>10908</v>
      </c>
      <c r="C6465" s="122" t="s">
        <v>10909</v>
      </c>
      <c r="D6465" s="5"/>
      <c r="E6465" s="123">
        <v>1</v>
      </c>
      <c r="F6465" s="9"/>
      <c r="G6465" s="8">
        <f t="shared" si="196"/>
        <v>71.439899999999994</v>
      </c>
      <c r="H6465" s="165">
        <v>68.037999999999997</v>
      </c>
      <c r="I6465" s="19">
        <f t="shared" si="197"/>
        <v>0</v>
      </c>
    </row>
    <row r="6466" spans="1:9" hidden="1">
      <c r="A6466" s="49" t="s">
        <v>8760</v>
      </c>
      <c r="B6466" s="5">
        <v>875122</v>
      </c>
      <c r="C6466" s="122" t="s">
        <v>10910</v>
      </c>
      <c r="D6466" s="5"/>
      <c r="E6466" s="123">
        <v>1</v>
      </c>
      <c r="F6466" s="9"/>
      <c r="G6466" s="8">
        <f t="shared" si="196"/>
        <v>73.620750000000001</v>
      </c>
      <c r="H6466" s="165">
        <v>70.114999999999995</v>
      </c>
      <c r="I6466" s="19">
        <f t="shared" si="197"/>
        <v>0</v>
      </c>
    </row>
    <row r="6467" spans="1:9" hidden="1">
      <c r="A6467" s="49" t="s">
        <v>8760</v>
      </c>
      <c r="B6467" s="5" t="s">
        <v>10911</v>
      </c>
      <c r="C6467" s="122" t="s">
        <v>10912</v>
      </c>
      <c r="D6467" s="5"/>
      <c r="E6467" s="123">
        <v>1</v>
      </c>
      <c r="F6467" s="9"/>
      <c r="G6467" s="8">
        <f t="shared" si="196"/>
        <v>74.036549999999991</v>
      </c>
      <c r="H6467" s="165">
        <v>70.510999999999996</v>
      </c>
      <c r="I6467" s="19">
        <f t="shared" si="197"/>
        <v>0</v>
      </c>
    </row>
    <row r="6468" spans="1:9" hidden="1">
      <c r="A6468" s="49" t="s">
        <v>8760</v>
      </c>
      <c r="B6468" s="5">
        <v>875123</v>
      </c>
      <c r="C6468" s="122" t="s">
        <v>10913</v>
      </c>
      <c r="D6468" s="5"/>
      <c r="E6468" s="123">
        <v>1</v>
      </c>
      <c r="F6468" s="9"/>
      <c r="G6468" s="8">
        <f t="shared" si="196"/>
        <v>76.533450000000002</v>
      </c>
      <c r="H6468" s="165">
        <v>72.888999999999996</v>
      </c>
      <c r="I6468" s="19">
        <f t="shared" si="197"/>
        <v>0</v>
      </c>
    </row>
    <row r="6469" spans="1:9" hidden="1">
      <c r="A6469" s="49" t="s">
        <v>8760</v>
      </c>
      <c r="B6469" s="5" t="s">
        <v>10914</v>
      </c>
      <c r="C6469" s="122" t="s">
        <v>10915</v>
      </c>
      <c r="D6469" s="5"/>
      <c r="E6469" s="123">
        <v>1</v>
      </c>
      <c r="F6469" s="9"/>
      <c r="G6469" s="8">
        <f t="shared" si="196"/>
        <v>77.178150000000002</v>
      </c>
      <c r="H6469" s="165">
        <v>73.503</v>
      </c>
      <c r="I6469" s="19">
        <f t="shared" si="197"/>
        <v>0</v>
      </c>
    </row>
    <row r="6470" spans="1:9" hidden="1">
      <c r="A6470" s="49" t="s">
        <v>8760</v>
      </c>
      <c r="B6470" s="5">
        <v>875124</v>
      </c>
      <c r="C6470" s="122" t="s">
        <v>10916</v>
      </c>
      <c r="D6470" s="5"/>
      <c r="E6470" s="123">
        <v>1</v>
      </c>
      <c r="F6470" s="9"/>
      <c r="G6470" s="8">
        <f t="shared" si="196"/>
        <v>122.47515</v>
      </c>
      <c r="H6470" s="165">
        <v>116.643</v>
      </c>
      <c r="I6470" s="19">
        <f t="shared" si="197"/>
        <v>0</v>
      </c>
    </row>
    <row r="6471" spans="1:9" hidden="1">
      <c r="A6471" s="49" t="s">
        <v>8760</v>
      </c>
      <c r="B6471" s="5" t="s">
        <v>10917</v>
      </c>
      <c r="C6471" s="122" t="s">
        <v>10918</v>
      </c>
      <c r="D6471" s="5"/>
      <c r="E6471" s="123">
        <v>1</v>
      </c>
      <c r="F6471" s="9"/>
      <c r="G6471" s="8">
        <f t="shared" si="196"/>
        <v>123.22694999999999</v>
      </c>
      <c r="H6471" s="165">
        <v>117.35899999999999</v>
      </c>
      <c r="I6471" s="19">
        <f t="shared" si="197"/>
        <v>0</v>
      </c>
    </row>
    <row r="6472" spans="1:9" hidden="1">
      <c r="A6472" s="49" t="s">
        <v>8760</v>
      </c>
      <c r="B6472" s="5" t="s">
        <v>10919</v>
      </c>
      <c r="C6472" s="122" t="s">
        <v>10920</v>
      </c>
      <c r="D6472" s="5"/>
      <c r="E6472" s="123">
        <v>1</v>
      </c>
      <c r="F6472" s="9"/>
      <c r="G6472" s="8">
        <f t="shared" si="196"/>
        <v>1257.354</v>
      </c>
      <c r="H6472" s="165">
        <v>1197.48</v>
      </c>
      <c r="I6472" s="19">
        <f t="shared" si="197"/>
        <v>0</v>
      </c>
    </row>
    <row r="6473" spans="1:9" hidden="1">
      <c r="A6473" s="49" t="s">
        <v>8760</v>
      </c>
      <c r="B6473" s="5" t="s">
        <v>10921</v>
      </c>
      <c r="C6473" s="122" t="s">
        <v>10922</v>
      </c>
      <c r="D6473" s="5"/>
      <c r="E6473" s="123">
        <v>1</v>
      </c>
      <c r="F6473" s="9"/>
      <c r="G6473" s="8">
        <f t="shared" si="196"/>
        <v>1257.354</v>
      </c>
      <c r="H6473" s="165">
        <v>1197.48</v>
      </c>
      <c r="I6473" s="19">
        <f t="shared" si="197"/>
        <v>0</v>
      </c>
    </row>
    <row r="6474" spans="1:9" hidden="1">
      <c r="A6474" s="49" t="s">
        <v>8760</v>
      </c>
      <c r="B6474" s="5">
        <v>877306</v>
      </c>
      <c r="C6474" s="122" t="s">
        <v>10923</v>
      </c>
      <c r="D6474" s="5"/>
      <c r="E6474" s="123">
        <v>1</v>
      </c>
      <c r="F6474" s="9"/>
      <c r="G6474" s="8">
        <f t="shared" si="196"/>
        <v>70.591500000000011</v>
      </c>
      <c r="H6474" s="165">
        <v>67.23</v>
      </c>
      <c r="I6474" s="19">
        <f t="shared" si="197"/>
        <v>0</v>
      </c>
    </row>
    <row r="6475" spans="1:9" hidden="1">
      <c r="A6475" s="49" t="s">
        <v>8760</v>
      </c>
      <c r="B6475" s="5">
        <v>877915</v>
      </c>
      <c r="C6475" s="122" t="s">
        <v>10924</v>
      </c>
      <c r="D6475" s="5"/>
      <c r="E6475" s="123">
        <v>1</v>
      </c>
      <c r="F6475" s="9"/>
      <c r="G6475" s="8">
        <f t="shared" si="196"/>
        <v>9.2546999999999997</v>
      </c>
      <c r="H6475" s="165">
        <v>8.8140000000000001</v>
      </c>
      <c r="I6475" s="19">
        <f t="shared" si="197"/>
        <v>0</v>
      </c>
    </row>
    <row r="6476" spans="1:9" hidden="1">
      <c r="A6476" s="49" t="s">
        <v>8760</v>
      </c>
      <c r="B6476" s="5">
        <v>90001.1</v>
      </c>
      <c r="C6476" s="122" t="s">
        <v>10925</v>
      </c>
      <c r="D6476" s="5"/>
      <c r="E6476" s="123">
        <v>1</v>
      </c>
      <c r="F6476" s="9"/>
      <c r="G6476" s="8">
        <f t="shared" ref="G6476:G6488" si="198">H6476+(H6476*5%)</f>
        <v>245.62965</v>
      </c>
      <c r="H6476" s="165">
        <v>233.93299999999999</v>
      </c>
      <c r="I6476" s="19">
        <f t="shared" ref="I6476:I6488" si="199">G6476*F6476</f>
        <v>0</v>
      </c>
    </row>
    <row r="6477" spans="1:9" hidden="1">
      <c r="A6477" s="49" t="s">
        <v>8760</v>
      </c>
      <c r="B6477" s="5">
        <v>90002</v>
      </c>
      <c r="C6477" s="122" t="s">
        <v>10926</v>
      </c>
      <c r="D6477" s="5"/>
      <c r="E6477" s="123">
        <v>1</v>
      </c>
      <c r="F6477" s="9"/>
      <c r="G6477" s="8">
        <f t="shared" si="198"/>
        <v>301.23660000000001</v>
      </c>
      <c r="H6477" s="165">
        <v>286.892</v>
      </c>
      <c r="I6477" s="19">
        <f t="shared" si="199"/>
        <v>0</v>
      </c>
    </row>
    <row r="6478" spans="1:9" hidden="1">
      <c r="A6478" s="49" t="s">
        <v>8760</v>
      </c>
      <c r="B6478" s="5">
        <v>90003</v>
      </c>
      <c r="C6478" s="122" t="s">
        <v>10927</v>
      </c>
      <c r="D6478" s="5"/>
      <c r="E6478" s="123">
        <v>1</v>
      </c>
      <c r="F6478" s="9"/>
      <c r="G6478" s="8">
        <f t="shared" si="198"/>
        <v>316.33875</v>
      </c>
      <c r="H6478" s="165">
        <v>301.27499999999998</v>
      </c>
      <c r="I6478" s="19">
        <f t="shared" si="199"/>
        <v>0</v>
      </c>
    </row>
    <row r="6479" spans="1:9" hidden="1">
      <c r="A6479" s="49" t="s">
        <v>8760</v>
      </c>
      <c r="B6479" s="5">
        <v>90004</v>
      </c>
      <c r="C6479" s="122" t="s">
        <v>10928</v>
      </c>
      <c r="D6479" s="5"/>
      <c r="E6479" s="123">
        <v>1</v>
      </c>
      <c r="F6479" s="9"/>
      <c r="G6479" s="8">
        <f t="shared" si="198"/>
        <v>1.0038</v>
      </c>
      <c r="H6479" s="165">
        <v>0.95599999999999996</v>
      </c>
      <c r="I6479" s="19">
        <f t="shared" si="199"/>
        <v>0</v>
      </c>
    </row>
    <row r="6480" spans="1:9" hidden="1">
      <c r="A6480" s="49" t="s">
        <v>8760</v>
      </c>
      <c r="B6480" s="5">
        <v>90005</v>
      </c>
      <c r="C6480" s="122" t="s">
        <v>10929</v>
      </c>
      <c r="D6480" s="5"/>
      <c r="E6480" s="123">
        <v>1</v>
      </c>
      <c r="F6480" s="9"/>
      <c r="G6480" s="8">
        <f t="shared" si="198"/>
        <v>20.501249999999999</v>
      </c>
      <c r="H6480" s="165">
        <v>19.524999999999999</v>
      </c>
      <c r="I6480" s="19">
        <f t="shared" si="199"/>
        <v>0</v>
      </c>
    </row>
    <row r="6481" spans="1:9" hidden="1">
      <c r="A6481" s="49" t="s">
        <v>8760</v>
      </c>
      <c r="B6481" s="5">
        <v>900107</v>
      </c>
      <c r="C6481" s="122" t="s">
        <v>10930</v>
      </c>
      <c r="D6481" s="5"/>
      <c r="E6481" s="123">
        <v>1</v>
      </c>
      <c r="F6481" s="9"/>
      <c r="G6481" s="8">
        <f t="shared" si="198"/>
        <v>688.86719999999991</v>
      </c>
      <c r="H6481" s="165">
        <v>656.06399999999996</v>
      </c>
      <c r="I6481" s="19">
        <f t="shared" si="199"/>
        <v>0</v>
      </c>
    </row>
    <row r="6482" spans="1:9" hidden="1">
      <c r="A6482" s="49" t="s">
        <v>8760</v>
      </c>
      <c r="B6482" s="5">
        <v>900108</v>
      </c>
      <c r="C6482" s="122" t="s">
        <v>10931</v>
      </c>
      <c r="D6482" s="5"/>
      <c r="E6482" s="123">
        <v>1</v>
      </c>
      <c r="F6482" s="9"/>
      <c r="G6482" s="8">
        <f t="shared" si="198"/>
        <v>1.8427499999999999</v>
      </c>
      <c r="H6482" s="165">
        <v>1.7549999999999999</v>
      </c>
      <c r="I6482" s="19">
        <f t="shared" si="199"/>
        <v>0</v>
      </c>
    </row>
    <row r="6483" spans="1:9" hidden="1">
      <c r="A6483" s="49" t="s">
        <v>8760</v>
      </c>
      <c r="B6483" s="5">
        <v>900109</v>
      </c>
      <c r="C6483" s="122" t="s">
        <v>10932</v>
      </c>
      <c r="D6483" s="5"/>
      <c r="E6483" s="123">
        <v>1</v>
      </c>
      <c r="F6483" s="9"/>
      <c r="G6483" s="8">
        <f t="shared" si="198"/>
        <v>1.6054499999999998</v>
      </c>
      <c r="H6483" s="165">
        <v>1.5289999999999999</v>
      </c>
      <c r="I6483" s="19">
        <f t="shared" si="199"/>
        <v>0</v>
      </c>
    </row>
    <row r="6484" spans="1:9" hidden="1">
      <c r="A6484" s="49" t="s">
        <v>8760</v>
      </c>
      <c r="B6484" s="5">
        <v>900120</v>
      </c>
      <c r="C6484" s="122" t="s">
        <v>10933</v>
      </c>
      <c r="D6484" s="5"/>
      <c r="E6484" s="123">
        <v>1</v>
      </c>
      <c r="F6484" s="9"/>
      <c r="G6484" s="8">
        <f t="shared" si="198"/>
        <v>2.46855</v>
      </c>
      <c r="H6484" s="165">
        <v>2.351</v>
      </c>
      <c r="I6484" s="19">
        <f t="shared" si="199"/>
        <v>0</v>
      </c>
    </row>
    <row r="6485" spans="1:9" hidden="1">
      <c r="A6485" s="49" t="s">
        <v>8760</v>
      </c>
      <c r="B6485" s="5">
        <v>900124</v>
      </c>
      <c r="C6485" s="122" t="s">
        <v>10934</v>
      </c>
      <c r="D6485" s="5"/>
      <c r="E6485" s="123">
        <v>1</v>
      </c>
      <c r="F6485" s="9"/>
      <c r="G6485" s="8">
        <f t="shared" si="198"/>
        <v>3276</v>
      </c>
      <c r="H6485" s="165">
        <v>3120</v>
      </c>
      <c r="I6485" s="19">
        <f t="shared" si="199"/>
        <v>0</v>
      </c>
    </row>
    <row r="6486" spans="1:9" hidden="1">
      <c r="A6486" s="49" t="s">
        <v>8760</v>
      </c>
      <c r="B6486" s="5">
        <v>900125</v>
      </c>
      <c r="C6486" s="122" t="s">
        <v>10935</v>
      </c>
      <c r="D6486" s="5"/>
      <c r="E6486" s="123">
        <v>1</v>
      </c>
      <c r="F6486" s="9"/>
      <c r="G6486" s="8">
        <f t="shared" si="198"/>
        <v>18.00855</v>
      </c>
      <c r="H6486" s="165">
        <v>17.151</v>
      </c>
      <c r="I6486" s="19">
        <f t="shared" si="199"/>
        <v>0</v>
      </c>
    </row>
    <row r="6487" spans="1:9" hidden="1">
      <c r="A6487" s="49" t="s">
        <v>8760</v>
      </c>
      <c r="B6487" s="5">
        <v>900130</v>
      </c>
      <c r="C6487" s="122" t="s">
        <v>10936</v>
      </c>
      <c r="D6487" s="5"/>
      <c r="E6487" s="123">
        <v>1</v>
      </c>
      <c r="F6487" s="9"/>
      <c r="G6487" s="8">
        <f t="shared" si="198"/>
        <v>1338.75</v>
      </c>
      <c r="H6487" s="165">
        <v>1275</v>
      </c>
      <c r="I6487" s="19">
        <f t="shared" si="199"/>
        <v>0</v>
      </c>
    </row>
    <row r="6488" spans="1:9" hidden="1">
      <c r="A6488" s="49" t="s">
        <v>8760</v>
      </c>
      <c r="B6488" s="5">
        <v>900131</v>
      </c>
      <c r="C6488" s="122" t="s">
        <v>10937</v>
      </c>
      <c r="D6488" s="5"/>
      <c r="E6488" s="123">
        <v>1</v>
      </c>
      <c r="F6488" s="9"/>
      <c r="G6488" s="8">
        <f t="shared" si="198"/>
        <v>2472.75</v>
      </c>
      <c r="H6488" s="165">
        <v>2355</v>
      </c>
      <c r="I6488" s="19">
        <f t="shared" si="199"/>
        <v>0</v>
      </c>
    </row>
    <row r="6489" spans="1:9">
      <c r="A6489" s="90" t="s">
        <v>10938</v>
      </c>
      <c r="B6489" s="5" t="s">
        <v>10939</v>
      </c>
      <c r="C6489" s="32" t="s">
        <v>10940</v>
      </c>
      <c r="D6489" s="32"/>
      <c r="E6489" s="2">
        <v>1</v>
      </c>
      <c r="F6489" s="9">
        <v>1</v>
      </c>
      <c r="G6489" s="8"/>
      <c r="H6489" s="16">
        <v>147.82</v>
      </c>
      <c r="I6489" s="19">
        <f t="shared" ref="I6489" si="200">F6489*H6489</f>
        <v>147.82</v>
      </c>
    </row>
    <row r="6490" spans="1:9">
      <c r="A6490" s="56" t="s">
        <v>10941</v>
      </c>
      <c r="B6490" s="5" t="s">
        <v>10942</v>
      </c>
      <c r="C6490" s="32" t="s">
        <v>10943</v>
      </c>
      <c r="D6490" s="32"/>
      <c r="E6490" s="2">
        <v>1</v>
      </c>
      <c r="F6490" s="9">
        <v>1</v>
      </c>
      <c r="G6490" s="8"/>
      <c r="H6490" s="16">
        <v>58.57</v>
      </c>
      <c r="I6490" s="19">
        <f t="shared" ref="I6490:I6654" si="201">F6490*H6490</f>
        <v>58.57</v>
      </c>
    </row>
    <row r="6491" spans="1:9">
      <c r="A6491" s="56" t="s">
        <v>10941</v>
      </c>
      <c r="B6491" s="5" t="s">
        <v>10944</v>
      </c>
      <c r="C6491" s="32" t="s">
        <v>10945</v>
      </c>
      <c r="D6491" s="32"/>
      <c r="E6491" s="2">
        <v>1</v>
      </c>
      <c r="F6491" s="9">
        <v>7</v>
      </c>
      <c r="G6491" s="8"/>
      <c r="H6491" s="16">
        <v>41.06</v>
      </c>
      <c r="I6491" s="19">
        <f t="shared" si="201"/>
        <v>287.42</v>
      </c>
    </row>
    <row r="6492" spans="1:9" hidden="1">
      <c r="A6492" s="56" t="s">
        <v>10941</v>
      </c>
      <c r="B6492" s="2" t="s">
        <v>10946</v>
      </c>
      <c r="C6492" s="2" t="s">
        <v>10947</v>
      </c>
      <c r="D6492" s="32" t="s">
        <v>10948</v>
      </c>
      <c r="E6492" s="2">
        <v>1</v>
      </c>
      <c r="F6492" s="9"/>
      <c r="G6492" s="8"/>
      <c r="H6492" s="16">
        <v>36.54</v>
      </c>
      <c r="I6492" s="19">
        <f t="shared" si="201"/>
        <v>0</v>
      </c>
    </row>
    <row r="6493" spans="1:9" hidden="1">
      <c r="A6493" s="56" t="s">
        <v>10941</v>
      </c>
      <c r="B6493" s="2" t="s">
        <v>10949</v>
      </c>
      <c r="C6493" s="2" t="s">
        <v>10950</v>
      </c>
      <c r="D6493" s="32" t="s">
        <v>10948</v>
      </c>
      <c r="E6493" s="2">
        <v>1</v>
      </c>
      <c r="F6493" s="9"/>
      <c r="G6493" s="8"/>
      <c r="H6493" s="16">
        <v>31.06</v>
      </c>
      <c r="I6493" s="19">
        <f t="shared" si="201"/>
        <v>0</v>
      </c>
    </row>
    <row r="6494" spans="1:9">
      <c r="A6494" s="56" t="s">
        <v>10941</v>
      </c>
      <c r="B6494" s="2" t="s">
        <v>10951</v>
      </c>
      <c r="C6494" s="2" t="s">
        <v>10952</v>
      </c>
      <c r="D6494" s="32"/>
      <c r="E6494" s="2">
        <v>1</v>
      </c>
      <c r="F6494" s="9">
        <v>7</v>
      </c>
      <c r="G6494" s="8"/>
      <c r="H6494" s="16">
        <v>50</v>
      </c>
      <c r="I6494" s="19">
        <f t="shared" si="201"/>
        <v>350</v>
      </c>
    </row>
    <row r="6495" spans="1:9" hidden="1">
      <c r="A6495" s="56" t="s">
        <v>10941</v>
      </c>
      <c r="B6495" s="2" t="s">
        <v>10953</v>
      </c>
      <c r="C6495" s="2" t="s">
        <v>10954</v>
      </c>
      <c r="D6495" s="32" t="s">
        <v>10955</v>
      </c>
      <c r="E6495" s="2">
        <v>1</v>
      </c>
      <c r="F6495" s="9"/>
      <c r="G6495" s="8"/>
      <c r="H6495" s="16">
        <v>89.56</v>
      </c>
      <c r="I6495" s="19">
        <f t="shared" si="201"/>
        <v>0</v>
      </c>
    </row>
    <row r="6496" spans="1:9" hidden="1">
      <c r="A6496" s="56" t="s">
        <v>10941</v>
      </c>
      <c r="B6496" s="2" t="s">
        <v>10956</v>
      </c>
      <c r="C6496" s="2" t="s">
        <v>10957</v>
      </c>
      <c r="D6496" s="32" t="s">
        <v>10948</v>
      </c>
      <c r="E6496" s="2">
        <v>1</v>
      </c>
      <c r="F6496" s="9"/>
      <c r="G6496" s="8"/>
      <c r="H6496" s="16">
        <v>35.76</v>
      </c>
      <c r="I6496" s="19">
        <f t="shared" si="201"/>
        <v>0</v>
      </c>
    </row>
    <row r="6497" spans="1:9" hidden="1">
      <c r="A6497" s="56" t="s">
        <v>10941</v>
      </c>
      <c r="B6497" s="2" t="s">
        <v>10956</v>
      </c>
      <c r="C6497" s="2" t="s">
        <v>10958</v>
      </c>
      <c r="D6497" s="32" t="s">
        <v>10948</v>
      </c>
      <c r="E6497" s="2">
        <v>1</v>
      </c>
      <c r="F6497" s="9"/>
      <c r="G6497" s="8"/>
      <c r="H6497" s="16">
        <v>35.76</v>
      </c>
      <c r="I6497" s="19">
        <f t="shared" si="201"/>
        <v>0</v>
      </c>
    </row>
    <row r="6498" spans="1:9" hidden="1">
      <c r="A6498" s="56" t="s">
        <v>10941</v>
      </c>
      <c r="B6498" s="2" t="s">
        <v>10956</v>
      </c>
      <c r="C6498" s="2" t="s">
        <v>10959</v>
      </c>
      <c r="D6498" s="32" t="s">
        <v>10948</v>
      </c>
      <c r="E6498" s="2">
        <v>1</v>
      </c>
      <c r="F6498" s="9"/>
      <c r="G6498" s="8"/>
      <c r="H6498" s="16">
        <v>29.45</v>
      </c>
      <c r="I6498" s="19">
        <f t="shared" si="201"/>
        <v>0</v>
      </c>
    </row>
    <row r="6499" spans="1:9" hidden="1">
      <c r="A6499" s="56" t="s">
        <v>10941</v>
      </c>
      <c r="B6499" s="2" t="s">
        <v>10956</v>
      </c>
      <c r="C6499" s="2" t="s">
        <v>10960</v>
      </c>
      <c r="D6499" s="32" t="s">
        <v>10948</v>
      </c>
      <c r="E6499" s="2">
        <v>1</v>
      </c>
      <c r="F6499" s="9"/>
      <c r="G6499" s="8"/>
      <c r="H6499" s="16">
        <v>35.76</v>
      </c>
      <c r="I6499" s="19">
        <f t="shared" si="201"/>
        <v>0</v>
      </c>
    </row>
    <row r="6500" spans="1:9" hidden="1">
      <c r="A6500" s="56" t="s">
        <v>10941</v>
      </c>
      <c r="B6500" s="2" t="s">
        <v>10956</v>
      </c>
      <c r="C6500" s="2" t="s">
        <v>10961</v>
      </c>
      <c r="D6500" s="32" t="s">
        <v>10948</v>
      </c>
      <c r="E6500" s="2">
        <v>1</v>
      </c>
      <c r="F6500" s="9"/>
      <c r="G6500" s="8"/>
      <c r="H6500" s="16">
        <v>35.76</v>
      </c>
      <c r="I6500" s="19">
        <f t="shared" si="201"/>
        <v>0</v>
      </c>
    </row>
    <row r="6501" spans="1:9" hidden="1">
      <c r="A6501" s="56" t="s">
        <v>10941</v>
      </c>
      <c r="B6501" s="2" t="s">
        <v>10956</v>
      </c>
      <c r="C6501" s="2" t="s">
        <v>10962</v>
      </c>
      <c r="D6501" s="32" t="s">
        <v>10948</v>
      </c>
      <c r="E6501" s="2">
        <v>1</v>
      </c>
      <c r="F6501" s="9"/>
      <c r="G6501" s="8"/>
      <c r="H6501" s="16">
        <v>35.76</v>
      </c>
      <c r="I6501" s="19">
        <f t="shared" si="201"/>
        <v>0</v>
      </c>
    </row>
    <row r="6502" spans="1:9" hidden="1">
      <c r="A6502" s="56" t="s">
        <v>10941</v>
      </c>
      <c r="B6502" s="2" t="s">
        <v>10963</v>
      </c>
      <c r="C6502" s="2" t="s">
        <v>10964</v>
      </c>
      <c r="D6502" s="32" t="s">
        <v>10948</v>
      </c>
      <c r="E6502" s="2">
        <v>1</v>
      </c>
      <c r="F6502" s="9"/>
      <c r="G6502" s="8"/>
      <c r="H6502" s="16">
        <v>51.05</v>
      </c>
      <c r="I6502" s="19">
        <f t="shared" si="201"/>
        <v>0</v>
      </c>
    </row>
    <row r="6503" spans="1:9" hidden="1">
      <c r="A6503" s="56" t="s">
        <v>10941</v>
      </c>
      <c r="B6503" s="2" t="s">
        <v>10956</v>
      </c>
      <c r="C6503" s="2" t="s">
        <v>10965</v>
      </c>
      <c r="D6503" s="32" t="s">
        <v>10948</v>
      </c>
      <c r="E6503" s="2">
        <v>1</v>
      </c>
      <c r="F6503" s="9"/>
      <c r="G6503" s="8"/>
      <c r="H6503" s="16">
        <v>35.76</v>
      </c>
      <c r="I6503" s="19">
        <f t="shared" si="201"/>
        <v>0</v>
      </c>
    </row>
    <row r="6504" spans="1:9" hidden="1">
      <c r="A6504" s="56" t="s">
        <v>10941</v>
      </c>
      <c r="B6504" s="2" t="s">
        <v>10956</v>
      </c>
      <c r="C6504" s="2" t="s">
        <v>10966</v>
      </c>
      <c r="D6504" s="32" t="s">
        <v>10948</v>
      </c>
      <c r="E6504" s="2">
        <v>1</v>
      </c>
      <c r="F6504" s="9"/>
      <c r="G6504" s="8"/>
      <c r="H6504" s="16">
        <v>35.76</v>
      </c>
      <c r="I6504" s="19">
        <f t="shared" si="201"/>
        <v>0</v>
      </c>
    </row>
    <row r="6505" spans="1:9" hidden="1">
      <c r="A6505" s="56" t="s">
        <v>10941</v>
      </c>
      <c r="B6505" s="2" t="s">
        <v>10956</v>
      </c>
      <c r="C6505" s="2" t="s">
        <v>10967</v>
      </c>
      <c r="D6505" s="32" t="s">
        <v>10948</v>
      </c>
      <c r="E6505" s="2">
        <v>1</v>
      </c>
      <c r="F6505" s="9"/>
      <c r="G6505" s="8"/>
      <c r="H6505" s="16">
        <v>35.76</v>
      </c>
      <c r="I6505" s="19">
        <f t="shared" si="201"/>
        <v>0</v>
      </c>
    </row>
    <row r="6506" spans="1:9" hidden="1">
      <c r="A6506" s="56" t="s">
        <v>10941</v>
      </c>
      <c r="B6506" s="2" t="s">
        <v>10968</v>
      </c>
      <c r="C6506" s="2" t="s">
        <v>10969</v>
      </c>
      <c r="D6506" s="32" t="s">
        <v>10948</v>
      </c>
      <c r="E6506" s="2">
        <v>1</v>
      </c>
      <c r="F6506" s="9"/>
      <c r="G6506" s="8"/>
      <c r="H6506" s="16">
        <v>36.54</v>
      </c>
      <c r="I6506" s="19">
        <f t="shared" si="201"/>
        <v>0</v>
      </c>
    </row>
    <row r="6507" spans="1:9" hidden="1">
      <c r="A6507" s="56" t="s">
        <v>10941</v>
      </c>
      <c r="B6507" s="2" t="s">
        <v>10956</v>
      </c>
      <c r="C6507" s="2" t="s">
        <v>10970</v>
      </c>
      <c r="D6507" s="32" t="s">
        <v>10948</v>
      </c>
      <c r="E6507" s="2">
        <v>1</v>
      </c>
      <c r="F6507" s="9"/>
      <c r="G6507" s="8"/>
      <c r="H6507" s="16">
        <v>42.08</v>
      </c>
      <c r="I6507" s="19">
        <f t="shared" si="201"/>
        <v>0</v>
      </c>
    </row>
    <row r="6508" spans="1:9" hidden="1">
      <c r="A6508" s="56" t="s">
        <v>10941</v>
      </c>
      <c r="B6508" s="2" t="s">
        <v>10956</v>
      </c>
      <c r="C6508" s="2" t="s">
        <v>10971</v>
      </c>
      <c r="D6508" s="32" t="s">
        <v>10948</v>
      </c>
      <c r="E6508" s="2">
        <v>1</v>
      </c>
      <c r="F6508" s="9"/>
      <c r="G6508" s="8"/>
      <c r="H6508" s="16">
        <v>42.08</v>
      </c>
      <c r="I6508" s="19">
        <f t="shared" si="201"/>
        <v>0</v>
      </c>
    </row>
    <row r="6509" spans="1:9" hidden="1">
      <c r="A6509" s="56" t="s">
        <v>10941</v>
      </c>
      <c r="B6509" s="2" t="s">
        <v>10956</v>
      </c>
      <c r="C6509" s="2" t="s">
        <v>10972</v>
      </c>
      <c r="D6509" s="32" t="s">
        <v>10948</v>
      </c>
      <c r="E6509" s="2">
        <v>1</v>
      </c>
      <c r="F6509" s="9"/>
      <c r="G6509" s="8"/>
      <c r="H6509" s="16">
        <v>35.76</v>
      </c>
      <c r="I6509" s="19">
        <f t="shared" si="201"/>
        <v>0</v>
      </c>
    </row>
    <row r="6510" spans="1:9" hidden="1">
      <c r="A6510" s="56" t="s">
        <v>10941</v>
      </c>
      <c r="B6510" s="2" t="s">
        <v>10973</v>
      </c>
      <c r="C6510" s="2" t="s">
        <v>10974</v>
      </c>
      <c r="D6510" s="32" t="s">
        <v>10948</v>
      </c>
      <c r="E6510" s="2">
        <v>1</v>
      </c>
      <c r="F6510" s="9"/>
      <c r="G6510" s="8"/>
      <c r="H6510" s="16">
        <v>42.07</v>
      </c>
      <c r="I6510" s="19">
        <f t="shared" si="201"/>
        <v>0</v>
      </c>
    </row>
    <row r="6511" spans="1:9" hidden="1">
      <c r="A6511" s="56" t="s">
        <v>10941</v>
      </c>
      <c r="B6511" s="2" t="s">
        <v>10956</v>
      </c>
      <c r="C6511" s="2" t="s">
        <v>10975</v>
      </c>
      <c r="D6511" s="32" t="s">
        <v>10948</v>
      </c>
      <c r="E6511" s="2">
        <v>1</v>
      </c>
      <c r="F6511" s="9"/>
      <c r="G6511" s="8"/>
      <c r="H6511" s="16">
        <v>35.76</v>
      </c>
      <c r="I6511" s="19">
        <f t="shared" si="201"/>
        <v>0</v>
      </c>
    </row>
    <row r="6512" spans="1:9" hidden="1">
      <c r="A6512" s="56" t="s">
        <v>10941</v>
      </c>
      <c r="B6512" s="2" t="s">
        <v>10956</v>
      </c>
      <c r="C6512" s="2" t="s">
        <v>10976</v>
      </c>
      <c r="D6512" s="32" t="s">
        <v>10948</v>
      </c>
      <c r="E6512" s="2">
        <v>1</v>
      </c>
      <c r="F6512" s="9"/>
      <c r="G6512" s="8"/>
      <c r="H6512" s="16">
        <v>35.76</v>
      </c>
      <c r="I6512" s="19">
        <f t="shared" si="201"/>
        <v>0</v>
      </c>
    </row>
    <row r="6513" spans="1:9" hidden="1">
      <c r="A6513" s="56" t="s">
        <v>10941</v>
      </c>
      <c r="B6513" s="2" t="s">
        <v>10956</v>
      </c>
      <c r="C6513" s="2" t="s">
        <v>10977</v>
      </c>
      <c r="D6513" s="32" t="s">
        <v>10948</v>
      </c>
      <c r="E6513" s="2">
        <v>1</v>
      </c>
      <c r="F6513" s="9"/>
      <c r="G6513" s="8"/>
      <c r="H6513" s="16">
        <v>35.76</v>
      </c>
      <c r="I6513" s="19">
        <f t="shared" si="201"/>
        <v>0</v>
      </c>
    </row>
    <row r="6514" spans="1:9" hidden="1">
      <c r="A6514" s="56" t="s">
        <v>10941</v>
      </c>
      <c r="B6514" s="2" t="s">
        <v>10956</v>
      </c>
      <c r="C6514" s="2" t="s">
        <v>10978</v>
      </c>
      <c r="D6514" s="32" t="s">
        <v>10948</v>
      </c>
      <c r="E6514" s="2">
        <v>1</v>
      </c>
      <c r="F6514" s="9"/>
      <c r="G6514" s="8"/>
      <c r="H6514" s="16">
        <v>35.76</v>
      </c>
      <c r="I6514" s="19">
        <f t="shared" si="201"/>
        <v>0</v>
      </c>
    </row>
    <row r="6515" spans="1:9" hidden="1">
      <c r="A6515" s="56" t="s">
        <v>10941</v>
      </c>
      <c r="B6515" s="2" t="s">
        <v>10956</v>
      </c>
      <c r="C6515" s="2" t="s">
        <v>10979</v>
      </c>
      <c r="D6515" s="32" t="s">
        <v>10948</v>
      </c>
      <c r="E6515" s="2">
        <v>1</v>
      </c>
      <c r="F6515" s="9"/>
      <c r="G6515" s="8"/>
      <c r="H6515" s="16">
        <v>35.76</v>
      </c>
      <c r="I6515" s="19">
        <f t="shared" si="201"/>
        <v>0</v>
      </c>
    </row>
    <row r="6516" spans="1:9" hidden="1">
      <c r="A6516" s="56" t="s">
        <v>10941</v>
      </c>
      <c r="B6516" s="2" t="s">
        <v>10956</v>
      </c>
      <c r="C6516" s="2" t="s">
        <v>10980</v>
      </c>
      <c r="D6516" s="32" t="s">
        <v>10948</v>
      </c>
      <c r="E6516" s="2">
        <v>1</v>
      </c>
      <c r="F6516" s="9"/>
      <c r="G6516" s="8"/>
      <c r="H6516" s="16">
        <v>35.76</v>
      </c>
      <c r="I6516" s="19">
        <f t="shared" si="201"/>
        <v>0</v>
      </c>
    </row>
    <row r="6517" spans="1:9" hidden="1">
      <c r="A6517" s="56" t="s">
        <v>10941</v>
      </c>
      <c r="B6517" s="2" t="s">
        <v>10973</v>
      </c>
      <c r="C6517" s="2" t="s">
        <v>10981</v>
      </c>
      <c r="D6517" s="32" t="s">
        <v>10948</v>
      </c>
      <c r="E6517" s="2">
        <v>1</v>
      </c>
      <c r="F6517" s="9"/>
      <c r="G6517" s="8"/>
      <c r="H6517" s="16">
        <v>42.07</v>
      </c>
      <c r="I6517" s="19">
        <f t="shared" si="201"/>
        <v>0</v>
      </c>
    </row>
    <row r="6518" spans="1:9" hidden="1">
      <c r="A6518" s="56" t="s">
        <v>10941</v>
      </c>
      <c r="B6518" s="2" t="s">
        <v>10956</v>
      </c>
      <c r="C6518" s="2" t="s">
        <v>10982</v>
      </c>
      <c r="D6518" s="32" t="s">
        <v>10948</v>
      </c>
      <c r="E6518" s="2">
        <v>1</v>
      </c>
      <c r="F6518" s="9"/>
      <c r="G6518" s="8"/>
      <c r="H6518" s="16">
        <v>35.76</v>
      </c>
      <c r="I6518" s="19">
        <f t="shared" si="201"/>
        <v>0</v>
      </c>
    </row>
    <row r="6519" spans="1:9" hidden="1">
      <c r="A6519" s="56" t="s">
        <v>10941</v>
      </c>
      <c r="B6519" s="2" t="s">
        <v>10956</v>
      </c>
      <c r="C6519" s="2" t="s">
        <v>10983</v>
      </c>
      <c r="D6519" s="32" t="s">
        <v>10948</v>
      </c>
      <c r="E6519" s="2">
        <v>1</v>
      </c>
      <c r="F6519" s="9"/>
      <c r="G6519" s="8"/>
      <c r="H6519" s="16">
        <v>35.76</v>
      </c>
      <c r="I6519" s="19">
        <f t="shared" si="201"/>
        <v>0</v>
      </c>
    </row>
    <row r="6520" spans="1:9" hidden="1">
      <c r="A6520" s="56" t="s">
        <v>10941</v>
      </c>
      <c r="B6520" s="2" t="s">
        <v>10956</v>
      </c>
      <c r="C6520" s="2" t="s">
        <v>10984</v>
      </c>
      <c r="D6520" s="32" t="s">
        <v>10948</v>
      </c>
      <c r="E6520" s="2">
        <v>1</v>
      </c>
      <c r="F6520" s="9"/>
      <c r="G6520" s="8"/>
      <c r="H6520" s="16">
        <v>35.76</v>
      </c>
      <c r="I6520" s="19">
        <f t="shared" si="201"/>
        <v>0</v>
      </c>
    </row>
    <row r="6521" spans="1:9" hidden="1">
      <c r="A6521" s="56" t="s">
        <v>10941</v>
      </c>
      <c r="B6521" s="2" t="s">
        <v>10949</v>
      </c>
      <c r="C6521" s="2" t="s">
        <v>10985</v>
      </c>
      <c r="D6521" s="32" t="s">
        <v>10948</v>
      </c>
      <c r="E6521" s="2">
        <v>1</v>
      </c>
      <c r="F6521" s="9"/>
      <c r="G6521" s="8"/>
      <c r="H6521" s="16">
        <v>31.06</v>
      </c>
      <c r="I6521" s="19">
        <f t="shared" si="201"/>
        <v>0</v>
      </c>
    </row>
    <row r="6522" spans="1:9" hidden="1">
      <c r="A6522" s="56" t="s">
        <v>10941</v>
      </c>
      <c r="B6522" s="2" t="s">
        <v>10949</v>
      </c>
      <c r="C6522" s="2" t="s">
        <v>10986</v>
      </c>
      <c r="D6522" s="32" t="s">
        <v>10948</v>
      </c>
      <c r="E6522" s="2">
        <v>1</v>
      </c>
      <c r="F6522" s="9"/>
      <c r="G6522" s="8"/>
      <c r="H6522" s="16">
        <v>31.06</v>
      </c>
      <c r="I6522" s="19">
        <f t="shared" si="201"/>
        <v>0</v>
      </c>
    </row>
    <row r="6523" spans="1:9" hidden="1">
      <c r="A6523" s="56" t="s">
        <v>10941</v>
      </c>
      <c r="B6523" s="2" t="s">
        <v>10956</v>
      </c>
      <c r="C6523" s="2" t="s">
        <v>10987</v>
      </c>
      <c r="D6523" s="32" t="s">
        <v>10948</v>
      </c>
      <c r="E6523" s="2">
        <v>1</v>
      </c>
      <c r="F6523" s="9"/>
      <c r="G6523" s="8"/>
      <c r="H6523" s="16">
        <v>35.76</v>
      </c>
      <c r="I6523" s="19">
        <f t="shared" si="201"/>
        <v>0</v>
      </c>
    </row>
    <row r="6524" spans="1:9" hidden="1">
      <c r="A6524" s="56" t="s">
        <v>10941</v>
      </c>
      <c r="B6524" s="2" t="s">
        <v>10963</v>
      </c>
      <c r="C6524" s="2" t="s">
        <v>10988</v>
      </c>
      <c r="D6524" s="32" t="s">
        <v>10948</v>
      </c>
      <c r="E6524" s="2">
        <v>1</v>
      </c>
      <c r="F6524" s="9"/>
      <c r="G6524" s="8"/>
      <c r="H6524" s="16">
        <v>51.05</v>
      </c>
      <c r="I6524" s="19">
        <f t="shared" si="201"/>
        <v>0</v>
      </c>
    </row>
    <row r="6525" spans="1:9" hidden="1">
      <c r="A6525" s="56" t="s">
        <v>10941</v>
      </c>
      <c r="B6525" s="2" t="s">
        <v>10956</v>
      </c>
      <c r="C6525" s="2" t="s">
        <v>10989</v>
      </c>
      <c r="D6525" s="32" t="s">
        <v>10948</v>
      </c>
      <c r="E6525" s="2">
        <v>1</v>
      </c>
      <c r="F6525" s="9"/>
      <c r="G6525" s="8"/>
      <c r="H6525" s="16">
        <v>35.76</v>
      </c>
      <c r="I6525" s="19">
        <f t="shared" si="201"/>
        <v>0</v>
      </c>
    </row>
    <row r="6526" spans="1:9" hidden="1">
      <c r="A6526" s="56" t="s">
        <v>10941</v>
      </c>
      <c r="B6526" s="2" t="s">
        <v>10973</v>
      </c>
      <c r="C6526" s="2" t="s">
        <v>10990</v>
      </c>
      <c r="D6526" s="32" t="s">
        <v>10948</v>
      </c>
      <c r="E6526" s="2">
        <v>1</v>
      </c>
      <c r="F6526" s="9"/>
      <c r="G6526" s="8"/>
      <c r="H6526" s="16">
        <v>42.07</v>
      </c>
      <c r="I6526" s="19">
        <f t="shared" si="201"/>
        <v>0</v>
      </c>
    </row>
    <row r="6527" spans="1:9" hidden="1">
      <c r="A6527" s="56" t="s">
        <v>10941</v>
      </c>
      <c r="B6527" s="2" t="s">
        <v>10956</v>
      </c>
      <c r="C6527" s="2" t="s">
        <v>10991</v>
      </c>
      <c r="D6527" s="32" t="s">
        <v>10948</v>
      </c>
      <c r="E6527" s="2">
        <v>1</v>
      </c>
      <c r="F6527" s="9"/>
      <c r="G6527" s="8"/>
      <c r="H6527" s="16">
        <v>35.76</v>
      </c>
      <c r="I6527" s="19">
        <f t="shared" si="201"/>
        <v>0</v>
      </c>
    </row>
    <row r="6528" spans="1:9" hidden="1">
      <c r="A6528" s="56" t="s">
        <v>10941</v>
      </c>
      <c r="B6528" s="2" t="s">
        <v>10956</v>
      </c>
      <c r="C6528" s="2" t="s">
        <v>10992</v>
      </c>
      <c r="D6528" s="32" t="s">
        <v>10948</v>
      </c>
      <c r="E6528" s="2">
        <v>1</v>
      </c>
      <c r="F6528" s="9"/>
      <c r="G6528" s="8"/>
      <c r="H6528" s="16">
        <v>33.659999999999997</v>
      </c>
      <c r="I6528" s="19">
        <f t="shared" si="201"/>
        <v>0</v>
      </c>
    </row>
    <row r="6529" spans="1:9" hidden="1">
      <c r="A6529" s="56" t="s">
        <v>10941</v>
      </c>
      <c r="B6529" s="2" t="s">
        <v>10956</v>
      </c>
      <c r="C6529" s="2" t="s">
        <v>10993</v>
      </c>
      <c r="D6529" s="32" t="s">
        <v>10948</v>
      </c>
      <c r="E6529" s="2">
        <v>1</v>
      </c>
      <c r="F6529" s="9"/>
      <c r="G6529" s="8"/>
      <c r="H6529" s="16">
        <v>35.76</v>
      </c>
      <c r="I6529" s="19">
        <f t="shared" si="201"/>
        <v>0</v>
      </c>
    </row>
    <row r="6530" spans="1:9" hidden="1">
      <c r="A6530" s="56" t="s">
        <v>10941</v>
      </c>
      <c r="B6530" s="2" t="s">
        <v>10956</v>
      </c>
      <c r="C6530" s="2" t="s">
        <v>10994</v>
      </c>
      <c r="D6530" s="32" t="s">
        <v>10948</v>
      </c>
      <c r="E6530" s="2">
        <v>1</v>
      </c>
      <c r="F6530" s="9"/>
      <c r="G6530" s="8"/>
      <c r="H6530" s="16">
        <v>35.76</v>
      </c>
      <c r="I6530" s="19">
        <f t="shared" si="201"/>
        <v>0</v>
      </c>
    </row>
    <row r="6531" spans="1:9" hidden="1">
      <c r="A6531" s="56" t="s">
        <v>10941</v>
      </c>
      <c r="B6531" s="2" t="s">
        <v>10995</v>
      </c>
      <c r="C6531" s="2" t="s">
        <v>10996</v>
      </c>
      <c r="D6531" s="32"/>
      <c r="E6531" s="2"/>
      <c r="F6531" s="9"/>
      <c r="G6531" s="8"/>
      <c r="H6531" s="16">
        <v>144.97</v>
      </c>
      <c r="I6531" s="19">
        <f t="shared" si="201"/>
        <v>0</v>
      </c>
    </row>
    <row r="6532" spans="1:9" hidden="1">
      <c r="A6532" s="56" t="s">
        <v>10941</v>
      </c>
      <c r="B6532" s="2" t="s">
        <v>10956</v>
      </c>
      <c r="C6532" s="2" t="s">
        <v>10997</v>
      </c>
      <c r="D6532" s="32" t="s">
        <v>10948</v>
      </c>
      <c r="E6532" s="2">
        <v>1</v>
      </c>
      <c r="F6532" s="9"/>
      <c r="G6532" s="8"/>
      <c r="H6532" s="16">
        <v>35.76</v>
      </c>
      <c r="I6532" s="19">
        <f t="shared" si="201"/>
        <v>0</v>
      </c>
    </row>
    <row r="6533" spans="1:9" hidden="1">
      <c r="A6533" s="56" t="s">
        <v>10941</v>
      </c>
      <c r="B6533" s="2" t="s">
        <v>10956</v>
      </c>
      <c r="C6533" s="2" t="s">
        <v>10998</v>
      </c>
      <c r="D6533" s="32" t="s">
        <v>10948</v>
      </c>
      <c r="E6533" s="2">
        <v>1</v>
      </c>
      <c r="F6533" s="9"/>
      <c r="G6533" s="8"/>
      <c r="H6533" s="16">
        <v>35.76</v>
      </c>
      <c r="I6533" s="19">
        <f t="shared" si="201"/>
        <v>0</v>
      </c>
    </row>
    <row r="6534" spans="1:9" hidden="1">
      <c r="A6534" s="56" t="s">
        <v>10941</v>
      </c>
      <c r="B6534" s="2" t="s">
        <v>10956</v>
      </c>
      <c r="C6534" s="2" t="s">
        <v>10999</v>
      </c>
      <c r="D6534" s="32" t="s">
        <v>10948</v>
      </c>
      <c r="E6534" s="2">
        <v>1</v>
      </c>
      <c r="F6534" s="9"/>
      <c r="G6534" s="8"/>
      <c r="H6534" s="16">
        <v>35.76</v>
      </c>
      <c r="I6534" s="19">
        <f t="shared" si="201"/>
        <v>0</v>
      </c>
    </row>
    <row r="6535" spans="1:9" hidden="1">
      <c r="A6535" s="56" t="s">
        <v>10941</v>
      </c>
      <c r="B6535" s="2" t="s">
        <v>10949</v>
      </c>
      <c r="C6535" s="2" t="s">
        <v>11000</v>
      </c>
      <c r="D6535" s="32" t="s">
        <v>10948</v>
      </c>
      <c r="E6535" s="2">
        <v>1</v>
      </c>
      <c r="F6535" s="9"/>
      <c r="G6535" s="8"/>
      <c r="H6535" s="16">
        <v>31.06</v>
      </c>
      <c r="I6535" s="19">
        <f t="shared" si="201"/>
        <v>0</v>
      </c>
    </row>
    <row r="6536" spans="1:9" hidden="1">
      <c r="A6536" s="56" t="s">
        <v>10941</v>
      </c>
      <c r="B6536" s="2" t="s">
        <v>11001</v>
      </c>
      <c r="C6536" s="2" t="s">
        <v>11002</v>
      </c>
      <c r="D6536" s="32" t="s">
        <v>10948</v>
      </c>
      <c r="E6536" s="2">
        <v>1</v>
      </c>
      <c r="F6536" s="9"/>
      <c r="G6536" s="8"/>
      <c r="H6536" s="16">
        <v>46.32</v>
      </c>
      <c r="I6536" s="19">
        <f t="shared" si="201"/>
        <v>0</v>
      </c>
    </row>
    <row r="6537" spans="1:9" hidden="1">
      <c r="A6537" s="56" t="s">
        <v>10941</v>
      </c>
      <c r="B6537" s="2" t="s">
        <v>10956</v>
      </c>
      <c r="C6537" s="2" t="s">
        <v>11003</v>
      </c>
      <c r="D6537" s="32" t="s">
        <v>10948</v>
      </c>
      <c r="E6537" s="2">
        <v>1</v>
      </c>
      <c r="F6537" s="9"/>
      <c r="G6537" s="8"/>
      <c r="H6537" s="16">
        <v>35.76</v>
      </c>
      <c r="I6537" s="19">
        <f t="shared" si="201"/>
        <v>0</v>
      </c>
    </row>
    <row r="6538" spans="1:9" hidden="1">
      <c r="A6538" s="56" t="s">
        <v>10941</v>
      </c>
      <c r="B6538" s="2" t="s">
        <v>10956</v>
      </c>
      <c r="C6538" s="2" t="s">
        <v>11004</v>
      </c>
      <c r="D6538" s="32" t="s">
        <v>10955</v>
      </c>
      <c r="E6538" s="2">
        <v>1</v>
      </c>
      <c r="F6538" s="9"/>
      <c r="G6538" s="8"/>
      <c r="H6538" s="16">
        <v>588.98</v>
      </c>
      <c r="I6538" s="19">
        <f t="shared" si="201"/>
        <v>0</v>
      </c>
    </row>
    <row r="6539" spans="1:9" hidden="1">
      <c r="A6539" s="56" t="s">
        <v>10941</v>
      </c>
      <c r="B6539" s="2" t="s">
        <v>10956</v>
      </c>
      <c r="C6539" s="2" t="s">
        <v>11005</v>
      </c>
      <c r="D6539" s="32" t="s">
        <v>10948</v>
      </c>
      <c r="E6539" s="2">
        <v>1</v>
      </c>
      <c r="F6539" s="9"/>
      <c r="G6539" s="8"/>
      <c r="H6539" s="16">
        <v>35.76</v>
      </c>
      <c r="I6539" s="19">
        <f t="shared" si="201"/>
        <v>0</v>
      </c>
    </row>
    <row r="6540" spans="1:9" hidden="1">
      <c r="A6540" s="56" t="s">
        <v>10941</v>
      </c>
      <c r="B6540" s="2" t="s">
        <v>10973</v>
      </c>
      <c r="C6540" s="2" t="s">
        <v>11006</v>
      </c>
      <c r="D6540" s="32" t="s">
        <v>10948</v>
      </c>
      <c r="E6540" s="2">
        <v>1</v>
      </c>
      <c r="F6540" s="9"/>
      <c r="G6540" s="8"/>
      <c r="H6540" s="16">
        <v>42.07</v>
      </c>
      <c r="I6540" s="19">
        <f t="shared" si="201"/>
        <v>0</v>
      </c>
    </row>
    <row r="6541" spans="1:9" hidden="1">
      <c r="A6541" s="56" t="s">
        <v>10941</v>
      </c>
      <c r="B6541" s="2" t="s">
        <v>11007</v>
      </c>
      <c r="C6541" s="2" t="s">
        <v>11008</v>
      </c>
      <c r="D6541" s="32" t="s">
        <v>10948</v>
      </c>
      <c r="E6541" s="2">
        <v>1</v>
      </c>
      <c r="F6541" s="9"/>
      <c r="G6541" s="8"/>
      <c r="H6541" s="16">
        <v>60.06</v>
      </c>
      <c r="I6541" s="19">
        <f t="shared" si="201"/>
        <v>0</v>
      </c>
    </row>
    <row r="6542" spans="1:9" hidden="1">
      <c r="A6542" s="56" t="s">
        <v>10941</v>
      </c>
      <c r="B6542" s="2" t="s">
        <v>10956</v>
      </c>
      <c r="C6542" s="2" t="s">
        <v>11009</v>
      </c>
      <c r="D6542" s="32" t="s">
        <v>10948</v>
      </c>
      <c r="E6542" s="2">
        <v>1</v>
      </c>
      <c r="F6542" s="9"/>
      <c r="G6542" s="8"/>
      <c r="H6542" s="16">
        <v>35.76</v>
      </c>
      <c r="I6542" s="19">
        <f t="shared" si="201"/>
        <v>0</v>
      </c>
    </row>
    <row r="6543" spans="1:9" hidden="1">
      <c r="A6543" s="56" t="s">
        <v>10941</v>
      </c>
      <c r="B6543" s="2" t="s">
        <v>10956</v>
      </c>
      <c r="C6543" s="2" t="s">
        <v>11010</v>
      </c>
      <c r="D6543" s="32" t="s">
        <v>10948</v>
      </c>
      <c r="E6543" s="2">
        <v>1</v>
      </c>
      <c r="F6543" s="9"/>
      <c r="G6543" s="8"/>
      <c r="H6543" s="16">
        <v>35.76</v>
      </c>
      <c r="I6543" s="19">
        <f t="shared" si="201"/>
        <v>0</v>
      </c>
    </row>
    <row r="6544" spans="1:9" hidden="1">
      <c r="A6544" s="56" t="s">
        <v>10941</v>
      </c>
      <c r="B6544" s="2" t="s">
        <v>10956</v>
      </c>
      <c r="C6544" s="2" t="s">
        <v>11011</v>
      </c>
      <c r="D6544" s="32" t="s">
        <v>10948</v>
      </c>
      <c r="E6544" s="2">
        <v>1</v>
      </c>
      <c r="F6544" s="9"/>
      <c r="G6544" s="8"/>
      <c r="H6544" s="16">
        <v>35.76</v>
      </c>
      <c r="I6544" s="19">
        <f t="shared" si="201"/>
        <v>0</v>
      </c>
    </row>
    <row r="6545" spans="1:9" hidden="1">
      <c r="A6545" s="56" t="s">
        <v>10941</v>
      </c>
      <c r="B6545" s="2" t="s">
        <v>10956</v>
      </c>
      <c r="C6545" s="2" t="s">
        <v>11012</v>
      </c>
      <c r="D6545" s="32" t="s">
        <v>10948</v>
      </c>
      <c r="E6545" s="2">
        <v>1</v>
      </c>
      <c r="F6545" s="9"/>
      <c r="G6545" s="8"/>
      <c r="H6545" s="16">
        <v>35.76</v>
      </c>
      <c r="I6545" s="19">
        <f t="shared" si="201"/>
        <v>0</v>
      </c>
    </row>
    <row r="6546" spans="1:9" hidden="1">
      <c r="A6546" s="56" t="s">
        <v>10941</v>
      </c>
      <c r="B6546" s="2" t="s">
        <v>10949</v>
      </c>
      <c r="C6546" s="2" t="s">
        <v>11013</v>
      </c>
      <c r="D6546" s="32" t="s">
        <v>10948</v>
      </c>
      <c r="E6546" s="2">
        <v>1</v>
      </c>
      <c r="F6546" s="9"/>
      <c r="G6546" s="8"/>
      <c r="H6546" s="16">
        <v>31.06</v>
      </c>
      <c r="I6546" s="19">
        <f t="shared" si="201"/>
        <v>0</v>
      </c>
    </row>
    <row r="6547" spans="1:9" hidden="1">
      <c r="A6547" s="56" t="s">
        <v>10941</v>
      </c>
      <c r="B6547" s="2" t="s">
        <v>10956</v>
      </c>
      <c r="C6547" s="2" t="s">
        <v>11014</v>
      </c>
      <c r="D6547" s="32" t="s">
        <v>10948</v>
      </c>
      <c r="E6547" s="2">
        <v>1</v>
      </c>
      <c r="F6547" s="9"/>
      <c r="G6547" s="8"/>
      <c r="H6547" s="16">
        <v>35.76</v>
      </c>
      <c r="I6547" s="19">
        <f t="shared" si="201"/>
        <v>0</v>
      </c>
    </row>
    <row r="6548" spans="1:9" hidden="1">
      <c r="A6548" s="56" t="s">
        <v>10941</v>
      </c>
      <c r="B6548" s="2" t="s">
        <v>10956</v>
      </c>
      <c r="C6548" s="2" t="s">
        <v>11015</v>
      </c>
      <c r="D6548" s="32" t="s">
        <v>10948</v>
      </c>
      <c r="E6548" s="2">
        <v>1</v>
      </c>
      <c r="F6548" s="9"/>
      <c r="G6548" s="8"/>
      <c r="H6548" s="16">
        <v>35.76</v>
      </c>
      <c r="I6548" s="19">
        <f t="shared" si="201"/>
        <v>0</v>
      </c>
    </row>
    <row r="6549" spans="1:9" hidden="1">
      <c r="A6549" s="56" t="s">
        <v>10941</v>
      </c>
      <c r="B6549" s="2" t="s">
        <v>10956</v>
      </c>
      <c r="C6549" s="2" t="s">
        <v>11016</v>
      </c>
      <c r="D6549" s="32" t="s">
        <v>10948</v>
      </c>
      <c r="E6549" s="2">
        <v>1</v>
      </c>
      <c r="F6549" s="9"/>
      <c r="G6549" s="8"/>
      <c r="H6549" s="16">
        <v>35.76</v>
      </c>
      <c r="I6549" s="19">
        <f t="shared" si="201"/>
        <v>0</v>
      </c>
    </row>
    <row r="6550" spans="1:9" hidden="1">
      <c r="A6550" s="56" t="s">
        <v>10941</v>
      </c>
      <c r="B6550" s="2" t="s">
        <v>10956</v>
      </c>
      <c r="C6550" s="2" t="s">
        <v>11017</v>
      </c>
      <c r="D6550" s="32" t="s">
        <v>10948</v>
      </c>
      <c r="E6550" s="2">
        <v>1</v>
      </c>
      <c r="F6550" s="9"/>
      <c r="G6550" s="8"/>
      <c r="H6550" s="16">
        <v>35.76</v>
      </c>
      <c r="I6550" s="19">
        <f t="shared" si="201"/>
        <v>0</v>
      </c>
    </row>
    <row r="6551" spans="1:9" hidden="1">
      <c r="A6551" s="56" t="s">
        <v>10941</v>
      </c>
      <c r="B6551" s="2" t="s">
        <v>10956</v>
      </c>
      <c r="C6551" s="2" t="s">
        <v>11018</v>
      </c>
      <c r="D6551" s="32" t="s">
        <v>10948</v>
      </c>
      <c r="E6551" s="2">
        <v>1</v>
      </c>
      <c r="F6551" s="9"/>
      <c r="G6551" s="8"/>
      <c r="H6551" s="16">
        <v>35.76</v>
      </c>
      <c r="I6551" s="19">
        <f t="shared" si="201"/>
        <v>0</v>
      </c>
    </row>
    <row r="6552" spans="1:9" hidden="1">
      <c r="A6552" s="56" t="s">
        <v>10941</v>
      </c>
      <c r="B6552" s="2" t="s">
        <v>10956</v>
      </c>
      <c r="C6552" s="2" t="s">
        <v>11019</v>
      </c>
      <c r="D6552" s="32" t="s">
        <v>10948</v>
      </c>
      <c r="E6552" s="2">
        <v>1</v>
      </c>
      <c r="F6552" s="9"/>
      <c r="G6552" s="8"/>
      <c r="H6552" s="16">
        <v>33.659999999999997</v>
      </c>
      <c r="I6552" s="19">
        <f t="shared" si="201"/>
        <v>0</v>
      </c>
    </row>
    <row r="6553" spans="1:9" hidden="1">
      <c r="A6553" s="56" t="s">
        <v>10941</v>
      </c>
      <c r="B6553" s="2" t="s">
        <v>10956</v>
      </c>
      <c r="C6553" s="2" t="s">
        <v>11020</v>
      </c>
      <c r="D6553" s="32" t="s">
        <v>10948</v>
      </c>
      <c r="E6553" s="2">
        <v>1</v>
      </c>
      <c r="F6553" s="9"/>
      <c r="G6553" s="8"/>
      <c r="H6553" s="16">
        <v>35.76</v>
      </c>
      <c r="I6553" s="19">
        <f t="shared" si="201"/>
        <v>0</v>
      </c>
    </row>
    <row r="6554" spans="1:9" hidden="1">
      <c r="A6554" s="56" t="s">
        <v>10941</v>
      </c>
      <c r="B6554" s="2" t="s">
        <v>10956</v>
      </c>
      <c r="C6554" s="2" t="s">
        <v>11021</v>
      </c>
      <c r="D6554" s="32" t="s">
        <v>10948</v>
      </c>
      <c r="E6554" s="2">
        <v>1</v>
      </c>
      <c r="F6554" s="9"/>
      <c r="G6554" s="8"/>
      <c r="H6554" s="16">
        <v>35.76</v>
      </c>
      <c r="I6554" s="19">
        <f t="shared" si="201"/>
        <v>0</v>
      </c>
    </row>
    <row r="6555" spans="1:9" hidden="1">
      <c r="A6555" s="56" t="s">
        <v>10941</v>
      </c>
      <c r="B6555" s="2" t="s">
        <v>10956</v>
      </c>
      <c r="C6555" s="2" t="s">
        <v>11022</v>
      </c>
      <c r="D6555" s="32" t="s">
        <v>10948</v>
      </c>
      <c r="E6555" s="2">
        <v>1</v>
      </c>
      <c r="F6555" s="9"/>
      <c r="G6555" s="8"/>
      <c r="H6555" s="16">
        <v>35.76</v>
      </c>
      <c r="I6555" s="19">
        <f t="shared" si="201"/>
        <v>0</v>
      </c>
    </row>
    <row r="6556" spans="1:9" hidden="1">
      <c r="A6556" s="56" t="s">
        <v>10941</v>
      </c>
      <c r="B6556" s="2" t="s">
        <v>10949</v>
      </c>
      <c r="C6556" s="2" t="s">
        <v>11023</v>
      </c>
      <c r="D6556" s="32" t="s">
        <v>10948</v>
      </c>
      <c r="E6556" s="2">
        <v>1</v>
      </c>
      <c r="F6556" s="9"/>
      <c r="G6556" s="8"/>
      <c r="H6556" s="16">
        <v>31.06</v>
      </c>
      <c r="I6556" s="19">
        <f t="shared" si="201"/>
        <v>0</v>
      </c>
    </row>
    <row r="6557" spans="1:9" hidden="1">
      <c r="A6557" s="56" t="s">
        <v>10941</v>
      </c>
      <c r="B6557" s="2" t="s">
        <v>10956</v>
      </c>
      <c r="C6557" s="2" t="s">
        <v>11024</v>
      </c>
      <c r="D6557" s="32" t="s">
        <v>10948</v>
      </c>
      <c r="E6557" s="2">
        <v>1</v>
      </c>
      <c r="F6557" s="9"/>
      <c r="G6557" s="8"/>
      <c r="H6557" s="16">
        <v>35.76</v>
      </c>
      <c r="I6557" s="19">
        <f t="shared" si="201"/>
        <v>0</v>
      </c>
    </row>
    <row r="6558" spans="1:9" hidden="1">
      <c r="A6558" s="56" t="s">
        <v>10941</v>
      </c>
      <c r="B6558" s="2" t="s">
        <v>10956</v>
      </c>
      <c r="C6558" s="2" t="s">
        <v>11025</v>
      </c>
      <c r="D6558" s="32" t="s">
        <v>10948</v>
      </c>
      <c r="E6558" s="2">
        <v>1</v>
      </c>
      <c r="F6558" s="9"/>
      <c r="G6558" s="8"/>
      <c r="H6558" s="16">
        <v>35.76</v>
      </c>
      <c r="I6558" s="19">
        <f t="shared" si="201"/>
        <v>0</v>
      </c>
    </row>
    <row r="6559" spans="1:9" hidden="1">
      <c r="A6559" s="56" t="s">
        <v>10941</v>
      </c>
      <c r="B6559" s="2" t="s">
        <v>10973</v>
      </c>
      <c r="C6559" s="2" t="s">
        <v>11026</v>
      </c>
      <c r="D6559" s="32" t="s">
        <v>10948</v>
      </c>
      <c r="E6559" s="2">
        <v>1</v>
      </c>
      <c r="F6559" s="9"/>
      <c r="G6559" s="8"/>
      <c r="H6559" s="16">
        <v>42.07</v>
      </c>
      <c r="I6559" s="19">
        <f t="shared" si="201"/>
        <v>0</v>
      </c>
    </row>
    <row r="6560" spans="1:9" hidden="1">
      <c r="A6560" s="56" t="s">
        <v>10941</v>
      </c>
      <c r="B6560" s="2" t="s">
        <v>10956</v>
      </c>
      <c r="C6560" s="2" t="s">
        <v>11027</v>
      </c>
      <c r="D6560" s="32" t="s">
        <v>10948</v>
      </c>
      <c r="E6560" s="2">
        <v>1</v>
      </c>
      <c r="F6560" s="9"/>
      <c r="G6560" s="8"/>
      <c r="H6560" s="16">
        <v>35.76</v>
      </c>
      <c r="I6560" s="19">
        <f t="shared" si="201"/>
        <v>0</v>
      </c>
    </row>
    <row r="6561" spans="1:9" hidden="1">
      <c r="A6561" s="56" t="s">
        <v>10941</v>
      </c>
      <c r="B6561" s="2" t="s">
        <v>10956</v>
      </c>
      <c r="C6561" s="2" t="s">
        <v>11028</v>
      </c>
      <c r="D6561" s="32" t="s">
        <v>10948</v>
      </c>
      <c r="E6561" s="2">
        <v>1</v>
      </c>
      <c r="F6561" s="9"/>
      <c r="G6561" s="8"/>
      <c r="H6561" s="16">
        <v>35.76</v>
      </c>
      <c r="I6561" s="19">
        <f t="shared" si="201"/>
        <v>0</v>
      </c>
    </row>
    <row r="6562" spans="1:9" hidden="1">
      <c r="A6562" s="56" t="s">
        <v>10941</v>
      </c>
      <c r="B6562" s="2" t="s">
        <v>10956</v>
      </c>
      <c r="C6562" s="2" t="s">
        <v>11029</v>
      </c>
      <c r="D6562" s="32" t="s">
        <v>10948</v>
      </c>
      <c r="E6562" s="2">
        <v>1</v>
      </c>
      <c r="F6562" s="9"/>
      <c r="G6562" s="8"/>
      <c r="H6562" s="16">
        <v>35.76</v>
      </c>
      <c r="I6562" s="19">
        <f t="shared" si="201"/>
        <v>0</v>
      </c>
    </row>
    <row r="6563" spans="1:9" hidden="1">
      <c r="A6563" s="56" t="s">
        <v>10941</v>
      </c>
      <c r="B6563" s="2" t="s">
        <v>10956</v>
      </c>
      <c r="C6563" s="2" t="s">
        <v>11030</v>
      </c>
      <c r="D6563" s="32" t="s">
        <v>10948</v>
      </c>
      <c r="E6563" s="2">
        <v>1</v>
      </c>
      <c r="F6563" s="9"/>
      <c r="G6563" s="8"/>
      <c r="H6563" s="16">
        <v>35.76</v>
      </c>
      <c r="I6563" s="19">
        <f t="shared" si="201"/>
        <v>0</v>
      </c>
    </row>
    <row r="6564" spans="1:9" hidden="1">
      <c r="A6564" s="56" t="s">
        <v>10941</v>
      </c>
      <c r="B6564" s="2" t="s">
        <v>10956</v>
      </c>
      <c r="C6564" s="2" t="s">
        <v>11031</v>
      </c>
      <c r="D6564" s="32" t="s">
        <v>10948</v>
      </c>
      <c r="E6564" s="2">
        <v>1</v>
      </c>
      <c r="F6564" s="9"/>
      <c r="G6564" s="8"/>
      <c r="H6564" s="16">
        <v>35.76</v>
      </c>
      <c r="I6564" s="19">
        <f t="shared" si="201"/>
        <v>0</v>
      </c>
    </row>
    <row r="6565" spans="1:9" hidden="1">
      <c r="A6565" s="56" t="s">
        <v>10941</v>
      </c>
      <c r="B6565" s="2" t="s">
        <v>11032</v>
      </c>
      <c r="C6565" s="2" t="s">
        <v>11033</v>
      </c>
      <c r="D6565" s="32" t="s">
        <v>10948</v>
      </c>
      <c r="E6565" s="2">
        <v>1</v>
      </c>
      <c r="F6565" s="9"/>
      <c r="G6565" s="8"/>
      <c r="H6565" s="16">
        <v>31.95</v>
      </c>
      <c r="I6565" s="19">
        <f t="shared" si="201"/>
        <v>0</v>
      </c>
    </row>
    <row r="6566" spans="1:9" hidden="1">
      <c r="A6566" s="56" t="s">
        <v>10941</v>
      </c>
      <c r="B6566" s="2" t="s">
        <v>10956</v>
      </c>
      <c r="C6566" s="2" t="s">
        <v>11034</v>
      </c>
      <c r="D6566" s="32" t="s">
        <v>10948</v>
      </c>
      <c r="E6566" s="2">
        <v>1</v>
      </c>
      <c r="F6566" s="9"/>
      <c r="G6566" s="8"/>
      <c r="H6566" s="16">
        <v>35.76</v>
      </c>
      <c r="I6566" s="19">
        <f t="shared" si="201"/>
        <v>0</v>
      </c>
    </row>
    <row r="6567" spans="1:9" hidden="1">
      <c r="A6567" s="56" t="s">
        <v>10941</v>
      </c>
      <c r="B6567" s="2" t="s">
        <v>11035</v>
      </c>
      <c r="C6567" s="2" t="s">
        <v>11036</v>
      </c>
      <c r="D6567" s="32" t="s">
        <v>10948</v>
      </c>
      <c r="E6567" s="2">
        <v>1</v>
      </c>
      <c r="F6567" s="9"/>
      <c r="G6567" s="8"/>
      <c r="H6567" s="16">
        <v>35.76</v>
      </c>
      <c r="I6567" s="19">
        <f t="shared" si="201"/>
        <v>0</v>
      </c>
    </row>
    <row r="6568" spans="1:9" hidden="1">
      <c r="A6568" s="56" t="s">
        <v>10941</v>
      </c>
      <c r="B6568" s="2" t="s">
        <v>10973</v>
      </c>
      <c r="C6568" s="2" t="s">
        <v>11037</v>
      </c>
      <c r="D6568" s="32" t="s">
        <v>10948</v>
      </c>
      <c r="E6568" s="2">
        <v>1</v>
      </c>
      <c r="F6568" s="9"/>
      <c r="G6568" s="8"/>
      <c r="H6568" s="16">
        <v>42.07</v>
      </c>
      <c r="I6568" s="19">
        <f t="shared" si="201"/>
        <v>0</v>
      </c>
    </row>
    <row r="6569" spans="1:9" hidden="1">
      <c r="A6569" s="56" t="s">
        <v>10941</v>
      </c>
      <c r="B6569" s="2" t="s">
        <v>10956</v>
      </c>
      <c r="C6569" s="2" t="s">
        <v>11038</v>
      </c>
      <c r="D6569" s="32" t="s">
        <v>10948</v>
      </c>
      <c r="E6569" s="2">
        <v>1</v>
      </c>
      <c r="F6569" s="9"/>
      <c r="G6569" s="8"/>
      <c r="H6569" s="16">
        <v>35.76</v>
      </c>
      <c r="I6569" s="19">
        <f t="shared" si="201"/>
        <v>0</v>
      </c>
    </row>
    <row r="6570" spans="1:9" hidden="1">
      <c r="A6570" s="56" t="s">
        <v>10941</v>
      </c>
      <c r="B6570" s="2" t="s">
        <v>10956</v>
      </c>
      <c r="C6570" s="2" t="s">
        <v>11039</v>
      </c>
      <c r="D6570" s="32" t="s">
        <v>10948</v>
      </c>
      <c r="E6570" s="2">
        <v>1</v>
      </c>
      <c r="F6570" s="9"/>
      <c r="G6570" s="8"/>
      <c r="H6570" s="16">
        <v>35.76</v>
      </c>
      <c r="I6570" s="19">
        <f t="shared" si="201"/>
        <v>0</v>
      </c>
    </row>
    <row r="6571" spans="1:9" hidden="1">
      <c r="A6571" s="56" t="s">
        <v>10941</v>
      </c>
      <c r="B6571" s="2" t="s">
        <v>10956</v>
      </c>
      <c r="C6571" s="2" t="s">
        <v>11039</v>
      </c>
      <c r="D6571" s="32" t="s">
        <v>10955</v>
      </c>
      <c r="E6571" s="2">
        <v>1</v>
      </c>
      <c r="F6571" s="9"/>
      <c r="G6571" s="8"/>
      <c r="H6571" s="16">
        <v>588.98</v>
      </c>
      <c r="I6571" s="19">
        <f t="shared" si="201"/>
        <v>0</v>
      </c>
    </row>
    <row r="6572" spans="1:9" hidden="1">
      <c r="A6572" s="56" t="s">
        <v>10941</v>
      </c>
      <c r="B6572" s="2" t="s">
        <v>10963</v>
      </c>
      <c r="C6572" s="2" t="s">
        <v>11040</v>
      </c>
      <c r="D6572" s="32" t="s">
        <v>10948</v>
      </c>
      <c r="E6572" s="2">
        <v>1</v>
      </c>
      <c r="F6572" s="9"/>
      <c r="G6572" s="8"/>
      <c r="H6572" s="16">
        <v>51.05</v>
      </c>
      <c r="I6572" s="19">
        <f t="shared" si="201"/>
        <v>0</v>
      </c>
    </row>
    <row r="6573" spans="1:9" hidden="1">
      <c r="A6573" s="56" t="s">
        <v>10941</v>
      </c>
      <c r="B6573" s="2" t="s">
        <v>10956</v>
      </c>
      <c r="C6573" s="2" t="s">
        <v>11041</v>
      </c>
      <c r="D6573" s="32" t="s">
        <v>10948</v>
      </c>
      <c r="E6573" s="2">
        <v>1</v>
      </c>
      <c r="F6573" s="9"/>
      <c r="G6573" s="8"/>
      <c r="H6573" s="16">
        <v>35.76</v>
      </c>
      <c r="I6573" s="19">
        <f t="shared" si="201"/>
        <v>0</v>
      </c>
    </row>
    <row r="6574" spans="1:9" hidden="1">
      <c r="A6574" s="56" t="s">
        <v>10941</v>
      </c>
      <c r="B6574" s="2" t="s">
        <v>10956</v>
      </c>
      <c r="C6574" s="2" t="s">
        <v>11042</v>
      </c>
      <c r="D6574" s="32" t="s">
        <v>10948</v>
      </c>
      <c r="E6574" s="2">
        <v>1</v>
      </c>
      <c r="F6574" s="9"/>
      <c r="G6574" s="8"/>
      <c r="H6574" s="16">
        <v>35.76</v>
      </c>
      <c r="I6574" s="19">
        <f t="shared" si="201"/>
        <v>0</v>
      </c>
    </row>
    <row r="6575" spans="1:9" hidden="1">
      <c r="A6575" s="56" t="s">
        <v>10941</v>
      </c>
      <c r="B6575" s="2" t="s">
        <v>10956</v>
      </c>
      <c r="C6575" s="2" t="s">
        <v>11043</v>
      </c>
      <c r="D6575" s="32" t="s">
        <v>10948</v>
      </c>
      <c r="E6575" s="2">
        <v>1</v>
      </c>
      <c r="F6575" s="9"/>
      <c r="G6575" s="8"/>
      <c r="H6575" s="16">
        <v>35.76</v>
      </c>
      <c r="I6575" s="19">
        <f t="shared" si="201"/>
        <v>0</v>
      </c>
    </row>
    <row r="6576" spans="1:9" hidden="1">
      <c r="A6576" s="56" t="s">
        <v>10941</v>
      </c>
      <c r="B6576" s="2" t="s">
        <v>10956</v>
      </c>
      <c r="C6576" s="2" t="s">
        <v>11044</v>
      </c>
      <c r="D6576" s="32" t="s">
        <v>10948</v>
      </c>
      <c r="E6576" s="2">
        <v>1</v>
      </c>
      <c r="F6576" s="9"/>
      <c r="G6576" s="8"/>
      <c r="H6576" s="16">
        <v>35.76</v>
      </c>
      <c r="I6576" s="19">
        <f t="shared" si="201"/>
        <v>0</v>
      </c>
    </row>
    <row r="6577" spans="1:9" hidden="1">
      <c r="A6577" s="56" t="s">
        <v>10941</v>
      </c>
      <c r="B6577" s="2" t="s">
        <v>10956</v>
      </c>
      <c r="C6577" s="2" t="s">
        <v>11045</v>
      </c>
      <c r="D6577" s="32" t="s">
        <v>10948</v>
      </c>
      <c r="E6577" s="2">
        <v>1</v>
      </c>
      <c r="F6577" s="9"/>
      <c r="G6577" s="8"/>
      <c r="H6577" s="16">
        <v>35.76</v>
      </c>
      <c r="I6577" s="19">
        <f t="shared" si="201"/>
        <v>0</v>
      </c>
    </row>
    <row r="6578" spans="1:9" hidden="1">
      <c r="A6578" s="56" t="s">
        <v>10941</v>
      </c>
      <c r="B6578" s="2" t="s">
        <v>10956</v>
      </c>
      <c r="C6578" s="2" t="s">
        <v>11046</v>
      </c>
      <c r="D6578" s="32" t="s">
        <v>10948</v>
      </c>
      <c r="E6578" s="2">
        <v>1</v>
      </c>
      <c r="F6578" s="9"/>
      <c r="G6578" s="8"/>
      <c r="H6578" s="16">
        <v>35.76</v>
      </c>
      <c r="I6578" s="19">
        <f t="shared" si="201"/>
        <v>0</v>
      </c>
    </row>
    <row r="6579" spans="1:9" hidden="1">
      <c r="A6579" s="56" t="s">
        <v>10941</v>
      </c>
      <c r="B6579" s="2" t="s">
        <v>10956</v>
      </c>
      <c r="C6579" s="2" t="s">
        <v>11047</v>
      </c>
      <c r="D6579" s="32" t="s">
        <v>10948</v>
      </c>
      <c r="E6579" s="2">
        <v>1</v>
      </c>
      <c r="F6579" s="9"/>
      <c r="G6579" s="8"/>
      <c r="H6579" s="16">
        <v>35.76</v>
      </c>
      <c r="I6579" s="19">
        <f t="shared" si="201"/>
        <v>0</v>
      </c>
    </row>
    <row r="6580" spans="1:9" hidden="1">
      <c r="A6580" s="56" t="s">
        <v>10941</v>
      </c>
      <c r="B6580" s="2" t="s">
        <v>10956</v>
      </c>
      <c r="C6580" s="2" t="s">
        <v>11048</v>
      </c>
      <c r="D6580" s="32" t="s">
        <v>10948</v>
      </c>
      <c r="E6580" s="2">
        <v>1</v>
      </c>
      <c r="F6580" s="9"/>
      <c r="G6580" s="8"/>
      <c r="H6580" s="16">
        <v>35.76</v>
      </c>
      <c r="I6580" s="19">
        <f t="shared" si="201"/>
        <v>0</v>
      </c>
    </row>
    <row r="6581" spans="1:9" hidden="1">
      <c r="A6581" s="56" t="s">
        <v>10941</v>
      </c>
      <c r="B6581" s="2" t="s">
        <v>10963</v>
      </c>
      <c r="C6581" s="2" t="s">
        <v>11049</v>
      </c>
      <c r="D6581" s="32" t="s">
        <v>10948</v>
      </c>
      <c r="E6581" s="2">
        <v>1</v>
      </c>
      <c r="F6581" s="9"/>
      <c r="G6581" s="8"/>
      <c r="H6581" s="16">
        <v>51.05</v>
      </c>
      <c r="I6581" s="19">
        <f t="shared" si="201"/>
        <v>0</v>
      </c>
    </row>
    <row r="6582" spans="1:9" hidden="1">
      <c r="A6582" s="56" t="s">
        <v>10941</v>
      </c>
      <c r="B6582" s="2" t="s">
        <v>10956</v>
      </c>
      <c r="C6582" s="2" t="s">
        <v>11050</v>
      </c>
      <c r="D6582" s="32" t="s">
        <v>10948</v>
      </c>
      <c r="E6582" s="2">
        <v>1</v>
      </c>
      <c r="F6582" s="9"/>
      <c r="G6582" s="8"/>
      <c r="H6582" s="16">
        <v>35.76</v>
      </c>
      <c r="I6582" s="19">
        <f t="shared" si="201"/>
        <v>0</v>
      </c>
    </row>
    <row r="6583" spans="1:9" hidden="1">
      <c r="A6583" s="56" t="s">
        <v>10941</v>
      </c>
      <c r="B6583" s="2" t="s">
        <v>10956</v>
      </c>
      <c r="C6583" s="2" t="s">
        <v>11051</v>
      </c>
      <c r="D6583" s="32" t="s">
        <v>10948</v>
      </c>
      <c r="E6583" s="2">
        <v>1</v>
      </c>
      <c r="F6583" s="9"/>
      <c r="G6583" s="8"/>
      <c r="H6583" s="16">
        <v>35.76</v>
      </c>
      <c r="I6583" s="19">
        <f t="shared" si="201"/>
        <v>0</v>
      </c>
    </row>
    <row r="6584" spans="1:9" hidden="1">
      <c r="A6584" s="56" t="s">
        <v>10941</v>
      </c>
      <c r="B6584" s="2" t="s">
        <v>11035</v>
      </c>
      <c r="C6584" s="2" t="s">
        <v>11052</v>
      </c>
      <c r="D6584" s="32" t="s">
        <v>10948</v>
      </c>
      <c r="E6584" s="2">
        <v>1</v>
      </c>
      <c r="F6584" s="9"/>
      <c r="G6584" s="8"/>
      <c r="H6584" s="16">
        <v>35.76</v>
      </c>
      <c r="I6584" s="19">
        <f t="shared" si="201"/>
        <v>0</v>
      </c>
    </row>
    <row r="6585" spans="1:9" hidden="1">
      <c r="A6585" s="56" t="s">
        <v>10941</v>
      </c>
      <c r="B6585" s="2" t="s">
        <v>10968</v>
      </c>
      <c r="C6585" s="2" t="s">
        <v>11053</v>
      </c>
      <c r="D6585" s="32" t="s">
        <v>10948</v>
      </c>
      <c r="E6585" s="2">
        <v>1</v>
      </c>
      <c r="F6585" s="9"/>
      <c r="G6585" s="8"/>
      <c r="H6585" s="16">
        <v>36.54</v>
      </c>
      <c r="I6585" s="19">
        <f t="shared" si="201"/>
        <v>0</v>
      </c>
    </row>
    <row r="6586" spans="1:9" hidden="1">
      <c r="A6586" s="56" t="s">
        <v>10941</v>
      </c>
      <c r="B6586" s="2" t="s">
        <v>10956</v>
      </c>
      <c r="C6586" s="2" t="s">
        <v>11054</v>
      </c>
      <c r="D6586" s="32" t="s">
        <v>10948</v>
      </c>
      <c r="E6586" s="2">
        <v>1</v>
      </c>
      <c r="F6586" s="9"/>
      <c r="G6586" s="8"/>
      <c r="H6586" s="16">
        <v>35.76</v>
      </c>
      <c r="I6586" s="19">
        <f t="shared" si="201"/>
        <v>0</v>
      </c>
    </row>
    <row r="6587" spans="1:9" hidden="1">
      <c r="A6587" s="56" t="s">
        <v>10941</v>
      </c>
      <c r="B6587" s="2" t="s">
        <v>10956</v>
      </c>
      <c r="C6587" s="2" t="s">
        <v>11055</v>
      </c>
      <c r="D6587" s="32" t="s">
        <v>10948</v>
      </c>
      <c r="E6587" s="2">
        <v>1</v>
      </c>
      <c r="F6587" s="9"/>
      <c r="G6587" s="8"/>
      <c r="H6587" s="16">
        <v>35.76</v>
      </c>
      <c r="I6587" s="19">
        <f t="shared" si="201"/>
        <v>0</v>
      </c>
    </row>
    <row r="6588" spans="1:9" hidden="1">
      <c r="A6588" s="56" t="s">
        <v>10941</v>
      </c>
      <c r="B6588" s="2" t="s">
        <v>11035</v>
      </c>
      <c r="C6588" s="2" t="s">
        <v>11056</v>
      </c>
      <c r="D6588" s="32" t="s">
        <v>10948</v>
      </c>
      <c r="E6588" s="2">
        <v>1</v>
      </c>
      <c r="F6588" s="9"/>
      <c r="G6588" s="8"/>
      <c r="H6588" s="16">
        <v>35.76</v>
      </c>
      <c r="I6588" s="19">
        <f t="shared" si="201"/>
        <v>0</v>
      </c>
    </row>
    <row r="6589" spans="1:9" hidden="1">
      <c r="A6589" s="56" t="s">
        <v>10941</v>
      </c>
      <c r="B6589" s="2" t="s">
        <v>11001</v>
      </c>
      <c r="C6589" s="2" t="s">
        <v>11057</v>
      </c>
      <c r="D6589" s="32" t="s">
        <v>10948</v>
      </c>
      <c r="E6589" s="2">
        <v>1</v>
      </c>
      <c r="F6589" s="9"/>
      <c r="G6589" s="8"/>
      <c r="H6589" s="16">
        <v>46.33</v>
      </c>
      <c r="I6589" s="19">
        <f t="shared" si="201"/>
        <v>0</v>
      </c>
    </row>
    <row r="6590" spans="1:9" hidden="1">
      <c r="A6590" s="56" t="s">
        <v>10941</v>
      </c>
      <c r="B6590" s="2" t="s">
        <v>11035</v>
      </c>
      <c r="C6590" s="2" t="s">
        <v>11058</v>
      </c>
      <c r="D6590" s="32" t="s">
        <v>10948</v>
      </c>
      <c r="E6590" s="2">
        <v>1</v>
      </c>
      <c r="F6590" s="9"/>
      <c r="G6590" s="8"/>
      <c r="H6590" s="16">
        <v>35.76</v>
      </c>
      <c r="I6590" s="19">
        <f t="shared" si="201"/>
        <v>0</v>
      </c>
    </row>
    <row r="6591" spans="1:9" hidden="1">
      <c r="A6591" s="56" t="s">
        <v>10941</v>
      </c>
      <c r="B6591" s="2" t="s">
        <v>10956</v>
      </c>
      <c r="C6591" s="2" t="s">
        <v>11059</v>
      </c>
      <c r="D6591" s="32" t="s">
        <v>10948</v>
      </c>
      <c r="E6591" s="2">
        <v>1</v>
      </c>
      <c r="F6591" s="9"/>
      <c r="G6591" s="8"/>
      <c r="H6591" s="16">
        <v>35.76</v>
      </c>
      <c r="I6591" s="19">
        <f t="shared" si="201"/>
        <v>0</v>
      </c>
    </row>
    <row r="6592" spans="1:9" hidden="1">
      <c r="A6592" s="56" t="s">
        <v>10941</v>
      </c>
      <c r="B6592" s="2" t="s">
        <v>11060</v>
      </c>
      <c r="C6592" s="2" t="s">
        <v>11061</v>
      </c>
      <c r="D6592" s="32" t="s">
        <v>10955</v>
      </c>
      <c r="E6592" s="2">
        <v>1</v>
      </c>
      <c r="F6592" s="9"/>
      <c r="G6592" s="8"/>
      <c r="H6592" s="16">
        <v>50.93</v>
      </c>
      <c r="I6592" s="19">
        <f t="shared" si="201"/>
        <v>0</v>
      </c>
    </row>
    <row r="6593" spans="1:9" hidden="1">
      <c r="A6593" s="56" t="s">
        <v>10941</v>
      </c>
      <c r="B6593" s="2" t="s">
        <v>10956</v>
      </c>
      <c r="C6593" s="2" t="s">
        <v>11062</v>
      </c>
      <c r="D6593" s="32" t="s">
        <v>10948</v>
      </c>
      <c r="E6593" s="2">
        <v>1</v>
      </c>
      <c r="F6593" s="9"/>
      <c r="G6593" s="8"/>
      <c r="H6593" s="16">
        <v>35.76</v>
      </c>
      <c r="I6593" s="19">
        <f t="shared" si="201"/>
        <v>0</v>
      </c>
    </row>
    <row r="6594" spans="1:9" hidden="1">
      <c r="A6594" s="56" t="s">
        <v>10941</v>
      </c>
      <c r="B6594" s="2" t="s">
        <v>10949</v>
      </c>
      <c r="C6594" s="2" t="s">
        <v>11063</v>
      </c>
      <c r="D6594" s="32" t="s">
        <v>10948</v>
      </c>
      <c r="E6594" s="2"/>
      <c r="F6594" s="9"/>
      <c r="G6594" s="8"/>
      <c r="H6594" s="16">
        <v>31.06</v>
      </c>
      <c r="I6594" s="19">
        <f t="shared" si="201"/>
        <v>0</v>
      </c>
    </row>
    <row r="6595" spans="1:9" hidden="1">
      <c r="A6595" s="56" t="s">
        <v>10941</v>
      </c>
      <c r="B6595" s="2" t="s">
        <v>10956</v>
      </c>
      <c r="C6595" s="2" t="s">
        <v>11064</v>
      </c>
      <c r="D6595" s="32" t="s">
        <v>10948</v>
      </c>
      <c r="E6595" s="2">
        <v>1</v>
      </c>
      <c r="F6595" s="9"/>
      <c r="G6595" s="8"/>
      <c r="H6595" s="16">
        <v>35.76</v>
      </c>
      <c r="I6595" s="19">
        <f t="shared" si="201"/>
        <v>0</v>
      </c>
    </row>
    <row r="6596" spans="1:9" hidden="1">
      <c r="A6596" s="56" t="s">
        <v>10941</v>
      </c>
      <c r="B6596" s="2" t="s">
        <v>10956</v>
      </c>
      <c r="C6596" s="2" t="s">
        <v>11065</v>
      </c>
      <c r="D6596" s="32" t="s">
        <v>10948</v>
      </c>
      <c r="E6596" s="2">
        <v>1</v>
      </c>
      <c r="F6596" s="9"/>
      <c r="G6596" s="8"/>
      <c r="H6596" s="16">
        <v>35.76</v>
      </c>
      <c r="I6596" s="19">
        <f t="shared" si="201"/>
        <v>0</v>
      </c>
    </row>
    <row r="6597" spans="1:9" hidden="1">
      <c r="A6597" s="56" t="s">
        <v>10941</v>
      </c>
      <c r="B6597" s="2" t="s">
        <v>10956</v>
      </c>
      <c r="C6597" s="2" t="s">
        <v>11066</v>
      </c>
      <c r="D6597" s="32" t="s">
        <v>10948</v>
      </c>
      <c r="E6597" s="2">
        <v>1</v>
      </c>
      <c r="F6597" s="9"/>
      <c r="G6597" s="8"/>
      <c r="H6597" s="16">
        <v>35.76</v>
      </c>
      <c r="I6597" s="19">
        <f t="shared" si="201"/>
        <v>0</v>
      </c>
    </row>
    <row r="6598" spans="1:9" hidden="1">
      <c r="A6598" s="56" t="s">
        <v>10941</v>
      </c>
      <c r="B6598" s="2" t="s">
        <v>10956</v>
      </c>
      <c r="C6598" s="2" t="s">
        <v>11067</v>
      </c>
      <c r="D6598" s="32" t="s">
        <v>10948</v>
      </c>
      <c r="E6598" s="2">
        <v>1</v>
      </c>
      <c r="F6598" s="9"/>
      <c r="G6598" s="8"/>
      <c r="H6598" s="16">
        <v>35.76</v>
      </c>
      <c r="I6598" s="19">
        <f t="shared" si="201"/>
        <v>0</v>
      </c>
    </row>
    <row r="6599" spans="1:9" hidden="1">
      <c r="A6599" s="56" t="s">
        <v>10941</v>
      </c>
      <c r="B6599" s="2" t="s">
        <v>10956</v>
      </c>
      <c r="C6599" s="2" t="s">
        <v>11068</v>
      </c>
      <c r="D6599" s="32" t="s">
        <v>10948</v>
      </c>
      <c r="E6599" s="2">
        <v>1</v>
      </c>
      <c r="F6599" s="9"/>
      <c r="G6599" s="8"/>
      <c r="H6599" s="16">
        <v>35.76</v>
      </c>
      <c r="I6599" s="19">
        <f t="shared" si="201"/>
        <v>0</v>
      </c>
    </row>
    <row r="6600" spans="1:9" hidden="1">
      <c r="A6600" s="56" t="s">
        <v>10941</v>
      </c>
      <c r="B6600" s="2" t="s">
        <v>10956</v>
      </c>
      <c r="C6600" s="2" t="s">
        <v>11069</v>
      </c>
      <c r="D6600" s="32" t="s">
        <v>10948</v>
      </c>
      <c r="E6600" s="2">
        <v>1</v>
      </c>
      <c r="F6600" s="9"/>
      <c r="G6600" s="8"/>
      <c r="H6600" s="16">
        <v>35.76</v>
      </c>
      <c r="I6600" s="19">
        <f t="shared" si="201"/>
        <v>0</v>
      </c>
    </row>
    <row r="6601" spans="1:9" hidden="1">
      <c r="A6601" s="56" t="s">
        <v>10941</v>
      </c>
      <c r="B6601" s="2" t="s">
        <v>10956</v>
      </c>
      <c r="C6601" s="2" t="s">
        <v>11070</v>
      </c>
      <c r="D6601" s="32" t="s">
        <v>10948</v>
      </c>
      <c r="E6601" s="2">
        <v>1</v>
      </c>
      <c r="F6601" s="9"/>
      <c r="G6601" s="8"/>
      <c r="H6601" s="16">
        <v>35.76</v>
      </c>
      <c r="I6601" s="19">
        <f t="shared" si="201"/>
        <v>0</v>
      </c>
    </row>
    <row r="6602" spans="1:9" hidden="1">
      <c r="A6602" s="56" t="s">
        <v>10941</v>
      </c>
      <c r="B6602" s="2" t="s">
        <v>10956</v>
      </c>
      <c r="C6602" s="2" t="s">
        <v>11071</v>
      </c>
      <c r="D6602" s="32" t="s">
        <v>10948</v>
      </c>
      <c r="E6602" s="2">
        <v>1</v>
      </c>
      <c r="F6602" s="9"/>
      <c r="G6602" s="8"/>
      <c r="H6602" s="16">
        <v>35.76</v>
      </c>
      <c r="I6602" s="19">
        <f t="shared" si="201"/>
        <v>0</v>
      </c>
    </row>
    <row r="6603" spans="1:9" hidden="1">
      <c r="A6603" s="56" t="s">
        <v>10941</v>
      </c>
      <c r="B6603" s="2" t="s">
        <v>10956</v>
      </c>
      <c r="C6603" s="2" t="s">
        <v>11072</v>
      </c>
      <c r="D6603" s="32" t="s">
        <v>10948</v>
      </c>
      <c r="E6603" s="2">
        <v>1</v>
      </c>
      <c r="F6603" s="9"/>
      <c r="G6603" s="8"/>
      <c r="H6603" s="16">
        <v>35.76</v>
      </c>
      <c r="I6603" s="19">
        <f t="shared" si="201"/>
        <v>0</v>
      </c>
    </row>
    <row r="6604" spans="1:9" hidden="1">
      <c r="A6604" s="56" t="s">
        <v>10941</v>
      </c>
      <c r="B6604" s="2" t="s">
        <v>10956</v>
      </c>
      <c r="C6604" s="2" t="s">
        <v>11073</v>
      </c>
      <c r="D6604" s="32" t="s">
        <v>10948</v>
      </c>
      <c r="E6604" s="2">
        <v>1</v>
      </c>
      <c r="F6604" s="9"/>
      <c r="G6604" s="8"/>
      <c r="H6604" s="16">
        <v>35.76</v>
      </c>
      <c r="I6604" s="19">
        <f t="shared" si="201"/>
        <v>0</v>
      </c>
    </row>
    <row r="6605" spans="1:9" hidden="1">
      <c r="A6605" s="56" t="s">
        <v>10941</v>
      </c>
      <c r="B6605" s="2" t="s">
        <v>10956</v>
      </c>
      <c r="C6605" s="2" t="s">
        <v>11074</v>
      </c>
      <c r="D6605" s="32" t="s">
        <v>10948</v>
      </c>
      <c r="E6605" s="2">
        <v>1</v>
      </c>
      <c r="F6605" s="9"/>
      <c r="G6605" s="8"/>
      <c r="H6605" s="16">
        <v>35.76</v>
      </c>
      <c r="I6605" s="19">
        <f t="shared" si="201"/>
        <v>0</v>
      </c>
    </row>
    <row r="6606" spans="1:9" hidden="1">
      <c r="A6606" s="56" t="s">
        <v>10941</v>
      </c>
      <c r="B6606" s="2" t="s">
        <v>11001</v>
      </c>
      <c r="C6606" s="2" t="s">
        <v>11075</v>
      </c>
      <c r="D6606" s="32" t="s">
        <v>10948</v>
      </c>
      <c r="E6606" s="2">
        <v>1</v>
      </c>
      <c r="F6606" s="9"/>
      <c r="G6606" s="8"/>
      <c r="H6606" s="16">
        <v>46.33</v>
      </c>
      <c r="I6606" s="19">
        <f t="shared" si="201"/>
        <v>0</v>
      </c>
    </row>
    <row r="6607" spans="1:9" hidden="1">
      <c r="A6607" s="56" t="s">
        <v>10941</v>
      </c>
      <c r="B6607" s="2" t="s">
        <v>10946</v>
      </c>
      <c r="C6607" s="2" t="s">
        <v>11076</v>
      </c>
      <c r="D6607" s="32" t="s">
        <v>10948</v>
      </c>
      <c r="E6607" s="2">
        <v>1</v>
      </c>
      <c r="F6607" s="9"/>
      <c r="G6607" s="8"/>
      <c r="H6607" s="16">
        <v>36.54</v>
      </c>
      <c r="I6607" s="19">
        <f t="shared" si="201"/>
        <v>0</v>
      </c>
    </row>
    <row r="6608" spans="1:9" hidden="1">
      <c r="A6608" s="56" t="s">
        <v>10941</v>
      </c>
      <c r="B6608" s="2" t="s">
        <v>10956</v>
      </c>
      <c r="C6608" s="2" t="s">
        <v>11077</v>
      </c>
      <c r="D6608" s="32" t="s">
        <v>10948</v>
      </c>
      <c r="E6608" s="2">
        <v>1</v>
      </c>
      <c r="F6608" s="9"/>
      <c r="G6608" s="8"/>
      <c r="H6608" s="16">
        <v>35.76</v>
      </c>
      <c r="I6608" s="19">
        <f t="shared" si="201"/>
        <v>0</v>
      </c>
    </row>
    <row r="6609" spans="1:9" hidden="1">
      <c r="A6609" s="56" t="s">
        <v>10941</v>
      </c>
      <c r="B6609" s="2" t="s">
        <v>10956</v>
      </c>
      <c r="C6609" s="2" t="s">
        <v>11078</v>
      </c>
      <c r="D6609" s="32" t="s">
        <v>10948</v>
      </c>
      <c r="E6609" s="2">
        <v>1</v>
      </c>
      <c r="F6609" s="9"/>
      <c r="G6609" s="8"/>
      <c r="H6609" s="16">
        <v>35.76</v>
      </c>
      <c r="I6609" s="19">
        <f t="shared" si="201"/>
        <v>0</v>
      </c>
    </row>
    <row r="6610" spans="1:9" hidden="1">
      <c r="A6610" s="56" t="s">
        <v>10941</v>
      </c>
      <c r="B6610" s="2" t="s">
        <v>10956</v>
      </c>
      <c r="C6610" s="2" t="s">
        <v>11079</v>
      </c>
      <c r="D6610" s="32" t="s">
        <v>10948</v>
      </c>
      <c r="E6610" s="2">
        <v>1</v>
      </c>
      <c r="F6610" s="9"/>
      <c r="G6610" s="8"/>
      <c r="H6610" s="16">
        <v>35.76</v>
      </c>
      <c r="I6610" s="19">
        <f t="shared" si="201"/>
        <v>0</v>
      </c>
    </row>
    <row r="6611" spans="1:9" hidden="1">
      <c r="A6611" s="56" t="s">
        <v>10941</v>
      </c>
      <c r="B6611" s="2" t="s">
        <v>10956</v>
      </c>
      <c r="C6611" s="2" t="s">
        <v>11080</v>
      </c>
      <c r="D6611" s="32" t="s">
        <v>10948</v>
      </c>
      <c r="E6611" s="2">
        <v>1</v>
      </c>
      <c r="F6611" s="9"/>
      <c r="G6611" s="8"/>
      <c r="H6611" s="16">
        <v>35.76</v>
      </c>
      <c r="I6611" s="19">
        <f t="shared" si="201"/>
        <v>0</v>
      </c>
    </row>
    <row r="6612" spans="1:9" hidden="1">
      <c r="A6612" s="56" t="s">
        <v>10941</v>
      </c>
      <c r="B6612" s="2" t="s">
        <v>10956</v>
      </c>
      <c r="C6612" s="2" t="s">
        <v>11081</v>
      </c>
      <c r="D6612" s="32" t="s">
        <v>10948</v>
      </c>
      <c r="E6612" s="2">
        <v>1</v>
      </c>
      <c r="F6612" s="9"/>
      <c r="G6612" s="8"/>
      <c r="H6612" s="16">
        <v>35.76</v>
      </c>
      <c r="I6612" s="19">
        <f t="shared" si="201"/>
        <v>0</v>
      </c>
    </row>
    <row r="6613" spans="1:9" hidden="1">
      <c r="A6613" s="56" t="s">
        <v>10941</v>
      </c>
      <c r="B6613" s="2" t="s">
        <v>10956</v>
      </c>
      <c r="C6613" s="2" t="s">
        <v>11082</v>
      </c>
      <c r="D6613" s="32" t="s">
        <v>10948</v>
      </c>
      <c r="E6613" s="2">
        <v>1</v>
      </c>
      <c r="F6613" s="9"/>
      <c r="G6613" s="8"/>
      <c r="H6613" s="16">
        <v>35.76</v>
      </c>
      <c r="I6613" s="19">
        <f t="shared" si="201"/>
        <v>0</v>
      </c>
    </row>
    <row r="6614" spans="1:9" hidden="1">
      <c r="A6614" s="56" t="s">
        <v>10941</v>
      </c>
      <c r="B6614" s="2" t="s">
        <v>10963</v>
      </c>
      <c r="C6614" s="2" t="s">
        <v>11083</v>
      </c>
      <c r="D6614" s="32" t="s">
        <v>10948</v>
      </c>
      <c r="E6614" s="2">
        <v>1</v>
      </c>
      <c r="F6614" s="9"/>
      <c r="G6614" s="8"/>
      <c r="H6614" s="16">
        <v>51.05</v>
      </c>
      <c r="I6614" s="19">
        <f t="shared" si="201"/>
        <v>0</v>
      </c>
    </row>
    <row r="6615" spans="1:9" hidden="1">
      <c r="A6615" s="56" t="s">
        <v>10941</v>
      </c>
      <c r="B6615" s="2" t="s">
        <v>10956</v>
      </c>
      <c r="C6615" s="2" t="s">
        <v>11084</v>
      </c>
      <c r="D6615" s="32" t="s">
        <v>10948</v>
      </c>
      <c r="E6615" s="2">
        <v>1</v>
      </c>
      <c r="F6615" s="9"/>
      <c r="G6615" s="8"/>
      <c r="H6615" s="16">
        <v>35.76</v>
      </c>
      <c r="I6615" s="19">
        <f t="shared" si="201"/>
        <v>0</v>
      </c>
    </row>
    <row r="6616" spans="1:9" hidden="1">
      <c r="A6616" s="56" t="s">
        <v>10941</v>
      </c>
      <c r="B6616" s="2" t="s">
        <v>10973</v>
      </c>
      <c r="C6616" s="2" t="s">
        <v>11085</v>
      </c>
      <c r="D6616" s="32" t="s">
        <v>10948</v>
      </c>
      <c r="E6616" s="2">
        <v>1</v>
      </c>
      <c r="F6616" s="9"/>
      <c r="G6616" s="8"/>
      <c r="H6616" s="16">
        <v>42.07</v>
      </c>
      <c r="I6616" s="19">
        <f t="shared" si="201"/>
        <v>0</v>
      </c>
    </row>
    <row r="6617" spans="1:9" hidden="1">
      <c r="A6617" s="56" t="s">
        <v>10941</v>
      </c>
      <c r="B6617" s="2" t="s">
        <v>10956</v>
      </c>
      <c r="C6617" s="2" t="s">
        <v>11086</v>
      </c>
      <c r="D6617" s="32" t="s">
        <v>10948</v>
      </c>
      <c r="E6617" s="2">
        <v>1</v>
      </c>
      <c r="F6617" s="9"/>
      <c r="G6617" s="8"/>
      <c r="H6617" s="16">
        <v>29.45</v>
      </c>
      <c r="I6617" s="19">
        <f t="shared" si="201"/>
        <v>0</v>
      </c>
    </row>
    <row r="6618" spans="1:9" hidden="1">
      <c r="A6618" s="56" t="s">
        <v>10941</v>
      </c>
      <c r="B6618" s="2" t="s">
        <v>10956</v>
      </c>
      <c r="C6618" s="2" t="s">
        <v>11087</v>
      </c>
      <c r="D6618" s="32" t="s">
        <v>10948</v>
      </c>
      <c r="E6618" s="2">
        <v>1</v>
      </c>
      <c r="F6618" s="9"/>
      <c r="G6618" s="8"/>
      <c r="H6618" s="16">
        <v>42.08</v>
      </c>
      <c r="I6618" s="19">
        <f t="shared" si="201"/>
        <v>0</v>
      </c>
    </row>
    <row r="6619" spans="1:9" hidden="1">
      <c r="A6619" s="56" t="s">
        <v>10941</v>
      </c>
      <c r="B6619" s="2" t="s">
        <v>10956</v>
      </c>
      <c r="C6619" s="2" t="s">
        <v>11088</v>
      </c>
      <c r="D6619" s="32" t="s">
        <v>10948</v>
      </c>
      <c r="E6619" s="2">
        <v>1</v>
      </c>
      <c r="F6619" s="9"/>
      <c r="G6619" s="8"/>
      <c r="H6619" s="16">
        <v>35.76</v>
      </c>
      <c r="I6619" s="19">
        <f t="shared" si="201"/>
        <v>0</v>
      </c>
    </row>
    <row r="6620" spans="1:9" hidden="1">
      <c r="A6620" s="56" t="s">
        <v>10941</v>
      </c>
      <c r="B6620" s="2" t="s">
        <v>10973</v>
      </c>
      <c r="C6620" s="2" t="s">
        <v>11089</v>
      </c>
      <c r="D6620" s="32" t="s">
        <v>10948</v>
      </c>
      <c r="E6620" s="2">
        <v>1</v>
      </c>
      <c r="F6620" s="9"/>
      <c r="G6620" s="8"/>
      <c r="H6620" s="16">
        <v>42.07</v>
      </c>
      <c r="I6620" s="19">
        <f t="shared" si="201"/>
        <v>0</v>
      </c>
    </row>
    <row r="6621" spans="1:9" hidden="1">
      <c r="A6621" s="56" t="s">
        <v>10941</v>
      </c>
      <c r="B6621" s="2" t="s">
        <v>10963</v>
      </c>
      <c r="C6621" s="2" t="s">
        <v>11090</v>
      </c>
      <c r="D6621" s="32" t="s">
        <v>10948</v>
      </c>
      <c r="E6621" s="2">
        <v>1</v>
      </c>
      <c r="F6621" s="9"/>
      <c r="G6621" s="8"/>
      <c r="H6621" s="16">
        <v>42.04</v>
      </c>
      <c r="I6621" s="19">
        <f t="shared" si="201"/>
        <v>0</v>
      </c>
    </row>
    <row r="6622" spans="1:9" hidden="1">
      <c r="A6622" s="56" t="s">
        <v>10941</v>
      </c>
      <c r="B6622" s="2" t="s">
        <v>10968</v>
      </c>
      <c r="C6622" s="2" t="s">
        <v>11091</v>
      </c>
      <c r="D6622" s="32" t="s">
        <v>10948</v>
      </c>
      <c r="E6622" s="2">
        <v>1</v>
      </c>
      <c r="F6622" s="9"/>
      <c r="G6622" s="8"/>
      <c r="H6622" s="16">
        <v>36.54</v>
      </c>
      <c r="I6622" s="19">
        <f t="shared" si="201"/>
        <v>0</v>
      </c>
    </row>
    <row r="6623" spans="1:9" hidden="1">
      <c r="A6623" s="56" t="s">
        <v>10941</v>
      </c>
      <c r="B6623" s="2" t="s">
        <v>10946</v>
      </c>
      <c r="C6623" s="2" t="s">
        <v>11092</v>
      </c>
      <c r="D6623" s="32" t="s">
        <v>10948</v>
      </c>
      <c r="E6623" s="2">
        <v>1</v>
      </c>
      <c r="F6623" s="9"/>
      <c r="G6623" s="8"/>
      <c r="H6623" s="16">
        <v>36.54</v>
      </c>
      <c r="I6623" s="19">
        <f t="shared" si="201"/>
        <v>0</v>
      </c>
    </row>
    <row r="6624" spans="1:9" hidden="1">
      <c r="A6624" s="56" t="s">
        <v>10941</v>
      </c>
      <c r="B6624" s="2" t="s">
        <v>10956</v>
      </c>
      <c r="C6624" s="2" t="s">
        <v>11093</v>
      </c>
      <c r="D6624" s="32" t="s">
        <v>10948</v>
      </c>
      <c r="E6624" s="2">
        <v>1</v>
      </c>
      <c r="F6624" s="9"/>
      <c r="G6624" s="8"/>
      <c r="H6624" s="16">
        <v>29.45</v>
      </c>
      <c r="I6624" s="19">
        <f t="shared" si="201"/>
        <v>0</v>
      </c>
    </row>
    <row r="6625" spans="1:9" hidden="1">
      <c r="A6625" s="56" t="s">
        <v>10941</v>
      </c>
      <c r="B6625" s="2" t="s">
        <v>10949</v>
      </c>
      <c r="C6625" s="2" t="s">
        <v>11094</v>
      </c>
      <c r="D6625" s="32" t="s">
        <v>10948</v>
      </c>
      <c r="E6625" s="2">
        <v>1</v>
      </c>
      <c r="F6625" s="9"/>
      <c r="G6625" s="8"/>
      <c r="H6625" s="16">
        <v>25.58</v>
      </c>
      <c r="I6625" s="19">
        <f t="shared" si="201"/>
        <v>0</v>
      </c>
    </row>
    <row r="6626" spans="1:9" hidden="1">
      <c r="A6626" s="56" t="s">
        <v>10941</v>
      </c>
      <c r="B6626" s="2" t="s">
        <v>10956</v>
      </c>
      <c r="C6626" s="2" t="s">
        <v>11095</v>
      </c>
      <c r="D6626" s="32" t="s">
        <v>10948</v>
      </c>
      <c r="E6626" s="2">
        <v>1</v>
      </c>
      <c r="F6626" s="9"/>
      <c r="G6626" s="8"/>
      <c r="H6626" s="16">
        <v>35.76</v>
      </c>
      <c r="I6626" s="19">
        <f t="shared" si="201"/>
        <v>0</v>
      </c>
    </row>
    <row r="6627" spans="1:9" hidden="1">
      <c r="A6627" s="56" t="s">
        <v>10941</v>
      </c>
      <c r="B6627" s="2" t="s">
        <v>10949</v>
      </c>
      <c r="C6627" s="2" t="s">
        <v>11096</v>
      </c>
      <c r="D6627" s="32" t="s">
        <v>10948</v>
      </c>
      <c r="E6627" s="2">
        <v>1</v>
      </c>
      <c r="F6627" s="9"/>
      <c r="G6627" s="8"/>
      <c r="H6627" s="16">
        <v>31.06</v>
      </c>
      <c r="I6627" s="19">
        <f t="shared" si="201"/>
        <v>0</v>
      </c>
    </row>
    <row r="6628" spans="1:9" hidden="1">
      <c r="A6628" s="56" t="s">
        <v>10941</v>
      </c>
      <c r="B6628" s="2" t="s">
        <v>10956</v>
      </c>
      <c r="C6628" s="2" t="s">
        <v>11097</v>
      </c>
      <c r="D6628" s="32" t="s">
        <v>10948</v>
      </c>
      <c r="E6628" s="2">
        <v>1</v>
      </c>
      <c r="F6628" s="9"/>
      <c r="G6628" s="8"/>
      <c r="H6628" s="16">
        <v>35.76</v>
      </c>
      <c r="I6628" s="19">
        <f t="shared" si="201"/>
        <v>0</v>
      </c>
    </row>
    <row r="6629" spans="1:9" hidden="1">
      <c r="A6629" s="56" t="s">
        <v>10941</v>
      </c>
      <c r="B6629" s="2" t="s">
        <v>10949</v>
      </c>
      <c r="C6629" s="2" t="s">
        <v>11098</v>
      </c>
      <c r="D6629" s="32" t="s">
        <v>10948</v>
      </c>
      <c r="E6629" s="2">
        <v>1</v>
      </c>
      <c r="F6629" s="9"/>
      <c r="G6629" s="8"/>
      <c r="H6629" s="16">
        <v>31.06</v>
      </c>
      <c r="I6629" s="19">
        <f t="shared" si="201"/>
        <v>0</v>
      </c>
    </row>
    <row r="6630" spans="1:9" hidden="1">
      <c r="A6630" s="56" t="s">
        <v>10941</v>
      </c>
      <c r="B6630" s="2" t="s">
        <v>10956</v>
      </c>
      <c r="C6630" s="2" t="s">
        <v>11099</v>
      </c>
      <c r="D6630" s="32" t="s">
        <v>10948</v>
      </c>
      <c r="E6630" s="2">
        <v>1</v>
      </c>
      <c r="F6630" s="9"/>
      <c r="G6630" s="8"/>
      <c r="H6630" s="16">
        <v>35.76</v>
      </c>
      <c r="I6630" s="19">
        <f t="shared" si="201"/>
        <v>0</v>
      </c>
    </row>
    <row r="6631" spans="1:9" hidden="1">
      <c r="A6631" s="56" t="s">
        <v>10941</v>
      </c>
      <c r="B6631" s="2" t="s">
        <v>10973</v>
      </c>
      <c r="C6631" s="2" t="s">
        <v>11100</v>
      </c>
      <c r="D6631" s="32" t="s">
        <v>10948</v>
      </c>
      <c r="E6631" s="2">
        <v>1</v>
      </c>
      <c r="F6631" s="9"/>
      <c r="G6631" s="8"/>
      <c r="H6631" s="16">
        <v>42.07</v>
      </c>
      <c r="I6631" s="19">
        <f t="shared" si="201"/>
        <v>0</v>
      </c>
    </row>
    <row r="6632" spans="1:9" hidden="1">
      <c r="A6632" s="56" t="s">
        <v>10941</v>
      </c>
      <c r="B6632" s="2" t="s">
        <v>10949</v>
      </c>
      <c r="C6632" s="2" t="s">
        <v>11101</v>
      </c>
      <c r="D6632" s="32" t="s">
        <v>10948</v>
      </c>
      <c r="E6632" s="2">
        <v>1</v>
      </c>
      <c r="F6632" s="9"/>
      <c r="G6632" s="8"/>
      <c r="H6632" s="16">
        <v>31.06</v>
      </c>
      <c r="I6632" s="19">
        <f t="shared" si="201"/>
        <v>0</v>
      </c>
    </row>
    <row r="6633" spans="1:9" hidden="1">
      <c r="A6633" s="56" t="s">
        <v>10941</v>
      </c>
      <c r="B6633" s="2" t="s">
        <v>11035</v>
      </c>
      <c r="C6633" s="2" t="s">
        <v>11102</v>
      </c>
      <c r="D6633" s="32" t="s">
        <v>10948</v>
      </c>
      <c r="E6633" s="2">
        <v>1</v>
      </c>
      <c r="F6633" s="9"/>
      <c r="G6633" s="8"/>
      <c r="H6633" s="16">
        <v>35.76</v>
      </c>
      <c r="I6633" s="19">
        <f t="shared" si="201"/>
        <v>0</v>
      </c>
    </row>
    <row r="6634" spans="1:9" hidden="1">
      <c r="A6634" s="56" t="s">
        <v>10941</v>
      </c>
      <c r="B6634" s="2" t="s">
        <v>10956</v>
      </c>
      <c r="C6634" s="2" t="s">
        <v>11103</v>
      </c>
      <c r="D6634" s="32" t="s">
        <v>10948</v>
      </c>
      <c r="E6634" s="2">
        <v>1</v>
      </c>
      <c r="F6634" s="9"/>
      <c r="G6634" s="8"/>
      <c r="H6634" s="16">
        <v>35.76</v>
      </c>
      <c r="I6634" s="19">
        <f t="shared" si="201"/>
        <v>0</v>
      </c>
    </row>
    <row r="6635" spans="1:9" hidden="1">
      <c r="A6635" s="56" t="s">
        <v>10941</v>
      </c>
      <c r="B6635" s="2" t="s">
        <v>10956</v>
      </c>
      <c r="C6635" s="2" t="s">
        <v>11104</v>
      </c>
      <c r="D6635" s="32" t="s">
        <v>10948</v>
      </c>
      <c r="E6635" s="2">
        <v>1</v>
      </c>
      <c r="F6635" s="9"/>
      <c r="G6635" s="8"/>
      <c r="H6635" s="16">
        <v>35.76</v>
      </c>
      <c r="I6635" s="19">
        <f t="shared" si="201"/>
        <v>0</v>
      </c>
    </row>
    <row r="6636" spans="1:9" hidden="1">
      <c r="A6636" s="56" t="s">
        <v>10941</v>
      </c>
      <c r="B6636" s="2" t="s">
        <v>10956</v>
      </c>
      <c r="C6636" s="2" t="s">
        <v>11105</v>
      </c>
      <c r="D6636" s="32" t="s">
        <v>10948</v>
      </c>
      <c r="E6636" s="2">
        <v>1</v>
      </c>
      <c r="F6636" s="9"/>
      <c r="G6636" s="8"/>
      <c r="H6636" s="16">
        <v>35.76</v>
      </c>
      <c r="I6636" s="19">
        <f t="shared" si="201"/>
        <v>0</v>
      </c>
    </row>
    <row r="6637" spans="1:9" hidden="1">
      <c r="A6637" s="56" t="s">
        <v>10941</v>
      </c>
      <c r="B6637" s="2" t="s">
        <v>10956</v>
      </c>
      <c r="C6637" s="2" t="s">
        <v>11106</v>
      </c>
      <c r="D6637" s="32" t="s">
        <v>10948</v>
      </c>
      <c r="E6637" s="2">
        <v>1</v>
      </c>
      <c r="F6637" s="9"/>
      <c r="G6637" s="8"/>
      <c r="H6637" s="16">
        <v>35.76</v>
      </c>
      <c r="I6637" s="19">
        <f t="shared" si="201"/>
        <v>0</v>
      </c>
    </row>
    <row r="6638" spans="1:9" hidden="1">
      <c r="A6638" s="56" t="s">
        <v>10941</v>
      </c>
      <c r="B6638" s="2" t="s">
        <v>10956</v>
      </c>
      <c r="C6638" s="2" t="s">
        <v>11107</v>
      </c>
      <c r="D6638" s="32" t="s">
        <v>10948</v>
      </c>
      <c r="E6638" s="2">
        <v>1</v>
      </c>
      <c r="F6638" s="9"/>
      <c r="G6638" s="8"/>
      <c r="H6638" s="16">
        <v>35.76</v>
      </c>
      <c r="I6638" s="19">
        <f t="shared" si="201"/>
        <v>0</v>
      </c>
    </row>
    <row r="6639" spans="1:9" hidden="1">
      <c r="A6639" s="56" t="s">
        <v>10941</v>
      </c>
      <c r="B6639" s="2" t="s">
        <v>10956</v>
      </c>
      <c r="C6639" s="2" t="s">
        <v>11108</v>
      </c>
      <c r="D6639" s="32" t="s">
        <v>10948</v>
      </c>
      <c r="E6639" s="2">
        <v>1</v>
      </c>
      <c r="F6639" s="9"/>
      <c r="G6639" s="8"/>
      <c r="H6639" s="16">
        <v>35.76</v>
      </c>
      <c r="I6639" s="19">
        <f t="shared" si="201"/>
        <v>0</v>
      </c>
    </row>
    <row r="6640" spans="1:9" hidden="1">
      <c r="A6640" s="56" t="s">
        <v>10941</v>
      </c>
      <c r="B6640" s="2" t="s">
        <v>10956</v>
      </c>
      <c r="C6640" s="2" t="s">
        <v>11109</v>
      </c>
      <c r="D6640" s="32" t="s">
        <v>10948</v>
      </c>
      <c r="E6640" s="2">
        <v>1</v>
      </c>
      <c r="F6640" s="9"/>
      <c r="G6640" s="8"/>
      <c r="H6640" s="16">
        <v>35.76</v>
      </c>
      <c r="I6640" s="19">
        <f t="shared" si="201"/>
        <v>0</v>
      </c>
    </row>
    <row r="6641" spans="1:10" hidden="1">
      <c r="A6641" s="56" t="s">
        <v>10941</v>
      </c>
      <c r="B6641" s="2" t="s">
        <v>10946</v>
      </c>
      <c r="C6641" s="2" t="s">
        <v>11110</v>
      </c>
      <c r="D6641" s="32" t="s">
        <v>10948</v>
      </c>
      <c r="E6641" s="2">
        <v>1</v>
      </c>
      <c r="F6641" s="9"/>
      <c r="G6641" s="8"/>
      <c r="H6641" s="16">
        <v>36.54</v>
      </c>
      <c r="I6641" s="19">
        <f t="shared" si="201"/>
        <v>0</v>
      </c>
    </row>
    <row r="6642" spans="1:10" hidden="1">
      <c r="A6642" s="56" t="s">
        <v>10941</v>
      </c>
      <c r="B6642" s="2" t="s">
        <v>10956</v>
      </c>
      <c r="C6642" s="2" t="s">
        <v>11111</v>
      </c>
      <c r="D6642" s="32" t="s">
        <v>10948</v>
      </c>
      <c r="E6642" s="2">
        <v>1</v>
      </c>
      <c r="F6642" s="9"/>
      <c r="G6642" s="8"/>
      <c r="H6642" s="16">
        <v>35.76</v>
      </c>
      <c r="I6642" s="19">
        <f t="shared" si="201"/>
        <v>0</v>
      </c>
    </row>
    <row r="6643" spans="1:10" hidden="1">
      <c r="A6643" s="56" t="s">
        <v>10941</v>
      </c>
      <c r="B6643" s="2" t="s">
        <v>10956</v>
      </c>
      <c r="C6643" s="2" t="s">
        <v>11112</v>
      </c>
      <c r="D6643" s="32" t="s">
        <v>10948</v>
      </c>
      <c r="E6643" s="2">
        <v>1</v>
      </c>
      <c r="F6643" s="9"/>
      <c r="G6643" s="8"/>
      <c r="H6643" s="16">
        <v>35.76</v>
      </c>
      <c r="I6643" s="19">
        <f t="shared" si="201"/>
        <v>0</v>
      </c>
    </row>
    <row r="6644" spans="1:10" hidden="1">
      <c r="A6644" s="56" t="s">
        <v>10941</v>
      </c>
      <c r="B6644" s="2" t="s">
        <v>10956</v>
      </c>
      <c r="C6644" s="2" t="s">
        <v>11113</v>
      </c>
      <c r="D6644" s="32" t="s">
        <v>10948</v>
      </c>
      <c r="E6644" s="2">
        <v>1</v>
      </c>
      <c r="F6644" s="9"/>
      <c r="G6644" s="8"/>
      <c r="H6644" s="16">
        <v>35.76</v>
      </c>
      <c r="I6644" s="19">
        <f t="shared" si="201"/>
        <v>0</v>
      </c>
    </row>
    <row r="6645" spans="1:10" hidden="1">
      <c r="A6645" s="56" t="s">
        <v>10941</v>
      </c>
      <c r="B6645" s="2" t="s">
        <v>10956</v>
      </c>
      <c r="C6645" s="2" t="s">
        <v>11114</v>
      </c>
      <c r="D6645" s="32" t="s">
        <v>10948</v>
      </c>
      <c r="E6645" s="2">
        <v>1</v>
      </c>
      <c r="F6645" s="9"/>
      <c r="G6645" s="8"/>
      <c r="H6645" s="16">
        <v>35.76</v>
      </c>
      <c r="I6645" s="19">
        <f t="shared" si="201"/>
        <v>0</v>
      </c>
    </row>
    <row r="6646" spans="1:10" hidden="1">
      <c r="A6646" s="56" t="s">
        <v>10941</v>
      </c>
      <c r="B6646" s="2" t="s">
        <v>10956</v>
      </c>
      <c r="C6646" s="2" t="s">
        <v>11115</v>
      </c>
      <c r="D6646" s="32" t="s">
        <v>10948</v>
      </c>
      <c r="E6646" s="2">
        <v>1</v>
      </c>
      <c r="F6646" s="9"/>
      <c r="G6646" s="8"/>
      <c r="H6646" s="16">
        <v>35.76</v>
      </c>
      <c r="I6646" s="19">
        <f t="shared" si="201"/>
        <v>0</v>
      </c>
    </row>
    <row r="6647" spans="1:10" hidden="1">
      <c r="A6647" s="56" t="s">
        <v>10941</v>
      </c>
      <c r="B6647" s="2" t="s">
        <v>10973</v>
      </c>
      <c r="C6647" s="2" t="s">
        <v>11116</v>
      </c>
      <c r="D6647" s="32" t="s">
        <v>10948</v>
      </c>
      <c r="E6647" s="2">
        <v>1</v>
      </c>
      <c r="F6647" s="9"/>
      <c r="G6647" s="8"/>
      <c r="H6647" s="16">
        <v>42.07</v>
      </c>
      <c r="I6647" s="19">
        <f t="shared" si="201"/>
        <v>0</v>
      </c>
    </row>
    <row r="6648" spans="1:10" hidden="1">
      <c r="A6648" s="56" t="s">
        <v>10941</v>
      </c>
      <c r="B6648" s="2" t="s">
        <v>10973</v>
      </c>
      <c r="C6648" s="2" t="s">
        <v>11117</v>
      </c>
      <c r="D6648" s="32" t="s">
        <v>10948</v>
      </c>
      <c r="E6648" s="2">
        <v>1</v>
      </c>
      <c r="F6648" s="9"/>
      <c r="G6648" s="8"/>
      <c r="H6648" s="16">
        <v>42.07</v>
      </c>
      <c r="I6648" s="19">
        <f t="shared" si="201"/>
        <v>0</v>
      </c>
    </row>
    <row r="6649" spans="1:10" hidden="1">
      <c r="A6649" s="56" t="s">
        <v>10941</v>
      </c>
      <c r="B6649" s="2" t="s">
        <v>10946</v>
      </c>
      <c r="C6649" s="2" t="s">
        <v>11118</v>
      </c>
      <c r="D6649" s="32" t="s">
        <v>10948</v>
      </c>
      <c r="E6649" s="2">
        <v>1</v>
      </c>
      <c r="F6649" s="9"/>
      <c r="G6649" s="8"/>
      <c r="H6649" s="16">
        <v>36.54</v>
      </c>
      <c r="I6649" s="19">
        <f t="shared" si="201"/>
        <v>0</v>
      </c>
    </row>
    <row r="6650" spans="1:10">
      <c r="A6650" s="56" t="s">
        <v>10941</v>
      </c>
      <c r="B6650" s="2" t="s">
        <v>11119</v>
      </c>
      <c r="C6650" s="2" t="s">
        <v>11120</v>
      </c>
      <c r="D6650" s="32"/>
      <c r="E6650" s="2">
        <v>1</v>
      </c>
      <c r="F6650" s="9">
        <v>2</v>
      </c>
      <c r="G6650" s="8"/>
      <c r="H6650" s="16">
        <v>120.95</v>
      </c>
      <c r="I6650" s="19">
        <f t="shared" si="201"/>
        <v>241.9</v>
      </c>
    </row>
    <row r="6651" spans="1:10">
      <c r="A6651" s="56" t="s">
        <v>10941</v>
      </c>
      <c r="B6651" s="2" t="s">
        <v>11121</v>
      </c>
      <c r="C6651" s="2" t="s">
        <v>11122</v>
      </c>
      <c r="D6651" s="32"/>
      <c r="E6651" s="2">
        <v>1</v>
      </c>
      <c r="F6651" s="9">
        <v>5</v>
      </c>
      <c r="G6651" s="8"/>
      <c r="H6651" s="16">
        <v>46.65</v>
      </c>
      <c r="I6651" s="19">
        <f t="shared" si="201"/>
        <v>233.25</v>
      </c>
    </row>
    <row r="6652" spans="1:10" hidden="1">
      <c r="A6652" s="56" t="s">
        <v>10941</v>
      </c>
      <c r="B6652" s="2" t="s">
        <v>11123</v>
      </c>
      <c r="C6652" s="2" t="s">
        <v>11124</v>
      </c>
      <c r="D6652" s="32"/>
      <c r="E6652" s="2">
        <v>1</v>
      </c>
      <c r="F6652" s="9"/>
      <c r="G6652" s="8"/>
      <c r="H6652" s="16">
        <v>69.2</v>
      </c>
      <c r="I6652" s="19">
        <f t="shared" si="201"/>
        <v>0</v>
      </c>
    </row>
    <row r="6653" spans="1:10" hidden="1">
      <c r="A6653" s="56" t="s">
        <v>10941</v>
      </c>
      <c r="B6653" s="2" t="s">
        <v>11125</v>
      </c>
      <c r="C6653" s="2" t="s">
        <v>11126</v>
      </c>
      <c r="D6653" s="32"/>
      <c r="E6653" s="2">
        <v>1</v>
      </c>
      <c r="F6653" s="9"/>
      <c r="G6653" s="8"/>
      <c r="H6653" s="16">
        <v>113.56</v>
      </c>
      <c r="I6653" s="19">
        <f t="shared" si="201"/>
        <v>0</v>
      </c>
    </row>
    <row r="6654" spans="1:10" hidden="1">
      <c r="A6654" s="56" t="s">
        <v>10941</v>
      </c>
      <c r="B6654" s="2" t="s">
        <v>11127</v>
      </c>
      <c r="C6654" s="2" t="s">
        <v>11128</v>
      </c>
      <c r="D6654" s="32"/>
      <c r="E6654" s="2">
        <v>1</v>
      </c>
      <c r="F6654" s="9"/>
      <c r="G6654" s="8"/>
      <c r="H6654" s="16">
        <v>6.37</v>
      </c>
      <c r="I6654" s="19">
        <f t="shared" si="201"/>
        <v>0</v>
      </c>
    </row>
    <row r="6655" spans="1:10">
      <c r="A6655" s="48" t="s">
        <v>11129</v>
      </c>
      <c r="B6655" s="5" t="s">
        <v>11130</v>
      </c>
      <c r="C6655" s="32" t="s">
        <v>11131</v>
      </c>
      <c r="D6655" s="32"/>
      <c r="E6655" s="2">
        <v>1</v>
      </c>
      <c r="F6655" s="9">
        <v>137</v>
      </c>
      <c r="G6655" s="8"/>
      <c r="H6655" s="16">
        <v>6.93</v>
      </c>
      <c r="I6655" s="19">
        <f>F6655*H6655</f>
        <v>949.41</v>
      </c>
      <c r="J6655" s="63"/>
    </row>
    <row r="6656" spans="1:10">
      <c r="A6656" s="48" t="s">
        <v>11129</v>
      </c>
      <c r="B6656" s="5" t="s">
        <v>11132</v>
      </c>
      <c r="C6656" s="32" t="s">
        <v>11133</v>
      </c>
      <c r="D6656" s="32"/>
      <c r="E6656" s="2">
        <v>1</v>
      </c>
      <c r="F6656" s="9">
        <f>111+6</f>
        <v>117</v>
      </c>
      <c r="G6656" s="8"/>
      <c r="H6656" s="16">
        <v>7.35</v>
      </c>
      <c r="I6656" s="19">
        <f t="shared" ref="I6656:I6669" si="202">F6656*H6656</f>
        <v>859.94999999999993</v>
      </c>
    </row>
    <row r="6657" spans="1:9">
      <c r="A6657" s="48" t="s">
        <v>11129</v>
      </c>
      <c r="B6657" s="5" t="s">
        <v>11134</v>
      </c>
      <c r="C6657" s="32" t="s">
        <v>11135</v>
      </c>
      <c r="D6657" s="32"/>
      <c r="E6657" s="2">
        <v>1</v>
      </c>
      <c r="F6657" s="9">
        <v>95</v>
      </c>
      <c r="G6657" s="8"/>
      <c r="H6657" s="16">
        <v>18.5</v>
      </c>
      <c r="I6657" s="19">
        <f t="shared" si="202"/>
        <v>1757.5</v>
      </c>
    </row>
    <row r="6658" spans="1:9">
      <c r="A6658" s="48" t="s">
        <v>11129</v>
      </c>
      <c r="B6658" s="5" t="s">
        <v>11136</v>
      </c>
      <c r="C6658" s="32" t="s">
        <v>11137</v>
      </c>
      <c r="D6658" s="32"/>
      <c r="E6658" s="2">
        <v>1</v>
      </c>
      <c r="F6658" s="9">
        <v>93</v>
      </c>
      <c r="G6658" s="8"/>
      <c r="H6658" s="16">
        <v>18.5</v>
      </c>
      <c r="I6658" s="19">
        <f t="shared" si="202"/>
        <v>1720.5</v>
      </c>
    </row>
    <row r="6659" spans="1:9">
      <c r="A6659" s="48" t="s">
        <v>11129</v>
      </c>
      <c r="B6659" s="5" t="s">
        <v>11138</v>
      </c>
      <c r="C6659" s="32" t="s">
        <v>11139</v>
      </c>
      <c r="D6659" s="32"/>
      <c r="E6659" s="2">
        <v>1</v>
      </c>
      <c r="F6659" s="9">
        <v>101</v>
      </c>
      <c r="G6659" s="8"/>
      <c r="H6659" s="16">
        <v>8.82</v>
      </c>
      <c r="I6659" s="19">
        <f t="shared" si="202"/>
        <v>890.82</v>
      </c>
    </row>
    <row r="6660" spans="1:9" hidden="1">
      <c r="A6660" s="48" t="s">
        <v>11129</v>
      </c>
      <c r="B6660" s="5" t="s">
        <v>11140</v>
      </c>
      <c r="C6660" s="32" t="s">
        <v>11141</v>
      </c>
      <c r="D6660" s="32"/>
      <c r="E6660" s="2">
        <v>1</v>
      </c>
      <c r="F6660" s="9"/>
      <c r="G6660" s="8"/>
      <c r="H6660" s="16">
        <v>411.7</v>
      </c>
      <c r="I6660" s="19">
        <f t="shared" si="202"/>
        <v>0</v>
      </c>
    </row>
    <row r="6661" spans="1:9" hidden="1">
      <c r="A6661" s="48" t="s">
        <v>11129</v>
      </c>
      <c r="B6661" s="5" t="s">
        <v>11142</v>
      </c>
      <c r="C6661" s="128" t="s">
        <v>11143</v>
      </c>
      <c r="D6661" s="32"/>
      <c r="E6661" s="2">
        <v>1</v>
      </c>
      <c r="F6661" s="9"/>
      <c r="G6661" s="8"/>
      <c r="H6661" s="16">
        <v>9.1999999999999993</v>
      </c>
      <c r="I6661" s="19">
        <f t="shared" si="202"/>
        <v>0</v>
      </c>
    </row>
    <row r="6662" spans="1:9" hidden="1">
      <c r="A6662" s="48" t="s">
        <v>11129</v>
      </c>
      <c r="B6662" s="128" t="s">
        <v>11144</v>
      </c>
      <c r="C6662" s="128" t="s">
        <v>11145</v>
      </c>
      <c r="D6662" s="32"/>
      <c r="E6662" s="2">
        <v>1</v>
      </c>
      <c r="F6662" s="9"/>
      <c r="G6662" s="8"/>
      <c r="H6662" s="16">
        <v>9.1999999999999993</v>
      </c>
      <c r="I6662" s="19">
        <f t="shared" si="202"/>
        <v>0</v>
      </c>
    </row>
    <row r="6663" spans="1:9">
      <c r="A6663" s="48" t="s">
        <v>11129</v>
      </c>
      <c r="B6663" s="128" t="s">
        <v>11146</v>
      </c>
      <c r="C6663" s="128" t="s">
        <v>11147</v>
      </c>
      <c r="D6663" s="120"/>
      <c r="E6663" s="121">
        <v>1</v>
      </c>
      <c r="F6663" s="9">
        <f>66+35</f>
        <v>101</v>
      </c>
      <c r="G6663" s="8"/>
      <c r="H6663" s="16">
        <v>3.8</v>
      </c>
      <c r="I6663" s="19">
        <f t="shared" si="202"/>
        <v>383.79999999999995</v>
      </c>
    </row>
    <row r="6664" spans="1:9">
      <c r="A6664" s="48" t="s">
        <v>11129</v>
      </c>
      <c r="B6664" s="128" t="s">
        <v>11148</v>
      </c>
      <c r="C6664" s="128" t="s">
        <v>11149</v>
      </c>
      <c r="D6664" s="32"/>
      <c r="E6664" s="2">
        <v>1</v>
      </c>
      <c r="F6664" s="9">
        <v>160</v>
      </c>
      <c r="G6664" s="8"/>
      <c r="H6664" s="16">
        <v>2.1</v>
      </c>
      <c r="I6664" s="19">
        <f t="shared" si="202"/>
        <v>336</v>
      </c>
    </row>
    <row r="6665" spans="1:9" hidden="1">
      <c r="A6665" s="48" t="s">
        <v>11129</v>
      </c>
      <c r="B6665" s="128" t="s">
        <v>11150</v>
      </c>
      <c r="C6665" s="128" t="s">
        <v>11151</v>
      </c>
      <c r="D6665" s="32"/>
      <c r="E6665" s="2">
        <v>1</v>
      </c>
      <c r="F6665" s="9"/>
      <c r="G6665" s="8"/>
      <c r="H6665" s="16">
        <v>2.1</v>
      </c>
      <c r="I6665" s="19">
        <f t="shared" si="202"/>
        <v>0</v>
      </c>
    </row>
    <row r="6666" spans="1:9" hidden="1">
      <c r="A6666" s="48" t="s">
        <v>11129</v>
      </c>
      <c r="B6666" s="128" t="s">
        <v>11152</v>
      </c>
      <c r="C6666" s="128" t="s">
        <v>11153</v>
      </c>
      <c r="D6666" s="32"/>
      <c r="E6666" s="2">
        <v>1</v>
      </c>
      <c r="F6666" s="9"/>
      <c r="G6666" s="8"/>
      <c r="H6666" s="16">
        <v>134.46</v>
      </c>
      <c r="I6666" s="19">
        <f t="shared" si="202"/>
        <v>0</v>
      </c>
    </row>
    <row r="6667" spans="1:9" hidden="1">
      <c r="A6667" s="48" t="s">
        <v>11129</v>
      </c>
      <c r="B6667" s="128" t="s">
        <v>11154</v>
      </c>
      <c r="C6667" s="128" t="s">
        <v>11155</v>
      </c>
      <c r="D6667" s="32"/>
      <c r="E6667" s="2">
        <v>1</v>
      </c>
      <c r="F6667" s="9"/>
      <c r="G6667" s="8"/>
      <c r="H6667" s="16">
        <v>2.54</v>
      </c>
      <c r="I6667" s="19">
        <f t="shared" si="202"/>
        <v>0</v>
      </c>
    </row>
    <row r="6668" spans="1:9">
      <c r="A6668" s="48" t="s">
        <v>11129</v>
      </c>
      <c r="B6668" s="128" t="s">
        <v>11156</v>
      </c>
      <c r="C6668" s="128" t="s">
        <v>11157</v>
      </c>
      <c r="D6668" s="32"/>
      <c r="E6668" s="2">
        <v>1</v>
      </c>
      <c r="F6668" s="9">
        <v>433</v>
      </c>
      <c r="G6668" s="8"/>
      <c r="H6668" s="16">
        <v>0.45</v>
      </c>
      <c r="I6668" s="19">
        <f t="shared" si="202"/>
        <v>194.85</v>
      </c>
    </row>
    <row r="6669" spans="1:9" hidden="1">
      <c r="A6669" s="48" t="s">
        <v>11129</v>
      </c>
      <c r="B6669" s="128" t="s">
        <v>11158</v>
      </c>
      <c r="C6669" s="128" t="s">
        <v>11159</v>
      </c>
      <c r="D6669" s="32"/>
      <c r="E6669" s="2">
        <v>1</v>
      </c>
      <c r="F6669" s="9"/>
      <c r="G6669" s="8"/>
      <c r="H6669" s="16">
        <v>7.35</v>
      </c>
      <c r="I6669" s="19">
        <f t="shared" si="202"/>
        <v>0</v>
      </c>
    </row>
    <row r="6670" spans="1:9" hidden="1">
      <c r="A6670" s="48" t="s">
        <v>11129</v>
      </c>
      <c r="B6670" s="128" t="s">
        <v>11160</v>
      </c>
      <c r="C6670" s="128" t="s">
        <v>11161</v>
      </c>
      <c r="D6670" s="32"/>
      <c r="E6670" s="2">
        <v>1</v>
      </c>
      <c r="F6670" s="9"/>
      <c r="G6670" s="8"/>
      <c r="H6670" s="16">
        <v>36.4</v>
      </c>
      <c r="I6670" s="19">
        <f>F6670*H6670</f>
        <v>0</v>
      </c>
    </row>
    <row r="6671" spans="1:9">
      <c r="A6671" s="48" t="s">
        <v>11129</v>
      </c>
      <c r="B6671" s="128" t="s">
        <v>11162</v>
      </c>
      <c r="C6671" s="128" t="s">
        <v>11163</v>
      </c>
      <c r="D6671" s="32"/>
      <c r="E6671" s="2">
        <v>1</v>
      </c>
      <c r="F6671" s="9">
        <f>204+4</f>
        <v>208</v>
      </c>
      <c r="G6671" s="8"/>
      <c r="H6671" s="16">
        <v>6.7</v>
      </c>
      <c r="I6671" s="19">
        <f>F6671*H6671</f>
        <v>1393.6000000000001</v>
      </c>
    </row>
    <row r="6672" spans="1:9">
      <c r="A6672" s="48" t="s">
        <v>11129</v>
      </c>
      <c r="B6672" s="128" t="s">
        <v>11164</v>
      </c>
      <c r="C6672" s="128" t="s">
        <v>11165</v>
      </c>
      <c r="D6672" s="32"/>
      <c r="E6672" s="2">
        <v>1</v>
      </c>
      <c r="F6672" s="9">
        <f>91+12</f>
        <v>103</v>
      </c>
      <c r="G6672" s="8"/>
      <c r="H6672" s="16">
        <v>9.1999999999999993</v>
      </c>
      <c r="I6672" s="19">
        <f>F6672*H6672</f>
        <v>947.59999999999991</v>
      </c>
    </row>
    <row r="6673" spans="1:10" hidden="1">
      <c r="A6673" s="69" t="s">
        <v>11166</v>
      </c>
      <c r="B6673" s="5" t="s">
        <v>11167</v>
      </c>
      <c r="C6673" s="32" t="s">
        <v>11168</v>
      </c>
      <c r="D6673" s="32"/>
      <c r="E6673" s="2">
        <v>1</v>
      </c>
      <c r="F6673" s="9"/>
      <c r="G6673" s="8"/>
      <c r="H6673" s="16">
        <v>35.5</v>
      </c>
      <c r="I6673" s="19">
        <f>F6673*H6673</f>
        <v>0</v>
      </c>
    </row>
    <row r="6674" spans="1:10">
      <c r="A6674" s="135" t="s">
        <v>11169</v>
      </c>
      <c r="B6674" s="46" t="s">
        <v>11170</v>
      </c>
      <c r="C6674" s="32" t="s">
        <v>11171</v>
      </c>
      <c r="D6674" s="32"/>
      <c r="E6674" s="2">
        <v>1</v>
      </c>
      <c r="F6674" s="9">
        <v>28</v>
      </c>
      <c r="G6674" s="8">
        <f>H6674+(H6674*5%)</f>
        <v>170.8245</v>
      </c>
      <c r="H6674" s="16">
        <v>162.69</v>
      </c>
      <c r="I6674" s="19">
        <f>G6674*F6674</f>
        <v>4783.0860000000002</v>
      </c>
    </row>
    <row r="6675" spans="1:10">
      <c r="A6675" s="135" t="s">
        <v>11169</v>
      </c>
      <c r="B6675" s="5" t="s">
        <v>11172</v>
      </c>
      <c r="C6675" s="32" t="s">
        <v>11173</v>
      </c>
      <c r="D6675" s="32"/>
      <c r="E6675" s="2">
        <v>1</v>
      </c>
      <c r="F6675" s="9">
        <v>24</v>
      </c>
      <c r="G6675" s="8">
        <f>H6675+(H6675*5%)</f>
        <v>198.56550000000001</v>
      </c>
      <c r="H6675" s="16">
        <v>189.11</v>
      </c>
      <c r="I6675" s="19">
        <f t="shared" ref="I6675:I6676" si="203">G6675*F6675</f>
        <v>4765.5720000000001</v>
      </c>
    </row>
    <row r="6676" spans="1:10">
      <c r="A6676" s="135" t="s">
        <v>11169</v>
      </c>
      <c r="B6676" s="46" t="s">
        <v>11174</v>
      </c>
      <c r="C6676" s="32" t="s">
        <v>11175</v>
      </c>
      <c r="D6676" s="32"/>
      <c r="E6676" s="2">
        <v>1</v>
      </c>
      <c r="F6676" s="9">
        <v>29</v>
      </c>
      <c r="G6676" s="8">
        <f>H6676+(H6676*5%)</f>
        <v>208.4145</v>
      </c>
      <c r="H6676" s="16">
        <v>198.49</v>
      </c>
      <c r="I6676" s="19">
        <f t="shared" si="203"/>
        <v>6044.0205000000005</v>
      </c>
    </row>
    <row r="6677" spans="1:10">
      <c r="A6677" s="135" t="s">
        <v>11169</v>
      </c>
      <c r="B6677" s="5"/>
      <c r="C6677" s="32" t="s">
        <v>11176</v>
      </c>
      <c r="D6677" s="32"/>
      <c r="E6677" s="2">
        <v>1</v>
      </c>
      <c r="F6677" s="9">
        <v>1</v>
      </c>
      <c r="G6677" s="8">
        <f>H6677+(H6677*5%)</f>
        <v>140.679</v>
      </c>
      <c r="H6677" s="16">
        <v>133.97999999999999</v>
      </c>
      <c r="I6677" s="19">
        <f>G6677*F6677</f>
        <v>140.679</v>
      </c>
    </row>
    <row r="6678" spans="1:10">
      <c r="A6678" s="135" t="s">
        <v>11169</v>
      </c>
      <c r="B6678" s="5"/>
      <c r="C6678" s="32" t="s">
        <v>11177</v>
      </c>
      <c r="D6678" s="32"/>
      <c r="E6678" s="2">
        <v>1</v>
      </c>
      <c r="F6678" s="9">
        <v>1</v>
      </c>
      <c r="G6678" s="8">
        <f>H6678+(H6678*5%)</f>
        <v>163.52700000000002</v>
      </c>
      <c r="H6678" s="16">
        <v>155.74</v>
      </c>
      <c r="I6678" s="19">
        <f>G6678*F6678</f>
        <v>163.52700000000002</v>
      </c>
    </row>
    <row r="6679" spans="1:10">
      <c r="A6679" s="135" t="s">
        <v>11169</v>
      </c>
      <c r="B6679" s="5" t="s">
        <v>11178</v>
      </c>
      <c r="C6679" s="32" t="s">
        <v>11179</v>
      </c>
      <c r="D6679" s="32"/>
      <c r="E6679" s="2">
        <v>1</v>
      </c>
      <c r="F6679" s="9">
        <f>26+16</f>
        <v>42</v>
      </c>
      <c r="G6679" s="8">
        <f t="shared" ref="G6679:G6695" si="204">H6679+(H6679*5%)</f>
        <v>172.64099999999999</v>
      </c>
      <c r="H6679" s="16">
        <v>164.42</v>
      </c>
      <c r="I6679" s="19">
        <f t="shared" ref="I6679:I6716" si="205">G6679*F6679</f>
        <v>7250.9219999999996</v>
      </c>
      <c r="J6679" t="s">
        <v>11180</v>
      </c>
    </row>
    <row r="6680" spans="1:10">
      <c r="A6680" s="135" t="s">
        <v>11169</v>
      </c>
      <c r="B6680" s="5"/>
      <c r="C6680" s="32" t="s">
        <v>11181</v>
      </c>
      <c r="D6680" s="32"/>
      <c r="E6680" s="2">
        <v>1</v>
      </c>
      <c r="F6680" s="9">
        <f>18+32</f>
        <v>50</v>
      </c>
      <c r="G6680" s="8">
        <f t="shared" si="204"/>
        <v>196.09799999999998</v>
      </c>
      <c r="H6680" s="16">
        <v>186.76</v>
      </c>
      <c r="I6680" s="19">
        <f t="shared" si="205"/>
        <v>9804.9</v>
      </c>
      <c r="J6680" t="s">
        <v>11182</v>
      </c>
    </row>
    <row r="6681" spans="1:10">
      <c r="A6681" s="135" t="s">
        <v>11169</v>
      </c>
      <c r="B6681" s="46" t="s">
        <v>11183</v>
      </c>
      <c r="C6681" s="32" t="s">
        <v>11184</v>
      </c>
      <c r="D6681" s="32"/>
      <c r="E6681" s="2">
        <v>1</v>
      </c>
      <c r="F6681" s="9">
        <v>31</v>
      </c>
      <c r="G6681" s="8">
        <f t="shared" si="204"/>
        <v>210.5565</v>
      </c>
      <c r="H6681" s="16">
        <v>200.53</v>
      </c>
      <c r="I6681" s="19">
        <f t="shared" si="205"/>
        <v>6527.2515000000003</v>
      </c>
    </row>
    <row r="6682" spans="1:10">
      <c r="A6682" s="135" t="s">
        <v>11169</v>
      </c>
      <c r="B6682" s="46" t="s">
        <v>11185</v>
      </c>
      <c r="C6682" s="32" t="s">
        <v>11186</v>
      </c>
      <c r="D6682" s="32"/>
      <c r="E6682" s="2">
        <v>1</v>
      </c>
      <c r="F6682" s="9">
        <f>22</f>
        <v>22</v>
      </c>
      <c r="G6682" s="8">
        <f t="shared" si="204"/>
        <v>175.96950000000001</v>
      </c>
      <c r="H6682" s="16">
        <v>167.59</v>
      </c>
      <c r="I6682" s="19">
        <f t="shared" si="205"/>
        <v>3871.3290000000002</v>
      </c>
    </row>
    <row r="6683" spans="1:10">
      <c r="A6683" s="135" t="s">
        <v>11169</v>
      </c>
      <c r="B6683" s="5" t="s">
        <v>11187</v>
      </c>
      <c r="C6683" s="32" t="s">
        <v>11188</v>
      </c>
      <c r="D6683" s="32"/>
      <c r="E6683" s="2">
        <v>1</v>
      </c>
      <c r="F6683" s="9">
        <f>12</f>
        <v>12</v>
      </c>
      <c r="G6683" s="8">
        <f t="shared" si="204"/>
        <v>214.7355</v>
      </c>
      <c r="H6683" s="16">
        <v>204.51</v>
      </c>
      <c r="I6683" s="19">
        <f t="shared" si="205"/>
        <v>2576.826</v>
      </c>
    </row>
    <row r="6684" spans="1:10">
      <c r="A6684" s="135" t="s">
        <v>11169</v>
      </c>
      <c r="B6684" s="46" t="s">
        <v>11189</v>
      </c>
      <c r="C6684" s="32" t="s">
        <v>11190</v>
      </c>
      <c r="D6684" s="32"/>
      <c r="E6684" s="2">
        <v>1</v>
      </c>
      <c r="F6684" s="9">
        <v>19</v>
      </c>
      <c r="G6684" s="8">
        <f t="shared" si="204"/>
        <v>164.07299999999998</v>
      </c>
      <c r="H6684" s="16">
        <v>156.26</v>
      </c>
      <c r="I6684" s="19">
        <f t="shared" si="205"/>
        <v>3117.3869999999997</v>
      </c>
    </row>
    <row r="6685" spans="1:10">
      <c r="A6685" s="135" t="s">
        <v>11169</v>
      </c>
      <c r="B6685" s="46" t="s">
        <v>11191</v>
      </c>
      <c r="C6685" s="32" t="s">
        <v>11192</v>
      </c>
      <c r="D6685" s="32"/>
      <c r="E6685" s="2">
        <v>1</v>
      </c>
      <c r="F6685" s="9">
        <v>17</v>
      </c>
      <c r="G6685" s="8">
        <f t="shared" si="204"/>
        <v>191.0685</v>
      </c>
      <c r="H6685" s="16">
        <v>181.97</v>
      </c>
      <c r="I6685" s="19">
        <f t="shared" si="205"/>
        <v>3248.1644999999999</v>
      </c>
    </row>
    <row r="6686" spans="1:10">
      <c r="A6686" s="135" t="s">
        <v>11169</v>
      </c>
      <c r="B6686" s="5" t="s">
        <v>11193</v>
      </c>
      <c r="C6686" s="32" t="s">
        <v>11194</v>
      </c>
      <c r="D6686" s="32"/>
      <c r="E6686" s="2">
        <v>1</v>
      </c>
      <c r="F6686" s="9">
        <v>24</v>
      </c>
      <c r="G6686" s="8">
        <f t="shared" si="204"/>
        <v>200.172</v>
      </c>
      <c r="H6686" s="16">
        <v>190.64</v>
      </c>
      <c r="I6686" s="19">
        <f t="shared" si="205"/>
        <v>4804.1279999999997</v>
      </c>
    </row>
    <row r="6687" spans="1:10">
      <c r="A6687" s="135" t="s">
        <v>11169</v>
      </c>
      <c r="B6687" s="46" t="s">
        <v>11170</v>
      </c>
      <c r="C6687" s="32" t="s">
        <v>11195</v>
      </c>
      <c r="D6687" s="32"/>
      <c r="E6687" s="2">
        <v>1</v>
      </c>
      <c r="F6687" s="9">
        <f>24+32</f>
        <v>56</v>
      </c>
      <c r="G6687" s="8">
        <f t="shared" si="204"/>
        <v>140.679</v>
      </c>
      <c r="H6687" s="16">
        <v>133.97999999999999</v>
      </c>
      <c r="I6687" s="19">
        <f t="shared" si="205"/>
        <v>7878.0240000000003</v>
      </c>
      <c r="J6687" t="s">
        <v>11196</v>
      </c>
    </row>
    <row r="6688" spans="1:10">
      <c r="A6688" s="135" t="s">
        <v>11169</v>
      </c>
      <c r="B6688" s="46" t="s">
        <v>11170</v>
      </c>
      <c r="C6688" s="32" t="s">
        <v>11197</v>
      </c>
      <c r="D6688" s="32"/>
      <c r="E6688" s="2">
        <v>1</v>
      </c>
      <c r="F6688" s="9">
        <v>21</v>
      </c>
      <c r="G6688" s="8">
        <f t="shared" si="204"/>
        <v>163.52700000000002</v>
      </c>
      <c r="H6688" s="16">
        <v>155.74</v>
      </c>
      <c r="I6688" s="19">
        <f t="shared" si="205"/>
        <v>3434.0670000000005</v>
      </c>
    </row>
    <row r="6689" spans="1:10">
      <c r="A6689" s="135" t="s">
        <v>11169</v>
      </c>
      <c r="B6689" s="46" t="s">
        <v>11170</v>
      </c>
      <c r="C6689" s="32" t="s">
        <v>11198</v>
      </c>
      <c r="D6689" s="32"/>
      <c r="E6689" s="2">
        <v>1</v>
      </c>
      <c r="F6689" s="9">
        <f>30+32+32</f>
        <v>94</v>
      </c>
      <c r="G6689" s="8">
        <f t="shared" si="204"/>
        <v>171.63300000000001</v>
      </c>
      <c r="H6689" s="16">
        <v>163.46</v>
      </c>
      <c r="I6689" s="19">
        <f t="shared" si="205"/>
        <v>16133.502</v>
      </c>
      <c r="J6689" t="s">
        <v>11199</v>
      </c>
    </row>
    <row r="6690" spans="1:10">
      <c r="A6690" s="135" t="s">
        <v>11169</v>
      </c>
      <c r="B6690" s="46" t="s">
        <v>11200</v>
      </c>
      <c r="C6690" s="32" t="s">
        <v>11201</v>
      </c>
      <c r="D6690" s="32"/>
      <c r="E6690" s="2">
        <v>1</v>
      </c>
      <c r="F6690" s="9">
        <f>10+32</f>
        <v>42</v>
      </c>
      <c r="G6690" s="8">
        <f t="shared" si="204"/>
        <v>144.91049999999998</v>
      </c>
      <c r="H6690" s="16">
        <v>138.01</v>
      </c>
      <c r="I6690" s="19">
        <f t="shared" si="205"/>
        <v>6086.2409999999991</v>
      </c>
      <c r="J6690" t="s">
        <v>11202</v>
      </c>
    </row>
    <row r="6691" spans="1:10">
      <c r="A6691" s="135" t="s">
        <v>11169</v>
      </c>
      <c r="B6691" s="46" t="s">
        <v>11203</v>
      </c>
      <c r="C6691" s="32" t="s">
        <v>11204</v>
      </c>
      <c r="D6691" s="32"/>
      <c r="E6691" s="2">
        <v>1</v>
      </c>
      <c r="F6691" s="9">
        <v>9</v>
      </c>
      <c r="G6691" s="8">
        <f t="shared" si="204"/>
        <v>168.1995</v>
      </c>
      <c r="H6691" s="16">
        <v>160.19</v>
      </c>
      <c r="I6691" s="19">
        <f t="shared" si="205"/>
        <v>1513.7954999999999</v>
      </c>
    </row>
    <row r="6692" spans="1:10" hidden="1">
      <c r="A6692" s="135" t="s">
        <v>11169</v>
      </c>
      <c r="B6692" s="46" t="s">
        <v>11200</v>
      </c>
      <c r="C6692" s="32" t="s">
        <v>11205</v>
      </c>
      <c r="D6692" s="32"/>
      <c r="E6692" s="2">
        <v>1</v>
      </c>
      <c r="F6692" s="9"/>
      <c r="G6692" s="8">
        <f t="shared" si="204"/>
        <v>55.208999999999996</v>
      </c>
      <c r="H6692" s="16">
        <v>52.58</v>
      </c>
      <c r="I6692" s="19">
        <f t="shared" si="205"/>
        <v>0</v>
      </c>
    </row>
    <row r="6693" spans="1:10" hidden="1">
      <c r="A6693" s="135" t="s">
        <v>11169</v>
      </c>
      <c r="B6693" s="46" t="s">
        <v>11203</v>
      </c>
      <c r="C6693" s="32" t="s">
        <v>11206</v>
      </c>
      <c r="D6693" s="32"/>
      <c r="E6693" s="2">
        <v>1</v>
      </c>
      <c r="F6693" s="9"/>
      <c r="G6693" s="8">
        <f t="shared" si="204"/>
        <v>64.070999999999998</v>
      </c>
      <c r="H6693" s="16">
        <v>61.02</v>
      </c>
      <c r="I6693" s="19">
        <f t="shared" si="205"/>
        <v>0</v>
      </c>
    </row>
    <row r="6694" spans="1:10">
      <c r="A6694" s="135" t="s">
        <v>11169</v>
      </c>
      <c r="B6694" s="46" t="s">
        <v>11207</v>
      </c>
      <c r="C6694" s="32" t="s">
        <v>11208</v>
      </c>
      <c r="D6694" s="32"/>
      <c r="E6694" s="2">
        <v>1</v>
      </c>
      <c r="F6694" s="9">
        <f>31+16+(3*18)</f>
        <v>101</v>
      </c>
      <c r="G6694" s="8">
        <f t="shared" si="204"/>
        <v>169.155</v>
      </c>
      <c r="H6694" s="16">
        <v>161.1</v>
      </c>
      <c r="I6694" s="19">
        <f t="shared" si="205"/>
        <v>17084.654999999999</v>
      </c>
      <c r="J6694" t="s">
        <v>11209</v>
      </c>
    </row>
    <row r="6695" spans="1:10">
      <c r="A6695" s="135" t="s">
        <v>11169</v>
      </c>
      <c r="B6695" s="46" t="s">
        <v>11210</v>
      </c>
      <c r="C6695" s="32" t="s">
        <v>11211</v>
      </c>
      <c r="D6695" s="32"/>
      <c r="E6695" s="2">
        <v>1</v>
      </c>
      <c r="F6695" s="9">
        <f>36+18+16+(2*18)</f>
        <v>106</v>
      </c>
      <c r="G6695" s="8">
        <f t="shared" si="204"/>
        <v>206.31450000000001</v>
      </c>
      <c r="H6695" s="16">
        <v>196.49</v>
      </c>
      <c r="I6695" s="19">
        <f t="shared" si="205"/>
        <v>21869.337</v>
      </c>
      <c r="J6695" t="s">
        <v>11212</v>
      </c>
    </row>
    <row r="6696" spans="1:10">
      <c r="A6696" s="135" t="s">
        <v>11169</v>
      </c>
      <c r="B6696" s="46"/>
      <c r="C6696" s="32" t="s">
        <v>11213</v>
      </c>
      <c r="D6696" s="32"/>
      <c r="E6696" s="2">
        <v>1</v>
      </c>
      <c r="F6696" s="9">
        <v>12</v>
      </c>
      <c r="G6696" s="8">
        <f>H6696+(H6696*5%)</f>
        <v>169.155</v>
      </c>
      <c r="H6696" s="16">
        <v>161.1</v>
      </c>
      <c r="I6696" s="19">
        <f>G6696*F6696</f>
        <v>2029.8600000000001</v>
      </c>
    </row>
    <row r="6697" spans="1:10">
      <c r="A6697" s="135" t="s">
        <v>11169</v>
      </c>
      <c r="B6697" s="46"/>
      <c r="C6697" s="32" t="s">
        <v>11214</v>
      </c>
      <c r="D6697" s="32"/>
      <c r="E6697" s="2">
        <v>1</v>
      </c>
      <c r="F6697" s="9">
        <v>4</v>
      </c>
      <c r="G6697" s="8">
        <f>H6697+(H6697*5%)</f>
        <v>206.31450000000001</v>
      </c>
      <c r="H6697" s="16">
        <v>196.49</v>
      </c>
      <c r="I6697" s="19">
        <f>G6697*F6697</f>
        <v>825.25800000000004</v>
      </c>
    </row>
    <row r="6698" spans="1:10">
      <c r="A6698" s="135" t="s">
        <v>11169</v>
      </c>
      <c r="B6698" s="46"/>
      <c r="C6698" s="32" t="s">
        <v>11215</v>
      </c>
      <c r="D6698" s="32"/>
      <c r="E6698" s="2">
        <v>1</v>
      </c>
      <c r="F6698" s="9">
        <v>4</v>
      </c>
      <c r="G6698" s="8">
        <f t="shared" ref="G6698:G6716" si="206">H6698+(H6698*5%)</f>
        <v>128.96099999999998</v>
      </c>
      <c r="H6698" s="16">
        <v>122.82</v>
      </c>
      <c r="I6698" s="19">
        <f t="shared" si="205"/>
        <v>515.84399999999994</v>
      </c>
    </row>
    <row r="6699" spans="1:10">
      <c r="A6699" s="135" t="s">
        <v>11169</v>
      </c>
      <c r="B6699" s="46"/>
      <c r="C6699" s="32" t="s">
        <v>11216</v>
      </c>
      <c r="D6699" s="32"/>
      <c r="E6699" s="2">
        <v>1</v>
      </c>
      <c r="F6699" s="9">
        <v>12</v>
      </c>
      <c r="G6699" s="8">
        <f t="shared" si="206"/>
        <v>157.33199999999999</v>
      </c>
      <c r="H6699" s="16">
        <v>149.84</v>
      </c>
      <c r="I6699" s="19">
        <f t="shared" si="205"/>
        <v>1887.9839999999999</v>
      </c>
    </row>
    <row r="6700" spans="1:10">
      <c r="A6700" s="135" t="s">
        <v>11169</v>
      </c>
      <c r="B6700" s="46"/>
      <c r="C6700" s="32" t="s">
        <v>11217</v>
      </c>
      <c r="D6700" s="32"/>
      <c r="E6700" s="2">
        <v>1</v>
      </c>
      <c r="F6700" s="9">
        <v>13</v>
      </c>
      <c r="G6700" s="8">
        <f t="shared" si="206"/>
        <v>128.96099999999998</v>
      </c>
      <c r="H6700" s="16">
        <v>122.82</v>
      </c>
      <c r="I6700" s="19">
        <f t="shared" si="205"/>
        <v>1676.4929999999997</v>
      </c>
    </row>
    <row r="6701" spans="1:10">
      <c r="A6701" s="135" t="s">
        <v>11169</v>
      </c>
      <c r="B6701" s="46"/>
      <c r="C6701" s="32" t="s">
        <v>11218</v>
      </c>
      <c r="D6701" s="32"/>
      <c r="E6701" s="2">
        <v>1</v>
      </c>
      <c r="F6701" s="9">
        <v>7</v>
      </c>
      <c r="G6701" s="8">
        <f t="shared" si="206"/>
        <v>157.33199999999999</v>
      </c>
      <c r="H6701" s="16">
        <v>149.84</v>
      </c>
      <c r="I6701" s="19">
        <f t="shared" si="205"/>
        <v>1101.3240000000001</v>
      </c>
    </row>
    <row r="6702" spans="1:10">
      <c r="A6702" s="135" t="s">
        <v>11169</v>
      </c>
      <c r="B6702" s="46" t="s">
        <v>11219</v>
      </c>
      <c r="C6702" s="32" t="s">
        <v>11220</v>
      </c>
      <c r="D6702" s="32"/>
      <c r="E6702" s="2">
        <v>1</v>
      </c>
      <c r="F6702" s="9">
        <v>12</v>
      </c>
      <c r="G6702" s="8">
        <f t="shared" si="206"/>
        <v>165.417</v>
      </c>
      <c r="H6702" s="16">
        <v>157.54</v>
      </c>
      <c r="I6702" s="19">
        <f t="shared" si="205"/>
        <v>1985.0039999999999</v>
      </c>
    </row>
    <row r="6703" spans="1:10">
      <c r="A6703" s="135" t="s">
        <v>11169</v>
      </c>
      <c r="B6703" s="46" t="s">
        <v>11221</v>
      </c>
      <c r="C6703" s="32" t="s">
        <v>11222</v>
      </c>
      <c r="D6703" s="32"/>
      <c r="E6703" s="2">
        <v>1</v>
      </c>
      <c r="F6703" s="9">
        <v>1</v>
      </c>
      <c r="G6703" s="8">
        <f t="shared" si="206"/>
        <v>201.79949999999999</v>
      </c>
      <c r="H6703" s="16">
        <v>192.19</v>
      </c>
      <c r="I6703" s="19">
        <f t="shared" si="205"/>
        <v>201.79949999999999</v>
      </c>
    </row>
    <row r="6704" spans="1:10">
      <c r="A6704" s="135" t="s">
        <v>11169</v>
      </c>
      <c r="B6704" s="46"/>
      <c r="C6704" s="32" t="s">
        <v>11223</v>
      </c>
      <c r="D6704" s="32"/>
      <c r="E6704" s="2">
        <v>1</v>
      </c>
      <c r="F6704" s="9">
        <v>1</v>
      </c>
      <c r="G6704" s="8">
        <f t="shared" si="206"/>
        <v>50.263500000000001</v>
      </c>
      <c r="H6704" s="16">
        <v>47.87</v>
      </c>
      <c r="I6704" s="19">
        <f t="shared" si="205"/>
        <v>50.263500000000001</v>
      </c>
    </row>
    <row r="6705" spans="1:11">
      <c r="A6705" s="135" t="s">
        <v>11169</v>
      </c>
      <c r="B6705" s="46"/>
      <c r="C6705" s="32" t="s">
        <v>11224</v>
      </c>
      <c r="D6705" s="32"/>
      <c r="E6705" s="2">
        <v>1</v>
      </c>
      <c r="F6705" s="9">
        <v>3</v>
      </c>
      <c r="G6705" s="8">
        <f t="shared" si="206"/>
        <v>61.324200000000005</v>
      </c>
      <c r="H6705" s="16">
        <v>58.404000000000003</v>
      </c>
      <c r="I6705" s="19">
        <f t="shared" si="205"/>
        <v>183.9726</v>
      </c>
    </row>
    <row r="6706" spans="1:11">
      <c r="A6706" s="135" t="s">
        <v>11169</v>
      </c>
      <c r="B6706" s="46"/>
      <c r="C6706" s="32" t="s">
        <v>11225</v>
      </c>
      <c r="D6706" s="32"/>
      <c r="E6706" s="2">
        <v>1</v>
      </c>
      <c r="F6706" s="9">
        <v>6</v>
      </c>
      <c r="G6706" s="8">
        <f t="shared" si="206"/>
        <v>57.356250000000003</v>
      </c>
      <c r="H6706" s="16">
        <v>54.625</v>
      </c>
      <c r="I6706" s="19">
        <f t="shared" si="205"/>
        <v>344.13750000000005</v>
      </c>
    </row>
    <row r="6707" spans="1:11">
      <c r="A6707" s="135" t="s">
        <v>11169</v>
      </c>
      <c r="B6707" s="46"/>
      <c r="C6707" s="32" t="s">
        <v>11226</v>
      </c>
      <c r="D6707" s="32"/>
      <c r="E6707" s="2">
        <v>1</v>
      </c>
      <c r="F6707" s="9">
        <v>1</v>
      </c>
      <c r="G6707" s="8">
        <f t="shared" si="206"/>
        <v>62.511749999999999</v>
      </c>
      <c r="H6707" s="16">
        <v>59.534999999999997</v>
      </c>
      <c r="I6707" s="19">
        <f t="shared" si="205"/>
        <v>62.511749999999999</v>
      </c>
    </row>
    <row r="6708" spans="1:11">
      <c r="A6708" s="135" t="s">
        <v>11169</v>
      </c>
      <c r="B6708" s="46"/>
      <c r="C6708" s="32" t="s">
        <v>11227</v>
      </c>
      <c r="D6708" s="32"/>
      <c r="E6708" s="2">
        <v>1</v>
      </c>
      <c r="F6708" s="9">
        <v>1</v>
      </c>
      <c r="G6708" s="8">
        <f t="shared" si="206"/>
        <v>76.261499999999998</v>
      </c>
      <c r="H6708" s="16">
        <v>72.63</v>
      </c>
      <c r="I6708" s="19">
        <f t="shared" si="205"/>
        <v>76.261499999999998</v>
      </c>
    </row>
    <row r="6709" spans="1:11">
      <c r="A6709" s="135" t="s">
        <v>11169</v>
      </c>
      <c r="B6709" s="46"/>
      <c r="C6709" s="32" t="s">
        <v>11228</v>
      </c>
      <c r="D6709" s="32"/>
      <c r="E6709" s="2">
        <v>1</v>
      </c>
      <c r="F6709" s="9">
        <v>15</v>
      </c>
      <c r="G6709" s="8">
        <f t="shared" si="206"/>
        <v>180.44838000000001</v>
      </c>
      <c r="H6709" s="16">
        <v>171.85560000000001</v>
      </c>
      <c r="I6709" s="19">
        <f t="shared" si="205"/>
        <v>2706.7257000000004</v>
      </c>
    </row>
    <row r="6710" spans="1:11">
      <c r="A6710" s="135" t="s">
        <v>11169</v>
      </c>
      <c r="B6710" s="46"/>
      <c r="C6710" s="32" t="s">
        <v>11229</v>
      </c>
      <c r="D6710" s="32"/>
      <c r="E6710" s="2">
        <v>1</v>
      </c>
      <c r="F6710" s="9">
        <v>14</v>
      </c>
      <c r="G6710" s="8">
        <f t="shared" si="206"/>
        <v>220.13837999999998</v>
      </c>
      <c r="H6710" s="16">
        <v>209.65559999999999</v>
      </c>
      <c r="I6710" s="19">
        <f t="shared" si="205"/>
        <v>3081.93732</v>
      </c>
    </row>
    <row r="6711" spans="1:11">
      <c r="A6711" s="135" t="s">
        <v>11169</v>
      </c>
      <c r="B6711" s="46" t="s">
        <v>11230</v>
      </c>
      <c r="C6711" s="32" t="s">
        <v>11231</v>
      </c>
      <c r="D6711" s="32"/>
      <c r="E6711" s="2">
        <v>1</v>
      </c>
      <c r="F6711" s="9">
        <v>28</v>
      </c>
      <c r="G6711" s="8">
        <f t="shared" si="206"/>
        <v>85.910999999999987</v>
      </c>
      <c r="H6711" s="16">
        <v>81.819999999999993</v>
      </c>
      <c r="I6711" s="19">
        <f t="shared" si="205"/>
        <v>2405.5079999999998</v>
      </c>
    </row>
    <row r="6712" spans="1:11">
      <c r="A6712" s="135" t="s">
        <v>11169</v>
      </c>
      <c r="B6712" s="46"/>
      <c r="C6712" s="32" t="s">
        <v>11232</v>
      </c>
      <c r="D6712" s="32"/>
      <c r="E6712" s="2">
        <v>1</v>
      </c>
      <c r="F6712" s="9">
        <f>26+6</f>
        <v>32</v>
      </c>
      <c r="G6712" s="8">
        <f>H6712+(H6712*5%)</f>
        <v>110.48099999999999</v>
      </c>
      <c r="H6712" s="16">
        <v>105.22</v>
      </c>
      <c r="I6712" s="19">
        <f>G6712*F6712</f>
        <v>3535.3919999999998</v>
      </c>
      <c r="J6712" t="s">
        <v>11233</v>
      </c>
      <c r="K6712" t="s">
        <v>11234</v>
      </c>
    </row>
    <row r="6713" spans="1:11" hidden="1">
      <c r="A6713" s="135" t="s">
        <v>11169</v>
      </c>
      <c r="B6713" s="46"/>
      <c r="C6713" s="32" t="s">
        <v>11235</v>
      </c>
      <c r="D6713" s="32"/>
      <c r="E6713" s="2">
        <v>1</v>
      </c>
      <c r="F6713" s="9"/>
      <c r="G6713" s="8">
        <f t="shared" si="206"/>
        <v>128.96099999999998</v>
      </c>
      <c r="H6713" s="16">
        <v>122.82</v>
      </c>
      <c r="I6713" s="19">
        <f t="shared" si="205"/>
        <v>0</v>
      </c>
    </row>
    <row r="6714" spans="1:11" hidden="1">
      <c r="A6714" s="135" t="s">
        <v>11169</v>
      </c>
      <c r="B6714" s="46"/>
      <c r="C6714" s="32" t="s">
        <v>11236</v>
      </c>
      <c r="D6714" s="32"/>
      <c r="E6714" s="2">
        <v>1</v>
      </c>
      <c r="F6714" s="9"/>
      <c r="G6714" s="8">
        <f t="shared" si="206"/>
        <v>157.33199999999999</v>
      </c>
      <c r="H6714" s="16">
        <v>149.84</v>
      </c>
      <c r="I6714" s="19">
        <f t="shared" si="205"/>
        <v>0</v>
      </c>
    </row>
    <row r="6715" spans="1:11">
      <c r="A6715" s="135" t="s">
        <v>11169</v>
      </c>
      <c r="B6715" s="46" t="s">
        <v>11170</v>
      </c>
      <c r="C6715" s="32" t="s">
        <v>11237</v>
      </c>
      <c r="D6715" s="32"/>
      <c r="E6715" s="2">
        <v>1</v>
      </c>
      <c r="F6715" s="9">
        <v>35</v>
      </c>
      <c r="G6715" s="8">
        <f t="shared" si="206"/>
        <v>53.591999999999999</v>
      </c>
      <c r="H6715" s="16">
        <v>51.04</v>
      </c>
      <c r="I6715" s="19">
        <f t="shared" si="205"/>
        <v>1875.72</v>
      </c>
    </row>
    <row r="6716" spans="1:11">
      <c r="A6716" s="135" t="s">
        <v>11169</v>
      </c>
      <c r="B6716" s="5" t="s">
        <v>11172</v>
      </c>
      <c r="C6716" s="32" t="s">
        <v>11238</v>
      </c>
      <c r="D6716" s="32"/>
      <c r="E6716" s="2">
        <v>1</v>
      </c>
      <c r="F6716" s="9">
        <v>23</v>
      </c>
      <c r="G6716" s="8">
        <f t="shared" si="206"/>
        <v>62.296499999999995</v>
      </c>
      <c r="H6716" s="16">
        <v>59.33</v>
      </c>
      <c r="I6716" s="19">
        <f t="shared" si="205"/>
        <v>1432.8194999999998</v>
      </c>
    </row>
    <row r="6717" spans="1:11">
      <c r="A6717" s="135" t="s">
        <v>11169</v>
      </c>
      <c r="B6717" s="46" t="s">
        <v>11174</v>
      </c>
      <c r="C6717" s="32" t="s">
        <v>11239</v>
      </c>
      <c r="D6717" s="32"/>
      <c r="E6717" s="2">
        <v>1</v>
      </c>
      <c r="F6717" s="9">
        <v>34</v>
      </c>
      <c r="G6717" s="8">
        <f>H6717+(H6717*5%)</f>
        <v>65.383499999999998</v>
      </c>
      <c r="H6717" s="16">
        <v>62.27</v>
      </c>
      <c r="I6717" s="19">
        <f>G6717*F6717</f>
        <v>2223.0389999999998</v>
      </c>
    </row>
    <row r="6718" spans="1:11">
      <c r="A6718" s="135" t="s">
        <v>11169</v>
      </c>
      <c r="B6718" s="46"/>
      <c r="C6718" s="32" t="s">
        <v>11240</v>
      </c>
      <c r="D6718" s="32"/>
      <c r="E6718" s="2">
        <v>1</v>
      </c>
      <c r="F6718" s="9">
        <v>29</v>
      </c>
      <c r="G6718" s="8">
        <f>H6718+(H6718*5%)</f>
        <v>93.785999999999987</v>
      </c>
      <c r="H6718" s="16">
        <v>89.32</v>
      </c>
      <c r="I6718" s="19">
        <f>G6718*F6718</f>
        <v>2719.7939999999994</v>
      </c>
    </row>
    <row r="6719" spans="1:11">
      <c r="A6719" s="135" t="s">
        <v>11169</v>
      </c>
      <c r="B6719" s="46"/>
      <c r="C6719" s="32" t="s">
        <v>11241</v>
      </c>
      <c r="D6719" s="32"/>
      <c r="E6719" s="2">
        <v>1</v>
      </c>
      <c r="F6719" s="9">
        <v>8</v>
      </c>
      <c r="G6719" s="8">
        <f>H6719+(H6719*5%)</f>
        <v>149.898</v>
      </c>
      <c r="H6719" s="16">
        <v>142.76</v>
      </c>
      <c r="I6719" s="19">
        <f>G6719*F6719</f>
        <v>1199.184</v>
      </c>
    </row>
    <row r="6720" spans="1:11">
      <c r="A6720" s="135" t="s">
        <v>11169</v>
      </c>
      <c r="B6720" s="46"/>
      <c r="C6720" s="32" t="s">
        <v>11242</v>
      </c>
      <c r="D6720" s="32"/>
      <c r="E6720" s="2">
        <v>1</v>
      </c>
      <c r="F6720" s="9">
        <v>16</v>
      </c>
      <c r="G6720" s="8">
        <f>H6720+(H6720*5%)</f>
        <v>149.898</v>
      </c>
      <c r="H6720" s="16">
        <v>142.76</v>
      </c>
      <c r="I6720" s="19">
        <f>G6720*F6720</f>
        <v>2398.3679999999999</v>
      </c>
    </row>
    <row r="6721" spans="1:9">
      <c r="A6721" s="135" t="s">
        <v>11169</v>
      </c>
      <c r="B6721" s="46"/>
      <c r="C6721" s="32" t="s">
        <v>11243</v>
      </c>
      <c r="D6721" s="32"/>
      <c r="E6721" s="2">
        <v>1</v>
      </c>
      <c r="F6721" s="9">
        <v>2</v>
      </c>
      <c r="G6721" s="8">
        <f>H6721+(H6721*5%)</f>
        <v>225.876</v>
      </c>
      <c r="H6721" s="16">
        <v>215.12</v>
      </c>
      <c r="I6721" s="19">
        <f>G6721*F6721</f>
        <v>451.75200000000001</v>
      </c>
    </row>
    <row r="6722" spans="1:9">
      <c r="A6722" s="135" t="s">
        <v>11169</v>
      </c>
      <c r="B6722" s="46"/>
      <c r="C6722" s="32" t="s">
        <v>11244</v>
      </c>
      <c r="D6722" s="32"/>
      <c r="E6722" s="2">
        <v>1</v>
      </c>
      <c r="F6722" s="9">
        <v>5</v>
      </c>
      <c r="G6722" s="8">
        <f t="shared" ref="G6722:G6730" si="207">H6722+(H6722*5%)</f>
        <v>213.80205000000001</v>
      </c>
      <c r="H6722" s="16">
        <v>203.62100000000001</v>
      </c>
      <c r="I6722" s="19">
        <f t="shared" ref="I6722:I6730" si="208">G6722*F6722</f>
        <v>1069.01025</v>
      </c>
    </row>
    <row r="6723" spans="1:9">
      <c r="A6723" s="135" t="s">
        <v>11169</v>
      </c>
      <c r="B6723" s="46"/>
      <c r="C6723" s="32" t="s">
        <v>11245</v>
      </c>
      <c r="D6723" s="32"/>
      <c r="E6723" s="2">
        <v>1</v>
      </c>
      <c r="F6723" s="9">
        <v>4</v>
      </c>
      <c r="G6723" s="8">
        <f t="shared" si="207"/>
        <v>144.54300000000001</v>
      </c>
      <c r="H6723" s="16">
        <v>137.66</v>
      </c>
      <c r="I6723" s="19">
        <f t="shared" si="208"/>
        <v>578.17200000000003</v>
      </c>
    </row>
    <row r="6724" spans="1:9">
      <c r="A6724" s="135" t="s">
        <v>11169</v>
      </c>
      <c r="B6724" s="46"/>
      <c r="C6724" s="32" t="s">
        <v>11246</v>
      </c>
      <c r="D6724" s="32"/>
      <c r="E6724" s="2">
        <v>1</v>
      </c>
      <c r="F6724" s="9">
        <v>28</v>
      </c>
      <c r="G6724" s="8">
        <f t="shared" si="207"/>
        <v>157.33199999999999</v>
      </c>
      <c r="H6724" s="16">
        <v>149.84</v>
      </c>
      <c r="I6724" s="19">
        <f t="shared" si="208"/>
        <v>4405.2960000000003</v>
      </c>
    </row>
    <row r="6725" spans="1:9">
      <c r="A6725" s="135" t="s">
        <v>11169</v>
      </c>
      <c r="B6725" s="46"/>
      <c r="C6725" s="32" t="s">
        <v>11247</v>
      </c>
      <c r="D6725" s="32"/>
      <c r="E6725" s="2">
        <v>1</v>
      </c>
      <c r="F6725" s="9">
        <v>24</v>
      </c>
      <c r="G6725" s="8">
        <f t="shared" si="207"/>
        <v>191.94</v>
      </c>
      <c r="H6725" s="16">
        <v>182.8</v>
      </c>
      <c r="I6725" s="19">
        <f t="shared" si="208"/>
        <v>4606.5599999999995</v>
      </c>
    </row>
    <row r="6726" spans="1:9">
      <c r="A6726" s="135" t="s">
        <v>11169</v>
      </c>
      <c r="B6726" s="46"/>
      <c r="C6726" s="32" t="s">
        <v>11248</v>
      </c>
      <c r="D6726" s="32"/>
      <c r="E6726" s="2">
        <v>1</v>
      </c>
      <c r="F6726" s="9">
        <v>3</v>
      </c>
      <c r="G6726" s="8">
        <f t="shared" si="207"/>
        <v>93.785999999999987</v>
      </c>
      <c r="H6726" s="16">
        <v>89.32</v>
      </c>
      <c r="I6726" s="19">
        <f t="shared" si="208"/>
        <v>281.35799999999995</v>
      </c>
    </row>
    <row r="6727" spans="1:9">
      <c r="A6727" s="135" t="s">
        <v>11169</v>
      </c>
      <c r="B6727" s="46"/>
      <c r="C6727" s="32" t="s">
        <v>11249</v>
      </c>
      <c r="D6727" s="32"/>
      <c r="E6727" s="2">
        <v>1</v>
      </c>
      <c r="F6727" s="9">
        <v>6</v>
      </c>
      <c r="G6727" s="8">
        <f t="shared" si="207"/>
        <v>157.32150000000001</v>
      </c>
      <c r="H6727" s="16">
        <v>149.83000000000001</v>
      </c>
      <c r="I6727" s="19">
        <f t="shared" si="208"/>
        <v>943.92900000000009</v>
      </c>
    </row>
    <row r="6728" spans="1:9">
      <c r="A6728" s="135" t="s">
        <v>11169</v>
      </c>
      <c r="B6728" s="46"/>
      <c r="C6728" s="32" t="s">
        <v>11250</v>
      </c>
      <c r="D6728" s="32"/>
      <c r="E6728" s="2">
        <v>1</v>
      </c>
      <c r="F6728" s="9">
        <v>1</v>
      </c>
      <c r="G6728" s="8">
        <f t="shared" si="207"/>
        <v>124.761</v>
      </c>
      <c r="H6728" s="16">
        <v>118.82</v>
      </c>
      <c r="I6728" s="19">
        <f t="shared" si="208"/>
        <v>124.761</v>
      </c>
    </row>
    <row r="6729" spans="1:9">
      <c r="A6729" s="135" t="s">
        <v>11169</v>
      </c>
      <c r="B6729" s="46"/>
      <c r="C6729" s="32" t="s">
        <v>11251</v>
      </c>
      <c r="D6729" s="32"/>
      <c r="E6729" s="2">
        <v>1</v>
      </c>
      <c r="F6729" s="9">
        <v>1</v>
      </c>
      <c r="G6729" s="8">
        <f t="shared" si="207"/>
        <v>150.72750000000002</v>
      </c>
      <c r="H6729" s="16">
        <v>143.55000000000001</v>
      </c>
      <c r="I6729" s="19">
        <f t="shared" si="208"/>
        <v>150.72750000000002</v>
      </c>
    </row>
    <row r="6730" spans="1:9">
      <c r="A6730" s="135" t="s">
        <v>11169</v>
      </c>
      <c r="B6730" s="46"/>
      <c r="C6730" s="32" t="s">
        <v>11252</v>
      </c>
      <c r="D6730" s="32"/>
      <c r="E6730" s="2">
        <v>1</v>
      </c>
      <c r="F6730" s="9">
        <v>1</v>
      </c>
      <c r="G6730" s="8">
        <f t="shared" si="207"/>
        <v>351.18299999999999</v>
      </c>
      <c r="H6730" s="16">
        <v>334.46</v>
      </c>
      <c r="I6730" s="19">
        <f t="shared" si="208"/>
        <v>351.18299999999999</v>
      </c>
    </row>
    <row r="6731" spans="1:9">
      <c r="A6731" s="135" t="s">
        <v>11169</v>
      </c>
      <c r="B6731" s="46"/>
      <c r="C6731" s="32" t="s">
        <v>11253</v>
      </c>
      <c r="D6731" s="32"/>
      <c r="E6731" s="2">
        <v>1</v>
      </c>
      <c r="F6731" s="9">
        <v>268.55099999999999</v>
      </c>
      <c r="G6731" s="8">
        <f>H6717+(H6717*5%)</f>
        <v>65.383499999999998</v>
      </c>
      <c r="H6731" s="16">
        <v>18.540099999999999</v>
      </c>
      <c r="I6731" s="19">
        <f>G6731*F6731</f>
        <v>17558.804308499999</v>
      </c>
    </row>
    <row r="6732" spans="1:9">
      <c r="A6732" s="135" t="s">
        <v>11169</v>
      </c>
      <c r="B6732" s="46"/>
      <c r="C6732" s="32" t="s">
        <v>11254</v>
      </c>
      <c r="D6732" s="32"/>
      <c r="E6732" s="2">
        <v>1</v>
      </c>
      <c r="F6732" s="9">
        <v>49.332999999999998</v>
      </c>
      <c r="G6732" s="8">
        <f>H6717+(H6717*5%)</f>
        <v>65.383499999999998</v>
      </c>
      <c r="H6732" s="16">
        <v>18.540099999999999</v>
      </c>
      <c r="I6732" s="19">
        <f t="shared" ref="I6732:I6735" si="209">G6732*F6732</f>
        <v>3225.5642054999998</v>
      </c>
    </row>
    <row r="6733" spans="1:9">
      <c r="A6733" s="135" t="s">
        <v>11169</v>
      </c>
      <c r="B6733" s="46"/>
      <c r="C6733" s="32" t="s">
        <v>11255</v>
      </c>
      <c r="D6733" s="32"/>
      <c r="E6733" s="2">
        <v>1</v>
      </c>
      <c r="F6733" s="9">
        <v>132.316</v>
      </c>
      <c r="G6733" s="8">
        <f>H6717+(H6717*5%)</f>
        <v>65.383499999999998</v>
      </c>
      <c r="H6733" s="16">
        <v>18.540099999999999</v>
      </c>
      <c r="I6733" s="19">
        <f t="shared" si="209"/>
        <v>8651.2831860000006</v>
      </c>
    </row>
    <row r="6734" spans="1:9">
      <c r="A6734" s="135" t="s">
        <v>11169</v>
      </c>
      <c r="B6734" s="46"/>
      <c r="C6734" s="32" t="s">
        <v>11256</v>
      </c>
      <c r="D6734" s="32"/>
      <c r="E6734" s="2">
        <v>1</v>
      </c>
      <c r="F6734" s="9">
        <v>259.596</v>
      </c>
      <c r="G6734" s="8">
        <f>H6717+(H6717*5%)</f>
        <v>65.383499999999998</v>
      </c>
      <c r="H6734" s="16">
        <v>18.540099999999999</v>
      </c>
      <c r="I6734" s="19">
        <f t="shared" si="209"/>
        <v>16973.295065999999</v>
      </c>
    </row>
    <row r="6735" spans="1:9">
      <c r="A6735" s="135" t="s">
        <v>11169</v>
      </c>
      <c r="B6735" s="46"/>
      <c r="C6735" s="32" t="s">
        <v>11257</v>
      </c>
      <c r="D6735" s="32"/>
      <c r="E6735" s="2">
        <v>1</v>
      </c>
      <c r="F6735" s="9">
        <v>45</v>
      </c>
      <c r="G6735" s="8">
        <f>H6717+(H6717*5%)</f>
        <v>65.383499999999998</v>
      </c>
      <c r="H6735" s="16">
        <v>18.540099999999999</v>
      </c>
      <c r="I6735" s="19">
        <f t="shared" si="209"/>
        <v>2942.2574999999997</v>
      </c>
    </row>
    <row r="6736" spans="1:9" hidden="1">
      <c r="A6736" s="160" t="s">
        <v>11258</v>
      </c>
      <c r="B6736" s="46"/>
      <c r="C6736" s="32" t="s">
        <v>11259</v>
      </c>
      <c r="D6736" s="32"/>
      <c r="E6736" s="2">
        <v>1</v>
      </c>
      <c r="F6736" s="9"/>
      <c r="G6736" s="8"/>
      <c r="H6736" s="16">
        <v>105</v>
      </c>
      <c r="I6736" s="19">
        <f>H6736*F6736</f>
        <v>0</v>
      </c>
    </row>
    <row r="6737" spans="1:9" hidden="1">
      <c r="A6737" s="11" t="s">
        <v>11260</v>
      </c>
      <c r="B6737" s="2" t="s">
        <v>11261</v>
      </c>
      <c r="C6737" s="2" t="s">
        <v>11262</v>
      </c>
      <c r="D6737" s="2"/>
      <c r="E6737" s="2">
        <v>1</v>
      </c>
      <c r="F6737" s="9"/>
      <c r="G6737" s="8">
        <f>H6737+(H6737*5%)</f>
        <v>31.777877938711281</v>
      </c>
      <c r="H6737" s="8">
        <v>30.264645655915505</v>
      </c>
      <c r="I6737" s="19">
        <f>G6737*F6737</f>
        <v>0</v>
      </c>
    </row>
    <row r="6738" spans="1:9" hidden="1">
      <c r="A6738" s="11" t="s">
        <v>11260</v>
      </c>
      <c r="B6738" s="2" t="s">
        <v>11263</v>
      </c>
      <c r="C6738" s="2" t="s">
        <v>11264</v>
      </c>
      <c r="D6738" s="2"/>
      <c r="E6738" s="2">
        <v>1</v>
      </c>
      <c r="F6738" s="9"/>
      <c r="G6738" s="8">
        <f t="shared" ref="G6738:G6801" si="210">H6738+(H6738*5%)</f>
        <v>8.9039999999999994E-2</v>
      </c>
      <c r="H6738" s="8">
        <v>8.48E-2</v>
      </c>
      <c r="I6738" s="19">
        <f t="shared" ref="I6738:I6801" si="211">G6738*F6738</f>
        <v>0</v>
      </c>
    </row>
    <row r="6739" spans="1:9" hidden="1">
      <c r="A6739" s="11" t="s">
        <v>11260</v>
      </c>
      <c r="B6739" s="2" t="s">
        <v>11265</v>
      </c>
      <c r="C6739" s="2" t="s">
        <v>11266</v>
      </c>
      <c r="D6739" s="2"/>
      <c r="E6739" s="2">
        <v>1</v>
      </c>
      <c r="F6739" s="9"/>
      <c r="G6739" s="8">
        <f t="shared" si="210"/>
        <v>5.5650000000000005E-2</v>
      </c>
      <c r="H6739" s="8">
        <v>5.3000000000000005E-2</v>
      </c>
      <c r="I6739" s="19">
        <f t="shared" si="211"/>
        <v>0</v>
      </c>
    </row>
    <row r="6740" spans="1:9">
      <c r="A6740" s="11" t="s">
        <v>11260</v>
      </c>
      <c r="B6740" s="2" t="s">
        <v>11267</v>
      </c>
      <c r="C6740" s="2" t="s">
        <v>11268</v>
      </c>
      <c r="D6740" s="2"/>
      <c r="E6740" s="2">
        <v>1</v>
      </c>
      <c r="F6740" s="9">
        <v>10400</v>
      </c>
      <c r="G6740" s="8">
        <f t="shared" si="210"/>
        <v>7.7910000000000021E-2</v>
      </c>
      <c r="H6740" s="8">
        <v>7.4200000000000016E-2</v>
      </c>
      <c r="I6740" s="19">
        <f t="shared" si="211"/>
        <v>810.26400000000024</v>
      </c>
    </row>
    <row r="6741" spans="1:9">
      <c r="A6741" s="11" t="s">
        <v>11260</v>
      </c>
      <c r="B6741" s="2" t="s">
        <v>11269</v>
      </c>
      <c r="C6741" s="2" t="s">
        <v>11270</v>
      </c>
      <c r="D6741" s="32"/>
      <c r="E6741" s="2">
        <v>1</v>
      </c>
      <c r="F6741" s="9">
        <v>7400</v>
      </c>
      <c r="G6741" s="8">
        <f t="shared" si="210"/>
        <v>4.4519999999999997E-2</v>
      </c>
      <c r="H6741" s="8">
        <v>4.24E-2</v>
      </c>
      <c r="I6741" s="19">
        <f t="shared" si="211"/>
        <v>329.44799999999998</v>
      </c>
    </row>
    <row r="6742" spans="1:9" hidden="1">
      <c r="A6742" s="11" t="s">
        <v>11260</v>
      </c>
      <c r="B6742" s="2" t="s">
        <v>11271</v>
      </c>
      <c r="C6742" s="2" t="s">
        <v>11272</v>
      </c>
      <c r="D6742" s="32"/>
      <c r="E6742" s="2">
        <v>1</v>
      </c>
      <c r="F6742" s="9"/>
      <c r="G6742" s="8">
        <f t="shared" si="210"/>
        <v>0.28938000000000003</v>
      </c>
      <c r="H6742" s="8">
        <v>0.27560000000000001</v>
      </c>
      <c r="I6742" s="19">
        <f t="shared" si="211"/>
        <v>0</v>
      </c>
    </row>
    <row r="6743" spans="1:9">
      <c r="A6743" s="11" t="s">
        <v>11260</v>
      </c>
      <c r="B6743" s="2" t="s">
        <v>11273</v>
      </c>
      <c r="C6743" s="2" t="s">
        <v>11274</v>
      </c>
      <c r="D6743" s="32"/>
      <c r="E6743" s="2">
        <v>1</v>
      </c>
      <c r="F6743" s="9">
        <v>2061</v>
      </c>
      <c r="G6743" s="8">
        <f t="shared" si="210"/>
        <v>0.33390000000000003</v>
      </c>
      <c r="H6743" s="8">
        <v>0.318</v>
      </c>
      <c r="I6743" s="19">
        <f t="shared" si="211"/>
        <v>688.16790000000003</v>
      </c>
    </row>
    <row r="6744" spans="1:9" hidden="1">
      <c r="A6744" s="11" t="s">
        <v>11260</v>
      </c>
      <c r="B6744" s="2" t="s">
        <v>11275</v>
      </c>
      <c r="C6744" s="2" t="s">
        <v>11276</v>
      </c>
      <c r="D6744" s="34"/>
      <c r="E6744" s="2">
        <v>1</v>
      </c>
      <c r="F6744" s="9"/>
      <c r="G6744" s="8">
        <f t="shared" si="210"/>
        <v>265.2472329545455</v>
      </c>
      <c r="H6744" s="8">
        <v>252.61641233766235</v>
      </c>
      <c r="I6744" s="19">
        <f t="shared" si="211"/>
        <v>0</v>
      </c>
    </row>
    <row r="6745" spans="1:9" hidden="1">
      <c r="A6745" s="11" t="s">
        <v>11260</v>
      </c>
      <c r="B6745" s="2" t="s">
        <v>11277</v>
      </c>
      <c r="C6745" s="2" t="s">
        <v>11278</v>
      </c>
      <c r="D6745" s="32"/>
      <c r="E6745" s="2">
        <v>1</v>
      </c>
      <c r="F6745" s="9"/>
      <c r="G6745" s="8">
        <f t="shared" si="210"/>
        <v>296.32836583788242</v>
      </c>
      <c r="H6745" s="8">
        <v>282.21749127417371</v>
      </c>
      <c r="I6745" s="19">
        <f t="shared" si="211"/>
        <v>0</v>
      </c>
    </row>
    <row r="6746" spans="1:9" hidden="1">
      <c r="A6746" s="11" t="s">
        <v>11260</v>
      </c>
      <c r="B6746" s="2" t="s">
        <v>11279</v>
      </c>
      <c r="C6746" s="2" t="s">
        <v>11280</v>
      </c>
      <c r="D6746" s="32"/>
      <c r="E6746" s="2">
        <v>1</v>
      </c>
      <c r="F6746" s="9"/>
      <c r="G6746" s="8">
        <f t="shared" si="210"/>
        <v>3.2439195979899491</v>
      </c>
      <c r="H6746" s="8">
        <v>3.089447236180904</v>
      </c>
      <c r="I6746" s="19">
        <f t="shared" si="211"/>
        <v>0</v>
      </c>
    </row>
    <row r="6747" spans="1:9" hidden="1">
      <c r="A6747" s="11" t="s">
        <v>11260</v>
      </c>
      <c r="B6747" s="2" t="s">
        <v>11281</v>
      </c>
      <c r="C6747" s="2" t="s">
        <v>11282</v>
      </c>
      <c r="D6747" s="32"/>
      <c r="E6747" s="2">
        <v>1</v>
      </c>
      <c r="F6747" s="9"/>
      <c r="G6747" s="8">
        <f t="shared" si="210"/>
        <v>0.11550000000000001</v>
      </c>
      <c r="H6747" s="8">
        <v>0.11</v>
      </c>
      <c r="I6747" s="19">
        <f t="shared" si="211"/>
        <v>0</v>
      </c>
    </row>
    <row r="6748" spans="1:9" hidden="1">
      <c r="A6748" s="11" t="s">
        <v>11260</v>
      </c>
      <c r="B6748" s="2" t="s">
        <v>11283</v>
      </c>
      <c r="C6748" s="2" t="s">
        <v>11284</v>
      </c>
      <c r="D6748" s="2"/>
      <c r="E6748" s="2">
        <v>1</v>
      </c>
      <c r="F6748" s="9"/>
      <c r="G6748" s="8">
        <f t="shared" si="210"/>
        <v>5.5650000000000005E-2</v>
      </c>
      <c r="H6748" s="8">
        <v>5.3000000000000005E-2</v>
      </c>
      <c r="I6748" s="19">
        <f t="shared" si="211"/>
        <v>0</v>
      </c>
    </row>
    <row r="6749" spans="1:9" hidden="1">
      <c r="A6749" s="11" t="s">
        <v>11260</v>
      </c>
      <c r="B6749" s="2" t="s">
        <v>11285</v>
      </c>
      <c r="C6749" s="2" t="s">
        <v>11286</v>
      </c>
      <c r="D6749" s="32"/>
      <c r="E6749" s="2">
        <v>1</v>
      </c>
      <c r="F6749" s="9"/>
      <c r="G6749" s="8">
        <f t="shared" si="210"/>
        <v>0.41181000000000001</v>
      </c>
      <c r="H6749" s="8">
        <v>0.39219999999999999</v>
      </c>
      <c r="I6749" s="19">
        <f t="shared" si="211"/>
        <v>0</v>
      </c>
    </row>
    <row r="6750" spans="1:9" hidden="1">
      <c r="A6750" s="11" t="s">
        <v>11260</v>
      </c>
      <c r="B6750" s="2" t="s">
        <v>11287</v>
      </c>
      <c r="C6750" s="2" t="s">
        <v>11288</v>
      </c>
      <c r="D6750" s="32"/>
      <c r="E6750" s="2">
        <v>1</v>
      </c>
      <c r="F6750" s="9"/>
      <c r="G6750" s="8">
        <f t="shared" si="210"/>
        <v>1.1129999999999999E-2</v>
      </c>
      <c r="H6750" s="8">
        <v>1.06E-2</v>
      </c>
      <c r="I6750" s="19">
        <f t="shared" si="211"/>
        <v>0</v>
      </c>
    </row>
    <row r="6751" spans="1:9" hidden="1">
      <c r="A6751" s="11" t="s">
        <v>11260</v>
      </c>
      <c r="B6751" s="2" t="s">
        <v>11289</v>
      </c>
      <c r="C6751" s="2" t="s">
        <v>11290</v>
      </c>
      <c r="D6751" s="32"/>
      <c r="E6751" s="2">
        <v>1</v>
      </c>
      <c r="F6751" s="9"/>
      <c r="G6751" s="8">
        <f t="shared" si="210"/>
        <v>0.16695000000000002</v>
      </c>
      <c r="H6751" s="8">
        <v>0.159</v>
      </c>
      <c r="I6751" s="19">
        <f t="shared" si="211"/>
        <v>0</v>
      </c>
    </row>
    <row r="6752" spans="1:9" hidden="1">
      <c r="A6752" s="11" t="s">
        <v>11260</v>
      </c>
      <c r="B6752" s="2" t="s">
        <v>11291</v>
      </c>
      <c r="C6752" s="2" t="s">
        <v>11292</v>
      </c>
      <c r="D6752" s="32"/>
      <c r="E6752" s="2">
        <v>1</v>
      </c>
      <c r="F6752" s="9"/>
      <c r="G6752" s="8">
        <f t="shared" si="210"/>
        <v>0.29251530000000003</v>
      </c>
      <c r="H6752" s="8">
        <v>0.27858600000000006</v>
      </c>
      <c r="I6752" s="19">
        <f t="shared" si="211"/>
        <v>0</v>
      </c>
    </row>
    <row r="6753" spans="1:9">
      <c r="A6753" s="11" t="s">
        <v>11260</v>
      </c>
      <c r="B6753" s="2" t="s">
        <v>11293</v>
      </c>
      <c r="C6753" s="2" t="s">
        <v>11294</v>
      </c>
      <c r="D6753" s="32"/>
      <c r="E6753" s="2">
        <v>1</v>
      </c>
      <c r="F6753" s="9">
        <v>253</v>
      </c>
      <c r="G6753" s="8">
        <f t="shared" si="210"/>
        <v>1.5470699999999999</v>
      </c>
      <c r="H6753" s="8">
        <v>1.4734</v>
      </c>
      <c r="I6753" s="19">
        <f t="shared" si="211"/>
        <v>391.40870999999999</v>
      </c>
    </row>
    <row r="6754" spans="1:9" hidden="1">
      <c r="A6754" s="11" t="s">
        <v>11260</v>
      </c>
      <c r="B6754" s="2" t="s">
        <v>11295</v>
      </c>
      <c r="C6754" s="2" t="s">
        <v>11296</v>
      </c>
      <c r="D6754" s="32"/>
      <c r="E6754" s="2">
        <v>1</v>
      </c>
      <c r="F6754" s="9"/>
      <c r="G6754" s="8">
        <f t="shared" si="210"/>
        <v>0.50085000000000002</v>
      </c>
      <c r="H6754" s="8">
        <v>0.47700000000000004</v>
      </c>
      <c r="I6754" s="19">
        <f t="shared" si="211"/>
        <v>0</v>
      </c>
    </row>
    <row r="6755" spans="1:9">
      <c r="A6755" s="11" t="s">
        <v>11260</v>
      </c>
      <c r="B6755" s="2" t="s">
        <v>11297</v>
      </c>
      <c r="C6755" s="2" t="s">
        <v>11298</v>
      </c>
      <c r="D6755" s="32"/>
      <c r="E6755" s="2">
        <v>1</v>
      </c>
      <c r="F6755" s="9">
        <v>125</v>
      </c>
      <c r="G6755" s="8">
        <f t="shared" si="210"/>
        <v>0.55649999999999999</v>
      </c>
      <c r="H6755" s="8">
        <v>0.53</v>
      </c>
      <c r="I6755" s="19">
        <f t="shared" si="211"/>
        <v>69.5625</v>
      </c>
    </row>
    <row r="6756" spans="1:9">
      <c r="A6756" s="11" t="s">
        <v>11260</v>
      </c>
      <c r="B6756" s="2" t="s">
        <v>11299</v>
      </c>
      <c r="C6756" s="2" t="s">
        <v>11300</v>
      </c>
      <c r="D6756" s="32"/>
      <c r="E6756" s="2">
        <v>1</v>
      </c>
      <c r="F6756" s="9">
        <v>42</v>
      </c>
      <c r="G6756" s="8">
        <f t="shared" si="210"/>
        <v>1.2688199999999998</v>
      </c>
      <c r="H6756" s="8">
        <v>1.2083999999999999</v>
      </c>
      <c r="I6756" s="19">
        <f t="shared" si="211"/>
        <v>53.29043999999999</v>
      </c>
    </row>
    <row r="6757" spans="1:9">
      <c r="A6757" s="11" t="s">
        <v>11260</v>
      </c>
      <c r="B6757" s="2" t="s">
        <v>11301</v>
      </c>
      <c r="C6757" s="2" t="s">
        <v>11302</v>
      </c>
      <c r="D6757" s="32"/>
      <c r="E6757" s="2">
        <v>1</v>
      </c>
      <c r="F6757" s="9">
        <v>80</v>
      </c>
      <c r="G6757" s="8">
        <f t="shared" si="210"/>
        <v>1.31334</v>
      </c>
      <c r="H6757" s="8">
        <v>1.2507999999999999</v>
      </c>
      <c r="I6757" s="19">
        <f t="shared" si="211"/>
        <v>105.0672</v>
      </c>
    </row>
    <row r="6758" spans="1:9" hidden="1">
      <c r="A6758" s="11" t="s">
        <v>11260</v>
      </c>
      <c r="B6758" s="2" t="s">
        <v>11303</v>
      </c>
      <c r="C6758" s="2" t="s">
        <v>11304</v>
      </c>
      <c r="D6758" s="32"/>
      <c r="E6758" s="2">
        <v>1</v>
      </c>
      <c r="F6758" s="9"/>
      <c r="G6758" s="8">
        <f t="shared" si="210"/>
        <v>1.1129999999999999E-2</v>
      </c>
      <c r="H6758" s="8">
        <v>1.06E-2</v>
      </c>
      <c r="I6758" s="19">
        <f t="shared" si="211"/>
        <v>0</v>
      </c>
    </row>
    <row r="6759" spans="1:9" hidden="1">
      <c r="A6759" s="11" t="s">
        <v>11260</v>
      </c>
      <c r="B6759" s="2" t="s">
        <v>11305</v>
      </c>
      <c r="C6759" s="2" t="s">
        <v>11306</v>
      </c>
      <c r="D6759" s="32" t="s">
        <v>572</v>
      </c>
      <c r="E6759" s="2">
        <v>1</v>
      </c>
      <c r="F6759" s="9"/>
      <c r="G6759" s="8">
        <f t="shared" si="210"/>
        <v>7.0979999999999999</v>
      </c>
      <c r="H6759" s="16">
        <v>6.76</v>
      </c>
      <c r="I6759" s="19">
        <f t="shared" si="211"/>
        <v>0</v>
      </c>
    </row>
    <row r="6760" spans="1:9" hidden="1">
      <c r="A6760" s="11" t="s">
        <v>11260</v>
      </c>
      <c r="B6760" s="2" t="s">
        <v>11307</v>
      </c>
      <c r="C6760" s="2" t="s">
        <v>11308</v>
      </c>
      <c r="D6760" s="32"/>
      <c r="E6760" s="2">
        <v>1</v>
      </c>
      <c r="F6760" s="9"/>
      <c r="G6760" s="8">
        <f t="shared" si="210"/>
        <v>0.29400000000000004</v>
      </c>
      <c r="H6760" s="8">
        <v>0.28000000000000003</v>
      </c>
      <c r="I6760" s="19">
        <f t="shared" si="211"/>
        <v>0</v>
      </c>
    </row>
    <row r="6761" spans="1:9" hidden="1">
      <c r="A6761" s="11" t="s">
        <v>11260</v>
      </c>
      <c r="B6761" s="2" t="s">
        <v>11309</v>
      </c>
      <c r="C6761" s="2" t="s">
        <v>11310</v>
      </c>
      <c r="D6761" s="32"/>
      <c r="E6761" s="2">
        <v>1</v>
      </c>
      <c r="F6761" s="9"/>
      <c r="G6761" s="8">
        <f t="shared" si="210"/>
        <v>1.5434999999999999</v>
      </c>
      <c r="H6761" s="8">
        <v>1.47</v>
      </c>
      <c r="I6761" s="19">
        <f t="shared" si="211"/>
        <v>0</v>
      </c>
    </row>
    <row r="6762" spans="1:9" hidden="1">
      <c r="A6762" s="11" t="s">
        <v>11260</v>
      </c>
      <c r="B6762" s="2" t="s">
        <v>11311</v>
      </c>
      <c r="C6762" s="2" t="s">
        <v>11312</v>
      </c>
      <c r="D6762" s="32"/>
      <c r="E6762" s="2">
        <v>1</v>
      </c>
      <c r="F6762" s="9"/>
      <c r="G6762" s="8">
        <f t="shared" si="210"/>
        <v>0.54600000000000004</v>
      </c>
      <c r="H6762" s="8">
        <v>0.52</v>
      </c>
      <c r="I6762" s="19">
        <f t="shared" si="211"/>
        <v>0</v>
      </c>
    </row>
    <row r="6763" spans="1:9" hidden="1">
      <c r="A6763" s="11" t="s">
        <v>11260</v>
      </c>
      <c r="B6763" s="2" t="s">
        <v>11313</v>
      </c>
      <c r="C6763" s="2" t="s">
        <v>11314</v>
      </c>
      <c r="D6763" s="32"/>
      <c r="E6763" s="2">
        <v>1</v>
      </c>
      <c r="F6763" s="9"/>
      <c r="G6763" s="8">
        <f t="shared" si="210"/>
        <v>37.220978496350369</v>
      </c>
      <c r="H6763" s="8">
        <v>35.448550948905115</v>
      </c>
      <c r="I6763" s="19">
        <f t="shared" si="211"/>
        <v>0</v>
      </c>
    </row>
    <row r="6764" spans="1:9">
      <c r="A6764" s="11" t="s">
        <v>11260</v>
      </c>
      <c r="B6764" s="2" t="s">
        <v>11315</v>
      </c>
      <c r="C6764" s="2" t="s">
        <v>11316</v>
      </c>
      <c r="D6764" s="32"/>
      <c r="E6764" s="2">
        <v>1</v>
      </c>
      <c r="F6764" s="9">
        <f>23+50+50+79+(67/6)</f>
        <v>213.16666666666666</v>
      </c>
      <c r="G6764" s="8">
        <f t="shared" si="210"/>
        <v>43.764117038216568</v>
      </c>
      <c r="H6764" s="8">
        <v>41.680111464968164</v>
      </c>
      <c r="I6764" s="19">
        <f t="shared" si="211"/>
        <v>9329.050948646498</v>
      </c>
    </row>
    <row r="6765" spans="1:9" hidden="1">
      <c r="A6765" s="11" t="s">
        <v>11260</v>
      </c>
      <c r="B6765" s="2" t="s">
        <v>11317</v>
      </c>
      <c r="C6765" s="2" t="s">
        <v>11318</v>
      </c>
      <c r="D6765" s="32"/>
      <c r="E6765" s="2">
        <v>1</v>
      </c>
      <c r="F6765" s="9"/>
      <c r="G6765" s="8">
        <f t="shared" si="210"/>
        <v>101.25975844988345</v>
      </c>
      <c r="H6765" s="8">
        <v>96.437865190365187</v>
      </c>
      <c r="I6765" s="19">
        <f t="shared" si="211"/>
        <v>0</v>
      </c>
    </row>
    <row r="6766" spans="1:9">
      <c r="A6766" s="11" t="s">
        <v>11260</v>
      </c>
      <c r="B6766" s="2" t="s">
        <v>11319</v>
      </c>
      <c r="C6766" s="2" t="s">
        <v>11320</v>
      </c>
      <c r="D6766" s="32"/>
      <c r="E6766" s="2">
        <v>1</v>
      </c>
      <c r="F6766" s="9">
        <v>16</v>
      </c>
      <c r="G6766" s="8">
        <f t="shared" si="210"/>
        <v>24.4187023255814</v>
      </c>
      <c r="H6766" s="8">
        <v>23.255906976744189</v>
      </c>
      <c r="I6766" s="19">
        <f t="shared" si="211"/>
        <v>390.6992372093024</v>
      </c>
    </row>
    <row r="6767" spans="1:9" hidden="1">
      <c r="A6767" s="11" t="s">
        <v>11260</v>
      </c>
      <c r="B6767" s="2" t="s">
        <v>11321</v>
      </c>
      <c r="C6767" s="2" t="s">
        <v>11322</v>
      </c>
      <c r="D6767" s="32"/>
      <c r="E6767" s="2">
        <v>1</v>
      </c>
      <c r="F6767" s="9"/>
      <c r="G6767" s="8">
        <f t="shared" si="210"/>
        <v>30.823563696098567</v>
      </c>
      <c r="H6767" s="8">
        <v>29.355774948665303</v>
      </c>
      <c r="I6767" s="19">
        <f t="shared" si="211"/>
        <v>0</v>
      </c>
    </row>
    <row r="6768" spans="1:9" hidden="1">
      <c r="A6768" s="11" t="s">
        <v>11260</v>
      </c>
      <c r="B6768" s="2" t="s">
        <v>11323</v>
      </c>
      <c r="C6768" s="2" t="s">
        <v>11324</v>
      </c>
      <c r="D6768" s="32"/>
      <c r="E6768" s="2">
        <v>1</v>
      </c>
      <c r="F6768" s="9"/>
      <c r="G6768" s="8">
        <f t="shared" si="210"/>
        <v>31.551235299539172</v>
      </c>
      <c r="H6768" s="8">
        <v>30.048795523370639</v>
      </c>
      <c r="I6768" s="19">
        <f t="shared" si="211"/>
        <v>0</v>
      </c>
    </row>
    <row r="6769" spans="1:9" hidden="1">
      <c r="A6769" s="11" t="s">
        <v>11260</v>
      </c>
      <c r="B6769" s="2" t="s">
        <v>11325</v>
      </c>
      <c r="C6769" s="2" t="s">
        <v>11326</v>
      </c>
      <c r="D6769" s="32"/>
      <c r="E6769" s="2">
        <v>1</v>
      </c>
      <c r="F6769" s="9"/>
      <c r="G6769" s="8">
        <f t="shared" si="210"/>
        <v>63.054910501895037</v>
      </c>
      <c r="H6769" s="8">
        <v>60.052295716090512</v>
      </c>
      <c r="I6769" s="19">
        <f t="shared" si="211"/>
        <v>0</v>
      </c>
    </row>
    <row r="6770" spans="1:9" hidden="1">
      <c r="A6770" s="11" t="s">
        <v>11260</v>
      </c>
      <c r="B6770" s="2" t="s">
        <v>11327</v>
      </c>
      <c r="C6770" s="2" t="s">
        <v>11328</v>
      </c>
      <c r="D6770" s="32" t="s">
        <v>572</v>
      </c>
      <c r="E6770" s="2">
        <v>1</v>
      </c>
      <c r="F6770" s="9"/>
      <c r="G6770" s="8">
        <f t="shared" si="210"/>
        <v>0.378</v>
      </c>
      <c r="H6770" s="16">
        <v>0.36</v>
      </c>
      <c r="I6770" s="19">
        <f t="shared" si="211"/>
        <v>0</v>
      </c>
    </row>
    <row r="6771" spans="1:9" hidden="1">
      <c r="A6771" s="11" t="s">
        <v>11260</v>
      </c>
      <c r="B6771" s="2" t="s">
        <v>11329</v>
      </c>
      <c r="C6771" s="2" t="s">
        <v>11330</v>
      </c>
      <c r="D6771" s="32"/>
      <c r="E6771" s="2">
        <v>1</v>
      </c>
      <c r="F6771" s="9"/>
      <c r="G6771" s="8">
        <f t="shared" si="210"/>
        <v>0.43407000000000007</v>
      </c>
      <c r="H6771" s="8">
        <v>0.41340000000000005</v>
      </c>
      <c r="I6771" s="19">
        <f t="shared" si="211"/>
        <v>0</v>
      </c>
    </row>
    <row r="6772" spans="1:9" hidden="1">
      <c r="A6772" s="11" t="s">
        <v>11260</v>
      </c>
      <c r="B6772" s="2" t="s">
        <v>11331</v>
      </c>
      <c r="C6772" s="2" t="s">
        <v>11332</v>
      </c>
      <c r="D6772" s="2"/>
      <c r="E6772" s="2">
        <v>1</v>
      </c>
      <c r="F6772" s="9"/>
      <c r="G6772" s="8">
        <f t="shared" si="210"/>
        <v>0.55649999999999999</v>
      </c>
      <c r="H6772" s="8">
        <v>0.53</v>
      </c>
      <c r="I6772" s="19">
        <f t="shared" si="211"/>
        <v>0</v>
      </c>
    </row>
    <row r="6773" spans="1:9" hidden="1">
      <c r="A6773" s="11" t="s">
        <v>11260</v>
      </c>
      <c r="B6773" s="2" t="s">
        <v>11333</v>
      </c>
      <c r="C6773" s="2" t="s">
        <v>11334</v>
      </c>
      <c r="D6773" s="2"/>
      <c r="E6773" s="2">
        <v>1</v>
      </c>
      <c r="F6773" s="9"/>
      <c r="G6773" s="8">
        <f t="shared" si="210"/>
        <v>27.212957024539879</v>
      </c>
      <c r="H6773" s="8">
        <v>25.917101928133217</v>
      </c>
      <c r="I6773" s="19">
        <f t="shared" si="211"/>
        <v>0</v>
      </c>
    </row>
    <row r="6774" spans="1:9" hidden="1">
      <c r="A6774" s="11" t="s">
        <v>11260</v>
      </c>
      <c r="B6774" s="2" t="s">
        <v>11335</v>
      </c>
      <c r="C6774" s="2" t="s">
        <v>11336</v>
      </c>
      <c r="D6774" s="2"/>
      <c r="E6774" s="2">
        <v>1</v>
      </c>
      <c r="F6774" s="9"/>
      <c r="G6774" s="8">
        <f t="shared" si="210"/>
        <v>0.97944000000000009</v>
      </c>
      <c r="H6774" s="8">
        <v>0.93280000000000007</v>
      </c>
      <c r="I6774" s="19">
        <f t="shared" si="211"/>
        <v>0</v>
      </c>
    </row>
    <row r="6775" spans="1:9" hidden="1">
      <c r="A6775" s="11" t="s">
        <v>11260</v>
      </c>
      <c r="B6775" s="2" t="s">
        <v>11337</v>
      </c>
      <c r="C6775" s="2" t="s">
        <v>11338</v>
      </c>
      <c r="D6775" s="2"/>
      <c r="E6775" s="2">
        <v>1</v>
      </c>
      <c r="F6775" s="9"/>
      <c r="G6775" s="8">
        <f t="shared" si="210"/>
        <v>1.1559806603773586</v>
      </c>
      <c r="H6775" s="8">
        <v>1.100933962264151</v>
      </c>
      <c r="I6775" s="19">
        <f t="shared" si="211"/>
        <v>0</v>
      </c>
    </row>
    <row r="6776" spans="1:9" hidden="1">
      <c r="A6776" s="11" t="s">
        <v>11260</v>
      </c>
      <c r="B6776" s="2" t="s">
        <v>11339</v>
      </c>
      <c r="C6776" s="2" t="s">
        <v>11340</v>
      </c>
      <c r="D6776" s="2"/>
      <c r="E6776" s="2">
        <v>1</v>
      </c>
      <c r="F6776" s="9"/>
      <c r="G6776" s="8">
        <f t="shared" si="210"/>
        <v>50.930261006289321</v>
      </c>
      <c r="H6776" s="8">
        <v>48.505010482180303</v>
      </c>
      <c r="I6776" s="19">
        <f t="shared" si="211"/>
        <v>0</v>
      </c>
    </row>
    <row r="6777" spans="1:9" hidden="1">
      <c r="A6777" s="11" t="s">
        <v>11260</v>
      </c>
      <c r="B6777" s="2" t="s">
        <v>11341</v>
      </c>
      <c r="C6777" s="2" t="s">
        <v>11342</v>
      </c>
      <c r="D6777" s="2"/>
      <c r="E6777" s="2">
        <v>1</v>
      </c>
      <c r="F6777" s="9"/>
      <c r="G6777" s="8">
        <f t="shared" si="210"/>
        <v>60.501772620464024</v>
      </c>
      <c r="H6777" s="8">
        <v>57.620735829013356</v>
      </c>
      <c r="I6777" s="19">
        <f t="shared" si="211"/>
        <v>0</v>
      </c>
    </row>
    <row r="6778" spans="1:9" hidden="1">
      <c r="A6778" s="11" t="s">
        <v>11260</v>
      </c>
      <c r="B6778" s="2" t="s">
        <v>11343</v>
      </c>
      <c r="C6778" s="2" t="s">
        <v>11344</v>
      </c>
      <c r="D6778" s="2"/>
      <c r="E6778" s="2">
        <v>1</v>
      </c>
      <c r="F6778" s="9"/>
      <c r="G6778" s="8">
        <f t="shared" si="210"/>
        <v>37.588374109566097</v>
      </c>
      <c r="H6778" s="8">
        <v>35.79845153292009</v>
      </c>
      <c r="I6778" s="19">
        <f t="shared" si="211"/>
        <v>0</v>
      </c>
    </row>
    <row r="6779" spans="1:9" hidden="1">
      <c r="A6779" s="11" t="s">
        <v>11260</v>
      </c>
      <c r="B6779" s="2" t="s">
        <v>11345</v>
      </c>
      <c r="C6779" s="2" t="s">
        <v>11346</v>
      </c>
      <c r="D6779" s="2"/>
      <c r="E6779" s="2">
        <v>1</v>
      </c>
      <c r="F6779" s="9"/>
      <c r="G6779" s="8">
        <f t="shared" si="210"/>
        <v>75.177290604920415</v>
      </c>
      <c r="H6779" s="8">
        <v>71.597419623733728</v>
      </c>
      <c r="I6779" s="19">
        <f t="shared" si="211"/>
        <v>0</v>
      </c>
    </row>
    <row r="6780" spans="1:9" hidden="1">
      <c r="A6780" s="11" t="s">
        <v>11260</v>
      </c>
      <c r="B6780" s="2" t="s">
        <v>11347</v>
      </c>
      <c r="C6780" s="2" t="s">
        <v>11348</v>
      </c>
      <c r="D6780" s="2"/>
      <c r="E6780" s="2">
        <v>1</v>
      </c>
      <c r="F6780" s="9"/>
      <c r="G6780" s="8">
        <f t="shared" si="210"/>
        <v>8.1490831736954981</v>
      </c>
      <c r="H6780" s="8">
        <v>7.7610315939957122</v>
      </c>
      <c r="I6780" s="19">
        <f t="shared" si="211"/>
        <v>0</v>
      </c>
    </row>
    <row r="6781" spans="1:9" hidden="1">
      <c r="A6781" s="11" t="s">
        <v>11260</v>
      </c>
      <c r="B6781" s="2" t="s">
        <v>11349</v>
      </c>
      <c r="C6781" s="2" t="s">
        <v>11350</v>
      </c>
      <c r="D6781" s="2" t="s">
        <v>572</v>
      </c>
      <c r="E6781" s="2">
        <v>1</v>
      </c>
      <c r="F6781" s="9"/>
      <c r="G6781" s="8">
        <f t="shared" si="210"/>
        <v>0.66149999999999998</v>
      </c>
      <c r="H6781" s="16">
        <v>0.63</v>
      </c>
      <c r="I6781" s="19">
        <f t="shared" si="211"/>
        <v>0</v>
      </c>
    </row>
    <row r="6782" spans="1:9" hidden="1">
      <c r="A6782" s="11" t="s">
        <v>11260</v>
      </c>
      <c r="B6782" s="2" t="s">
        <v>11351</v>
      </c>
      <c r="C6782" s="2" t="s">
        <v>11352</v>
      </c>
      <c r="D6782" s="2"/>
      <c r="E6782" s="2">
        <v>1</v>
      </c>
      <c r="F6782" s="9"/>
      <c r="G6782" s="8">
        <f t="shared" si="210"/>
        <v>28.977712238122496</v>
      </c>
      <c r="H6782" s="8">
        <v>27.597821179164281</v>
      </c>
      <c r="I6782" s="19">
        <f t="shared" si="211"/>
        <v>0</v>
      </c>
    </row>
    <row r="6783" spans="1:9" hidden="1">
      <c r="A6783" s="11" t="s">
        <v>11260</v>
      </c>
      <c r="B6783" s="2" t="s">
        <v>11353</v>
      </c>
      <c r="C6783" s="2" t="s">
        <v>11354</v>
      </c>
      <c r="D6783" s="2"/>
      <c r="E6783" s="2">
        <v>1</v>
      </c>
      <c r="F6783" s="9"/>
      <c r="G6783" s="8">
        <f t="shared" si="210"/>
        <v>29.381494834710747</v>
      </c>
      <c r="H6783" s="8">
        <v>27.982376033057854</v>
      </c>
      <c r="I6783" s="19">
        <f t="shared" si="211"/>
        <v>0</v>
      </c>
    </row>
    <row r="6784" spans="1:9" hidden="1">
      <c r="A6784" s="11" t="s">
        <v>11260</v>
      </c>
      <c r="B6784" s="2" t="s">
        <v>11355</v>
      </c>
      <c r="C6784" s="2" t="s">
        <v>11356</v>
      </c>
      <c r="D6784" s="2"/>
      <c r="E6784" s="2">
        <v>1</v>
      </c>
      <c r="F6784" s="9"/>
      <c r="G6784" s="8">
        <f t="shared" si="210"/>
        <v>27.242681961414796</v>
      </c>
      <c r="H6784" s="8">
        <v>25.945411391823615</v>
      </c>
      <c r="I6784" s="19">
        <f t="shared" si="211"/>
        <v>0</v>
      </c>
    </row>
    <row r="6785" spans="1:9" hidden="1">
      <c r="A6785" s="11" t="s">
        <v>11260</v>
      </c>
      <c r="B6785" s="2" t="s">
        <v>11357</v>
      </c>
      <c r="C6785" s="2" t="s">
        <v>11358</v>
      </c>
      <c r="D6785" s="2"/>
      <c r="E6785" s="2">
        <v>1</v>
      </c>
      <c r="F6785" s="9"/>
      <c r="G6785" s="8">
        <f t="shared" si="210"/>
        <v>51.756358222109668</v>
      </c>
      <c r="H6785" s="8">
        <v>49.291769735342541</v>
      </c>
      <c r="I6785" s="19">
        <f t="shared" si="211"/>
        <v>0</v>
      </c>
    </row>
    <row r="6786" spans="1:9" hidden="1">
      <c r="A6786" s="11" t="s">
        <v>11260</v>
      </c>
      <c r="B6786" s="2" t="s">
        <v>11359</v>
      </c>
      <c r="C6786" s="2" t="s">
        <v>11360</v>
      </c>
      <c r="D6786" s="2"/>
      <c r="E6786" s="2">
        <v>1</v>
      </c>
      <c r="F6786" s="9"/>
      <c r="G6786" s="8">
        <f t="shared" si="210"/>
        <v>30.847147963118193</v>
      </c>
      <c r="H6786" s="8">
        <v>29.37823615535066</v>
      </c>
      <c r="I6786" s="19">
        <f t="shared" si="211"/>
        <v>0</v>
      </c>
    </row>
    <row r="6787" spans="1:9" hidden="1">
      <c r="A6787" s="11" t="s">
        <v>11260</v>
      </c>
      <c r="B6787" s="2" t="s">
        <v>11361</v>
      </c>
      <c r="C6787" s="2" t="s">
        <v>11362</v>
      </c>
      <c r="D6787" s="2"/>
      <c r="E6787" s="2">
        <v>1</v>
      </c>
      <c r="F6787" s="9"/>
      <c r="G6787" s="8">
        <f t="shared" si="210"/>
        <v>29.049135972369818</v>
      </c>
      <c r="H6787" s="8">
        <v>27.66584378320935</v>
      </c>
      <c r="I6787" s="19">
        <f t="shared" si="211"/>
        <v>0</v>
      </c>
    </row>
    <row r="6788" spans="1:9" hidden="1">
      <c r="A6788" s="11" t="s">
        <v>11260</v>
      </c>
      <c r="B6788" s="2" t="s">
        <v>11363</v>
      </c>
      <c r="C6788" s="2" t="s">
        <v>11364</v>
      </c>
      <c r="D6788" s="2"/>
      <c r="E6788" s="2">
        <v>1</v>
      </c>
      <c r="F6788" s="9"/>
      <c r="G6788" s="8">
        <f t="shared" si="210"/>
        <v>35.80627510405759</v>
      </c>
      <c r="H6788" s="8">
        <v>34.10121438481675</v>
      </c>
      <c r="I6788" s="19">
        <f t="shared" si="211"/>
        <v>0</v>
      </c>
    </row>
    <row r="6789" spans="1:9" hidden="1">
      <c r="A6789" s="11" t="s">
        <v>11260</v>
      </c>
      <c r="B6789" s="2" t="s">
        <v>11365</v>
      </c>
      <c r="C6789" s="2" t="s">
        <v>11366</v>
      </c>
      <c r="D6789" s="2" t="s">
        <v>572</v>
      </c>
      <c r="E6789" s="2">
        <v>1</v>
      </c>
      <c r="F6789" s="9"/>
      <c r="G6789" s="8">
        <f t="shared" si="210"/>
        <v>0.35700000000000004</v>
      </c>
      <c r="H6789" s="16">
        <v>0.34</v>
      </c>
      <c r="I6789" s="19">
        <f t="shared" si="211"/>
        <v>0</v>
      </c>
    </row>
    <row r="6790" spans="1:9" hidden="1">
      <c r="A6790" s="11" t="s">
        <v>11260</v>
      </c>
      <c r="B6790" s="2" t="s">
        <v>11367</v>
      </c>
      <c r="C6790" s="2" t="s">
        <v>11368</v>
      </c>
      <c r="D6790" s="2"/>
      <c r="E6790" s="2">
        <v>1</v>
      </c>
      <c r="F6790" s="9"/>
      <c r="G6790" s="8">
        <f t="shared" si="210"/>
        <v>38.822206182702331</v>
      </c>
      <c r="H6790" s="8">
        <v>36.973529697811742</v>
      </c>
      <c r="I6790" s="19">
        <f t="shared" si="211"/>
        <v>0</v>
      </c>
    </row>
    <row r="6791" spans="1:9" hidden="1">
      <c r="A6791" s="11" t="s">
        <v>11260</v>
      </c>
      <c r="B6791" s="2" t="s">
        <v>11369</v>
      </c>
      <c r="C6791" s="2" t="s">
        <v>11370</v>
      </c>
      <c r="D6791" s="2"/>
      <c r="E6791" s="2">
        <v>1</v>
      </c>
      <c r="F6791" s="9"/>
      <c r="G6791" s="8">
        <f t="shared" si="210"/>
        <v>25.590341990668744</v>
      </c>
      <c r="H6791" s="8">
        <v>24.371754276827374</v>
      </c>
      <c r="I6791" s="19">
        <f t="shared" si="211"/>
        <v>0</v>
      </c>
    </row>
    <row r="6792" spans="1:9" hidden="1">
      <c r="A6792" s="11" t="s">
        <v>11260</v>
      </c>
      <c r="B6792" s="2" t="s">
        <v>11371</v>
      </c>
      <c r="C6792" s="2" t="s">
        <v>11372</v>
      </c>
      <c r="D6792" s="2"/>
      <c r="E6792" s="2">
        <v>1</v>
      </c>
      <c r="F6792" s="9"/>
      <c r="G6792" s="8">
        <f t="shared" si="210"/>
        <v>68.636509423903703</v>
      </c>
      <c r="H6792" s="8">
        <v>65.368104213241622</v>
      </c>
      <c r="I6792" s="19">
        <f t="shared" si="211"/>
        <v>0</v>
      </c>
    </row>
    <row r="6793" spans="1:9" hidden="1">
      <c r="A6793" s="11" t="s">
        <v>11260</v>
      </c>
      <c r="B6793" s="2" t="s">
        <v>11373</v>
      </c>
      <c r="C6793" s="2" t="s">
        <v>11374</v>
      </c>
      <c r="D6793" s="2"/>
      <c r="E6793" s="2">
        <v>1</v>
      </c>
      <c r="F6793" s="9"/>
      <c r="G6793" s="8">
        <f t="shared" si="210"/>
        <v>11.576199228149827</v>
      </c>
      <c r="H6793" s="8">
        <v>11.024951645856978</v>
      </c>
      <c r="I6793" s="19">
        <f t="shared" si="211"/>
        <v>0</v>
      </c>
    </row>
    <row r="6794" spans="1:9" hidden="1">
      <c r="A6794" s="11" t="s">
        <v>11260</v>
      </c>
      <c r="B6794" s="2" t="s">
        <v>11375</v>
      </c>
      <c r="C6794" s="2" t="s">
        <v>11376</v>
      </c>
      <c r="D6794" s="2"/>
      <c r="E6794" s="2">
        <v>1</v>
      </c>
      <c r="F6794" s="9"/>
      <c r="G6794" s="8">
        <f t="shared" si="210"/>
        <v>15.341728230366023</v>
      </c>
      <c r="H6794" s="8">
        <v>14.611169743205735</v>
      </c>
      <c r="I6794" s="19">
        <f t="shared" si="211"/>
        <v>0</v>
      </c>
    </row>
    <row r="6795" spans="1:9" hidden="1">
      <c r="A6795" s="11" t="s">
        <v>11260</v>
      </c>
      <c r="B6795" s="2" t="s">
        <v>11377</v>
      </c>
      <c r="C6795" s="2" t="s">
        <v>11378</v>
      </c>
      <c r="D6795" s="2"/>
      <c r="E6795" s="2">
        <v>1</v>
      </c>
      <c r="F6795" s="9"/>
      <c r="G6795" s="8">
        <f t="shared" si="210"/>
        <v>14.238702904564315</v>
      </c>
      <c r="H6795" s="8">
        <v>13.560669432918395</v>
      </c>
      <c r="I6795" s="19">
        <f t="shared" si="211"/>
        <v>0</v>
      </c>
    </row>
    <row r="6796" spans="1:9" hidden="1">
      <c r="A6796" s="11" t="s">
        <v>11260</v>
      </c>
      <c r="B6796" s="2" t="s">
        <v>11379</v>
      </c>
      <c r="C6796" s="2" t="s">
        <v>11380</v>
      </c>
      <c r="D6796" s="2"/>
      <c r="E6796" s="2">
        <v>1</v>
      </c>
      <c r="F6796" s="9"/>
      <c r="G6796" s="8">
        <f t="shared" si="210"/>
        <v>22.570500182950706</v>
      </c>
      <c r="H6796" s="8">
        <v>21.495714459953053</v>
      </c>
      <c r="I6796" s="19">
        <f t="shared" si="211"/>
        <v>0</v>
      </c>
    </row>
    <row r="6797" spans="1:9" hidden="1">
      <c r="A6797" s="11" t="s">
        <v>11260</v>
      </c>
      <c r="B6797" s="2" t="s">
        <v>11381</v>
      </c>
      <c r="C6797" s="2" t="s">
        <v>11382</v>
      </c>
      <c r="D6797" s="2"/>
      <c r="E6797" s="2">
        <v>1</v>
      </c>
      <c r="F6797" s="9"/>
      <c r="G6797" s="8">
        <f t="shared" si="210"/>
        <v>54.983720544278398</v>
      </c>
      <c r="H6797" s="8">
        <v>52.365448137407995</v>
      </c>
      <c r="I6797" s="19">
        <f t="shared" si="211"/>
        <v>0</v>
      </c>
    </row>
    <row r="6798" spans="1:9" hidden="1">
      <c r="A6798" s="11" t="s">
        <v>11260</v>
      </c>
      <c r="B6798" s="2" t="s">
        <v>11383</v>
      </c>
      <c r="C6798" s="2" t="s">
        <v>11384</v>
      </c>
      <c r="D6798" s="2" t="s">
        <v>572</v>
      </c>
      <c r="E6798" s="2">
        <v>1</v>
      </c>
      <c r="F6798" s="9"/>
      <c r="G6798" s="8">
        <f t="shared" si="210"/>
        <v>0.78749999999999998</v>
      </c>
      <c r="H6798" s="16">
        <v>0.75</v>
      </c>
      <c r="I6798" s="19">
        <f t="shared" si="211"/>
        <v>0</v>
      </c>
    </row>
    <row r="6799" spans="1:9" hidden="1">
      <c r="A6799" s="11" t="s">
        <v>11260</v>
      </c>
      <c r="B6799" s="2" t="s">
        <v>11385</v>
      </c>
      <c r="C6799" s="2" t="s">
        <v>11386</v>
      </c>
      <c r="D6799" s="2"/>
      <c r="E6799" s="2">
        <v>1</v>
      </c>
      <c r="F6799" s="9"/>
      <c r="G6799" s="8">
        <f t="shared" si="210"/>
        <v>19.511494341681573</v>
      </c>
      <c r="H6799" s="8">
        <v>18.582375563506261</v>
      </c>
      <c r="I6799" s="19">
        <f t="shared" si="211"/>
        <v>0</v>
      </c>
    </row>
    <row r="6800" spans="1:9" hidden="1">
      <c r="A6800" s="11" t="s">
        <v>11260</v>
      </c>
      <c r="B6800" s="2" t="s">
        <v>11387</v>
      </c>
      <c r="C6800" s="2" t="s">
        <v>11388</v>
      </c>
      <c r="D6800" s="2"/>
      <c r="E6800" s="2">
        <v>1</v>
      </c>
      <c r="F6800" s="9"/>
      <c r="G6800" s="8">
        <f t="shared" si="210"/>
        <v>38.754093026292253</v>
      </c>
      <c r="H6800" s="8">
        <v>36.908660025040241</v>
      </c>
      <c r="I6800" s="19">
        <f t="shared" si="211"/>
        <v>0</v>
      </c>
    </row>
    <row r="6801" spans="1:9" hidden="1">
      <c r="A6801" s="11" t="s">
        <v>11260</v>
      </c>
      <c r="B6801" s="2" t="s">
        <v>11389</v>
      </c>
      <c r="C6801" s="2" t="s">
        <v>11390</v>
      </c>
      <c r="D6801" s="2"/>
      <c r="E6801" s="2">
        <v>1</v>
      </c>
      <c r="F6801" s="9"/>
      <c r="G6801" s="8">
        <f t="shared" si="210"/>
        <v>14.808843474313555</v>
      </c>
      <c r="H6801" s="8">
        <v>14.103660451727196</v>
      </c>
      <c r="I6801" s="19">
        <f t="shared" si="211"/>
        <v>0</v>
      </c>
    </row>
    <row r="6802" spans="1:9" hidden="1">
      <c r="A6802" s="11" t="s">
        <v>11260</v>
      </c>
      <c r="B6802" s="2" t="s">
        <v>11391</v>
      </c>
      <c r="C6802" s="2" t="s">
        <v>11392</v>
      </c>
      <c r="D6802" s="2"/>
      <c r="E6802" s="2">
        <v>1</v>
      </c>
      <c r="F6802" s="9"/>
      <c r="G6802" s="8">
        <f t="shared" ref="G6802:G6864" si="212">H6802+(H6802*5%)</f>
        <v>17.428794101694915</v>
      </c>
      <c r="H6802" s="8">
        <v>16.598851525423729</v>
      </c>
      <c r="I6802" s="19">
        <f t="shared" ref="I6802:I6865" si="213">G6802*F6802</f>
        <v>0</v>
      </c>
    </row>
    <row r="6803" spans="1:9" hidden="1">
      <c r="A6803" s="11" t="s">
        <v>11260</v>
      </c>
      <c r="B6803" s="2" t="s">
        <v>11393</v>
      </c>
      <c r="C6803" s="2" t="s">
        <v>11393</v>
      </c>
      <c r="D6803" s="2"/>
      <c r="E6803" s="2">
        <v>1</v>
      </c>
      <c r="F6803" s="9"/>
      <c r="G6803" s="8">
        <f t="shared" si="212"/>
        <v>28.446999898739012</v>
      </c>
      <c r="H6803" s="8">
        <v>27.092380855941915</v>
      </c>
      <c r="I6803" s="19">
        <f t="shared" si="213"/>
        <v>0</v>
      </c>
    </row>
    <row r="6804" spans="1:9" hidden="1">
      <c r="A6804" s="11" t="s">
        <v>11260</v>
      </c>
      <c r="B6804" s="2" t="s">
        <v>11394</v>
      </c>
      <c r="C6804" s="2" t="s">
        <v>11394</v>
      </c>
      <c r="D6804" s="2"/>
      <c r="E6804" s="2">
        <v>1</v>
      </c>
      <c r="F6804" s="9"/>
      <c r="G6804" s="8">
        <f t="shared" si="212"/>
        <v>34.103235336322868</v>
      </c>
      <c r="H6804" s="8">
        <v>32.479271748878922</v>
      </c>
      <c r="I6804" s="19">
        <f t="shared" si="213"/>
        <v>0</v>
      </c>
    </row>
    <row r="6805" spans="1:9" hidden="1">
      <c r="A6805" s="11" t="s">
        <v>11260</v>
      </c>
      <c r="B6805" s="2" t="s">
        <v>11395</v>
      </c>
      <c r="C6805" s="2" t="s">
        <v>11395</v>
      </c>
      <c r="D6805" s="2"/>
      <c r="E6805" s="2">
        <v>1</v>
      </c>
      <c r="F6805" s="9"/>
      <c r="G6805" s="8">
        <f t="shared" si="212"/>
        <v>56.750182670620262</v>
      </c>
      <c r="H6805" s="8">
        <v>54.047793019638341</v>
      </c>
      <c r="I6805" s="19">
        <f t="shared" si="213"/>
        <v>0</v>
      </c>
    </row>
    <row r="6806" spans="1:9" hidden="1">
      <c r="A6806" s="11" t="s">
        <v>11260</v>
      </c>
      <c r="B6806" s="2" t="s">
        <v>11396</v>
      </c>
      <c r="C6806" s="2" t="s">
        <v>11397</v>
      </c>
      <c r="D6806" s="2"/>
      <c r="E6806" s="2">
        <v>1</v>
      </c>
      <c r="F6806" s="9"/>
      <c r="G6806" s="8">
        <f t="shared" si="212"/>
        <v>20.072639999999996</v>
      </c>
      <c r="H6806" s="8">
        <v>19.116799999999998</v>
      </c>
      <c r="I6806" s="19">
        <f t="shared" si="213"/>
        <v>0</v>
      </c>
    </row>
    <row r="6807" spans="1:9" hidden="1">
      <c r="A6807" s="11" t="s">
        <v>11260</v>
      </c>
      <c r="B6807" s="2" t="s">
        <v>11398</v>
      </c>
      <c r="C6807" s="2" t="s">
        <v>11399</v>
      </c>
      <c r="D6807" s="2"/>
      <c r="E6807" s="2">
        <v>1</v>
      </c>
      <c r="F6807" s="9"/>
      <c r="G6807" s="8">
        <f t="shared" si="212"/>
        <v>8.3652641379310353</v>
      </c>
      <c r="H6807" s="8">
        <v>7.9669182266009857</v>
      </c>
      <c r="I6807" s="19">
        <f t="shared" si="213"/>
        <v>0</v>
      </c>
    </row>
    <row r="6808" spans="1:9" hidden="1">
      <c r="A6808" s="11" t="s">
        <v>11260</v>
      </c>
      <c r="B6808" s="2" t="s">
        <v>11400</v>
      </c>
      <c r="C6808" s="2" t="s">
        <v>11401</v>
      </c>
      <c r="D6808" s="2"/>
      <c r="E6808" s="2">
        <v>1</v>
      </c>
      <c r="F6808" s="9"/>
      <c r="G6808" s="8">
        <f t="shared" si="212"/>
        <v>34.56047995234313</v>
      </c>
      <c r="H6808" s="8">
        <v>32.91474281175536</v>
      </c>
      <c r="I6808" s="19">
        <f t="shared" si="213"/>
        <v>0</v>
      </c>
    </row>
    <row r="6809" spans="1:9" hidden="1">
      <c r="A6809" s="11" t="s">
        <v>11260</v>
      </c>
      <c r="B6809" s="2" t="s">
        <v>11402</v>
      </c>
      <c r="C6809" s="2" t="s">
        <v>11403</v>
      </c>
      <c r="D6809" s="2"/>
      <c r="E6809" s="2">
        <v>1</v>
      </c>
      <c r="F6809" s="9"/>
      <c r="G6809" s="8">
        <f t="shared" si="212"/>
        <v>37.933493428971303</v>
      </c>
      <c r="H6809" s="8">
        <v>36.12713659902029</v>
      </c>
      <c r="I6809" s="19">
        <f t="shared" si="213"/>
        <v>0</v>
      </c>
    </row>
    <row r="6810" spans="1:9" hidden="1">
      <c r="A6810" s="11" t="s">
        <v>11260</v>
      </c>
      <c r="B6810" s="2" t="s">
        <v>11404</v>
      </c>
      <c r="C6810" s="2" t="s">
        <v>11405</v>
      </c>
      <c r="D6810" s="2"/>
      <c r="E6810" s="2">
        <v>1</v>
      </c>
      <c r="F6810" s="9"/>
      <c r="G6810" s="8">
        <f t="shared" si="212"/>
        <v>1.9510061170212771</v>
      </c>
      <c r="H6810" s="8">
        <v>1.8581010638297877</v>
      </c>
      <c r="I6810" s="19">
        <f t="shared" si="213"/>
        <v>0</v>
      </c>
    </row>
    <row r="6811" spans="1:9" hidden="1">
      <c r="A6811" s="11" t="s">
        <v>11260</v>
      </c>
      <c r="B6811" s="2" t="s">
        <v>11406</v>
      </c>
      <c r="C6811" s="2" t="s">
        <v>11407</v>
      </c>
      <c r="D6811" s="2"/>
      <c r="E6811" s="2">
        <v>1</v>
      </c>
      <c r="F6811" s="9"/>
      <c r="G6811" s="8">
        <f t="shared" si="212"/>
        <v>71.220870000000005</v>
      </c>
      <c r="H6811" s="8">
        <v>67.829400000000007</v>
      </c>
      <c r="I6811" s="19">
        <f t="shared" si="213"/>
        <v>0</v>
      </c>
    </row>
    <row r="6812" spans="1:9" hidden="1">
      <c r="A6812" s="11" t="s">
        <v>11260</v>
      </c>
      <c r="B6812" s="2" t="s">
        <v>11408</v>
      </c>
      <c r="C6812" s="2" t="s">
        <v>11409</v>
      </c>
      <c r="D6812" s="2"/>
      <c r="E6812" s="2">
        <v>1</v>
      </c>
      <c r="F6812" s="9"/>
      <c r="G6812" s="8">
        <f t="shared" si="212"/>
        <v>65.071839087925767</v>
      </c>
      <c r="H6812" s="8">
        <v>61.973180083738825</v>
      </c>
      <c r="I6812" s="19">
        <f t="shared" si="213"/>
        <v>0</v>
      </c>
    </row>
    <row r="6813" spans="1:9" hidden="1">
      <c r="A6813" s="11" t="s">
        <v>11260</v>
      </c>
      <c r="B6813" s="2" t="s">
        <v>11410</v>
      </c>
      <c r="C6813" s="2" t="s">
        <v>11411</v>
      </c>
      <c r="D6813" s="2"/>
      <c r="E6813" s="2">
        <v>1</v>
      </c>
      <c r="F6813" s="9"/>
      <c r="G6813" s="8">
        <f t="shared" si="212"/>
        <v>56.593943441003738</v>
      </c>
      <c r="H6813" s="8">
        <v>53.898993753336896</v>
      </c>
      <c r="I6813" s="19">
        <f t="shared" si="213"/>
        <v>0</v>
      </c>
    </row>
    <row r="6814" spans="1:9" hidden="1">
      <c r="A6814" s="11" t="s">
        <v>11260</v>
      </c>
      <c r="B6814" s="2" t="s">
        <v>11412</v>
      </c>
      <c r="C6814" s="2" t="s">
        <v>11413</v>
      </c>
      <c r="D6814" s="2"/>
      <c r="E6814" s="2">
        <v>1</v>
      </c>
      <c r="F6814" s="9"/>
      <c r="G6814" s="8">
        <f t="shared" si="212"/>
        <v>1.2996130000000001</v>
      </c>
      <c r="H6814" s="8">
        <v>1.2377266666666669</v>
      </c>
      <c r="I6814" s="19">
        <f t="shared" si="213"/>
        <v>0</v>
      </c>
    </row>
    <row r="6815" spans="1:9" hidden="1">
      <c r="A6815" s="11" t="s">
        <v>11260</v>
      </c>
      <c r="B6815" s="2" t="s">
        <v>11414</v>
      </c>
      <c r="C6815" s="2" t="s">
        <v>11415</v>
      </c>
      <c r="D6815" s="2"/>
      <c r="E6815" s="2">
        <v>1</v>
      </c>
      <c r="F6815" s="9"/>
      <c r="G6815" s="8">
        <f t="shared" si="212"/>
        <v>1.2996130000000001</v>
      </c>
      <c r="H6815" s="8">
        <v>1.2377266666666669</v>
      </c>
      <c r="I6815" s="19">
        <f t="shared" si="213"/>
        <v>0</v>
      </c>
    </row>
    <row r="6816" spans="1:9" hidden="1">
      <c r="A6816" s="11" t="s">
        <v>11260</v>
      </c>
      <c r="B6816" s="2" t="s">
        <v>11416</v>
      </c>
      <c r="C6816" s="2" t="s">
        <v>11417</v>
      </c>
      <c r="D6816" s="2"/>
      <c r="E6816" s="2">
        <v>1</v>
      </c>
      <c r="F6816" s="9"/>
      <c r="G6816" s="8">
        <f t="shared" si="212"/>
        <v>0.59553565217391313</v>
      </c>
      <c r="H6816" s="8">
        <v>0.56717681159420297</v>
      </c>
      <c r="I6816" s="19">
        <f t="shared" si="213"/>
        <v>0</v>
      </c>
    </row>
    <row r="6817" spans="1:9" hidden="1">
      <c r="A6817" s="11" t="s">
        <v>11260</v>
      </c>
      <c r="B6817" s="2" t="s">
        <v>11418</v>
      </c>
      <c r="C6817" s="2" t="s">
        <v>11419</v>
      </c>
      <c r="D6817" s="2"/>
      <c r="E6817" s="2">
        <v>1</v>
      </c>
      <c r="F6817" s="9"/>
      <c r="G6817" s="8">
        <f t="shared" si="212"/>
        <v>0.59553565217391313</v>
      </c>
      <c r="H6817" s="8">
        <v>0.56717681159420297</v>
      </c>
      <c r="I6817" s="19">
        <f t="shared" si="213"/>
        <v>0</v>
      </c>
    </row>
    <row r="6818" spans="1:9" hidden="1">
      <c r="A6818" s="11" t="s">
        <v>11260</v>
      </c>
      <c r="B6818" s="2" t="s">
        <v>11420</v>
      </c>
      <c r="C6818" s="2" t="s">
        <v>11421</v>
      </c>
      <c r="D6818" s="2"/>
      <c r="E6818" s="2">
        <v>1</v>
      </c>
      <c r="F6818" s="9"/>
      <c r="G6818" s="8">
        <f t="shared" si="212"/>
        <v>10.301938152793614</v>
      </c>
      <c r="H6818" s="8">
        <v>9.8113696693272523</v>
      </c>
      <c r="I6818" s="19">
        <f t="shared" si="213"/>
        <v>0</v>
      </c>
    </row>
    <row r="6819" spans="1:9" hidden="1">
      <c r="A6819" s="11" t="s">
        <v>11260</v>
      </c>
      <c r="B6819" s="2" t="s">
        <v>11422</v>
      </c>
      <c r="C6819" s="2" t="s">
        <v>11423</v>
      </c>
      <c r="D6819" s="2"/>
      <c r="E6819" s="2">
        <v>1</v>
      </c>
      <c r="F6819" s="9"/>
      <c r="G6819" s="8">
        <f t="shared" si="212"/>
        <v>3.6138709640287763</v>
      </c>
      <c r="H6819" s="8">
        <v>3.4417818705035965</v>
      </c>
      <c r="I6819" s="19">
        <f t="shared" si="213"/>
        <v>0</v>
      </c>
    </row>
    <row r="6820" spans="1:9" hidden="1">
      <c r="A6820" s="11" t="s">
        <v>11260</v>
      </c>
      <c r="B6820" s="2" t="s">
        <v>11424</v>
      </c>
      <c r="C6820" s="2" t="s">
        <v>11425</v>
      </c>
      <c r="D6820" s="2"/>
      <c r="E6820" s="2">
        <v>1</v>
      </c>
      <c r="F6820" s="9"/>
      <c r="G6820" s="8">
        <f t="shared" si="212"/>
        <v>2.636962733564014</v>
      </c>
      <c r="H6820" s="8">
        <v>2.5113930795847752</v>
      </c>
      <c r="I6820" s="19">
        <f t="shared" si="213"/>
        <v>0</v>
      </c>
    </row>
    <row r="6821" spans="1:9" hidden="1">
      <c r="A6821" s="11" t="s">
        <v>11260</v>
      </c>
      <c r="B6821" s="2" t="s">
        <v>11426</v>
      </c>
      <c r="C6821" s="2" t="s">
        <v>11427</v>
      </c>
      <c r="D6821" s="2"/>
      <c r="E6821" s="2">
        <v>1</v>
      </c>
      <c r="F6821" s="9"/>
      <c r="G6821" s="8">
        <f t="shared" si="212"/>
        <v>331.50480866199206</v>
      </c>
      <c r="H6821" s="8">
        <v>315.7188653923734</v>
      </c>
      <c r="I6821" s="19">
        <f t="shared" si="213"/>
        <v>0</v>
      </c>
    </row>
    <row r="6822" spans="1:9" hidden="1">
      <c r="A6822" s="11" t="s">
        <v>11260</v>
      </c>
      <c r="B6822" s="2" t="s">
        <v>11428</v>
      </c>
      <c r="C6822" s="2" t="s">
        <v>11429</v>
      </c>
      <c r="D6822" s="2"/>
      <c r="E6822" s="2">
        <v>1</v>
      </c>
      <c r="F6822" s="9"/>
      <c r="G6822" s="8">
        <f t="shared" si="212"/>
        <v>2.353221059602649</v>
      </c>
      <c r="H6822" s="8">
        <v>2.2411629139072846</v>
      </c>
      <c r="I6822" s="19">
        <f t="shared" si="213"/>
        <v>0</v>
      </c>
    </row>
    <row r="6823" spans="1:9" hidden="1">
      <c r="A6823" s="11" t="s">
        <v>11260</v>
      </c>
      <c r="B6823" s="2" t="s">
        <v>11430</v>
      </c>
      <c r="C6823" s="2" t="s">
        <v>11431</v>
      </c>
      <c r="D6823" s="2"/>
      <c r="E6823" s="2">
        <v>1</v>
      </c>
      <c r="F6823" s="9"/>
      <c r="G6823" s="8">
        <f t="shared" si="212"/>
        <v>2.3416856622516549</v>
      </c>
      <c r="H6823" s="8">
        <v>2.2301768211920523</v>
      </c>
      <c r="I6823" s="19">
        <f t="shared" si="213"/>
        <v>0</v>
      </c>
    </row>
    <row r="6824" spans="1:9" hidden="1">
      <c r="A6824" s="11" t="s">
        <v>11260</v>
      </c>
      <c r="B6824" s="2" t="s">
        <v>11432</v>
      </c>
      <c r="C6824" s="2" t="s">
        <v>11433</v>
      </c>
      <c r="D6824" s="2"/>
      <c r="E6824" s="2">
        <v>1</v>
      </c>
      <c r="F6824" s="9"/>
      <c r="G6824" s="8">
        <f t="shared" si="212"/>
        <v>2.6706912000000003</v>
      </c>
      <c r="H6824" s="8">
        <v>2.5435154285714288</v>
      </c>
      <c r="I6824" s="19">
        <f t="shared" si="213"/>
        <v>0</v>
      </c>
    </row>
    <row r="6825" spans="1:9" hidden="1">
      <c r="A6825" s="11" t="s">
        <v>11260</v>
      </c>
      <c r="B6825" s="2" t="s">
        <v>11434</v>
      </c>
      <c r="C6825" s="2" t="s">
        <v>11435</v>
      </c>
      <c r="D6825" s="2"/>
      <c r="E6825" s="2">
        <v>1</v>
      </c>
      <c r="F6825" s="9"/>
      <c r="G6825" s="8">
        <f t="shared" si="212"/>
        <v>1.0206000000000002</v>
      </c>
      <c r="H6825" s="8">
        <v>0.97200000000000009</v>
      </c>
      <c r="I6825" s="19">
        <f t="shared" si="213"/>
        <v>0</v>
      </c>
    </row>
    <row r="6826" spans="1:9" hidden="1">
      <c r="A6826" s="11" t="s">
        <v>11260</v>
      </c>
      <c r="B6826" s="2" t="s">
        <v>11436</v>
      </c>
      <c r="C6826" s="2" t="s">
        <v>11437</v>
      </c>
      <c r="D6826" s="2"/>
      <c r="E6826" s="2">
        <v>1</v>
      </c>
      <c r="F6826" s="9"/>
      <c r="G6826" s="8">
        <f t="shared" si="212"/>
        <v>60.133696589521051</v>
      </c>
      <c r="H6826" s="8">
        <v>57.27018722811529</v>
      </c>
      <c r="I6826" s="19">
        <f t="shared" si="213"/>
        <v>0</v>
      </c>
    </row>
    <row r="6827" spans="1:9" hidden="1">
      <c r="A6827" s="11" t="s">
        <v>11260</v>
      </c>
      <c r="B6827" s="2" t="s">
        <v>11438</v>
      </c>
      <c r="C6827" s="2" t="s">
        <v>11439</v>
      </c>
      <c r="D6827" s="2"/>
      <c r="E6827" s="2">
        <v>1</v>
      </c>
      <c r="F6827" s="9"/>
      <c r="G6827" s="8">
        <f t="shared" si="212"/>
        <v>275.81596084337355</v>
      </c>
      <c r="H6827" s="8">
        <v>262.68186746987959</v>
      </c>
      <c r="I6827" s="19">
        <f t="shared" si="213"/>
        <v>0</v>
      </c>
    </row>
    <row r="6828" spans="1:9" hidden="1">
      <c r="A6828" s="11" t="s">
        <v>11260</v>
      </c>
      <c r="B6828" s="2" t="s">
        <v>11440</v>
      </c>
      <c r="C6828" s="2" t="s">
        <v>11441</v>
      </c>
      <c r="D6828" s="2"/>
      <c r="E6828" s="2">
        <v>1</v>
      </c>
      <c r="F6828" s="9"/>
      <c r="G6828" s="8">
        <f t="shared" si="212"/>
        <v>275.81596084337355</v>
      </c>
      <c r="H6828" s="8">
        <v>262.68186746987959</v>
      </c>
      <c r="I6828" s="19">
        <f t="shared" si="213"/>
        <v>0</v>
      </c>
    </row>
    <row r="6829" spans="1:9" hidden="1">
      <c r="A6829" s="11" t="s">
        <v>11260</v>
      </c>
      <c r="B6829" s="2" t="s">
        <v>11442</v>
      </c>
      <c r="C6829" s="2" t="s">
        <v>11443</v>
      </c>
      <c r="D6829" s="2"/>
      <c r="E6829" s="2">
        <v>1</v>
      </c>
      <c r="F6829" s="9"/>
      <c r="G6829" s="8">
        <f t="shared" si="212"/>
        <v>258.98053859608211</v>
      </c>
      <c r="H6829" s="8">
        <v>246.64813199626866</v>
      </c>
      <c r="I6829" s="19">
        <f t="shared" si="213"/>
        <v>0</v>
      </c>
    </row>
    <row r="6830" spans="1:9" hidden="1">
      <c r="A6830" s="11" t="s">
        <v>11260</v>
      </c>
      <c r="B6830" s="2" t="s">
        <v>11444</v>
      </c>
      <c r="C6830" s="2" t="s">
        <v>11445</v>
      </c>
      <c r="D6830" s="2"/>
      <c r="E6830" s="2">
        <v>1</v>
      </c>
      <c r="F6830" s="9"/>
      <c r="G6830" s="8">
        <f t="shared" si="212"/>
        <v>369.86729593490668</v>
      </c>
      <c r="H6830" s="8">
        <v>352.25456755705397</v>
      </c>
      <c r="I6830" s="19">
        <f t="shared" si="213"/>
        <v>0</v>
      </c>
    </row>
    <row r="6831" spans="1:9" hidden="1">
      <c r="A6831" s="11" t="s">
        <v>11260</v>
      </c>
      <c r="B6831" s="2" t="s">
        <v>11446</v>
      </c>
      <c r="C6831" s="2" t="s">
        <v>11447</v>
      </c>
      <c r="D6831" s="2"/>
      <c r="E6831" s="2">
        <v>1</v>
      </c>
      <c r="F6831" s="9"/>
      <c r="G6831" s="8">
        <f t="shared" si="212"/>
        <v>278.44485093984247</v>
      </c>
      <c r="H6831" s="8">
        <v>265.18557232365947</v>
      </c>
      <c r="I6831" s="19">
        <f t="shared" si="213"/>
        <v>0</v>
      </c>
    </row>
    <row r="6832" spans="1:9" hidden="1">
      <c r="A6832" s="11" t="s">
        <v>11260</v>
      </c>
      <c r="B6832" s="2" t="s">
        <v>11448</v>
      </c>
      <c r="C6832" s="2" t="s">
        <v>11449</v>
      </c>
      <c r="D6832" s="2"/>
      <c r="E6832" s="2">
        <v>1</v>
      </c>
      <c r="F6832" s="9"/>
      <c r="G6832" s="8">
        <f t="shared" si="212"/>
        <v>26.242853636363641</v>
      </c>
      <c r="H6832" s="8">
        <v>24.993193939393944</v>
      </c>
      <c r="I6832" s="19">
        <f t="shared" si="213"/>
        <v>0</v>
      </c>
    </row>
    <row r="6833" spans="1:9" hidden="1">
      <c r="A6833" s="11" t="s">
        <v>11260</v>
      </c>
      <c r="B6833" s="2" t="s">
        <v>11450</v>
      </c>
      <c r="C6833" s="2" t="s">
        <v>11451</v>
      </c>
      <c r="D6833" s="2"/>
      <c r="E6833" s="2">
        <v>1</v>
      </c>
      <c r="F6833" s="9"/>
      <c r="G6833" s="8">
        <f t="shared" si="212"/>
        <v>2.5661252542372877</v>
      </c>
      <c r="H6833" s="8">
        <v>2.4439288135593218</v>
      </c>
      <c r="I6833" s="19">
        <f t="shared" si="213"/>
        <v>0</v>
      </c>
    </row>
    <row r="6834" spans="1:9" hidden="1">
      <c r="A6834" s="11" t="s">
        <v>11260</v>
      </c>
      <c r="B6834" s="2" t="s">
        <v>11452</v>
      </c>
      <c r="C6834" s="2" t="s">
        <v>11453</v>
      </c>
      <c r="D6834" s="2"/>
      <c r="E6834" s="2">
        <v>1</v>
      </c>
      <c r="F6834" s="9"/>
      <c r="G6834" s="8">
        <f t="shared" si="212"/>
        <v>1.7296621621621622</v>
      </c>
      <c r="H6834" s="8">
        <v>1.6472972972972972</v>
      </c>
      <c r="I6834" s="19">
        <f t="shared" si="213"/>
        <v>0</v>
      </c>
    </row>
    <row r="6835" spans="1:9" hidden="1">
      <c r="A6835" s="11" t="s">
        <v>11260</v>
      </c>
      <c r="B6835" s="2" t="s">
        <v>11454</v>
      </c>
      <c r="C6835" s="2" t="s">
        <v>11455</v>
      </c>
      <c r="D6835" s="2"/>
      <c r="E6835" s="2">
        <v>1</v>
      </c>
      <c r="F6835" s="9"/>
      <c r="G6835" s="8">
        <f t="shared" si="212"/>
        <v>2.0842901639344262</v>
      </c>
      <c r="H6835" s="8">
        <v>1.9850382513661202</v>
      </c>
      <c r="I6835" s="19">
        <f t="shared" si="213"/>
        <v>0</v>
      </c>
    </row>
    <row r="6836" spans="1:9" hidden="1">
      <c r="A6836" s="11" t="s">
        <v>11260</v>
      </c>
      <c r="B6836" s="2" t="s">
        <v>11456</v>
      </c>
      <c r="C6836" s="2" t="s">
        <v>11457</v>
      </c>
      <c r="D6836" s="5"/>
      <c r="E6836" s="2">
        <v>1</v>
      </c>
      <c r="F6836" s="9"/>
      <c r="G6836" s="8">
        <f t="shared" si="212"/>
        <v>3.8588905785123968</v>
      </c>
      <c r="H6836" s="8">
        <v>3.6751338842975207</v>
      </c>
      <c r="I6836" s="19">
        <f t="shared" si="213"/>
        <v>0</v>
      </c>
    </row>
    <row r="6837" spans="1:9" hidden="1">
      <c r="A6837" s="11" t="s">
        <v>11260</v>
      </c>
      <c r="B6837" s="2" t="s">
        <v>11458</v>
      </c>
      <c r="C6837" s="2" t="s">
        <v>11459</v>
      </c>
      <c r="D6837" s="5"/>
      <c r="E6837" s="2">
        <v>1</v>
      </c>
      <c r="F6837" s="9"/>
      <c r="G6837" s="8">
        <f t="shared" si="212"/>
        <v>3.8588905785123968</v>
      </c>
      <c r="H6837" s="8">
        <v>3.6751338842975207</v>
      </c>
      <c r="I6837" s="19">
        <f t="shared" si="213"/>
        <v>0</v>
      </c>
    </row>
    <row r="6838" spans="1:9" hidden="1">
      <c r="A6838" s="11" t="s">
        <v>11260</v>
      </c>
      <c r="B6838" s="2" t="s">
        <v>11460</v>
      </c>
      <c r="C6838" s="2" t="s">
        <v>11461</v>
      </c>
      <c r="D6838" s="2"/>
      <c r="E6838" s="2">
        <v>1</v>
      </c>
      <c r="F6838" s="9"/>
      <c r="G6838" s="8">
        <f t="shared" si="212"/>
        <v>5.2541266745843238</v>
      </c>
      <c r="H6838" s="8">
        <v>5.0039301662707842</v>
      </c>
      <c r="I6838" s="19">
        <f t="shared" si="213"/>
        <v>0</v>
      </c>
    </row>
    <row r="6839" spans="1:9" hidden="1">
      <c r="A6839" s="11" t="s">
        <v>11260</v>
      </c>
      <c r="B6839" s="2" t="s">
        <v>11462</v>
      </c>
      <c r="C6839" s="2" t="s">
        <v>11463</v>
      </c>
      <c r="D6839" s="2"/>
      <c r="E6839" s="2">
        <v>1</v>
      </c>
      <c r="F6839" s="9"/>
      <c r="G6839" s="8">
        <f t="shared" si="212"/>
        <v>1.455502829268293</v>
      </c>
      <c r="H6839" s="8">
        <v>1.3861931707317077</v>
      </c>
      <c r="I6839" s="19">
        <f t="shared" si="213"/>
        <v>0</v>
      </c>
    </row>
    <row r="6840" spans="1:9" hidden="1">
      <c r="A6840" s="11" t="s">
        <v>11260</v>
      </c>
      <c r="B6840" s="2" t="s">
        <v>11464</v>
      </c>
      <c r="C6840" s="2" t="s">
        <v>11465</v>
      </c>
      <c r="D6840" s="2"/>
      <c r="E6840" s="2">
        <v>1</v>
      </c>
      <c r="F6840" s="9"/>
      <c r="G6840" s="8">
        <f t="shared" si="212"/>
        <v>1.455502829268293</v>
      </c>
      <c r="H6840" s="8">
        <v>1.3861931707317077</v>
      </c>
      <c r="I6840" s="19">
        <f t="shared" si="213"/>
        <v>0</v>
      </c>
    </row>
    <row r="6841" spans="1:9" hidden="1">
      <c r="A6841" s="11" t="s">
        <v>11260</v>
      </c>
      <c r="B6841" s="2" t="s">
        <v>11466</v>
      </c>
      <c r="C6841" s="2" t="s">
        <v>11467</v>
      </c>
      <c r="D6841" s="2"/>
      <c r="E6841" s="2">
        <v>1</v>
      </c>
      <c r="F6841" s="9"/>
      <c r="G6841" s="8">
        <f t="shared" si="212"/>
        <v>242.45620444434556</v>
      </c>
      <c r="H6841" s="8">
        <v>230.91067089937673</v>
      </c>
      <c r="I6841" s="19">
        <f t="shared" si="213"/>
        <v>0</v>
      </c>
    </row>
    <row r="6842" spans="1:9" hidden="1">
      <c r="A6842" s="11" t="s">
        <v>11260</v>
      </c>
      <c r="B6842" s="2" t="s">
        <v>11468</v>
      </c>
      <c r="C6842" s="2" t="s">
        <v>11469</v>
      </c>
      <c r="D6842" s="2"/>
      <c r="E6842" s="2">
        <v>1</v>
      </c>
      <c r="F6842" s="9"/>
      <c r="G6842" s="8">
        <f t="shared" si="212"/>
        <v>3.6864543564356445</v>
      </c>
      <c r="H6842" s="8">
        <v>3.5109089108910898</v>
      </c>
      <c r="I6842" s="19">
        <f t="shared" si="213"/>
        <v>0</v>
      </c>
    </row>
    <row r="6843" spans="1:9" hidden="1">
      <c r="A6843" s="11" t="s">
        <v>11260</v>
      </c>
      <c r="B6843" s="2" t="s">
        <v>11470</v>
      </c>
      <c r="C6843" s="2" t="s">
        <v>11471</v>
      </c>
      <c r="D6843" s="2"/>
      <c r="E6843" s="2">
        <v>1</v>
      </c>
      <c r="F6843" s="9"/>
      <c r="G6843" s="8">
        <f t="shared" si="212"/>
        <v>260.58788872974179</v>
      </c>
      <c r="H6843" s="8">
        <v>248.17894164737314</v>
      </c>
      <c r="I6843" s="19">
        <f t="shared" si="213"/>
        <v>0</v>
      </c>
    </row>
    <row r="6844" spans="1:9" hidden="1">
      <c r="A6844" s="11" t="s">
        <v>11260</v>
      </c>
      <c r="B6844" s="2" t="s">
        <v>11472</v>
      </c>
      <c r="C6844" s="2" t="s">
        <v>11473</v>
      </c>
      <c r="D6844" s="2"/>
      <c r="E6844" s="2">
        <v>1</v>
      </c>
      <c r="F6844" s="9"/>
      <c r="G6844" s="8">
        <f t="shared" si="212"/>
        <v>2.6753307216494839</v>
      </c>
      <c r="H6844" s="8">
        <v>2.5479340206185563</v>
      </c>
      <c r="I6844" s="19">
        <f t="shared" si="213"/>
        <v>0</v>
      </c>
    </row>
    <row r="6845" spans="1:9">
      <c r="A6845" s="11" t="s">
        <v>11260</v>
      </c>
      <c r="B6845" s="2" t="s">
        <v>11474</v>
      </c>
      <c r="C6845" s="2" t="s">
        <v>11475</v>
      </c>
      <c r="D6845" s="2"/>
      <c r="E6845" s="2">
        <v>1</v>
      </c>
      <c r="F6845" s="9">
        <v>9</v>
      </c>
      <c r="G6845" s="8">
        <f t="shared" si="212"/>
        <v>49.845541262569846</v>
      </c>
      <c r="H6845" s="8">
        <v>47.471944059590328</v>
      </c>
      <c r="I6845" s="19">
        <f t="shared" si="213"/>
        <v>448.6098713631286</v>
      </c>
    </row>
    <row r="6846" spans="1:9" hidden="1">
      <c r="A6846" s="11" t="s">
        <v>11260</v>
      </c>
      <c r="B6846" s="2" t="s">
        <v>11476</v>
      </c>
      <c r="C6846" s="2" t="s">
        <v>11477</v>
      </c>
      <c r="D6846" s="2"/>
      <c r="E6846" s="2">
        <v>1</v>
      </c>
      <c r="F6846" s="9"/>
      <c r="G6846" s="8">
        <f t="shared" si="212"/>
        <v>124.56696000000001</v>
      </c>
      <c r="H6846" s="8">
        <v>118.63520000000001</v>
      </c>
      <c r="I6846" s="19">
        <f t="shared" si="213"/>
        <v>0</v>
      </c>
    </row>
    <row r="6847" spans="1:9" hidden="1">
      <c r="A6847" s="11" t="s">
        <v>11260</v>
      </c>
      <c r="B6847" s="2" t="s">
        <v>11478</v>
      </c>
      <c r="C6847" s="2" t="s">
        <v>11479</v>
      </c>
      <c r="D6847" s="2"/>
      <c r="E6847" s="2">
        <v>1</v>
      </c>
      <c r="F6847" s="9"/>
      <c r="G6847" s="8">
        <f t="shared" si="212"/>
        <v>75.530220254482018</v>
      </c>
      <c r="H6847" s="8">
        <v>71.933543099506679</v>
      </c>
      <c r="I6847" s="19">
        <f t="shared" si="213"/>
        <v>0</v>
      </c>
    </row>
    <row r="6848" spans="1:9" hidden="1">
      <c r="A6848" s="11" t="s">
        <v>11260</v>
      </c>
      <c r="B6848" s="2" t="s">
        <v>11480</v>
      </c>
      <c r="C6848" s="2" t="s">
        <v>11481</v>
      </c>
      <c r="D6848" s="2"/>
      <c r="E6848" s="2">
        <v>1</v>
      </c>
      <c r="F6848" s="9"/>
      <c r="G6848" s="8">
        <f t="shared" si="212"/>
        <v>104.75093429467468</v>
      </c>
      <c r="H6848" s="8">
        <v>99.762794566356831</v>
      </c>
      <c r="I6848" s="19">
        <f t="shared" si="213"/>
        <v>0</v>
      </c>
    </row>
    <row r="6849" spans="1:9" hidden="1">
      <c r="A6849" s="11" t="s">
        <v>11260</v>
      </c>
      <c r="B6849" s="2" t="s">
        <v>11482</v>
      </c>
      <c r="C6849" s="2" t="s">
        <v>11483</v>
      </c>
      <c r="D6849" s="2"/>
      <c r="E6849" s="2">
        <v>1</v>
      </c>
      <c r="F6849" s="9"/>
      <c r="G6849" s="8">
        <f t="shared" si="212"/>
        <v>47.451021513971604</v>
      </c>
      <c r="H6849" s="8">
        <v>45.191449060925336</v>
      </c>
      <c r="I6849" s="19">
        <f t="shared" si="213"/>
        <v>0</v>
      </c>
    </row>
    <row r="6850" spans="1:9" hidden="1">
      <c r="A6850" s="11" t="s">
        <v>11260</v>
      </c>
      <c r="B6850" s="2" t="s">
        <v>11484</v>
      </c>
      <c r="C6850" s="2" t="s">
        <v>11485</v>
      </c>
      <c r="D6850" s="2"/>
      <c r="E6850" s="2">
        <v>1</v>
      </c>
      <c r="F6850" s="9"/>
      <c r="G6850" s="8">
        <f t="shared" si="212"/>
        <v>46.526991885020614</v>
      </c>
      <c r="H6850" s="8">
        <v>44.311420842876778</v>
      </c>
      <c r="I6850" s="19">
        <f t="shared" si="213"/>
        <v>0</v>
      </c>
    </row>
    <row r="6851" spans="1:9" hidden="1">
      <c r="A6851" s="11" t="s">
        <v>11260</v>
      </c>
      <c r="B6851" s="2" t="s">
        <v>11486</v>
      </c>
      <c r="C6851" s="2" t="s">
        <v>11487</v>
      </c>
      <c r="D6851" s="2"/>
      <c r="E6851" s="2">
        <v>1</v>
      </c>
      <c r="F6851" s="9"/>
      <c r="G6851" s="8">
        <f t="shared" si="212"/>
        <v>35.139876958762891</v>
      </c>
      <c r="H6851" s="8">
        <v>33.466549484536088</v>
      </c>
      <c r="I6851" s="19">
        <f t="shared" si="213"/>
        <v>0</v>
      </c>
    </row>
    <row r="6852" spans="1:9" hidden="1">
      <c r="A6852" s="11" t="s">
        <v>11260</v>
      </c>
      <c r="B6852" s="2" t="s">
        <v>11488</v>
      </c>
      <c r="C6852" s="2" t="s">
        <v>11489</v>
      </c>
      <c r="D6852" s="2"/>
      <c r="E6852" s="2">
        <v>1</v>
      </c>
      <c r="F6852" s="9"/>
      <c r="G6852" s="8">
        <f t="shared" si="212"/>
        <v>46.526991885020614</v>
      </c>
      <c r="H6852" s="8">
        <v>44.311420842876778</v>
      </c>
      <c r="I6852" s="19">
        <f t="shared" si="213"/>
        <v>0</v>
      </c>
    </row>
    <row r="6853" spans="1:9" hidden="1">
      <c r="A6853" s="11" t="s">
        <v>11260</v>
      </c>
      <c r="B6853" s="2" t="s">
        <v>11490</v>
      </c>
      <c r="C6853" s="2" t="s">
        <v>11491</v>
      </c>
      <c r="D6853" s="2"/>
      <c r="E6853" s="2">
        <v>1</v>
      </c>
      <c r="F6853" s="9"/>
      <c r="G6853" s="8">
        <f t="shared" si="212"/>
        <v>46.526991885020614</v>
      </c>
      <c r="H6853" s="8">
        <v>44.311420842876778</v>
      </c>
      <c r="I6853" s="19">
        <f t="shared" si="213"/>
        <v>0</v>
      </c>
    </row>
    <row r="6854" spans="1:9" hidden="1">
      <c r="A6854" s="11" t="s">
        <v>11260</v>
      </c>
      <c r="B6854" s="2" t="s">
        <v>11492</v>
      </c>
      <c r="C6854" s="2" t="s">
        <v>11493</v>
      </c>
      <c r="D6854" s="2"/>
      <c r="E6854" s="2">
        <v>1</v>
      </c>
      <c r="F6854" s="9"/>
      <c r="G6854" s="8">
        <f t="shared" si="212"/>
        <v>17.1402</v>
      </c>
      <c r="H6854" s="8">
        <v>16.324000000000002</v>
      </c>
      <c r="I6854" s="19">
        <f t="shared" si="213"/>
        <v>0</v>
      </c>
    </row>
    <row r="6855" spans="1:9" hidden="1">
      <c r="A6855" s="11" t="s">
        <v>11260</v>
      </c>
      <c r="B6855" s="2" t="s">
        <v>11494</v>
      </c>
      <c r="C6855" s="2" t="s">
        <v>11495</v>
      </c>
      <c r="D6855" s="2"/>
      <c r="E6855" s="2">
        <v>1</v>
      </c>
      <c r="F6855" s="9"/>
      <c r="G6855" s="8">
        <f t="shared" si="212"/>
        <v>17.1402</v>
      </c>
      <c r="H6855" s="8">
        <v>16.324000000000002</v>
      </c>
      <c r="I6855" s="19">
        <f t="shared" si="213"/>
        <v>0</v>
      </c>
    </row>
    <row r="6856" spans="1:9" hidden="1">
      <c r="A6856" s="11" t="s">
        <v>11260</v>
      </c>
      <c r="B6856" s="2" t="s">
        <v>11496</v>
      </c>
      <c r="C6856" s="2" t="s">
        <v>11497</v>
      </c>
      <c r="D6856" s="2"/>
      <c r="E6856" s="2">
        <v>1</v>
      </c>
      <c r="F6856" s="9"/>
      <c r="G6856" s="8">
        <f t="shared" si="212"/>
        <v>9.0527588007736952</v>
      </c>
      <c r="H6856" s="8">
        <v>8.6216750483559004</v>
      </c>
      <c r="I6856" s="19">
        <f t="shared" si="213"/>
        <v>0</v>
      </c>
    </row>
    <row r="6857" spans="1:9">
      <c r="A6857" s="11" t="s">
        <v>11260</v>
      </c>
      <c r="B6857" s="2" t="s">
        <v>11498</v>
      </c>
      <c r="C6857" s="2" t="s">
        <v>11499</v>
      </c>
      <c r="D6857" s="2"/>
      <c r="E6857" s="2">
        <v>1</v>
      </c>
      <c r="F6857" s="9">
        <v>3</v>
      </c>
      <c r="G6857" s="8">
        <f t="shared" si="212"/>
        <v>17.184720000000002</v>
      </c>
      <c r="H6857" s="8">
        <v>16.366400000000002</v>
      </c>
      <c r="I6857" s="19">
        <f t="shared" si="213"/>
        <v>51.55416000000001</v>
      </c>
    </row>
    <row r="6858" spans="1:9" hidden="1">
      <c r="A6858" s="11" t="s">
        <v>11260</v>
      </c>
      <c r="B6858" s="2" t="s">
        <v>11500</v>
      </c>
      <c r="C6858" s="2" t="s">
        <v>11501</v>
      </c>
      <c r="D6858" s="2"/>
      <c r="E6858" s="2">
        <v>1</v>
      </c>
      <c r="F6858" s="9"/>
      <c r="G6858" s="8">
        <f t="shared" si="212"/>
        <v>12.716778340611354</v>
      </c>
      <c r="H6858" s="8">
        <v>12.111217467248908</v>
      </c>
      <c r="I6858" s="19">
        <f t="shared" si="213"/>
        <v>0</v>
      </c>
    </row>
    <row r="6859" spans="1:9" hidden="1">
      <c r="A6859" s="11" t="s">
        <v>11260</v>
      </c>
      <c r="B6859" s="2" t="s">
        <v>11502</v>
      </c>
      <c r="C6859" s="2" t="s">
        <v>11503</v>
      </c>
      <c r="D6859" s="2"/>
      <c r="E6859" s="2">
        <v>1</v>
      </c>
      <c r="F6859" s="9"/>
      <c r="G6859" s="8">
        <f t="shared" si="212"/>
        <v>2.5017766666666668</v>
      </c>
      <c r="H6859" s="8">
        <v>2.3826444444444443</v>
      </c>
      <c r="I6859" s="19">
        <f t="shared" si="213"/>
        <v>0</v>
      </c>
    </row>
    <row r="6860" spans="1:9" hidden="1">
      <c r="A6860" s="11" t="s">
        <v>11260</v>
      </c>
      <c r="B6860" s="2" t="s">
        <v>11504</v>
      </c>
      <c r="C6860" s="2" t="s">
        <v>11505</v>
      </c>
      <c r="D6860" s="2"/>
      <c r="E6860" s="2">
        <v>1</v>
      </c>
      <c r="F6860" s="9"/>
      <c r="G6860" s="8">
        <f t="shared" si="212"/>
        <v>84.813615365669747</v>
      </c>
      <c r="H6860" s="8">
        <v>80.774871776828334</v>
      </c>
      <c r="I6860" s="19">
        <f t="shared" si="213"/>
        <v>0</v>
      </c>
    </row>
    <row r="6861" spans="1:9" hidden="1">
      <c r="A6861" s="11" t="s">
        <v>11260</v>
      </c>
      <c r="B6861" s="2" t="s">
        <v>11506</v>
      </c>
      <c r="C6861" s="2" t="s">
        <v>11507</v>
      </c>
      <c r="D6861" s="2"/>
      <c r="E6861" s="2">
        <v>1</v>
      </c>
      <c r="F6861" s="9"/>
      <c r="G6861" s="8">
        <f t="shared" si="212"/>
        <v>7.4612340000000001</v>
      </c>
      <c r="H6861" s="8">
        <v>7.105937142857143</v>
      </c>
      <c r="I6861" s="19">
        <f t="shared" si="213"/>
        <v>0</v>
      </c>
    </row>
    <row r="6862" spans="1:9" hidden="1">
      <c r="A6862" s="11" t="s">
        <v>11260</v>
      </c>
      <c r="B6862" s="2" t="s">
        <v>11508</v>
      </c>
      <c r="C6862" s="2" t="s">
        <v>11509</v>
      </c>
      <c r="D6862" s="2"/>
      <c r="E6862" s="2">
        <v>1</v>
      </c>
      <c r="F6862" s="9"/>
      <c r="G6862" s="8">
        <f t="shared" si="212"/>
        <v>2.620697625</v>
      </c>
      <c r="H6862" s="8">
        <v>2.4959025000000001</v>
      </c>
      <c r="I6862" s="19">
        <f t="shared" si="213"/>
        <v>0</v>
      </c>
    </row>
    <row r="6863" spans="1:9" hidden="1">
      <c r="A6863" s="11" t="s">
        <v>11260</v>
      </c>
      <c r="B6863" s="2" t="s">
        <v>11510</v>
      </c>
      <c r="C6863" s="2" t="s">
        <v>11511</v>
      </c>
      <c r="D6863" s="2"/>
      <c r="E6863" s="2">
        <v>1</v>
      </c>
      <c r="F6863" s="9"/>
      <c r="G6863" s="8">
        <f t="shared" si="212"/>
        <v>117.68862</v>
      </c>
      <c r="H6863" s="8">
        <v>112.0844</v>
      </c>
      <c r="I6863" s="19">
        <f t="shared" si="213"/>
        <v>0</v>
      </c>
    </row>
    <row r="6864" spans="1:9" hidden="1">
      <c r="A6864" s="11" t="s">
        <v>11260</v>
      </c>
      <c r="B6864" s="2" t="s">
        <v>11512</v>
      </c>
      <c r="C6864" s="2" t="s">
        <v>11513</v>
      </c>
      <c r="D6864" s="2" t="s">
        <v>572</v>
      </c>
      <c r="E6864" s="2">
        <v>1</v>
      </c>
      <c r="F6864" s="9"/>
      <c r="G6864" s="8">
        <f t="shared" si="212"/>
        <v>4.0949999999999998</v>
      </c>
      <c r="H6864" s="16">
        <v>3.9</v>
      </c>
      <c r="I6864" s="19">
        <f t="shared" si="213"/>
        <v>0</v>
      </c>
    </row>
    <row r="6865" spans="1:9">
      <c r="A6865" s="11" t="s">
        <v>11260</v>
      </c>
      <c r="B6865" s="2" t="s">
        <v>11514</v>
      </c>
      <c r="C6865" s="2" t="s">
        <v>11515</v>
      </c>
      <c r="D6865" s="2" t="s">
        <v>812</v>
      </c>
      <c r="E6865" s="2">
        <v>1</v>
      </c>
      <c r="F6865" s="9">
        <v>0.4</v>
      </c>
      <c r="G6865" s="8">
        <v>679.13</v>
      </c>
      <c r="H6865" s="16">
        <v>679.15</v>
      </c>
      <c r="I6865" s="19">
        <f t="shared" si="213"/>
        <v>271.65199999999999</v>
      </c>
    </row>
    <row r="6866" spans="1:9" hidden="1">
      <c r="A6866" s="11" t="s">
        <v>11260</v>
      </c>
      <c r="B6866" s="2" t="s">
        <v>11516</v>
      </c>
      <c r="C6866" s="2" t="s">
        <v>11517</v>
      </c>
      <c r="D6866" s="2" t="s">
        <v>572</v>
      </c>
      <c r="E6866" s="2">
        <v>1</v>
      </c>
      <c r="F6866" s="9"/>
      <c r="G6866" s="8">
        <f t="shared" ref="G6866:G6929" si="214">H6866+(H6866*5%)</f>
        <v>1.6274999999999999</v>
      </c>
      <c r="H6866" s="16">
        <v>1.55</v>
      </c>
      <c r="I6866" s="19">
        <f t="shared" ref="I6866:I6929" si="215">G6866*F6866</f>
        <v>0</v>
      </c>
    </row>
    <row r="6867" spans="1:9" hidden="1">
      <c r="A6867" s="11" t="s">
        <v>11260</v>
      </c>
      <c r="B6867" s="2" t="s">
        <v>11518</v>
      </c>
      <c r="C6867" s="2" t="s">
        <v>11519</v>
      </c>
      <c r="D6867" s="2" t="s">
        <v>572</v>
      </c>
      <c r="E6867" s="2">
        <v>1</v>
      </c>
      <c r="F6867" s="9"/>
      <c r="G6867" s="8">
        <f t="shared" si="214"/>
        <v>12.8835</v>
      </c>
      <c r="H6867" s="16">
        <v>12.27</v>
      </c>
      <c r="I6867" s="19">
        <f t="shared" si="215"/>
        <v>0</v>
      </c>
    </row>
    <row r="6868" spans="1:9">
      <c r="A6868" s="11" t="s">
        <v>11260</v>
      </c>
      <c r="B6868" s="2" t="s">
        <v>11520</v>
      </c>
      <c r="C6868" s="2" t="s">
        <v>11521</v>
      </c>
      <c r="D6868" s="2" t="s">
        <v>572</v>
      </c>
      <c r="E6868" s="2">
        <v>1</v>
      </c>
      <c r="F6868" s="9">
        <f>70+323+14+8</f>
        <v>415</v>
      </c>
      <c r="G6868" s="8">
        <f t="shared" si="214"/>
        <v>4.2945000000000002</v>
      </c>
      <c r="H6868" s="16">
        <v>4.09</v>
      </c>
      <c r="I6868" s="19">
        <f t="shared" si="215"/>
        <v>1782.2175</v>
      </c>
    </row>
    <row r="6869" spans="1:9" hidden="1">
      <c r="A6869" s="11" t="s">
        <v>11260</v>
      </c>
      <c r="B6869" s="2" t="s">
        <v>11522</v>
      </c>
      <c r="C6869" s="2" t="s">
        <v>11521</v>
      </c>
      <c r="D6869" s="2" t="s">
        <v>572</v>
      </c>
      <c r="E6869" s="2">
        <v>1</v>
      </c>
      <c r="F6869" s="9"/>
      <c r="G6869" s="8">
        <f t="shared" si="214"/>
        <v>20.769000000000002</v>
      </c>
      <c r="H6869" s="16">
        <v>19.78</v>
      </c>
      <c r="I6869" s="19">
        <f t="shared" si="215"/>
        <v>0</v>
      </c>
    </row>
    <row r="6870" spans="1:9" hidden="1">
      <c r="A6870" s="11" t="s">
        <v>11260</v>
      </c>
      <c r="B6870" s="2" t="s">
        <v>11523</v>
      </c>
      <c r="C6870" s="2" t="s">
        <v>11524</v>
      </c>
      <c r="D6870" s="2" t="s">
        <v>572</v>
      </c>
      <c r="E6870" s="2">
        <v>1</v>
      </c>
      <c r="F6870" s="9"/>
      <c r="G6870" s="8">
        <f t="shared" si="214"/>
        <v>3.4229999999999996</v>
      </c>
      <c r="H6870" s="16">
        <v>3.26</v>
      </c>
      <c r="I6870" s="19">
        <f t="shared" si="215"/>
        <v>0</v>
      </c>
    </row>
    <row r="6871" spans="1:9" hidden="1">
      <c r="A6871" s="11" t="s">
        <v>11260</v>
      </c>
      <c r="B6871" s="2" t="s">
        <v>11525</v>
      </c>
      <c r="C6871" s="2" t="s">
        <v>11526</v>
      </c>
      <c r="D6871" s="2" t="s">
        <v>572</v>
      </c>
      <c r="E6871" s="2">
        <v>1</v>
      </c>
      <c r="F6871" s="9"/>
      <c r="G6871" s="8">
        <f t="shared" si="214"/>
        <v>2.6984999999999997</v>
      </c>
      <c r="H6871" s="16">
        <v>2.57</v>
      </c>
      <c r="I6871" s="19">
        <f t="shared" si="215"/>
        <v>0</v>
      </c>
    </row>
    <row r="6872" spans="1:9" hidden="1">
      <c r="A6872" s="11" t="s">
        <v>11260</v>
      </c>
      <c r="B6872" s="2" t="s">
        <v>11527</v>
      </c>
      <c r="C6872" s="2" t="s">
        <v>11528</v>
      </c>
      <c r="D6872" s="2" t="s">
        <v>572</v>
      </c>
      <c r="E6872" s="2">
        <v>1</v>
      </c>
      <c r="F6872" s="9"/>
      <c r="G6872" s="8">
        <f t="shared" si="214"/>
        <v>4.83</v>
      </c>
      <c r="H6872" s="16">
        <v>4.5999999999999996</v>
      </c>
      <c r="I6872" s="19">
        <f t="shared" si="215"/>
        <v>0</v>
      </c>
    </row>
    <row r="6873" spans="1:9" hidden="1">
      <c r="A6873" s="11" t="s">
        <v>11260</v>
      </c>
      <c r="B6873" s="2" t="s">
        <v>11529</v>
      </c>
      <c r="C6873" s="2" t="s">
        <v>11530</v>
      </c>
      <c r="D6873" s="2" t="s">
        <v>572</v>
      </c>
      <c r="E6873" s="2">
        <v>1</v>
      </c>
      <c r="F6873" s="9"/>
      <c r="G6873" s="8">
        <f t="shared" si="214"/>
        <v>2.0790000000000002</v>
      </c>
      <c r="H6873" s="16">
        <v>1.98</v>
      </c>
      <c r="I6873" s="19">
        <f t="shared" si="215"/>
        <v>0</v>
      </c>
    </row>
    <row r="6874" spans="1:9" hidden="1">
      <c r="A6874" s="11" t="s">
        <v>11260</v>
      </c>
      <c r="B6874" s="2" t="s">
        <v>11531</v>
      </c>
      <c r="C6874" s="2" t="s">
        <v>11532</v>
      </c>
      <c r="D6874" s="2" t="s">
        <v>572</v>
      </c>
      <c r="E6874" s="2">
        <v>1</v>
      </c>
      <c r="F6874" s="9"/>
      <c r="G6874" s="8">
        <f t="shared" si="214"/>
        <v>1.827</v>
      </c>
      <c r="H6874" s="16">
        <v>1.74</v>
      </c>
      <c r="I6874" s="19">
        <f t="shared" si="215"/>
        <v>0</v>
      </c>
    </row>
    <row r="6875" spans="1:9">
      <c r="A6875" s="11" t="s">
        <v>11260</v>
      </c>
      <c r="B6875" s="2" t="s">
        <v>11533</v>
      </c>
      <c r="C6875" s="2" t="s">
        <v>11534</v>
      </c>
      <c r="D6875" s="2" t="s">
        <v>572</v>
      </c>
      <c r="E6875" s="2">
        <v>1</v>
      </c>
      <c r="F6875" s="9">
        <v>73</v>
      </c>
      <c r="G6875" s="8">
        <f t="shared" si="214"/>
        <v>2.3414999999999999</v>
      </c>
      <c r="H6875" s="16">
        <v>2.23</v>
      </c>
      <c r="I6875" s="19">
        <f t="shared" si="215"/>
        <v>170.92949999999999</v>
      </c>
    </row>
    <row r="6876" spans="1:9" hidden="1">
      <c r="A6876" s="11" t="s">
        <v>11260</v>
      </c>
      <c r="B6876" s="2" t="s">
        <v>11535</v>
      </c>
      <c r="C6876" s="2" t="s">
        <v>11536</v>
      </c>
      <c r="D6876" s="2" t="s">
        <v>572</v>
      </c>
      <c r="E6876" s="2">
        <v>1</v>
      </c>
      <c r="F6876" s="9"/>
      <c r="G6876" s="8">
        <f t="shared" si="214"/>
        <v>2.8454999999999999</v>
      </c>
      <c r="H6876" s="16">
        <v>2.71</v>
      </c>
      <c r="I6876" s="19">
        <f t="shared" si="215"/>
        <v>0</v>
      </c>
    </row>
    <row r="6877" spans="1:9">
      <c r="A6877" s="11" t="s">
        <v>11260</v>
      </c>
      <c r="B6877" s="2" t="s">
        <v>11537</v>
      </c>
      <c r="C6877" s="2" t="s">
        <v>11538</v>
      </c>
      <c r="D6877" s="2" t="s">
        <v>572</v>
      </c>
      <c r="E6877" s="2">
        <v>1</v>
      </c>
      <c r="F6877" s="9">
        <v>159</v>
      </c>
      <c r="G6877" s="8">
        <f t="shared" si="214"/>
        <v>1.5434999999999999</v>
      </c>
      <c r="H6877" s="16">
        <v>1.47</v>
      </c>
      <c r="I6877" s="19">
        <f t="shared" si="215"/>
        <v>245.41649999999998</v>
      </c>
    </row>
    <row r="6878" spans="1:9">
      <c r="A6878" s="11" t="s">
        <v>11260</v>
      </c>
      <c r="B6878" s="2" t="s">
        <v>11539</v>
      </c>
      <c r="C6878" s="2" t="s">
        <v>11540</v>
      </c>
      <c r="D6878" s="2"/>
      <c r="E6878" s="2">
        <v>1</v>
      </c>
      <c r="F6878" s="9">
        <v>10</v>
      </c>
      <c r="G6878" s="8">
        <f t="shared" si="214"/>
        <v>20.95434827728209</v>
      </c>
      <c r="H6878" s="8">
        <v>19.956522168840085</v>
      </c>
      <c r="I6878" s="19">
        <f t="shared" si="215"/>
        <v>209.54348277282091</v>
      </c>
    </row>
    <row r="6879" spans="1:9" hidden="1">
      <c r="A6879" s="11" t="s">
        <v>11260</v>
      </c>
      <c r="B6879" s="2" t="s">
        <v>11541</v>
      </c>
      <c r="C6879" s="2" t="s">
        <v>11542</v>
      </c>
      <c r="D6879" s="2"/>
      <c r="E6879" s="2">
        <v>1</v>
      </c>
      <c r="F6879" s="9"/>
      <c r="G6879" s="8">
        <f t="shared" si="214"/>
        <v>26.834866412429378</v>
      </c>
      <c r="H6879" s="8">
        <v>25.557015630885122</v>
      </c>
      <c r="I6879" s="19">
        <f t="shared" si="215"/>
        <v>0</v>
      </c>
    </row>
    <row r="6880" spans="1:9" hidden="1">
      <c r="A6880" s="11" t="s">
        <v>11260</v>
      </c>
      <c r="B6880" s="2" t="s">
        <v>11543</v>
      </c>
      <c r="C6880" s="2" t="s">
        <v>11544</v>
      </c>
      <c r="D6880" s="2"/>
      <c r="E6880" s="2">
        <v>1</v>
      </c>
      <c r="F6880" s="9"/>
      <c r="G6880" s="8">
        <f t="shared" si="214"/>
        <v>25.614698406304729</v>
      </c>
      <c r="H6880" s="8">
        <v>24.394950863147361</v>
      </c>
      <c r="I6880" s="19">
        <f t="shared" si="215"/>
        <v>0</v>
      </c>
    </row>
    <row r="6881" spans="1:9">
      <c r="A6881" s="11" t="s">
        <v>11260</v>
      </c>
      <c r="B6881" s="2" t="s">
        <v>11545</v>
      </c>
      <c r="C6881" s="2" t="s">
        <v>11544</v>
      </c>
      <c r="D6881" s="2"/>
      <c r="E6881" s="2">
        <v>1</v>
      </c>
      <c r="F6881" s="9">
        <f>31+(43/6)</f>
        <v>38.166666666666664</v>
      </c>
      <c r="G6881" s="8">
        <f t="shared" si="214"/>
        <v>31.590458981810578</v>
      </c>
      <c r="H6881" s="8">
        <v>30.086151411248171</v>
      </c>
      <c r="I6881" s="19">
        <f t="shared" si="215"/>
        <v>1205.7025178057704</v>
      </c>
    </row>
    <row r="6882" spans="1:9" hidden="1">
      <c r="A6882" s="11" t="s">
        <v>11260</v>
      </c>
      <c r="B6882" s="2" t="s">
        <v>11546</v>
      </c>
      <c r="C6882" s="2" t="s">
        <v>11547</v>
      </c>
      <c r="D6882" s="2"/>
      <c r="E6882" s="2">
        <v>1</v>
      </c>
      <c r="F6882" s="9"/>
      <c r="G6882" s="8">
        <f t="shared" si="214"/>
        <v>26.832782459216961</v>
      </c>
      <c r="H6882" s="8">
        <v>25.555030913539962</v>
      </c>
      <c r="I6882" s="19">
        <f t="shared" si="215"/>
        <v>0</v>
      </c>
    </row>
    <row r="6883" spans="1:9">
      <c r="A6883" s="11" t="s">
        <v>11260</v>
      </c>
      <c r="B6883" s="2" t="s">
        <v>11548</v>
      </c>
      <c r="C6883" s="2" t="s">
        <v>11549</v>
      </c>
      <c r="D6883" s="2"/>
      <c r="E6883" s="2">
        <v>1</v>
      </c>
      <c r="F6883" s="9">
        <f>2+2+(15/6)</f>
        <v>6.5</v>
      </c>
      <c r="G6883" s="8">
        <f t="shared" si="214"/>
        <v>56.554559818171967</v>
      </c>
      <c r="H6883" s="8">
        <v>53.86148554111616</v>
      </c>
      <c r="I6883" s="19">
        <f t="shared" si="215"/>
        <v>367.60463881811779</v>
      </c>
    </row>
    <row r="6884" spans="1:9">
      <c r="A6884" s="11" t="s">
        <v>11260</v>
      </c>
      <c r="B6884" s="2" t="s">
        <v>11550</v>
      </c>
      <c r="C6884" s="2" t="s">
        <v>11547</v>
      </c>
      <c r="D6884" s="2"/>
      <c r="E6884" s="2">
        <v>1</v>
      </c>
      <c r="F6884" s="9">
        <v>15</v>
      </c>
      <c r="G6884" s="8">
        <f t="shared" si="214"/>
        <v>33.468897033416681</v>
      </c>
      <c r="H6884" s="8">
        <v>31.875140031825413</v>
      </c>
      <c r="I6884" s="19">
        <f t="shared" si="215"/>
        <v>502.03345550125022</v>
      </c>
    </row>
    <row r="6885" spans="1:9" hidden="1">
      <c r="A6885" s="11" t="s">
        <v>11260</v>
      </c>
      <c r="B6885" s="2" t="s">
        <v>11551</v>
      </c>
      <c r="C6885" s="2" t="s">
        <v>11552</v>
      </c>
      <c r="D6885" s="2"/>
      <c r="E6885" s="2">
        <v>1</v>
      </c>
      <c r="F6885" s="9"/>
      <c r="G6885" s="8">
        <f t="shared" si="214"/>
        <v>26.311615806451616</v>
      </c>
      <c r="H6885" s="8">
        <v>25.058681720430112</v>
      </c>
      <c r="I6885" s="19">
        <f t="shared" si="215"/>
        <v>0</v>
      </c>
    </row>
    <row r="6886" spans="1:9" hidden="1">
      <c r="A6886" s="11" t="s">
        <v>11260</v>
      </c>
      <c r="B6886" s="2" t="s">
        <v>11553</v>
      </c>
      <c r="C6886" s="2" t="s">
        <v>11554</v>
      </c>
      <c r="D6886" s="2"/>
      <c r="E6886" s="2">
        <v>1</v>
      </c>
      <c r="F6886" s="9"/>
      <c r="G6886" s="8">
        <f t="shared" si="214"/>
        <v>63.181288975590775</v>
      </c>
      <c r="H6886" s="8">
        <v>60.172656167229306</v>
      </c>
      <c r="I6886" s="19">
        <f t="shared" si="215"/>
        <v>0</v>
      </c>
    </row>
    <row r="6887" spans="1:9" hidden="1">
      <c r="A6887" s="11" t="s">
        <v>11260</v>
      </c>
      <c r="B6887" s="2" t="s">
        <v>11555</v>
      </c>
      <c r="C6887" s="2" t="s">
        <v>11556</v>
      </c>
      <c r="D6887" s="2"/>
      <c r="E6887" s="2">
        <v>1</v>
      </c>
      <c r="F6887" s="9"/>
      <c r="G6887" s="8">
        <f t="shared" si="214"/>
        <v>32.872758947368425</v>
      </c>
      <c r="H6887" s="8">
        <v>31.307389473684211</v>
      </c>
      <c r="I6887" s="19">
        <f t="shared" si="215"/>
        <v>0</v>
      </c>
    </row>
    <row r="6888" spans="1:9" hidden="1">
      <c r="A6888" s="11" t="s">
        <v>11260</v>
      </c>
      <c r="B6888" s="2" t="s">
        <v>11557</v>
      </c>
      <c r="C6888" s="2" t="s">
        <v>11556</v>
      </c>
      <c r="D6888" s="2"/>
      <c r="E6888" s="2">
        <v>1</v>
      </c>
      <c r="F6888" s="9"/>
      <c r="G6888" s="8">
        <f t="shared" si="214"/>
        <v>39.67665155916275</v>
      </c>
      <c r="H6888" s="8">
        <v>37.787287199202616</v>
      </c>
      <c r="I6888" s="19">
        <f t="shared" si="215"/>
        <v>0</v>
      </c>
    </row>
    <row r="6889" spans="1:9" hidden="1">
      <c r="A6889" s="11" t="s">
        <v>11260</v>
      </c>
      <c r="B6889" s="2" t="s">
        <v>11558</v>
      </c>
      <c r="C6889" s="2" t="s">
        <v>11559</v>
      </c>
      <c r="D6889" s="2"/>
      <c r="E6889" s="2">
        <v>1</v>
      </c>
      <c r="F6889" s="9"/>
      <c r="G6889" s="8">
        <f t="shared" si="214"/>
        <v>15.781973027932963</v>
      </c>
      <c r="H6889" s="8">
        <v>15.030450502793299</v>
      </c>
      <c r="I6889" s="19">
        <f t="shared" si="215"/>
        <v>0</v>
      </c>
    </row>
    <row r="6890" spans="1:9" hidden="1">
      <c r="A6890" s="11" t="s">
        <v>11260</v>
      </c>
      <c r="B6890" s="2" t="s">
        <v>11560</v>
      </c>
      <c r="C6890" s="2" t="s">
        <v>11561</v>
      </c>
      <c r="D6890" s="2"/>
      <c r="E6890" s="2">
        <v>1</v>
      </c>
      <c r="F6890" s="9"/>
      <c r="G6890" s="8">
        <f t="shared" si="214"/>
        <v>19.925934888593218</v>
      </c>
      <c r="H6890" s="8">
        <v>18.977080846279257</v>
      </c>
      <c r="I6890" s="19">
        <f t="shared" si="215"/>
        <v>0</v>
      </c>
    </row>
    <row r="6891" spans="1:9" hidden="1">
      <c r="A6891" s="11" t="s">
        <v>11260</v>
      </c>
      <c r="B6891" s="2" t="s">
        <v>11562</v>
      </c>
      <c r="C6891" s="2" t="s">
        <v>11563</v>
      </c>
      <c r="D6891" s="2"/>
      <c r="E6891" s="2">
        <v>1</v>
      </c>
      <c r="F6891" s="9"/>
      <c r="G6891" s="8">
        <f t="shared" si="214"/>
        <v>23.841653609806155</v>
      </c>
      <c r="H6891" s="8">
        <v>22.706336771243958</v>
      </c>
      <c r="I6891" s="19">
        <f t="shared" si="215"/>
        <v>0</v>
      </c>
    </row>
    <row r="6892" spans="1:9" hidden="1">
      <c r="A6892" s="11" t="s">
        <v>11260</v>
      </c>
      <c r="B6892" s="2" t="s">
        <v>11564</v>
      </c>
      <c r="C6892" s="2" t="s">
        <v>11565</v>
      </c>
      <c r="D6892" s="2"/>
      <c r="E6892" s="2">
        <v>1</v>
      </c>
      <c r="F6892" s="9"/>
      <c r="G6892" s="8">
        <f t="shared" si="214"/>
        <v>87.653239303248213</v>
      </c>
      <c r="H6892" s="8">
        <v>83.479275526903066</v>
      </c>
      <c r="I6892" s="19">
        <f t="shared" si="215"/>
        <v>0</v>
      </c>
    </row>
    <row r="6893" spans="1:9" hidden="1">
      <c r="A6893" s="11" t="s">
        <v>11260</v>
      </c>
      <c r="B6893" s="2" t="s">
        <v>11566</v>
      </c>
      <c r="C6893" s="2" t="s">
        <v>11567</v>
      </c>
      <c r="D6893" s="2"/>
      <c r="E6893" s="2">
        <v>1</v>
      </c>
      <c r="F6893" s="9"/>
      <c r="G6893" s="8">
        <f t="shared" si="214"/>
        <v>23.273094586187998</v>
      </c>
      <c r="H6893" s="8">
        <v>22.164851986845711</v>
      </c>
      <c r="I6893" s="19">
        <f t="shared" si="215"/>
        <v>0</v>
      </c>
    </row>
    <row r="6894" spans="1:9" hidden="1">
      <c r="A6894" s="11" t="s">
        <v>11260</v>
      </c>
      <c r="B6894" s="2" t="s">
        <v>11568</v>
      </c>
      <c r="C6894" s="2" t="s">
        <v>11569</v>
      </c>
      <c r="D6894" s="2"/>
      <c r="E6894" s="2">
        <v>1</v>
      </c>
      <c r="F6894" s="9"/>
      <c r="G6894" s="8">
        <f t="shared" si="214"/>
        <v>49.573211109671846</v>
      </c>
      <c r="H6894" s="8">
        <v>47.212582009211282</v>
      </c>
      <c r="I6894" s="19">
        <f t="shared" si="215"/>
        <v>0</v>
      </c>
    </row>
    <row r="6895" spans="1:9" hidden="1">
      <c r="A6895" s="11" t="s">
        <v>11260</v>
      </c>
      <c r="B6895" s="2" t="s">
        <v>11570</v>
      </c>
      <c r="C6895" s="2" t="s">
        <v>11571</v>
      </c>
      <c r="D6895" s="2"/>
      <c r="E6895" s="2">
        <v>1</v>
      </c>
      <c r="F6895" s="9"/>
      <c r="G6895" s="8">
        <f t="shared" si="214"/>
        <v>29.023318984154542</v>
      </c>
      <c r="H6895" s="8">
        <v>27.64125617538528</v>
      </c>
      <c r="I6895" s="19">
        <f t="shared" si="215"/>
        <v>0</v>
      </c>
    </row>
    <row r="6896" spans="1:9">
      <c r="A6896" s="11" t="s">
        <v>11260</v>
      </c>
      <c r="B6896" s="2" t="s">
        <v>11572</v>
      </c>
      <c r="C6896" s="2" t="s">
        <v>11573</v>
      </c>
      <c r="D6896" s="2"/>
      <c r="E6896" s="2">
        <v>1</v>
      </c>
      <c r="F6896" s="9">
        <f>16/6</f>
        <v>2.6666666666666665</v>
      </c>
      <c r="G6896" s="8">
        <f t="shared" si="214"/>
        <v>59.777925966125963</v>
      </c>
      <c r="H6896" s="8">
        <v>56.931358062977104</v>
      </c>
      <c r="I6896" s="19">
        <f t="shared" si="215"/>
        <v>159.40780257633588</v>
      </c>
    </row>
    <row r="6897" spans="1:9" hidden="1">
      <c r="A6897" s="11" t="s">
        <v>11260</v>
      </c>
      <c r="B6897" s="2" t="s">
        <v>11574</v>
      </c>
      <c r="C6897" s="2" t="s">
        <v>11571</v>
      </c>
      <c r="D6897" s="2"/>
      <c r="E6897" s="2">
        <v>1</v>
      </c>
      <c r="F6897" s="9"/>
      <c r="G6897" s="8">
        <f t="shared" si="214"/>
        <v>34.977891440232177</v>
      </c>
      <c r="H6897" s="8">
        <v>33.312277562125885</v>
      </c>
      <c r="I6897" s="19">
        <f t="shared" si="215"/>
        <v>0</v>
      </c>
    </row>
    <row r="6898" spans="1:9" hidden="1">
      <c r="A6898" s="11" t="s">
        <v>11260</v>
      </c>
      <c r="B6898" s="2" t="s">
        <v>11575</v>
      </c>
      <c r="C6898" s="2" t="s">
        <v>11576</v>
      </c>
      <c r="D6898" s="2"/>
      <c r="E6898" s="2">
        <v>1</v>
      </c>
      <c r="F6898" s="9"/>
      <c r="G6898" s="8">
        <f t="shared" si="214"/>
        <v>50.08540510919385</v>
      </c>
      <c r="H6898" s="8">
        <v>47.700385818279855</v>
      </c>
      <c r="I6898" s="19">
        <f t="shared" si="215"/>
        <v>0</v>
      </c>
    </row>
    <row r="6899" spans="1:9" hidden="1">
      <c r="A6899" s="11" t="s">
        <v>11260</v>
      </c>
      <c r="B6899" s="2" t="s">
        <v>11577</v>
      </c>
      <c r="C6899" s="2" t="s">
        <v>11578</v>
      </c>
      <c r="D6899" s="2"/>
      <c r="E6899" s="2">
        <v>1</v>
      </c>
      <c r="F6899" s="9"/>
      <c r="G6899" s="8">
        <f t="shared" si="214"/>
        <v>45.35998041847543</v>
      </c>
      <c r="H6899" s="8">
        <v>43.199981350928979</v>
      </c>
      <c r="I6899" s="19">
        <f t="shared" si="215"/>
        <v>0</v>
      </c>
    </row>
    <row r="6900" spans="1:9" hidden="1">
      <c r="A6900" s="11" t="s">
        <v>11260</v>
      </c>
      <c r="B6900" s="2" t="s">
        <v>11579</v>
      </c>
      <c r="C6900" s="2" t="s">
        <v>11578</v>
      </c>
      <c r="D6900" s="2"/>
      <c r="E6900" s="2">
        <v>1</v>
      </c>
      <c r="F6900" s="9"/>
      <c r="G6900" s="8">
        <f t="shared" si="214"/>
        <v>54.426205430377927</v>
      </c>
      <c r="H6900" s="8">
        <v>51.83448136226469</v>
      </c>
      <c r="I6900" s="19">
        <f t="shared" si="215"/>
        <v>0</v>
      </c>
    </row>
    <row r="6901" spans="1:9" hidden="1">
      <c r="A6901" s="11" t="s">
        <v>11260</v>
      </c>
      <c r="B6901" s="2" t="s">
        <v>11580</v>
      </c>
      <c r="C6901" s="2" t="s">
        <v>11581</v>
      </c>
      <c r="D6901" s="2"/>
      <c r="E6901" s="2">
        <v>1</v>
      </c>
      <c r="F6901" s="9"/>
      <c r="G6901" s="8">
        <f t="shared" si="214"/>
        <v>4.6249848936170208</v>
      </c>
      <c r="H6901" s="8">
        <v>4.4047475177304962</v>
      </c>
      <c r="I6901" s="19">
        <f t="shared" si="215"/>
        <v>0</v>
      </c>
    </row>
    <row r="6902" spans="1:9" hidden="1">
      <c r="A6902" s="11" t="s">
        <v>11260</v>
      </c>
      <c r="B6902" s="2" t="s">
        <v>11582</v>
      </c>
      <c r="C6902" s="2" t="s">
        <v>11583</v>
      </c>
      <c r="D6902" s="2"/>
      <c r="E6902" s="2">
        <v>1</v>
      </c>
      <c r="F6902" s="9"/>
      <c r="G6902" s="8">
        <f t="shared" si="214"/>
        <v>39.858478603692063</v>
      </c>
      <c r="H6902" s="8">
        <v>37.960455813040063</v>
      </c>
      <c r="I6902" s="19">
        <f t="shared" si="215"/>
        <v>0</v>
      </c>
    </row>
    <row r="6903" spans="1:9" hidden="1">
      <c r="A6903" s="11" t="s">
        <v>11260</v>
      </c>
      <c r="B6903" s="2" t="s">
        <v>11584</v>
      </c>
      <c r="C6903" s="2" t="s">
        <v>11583</v>
      </c>
      <c r="D6903" s="2"/>
      <c r="E6903" s="2">
        <v>1</v>
      </c>
      <c r="F6903" s="9"/>
      <c r="G6903" s="8">
        <f t="shared" si="214"/>
        <v>47.593471600722381</v>
      </c>
      <c r="H6903" s="8">
        <v>45.327115810211794</v>
      </c>
      <c r="I6903" s="19">
        <f t="shared" si="215"/>
        <v>0</v>
      </c>
    </row>
    <row r="6904" spans="1:9" hidden="1">
      <c r="A6904" s="11" t="s">
        <v>11260</v>
      </c>
      <c r="B6904" s="2" t="s">
        <v>11585</v>
      </c>
      <c r="C6904" s="2" t="s">
        <v>11586</v>
      </c>
      <c r="D6904" s="2" t="s">
        <v>572</v>
      </c>
      <c r="E6904" s="2">
        <v>1</v>
      </c>
      <c r="F6904" s="9"/>
      <c r="G6904" s="8">
        <f t="shared" si="214"/>
        <v>2.8770000000000002</v>
      </c>
      <c r="H6904" s="16">
        <v>2.74</v>
      </c>
      <c r="I6904" s="19">
        <f t="shared" si="215"/>
        <v>0</v>
      </c>
    </row>
    <row r="6905" spans="1:9" hidden="1">
      <c r="A6905" s="11" t="s">
        <v>11260</v>
      </c>
      <c r="B6905" s="2" t="s">
        <v>11587</v>
      </c>
      <c r="C6905" s="2" t="s">
        <v>11588</v>
      </c>
      <c r="D6905" s="2" t="s">
        <v>572</v>
      </c>
      <c r="E6905" s="2">
        <v>1</v>
      </c>
      <c r="F6905" s="9"/>
      <c r="G6905" s="8">
        <f t="shared" si="214"/>
        <v>6.4995000000000003</v>
      </c>
      <c r="H6905" s="16">
        <v>6.19</v>
      </c>
      <c r="I6905" s="19">
        <f t="shared" si="215"/>
        <v>0</v>
      </c>
    </row>
    <row r="6906" spans="1:9" hidden="1">
      <c r="A6906" s="11" t="s">
        <v>11260</v>
      </c>
      <c r="B6906" s="2" t="s">
        <v>11589</v>
      </c>
      <c r="C6906" s="2" t="s">
        <v>11590</v>
      </c>
      <c r="D6906" s="2" t="s">
        <v>572</v>
      </c>
      <c r="E6906" s="2">
        <v>1</v>
      </c>
      <c r="F6906" s="9"/>
      <c r="G6906" s="8">
        <f t="shared" si="214"/>
        <v>6.7305000000000001</v>
      </c>
      <c r="H6906" s="16">
        <v>6.41</v>
      </c>
      <c r="I6906" s="19">
        <f t="shared" si="215"/>
        <v>0</v>
      </c>
    </row>
    <row r="6907" spans="1:9" hidden="1">
      <c r="A6907" s="11" t="s">
        <v>11260</v>
      </c>
      <c r="B6907" s="2" t="s">
        <v>11591</v>
      </c>
      <c r="C6907" s="2" t="s">
        <v>11592</v>
      </c>
      <c r="D6907" s="2"/>
      <c r="E6907" s="2">
        <v>1</v>
      </c>
      <c r="F6907" s="9"/>
      <c r="G6907" s="8">
        <f t="shared" si="214"/>
        <v>12.5265</v>
      </c>
      <c r="H6907" s="8">
        <v>11.93</v>
      </c>
      <c r="I6907" s="19">
        <f t="shared" si="215"/>
        <v>0</v>
      </c>
    </row>
    <row r="6908" spans="1:9" hidden="1">
      <c r="A6908" s="11" t="s">
        <v>11260</v>
      </c>
      <c r="B6908" s="2" t="s">
        <v>11593</v>
      </c>
      <c r="C6908" s="2" t="s">
        <v>11594</v>
      </c>
      <c r="D6908" s="2"/>
      <c r="E6908" s="2">
        <v>1</v>
      </c>
      <c r="F6908" s="9"/>
      <c r="G6908" s="8">
        <f t="shared" si="214"/>
        <v>12.2745</v>
      </c>
      <c r="H6908" s="8">
        <v>11.69</v>
      </c>
      <c r="I6908" s="19">
        <f t="shared" si="215"/>
        <v>0</v>
      </c>
    </row>
    <row r="6909" spans="1:9">
      <c r="A6909" s="11" t="s">
        <v>11260</v>
      </c>
      <c r="B6909" s="2" t="s">
        <v>11595</v>
      </c>
      <c r="C6909" s="2" t="s">
        <v>11596</v>
      </c>
      <c r="D6909" s="2"/>
      <c r="E6909" s="2">
        <v>1</v>
      </c>
      <c r="F6909" s="9">
        <v>2</v>
      </c>
      <c r="G6909" s="8">
        <f t="shared" si="214"/>
        <v>113.51185517691746</v>
      </c>
      <c r="H6909" s="8">
        <v>108.10652873992139</v>
      </c>
      <c r="I6909" s="19">
        <f t="shared" si="215"/>
        <v>227.02371035383493</v>
      </c>
    </row>
    <row r="6910" spans="1:9" hidden="1">
      <c r="A6910" s="11" t="s">
        <v>11260</v>
      </c>
      <c r="B6910" s="2" t="s">
        <v>11597</v>
      </c>
      <c r="C6910" s="2" t="s">
        <v>11598</v>
      </c>
      <c r="D6910" s="2"/>
      <c r="E6910" s="2">
        <v>1</v>
      </c>
      <c r="F6910" s="9"/>
      <c r="G6910" s="8">
        <f t="shared" si="214"/>
        <v>0.23372999999999999</v>
      </c>
      <c r="H6910" s="8">
        <v>0.22259999999999999</v>
      </c>
      <c r="I6910" s="19">
        <f t="shared" si="215"/>
        <v>0</v>
      </c>
    </row>
    <row r="6911" spans="1:9" hidden="1">
      <c r="A6911" s="11" t="s">
        <v>11260</v>
      </c>
      <c r="B6911" s="2" t="s">
        <v>11599</v>
      </c>
      <c r="C6911" s="2" t="s">
        <v>11600</v>
      </c>
      <c r="D6911" s="2"/>
      <c r="E6911" s="2">
        <v>1</v>
      </c>
      <c r="F6911" s="9"/>
      <c r="G6911" s="8">
        <f t="shared" si="214"/>
        <v>1.7140200000000001</v>
      </c>
      <c r="H6911" s="8">
        <v>1.6324000000000001</v>
      </c>
      <c r="I6911" s="19">
        <f t="shared" si="215"/>
        <v>0</v>
      </c>
    </row>
    <row r="6912" spans="1:9" hidden="1">
      <c r="A6912" s="11" t="s">
        <v>11260</v>
      </c>
      <c r="B6912" s="2" t="s">
        <v>11601</v>
      </c>
      <c r="C6912" s="2" t="s">
        <v>11602</v>
      </c>
      <c r="D6912" s="2"/>
      <c r="E6912" s="2">
        <v>1</v>
      </c>
      <c r="F6912" s="9"/>
      <c r="G6912" s="8">
        <f t="shared" si="214"/>
        <v>4.3852200000000003</v>
      </c>
      <c r="H6912" s="8">
        <v>4.1764000000000001</v>
      </c>
      <c r="I6912" s="19">
        <f t="shared" si="215"/>
        <v>0</v>
      </c>
    </row>
    <row r="6913" spans="1:9" hidden="1">
      <c r="A6913" s="11" t="s">
        <v>11260</v>
      </c>
      <c r="B6913" s="2" t="s">
        <v>11603</v>
      </c>
      <c r="C6913" s="2" t="s">
        <v>11604</v>
      </c>
      <c r="D6913" s="2"/>
      <c r="E6913" s="2">
        <v>1</v>
      </c>
      <c r="F6913" s="9"/>
      <c r="G6913" s="8">
        <f t="shared" si="214"/>
        <v>0.50263155737704923</v>
      </c>
      <c r="H6913" s="8">
        <v>0.47869672131147545</v>
      </c>
      <c r="I6913" s="19">
        <f t="shared" si="215"/>
        <v>0</v>
      </c>
    </row>
    <row r="6914" spans="1:9" hidden="1">
      <c r="A6914" s="11" t="s">
        <v>11260</v>
      </c>
      <c r="B6914" s="2" t="s">
        <v>11605</v>
      </c>
      <c r="C6914" s="2" t="s">
        <v>11606</v>
      </c>
      <c r="D6914" s="2"/>
      <c r="E6914" s="2">
        <v>1</v>
      </c>
      <c r="F6914" s="9"/>
      <c r="G6914" s="8">
        <f t="shared" si="214"/>
        <v>194.65684325643866</v>
      </c>
      <c r="H6914" s="8">
        <v>185.38746976803682</v>
      </c>
      <c r="I6914" s="19">
        <f t="shared" si="215"/>
        <v>0</v>
      </c>
    </row>
    <row r="6915" spans="1:9">
      <c r="A6915" s="11" t="s">
        <v>11260</v>
      </c>
      <c r="B6915" s="2" t="s">
        <v>11607</v>
      </c>
      <c r="C6915" s="2" t="s">
        <v>11608</v>
      </c>
      <c r="D6915" s="2"/>
      <c r="E6915" s="2">
        <v>1</v>
      </c>
      <c r="F6915" s="9">
        <v>7</v>
      </c>
      <c r="G6915" s="8">
        <f t="shared" si="214"/>
        <v>116.28259667621776</v>
      </c>
      <c r="H6915" s="8">
        <v>110.74533016782644</v>
      </c>
      <c r="I6915" s="19">
        <f t="shared" si="215"/>
        <v>813.97817673352438</v>
      </c>
    </row>
    <row r="6916" spans="1:9">
      <c r="A6916" s="11" t="s">
        <v>11260</v>
      </c>
      <c r="B6916" s="2" t="s">
        <v>11609</v>
      </c>
      <c r="C6916" s="2" t="s">
        <v>11610</v>
      </c>
      <c r="D6916" s="2"/>
      <c r="E6916" s="2">
        <v>1</v>
      </c>
      <c r="F6916" s="9">
        <v>5</v>
      </c>
      <c r="G6916" s="8">
        <f t="shared" si="214"/>
        <v>190.56136769361703</v>
      </c>
      <c r="H6916" s="8">
        <v>181.48701685106383</v>
      </c>
      <c r="I6916" s="19">
        <f t="shared" si="215"/>
        <v>952.80683846808518</v>
      </c>
    </row>
    <row r="6917" spans="1:9" hidden="1">
      <c r="A6917" s="11" t="s">
        <v>11260</v>
      </c>
      <c r="B6917" s="2" t="s">
        <v>11611</v>
      </c>
      <c r="C6917" s="2" t="s">
        <v>11612</v>
      </c>
      <c r="D6917" s="2"/>
      <c r="E6917" s="2">
        <v>1</v>
      </c>
      <c r="F6917" s="9"/>
      <c r="G6917" s="8">
        <f t="shared" si="214"/>
        <v>1.7325000000000002</v>
      </c>
      <c r="H6917" s="8">
        <v>1.6500000000000001</v>
      </c>
      <c r="I6917" s="19">
        <f t="shared" si="215"/>
        <v>0</v>
      </c>
    </row>
    <row r="6918" spans="1:9" hidden="1">
      <c r="A6918" s="11" t="s">
        <v>11260</v>
      </c>
      <c r="B6918" s="2" t="s">
        <v>11613</v>
      </c>
      <c r="C6918" s="2" t="s">
        <v>11614</v>
      </c>
      <c r="D6918" s="2"/>
      <c r="E6918" s="2">
        <v>1</v>
      </c>
      <c r="F6918" s="9"/>
      <c r="G6918" s="8">
        <f t="shared" si="214"/>
        <v>1.7325000000000002</v>
      </c>
      <c r="H6918" s="8">
        <v>1.6500000000000001</v>
      </c>
      <c r="I6918" s="19">
        <f t="shared" si="215"/>
        <v>0</v>
      </c>
    </row>
    <row r="6919" spans="1:9" hidden="1">
      <c r="A6919" s="11" t="s">
        <v>11260</v>
      </c>
      <c r="B6919" s="2" t="s">
        <v>11615</v>
      </c>
      <c r="C6919" s="2" t="s">
        <v>11616</v>
      </c>
      <c r="D6919" s="2"/>
      <c r="E6919" s="2">
        <v>1</v>
      </c>
      <c r="F6919" s="9"/>
      <c r="G6919" s="8">
        <f t="shared" si="214"/>
        <v>15.482098793196549</v>
      </c>
      <c r="H6919" s="8">
        <v>14.744855993520522</v>
      </c>
      <c r="I6919" s="19">
        <f t="shared" si="215"/>
        <v>0</v>
      </c>
    </row>
    <row r="6920" spans="1:9" hidden="1">
      <c r="A6920" s="11" t="s">
        <v>11260</v>
      </c>
      <c r="B6920" s="2" t="s">
        <v>11617</v>
      </c>
      <c r="C6920" s="2" t="s">
        <v>11618</v>
      </c>
      <c r="D6920" s="2"/>
      <c r="E6920" s="2">
        <v>1</v>
      </c>
      <c r="F6920" s="9"/>
      <c r="G6920" s="8">
        <f t="shared" si="214"/>
        <v>66.155150508495609</v>
      </c>
      <c r="H6920" s="8">
        <v>63.004905246186297</v>
      </c>
      <c r="I6920" s="19">
        <f t="shared" si="215"/>
        <v>0</v>
      </c>
    </row>
    <row r="6921" spans="1:9" hidden="1">
      <c r="A6921" s="11" t="s">
        <v>11260</v>
      </c>
      <c r="B6921" s="2" t="s">
        <v>11619</v>
      </c>
      <c r="C6921" s="2" t="s">
        <v>11620</v>
      </c>
      <c r="D6921" s="2"/>
      <c r="E6921" s="2">
        <v>1</v>
      </c>
      <c r="F6921" s="9"/>
      <c r="G6921" s="8">
        <f t="shared" si="214"/>
        <v>72.446455220176162</v>
      </c>
      <c r="H6921" s="8">
        <v>68.996624019215389</v>
      </c>
      <c r="I6921" s="19">
        <f t="shared" si="215"/>
        <v>0</v>
      </c>
    </row>
    <row r="6922" spans="1:9" hidden="1">
      <c r="A6922" s="11" t="s">
        <v>11260</v>
      </c>
      <c r="B6922" s="2" t="s">
        <v>11621</v>
      </c>
      <c r="C6922" s="2" t="s">
        <v>11622</v>
      </c>
      <c r="D6922" s="2"/>
      <c r="E6922" s="2">
        <v>1</v>
      </c>
      <c r="F6922" s="9"/>
      <c r="G6922" s="8">
        <f t="shared" si="214"/>
        <v>92.85891375339159</v>
      </c>
      <c r="H6922" s="8">
        <v>88.437060717515806</v>
      </c>
      <c r="I6922" s="19">
        <f t="shared" si="215"/>
        <v>0</v>
      </c>
    </row>
    <row r="6923" spans="1:9" hidden="1">
      <c r="A6923" s="11" t="s">
        <v>11260</v>
      </c>
      <c r="B6923" s="2" t="s">
        <v>11623</v>
      </c>
      <c r="C6923" s="2" t="s">
        <v>11624</v>
      </c>
      <c r="D6923" s="2"/>
      <c r="E6923" s="2">
        <v>1</v>
      </c>
      <c r="F6923" s="9"/>
      <c r="G6923" s="8">
        <f t="shared" si="214"/>
        <v>119.93834019433028</v>
      </c>
      <c r="H6923" s="8">
        <v>114.22699066126694</v>
      </c>
      <c r="I6923" s="19">
        <f t="shared" si="215"/>
        <v>0</v>
      </c>
    </row>
    <row r="6924" spans="1:9" hidden="1">
      <c r="A6924" s="11" t="s">
        <v>11260</v>
      </c>
      <c r="B6924" s="2" t="s">
        <v>11625</v>
      </c>
      <c r="C6924" s="2" t="s">
        <v>11626</v>
      </c>
      <c r="D6924" s="2"/>
      <c r="E6924" s="2">
        <v>1</v>
      </c>
      <c r="F6924" s="9"/>
      <c r="G6924" s="8">
        <f t="shared" si="214"/>
        <v>25.629701913875596</v>
      </c>
      <c r="H6924" s="8">
        <v>24.409239917976759</v>
      </c>
      <c r="I6924" s="19">
        <f t="shared" si="215"/>
        <v>0</v>
      </c>
    </row>
    <row r="6925" spans="1:9" hidden="1">
      <c r="A6925" s="11" t="s">
        <v>11260</v>
      </c>
      <c r="B6925" s="2" t="s">
        <v>11627</v>
      </c>
      <c r="C6925" s="2" t="s">
        <v>11628</v>
      </c>
      <c r="D6925" s="2"/>
      <c r="E6925" s="2">
        <v>1</v>
      </c>
      <c r="F6925" s="9"/>
      <c r="G6925" s="8">
        <f t="shared" si="214"/>
        <v>28.576569734620023</v>
      </c>
      <c r="H6925" s="8">
        <v>27.215780699638117</v>
      </c>
      <c r="I6925" s="19">
        <f t="shared" si="215"/>
        <v>0</v>
      </c>
    </row>
    <row r="6926" spans="1:9" hidden="1">
      <c r="A6926" s="11" t="s">
        <v>11260</v>
      </c>
      <c r="B6926" s="2" t="s">
        <v>11629</v>
      </c>
      <c r="C6926" s="2" t="s">
        <v>11630</v>
      </c>
      <c r="D6926" s="2"/>
      <c r="E6926" s="2">
        <v>1</v>
      </c>
      <c r="F6926" s="9"/>
      <c r="G6926" s="8">
        <f t="shared" si="214"/>
        <v>4.2391317073170729</v>
      </c>
      <c r="H6926" s="8">
        <v>4.0372682926829269</v>
      </c>
      <c r="I6926" s="19">
        <f t="shared" si="215"/>
        <v>0</v>
      </c>
    </row>
    <row r="6927" spans="1:9" hidden="1">
      <c r="A6927" s="11" t="s">
        <v>11260</v>
      </c>
      <c r="B6927" s="2" t="s">
        <v>11631</v>
      </c>
      <c r="C6927" s="2" t="s">
        <v>11632</v>
      </c>
      <c r="D6927" s="2"/>
      <c r="E6927" s="2">
        <v>1</v>
      </c>
      <c r="F6927" s="9"/>
      <c r="G6927" s="8">
        <f t="shared" si="214"/>
        <v>0.33390000000000003</v>
      </c>
      <c r="H6927" s="8">
        <v>0.318</v>
      </c>
      <c r="I6927" s="19">
        <f t="shared" si="215"/>
        <v>0</v>
      </c>
    </row>
    <row r="6928" spans="1:9" hidden="1">
      <c r="A6928" s="11" t="s">
        <v>11260</v>
      </c>
      <c r="B6928" s="2" t="s">
        <v>11633</v>
      </c>
      <c r="C6928" s="2" t="s">
        <v>11634</v>
      </c>
      <c r="D6928" s="2"/>
      <c r="E6928" s="2">
        <v>1</v>
      </c>
      <c r="F6928" s="9"/>
      <c r="G6928" s="8">
        <f t="shared" si="214"/>
        <v>2.4464999999999999</v>
      </c>
      <c r="H6928" s="8">
        <v>2.33</v>
      </c>
      <c r="I6928" s="19">
        <f t="shared" si="215"/>
        <v>0</v>
      </c>
    </row>
    <row r="6929" spans="1:9">
      <c r="A6929" s="11" t="s">
        <v>11260</v>
      </c>
      <c r="B6929" s="2" t="s">
        <v>11635</v>
      </c>
      <c r="C6929" s="2" t="s">
        <v>11636</v>
      </c>
      <c r="D6929" s="2"/>
      <c r="E6929" s="2">
        <v>1</v>
      </c>
      <c r="F6929" s="9">
        <v>44</v>
      </c>
      <c r="G6929" s="8">
        <f t="shared" si="214"/>
        <v>0.59849999999999992</v>
      </c>
      <c r="H6929" s="8">
        <v>0.56999999999999995</v>
      </c>
      <c r="I6929" s="19">
        <f t="shared" si="215"/>
        <v>26.333999999999996</v>
      </c>
    </row>
    <row r="6930" spans="1:9" hidden="1">
      <c r="A6930" s="11" t="s">
        <v>11260</v>
      </c>
      <c r="B6930" s="2" t="s">
        <v>11637</v>
      </c>
      <c r="C6930" s="2" t="s">
        <v>11638</v>
      </c>
      <c r="D6930" s="2"/>
      <c r="E6930" s="2">
        <v>1</v>
      </c>
      <c r="F6930" s="9"/>
      <c r="G6930" s="8">
        <f t="shared" ref="G6930:G6993" si="216">H6930+(H6930*5%)</f>
        <v>0.27300000000000002</v>
      </c>
      <c r="H6930" s="8">
        <v>0.26</v>
      </c>
      <c r="I6930" s="19">
        <f t="shared" ref="I6930:I6993" si="217">G6930*F6930</f>
        <v>0</v>
      </c>
    </row>
    <row r="6931" spans="1:9" hidden="1">
      <c r="A6931" s="11" t="s">
        <v>11260</v>
      </c>
      <c r="B6931" s="2" t="s">
        <v>11639</v>
      </c>
      <c r="C6931" s="2" t="s">
        <v>11640</v>
      </c>
      <c r="D6931" s="2"/>
      <c r="E6931" s="2">
        <v>1</v>
      </c>
      <c r="F6931" s="9"/>
      <c r="G6931" s="8">
        <f t="shared" si="216"/>
        <v>0.48300000000000004</v>
      </c>
      <c r="H6931" s="8">
        <v>0.46</v>
      </c>
      <c r="I6931" s="19">
        <f t="shared" si="217"/>
        <v>0</v>
      </c>
    </row>
    <row r="6932" spans="1:9" hidden="1">
      <c r="A6932" s="11" t="s">
        <v>11260</v>
      </c>
      <c r="B6932" s="2" t="s">
        <v>11641</v>
      </c>
      <c r="C6932" s="2" t="s">
        <v>11642</v>
      </c>
      <c r="D6932" s="2"/>
      <c r="E6932" s="2">
        <v>1</v>
      </c>
      <c r="F6932" s="9"/>
      <c r="G6932" s="8">
        <f t="shared" si="216"/>
        <v>2.2259999999999999E-2</v>
      </c>
      <c r="H6932" s="8">
        <v>2.12E-2</v>
      </c>
      <c r="I6932" s="19">
        <f t="shared" si="217"/>
        <v>0</v>
      </c>
    </row>
    <row r="6933" spans="1:9" hidden="1">
      <c r="A6933" s="11" t="s">
        <v>11260</v>
      </c>
      <c r="B6933" s="2" t="s">
        <v>11643</v>
      </c>
      <c r="C6933" s="2" t="s">
        <v>11644</v>
      </c>
      <c r="D6933" s="2"/>
      <c r="E6933" s="2">
        <v>1</v>
      </c>
      <c r="F6933" s="9"/>
      <c r="G6933" s="8">
        <f t="shared" si="216"/>
        <v>8.9039999999999994E-2</v>
      </c>
      <c r="H6933" s="8">
        <v>8.48E-2</v>
      </c>
      <c r="I6933" s="19">
        <f t="shared" si="217"/>
        <v>0</v>
      </c>
    </row>
    <row r="6934" spans="1:9" hidden="1">
      <c r="A6934" s="11" t="s">
        <v>11260</v>
      </c>
      <c r="B6934" s="2" t="s">
        <v>11645</v>
      </c>
      <c r="C6934" s="2" t="s">
        <v>11646</v>
      </c>
      <c r="D6934" s="2"/>
      <c r="E6934" s="2">
        <v>1</v>
      </c>
      <c r="F6934" s="9"/>
      <c r="G6934" s="8">
        <f t="shared" si="216"/>
        <v>1.31334</v>
      </c>
      <c r="H6934" s="8">
        <v>1.2507999999999999</v>
      </c>
      <c r="I6934" s="19">
        <f t="shared" si="217"/>
        <v>0</v>
      </c>
    </row>
    <row r="6935" spans="1:9" hidden="1">
      <c r="A6935" s="11" t="s">
        <v>11260</v>
      </c>
      <c r="B6935" s="2" t="s">
        <v>11647</v>
      </c>
      <c r="C6935" s="2" t="s">
        <v>11648</v>
      </c>
      <c r="D6935" s="2"/>
      <c r="E6935" s="2">
        <v>1</v>
      </c>
      <c r="F6935" s="9"/>
      <c r="G6935" s="8">
        <f t="shared" si="216"/>
        <v>1.302</v>
      </c>
      <c r="H6935" s="8">
        <v>1.24</v>
      </c>
      <c r="I6935" s="19">
        <f t="shared" si="217"/>
        <v>0</v>
      </c>
    </row>
    <row r="6936" spans="1:9" hidden="1">
      <c r="A6936" s="11" t="s">
        <v>11260</v>
      </c>
      <c r="B6936" s="2" t="s">
        <v>11649</v>
      </c>
      <c r="C6936" s="2" t="s">
        <v>11650</v>
      </c>
      <c r="D6936" s="2"/>
      <c r="E6936" s="2">
        <v>1</v>
      </c>
      <c r="F6936" s="9"/>
      <c r="G6936" s="8">
        <f t="shared" si="216"/>
        <v>1.302</v>
      </c>
      <c r="H6936" s="8">
        <v>1.24</v>
      </c>
      <c r="I6936" s="19">
        <f t="shared" si="217"/>
        <v>0</v>
      </c>
    </row>
    <row r="6937" spans="1:9" hidden="1">
      <c r="A6937" s="11" t="s">
        <v>11260</v>
      </c>
      <c r="B6937" s="2" t="s">
        <v>11651</v>
      </c>
      <c r="C6937" s="2" t="s">
        <v>11652</v>
      </c>
      <c r="D6937" s="2"/>
      <c r="E6937" s="2">
        <v>1</v>
      </c>
      <c r="F6937" s="9"/>
      <c r="G6937" s="8">
        <f t="shared" si="216"/>
        <v>1.617</v>
      </c>
      <c r="H6937" s="8">
        <v>1.54</v>
      </c>
      <c r="I6937" s="19">
        <f t="shared" si="217"/>
        <v>0</v>
      </c>
    </row>
    <row r="6938" spans="1:9" hidden="1">
      <c r="A6938" s="11" t="s">
        <v>11260</v>
      </c>
      <c r="B6938" s="2" t="s">
        <v>11653</v>
      </c>
      <c r="C6938" s="2" t="s">
        <v>11654</v>
      </c>
      <c r="D6938" s="2"/>
      <c r="E6938" s="2">
        <v>1</v>
      </c>
      <c r="F6938" s="9"/>
      <c r="G6938" s="8">
        <f t="shared" si="216"/>
        <v>1.617</v>
      </c>
      <c r="H6938" s="8">
        <v>1.54</v>
      </c>
      <c r="I6938" s="19">
        <f t="shared" si="217"/>
        <v>0</v>
      </c>
    </row>
    <row r="6939" spans="1:9" hidden="1">
      <c r="A6939" s="11" t="s">
        <v>11260</v>
      </c>
      <c r="B6939" s="2" t="s">
        <v>11655</v>
      </c>
      <c r="C6939" s="2" t="s">
        <v>11656</v>
      </c>
      <c r="D6939" s="2"/>
      <c r="E6939" s="2">
        <v>1</v>
      </c>
      <c r="F6939" s="9"/>
      <c r="G6939" s="8">
        <f t="shared" si="216"/>
        <v>3.1185</v>
      </c>
      <c r="H6939" s="8">
        <v>2.97</v>
      </c>
      <c r="I6939" s="19">
        <f t="shared" si="217"/>
        <v>0</v>
      </c>
    </row>
    <row r="6940" spans="1:9" hidden="1">
      <c r="A6940" s="11" t="s">
        <v>11260</v>
      </c>
      <c r="B6940" s="2" t="s">
        <v>11657</v>
      </c>
      <c r="C6940" s="2" t="s">
        <v>11658</v>
      </c>
      <c r="D6940" s="2"/>
      <c r="E6940" s="2">
        <v>1</v>
      </c>
      <c r="F6940" s="9"/>
      <c r="G6940" s="8">
        <f t="shared" si="216"/>
        <v>3.1185</v>
      </c>
      <c r="H6940" s="8">
        <v>2.97</v>
      </c>
      <c r="I6940" s="19">
        <f t="shared" si="217"/>
        <v>0</v>
      </c>
    </row>
    <row r="6941" spans="1:9" hidden="1">
      <c r="A6941" s="11" t="s">
        <v>11260</v>
      </c>
      <c r="B6941" s="2" t="s">
        <v>11659</v>
      </c>
      <c r="C6941" s="2" t="s">
        <v>11660</v>
      </c>
      <c r="D6941" s="2"/>
      <c r="E6941" s="2">
        <v>1</v>
      </c>
      <c r="F6941" s="9"/>
      <c r="G6941" s="8">
        <f t="shared" si="216"/>
        <v>3.6960000000000002</v>
      </c>
      <c r="H6941" s="8">
        <v>3.52</v>
      </c>
      <c r="I6941" s="19">
        <f t="shared" si="217"/>
        <v>0</v>
      </c>
    </row>
    <row r="6942" spans="1:9" hidden="1">
      <c r="A6942" s="11" t="s">
        <v>11260</v>
      </c>
      <c r="B6942" s="2" t="s">
        <v>11661</v>
      </c>
      <c r="C6942" s="2" t="s">
        <v>11662</v>
      </c>
      <c r="D6942" s="2"/>
      <c r="E6942" s="2">
        <v>1</v>
      </c>
      <c r="F6942" s="9"/>
      <c r="G6942" s="8">
        <f t="shared" si="216"/>
        <v>3.6960000000000002</v>
      </c>
      <c r="H6942" s="8">
        <v>3.52</v>
      </c>
      <c r="I6942" s="19">
        <f t="shared" si="217"/>
        <v>0</v>
      </c>
    </row>
    <row r="6943" spans="1:9" hidden="1">
      <c r="A6943" s="11" t="s">
        <v>11260</v>
      </c>
      <c r="B6943" s="2" t="s">
        <v>11663</v>
      </c>
      <c r="C6943" s="2" t="s">
        <v>11664</v>
      </c>
      <c r="D6943" s="2"/>
      <c r="E6943" s="2">
        <v>1</v>
      </c>
      <c r="F6943" s="9"/>
      <c r="G6943" s="8">
        <f t="shared" si="216"/>
        <v>4.2524999999999995</v>
      </c>
      <c r="H6943" s="8">
        <v>4.05</v>
      </c>
      <c r="I6943" s="19">
        <f t="shared" si="217"/>
        <v>0</v>
      </c>
    </row>
    <row r="6944" spans="1:9" hidden="1">
      <c r="A6944" s="11" t="s">
        <v>11260</v>
      </c>
      <c r="B6944" s="2" t="s">
        <v>11665</v>
      </c>
      <c r="C6944" s="2" t="s">
        <v>11666</v>
      </c>
      <c r="D6944" s="2"/>
      <c r="E6944" s="2">
        <v>1</v>
      </c>
      <c r="F6944" s="9"/>
      <c r="G6944" s="8">
        <f t="shared" si="216"/>
        <v>4.2524999999999995</v>
      </c>
      <c r="H6944" s="8">
        <v>4.05</v>
      </c>
      <c r="I6944" s="19">
        <f t="shared" si="217"/>
        <v>0</v>
      </c>
    </row>
    <row r="6945" spans="1:9" hidden="1">
      <c r="A6945" s="11" t="s">
        <v>11260</v>
      </c>
      <c r="B6945" s="2" t="s">
        <v>11667</v>
      </c>
      <c r="C6945" s="2" t="s">
        <v>11668</v>
      </c>
      <c r="D6945" s="2"/>
      <c r="E6945" s="2">
        <v>1</v>
      </c>
      <c r="F6945" s="9"/>
      <c r="G6945" s="8">
        <f t="shared" si="216"/>
        <v>0.90153000000000016</v>
      </c>
      <c r="H6945" s="8">
        <v>0.85860000000000014</v>
      </c>
      <c r="I6945" s="19">
        <f t="shared" si="217"/>
        <v>0</v>
      </c>
    </row>
    <row r="6946" spans="1:9" hidden="1">
      <c r="A6946" s="11" t="s">
        <v>11260</v>
      </c>
      <c r="B6946" s="2" t="s">
        <v>11669</v>
      </c>
      <c r="C6946" s="2" t="s">
        <v>11670</v>
      </c>
      <c r="D6946" s="2"/>
      <c r="E6946" s="2">
        <v>1</v>
      </c>
      <c r="F6946" s="9"/>
      <c r="G6946" s="8">
        <f t="shared" si="216"/>
        <v>1.4802900000000001</v>
      </c>
      <c r="H6946" s="8">
        <v>1.4098000000000002</v>
      </c>
      <c r="I6946" s="19">
        <f t="shared" si="217"/>
        <v>0</v>
      </c>
    </row>
    <row r="6947" spans="1:9" hidden="1">
      <c r="A6947" s="11" t="s">
        <v>11260</v>
      </c>
      <c r="B6947" s="2" t="s">
        <v>11671</v>
      </c>
      <c r="C6947" s="2" t="s">
        <v>11672</v>
      </c>
      <c r="D6947" s="2"/>
      <c r="E6947" s="2">
        <v>1</v>
      </c>
      <c r="F6947" s="9"/>
      <c r="G6947" s="8">
        <f t="shared" si="216"/>
        <v>0.16695000000000002</v>
      </c>
      <c r="H6947" s="8">
        <v>0.159</v>
      </c>
      <c r="I6947" s="19">
        <f t="shared" si="217"/>
        <v>0</v>
      </c>
    </row>
    <row r="6948" spans="1:9">
      <c r="A6948" s="11" t="s">
        <v>11260</v>
      </c>
      <c r="B6948" s="2" t="s">
        <v>11673</v>
      </c>
      <c r="C6948" s="2" t="s">
        <v>11674</v>
      </c>
      <c r="D6948" s="2"/>
      <c r="E6948" s="2">
        <v>1</v>
      </c>
      <c r="F6948" s="9">
        <v>45000</v>
      </c>
      <c r="G6948" s="8">
        <f t="shared" si="216"/>
        <v>5.5650000000000005E-2</v>
      </c>
      <c r="H6948" s="8">
        <v>5.3000000000000005E-2</v>
      </c>
      <c r="I6948" s="19">
        <f t="shared" si="217"/>
        <v>2504.25</v>
      </c>
    </row>
    <row r="6949" spans="1:9" hidden="1">
      <c r="A6949" s="11" t="s">
        <v>11260</v>
      </c>
      <c r="B6949" s="2" t="s">
        <v>11675</v>
      </c>
      <c r="C6949" s="2" t="s">
        <v>11676</v>
      </c>
      <c r="D6949" s="2"/>
      <c r="E6949" s="2">
        <v>1</v>
      </c>
      <c r="F6949" s="9"/>
      <c r="G6949" s="8">
        <f t="shared" si="216"/>
        <v>0.27825</v>
      </c>
      <c r="H6949" s="8">
        <v>0.26500000000000001</v>
      </c>
      <c r="I6949" s="19">
        <f t="shared" si="217"/>
        <v>0</v>
      </c>
    </row>
    <row r="6950" spans="1:9" hidden="1">
      <c r="A6950" s="11" t="s">
        <v>11260</v>
      </c>
      <c r="B6950" s="2" t="s">
        <v>11677</v>
      </c>
      <c r="C6950" s="2" t="s">
        <v>11678</v>
      </c>
      <c r="D6950" s="2"/>
      <c r="E6950" s="2">
        <v>1</v>
      </c>
      <c r="F6950" s="9"/>
      <c r="G6950" s="8">
        <f t="shared" si="216"/>
        <v>6.6780000000000006E-2</v>
      </c>
      <c r="H6950" s="8">
        <v>6.3600000000000004E-2</v>
      </c>
      <c r="I6950" s="19">
        <f t="shared" si="217"/>
        <v>0</v>
      </c>
    </row>
    <row r="6951" spans="1:9">
      <c r="A6951" s="11" t="s">
        <v>11260</v>
      </c>
      <c r="B6951" s="2" t="s">
        <v>11679</v>
      </c>
      <c r="C6951" s="2" t="s">
        <v>11680</v>
      </c>
      <c r="D6951" s="2"/>
      <c r="E6951" s="2">
        <v>1</v>
      </c>
      <c r="F6951" s="9">
        <v>2500</v>
      </c>
      <c r="G6951" s="8">
        <f t="shared" si="216"/>
        <v>8.9039999999999994E-2</v>
      </c>
      <c r="H6951" s="8">
        <v>8.48E-2</v>
      </c>
      <c r="I6951" s="19">
        <f t="shared" si="217"/>
        <v>222.6</v>
      </c>
    </row>
    <row r="6952" spans="1:9" hidden="1">
      <c r="A6952" s="11" t="s">
        <v>11260</v>
      </c>
      <c r="B6952" s="2" t="s">
        <v>11681</v>
      </c>
      <c r="C6952" s="2" t="s">
        <v>11682</v>
      </c>
      <c r="D6952" s="2"/>
      <c r="E6952" s="2">
        <v>1</v>
      </c>
      <c r="F6952" s="9"/>
      <c r="G6952" s="8">
        <f t="shared" si="216"/>
        <v>0.31164000000000008</v>
      </c>
      <c r="H6952" s="8">
        <v>0.29680000000000006</v>
      </c>
      <c r="I6952" s="19">
        <f t="shared" si="217"/>
        <v>0</v>
      </c>
    </row>
    <row r="6953" spans="1:9" hidden="1">
      <c r="A6953" s="11" t="s">
        <v>11260</v>
      </c>
      <c r="B6953" s="2" t="s">
        <v>11683</v>
      </c>
      <c r="C6953" s="2" t="s">
        <v>11684</v>
      </c>
      <c r="D6953" s="2"/>
      <c r="E6953" s="2">
        <v>1</v>
      </c>
      <c r="F6953" s="9"/>
      <c r="G6953" s="8">
        <f t="shared" si="216"/>
        <v>8.9039999999999994E-2</v>
      </c>
      <c r="H6953" s="8">
        <v>8.48E-2</v>
      </c>
      <c r="I6953" s="19">
        <f t="shared" si="217"/>
        <v>0</v>
      </c>
    </row>
    <row r="6954" spans="1:9" hidden="1">
      <c r="A6954" s="11" t="s">
        <v>11260</v>
      </c>
      <c r="B6954" s="2" t="s">
        <v>11685</v>
      </c>
      <c r="C6954" s="2" t="s">
        <v>11686</v>
      </c>
      <c r="D6954" s="2"/>
      <c r="E6954" s="2">
        <v>1</v>
      </c>
      <c r="F6954" s="9"/>
      <c r="G6954" s="8">
        <f t="shared" si="216"/>
        <v>7.7910000000000021E-2</v>
      </c>
      <c r="H6954" s="8">
        <v>7.4200000000000016E-2</v>
      </c>
      <c r="I6954" s="19">
        <f t="shared" si="217"/>
        <v>0</v>
      </c>
    </row>
    <row r="6955" spans="1:9" hidden="1">
      <c r="A6955" s="11" t="s">
        <v>11260</v>
      </c>
      <c r="B6955" s="2" t="s">
        <v>11687</v>
      </c>
      <c r="C6955" s="2" t="s">
        <v>11688</v>
      </c>
      <c r="D6955" s="2"/>
      <c r="E6955" s="2">
        <v>1</v>
      </c>
      <c r="F6955" s="9"/>
      <c r="G6955" s="8">
        <f t="shared" si="216"/>
        <v>5.5650000000000005E-2</v>
      </c>
      <c r="H6955" s="8">
        <v>5.3000000000000005E-2</v>
      </c>
      <c r="I6955" s="19">
        <f t="shared" si="217"/>
        <v>0</v>
      </c>
    </row>
    <row r="6956" spans="1:9" hidden="1">
      <c r="A6956" s="11" t="s">
        <v>11260</v>
      </c>
      <c r="B6956" s="2" t="s">
        <v>11689</v>
      </c>
      <c r="C6956" s="2" t="s">
        <v>11690</v>
      </c>
      <c r="D6956" s="2"/>
      <c r="E6956" s="2">
        <v>1</v>
      </c>
      <c r="F6956" s="9"/>
      <c r="G6956" s="8">
        <f t="shared" si="216"/>
        <v>8.9039999999999994E-2</v>
      </c>
      <c r="H6956" s="8">
        <v>8.48E-2</v>
      </c>
      <c r="I6956" s="19">
        <f t="shared" si="217"/>
        <v>0</v>
      </c>
    </row>
    <row r="6957" spans="1:9" hidden="1">
      <c r="A6957" s="11" t="s">
        <v>11260</v>
      </c>
      <c r="B6957" s="2" t="s">
        <v>11691</v>
      </c>
      <c r="C6957" s="2" t="s">
        <v>11692</v>
      </c>
      <c r="D6957" s="2"/>
      <c r="E6957" s="2">
        <v>1</v>
      </c>
      <c r="F6957" s="9"/>
      <c r="G6957" s="8">
        <f t="shared" si="216"/>
        <v>0.12243000000000001</v>
      </c>
      <c r="H6957" s="8">
        <v>0.11660000000000001</v>
      </c>
      <c r="I6957" s="19">
        <f t="shared" si="217"/>
        <v>0</v>
      </c>
    </row>
    <row r="6958" spans="1:9" hidden="1">
      <c r="A6958" s="11" t="s">
        <v>11260</v>
      </c>
      <c r="B6958" s="2" t="s">
        <v>11693</v>
      </c>
      <c r="C6958" s="2" t="s">
        <v>11694</v>
      </c>
      <c r="D6958" s="2"/>
      <c r="E6958" s="2">
        <v>1</v>
      </c>
      <c r="F6958" s="9"/>
      <c r="G6958" s="8">
        <f t="shared" si="216"/>
        <v>0.12243000000000001</v>
      </c>
      <c r="H6958" s="8">
        <v>0.11660000000000001</v>
      </c>
      <c r="I6958" s="19">
        <f t="shared" si="217"/>
        <v>0</v>
      </c>
    </row>
    <row r="6959" spans="1:9" hidden="1">
      <c r="A6959" s="11" t="s">
        <v>11260</v>
      </c>
      <c r="B6959" s="2" t="s">
        <v>11695</v>
      </c>
      <c r="C6959" s="2" t="s">
        <v>11696</v>
      </c>
      <c r="D6959" s="2"/>
      <c r="E6959" s="2">
        <v>1</v>
      </c>
      <c r="F6959" s="9"/>
      <c r="G6959" s="8">
        <f t="shared" si="216"/>
        <v>8.9039999999999994E-2</v>
      </c>
      <c r="H6959" s="8">
        <v>8.48E-2</v>
      </c>
      <c r="I6959" s="19">
        <f t="shared" si="217"/>
        <v>0</v>
      </c>
    </row>
    <row r="6960" spans="1:9" hidden="1">
      <c r="A6960" s="11" t="s">
        <v>11260</v>
      </c>
      <c r="B6960" s="2" t="s">
        <v>11697</v>
      </c>
      <c r="C6960" s="2" t="s">
        <v>11698</v>
      </c>
      <c r="D6960" s="2"/>
      <c r="E6960" s="2">
        <v>1</v>
      </c>
      <c r="F6960" s="9"/>
      <c r="G6960" s="8">
        <f t="shared" si="216"/>
        <v>15.359400000000003</v>
      </c>
      <c r="H6960" s="8">
        <v>14.628000000000002</v>
      </c>
      <c r="I6960" s="19">
        <f t="shared" si="217"/>
        <v>0</v>
      </c>
    </row>
    <row r="6961" spans="1:9" hidden="1">
      <c r="A6961" s="11" t="s">
        <v>11260</v>
      </c>
      <c r="B6961" s="2" t="s">
        <v>11699</v>
      </c>
      <c r="C6961" s="2" t="s">
        <v>11700</v>
      </c>
      <c r="D6961" s="2"/>
      <c r="E6961" s="2">
        <v>1</v>
      </c>
      <c r="F6961" s="9"/>
      <c r="G6961" s="8">
        <f t="shared" si="216"/>
        <v>0.13356000000000001</v>
      </c>
      <c r="H6961" s="8">
        <v>0.12720000000000001</v>
      </c>
      <c r="I6961" s="19">
        <f t="shared" si="217"/>
        <v>0</v>
      </c>
    </row>
    <row r="6962" spans="1:9" hidden="1">
      <c r="A6962" s="11" t="s">
        <v>11260</v>
      </c>
      <c r="B6962" s="2" t="s">
        <v>11701</v>
      </c>
      <c r="C6962" s="2" t="s">
        <v>11702</v>
      </c>
      <c r="D6962" s="2"/>
      <c r="E6962" s="2">
        <v>1</v>
      </c>
      <c r="F6962" s="9"/>
      <c r="G6962" s="8">
        <f t="shared" si="216"/>
        <v>0.10017</v>
      </c>
      <c r="H6962" s="8">
        <v>9.5399999999999999E-2</v>
      </c>
      <c r="I6962" s="19">
        <f t="shared" si="217"/>
        <v>0</v>
      </c>
    </row>
    <row r="6963" spans="1:9">
      <c r="A6963" s="11" t="s">
        <v>11260</v>
      </c>
      <c r="B6963" s="2" t="s">
        <v>11703</v>
      </c>
      <c r="C6963" s="2" t="s">
        <v>11704</v>
      </c>
      <c r="D6963" s="2"/>
      <c r="E6963" s="2">
        <v>1</v>
      </c>
      <c r="F6963" s="9">
        <f>1500+242+6250</f>
        <v>7992</v>
      </c>
      <c r="G6963" s="8">
        <f t="shared" si="216"/>
        <v>7.7910000000000021E-2</v>
      </c>
      <c r="H6963" s="8">
        <v>7.4200000000000016E-2</v>
      </c>
      <c r="I6963" s="19">
        <f t="shared" si="217"/>
        <v>622.65672000000018</v>
      </c>
    </row>
    <row r="6964" spans="1:9" hidden="1">
      <c r="A6964" s="11" t="s">
        <v>11260</v>
      </c>
      <c r="B6964" s="2" t="s">
        <v>11705</v>
      </c>
      <c r="C6964" s="2" t="s">
        <v>11706</v>
      </c>
      <c r="D6964" s="2"/>
      <c r="E6964" s="2">
        <v>1</v>
      </c>
      <c r="F6964" s="9"/>
      <c r="G6964" s="8">
        <f t="shared" si="216"/>
        <v>0.28938000000000003</v>
      </c>
      <c r="H6964" s="8">
        <v>0.27560000000000001</v>
      </c>
      <c r="I6964" s="19">
        <f t="shared" si="217"/>
        <v>0</v>
      </c>
    </row>
    <row r="6965" spans="1:9" hidden="1">
      <c r="A6965" s="11" t="s">
        <v>11260</v>
      </c>
      <c r="B6965" s="2" t="s">
        <v>11707</v>
      </c>
      <c r="C6965" s="2" t="s">
        <v>11708</v>
      </c>
      <c r="D6965" s="2"/>
      <c r="E6965" s="2">
        <v>1</v>
      </c>
      <c r="F6965" s="9"/>
      <c r="G6965" s="8">
        <f t="shared" si="216"/>
        <v>5.5650000000000005E-2</v>
      </c>
      <c r="H6965" s="8">
        <v>5.3000000000000005E-2</v>
      </c>
      <c r="I6965" s="19">
        <f t="shared" si="217"/>
        <v>0</v>
      </c>
    </row>
    <row r="6966" spans="1:9" hidden="1">
      <c r="A6966" s="11" t="s">
        <v>11260</v>
      </c>
      <c r="B6966" s="2" t="s">
        <v>11709</v>
      </c>
      <c r="C6966" s="2" t="s">
        <v>11710</v>
      </c>
      <c r="D6966" s="2"/>
      <c r="E6966" s="2">
        <v>1</v>
      </c>
      <c r="F6966" s="9"/>
      <c r="G6966" s="8">
        <f t="shared" si="216"/>
        <v>7.7910000000000021E-2</v>
      </c>
      <c r="H6966" s="8">
        <v>7.4200000000000016E-2</v>
      </c>
      <c r="I6966" s="19">
        <f t="shared" si="217"/>
        <v>0</v>
      </c>
    </row>
    <row r="6967" spans="1:9" hidden="1">
      <c r="A6967" s="11" t="s">
        <v>11260</v>
      </c>
      <c r="B6967" s="2" t="s">
        <v>11711</v>
      </c>
      <c r="C6967" s="2" t="s">
        <v>11712</v>
      </c>
      <c r="D6967" s="2"/>
      <c r="E6967" s="2">
        <v>1</v>
      </c>
      <c r="F6967" s="9"/>
      <c r="G6967" s="8">
        <f t="shared" si="216"/>
        <v>0.97650000000000003</v>
      </c>
      <c r="H6967" s="16">
        <v>0.93</v>
      </c>
      <c r="I6967" s="19">
        <f t="shared" si="217"/>
        <v>0</v>
      </c>
    </row>
    <row r="6968" spans="1:9" hidden="1">
      <c r="A6968" s="11" t="s">
        <v>11260</v>
      </c>
      <c r="B6968" s="2" t="s">
        <v>11713</v>
      </c>
      <c r="C6968" s="2" t="s">
        <v>11714</v>
      </c>
      <c r="D6968" s="2" t="s">
        <v>572</v>
      </c>
      <c r="E6968" s="2">
        <v>1</v>
      </c>
      <c r="F6968" s="9"/>
      <c r="G6968" s="8">
        <f t="shared" si="216"/>
        <v>1.0395000000000001</v>
      </c>
      <c r="H6968" s="16">
        <v>0.99</v>
      </c>
      <c r="I6968" s="19">
        <f t="shared" si="217"/>
        <v>0</v>
      </c>
    </row>
    <row r="6969" spans="1:9" hidden="1">
      <c r="A6969" s="11" t="s">
        <v>11260</v>
      </c>
      <c r="B6969" s="2" t="s">
        <v>11715</v>
      </c>
      <c r="C6969" s="2" t="s">
        <v>11716</v>
      </c>
      <c r="D6969" s="2"/>
      <c r="E6969" s="2">
        <v>1</v>
      </c>
      <c r="F6969" s="9"/>
      <c r="G6969" s="8">
        <f t="shared" si="216"/>
        <v>3.2177540425531919</v>
      </c>
      <c r="H6969" s="8">
        <v>3.0645276595744684</v>
      </c>
      <c r="I6969" s="19">
        <f t="shared" si="217"/>
        <v>0</v>
      </c>
    </row>
    <row r="6970" spans="1:9" hidden="1">
      <c r="A6970" s="11" t="s">
        <v>11260</v>
      </c>
      <c r="B6970" s="2" t="s">
        <v>11717</v>
      </c>
      <c r="C6970" s="2" t="s">
        <v>11718</v>
      </c>
      <c r="D6970" s="2"/>
      <c r="E6970" s="2">
        <v>1</v>
      </c>
      <c r="F6970" s="9"/>
      <c r="G6970" s="8">
        <f t="shared" si="216"/>
        <v>3.2391688524590165</v>
      </c>
      <c r="H6970" s="8">
        <v>3.0849227166276347</v>
      </c>
      <c r="I6970" s="19">
        <f t="shared" si="217"/>
        <v>0</v>
      </c>
    </row>
    <row r="6971" spans="1:9" hidden="1">
      <c r="A6971" s="11" t="s">
        <v>11260</v>
      </c>
      <c r="B6971" s="2" t="s">
        <v>11719</v>
      </c>
      <c r="C6971" s="2" t="s">
        <v>11720</v>
      </c>
      <c r="D6971" s="2"/>
      <c r="E6971" s="2">
        <v>1</v>
      </c>
      <c r="F6971" s="9"/>
      <c r="G6971" s="8">
        <f t="shared" si="216"/>
        <v>3.8883109727626461</v>
      </c>
      <c r="H6971" s="8">
        <v>3.7031533073929963</v>
      </c>
      <c r="I6971" s="19">
        <f t="shared" si="217"/>
        <v>0</v>
      </c>
    </row>
    <row r="6972" spans="1:9" hidden="1">
      <c r="A6972" s="11" t="s">
        <v>11260</v>
      </c>
      <c r="B6972" s="2" t="s">
        <v>11721</v>
      </c>
      <c r="C6972" s="2" t="s">
        <v>11722</v>
      </c>
      <c r="D6972" s="2"/>
      <c r="E6972" s="2">
        <v>1</v>
      </c>
      <c r="F6972" s="9"/>
      <c r="G6972" s="8">
        <f t="shared" si="216"/>
        <v>4.5302258764607677</v>
      </c>
      <c r="H6972" s="8">
        <v>4.3145008347245408</v>
      </c>
      <c r="I6972" s="19">
        <f t="shared" si="217"/>
        <v>0</v>
      </c>
    </row>
    <row r="6973" spans="1:9" hidden="1">
      <c r="A6973" s="11" t="s">
        <v>11260</v>
      </c>
      <c r="B6973" s="2" t="s">
        <v>11723</v>
      </c>
      <c r="C6973" s="2" t="s">
        <v>11724</v>
      </c>
      <c r="D6973" s="2"/>
      <c r="E6973" s="2">
        <v>1</v>
      </c>
      <c r="F6973" s="9"/>
      <c r="G6973" s="8">
        <f t="shared" si="216"/>
        <v>0.14469000000000001</v>
      </c>
      <c r="H6973" s="8">
        <v>0.13780000000000001</v>
      </c>
      <c r="I6973" s="19">
        <f t="shared" si="217"/>
        <v>0</v>
      </c>
    </row>
    <row r="6974" spans="1:9" hidden="1">
      <c r="A6974" s="11" t="s">
        <v>11260</v>
      </c>
      <c r="B6974" s="2" t="s">
        <v>11725</v>
      </c>
      <c r="C6974" s="2" t="s">
        <v>11726</v>
      </c>
      <c r="D6974" s="2"/>
      <c r="E6974" s="2">
        <v>1</v>
      </c>
      <c r="F6974" s="9"/>
      <c r="G6974" s="8">
        <f t="shared" si="216"/>
        <v>0.12243000000000001</v>
      </c>
      <c r="H6974" s="8">
        <v>0.11660000000000001</v>
      </c>
      <c r="I6974" s="19">
        <f t="shared" si="217"/>
        <v>0</v>
      </c>
    </row>
    <row r="6975" spans="1:9" hidden="1">
      <c r="A6975" s="11" t="s">
        <v>11260</v>
      </c>
      <c r="B6975" s="2" t="s">
        <v>11727</v>
      </c>
      <c r="C6975" s="2" t="s">
        <v>11728</v>
      </c>
      <c r="D6975" s="2"/>
      <c r="E6975" s="2">
        <v>1</v>
      </c>
      <c r="F6975" s="9"/>
      <c r="G6975" s="8">
        <f t="shared" si="216"/>
        <v>0.32277</v>
      </c>
      <c r="H6975" s="8">
        <v>0.30740000000000001</v>
      </c>
      <c r="I6975" s="19">
        <f t="shared" si="217"/>
        <v>0</v>
      </c>
    </row>
    <row r="6976" spans="1:9" hidden="1">
      <c r="A6976" s="11" t="s">
        <v>11260</v>
      </c>
      <c r="B6976" s="2" t="s">
        <v>11729</v>
      </c>
      <c r="C6976" s="2" t="s">
        <v>11730</v>
      </c>
      <c r="D6976" s="2"/>
      <c r="E6976" s="2">
        <v>1</v>
      </c>
      <c r="F6976" s="9"/>
      <c r="G6976" s="8">
        <f t="shared" si="216"/>
        <v>0.22260000000000002</v>
      </c>
      <c r="H6976" s="8">
        <v>0.21200000000000002</v>
      </c>
      <c r="I6976" s="19">
        <f t="shared" si="217"/>
        <v>0</v>
      </c>
    </row>
    <row r="6977" spans="1:9" hidden="1">
      <c r="A6977" s="11" t="s">
        <v>11260</v>
      </c>
      <c r="B6977" s="2" t="s">
        <v>11731</v>
      </c>
      <c r="C6977" s="2" t="s">
        <v>11732</v>
      </c>
      <c r="D6977" s="2"/>
      <c r="E6977" s="2">
        <v>1</v>
      </c>
      <c r="F6977" s="9"/>
      <c r="G6977" s="8">
        <f t="shared" si="216"/>
        <v>0.22260000000000002</v>
      </c>
      <c r="H6977" s="8">
        <v>0.21200000000000002</v>
      </c>
      <c r="I6977" s="19">
        <f t="shared" si="217"/>
        <v>0</v>
      </c>
    </row>
    <row r="6978" spans="1:9" hidden="1">
      <c r="A6978" s="11" t="s">
        <v>11260</v>
      </c>
      <c r="B6978" s="2" t="s">
        <v>11733</v>
      </c>
      <c r="C6978" s="2" t="s">
        <v>11734</v>
      </c>
      <c r="D6978" s="2"/>
      <c r="E6978" s="2">
        <v>1</v>
      </c>
      <c r="F6978" s="9"/>
      <c r="G6978" s="8">
        <f t="shared" si="216"/>
        <v>31.127743488541288</v>
      </c>
      <c r="H6978" s="8">
        <v>29.645469989086941</v>
      </c>
      <c r="I6978" s="19">
        <f t="shared" si="217"/>
        <v>0</v>
      </c>
    </row>
    <row r="6979" spans="1:9" hidden="1">
      <c r="A6979" s="11" t="s">
        <v>11260</v>
      </c>
      <c r="B6979" s="2" t="s">
        <v>11735</v>
      </c>
      <c r="C6979" s="2" t="s">
        <v>11736</v>
      </c>
      <c r="D6979" s="2"/>
      <c r="E6979" s="2">
        <v>1</v>
      </c>
      <c r="F6979" s="9"/>
      <c r="G6979" s="8">
        <f t="shared" si="216"/>
        <v>0.10017</v>
      </c>
      <c r="H6979" s="8">
        <v>9.5399999999999999E-2</v>
      </c>
      <c r="I6979" s="19">
        <f t="shared" si="217"/>
        <v>0</v>
      </c>
    </row>
    <row r="6980" spans="1:9" hidden="1">
      <c r="A6980" s="11" t="s">
        <v>11260</v>
      </c>
      <c r="B6980" s="2" t="s">
        <v>11737</v>
      </c>
      <c r="C6980" s="2" t="s">
        <v>11738</v>
      </c>
      <c r="D6980" s="2"/>
      <c r="E6980" s="2">
        <v>1</v>
      </c>
      <c r="F6980" s="9"/>
      <c r="G6980" s="8">
        <f t="shared" si="216"/>
        <v>0.33390000000000003</v>
      </c>
      <c r="H6980" s="8">
        <v>0.318</v>
      </c>
      <c r="I6980" s="19">
        <f t="shared" si="217"/>
        <v>0</v>
      </c>
    </row>
    <row r="6981" spans="1:9" hidden="1">
      <c r="A6981" s="11" t="s">
        <v>11260</v>
      </c>
      <c r="B6981" s="2" t="s">
        <v>11739</v>
      </c>
      <c r="C6981" s="2" t="s">
        <v>11740</v>
      </c>
      <c r="D6981" s="2"/>
      <c r="E6981" s="2">
        <v>1</v>
      </c>
      <c r="F6981" s="9"/>
      <c r="G6981" s="8">
        <f t="shared" si="216"/>
        <v>0.56763000000000008</v>
      </c>
      <c r="H6981" s="8">
        <v>0.54060000000000008</v>
      </c>
      <c r="I6981" s="19">
        <f t="shared" si="217"/>
        <v>0</v>
      </c>
    </row>
    <row r="6982" spans="1:9" hidden="1">
      <c r="A6982" s="11" t="s">
        <v>11260</v>
      </c>
      <c r="B6982" s="2" t="s">
        <v>11741</v>
      </c>
      <c r="C6982" s="2" t="s">
        <v>11742</v>
      </c>
      <c r="D6982" s="2"/>
      <c r="E6982" s="2">
        <v>1</v>
      </c>
      <c r="F6982" s="9"/>
      <c r="G6982" s="8">
        <f t="shared" si="216"/>
        <v>1.2284999999999999</v>
      </c>
      <c r="H6982" s="8">
        <v>1.17</v>
      </c>
      <c r="I6982" s="19">
        <f t="shared" si="217"/>
        <v>0</v>
      </c>
    </row>
    <row r="6983" spans="1:9" hidden="1">
      <c r="A6983" s="11" t="s">
        <v>11260</v>
      </c>
      <c r="B6983" s="2" t="s">
        <v>11743</v>
      </c>
      <c r="C6983" s="2" t="s">
        <v>11744</v>
      </c>
      <c r="D6983" s="2"/>
      <c r="E6983" s="2">
        <v>1</v>
      </c>
      <c r="F6983" s="9"/>
      <c r="G6983" s="8">
        <f t="shared" si="216"/>
        <v>8.9039999999999994E-2</v>
      </c>
      <c r="H6983" s="8">
        <v>8.48E-2</v>
      </c>
      <c r="I6983" s="19">
        <f t="shared" si="217"/>
        <v>0</v>
      </c>
    </row>
    <row r="6984" spans="1:9">
      <c r="A6984" s="11" t="s">
        <v>11260</v>
      </c>
      <c r="B6984" s="2" t="s">
        <v>11745</v>
      </c>
      <c r="C6984" s="2" t="s">
        <v>11746</v>
      </c>
      <c r="D6984" s="2"/>
      <c r="E6984" s="2">
        <v>1</v>
      </c>
      <c r="F6984" s="9">
        <v>31000</v>
      </c>
      <c r="G6984" s="8">
        <f t="shared" si="216"/>
        <v>5.5650000000000005E-2</v>
      </c>
      <c r="H6984" s="8">
        <v>5.3000000000000005E-2</v>
      </c>
      <c r="I6984" s="19">
        <f t="shared" si="217"/>
        <v>1725.15</v>
      </c>
    </row>
    <row r="6985" spans="1:9" hidden="1">
      <c r="A6985" s="11" t="s">
        <v>11260</v>
      </c>
      <c r="B6985" s="2" t="s">
        <v>11747</v>
      </c>
      <c r="C6985" s="2" t="s">
        <v>11748</v>
      </c>
      <c r="D6985" s="2"/>
      <c r="E6985" s="2">
        <v>1</v>
      </c>
      <c r="F6985" s="9"/>
      <c r="G6985" s="8">
        <f t="shared" si="216"/>
        <v>8.9039999999999994E-2</v>
      </c>
      <c r="H6985" s="8">
        <v>8.48E-2</v>
      </c>
      <c r="I6985" s="19">
        <f t="shared" si="217"/>
        <v>0</v>
      </c>
    </row>
    <row r="6986" spans="1:9">
      <c r="A6986" s="11" t="s">
        <v>11260</v>
      </c>
      <c r="B6986" s="2" t="s">
        <v>11749</v>
      </c>
      <c r="C6986" s="2" t="s">
        <v>11750</v>
      </c>
      <c r="D6986" s="2"/>
      <c r="E6986" s="2">
        <v>1</v>
      </c>
      <c r="F6986" s="9">
        <v>21850</v>
      </c>
      <c r="G6986" s="8">
        <f t="shared" si="216"/>
        <v>5.5650000000000005E-2</v>
      </c>
      <c r="H6986" s="8">
        <v>5.3000000000000005E-2</v>
      </c>
      <c r="I6986" s="19">
        <f t="shared" si="217"/>
        <v>1215.9525000000001</v>
      </c>
    </row>
    <row r="6987" spans="1:9" hidden="1">
      <c r="A6987" s="11" t="s">
        <v>11260</v>
      </c>
      <c r="B6987" s="2" t="s">
        <v>11751</v>
      </c>
      <c r="C6987" s="2" t="s">
        <v>11752</v>
      </c>
      <c r="D6987" s="2"/>
      <c r="E6987" s="2">
        <v>1</v>
      </c>
      <c r="F6987" s="9"/>
      <c r="G6987" s="8">
        <f t="shared" si="216"/>
        <v>0.23372999999999999</v>
      </c>
      <c r="H6987" s="8">
        <v>0.22259999999999999</v>
      </c>
      <c r="I6987" s="19">
        <f t="shared" si="217"/>
        <v>0</v>
      </c>
    </row>
    <row r="6988" spans="1:9" hidden="1">
      <c r="A6988" s="11" t="s">
        <v>11260</v>
      </c>
      <c r="B6988" s="2" t="s">
        <v>11753</v>
      </c>
      <c r="C6988" s="2" t="s">
        <v>11754</v>
      </c>
      <c r="D6988" s="2"/>
      <c r="E6988" s="2">
        <v>1</v>
      </c>
      <c r="F6988" s="9"/>
      <c r="G6988" s="8">
        <f t="shared" si="216"/>
        <v>0.16695000000000002</v>
      </c>
      <c r="H6988" s="8">
        <v>0.159</v>
      </c>
      <c r="I6988" s="19">
        <f t="shared" si="217"/>
        <v>0</v>
      </c>
    </row>
    <row r="6989" spans="1:9">
      <c r="A6989" s="11" t="s">
        <v>11260</v>
      </c>
      <c r="B6989" s="2" t="s">
        <v>11755</v>
      </c>
      <c r="C6989" s="2" t="s">
        <v>11756</v>
      </c>
      <c r="D6989" s="2"/>
      <c r="E6989" s="2">
        <v>1</v>
      </c>
      <c r="F6989" s="9">
        <v>41000</v>
      </c>
      <c r="G6989" s="8">
        <f t="shared" si="216"/>
        <v>3.3390000000000003E-2</v>
      </c>
      <c r="H6989" s="8">
        <v>3.1800000000000002E-2</v>
      </c>
      <c r="I6989" s="19">
        <f t="shared" si="217"/>
        <v>1368.9900000000002</v>
      </c>
    </row>
    <row r="6990" spans="1:9" hidden="1">
      <c r="A6990" s="11" t="s">
        <v>11260</v>
      </c>
      <c r="B6990" s="2" t="s">
        <v>11757</v>
      </c>
      <c r="C6990" s="2" t="s">
        <v>11758</v>
      </c>
      <c r="D6990" s="2"/>
      <c r="E6990" s="2">
        <v>1</v>
      </c>
      <c r="F6990" s="9"/>
      <c r="G6990" s="8">
        <f t="shared" si="216"/>
        <v>0.14469000000000001</v>
      </c>
      <c r="H6990" s="8">
        <v>0.13780000000000001</v>
      </c>
      <c r="I6990" s="19">
        <f t="shared" si="217"/>
        <v>0</v>
      </c>
    </row>
    <row r="6991" spans="1:9" hidden="1">
      <c r="A6991" s="11" t="s">
        <v>11260</v>
      </c>
      <c r="B6991" s="2" t="s">
        <v>11759</v>
      </c>
      <c r="C6991" s="2" t="s">
        <v>11760</v>
      </c>
      <c r="D6991" s="2"/>
      <c r="E6991" s="2">
        <v>1</v>
      </c>
      <c r="F6991" s="9"/>
      <c r="G6991" s="8">
        <f t="shared" si="216"/>
        <v>4.4519999999999997E-2</v>
      </c>
      <c r="H6991" s="8">
        <v>4.24E-2</v>
      </c>
      <c r="I6991" s="19">
        <f t="shared" si="217"/>
        <v>0</v>
      </c>
    </row>
    <row r="6992" spans="1:9" hidden="1">
      <c r="A6992" s="11" t="s">
        <v>11260</v>
      </c>
      <c r="B6992" s="2" t="s">
        <v>11761</v>
      </c>
      <c r="C6992" s="2" t="s">
        <v>11762</v>
      </c>
      <c r="D6992" s="2"/>
      <c r="E6992" s="2">
        <v>1</v>
      </c>
      <c r="F6992" s="9"/>
      <c r="G6992" s="8">
        <f t="shared" si="216"/>
        <v>10.332000000000001</v>
      </c>
      <c r="H6992" s="8">
        <v>9.84</v>
      </c>
      <c r="I6992" s="19">
        <f t="shared" si="217"/>
        <v>0</v>
      </c>
    </row>
    <row r="6993" spans="1:9" hidden="1">
      <c r="A6993" s="11" t="s">
        <v>11260</v>
      </c>
      <c r="B6993" s="2" t="s">
        <v>11763</v>
      </c>
      <c r="C6993" s="2" t="s">
        <v>11764</v>
      </c>
      <c r="D6993" s="2"/>
      <c r="E6993" s="2">
        <v>1</v>
      </c>
      <c r="F6993" s="9"/>
      <c r="G6993" s="8">
        <f t="shared" si="216"/>
        <v>16.283867946752725</v>
      </c>
      <c r="H6993" s="8">
        <v>15.508445663574022</v>
      </c>
      <c r="I6993" s="19">
        <f t="shared" si="217"/>
        <v>0</v>
      </c>
    </row>
    <row r="6994" spans="1:9">
      <c r="A6994" s="11" t="s">
        <v>11260</v>
      </c>
      <c r="B6994" s="2" t="s">
        <v>11765</v>
      </c>
      <c r="C6994" s="2" t="s">
        <v>11766</v>
      </c>
      <c r="D6994" s="2"/>
      <c r="E6994" s="2">
        <v>1</v>
      </c>
      <c r="F6994" s="9">
        <v>200</v>
      </c>
      <c r="G6994" s="8">
        <f t="shared" ref="G6994:G7059" si="218">H6994+(H6994*5%)</f>
        <v>1.6380000000000001</v>
      </c>
      <c r="H6994" s="8">
        <v>1.56</v>
      </c>
      <c r="I6994" s="19">
        <f t="shared" ref="I6994:I7059" si="219">G6994*F6994</f>
        <v>327.60000000000002</v>
      </c>
    </row>
    <row r="6995" spans="1:9" hidden="1">
      <c r="A6995" s="11" t="s">
        <v>11260</v>
      </c>
      <c r="B6995" s="2" t="s">
        <v>11767</v>
      </c>
      <c r="C6995" s="2" t="s">
        <v>11768</v>
      </c>
      <c r="D6995" s="2"/>
      <c r="E6995" s="2">
        <v>1</v>
      </c>
      <c r="F6995" s="9"/>
      <c r="G6995" s="8">
        <f t="shared" si="218"/>
        <v>2.52651</v>
      </c>
      <c r="H6995" s="8">
        <v>2.4062000000000001</v>
      </c>
      <c r="I6995" s="19">
        <f t="shared" si="219"/>
        <v>0</v>
      </c>
    </row>
    <row r="6996" spans="1:9" hidden="1">
      <c r="A6996" s="11" t="s">
        <v>11260</v>
      </c>
      <c r="B6996" s="2" t="s">
        <v>11769</v>
      </c>
      <c r="C6996" s="2" t="s">
        <v>11770</v>
      </c>
      <c r="D6996" s="2"/>
      <c r="E6996" s="2">
        <v>1</v>
      </c>
      <c r="F6996" s="9"/>
      <c r="G6996" s="8">
        <f t="shared" si="218"/>
        <v>2.04792</v>
      </c>
      <c r="H6996" s="8">
        <v>1.9504000000000001</v>
      </c>
      <c r="I6996" s="19">
        <f t="shared" si="219"/>
        <v>0</v>
      </c>
    </row>
    <row r="6997" spans="1:9" hidden="1">
      <c r="A6997" s="11" t="s">
        <v>11260</v>
      </c>
      <c r="B6997" s="2" t="s">
        <v>11771</v>
      </c>
      <c r="C6997" s="2" t="s">
        <v>11772</v>
      </c>
      <c r="D6997" s="2"/>
      <c r="E6997" s="2">
        <v>1</v>
      </c>
      <c r="F6997" s="9"/>
      <c r="G6997" s="8">
        <f t="shared" si="218"/>
        <v>1.07961</v>
      </c>
      <c r="H6997" s="8">
        <v>1.0282</v>
      </c>
      <c r="I6997" s="19">
        <f t="shared" si="219"/>
        <v>0</v>
      </c>
    </row>
    <row r="6998" spans="1:9">
      <c r="A6998" s="11" t="s">
        <v>11260</v>
      </c>
      <c r="B6998" s="2" t="s">
        <v>11773</v>
      </c>
      <c r="C6998" s="2" t="s">
        <v>11774</v>
      </c>
      <c r="D6998" s="2"/>
      <c r="E6998" s="2">
        <v>1</v>
      </c>
      <c r="F6998" s="9">
        <v>190</v>
      </c>
      <c r="G6998" s="8">
        <f t="shared" si="218"/>
        <v>1.0301433333333334</v>
      </c>
      <c r="H6998" s="8">
        <v>0.98108888888888901</v>
      </c>
      <c r="I6998" s="19">
        <f t="shared" si="219"/>
        <v>195.72723333333334</v>
      </c>
    </row>
    <row r="6999" spans="1:9">
      <c r="A6999" s="11" t="s">
        <v>11260</v>
      </c>
      <c r="B6999" s="2"/>
      <c r="C6999" s="2" t="s">
        <v>11775</v>
      </c>
      <c r="D6999" s="2"/>
      <c r="E6999" s="2">
        <v>1</v>
      </c>
      <c r="F6999" s="9">
        <v>19</v>
      </c>
      <c r="G6999" s="8">
        <f t="shared" si="218"/>
        <v>10.941000000000001</v>
      </c>
      <c r="H6999" s="8">
        <v>10.42</v>
      </c>
      <c r="I6999" s="19">
        <f t="shared" si="219"/>
        <v>207.87900000000002</v>
      </c>
    </row>
    <row r="7000" spans="1:9" hidden="1">
      <c r="A7000" s="11" t="s">
        <v>11260</v>
      </c>
      <c r="B7000" s="2" t="s">
        <v>11776</v>
      </c>
      <c r="C7000" s="2" t="s">
        <v>11777</v>
      </c>
      <c r="D7000" s="2"/>
      <c r="E7000" s="2">
        <v>1</v>
      </c>
      <c r="F7000" s="9"/>
      <c r="G7000" s="8">
        <f t="shared" si="218"/>
        <v>12.179221957156768</v>
      </c>
      <c r="H7000" s="8">
        <v>11.59925900681597</v>
      </c>
      <c r="I7000" s="19">
        <f t="shared" si="219"/>
        <v>0</v>
      </c>
    </row>
    <row r="7001" spans="1:9">
      <c r="A7001" s="11" t="s">
        <v>11260</v>
      </c>
      <c r="B7001" s="2"/>
      <c r="C7001" s="2" t="s">
        <v>11778</v>
      </c>
      <c r="D7001" s="2"/>
      <c r="E7001" s="2">
        <v>1</v>
      </c>
      <c r="F7001" s="9">
        <v>15</v>
      </c>
      <c r="G7001" s="8">
        <f t="shared" si="218"/>
        <v>15.6975</v>
      </c>
      <c r="H7001" s="8">
        <v>14.95</v>
      </c>
      <c r="I7001" s="19">
        <f t="shared" si="219"/>
        <v>235.46250000000001</v>
      </c>
    </row>
    <row r="7002" spans="1:9">
      <c r="A7002" s="11" t="s">
        <v>11260</v>
      </c>
      <c r="B7002" s="2" t="s">
        <v>11779</v>
      </c>
      <c r="C7002" s="2" t="s">
        <v>11780</v>
      </c>
      <c r="D7002" s="2"/>
      <c r="E7002" s="2">
        <v>1</v>
      </c>
      <c r="F7002" s="9">
        <v>65</v>
      </c>
      <c r="G7002" s="8">
        <f t="shared" si="218"/>
        <v>5.278257440758293</v>
      </c>
      <c r="H7002" s="8">
        <v>5.0269118483412312</v>
      </c>
      <c r="I7002" s="19">
        <f t="shared" si="219"/>
        <v>343.08673364928904</v>
      </c>
    </row>
    <row r="7003" spans="1:9">
      <c r="A7003" s="11" t="s">
        <v>11260</v>
      </c>
      <c r="B7003" s="2" t="s">
        <v>11781</v>
      </c>
      <c r="C7003" s="2" t="s">
        <v>11782</v>
      </c>
      <c r="D7003" s="2"/>
      <c r="E7003" s="2">
        <v>1</v>
      </c>
      <c r="F7003" s="9">
        <v>147</v>
      </c>
      <c r="G7003" s="8">
        <f t="shared" si="218"/>
        <v>5.6903112869822481</v>
      </c>
      <c r="H7003" s="8">
        <v>5.4193440828402366</v>
      </c>
      <c r="I7003" s="19">
        <f t="shared" si="219"/>
        <v>836.47575918639052</v>
      </c>
    </row>
    <row r="7004" spans="1:9" hidden="1">
      <c r="A7004" s="11" t="s">
        <v>11260</v>
      </c>
      <c r="B7004" s="2" t="s">
        <v>11783</v>
      </c>
      <c r="C7004" s="2" t="s">
        <v>11784</v>
      </c>
      <c r="D7004" s="2"/>
      <c r="E7004" s="2">
        <v>1</v>
      </c>
      <c r="F7004" s="9"/>
      <c r="G7004" s="8">
        <f t="shared" si="218"/>
        <v>0.27825</v>
      </c>
      <c r="H7004" s="8">
        <v>0.26500000000000001</v>
      </c>
      <c r="I7004" s="19">
        <f t="shared" si="219"/>
        <v>0</v>
      </c>
    </row>
    <row r="7005" spans="1:9" hidden="1">
      <c r="A7005" s="11" t="s">
        <v>11260</v>
      </c>
      <c r="B7005" s="2" t="s">
        <v>11785</v>
      </c>
      <c r="C7005" s="2" t="s">
        <v>11786</v>
      </c>
      <c r="D7005" s="2"/>
      <c r="E7005" s="2">
        <v>1</v>
      </c>
      <c r="F7005" s="9"/>
      <c r="G7005" s="8">
        <f t="shared" si="218"/>
        <v>0.22260000000000002</v>
      </c>
      <c r="H7005" s="8">
        <v>0.21200000000000002</v>
      </c>
      <c r="I7005" s="19">
        <f t="shared" si="219"/>
        <v>0</v>
      </c>
    </row>
    <row r="7006" spans="1:9">
      <c r="A7006" s="11" t="s">
        <v>11260</v>
      </c>
      <c r="B7006" s="2" t="s">
        <v>11787</v>
      </c>
      <c r="C7006" s="2" t="s">
        <v>9032</v>
      </c>
      <c r="D7006" s="2"/>
      <c r="E7006" s="2">
        <v>1</v>
      </c>
      <c r="F7006" s="9">
        <v>17067</v>
      </c>
      <c r="G7006" s="8">
        <f t="shared" si="218"/>
        <v>6.6780000000000006E-2</v>
      </c>
      <c r="H7006" s="8">
        <v>6.3600000000000004E-2</v>
      </c>
      <c r="I7006" s="19">
        <f t="shared" si="219"/>
        <v>1139.7342600000002</v>
      </c>
    </row>
    <row r="7007" spans="1:9" hidden="1">
      <c r="A7007" s="11" t="s">
        <v>11260</v>
      </c>
      <c r="B7007" s="2" t="s">
        <v>11788</v>
      </c>
      <c r="C7007" s="2" t="s">
        <v>11789</v>
      </c>
      <c r="D7007" s="2"/>
      <c r="E7007" s="2">
        <v>1</v>
      </c>
      <c r="F7007" s="9"/>
      <c r="G7007" s="8">
        <f t="shared" si="218"/>
        <v>0.13356000000000001</v>
      </c>
      <c r="H7007" s="8">
        <v>0.12720000000000001</v>
      </c>
      <c r="I7007" s="19">
        <f t="shared" si="219"/>
        <v>0</v>
      </c>
    </row>
    <row r="7008" spans="1:9" hidden="1">
      <c r="A7008" s="11" t="s">
        <v>11260</v>
      </c>
      <c r="B7008" s="2" t="s">
        <v>11790</v>
      </c>
      <c r="C7008" s="2" t="s">
        <v>11791</v>
      </c>
      <c r="D7008" s="2"/>
      <c r="E7008" s="2">
        <v>1</v>
      </c>
      <c r="F7008" s="9"/>
      <c r="G7008" s="8">
        <f t="shared" si="218"/>
        <v>0.20033999999999999</v>
      </c>
      <c r="H7008" s="8">
        <v>0.1908</v>
      </c>
      <c r="I7008" s="19">
        <f t="shared" si="219"/>
        <v>0</v>
      </c>
    </row>
    <row r="7009" spans="1:9" hidden="1">
      <c r="A7009" s="11" t="s">
        <v>11260</v>
      </c>
      <c r="B7009" s="2" t="s">
        <v>11792</v>
      </c>
      <c r="C7009" s="2" t="s">
        <v>11793</v>
      </c>
      <c r="D7009" s="2"/>
      <c r="E7009" s="2">
        <v>1</v>
      </c>
      <c r="F7009" s="9"/>
      <c r="G7009" s="8">
        <f t="shared" si="218"/>
        <v>7.7910000000000021E-2</v>
      </c>
      <c r="H7009" s="8">
        <v>7.4200000000000016E-2</v>
      </c>
      <c r="I7009" s="19">
        <f t="shared" si="219"/>
        <v>0</v>
      </c>
    </row>
    <row r="7010" spans="1:9" hidden="1">
      <c r="A7010" s="11" t="s">
        <v>11260</v>
      </c>
      <c r="B7010" s="2" t="s">
        <v>11794</v>
      </c>
      <c r="C7010" s="2" t="s">
        <v>11795</v>
      </c>
      <c r="D7010" s="2"/>
      <c r="E7010" s="2">
        <v>1</v>
      </c>
      <c r="F7010" s="9"/>
      <c r="G7010" s="8">
        <f t="shared" si="218"/>
        <v>20.369999999999997</v>
      </c>
      <c r="H7010" s="8">
        <v>19.399999999999999</v>
      </c>
      <c r="I7010" s="19">
        <f t="shared" si="219"/>
        <v>0</v>
      </c>
    </row>
    <row r="7011" spans="1:9" hidden="1">
      <c r="A7011" s="11" t="s">
        <v>11260</v>
      </c>
      <c r="B7011" s="2" t="s">
        <v>11796</v>
      </c>
      <c r="C7011" s="2" t="s">
        <v>11797</v>
      </c>
      <c r="D7011" s="2"/>
      <c r="E7011" s="2">
        <v>1</v>
      </c>
      <c r="F7011" s="9"/>
      <c r="G7011" s="8">
        <f t="shared" si="218"/>
        <v>0.27825</v>
      </c>
      <c r="H7011" s="8">
        <v>0.26500000000000001</v>
      </c>
      <c r="I7011" s="19">
        <f t="shared" si="219"/>
        <v>0</v>
      </c>
    </row>
    <row r="7012" spans="1:9" hidden="1">
      <c r="A7012" s="11" t="s">
        <v>11260</v>
      </c>
      <c r="B7012" s="2" t="s">
        <v>11798</v>
      </c>
      <c r="C7012" s="2" t="s">
        <v>11799</v>
      </c>
      <c r="D7012" s="2"/>
      <c r="E7012" s="2">
        <v>1</v>
      </c>
      <c r="F7012" s="9"/>
      <c r="G7012" s="8">
        <f t="shared" si="218"/>
        <v>0.13356000000000001</v>
      </c>
      <c r="H7012" s="8">
        <v>0.12720000000000001</v>
      </c>
      <c r="I7012" s="19">
        <f t="shared" si="219"/>
        <v>0</v>
      </c>
    </row>
    <row r="7013" spans="1:9">
      <c r="A7013" s="11" t="s">
        <v>11260</v>
      </c>
      <c r="B7013" s="2" t="s">
        <v>11800</v>
      </c>
      <c r="C7013" s="2" t="s">
        <v>11801</v>
      </c>
      <c r="D7013" s="2"/>
      <c r="E7013" s="2">
        <v>1</v>
      </c>
      <c r="F7013" s="9">
        <v>15343</v>
      </c>
      <c r="G7013" s="8">
        <f t="shared" si="218"/>
        <v>0.13356000000000001</v>
      </c>
      <c r="H7013" s="8">
        <v>0.12720000000000001</v>
      </c>
      <c r="I7013" s="19">
        <f t="shared" si="219"/>
        <v>2049.21108</v>
      </c>
    </row>
    <row r="7014" spans="1:9" hidden="1">
      <c r="A7014" s="11" t="s">
        <v>11260</v>
      </c>
      <c r="B7014" s="2" t="s">
        <v>11802</v>
      </c>
      <c r="C7014" s="2" t="s">
        <v>11803</v>
      </c>
      <c r="D7014" s="2"/>
      <c r="E7014" s="2">
        <v>1</v>
      </c>
      <c r="F7014" s="9"/>
      <c r="G7014" s="8">
        <f t="shared" si="218"/>
        <v>0.15582000000000004</v>
      </c>
      <c r="H7014" s="8">
        <v>0.14840000000000003</v>
      </c>
      <c r="I7014" s="19">
        <f t="shared" si="219"/>
        <v>0</v>
      </c>
    </row>
    <row r="7015" spans="1:9" hidden="1">
      <c r="A7015" s="11" t="s">
        <v>11260</v>
      </c>
      <c r="B7015" s="2" t="s">
        <v>11804</v>
      </c>
      <c r="C7015" s="2" t="s">
        <v>11805</v>
      </c>
      <c r="D7015" s="2"/>
      <c r="E7015" s="2">
        <v>1</v>
      </c>
      <c r="F7015" s="9"/>
      <c r="G7015" s="8">
        <f t="shared" si="218"/>
        <v>0.12243000000000001</v>
      </c>
      <c r="H7015" s="8">
        <v>0.11660000000000001</v>
      </c>
      <c r="I7015" s="19">
        <f t="shared" si="219"/>
        <v>0</v>
      </c>
    </row>
    <row r="7016" spans="1:9" hidden="1">
      <c r="A7016" s="11" t="s">
        <v>11260</v>
      </c>
      <c r="B7016" s="2" t="s">
        <v>11806</v>
      </c>
      <c r="C7016" s="2" t="s">
        <v>11807</v>
      </c>
      <c r="D7016" s="2"/>
      <c r="E7016" s="2">
        <v>1</v>
      </c>
      <c r="F7016" s="9"/>
      <c r="G7016" s="8">
        <f t="shared" si="218"/>
        <v>0.13356000000000001</v>
      </c>
      <c r="H7016" s="8">
        <v>0.12720000000000001</v>
      </c>
      <c r="I7016" s="19">
        <f t="shared" si="219"/>
        <v>0</v>
      </c>
    </row>
    <row r="7017" spans="1:9" hidden="1">
      <c r="A7017" s="11" t="s">
        <v>11260</v>
      </c>
      <c r="B7017" s="2" t="s">
        <v>11808</v>
      </c>
      <c r="C7017" s="2" t="s">
        <v>11809</v>
      </c>
      <c r="D7017" s="2"/>
      <c r="E7017" s="2">
        <v>1</v>
      </c>
      <c r="F7017" s="9"/>
      <c r="G7017" s="8">
        <f t="shared" si="218"/>
        <v>0.20033999999999999</v>
      </c>
      <c r="H7017" s="8">
        <v>0.1908</v>
      </c>
      <c r="I7017" s="19">
        <f t="shared" si="219"/>
        <v>0</v>
      </c>
    </row>
    <row r="7018" spans="1:9" hidden="1">
      <c r="A7018" s="11" t="s">
        <v>11260</v>
      </c>
      <c r="B7018" s="2" t="s">
        <v>11810</v>
      </c>
      <c r="C7018" s="2" t="s">
        <v>11811</v>
      </c>
      <c r="D7018" s="2"/>
      <c r="E7018" s="2">
        <v>1</v>
      </c>
      <c r="F7018" s="9"/>
      <c r="G7018" s="8">
        <f t="shared" si="218"/>
        <v>1.4678695652173914</v>
      </c>
      <c r="H7018" s="8">
        <v>1.3979710144927537</v>
      </c>
      <c r="I7018" s="19">
        <f t="shared" si="219"/>
        <v>0</v>
      </c>
    </row>
    <row r="7019" spans="1:9" hidden="1">
      <c r="A7019" s="11" t="s">
        <v>11260</v>
      </c>
      <c r="B7019" s="2" t="s">
        <v>11812</v>
      </c>
      <c r="C7019" s="2" t="s">
        <v>11813</v>
      </c>
      <c r="D7019" s="2"/>
      <c r="E7019" s="2">
        <v>1</v>
      </c>
      <c r="F7019" s="9"/>
      <c r="G7019" s="8">
        <f t="shared" si="218"/>
        <v>1.5267846774193552</v>
      </c>
      <c r="H7019" s="8">
        <v>1.4540806451612907</v>
      </c>
      <c r="I7019" s="19">
        <f t="shared" si="219"/>
        <v>0</v>
      </c>
    </row>
    <row r="7020" spans="1:9" hidden="1">
      <c r="A7020" s="11" t="s">
        <v>11260</v>
      </c>
      <c r="B7020" s="2" t="s">
        <v>11814</v>
      </c>
      <c r="C7020" s="2" t="s">
        <v>11815</v>
      </c>
      <c r="D7020" s="2"/>
      <c r="E7020" s="2">
        <v>1</v>
      </c>
      <c r="F7020" s="9"/>
      <c r="G7020" s="8">
        <f t="shared" si="218"/>
        <v>16.955729225806451</v>
      </c>
      <c r="H7020" s="8">
        <v>16.148313548387097</v>
      </c>
      <c r="I7020" s="19">
        <f t="shared" si="219"/>
        <v>0</v>
      </c>
    </row>
    <row r="7021" spans="1:9" hidden="1">
      <c r="A7021" s="11" t="s">
        <v>11260</v>
      </c>
      <c r="B7021" s="2" t="s">
        <v>11816</v>
      </c>
      <c r="C7021" s="2" t="s">
        <v>11817</v>
      </c>
      <c r="D7021" s="2"/>
      <c r="E7021" s="2">
        <v>1</v>
      </c>
      <c r="F7021" s="9"/>
      <c r="G7021" s="8">
        <f t="shared" si="218"/>
        <v>0.7006763076923076</v>
      </c>
      <c r="H7021" s="8">
        <v>0.66731076923076915</v>
      </c>
      <c r="I7021" s="19">
        <f t="shared" si="219"/>
        <v>0</v>
      </c>
    </row>
    <row r="7022" spans="1:9" hidden="1">
      <c r="A7022" s="11" t="s">
        <v>11260</v>
      </c>
      <c r="B7022" s="2" t="s">
        <v>11818</v>
      </c>
      <c r="C7022" s="2" t="s">
        <v>11819</v>
      </c>
      <c r="D7022" s="2"/>
      <c r="E7022" s="2">
        <v>1</v>
      </c>
      <c r="F7022" s="9"/>
      <c r="G7022" s="8">
        <f t="shared" si="218"/>
        <v>21.43498704294479</v>
      </c>
      <c r="H7022" s="8">
        <v>20.414273374233133</v>
      </c>
      <c r="I7022" s="19">
        <f t="shared" si="219"/>
        <v>0</v>
      </c>
    </row>
    <row r="7023" spans="1:9" hidden="1">
      <c r="A7023" s="11" t="s">
        <v>11260</v>
      </c>
      <c r="B7023" s="2" t="s">
        <v>11820</v>
      </c>
      <c r="C7023" s="2" t="s">
        <v>11821</v>
      </c>
      <c r="D7023" s="2"/>
      <c r="E7023" s="2">
        <v>1</v>
      </c>
      <c r="F7023" s="9"/>
      <c r="G7023" s="8">
        <f t="shared" si="218"/>
        <v>45.046749745083751</v>
      </c>
      <c r="H7023" s="8">
        <v>42.901666423889289</v>
      </c>
      <c r="I7023" s="19">
        <f t="shared" si="219"/>
        <v>0</v>
      </c>
    </row>
    <row r="7024" spans="1:9" hidden="1">
      <c r="A7024" s="11" t="s">
        <v>11260</v>
      </c>
      <c r="B7024" s="2" t="s">
        <v>11822</v>
      </c>
      <c r="C7024" s="2" t="s">
        <v>11823</v>
      </c>
      <c r="D7024" s="2"/>
      <c r="E7024" s="2">
        <v>1</v>
      </c>
      <c r="F7024" s="9"/>
      <c r="G7024" s="8">
        <f t="shared" si="218"/>
        <v>61.099499999999999</v>
      </c>
      <c r="H7024" s="8">
        <v>58.19</v>
      </c>
      <c r="I7024" s="19">
        <f t="shared" si="219"/>
        <v>0</v>
      </c>
    </row>
    <row r="7025" spans="1:9" hidden="1">
      <c r="A7025" s="11" t="s">
        <v>11260</v>
      </c>
      <c r="B7025" s="2" t="s">
        <v>11824</v>
      </c>
      <c r="C7025" s="2" t="s">
        <v>11825</v>
      </c>
      <c r="D7025" s="2"/>
      <c r="E7025" s="2">
        <v>1</v>
      </c>
      <c r="F7025" s="9"/>
      <c r="G7025" s="8">
        <f t="shared" si="218"/>
        <v>0.51449999999999996</v>
      </c>
      <c r="H7025" s="8">
        <v>0.49</v>
      </c>
      <c r="I7025" s="19">
        <f t="shared" si="219"/>
        <v>0</v>
      </c>
    </row>
    <row r="7026" spans="1:9" hidden="1">
      <c r="A7026" s="11" t="s">
        <v>11260</v>
      </c>
      <c r="B7026" s="2" t="s">
        <v>11826</v>
      </c>
      <c r="C7026" s="2" t="s">
        <v>11827</v>
      </c>
      <c r="D7026" s="2"/>
      <c r="E7026" s="2">
        <v>1</v>
      </c>
      <c r="F7026" s="9"/>
      <c r="G7026" s="8">
        <f t="shared" si="218"/>
        <v>2.8160905405405408</v>
      </c>
      <c r="H7026" s="8">
        <v>2.6819909909909914</v>
      </c>
      <c r="I7026" s="19">
        <f t="shared" si="219"/>
        <v>0</v>
      </c>
    </row>
    <row r="7027" spans="1:9">
      <c r="A7027" s="11" t="s">
        <v>11260</v>
      </c>
      <c r="B7027" s="2" t="s">
        <v>11828</v>
      </c>
      <c r="C7027" s="2" t="s">
        <v>11829</v>
      </c>
      <c r="D7027" s="2"/>
      <c r="E7027" s="2">
        <v>1</v>
      </c>
      <c r="F7027" s="9">
        <v>16</v>
      </c>
      <c r="G7027" s="8">
        <f t="shared" si="218"/>
        <v>2.3377364705882355</v>
      </c>
      <c r="H7027" s="8">
        <v>2.2264156862745099</v>
      </c>
      <c r="I7027" s="19">
        <f t="shared" si="219"/>
        <v>37.403783529411768</v>
      </c>
    </row>
    <row r="7028" spans="1:9">
      <c r="A7028" s="11" t="s">
        <v>11260</v>
      </c>
      <c r="B7028" s="2" t="s">
        <v>11830</v>
      </c>
      <c r="C7028" s="2" t="s">
        <v>11831</v>
      </c>
      <c r="D7028" s="2"/>
      <c r="E7028" s="2">
        <v>1</v>
      </c>
      <c r="F7028" s="9">
        <v>61</v>
      </c>
      <c r="G7028" s="8">
        <f t="shared" si="218"/>
        <v>2.4547514754098367</v>
      </c>
      <c r="H7028" s="8">
        <v>2.3378585480093683</v>
      </c>
      <c r="I7028" s="19">
        <f t="shared" si="219"/>
        <v>149.73984000000004</v>
      </c>
    </row>
    <row r="7029" spans="1:9" hidden="1">
      <c r="A7029" s="11" t="s">
        <v>11260</v>
      </c>
      <c r="B7029" s="2" t="s">
        <v>11832</v>
      </c>
      <c r="C7029" s="2" t="s">
        <v>11833</v>
      </c>
      <c r="D7029" s="2"/>
      <c r="E7029" s="2">
        <v>1</v>
      </c>
      <c r="F7029" s="9"/>
      <c r="G7029" s="8">
        <f t="shared" si="218"/>
        <v>2.4768887500000001</v>
      </c>
      <c r="H7029" s="8">
        <v>2.3589416666666669</v>
      </c>
      <c r="I7029" s="19">
        <f t="shared" si="219"/>
        <v>0</v>
      </c>
    </row>
    <row r="7030" spans="1:9" hidden="1">
      <c r="A7030" s="11" t="s">
        <v>11260</v>
      </c>
      <c r="B7030" s="2" t="s">
        <v>11834</v>
      </c>
      <c r="C7030" s="2" t="s">
        <v>11835</v>
      </c>
      <c r="D7030" s="2"/>
      <c r="E7030" s="2">
        <v>1</v>
      </c>
      <c r="F7030" s="9"/>
      <c r="G7030" s="8">
        <f t="shared" si="218"/>
        <v>2.5994078145695365</v>
      </c>
      <c r="H7030" s="8">
        <v>2.475626490066225</v>
      </c>
      <c r="I7030" s="19">
        <f t="shared" si="219"/>
        <v>0</v>
      </c>
    </row>
    <row r="7031" spans="1:9" hidden="1">
      <c r="A7031" s="11" t="s">
        <v>11260</v>
      </c>
      <c r="B7031" s="2" t="s">
        <v>11836</v>
      </c>
      <c r="C7031" s="2" t="s">
        <v>11837</v>
      </c>
      <c r="D7031" s="2"/>
      <c r="E7031" s="2">
        <v>1</v>
      </c>
      <c r="F7031" s="9"/>
      <c r="G7031" s="8">
        <f t="shared" si="218"/>
        <v>2.6329011353711791</v>
      </c>
      <c r="H7031" s="8">
        <v>2.5075248908296945</v>
      </c>
      <c r="I7031" s="19">
        <f t="shared" si="219"/>
        <v>0</v>
      </c>
    </row>
    <row r="7032" spans="1:9">
      <c r="A7032" s="11" t="s">
        <v>11260</v>
      </c>
      <c r="B7032" s="2" t="s">
        <v>11838</v>
      </c>
      <c r="C7032" s="2" t="s">
        <v>11839</v>
      </c>
      <c r="D7032" s="2"/>
      <c r="E7032" s="2">
        <v>1</v>
      </c>
      <c r="F7032" s="9">
        <v>87</v>
      </c>
      <c r="G7032" s="8">
        <f t="shared" si="218"/>
        <v>2.7106844397463008</v>
      </c>
      <c r="H7032" s="8">
        <v>2.5816042283298102</v>
      </c>
      <c r="I7032" s="19">
        <f t="shared" si="219"/>
        <v>235.82954625792817</v>
      </c>
    </row>
    <row r="7033" spans="1:9" hidden="1">
      <c r="A7033" s="11" t="s">
        <v>11260</v>
      </c>
      <c r="B7033" s="2" t="s">
        <v>11840</v>
      </c>
      <c r="C7033" s="2" t="s">
        <v>11841</v>
      </c>
      <c r="D7033" s="2"/>
      <c r="E7033" s="2">
        <v>1</v>
      </c>
      <c r="F7033" s="9"/>
      <c r="G7033" s="8">
        <f t="shared" si="218"/>
        <v>3.3540821671018284</v>
      </c>
      <c r="H7033" s="8">
        <v>3.1943639686684078</v>
      </c>
      <c r="I7033" s="19">
        <f t="shared" si="219"/>
        <v>0</v>
      </c>
    </row>
    <row r="7034" spans="1:9" hidden="1">
      <c r="A7034" s="11" t="s">
        <v>11260</v>
      </c>
      <c r="B7034" s="2" t="s">
        <v>11842</v>
      </c>
      <c r="C7034" s="2" t="s">
        <v>11843</v>
      </c>
      <c r="D7034" s="2"/>
      <c r="E7034" s="2">
        <v>1</v>
      </c>
      <c r="F7034" s="9"/>
      <c r="G7034" s="8">
        <f t="shared" si="218"/>
        <v>2.7834236514522823</v>
      </c>
      <c r="H7034" s="8">
        <v>2.6508796680497926</v>
      </c>
      <c r="I7034" s="19">
        <f t="shared" si="219"/>
        <v>0</v>
      </c>
    </row>
    <row r="7035" spans="1:9">
      <c r="A7035" s="11" t="s">
        <v>11260</v>
      </c>
      <c r="B7035" s="2" t="s">
        <v>11844</v>
      </c>
      <c r="C7035" s="2" t="s">
        <v>11845</v>
      </c>
      <c r="D7035" s="2"/>
      <c r="E7035" s="2">
        <v>1</v>
      </c>
      <c r="F7035" s="9">
        <v>98</v>
      </c>
      <c r="G7035" s="8">
        <f t="shared" si="218"/>
        <v>2.8889666533864546</v>
      </c>
      <c r="H7035" s="8">
        <v>2.7513968127490043</v>
      </c>
      <c r="I7035" s="19">
        <f t="shared" si="219"/>
        <v>283.11873203187258</v>
      </c>
    </row>
    <row r="7036" spans="1:9" hidden="1">
      <c r="A7036" s="11" t="s">
        <v>11260</v>
      </c>
      <c r="B7036" s="2" t="s">
        <v>11846</v>
      </c>
      <c r="C7036" s="2" t="s">
        <v>11847</v>
      </c>
      <c r="D7036" s="2"/>
      <c r="E7036" s="2">
        <v>1</v>
      </c>
      <c r="F7036" s="9"/>
      <c r="G7036" s="8">
        <f t="shared" si="218"/>
        <v>2.9167172834645672</v>
      </c>
      <c r="H7036" s="8">
        <v>2.7778259842519688</v>
      </c>
      <c r="I7036" s="19">
        <f t="shared" si="219"/>
        <v>0</v>
      </c>
    </row>
    <row r="7037" spans="1:9" hidden="1">
      <c r="A7037" s="11" t="s">
        <v>11260</v>
      </c>
      <c r="B7037" s="2" t="s">
        <v>11848</v>
      </c>
      <c r="C7037" s="2" t="s">
        <v>11849</v>
      </c>
      <c r="D7037" s="2"/>
      <c r="E7037" s="2">
        <v>1</v>
      </c>
      <c r="F7037" s="9"/>
      <c r="G7037" s="8">
        <f t="shared" si="218"/>
        <v>3.8859599999999999</v>
      </c>
      <c r="H7037" s="8">
        <v>3.7009142857142856</v>
      </c>
      <c r="I7037" s="19">
        <f t="shared" si="219"/>
        <v>0</v>
      </c>
    </row>
    <row r="7038" spans="1:9">
      <c r="A7038" s="11" t="s">
        <v>11260</v>
      </c>
      <c r="B7038" s="2" t="s">
        <v>11850</v>
      </c>
      <c r="C7038" s="2" t="s">
        <v>11851</v>
      </c>
      <c r="D7038" s="2"/>
      <c r="E7038" s="2">
        <v>1</v>
      </c>
      <c r="F7038" s="9">
        <v>112</v>
      </c>
      <c r="G7038" s="8">
        <f t="shared" si="218"/>
        <v>3.2005332258064518</v>
      </c>
      <c r="H7038" s="8">
        <v>3.0481268817204303</v>
      </c>
      <c r="I7038" s="19">
        <f t="shared" si="219"/>
        <v>358.45972129032259</v>
      </c>
    </row>
    <row r="7039" spans="1:9" hidden="1">
      <c r="A7039" s="11" t="s">
        <v>11260</v>
      </c>
      <c r="B7039" s="2" t="s">
        <v>11852</v>
      </c>
      <c r="C7039" s="2" t="s">
        <v>11853</v>
      </c>
      <c r="D7039" s="2"/>
      <c r="E7039" s="2">
        <v>1</v>
      </c>
      <c r="F7039" s="9"/>
      <c r="G7039" s="8">
        <f t="shared" si="218"/>
        <v>3.4512352941176476</v>
      </c>
      <c r="H7039" s="8">
        <v>3.2868907563025216</v>
      </c>
      <c r="I7039" s="19">
        <f t="shared" si="219"/>
        <v>0</v>
      </c>
    </row>
    <row r="7040" spans="1:9" hidden="1">
      <c r="A7040" s="11" t="s">
        <v>11260</v>
      </c>
      <c r="B7040" s="2" t="s">
        <v>11854</v>
      </c>
      <c r="C7040" s="2" t="s">
        <v>11855</v>
      </c>
      <c r="D7040" s="2"/>
      <c r="E7040" s="2">
        <v>1</v>
      </c>
      <c r="F7040" s="9"/>
      <c r="G7040" s="8">
        <f t="shared" si="218"/>
        <v>3.4332474464579903</v>
      </c>
      <c r="H7040" s="8">
        <v>3.2697594728171335</v>
      </c>
      <c r="I7040" s="19">
        <f t="shared" si="219"/>
        <v>0</v>
      </c>
    </row>
    <row r="7041" spans="1:9">
      <c r="A7041" s="11" t="s">
        <v>11260</v>
      </c>
      <c r="B7041" s="2" t="s">
        <v>11856</v>
      </c>
      <c r="C7041" s="2" t="s">
        <v>11857</v>
      </c>
      <c r="D7041" s="2"/>
      <c r="E7041" s="2">
        <v>1</v>
      </c>
      <c r="F7041" s="9">
        <v>58</v>
      </c>
      <c r="G7041" s="8">
        <f t="shared" si="218"/>
        <v>3.5291904567699839</v>
      </c>
      <c r="H7041" s="8">
        <v>3.3611337683523654</v>
      </c>
      <c r="I7041" s="19">
        <f t="shared" si="219"/>
        <v>204.69304649265908</v>
      </c>
    </row>
    <row r="7042" spans="1:9" hidden="1">
      <c r="A7042" s="11" t="s">
        <v>11260</v>
      </c>
      <c r="B7042" s="2" t="s">
        <v>11858</v>
      </c>
      <c r="C7042" s="2" t="s">
        <v>11859</v>
      </c>
      <c r="D7042" s="2"/>
      <c r="E7042" s="2">
        <v>1</v>
      </c>
      <c r="F7042" s="9"/>
      <c r="G7042" s="8">
        <f t="shared" si="218"/>
        <v>4.2308596721311487</v>
      </c>
      <c r="H7042" s="8">
        <v>4.0293901639344272</v>
      </c>
      <c r="I7042" s="19">
        <f t="shared" si="219"/>
        <v>0</v>
      </c>
    </row>
    <row r="7043" spans="1:9" hidden="1">
      <c r="A7043" s="11" t="s">
        <v>11260</v>
      </c>
      <c r="B7043" s="2" t="s">
        <v>11860</v>
      </c>
      <c r="C7043" s="2" t="s">
        <v>11861</v>
      </c>
      <c r="D7043" s="2"/>
      <c r="E7043" s="2">
        <v>1</v>
      </c>
      <c r="F7043" s="9"/>
      <c r="G7043" s="8">
        <f t="shared" si="218"/>
        <v>4.6644556826568255</v>
      </c>
      <c r="H7043" s="8">
        <v>4.4423387453874525</v>
      </c>
      <c r="I7043" s="19">
        <f t="shared" si="219"/>
        <v>0</v>
      </c>
    </row>
    <row r="7044" spans="1:9" hidden="1">
      <c r="A7044" s="11" t="s">
        <v>11260</v>
      </c>
      <c r="B7044" s="2" t="s">
        <v>11862</v>
      </c>
      <c r="C7044" s="2" t="s">
        <v>11863</v>
      </c>
      <c r="D7044" s="2"/>
      <c r="E7044" s="2">
        <v>1</v>
      </c>
      <c r="F7044" s="9"/>
      <c r="G7044" s="8">
        <f t="shared" si="218"/>
        <v>4.8983757042253524</v>
      </c>
      <c r="H7044" s="8">
        <v>4.6651197183098594</v>
      </c>
      <c r="I7044" s="19">
        <f t="shared" si="219"/>
        <v>0</v>
      </c>
    </row>
    <row r="7045" spans="1:9" hidden="1">
      <c r="A7045" s="11" t="s">
        <v>11260</v>
      </c>
      <c r="B7045" s="2" t="s">
        <v>11864</v>
      </c>
      <c r="C7045" s="2" t="s">
        <v>11865</v>
      </c>
      <c r="D7045" s="2"/>
      <c r="E7045" s="2">
        <v>1</v>
      </c>
      <c r="F7045" s="9"/>
      <c r="G7045" s="8">
        <f t="shared" si="218"/>
        <v>5.2434368674698799</v>
      </c>
      <c r="H7045" s="8">
        <v>4.9937493975903617</v>
      </c>
      <c r="I7045" s="19">
        <f t="shared" si="219"/>
        <v>0</v>
      </c>
    </row>
    <row r="7046" spans="1:9" hidden="1">
      <c r="A7046" s="11" t="s">
        <v>11260</v>
      </c>
      <c r="B7046" s="2" t="s">
        <v>11866</v>
      </c>
      <c r="C7046" s="2" t="s">
        <v>11867</v>
      </c>
      <c r="D7046" s="2"/>
      <c r="E7046" s="2">
        <v>1</v>
      </c>
      <c r="F7046" s="9"/>
      <c r="G7046" s="8">
        <f t="shared" si="218"/>
        <v>5.816810750988143</v>
      </c>
      <c r="H7046" s="8">
        <v>5.5398197628458501</v>
      </c>
      <c r="I7046" s="19">
        <f t="shared" si="219"/>
        <v>0</v>
      </c>
    </row>
    <row r="7047" spans="1:9" hidden="1">
      <c r="A7047" s="11" t="s">
        <v>11260</v>
      </c>
      <c r="B7047" s="2" t="s">
        <v>11868</v>
      </c>
      <c r="C7047" s="2" t="s">
        <v>11869</v>
      </c>
      <c r="D7047" s="2"/>
      <c r="E7047" s="2">
        <v>1</v>
      </c>
      <c r="F7047" s="9"/>
      <c r="G7047" s="8">
        <f t="shared" si="218"/>
        <v>6.4070399999999985</v>
      </c>
      <c r="H7047" s="8">
        <v>6.1019428571428556</v>
      </c>
      <c r="I7047" s="19">
        <f t="shared" si="219"/>
        <v>0</v>
      </c>
    </row>
    <row r="7048" spans="1:9">
      <c r="A7048" s="11" t="s">
        <v>11260</v>
      </c>
      <c r="B7048" s="2" t="s">
        <v>11870</v>
      </c>
      <c r="C7048" s="2" t="s">
        <v>11871</v>
      </c>
      <c r="D7048" s="2"/>
      <c r="E7048" s="2">
        <v>1</v>
      </c>
      <c r="F7048" s="9">
        <v>25</v>
      </c>
      <c r="G7048" s="8">
        <f t="shared" si="218"/>
        <v>6.9022681099084116</v>
      </c>
      <c r="H7048" s="8">
        <v>6.5735886761032489</v>
      </c>
      <c r="I7048" s="19">
        <f t="shared" si="219"/>
        <v>172.55670274771029</v>
      </c>
    </row>
    <row r="7049" spans="1:9" hidden="1">
      <c r="A7049" s="11" t="s">
        <v>11260</v>
      </c>
      <c r="B7049" s="2" t="s">
        <v>11872</v>
      </c>
      <c r="C7049" s="2" t="s">
        <v>11873</v>
      </c>
      <c r="D7049" s="2"/>
      <c r="E7049" s="2">
        <v>1</v>
      </c>
      <c r="F7049" s="9"/>
      <c r="G7049" s="8">
        <f t="shared" si="218"/>
        <v>3.4373281188118816</v>
      </c>
      <c r="H7049" s="8">
        <v>3.2736458274398874</v>
      </c>
      <c r="I7049" s="19">
        <f t="shared" si="219"/>
        <v>0</v>
      </c>
    </row>
    <row r="7050" spans="1:9">
      <c r="A7050" s="11" t="s">
        <v>11260</v>
      </c>
      <c r="B7050" s="2" t="s">
        <v>11874</v>
      </c>
      <c r="C7050" s="2" t="s">
        <v>11875</v>
      </c>
      <c r="D7050" s="2"/>
      <c r="E7050" s="2">
        <v>1</v>
      </c>
      <c r="F7050" s="9">
        <v>104</v>
      </c>
      <c r="G7050" s="8">
        <f t="shared" si="218"/>
        <v>3.6423296000000001</v>
      </c>
      <c r="H7050" s="8">
        <v>3.4688853333333336</v>
      </c>
      <c r="I7050" s="19">
        <f t="shared" si="219"/>
        <v>378.80227839999998</v>
      </c>
    </row>
    <row r="7051" spans="1:9" hidden="1">
      <c r="A7051" s="11" t="s">
        <v>11260</v>
      </c>
      <c r="B7051" s="2" t="s">
        <v>11876</v>
      </c>
      <c r="C7051" s="2" t="s">
        <v>11877</v>
      </c>
      <c r="D7051" s="2"/>
      <c r="E7051" s="2">
        <v>1</v>
      </c>
      <c r="F7051" s="9"/>
      <c r="G7051" s="8">
        <f t="shared" si="218"/>
        <v>3.8538536146095717</v>
      </c>
      <c r="H7051" s="8">
        <v>3.6703367758186398</v>
      </c>
      <c r="I7051" s="19">
        <f t="shared" si="219"/>
        <v>0</v>
      </c>
    </row>
    <row r="7052" spans="1:9">
      <c r="A7052" s="11" t="s">
        <v>11260</v>
      </c>
      <c r="B7052" s="2" t="s">
        <v>11878</v>
      </c>
      <c r="C7052" s="2" t="s">
        <v>11879</v>
      </c>
      <c r="D7052" s="2"/>
      <c r="E7052" s="2">
        <v>1</v>
      </c>
      <c r="F7052" s="9">
        <v>66</v>
      </c>
      <c r="G7052" s="8">
        <f t="shared" si="218"/>
        <v>4.0749895340501805</v>
      </c>
      <c r="H7052" s="8">
        <v>3.8809424133811246</v>
      </c>
      <c r="I7052" s="19">
        <f t="shared" si="219"/>
        <v>268.94930924731193</v>
      </c>
    </row>
    <row r="7053" spans="1:9" hidden="1">
      <c r="A7053" s="11" t="s">
        <v>11260</v>
      </c>
      <c r="B7053" s="2" t="s">
        <v>11880</v>
      </c>
      <c r="C7053" s="2" t="s">
        <v>11881</v>
      </c>
      <c r="D7053" s="2"/>
      <c r="E7053" s="2">
        <v>1</v>
      </c>
      <c r="F7053" s="9"/>
      <c r="G7053" s="8">
        <f t="shared" si="218"/>
        <v>4.2751328036322356</v>
      </c>
      <c r="H7053" s="8">
        <v>4.0715550510783194</v>
      </c>
      <c r="I7053" s="19">
        <f t="shared" si="219"/>
        <v>0</v>
      </c>
    </row>
    <row r="7054" spans="1:9">
      <c r="A7054" s="11" t="s">
        <v>11260</v>
      </c>
      <c r="B7054" s="2" t="s">
        <v>11882</v>
      </c>
      <c r="C7054" s="2" t="s">
        <v>11883</v>
      </c>
      <c r="D7054" s="2"/>
      <c r="E7054" s="2">
        <v>1</v>
      </c>
      <c r="F7054" s="9">
        <v>73</v>
      </c>
      <c r="G7054" s="8">
        <f t="shared" si="218"/>
        <v>4.6964115805785118</v>
      </c>
      <c r="H7054" s="8">
        <v>4.472772933884297</v>
      </c>
      <c r="I7054" s="19">
        <f t="shared" si="219"/>
        <v>342.83804538223137</v>
      </c>
    </row>
    <row r="7055" spans="1:9">
      <c r="A7055" s="11" t="s">
        <v>11260</v>
      </c>
      <c r="B7055" s="2" t="s">
        <v>11884</v>
      </c>
      <c r="C7055" s="2" t="s">
        <v>11885</v>
      </c>
      <c r="D7055" s="2"/>
      <c r="E7055" s="2">
        <v>1</v>
      </c>
      <c r="F7055" s="9">
        <v>94</v>
      </c>
      <c r="G7055" s="8">
        <f t="shared" si="218"/>
        <v>5.129062691943127</v>
      </c>
      <c r="H7055" s="8">
        <v>4.8848216113744067</v>
      </c>
      <c r="I7055" s="19">
        <f t="shared" si="219"/>
        <v>482.13189304265393</v>
      </c>
    </row>
    <row r="7056" spans="1:9">
      <c r="A7056" s="11" t="s">
        <v>11260</v>
      </c>
      <c r="B7056" s="2" t="s">
        <v>11886</v>
      </c>
      <c r="C7056" s="2" t="s">
        <v>11887</v>
      </c>
      <c r="D7056" s="2"/>
      <c r="E7056" s="2">
        <v>1</v>
      </c>
      <c r="F7056" s="9">
        <v>47</v>
      </c>
      <c r="G7056" s="8">
        <f t="shared" si="218"/>
        <v>8.5932665158371044</v>
      </c>
      <c r="H7056" s="8">
        <v>8.1840633484162897</v>
      </c>
      <c r="I7056" s="19">
        <f t="shared" si="219"/>
        <v>403.8835262443439</v>
      </c>
    </row>
    <row r="7057" spans="1:9" hidden="1">
      <c r="A7057" s="11" t="s">
        <v>11260</v>
      </c>
      <c r="B7057" s="2" t="s">
        <v>11888</v>
      </c>
      <c r="C7057" s="2" t="s">
        <v>11889</v>
      </c>
      <c r="D7057" s="2" t="s">
        <v>812</v>
      </c>
      <c r="E7057" s="2">
        <v>1</v>
      </c>
      <c r="F7057" s="9"/>
      <c r="G7057" s="8">
        <f t="shared" si="218"/>
        <v>31.458000000000002</v>
      </c>
      <c r="H7057" s="16">
        <v>29.96</v>
      </c>
      <c r="I7057" s="19">
        <f t="shared" si="219"/>
        <v>0</v>
      </c>
    </row>
    <row r="7058" spans="1:9" hidden="1">
      <c r="A7058" s="11" t="s">
        <v>11260</v>
      </c>
      <c r="B7058" s="2" t="s">
        <v>11890</v>
      </c>
      <c r="C7058" s="2" t="s">
        <v>11891</v>
      </c>
      <c r="D7058" s="2" t="s">
        <v>572</v>
      </c>
      <c r="E7058" s="2">
        <v>1</v>
      </c>
      <c r="F7058" s="9"/>
      <c r="G7058" s="8">
        <f t="shared" si="218"/>
        <v>0.76649999999999996</v>
      </c>
      <c r="H7058" s="16">
        <v>0.73</v>
      </c>
      <c r="I7058" s="19">
        <f t="shared" si="219"/>
        <v>0</v>
      </c>
    </row>
    <row r="7059" spans="1:9" hidden="1">
      <c r="A7059" s="11" t="s">
        <v>11260</v>
      </c>
      <c r="B7059" s="2" t="s">
        <v>11892</v>
      </c>
      <c r="C7059" s="2" t="s">
        <v>11893</v>
      </c>
      <c r="D7059" s="2"/>
      <c r="E7059" s="2">
        <v>1</v>
      </c>
      <c r="F7059" s="9"/>
      <c r="G7059" s="8">
        <f t="shared" si="218"/>
        <v>3.0496200000000004</v>
      </c>
      <c r="H7059" s="8">
        <v>2.9044000000000003</v>
      </c>
      <c r="I7059" s="19">
        <f t="shared" si="219"/>
        <v>0</v>
      </c>
    </row>
    <row r="7060" spans="1:9" hidden="1">
      <c r="A7060" s="11" t="s">
        <v>11260</v>
      </c>
      <c r="B7060" s="2" t="s">
        <v>11894</v>
      </c>
      <c r="C7060" s="2" t="s">
        <v>11895</v>
      </c>
      <c r="D7060" s="2"/>
      <c r="E7060" s="2">
        <v>1</v>
      </c>
      <c r="F7060" s="9"/>
      <c r="G7060" s="8">
        <f t="shared" ref="G7060:G7123" si="220">H7060+(H7060*5%)</f>
        <v>2.2593899999999998</v>
      </c>
      <c r="H7060" s="8">
        <v>2.1517999999999997</v>
      </c>
      <c r="I7060" s="19">
        <f t="shared" ref="I7060:I7123" si="221">G7060*F7060</f>
        <v>0</v>
      </c>
    </row>
    <row r="7061" spans="1:9" hidden="1">
      <c r="A7061" s="11" t="s">
        <v>11260</v>
      </c>
      <c r="B7061" s="2" t="s">
        <v>11896</v>
      </c>
      <c r="C7061" s="2" t="s">
        <v>11897</v>
      </c>
      <c r="D7061" s="2" t="s">
        <v>812</v>
      </c>
      <c r="E7061" s="2">
        <v>1</v>
      </c>
      <c r="F7061" s="9"/>
      <c r="G7061" s="8">
        <f t="shared" si="220"/>
        <v>351.88650000000001</v>
      </c>
      <c r="H7061" s="16">
        <v>335.13</v>
      </c>
      <c r="I7061" s="19">
        <f t="shared" si="221"/>
        <v>0</v>
      </c>
    </row>
    <row r="7062" spans="1:9" hidden="1">
      <c r="A7062" s="11" t="s">
        <v>11260</v>
      </c>
      <c r="B7062" s="2" t="s">
        <v>11898</v>
      </c>
      <c r="C7062" s="2" t="s">
        <v>11899</v>
      </c>
      <c r="D7062" s="2"/>
      <c r="E7062" s="2">
        <v>1</v>
      </c>
      <c r="F7062" s="9"/>
      <c r="G7062" s="8">
        <f t="shared" si="220"/>
        <v>12.206438238341971</v>
      </c>
      <c r="H7062" s="8">
        <v>11.625179274611401</v>
      </c>
      <c r="I7062" s="19">
        <f t="shared" si="221"/>
        <v>0</v>
      </c>
    </row>
    <row r="7063" spans="1:9" hidden="1">
      <c r="A7063" s="11" t="s">
        <v>11260</v>
      </c>
      <c r="B7063" s="2" t="s">
        <v>11900</v>
      </c>
      <c r="C7063" s="2" t="s">
        <v>11901</v>
      </c>
      <c r="D7063" s="2"/>
      <c r="E7063" s="2">
        <v>1</v>
      </c>
      <c r="F7063" s="9"/>
      <c r="G7063" s="8">
        <f t="shared" si="220"/>
        <v>18.236389062499999</v>
      </c>
      <c r="H7063" s="8">
        <v>17.367989583333333</v>
      </c>
      <c r="I7063" s="19">
        <f t="shared" si="221"/>
        <v>0</v>
      </c>
    </row>
    <row r="7064" spans="1:9" hidden="1">
      <c r="A7064" s="11" t="s">
        <v>11260</v>
      </c>
      <c r="B7064" s="2" t="s">
        <v>11902</v>
      </c>
      <c r="C7064" s="2" t="s">
        <v>11903</v>
      </c>
      <c r="D7064" s="2"/>
      <c r="E7064" s="2">
        <v>1</v>
      </c>
      <c r="F7064" s="9"/>
      <c r="G7064" s="8">
        <f t="shared" si="220"/>
        <v>16.497296650782843</v>
      </c>
      <c r="H7064" s="8">
        <v>15.711711095983661</v>
      </c>
      <c r="I7064" s="19">
        <f t="shared" si="221"/>
        <v>0</v>
      </c>
    </row>
    <row r="7065" spans="1:9" hidden="1">
      <c r="A7065" s="11" t="s">
        <v>11260</v>
      </c>
      <c r="B7065" s="2" t="s">
        <v>11904</v>
      </c>
      <c r="C7065" s="2" t="s">
        <v>11905</v>
      </c>
      <c r="D7065" s="2"/>
      <c r="E7065" s="2">
        <v>1</v>
      </c>
      <c r="F7065" s="9"/>
      <c r="G7065" s="8">
        <f t="shared" si="220"/>
        <v>20.562037741424799</v>
      </c>
      <c r="H7065" s="8">
        <v>19.582893087071238</v>
      </c>
      <c r="I7065" s="19">
        <f t="shared" si="221"/>
        <v>0</v>
      </c>
    </row>
    <row r="7066" spans="1:9" hidden="1">
      <c r="A7066" s="11" t="s">
        <v>11260</v>
      </c>
      <c r="B7066" s="2" t="s">
        <v>11906</v>
      </c>
      <c r="C7066" s="2" t="s">
        <v>11907</v>
      </c>
      <c r="D7066" s="2"/>
      <c r="E7066" s="2">
        <v>1</v>
      </c>
      <c r="F7066" s="9"/>
      <c r="G7066" s="8">
        <f t="shared" si="220"/>
        <v>24.608922125949093</v>
      </c>
      <c r="H7066" s="8">
        <v>23.437068691380087</v>
      </c>
      <c r="I7066" s="19">
        <f t="shared" si="221"/>
        <v>0</v>
      </c>
    </row>
    <row r="7067" spans="1:9" hidden="1">
      <c r="A7067" s="11" t="s">
        <v>11260</v>
      </c>
      <c r="B7067" s="2" t="s">
        <v>11908</v>
      </c>
      <c r="C7067" s="2" t="s">
        <v>11909</v>
      </c>
      <c r="D7067" s="2"/>
      <c r="E7067" s="2">
        <v>1</v>
      </c>
      <c r="F7067" s="9"/>
      <c r="G7067" s="8">
        <f t="shared" si="220"/>
        <v>28.679575052356025</v>
      </c>
      <c r="H7067" s="8">
        <v>27.313881002243832</v>
      </c>
      <c r="I7067" s="19">
        <f t="shared" si="221"/>
        <v>0</v>
      </c>
    </row>
    <row r="7068" spans="1:9" hidden="1">
      <c r="A7068" s="11" t="s">
        <v>11260</v>
      </c>
      <c r="B7068" s="2" t="s">
        <v>11910</v>
      </c>
      <c r="C7068" s="2" t="s">
        <v>11911</v>
      </c>
      <c r="D7068" s="2"/>
      <c r="E7068" s="2">
        <v>1</v>
      </c>
      <c r="F7068" s="9"/>
      <c r="G7068" s="8">
        <f t="shared" si="220"/>
        <v>4.5954136238532106</v>
      </c>
      <c r="H7068" s="8">
        <v>4.3765844036697246</v>
      </c>
      <c r="I7068" s="19">
        <f t="shared" si="221"/>
        <v>0</v>
      </c>
    </row>
    <row r="7069" spans="1:9" hidden="1">
      <c r="A7069" s="11" t="s">
        <v>11260</v>
      </c>
      <c r="B7069" s="2" t="s">
        <v>11912</v>
      </c>
      <c r="C7069" s="2" t="s">
        <v>11913</v>
      </c>
      <c r="D7069" s="2"/>
      <c r="E7069" s="2">
        <v>1</v>
      </c>
      <c r="F7069" s="9"/>
      <c r="G7069" s="8">
        <f t="shared" si="220"/>
        <v>2.6068382359065612</v>
      </c>
      <c r="H7069" s="8">
        <v>2.4827030818157727</v>
      </c>
      <c r="I7069" s="19">
        <f t="shared" si="221"/>
        <v>0</v>
      </c>
    </row>
    <row r="7070" spans="1:9" hidden="1">
      <c r="A7070" s="11" t="s">
        <v>11260</v>
      </c>
      <c r="B7070" s="2" t="s">
        <v>11914</v>
      </c>
      <c r="C7070" s="2" t="s">
        <v>11915</v>
      </c>
      <c r="D7070" s="2"/>
      <c r="E7070" s="2">
        <v>1</v>
      </c>
      <c r="F7070" s="9"/>
      <c r="G7070" s="8">
        <f t="shared" si="220"/>
        <v>5.1302913934426222</v>
      </c>
      <c r="H7070" s="8">
        <v>4.8859918032786878</v>
      </c>
      <c r="I7070" s="19">
        <f t="shared" si="221"/>
        <v>0</v>
      </c>
    </row>
    <row r="7071" spans="1:9" hidden="1">
      <c r="A7071" s="11" t="s">
        <v>11260</v>
      </c>
      <c r="B7071" s="2" t="s">
        <v>11916</v>
      </c>
      <c r="C7071" s="2" t="s">
        <v>11917</v>
      </c>
      <c r="D7071" s="2"/>
      <c r="E7071" s="2">
        <v>1</v>
      </c>
      <c r="F7071" s="9"/>
      <c r="G7071" s="8">
        <f t="shared" si="220"/>
        <v>2.869158431450729</v>
      </c>
      <c r="H7071" s="8">
        <v>2.7325318394768847</v>
      </c>
      <c r="I7071" s="19">
        <f t="shared" si="221"/>
        <v>0</v>
      </c>
    </row>
    <row r="7072" spans="1:9" hidden="1">
      <c r="A7072" s="11" t="s">
        <v>11260</v>
      </c>
      <c r="B7072" s="2" t="s">
        <v>11918</v>
      </c>
      <c r="C7072" s="2" t="s">
        <v>11915</v>
      </c>
      <c r="D7072" s="2"/>
      <c r="E7072" s="2">
        <v>1</v>
      </c>
      <c r="F7072" s="9"/>
      <c r="G7072" s="8">
        <f t="shared" si="220"/>
        <v>5.7411772610294118</v>
      </c>
      <c r="H7072" s="8">
        <v>5.4677878676470586</v>
      </c>
      <c r="I7072" s="19">
        <f t="shared" si="221"/>
        <v>0</v>
      </c>
    </row>
    <row r="7073" spans="1:9" hidden="1">
      <c r="A7073" s="11" t="s">
        <v>11260</v>
      </c>
      <c r="B7073" s="2" t="s">
        <v>11919</v>
      </c>
      <c r="C7073" s="2" t="s">
        <v>11915</v>
      </c>
      <c r="D7073" s="2"/>
      <c r="E7073" s="2">
        <v>1</v>
      </c>
      <c r="F7073" s="9"/>
      <c r="G7073" s="8">
        <f t="shared" si="220"/>
        <v>6.0378064720812183</v>
      </c>
      <c r="H7073" s="8">
        <v>5.7502918781725887</v>
      </c>
      <c r="I7073" s="19">
        <f t="shared" si="221"/>
        <v>0</v>
      </c>
    </row>
    <row r="7074" spans="1:9" hidden="1">
      <c r="A7074" s="11" t="s">
        <v>11260</v>
      </c>
      <c r="B7074" s="2" t="s">
        <v>11920</v>
      </c>
      <c r="C7074" s="2" t="s">
        <v>11915</v>
      </c>
      <c r="D7074" s="2"/>
      <c r="E7074" s="2">
        <v>1</v>
      </c>
      <c r="F7074" s="9"/>
      <c r="G7074" s="8">
        <f t="shared" si="220"/>
        <v>6.6427020000000008</v>
      </c>
      <c r="H7074" s="8">
        <v>6.3263828571428578</v>
      </c>
      <c r="I7074" s="19">
        <f t="shared" si="221"/>
        <v>0</v>
      </c>
    </row>
    <row r="7075" spans="1:9" hidden="1">
      <c r="A7075" s="11" t="s">
        <v>11260</v>
      </c>
      <c r="B7075" s="2" t="s">
        <v>11921</v>
      </c>
      <c r="C7075" s="2" t="s">
        <v>11922</v>
      </c>
      <c r="D7075" s="2"/>
      <c r="E7075" s="2">
        <v>1</v>
      </c>
      <c r="F7075" s="9"/>
      <c r="G7075" s="8">
        <f t="shared" si="220"/>
        <v>7.2457392857142882</v>
      </c>
      <c r="H7075" s="8">
        <v>6.9007040816326555</v>
      </c>
      <c r="I7075" s="19">
        <f t="shared" si="221"/>
        <v>0</v>
      </c>
    </row>
    <row r="7076" spans="1:9" hidden="1">
      <c r="A7076" s="11" t="s">
        <v>11260</v>
      </c>
      <c r="B7076" s="2" t="s">
        <v>11923</v>
      </c>
      <c r="C7076" s="2" t="s">
        <v>11922</v>
      </c>
      <c r="D7076" s="2"/>
      <c r="E7076" s="2">
        <v>1</v>
      </c>
      <c r="F7076" s="9"/>
      <c r="G7076" s="8">
        <f t="shared" si="220"/>
        <v>8.4218852562417865</v>
      </c>
      <c r="H7076" s="8">
        <v>8.0208431011826544</v>
      </c>
      <c r="I7076" s="19">
        <f t="shared" si="221"/>
        <v>0</v>
      </c>
    </row>
    <row r="7077" spans="1:9" hidden="1">
      <c r="A7077" s="11" t="s">
        <v>11260</v>
      </c>
      <c r="B7077" s="2" t="s">
        <v>11924</v>
      </c>
      <c r="C7077" s="2" t="s">
        <v>11925</v>
      </c>
      <c r="D7077" s="2"/>
      <c r="E7077" s="2">
        <v>1</v>
      </c>
      <c r="F7077" s="9"/>
      <c r="G7077" s="8">
        <f t="shared" si="220"/>
        <v>9.6307159953970096</v>
      </c>
      <c r="H7077" s="8">
        <v>9.1721104718066755</v>
      </c>
      <c r="I7077" s="19">
        <f t="shared" si="221"/>
        <v>0</v>
      </c>
    </row>
    <row r="7078" spans="1:9" hidden="1">
      <c r="A7078" s="11" t="s">
        <v>11260</v>
      </c>
      <c r="B7078" s="2" t="s">
        <v>11926</v>
      </c>
      <c r="C7078" s="2" t="s">
        <v>11925</v>
      </c>
      <c r="D7078" s="2"/>
      <c r="E7078" s="2">
        <v>1</v>
      </c>
      <c r="F7078" s="9"/>
      <c r="G7078" s="8">
        <f t="shared" si="220"/>
        <v>10.840210306748469</v>
      </c>
      <c r="H7078" s="8">
        <v>10.324009815950923</v>
      </c>
      <c r="I7078" s="19">
        <f t="shared" si="221"/>
        <v>0</v>
      </c>
    </row>
    <row r="7079" spans="1:9" hidden="1">
      <c r="A7079" s="11" t="s">
        <v>11260</v>
      </c>
      <c r="B7079" s="2" t="s">
        <v>11927</v>
      </c>
      <c r="C7079" s="2" t="s">
        <v>11928</v>
      </c>
      <c r="D7079" s="2"/>
      <c r="E7079" s="2">
        <v>1</v>
      </c>
      <c r="F7079" s="9"/>
      <c r="G7079" s="8">
        <f t="shared" si="220"/>
        <v>12.027465041398345</v>
      </c>
      <c r="H7079" s="8">
        <v>11.454728610855566</v>
      </c>
      <c r="I7079" s="19">
        <f t="shared" si="221"/>
        <v>0</v>
      </c>
    </row>
    <row r="7080" spans="1:9" hidden="1">
      <c r="A7080" s="11" t="s">
        <v>11260</v>
      </c>
      <c r="B7080" s="2" t="s">
        <v>11929</v>
      </c>
      <c r="C7080" s="2" t="s">
        <v>11930</v>
      </c>
      <c r="D7080" s="2"/>
      <c r="E7080" s="2">
        <v>1</v>
      </c>
      <c r="F7080" s="9"/>
      <c r="G7080" s="8">
        <f t="shared" si="220"/>
        <v>7.4583793103448288</v>
      </c>
      <c r="H7080" s="8">
        <v>7.1032183908045985</v>
      </c>
      <c r="I7080" s="19">
        <f t="shared" si="221"/>
        <v>0</v>
      </c>
    </row>
    <row r="7081" spans="1:9" hidden="1">
      <c r="A7081" s="11" t="s">
        <v>11260</v>
      </c>
      <c r="B7081" s="2" t="s">
        <v>11931</v>
      </c>
      <c r="C7081" s="2" t="s">
        <v>11932</v>
      </c>
      <c r="D7081" s="2"/>
      <c r="E7081" s="2">
        <v>1</v>
      </c>
      <c r="F7081" s="9"/>
      <c r="G7081" s="8">
        <f t="shared" si="220"/>
        <v>6.0378064720812175</v>
      </c>
      <c r="H7081" s="8">
        <v>5.7502918781725878</v>
      </c>
      <c r="I7081" s="19">
        <f t="shared" si="221"/>
        <v>0</v>
      </c>
    </row>
    <row r="7082" spans="1:9" hidden="1">
      <c r="A7082" s="11" t="s">
        <v>11260</v>
      </c>
      <c r="B7082" s="2" t="s">
        <v>11933</v>
      </c>
      <c r="C7082" s="2" t="s">
        <v>11934</v>
      </c>
      <c r="D7082" s="2"/>
      <c r="E7082" s="2">
        <v>1</v>
      </c>
      <c r="F7082" s="9"/>
      <c r="G7082" s="8">
        <f t="shared" si="220"/>
        <v>6.4109820422535222</v>
      </c>
      <c r="H7082" s="8">
        <v>6.1056971830985924</v>
      </c>
      <c r="I7082" s="19">
        <f t="shared" si="221"/>
        <v>0</v>
      </c>
    </row>
    <row r="7083" spans="1:9" hidden="1">
      <c r="A7083" s="11" t="s">
        <v>11260</v>
      </c>
      <c r="B7083" s="2" t="s">
        <v>11935</v>
      </c>
      <c r="C7083" s="2" t="s">
        <v>11936</v>
      </c>
      <c r="D7083" s="2"/>
      <c r="E7083" s="2">
        <v>1</v>
      </c>
      <c r="F7083" s="9"/>
      <c r="G7083" s="8">
        <f t="shared" si="220"/>
        <v>6.7963604210526327</v>
      </c>
      <c r="H7083" s="8">
        <v>6.4727242105263167</v>
      </c>
      <c r="I7083" s="19">
        <f t="shared" si="221"/>
        <v>0</v>
      </c>
    </row>
    <row r="7084" spans="1:9" hidden="1">
      <c r="A7084" s="11" t="s">
        <v>11260</v>
      </c>
      <c r="B7084" s="2" t="s">
        <v>11937</v>
      </c>
      <c r="C7084" s="2" t="s">
        <v>11938</v>
      </c>
      <c r="D7084" s="2"/>
      <c r="E7084" s="2">
        <v>1</v>
      </c>
      <c r="F7084" s="9"/>
      <c r="G7084" s="8">
        <f t="shared" si="220"/>
        <v>7.1706815691868755</v>
      </c>
      <c r="H7084" s="8">
        <v>6.8292205420827381</v>
      </c>
      <c r="I7084" s="19">
        <f t="shared" si="221"/>
        <v>0</v>
      </c>
    </row>
    <row r="7085" spans="1:9" hidden="1">
      <c r="A7085" s="11" t="s">
        <v>11260</v>
      </c>
      <c r="B7085" s="2" t="s">
        <v>11939</v>
      </c>
      <c r="C7085" s="2" t="s">
        <v>11940</v>
      </c>
      <c r="D7085" s="2"/>
      <c r="E7085" s="2">
        <v>1</v>
      </c>
      <c r="F7085" s="9"/>
      <c r="G7085" s="8">
        <f t="shared" si="220"/>
        <v>7.5342117162162161</v>
      </c>
      <c r="H7085" s="8">
        <v>7.1754397297297299</v>
      </c>
      <c r="I7085" s="19">
        <f t="shared" si="221"/>
        <v>0</v>
      </c>
    </row>
    <row r="7086" spans="1:9" hidden="1">
      <c r="A7086" s="11" t="s">
        <v>11260</v>
      </c>
      <c r="B7086" s="2" t="s">
        <v>11941</v>
      </c>
      <c r="C7086" s="2" t="s">
        <v>11942</v>
      </c>
      <c r="D7086" s="2"/>
      <c r="E7086" s="2">
        <v>1</v>
      </c>
      <c r="F7086" s="9"/>
      <c r="G7086" s="8">
        <f t="shared" si="220"/>
        <v>8.2930566584463641</v>
      </c>
      <c r="H7086" s="8">
        <v>7.8981491985203469</v>
      </c>
      <c r="I7086" s="19">
        <f t="shared" si="221"/>
        <v>0</v>
      </c>
    </row>
    <row r="7087" spans="1:9" hidden="1">
      <c r="A7087" s="11" t="s">
        <v>11260</v>
      </c>
      <c r="B7087" s="2" t="s">
        <v>11943</v>
      </c>
      <c r="C7087" s="2" t="s">
        <v>11944</v>
      </c>
      <c r="D7087" s="2"/>
      <c r="E7087" s="2">
        <v>1</v>
      </c>
      <c r="F7087" s="9"/>
      <c r="G7087" s="8">
        <f t="shared" si="220"/>
        <v>9.040196627516778</v>
      </c>
      <c r="H7087" s="8">
        <v>8.6097110738255029</v>
      </c>
      <c r="I7087" s="19">
        <f t="shared" si="221"/>
        <v>0</v>
      </c>
    </row>
    <row r="7088" spans="1:9" hidden="1">
      <c r="A7088" s="11" t="s">
        <v>11260</v>
      </c>
      <c r="B7088" s="2" t="s">
        <v>11945</v>
      </c>
      <c r="C7088" s="2" t="s">
        <v>11946</v>
      </c>
      <c r="D7088" s="2"/>
      <c r="E7088" s="2">
        <v>1</v>
      </c>
      <c r="F7088" s="9"/>
      <c r="G7088" s="8">
        <f t="shared" si="220"/>
        <v>10.522073571428569</v>
      </c>
      <c r="H7088" s="8">
        <v>10.02102244897959</v>
      </c>
      <c r="I7088" s="19">
        <f t="shared" si="221"/>
        <v>0</v>
      </c>
    </row>
    <row r="7089" spans="1:9" hidden="1">
      <c r="A7089" s="11" t="s">
        <v>11260</v>
      </c>
      <c r="B7089" s="2" t="s">
        <v>11947</v>
      </c>
      <c r="C7089" s="2" t="s">
        <v>11948</v>
      </c>
      <c r="D7089" s="2"/>
      <c r="E7089" s="2">
        <v>1</v>
      </c>
      <c r="F7089" s="9"/>
      <c r="G7089" s="8">
        <f t="shared" si="220"/>
        <v>13.527007720413026</v>
      </c>
      <c r="H7089" s="8">
        <v>12.882864495631454</v>
      </c>
      <c r="I7089" s="19">
        <f t="shared" si="221"/>
        <v>0</v>
      </c>
    </row>
    <row r="7090" spans="1:9" hidden="1">
      <c r="A7090" s="11" t="s">
        <v>11260</v>
      </c>
      <c r="B7090" s="2" t="s">
        <v>11949</v>
      </c>
      <c r="C7090" s="2" t="s">
        <v>11950</v>
      </c>
      <c r="D7090" s="2"/>
      <c r="E7090" s="2">
        <v>1</v>
      </c>
      <c r="F7090" s="9"/>
      <c r="G7090" s="8">
        <f t="shared" si="220"/>
        <v>15.024103777698356</v>
      </c>
      <c r="H7090" s="8">
        <v>14.308670264474625</v>
      </c>
      <c r="I7090" s="19">
        <f t="shared" si="221"/>
        <v>0</v>
      </c>
    </row>
    <row r="7091" spans="1:9" hidden="1">
      <c r="A7091" s="11" t="s">
        <v>11260</v>
      </c>
      <c r="B7091" s="2" t="s">
        <v>11951</v>
      </c>
      <c r="C7091" s="2" t="s">
        <v>11952</v>
      </c>
      <c r="D7091" s="2"/>
      <c r="E7091" s="2">
        <v>1</v>
      </c>
      <c r="F7091" s="9"/>
      <c r="G7091" s="8">
        <f t="shared" si="220"/>
        <v>18.02871449732303</v>
      </c>
      <c r="H7091" s="8">
        <v>17.170204283164789</v>
      </c>
      <c r="I7091" s="19">
        <f t="shared" si="221"/>
        <v>0</v>
      </c>
    </row>
    <row r="7092" spans="1:9" hidden="1">
      <c r="A7092" s="11" t="s">
        <v>11260</v>
      </c>
      <c r="B7092" s="2" t="s">
        <v>11953</v>
      </c>
      <c r="C7092" s="2" t="s">
        <v>11954</v>
      </c>
      <c r="D7092" s="2"/>
      <c r="E7092" s="2">
        <v>1</v>
      </c>
      <c r="F7092" s="9"/>
      <c r="G7092" s="8">
        <f t="shared" si="220"/>
        <v>3.9056882307692318</v>
      </c>
      <c r="H7092" s="8">
        <v>3.7197030769230777</v>
      </c>
      <c r="I7092" s="19">
        <f t="shared" si="221"/>
        <v>0</v>
      </c>
    </row>
    <row r="7093" spans="1:9" hidden="1">
      <c r="A7093" s="11" t="s">
        <v>11260</v>
      </c>
      <c r="B7093" s="2" t="s">
        <v>11955</v>
      </c>
      <c r="C7093" s="2" t="s">
        <v>11956</v>
      </c>
      <c r="D7093" s="2"/>
      <c r="E7093" s="2">
        <v>1</v>
      </c>
      <c r="F7093" s="9"/>
      <c r="G7093" s="8">
        <f t="shared" si="220"/>
        <v>4.9253164555633857</v>
      </c>
      <c r="H7093" s="8">
        <v>4.6907775767270339</v>
      </c>
      <c r="I7093" s="19">
        <f t="shared" si="221"/>
        <v>0</v>
      </c>
    </row>
    <row r="7094" spans="1:9" hidden="1">
      <c r="A7094" s="11" t="s">
        <v>11260</v>
      </c>
      <c r="B7094" s="2" t="s">
        <v>11957</v>
      </c>
      <c r="C7094" s="2" t="s">
        <v>11958</v>
      </c>
      <c r="D7094" s="2"/>
      <c r="E7094" s="2">
        <v>1</v>
      </c>
      <c r="F7094" s="9"/>
      <c r="G7094" s="8">
        <f t="shared" si="220"/>
        <v>6.0112370519298945</v>
      </c>
      <c r="H7094" s="8">
        <v>5.7249876685046619</v>
      </c>
      <c r="I7094" s="19">
        <f t="shared" si="221"/>
        <v>0</v>
      </c>
    </row>
    <row r="7095" spans="1:9" hidden="1">
      <c r="A7095" s="11" t="s">
        <v>11260</v>
      </c>
      <c r="B7095" s="2" t="s">
        <v>11959</v>
      </c>
      <c r="C7095" s="2" t="s">
        <v>11960</v>
      </c>
      <c r="D7095" s="2"/>
      <c r="E7095" s="2">
        <v>1</v>
      </c>
      <c r="F7095" s="9"/>
      <c r="G7095" s="8">
        <f t="shared" si="220"/>
        <v>8.1663250974567543</v>
      </c>
      <c r="H7095" s="8">
        <v>7.7774524737683377</v>
      </c>
      <c r="I7095" s="19">
        <f t="shared" si="221"/>
        <v>0</v>
      </c>
    </row>
    <row r="7096" spans="1:9" hidden="1">
      <c r="A7096" s="11" t="s">
        <v>11260</v>
      </c>
      <c r="B7096" s="2" t="s">
        <v>11961</v>
      </c>
      <c r="C7096" s="2" t="s">
        <v>11962</v>
      </c>
      <c r="D7096" s="2"/>
      <c r="E7096" s="2">
        <v>1</v>
      </c>
      <c r="F7096" s="9"/>
      <c r="G7096" s="8">
        <f t="shared" si="220"/>
        <v>9.7819686956282546</v>
      </c>
      <c r="H7096" s="8">
        <v>9.3161606625030995</v>
      </c>
      <c r="I7096" s="19">
        <f t="shared" si="221"/>
        <v>0</v>
      </c>
    </row>
    <row r="7097" spans="1:9" hidden="1">
      <c r="A7097" s="11" t="s">
        <v>11260</v>
      </c>
      <c r="B7097" s="2" t="s">
        <v>11963</v>
      </c>
      <c r="C7097" s="2" t="s">
        <v>11964</v>
      </c>
      <c r="D7097" s="2"/>
      <c r="E7097" s="2">
        <v>1</v>
      </c>
      <c r="F7097" s="9"/>
      <c r="G7097" s="8">
        <f t="shared" si="220"/>
        <v>8.6850560581583203</v>
      </c>
      <c r="H7097" s="8">
        <v>8.2714819601507816</v>
      </c>
      <c r="I7097" s="19">
        <f t="shared" si="221"/>
        <v>0</v>
      </c>
    </row>
    <row r="7098" spans="1:9" hidden="1">
      <c r="A7098" s="11" t="s">
        <v>11260</v>
      </c>
      <c r="B7098" s="2" t="s">
        <v>11965</v>
      </c>
      <c r="C7098" s="2" t="s">
        <v>11966</v>
      </c>
      <c r="D7098" s="2"/>
      <c r="E7098" s="2">
        <v>1</v>
      </c>
      <c r="F7098" s="9"/>
      <c r="G7098" s="8">
        <f t="shared" si="220"/>
        <v>10.355828856885688</v>
      </c>
      <c r="H7098" s="8">
        <v>9.862694149414942</v>
      </c>
      <c r="I7098" s="19">
        <f t="shared" si="221"/>
        <v>0</v>
      </c>
    </row>
    <row r="7099" spans="1:9" hidden="1">
      <c r="A7099" s="11" t="s">
        <v>11260</v>
      </c>
      <c r="B7099" s="2" t="s">
        <v>11967</v>
      </c>
      <c r="C7099" s="2" t="s">
        <v>11966</v>
      </c>
      <c r="D7099" s="2"/>
      <c r="E7099" s="2">
        <v>1</v>
      </c>
      <c r="F7099" s="9"/>
      <c r="G7099" s="8">
        <f t="shared" si="220"/>
        <v>14.307921636671416</v>
      </c>
      <c r="H7099" s="8">
        <v>13.626592034925158</v>
      </c>
      <c r="I7099" s="19">
        <f t="shared" si="221"/>
        <v>0</v>
      </c>
    </row>
    <row r="7100" spans="1:9" hidden="1">
      <c r="A7100" s="11" t="s">
        <v>11260</v>
      </c>
      <c r="B7100" s="2" t="s">
        <v>11968</v>
      </c>
      <c r="C7100" s="2" t="s">
        <v>11966</v>
      </c>
      <c r="D7100" s="2"/>
      <c r="E7100" s="2">
        <v>1</v>
      </c>
      <c r="F7100" s="9"/>
      <c r="G7100" s="8">
        <f t="shared" si="220"/>
        <v>16.974645316226944</v>
      </c>
      <c r="H7100" s="8">
        <v>16.166328872597088</v>
      </c>
      <c r="I7100" s="19">
        <f t="shared" si="221"/>
        <v>0</v>
      </c>
    </row>
    <row r="7101" spans="1:9" hidden="1">
      <c r="A7101" s="11" t="s">
        <v>11260</v>
      </c>
      <c r="B7101" s="2" t="s">
        <v>11969</v>
      </c>
      <c r="C7101" s="2" t="s">
        <v>11970</v>
      </c>
      <c r="D7101" s="2"/>
      <c r="E7101" s="2">
        <v>1</v>
      </c>
      <c r="F7101" s="9"/>
      <c r="G7101" s="8">
        <f t="shared" si="220"/>
        <v>26.227433065642458</v>
      </c>
      <c r="H7101" s="8">
        <v>24.978507681564246</v>
      </c>
      <c r="I7101" s="19">
        <f t="shared" si="221"/>
        <v>0</v>
      </c>
    </row>
    <row r="7102" spans="1:9" hidden="1">
      <c r="A7102" s="11" t="s">
        <v>11260</v>
      </c>
      <c r="B7102" s="2" t="s">
        <v>11971</v>
      </c>
      <c r="C7102" s="2" t="s">
        <v>11972</v>
      </c>
      <c r="D7102" s="2"/>
      <c r="E7102" s="2">
        <v>1</v>
      </c>
      <c r="F7102" s="9"/>
      <c r="G7102" s="8">
        <f t="shared" si="220"/>
        <v>10.46828894153226</v>
      </c>
      <c r="H7102" s="8">
        <v>9.9697989919354857</v>
      </c>
      <c r="I7102" s="19">
        <f t="shared" si="221"/>
        <v>0</v>
      </c>
    </row>
    <row r="7103" spans="1:9" hidden="1">
      <c r="A7103" s="11" t="s">
        <v>11260</v>
      </c>
      <c r="B7103" s="2" t="s">
        <v>11973</v>
      </c>
      <c r="C7103" s="2" t="s">
        <v>11974</v>
      </c>
      <c r="D7103" s="2"/>
      <c r="E7103" s="2">
        <v>1</v>
      </c>
      <c r="F7103" s="9"/>
      <c r="G7103" s="8">
        <f t="shared" si="220"/>
        <v>0.55649999999999999</v>
      </c>
      <c r="H7103" s="8">
        <v>0.53</v>
      </c>
      <c r="I7103" s="19">
        <f t="shared" si="221"/>
        <v>0</v>
      </c>
    </row>
    <row r="7104" spans="1:9" hidden="1">
      <c r="A7104" s="11" t="s">
        <v>11260</v>
      </c>
      <c r="B7104" s="2" t="s">
        <v>11975</v>
      </c>
      <c r="C7104" s="2" t="s">
        <v>11976</v>
      </c>
      <c r="D7104" s="2"/>
      <c r="E7104" s="2">
        <v>1</v>
      </c>
      <c r="F7104" s="9"/>
      <c r="G7104" s="8">
        <f t="shared" si="220"/>
        <v>115.34624432614361</v>
      </c>
      <c r="H7104" s="8">
        <v>109.85356602489867</v>
      </c>
      <c r="I7104" s="19">
        <f t="shared" si="221"/>
        <v>0</v>
      </c>
    </row>
    <row r="7105" spans="1:9" hidden="1">
      <c r="A7105" s="11" t="s">
        <v>11260</v>
      </c>
      <c r="B7105" s="2" t="s">
        <v>11977</v>
      </c>
      <c r="C7105" s="2" t="s">
        <v>11978</v>
      </c>
      <c r="D7105" s="2"/>
      <c r="E7105" s="2">
        <v>1</v>
      </c>
      <c r="F7105" s="9"/>
      <c r="G7105" s="8">
        <f t="shared" si="220"/>
        <v>75.031539635967292</v>
      </c>
      <c r="H7105" s="8">
        <v>71.458609177111711</v>
      </c>
      <c r="I7105" s="19">
        <f t="shared" si="221"/>
        <v>0</v>
      </c>
    </row>
    <row r="7106" spans="1:9" hidden="1">
      <c r="A7106" s="11" t="s">
        <v>11260</v>
      </c>
      <c r="B7106" s="2" t="s">
        <v>11979</v>
      </c>
      <c r="C7106" s="2" t="s">
        <v>11980</v>
      </c>
      <c r="D7106" s="2"/>
      <c r="E7106" s="2">
        <v>1</v>
      </c>
      <c r="F7106" s="9"/>
      <c r="G7106" s="8">
        <f t="shared" si="220"/>
        <v>81.107355234803819</v>
      </c>
      <c r="H7106" s="8">
        <v>77.245100223622686</v>
      </c>
      <c r="I7106" s="19">
        <f t="shared" si="221"/>
        <v>0</v>
      </c>
    </row>
    <row r="7107" spans="1:9" hidden="1">
      <c r="A7107" s="11" t="s">
        <v>11260</v>
      </c>
      <c r="B7107" s="2" t="s">
        <v>11981</v>
      </c>
      <c r="C7107" s="2" t="s">
        <v>11982</v>
      </c>
      <c r="D7107" s="2"/>
      <c r="E7107" s="2">
        <v>1</v>
      </c>
      <c r="F7107" s="9"/>
      <c r="G7107" s="8">
        <f t="shared" si="220"/>
        <v>87.198738318255394</v>
      </c>
      <c r="H7107" s="8">
        <v>83.046417445957516</v>
      </c>
      <c r="I7107" s="19">
        <f t="shared" si="221"/>
        <v>0</v>
      </c>
    </row>
    <row r="7108" spans="1:9" hidden="1">
      <c r="A7108" s="11" t="s">
        <v>11260</v>
      </c>
      <c r="B7108" s="2" t="s">
        <v>11983</v>
      </c>
      <c r="C7108" s="2" t="s">
        <v>11984</v>
      </c>
      <c r="D7108" s="2"/>
      <c r="E7108" s="2">
        <v>1</v>
      </c>
      <c r="F7108" s="9"/>
      <c r="G7108" s="8">
        <f t="shared" si="220"/>
        <v>93.319637453641519</v>
      </c>
      <c r="H7108" s="8">
        <v>88.875845193944301</v>
      </c>
      <c r="I7108" s="19">
        <f t="shared" si="221"/>
        <v>0</v>
      </c>
    </row>
    <row r="7109" spans="1:9" hidden="1">
      <c r="A7109" s="11" t="s">
        <v>11260</v>
      </c>
      <c r="B7109" s="2" t="s">
        <v>11985</v>
      </c>
      <c r="C7109" s="2" t="s">
        <v>11986</v>
      </c>
      <c r="D7109" s="2"/>
      <c r="E7109" s="2">
        <v>1</v>
      </c>
      <c r="F7109" s="9"/>
      <c r="G7109" s="8">
        <f t="shared" si="220"/>
        <v>99.442393065539122</v>
      </c>
      <c r="H7109" s="8">
        <v>94.707041014799159</v>
      </c>
      <c r="I7109" s="19">
        <f t="shared" si="221"/>
        <v>0</v>
      </c>
    </row>
    <row r="7110" spans="1:9" hidden="1">
      <c r="A7110" s="11" t="s">
        <v>11260</v>
      </c>
      <c r="B7110" s="2" t="s">
        <v>11987</v>
      </c>
      <c r="C7110" s="2" t="s">
        <v>11988</v>
      </c>
      <c r="D7110" s="2"/>
      <c r="E7110" s="2">
        <v>1</v>
      </c>
      <c r="F7110" s="9"/>
      <c r="G7110" s="8">
        <f t="shared" si="220"/>
        <v>105.50632659753366</v>
      </c>
      <c r="H7110" s="8">
        <v>100.48221580717491</v>
      </c>
      <c r="I7110" s="19">
        <f t="shared" si="221"/>
        <v>0</v>
      </c>
    </row>
    <row r="7111" spans="1:9" hidden="1">
      <c r="A7111" s="11" t="s">
        <v>11260</v>
      </c>
      <c r="B7111" s="2" t="s">
        <v>11989</v>
      </c>
      <c r="C7111" s="2" t="s">
        <v>11990</v>
      </c>
      <c r="D7111" s="2"/>
      <c r="E7111" s="2">
        <v>1</v>
      </c>
      <c r="F7111" s="9"/>
      <c r="G7111" s="8">
        <f t="shared" si="220"/>
        <v>5.1758475000000006</v>
      </c>
      <c r="H7111" s="8">
        <v>4.9293785714285718</v>
      </c>
      <c r="I7111" s="19">
        <f t="shared" si="221"/>
        <v>0</v>
      </c>
    </row>
    <row r="7112" spans="1:9" hidden="1">
      <c r="A7112" s="11" t="s">
        <v>11260</v>
      </c>
      <c r="B7112" s="2" t="s">
        <v>11991</v>
      </c>
      <c r="C7112" s="2" t="s">
        <v>11992</v>
      </c>
      <c r="D7112" s="2"/>
      <c r="E7112" s="2">
        <v>1</v>
      </c>
      <c r="F7112" s="9"/>
      <c r="G7112" s="8">
        <f t="shared" si="220"/>
        <v>7.6639127659574466</v>
      </c>
      <c r="H7112" s="8">
        <v>7.2989645390070921</v>
      </c>
      <c r="I7112" s="19">
        <f t="shared" si="221"/>
        <v>0</v>
      </c>
    </row>
    <row r="7113" spans="1:9" hidden="1">
      <c r="A7113" s="11" t="s">
        <v>11260</v>
      </c>
      <c r="B7113" s="2" t="s">
        <v>11993</v>
      </c>
      <c r="C7113" s="2" t="s">
        <v>11994</v>
      </c>
      <c r="D7113" s="2"/>
      <c r="E7113" s="2">
        <v>1</v>
      </c>
      <c r="F7113" s="9"/>
      <c r="G7113" s="8">
        <f t="shared" si="220"/>
        <v>4.9984346086956526</v>
      </c>
      <c r="H7113" s="8">
        <v>4.7604139130434788</v>
      </c>
      <c r="I7113" s="19">
        <f t="shared" si="221"/>
        <v>0</v>
      </c>
    </row>
    <row r="7114" spans="1:9" hidden="1">
      <c r="A7114" s="11" t="s">
        <v>11260</v>
      </c>
      <c r="B7114" s="2" t="s">
        <v>11995</v>
      </c>
      <c r="C7114" s="2" t="s">
        <v>11996</v>
      </c>
      <c r="D7114" s="2"/>
      <c r="E7114" s="2">
        <v>1</v>
      </c>
      <c r="F7114" s="9"/>
      <c r="G7114" s="8">
        <f t="shared" si="220"/>
        <v>7.4976519130434767</v>
      </c>
      <c r="H7114" s="8">
        <v>7.1406208695652156</v>
      </c>
      <c r="I7114" s="19">
        <f t="shared" si="221"/>
        <v>0</v>
      </c>
    </row>
    <row r="7115" spans="1:9" hidden="1">
      <c r="A7115" s="11" t="s">
        <v>11260</v>
      </c>
      <c r="B7115" s="2" t="s">
        <v>11997</v>
      </c>
      <c r="C7115" s="2" t="s">
        <v>11998</v>
      </c>
      <c r="D7115" s="2"/>
      <c r="E7115" s="2">
        <v>1</v>
      </c>
      <c r="F7115" s="9"/>
      <c r="G7115" s="8">
        <f t="shared" si="220"/>
        <v>5.1758475000000006</v>
      </c>
      <c r="H7115" s="8">
        <v>4.9293785714285718</v>
      </c>
      <c r="I7115" s="19">
        <f t="shared" si="221"/>
        <v>0</v>
      </c>
    </row>
    <row r="7116" spans="1:9" hidden="1">
      <c r="A7116" s="11" t="s">
        <v>11260</v>
      </c>
      <c r="B7116" s="2" t="s">
        <v>11999</v>
      </c>
      <c r="C7116" s="2" t="s">
        <v>12000</v>
      </c>
      <c r="D7116" s="2"/>
      <c r="E7116" s="2">
        <v>1</v>
      </c>
      <c r="F7116" s="9"/>
      <c r="G7116" s="8">
        <f t="shared" si="220"/>
        <v>7.6639127659574466</v>
      </c>
      <c r="H7116" s="8">
        <v>7.2989645390070921</v>
      </c>
      <c r="I7116" s="19">
        <f t="shared" si="221"/>
        <v>0</v>
      </c>
    </row>
    <row r="7117" spans="1:9" hidden="1">
      <c r="A7117" s="11" t="s">
        <v>11260</v>
      </c>
      <c r="B7117" s="2" t="s">
        <v>12001</v>
      </c>
      <c r="C7117" s="2" t="s">
        <v>12002</v>
      </c>
      <c r="D7117" s="2"/>
      <c r="E7117" s="2">
        <v>1</v>
      </c>
      <c r="F7117" s="9"/>
      <c r="G7117" s="8">
        <f t="shared" si="220"/>
        <v>15.140239145728646</v>
      </c>
      <c r="H7117" s="8">
        <v>14.419275376884425</v>
      </c>
      <c r="I7117" s="19">
        <f t="shared" si="221"/>
        <v>0</v>
      </c>
    </row>
    <row r="7118" spans="1:9" hidden="1">
      <c r="A7118" s="11" t="s">
        <v>11260</v>
      </c>
      <c r="B7118" s="2" t="s">
        <v>12003</v>
      </c>
      <c r="C7118" s="2" t="s">
        <v>12004</v>
      </c>
      <c r="D7118" s="2"/>
      <c r="E7118" s="2">
        <v>1</v>
      </c>
      <c r="F7118" s="9"/>
      <c r="G7118" s="8">
        <f t="shared" si="220"/>
        <v>14.073476756756758</v>
      </c>
      <c r="H7118" s="8">
        <v>13.403311196911199</v>
      </c>
      <c r="I7118" s="19">
        <f t="shared" si="221"/>
        <v>0</v>
      </c>
    </row>
    <row r="7119" spans="1:9" hidden="1">
      <c r="A7119" s="11" t="s">
        <v>11260</v>
      </c>
      <c r="B7119" s="2" t="s">
        <v>12005</v>
      </c>
      <c r="C7119" s="2" t="s">
        <v>12006</v>
      </c>
      <c r="D7119" s="2"/>
      <c r="E7119" s="2">
        <v>1</v>
      </c>
      <c r="F7119" s="9"/>
      <c r="G7119" s="8">
        <f t="shared" si="220"/>
        <v>14.073476756756758</v>
      </c>
      <c r="H7119" s="8">
        <v>13.403311196911199</v>
      </c>
      <c r="I7119" s="19">
        <f t="shared" si="221"/>
        <v>0</v>
      </c>
    </row>
    <row r="7120" spans="1:9" hidden="1">
      <c r="A7120" s="11" t="s">
        <v>11260</v>
      </c>
      <c r="B7120" s="2" t="s">
        <v>12007</v>
      </c>
      <c r="C7120" s="2" t="s">
        <v>12008</v>
      </c>
      <c r="D7120" s="2"/>
      <c r="E7120" s="2">
        <v>1</v>
      </c>
      <c r="F7120" s="9"/>
      <c r="G7120" s="8">
        <f t="shared" si="220"/>
        <v>1067.9589122813445</v>
      </c>
      <c r="H7120" s="8">
        <v>1017.1037259822328</v>
      </c>
      <c r="I7120" s="19">
        <f t="shared" si="221"/>
        <v>0</v>
      </c>
    </row>
    <row r="7121" spans="1:9" hidden="1">
      <c r="A7121" s="11" t="s">
        <v>11260</v>
      </c>
      <c r="B7121" s="2" t="s">
        <v>12009</v>
      </c>
      <c r="C7121" s="2" t="s">
        <v>12010</v>
      </c>
      <c r="D7121" s="2"/>
      <c r="E7121" s="2">
        <v>1</v>
      </c>
      <c r="F7121" s="9"/>
      <c r="G7121" s="8">
        <f t="shared" si="220"/>
        <v>912.00197759199227</v>
      </c>
      <c r="H7121" s="8">
        <v>868.57331199237365</v>
      </c>
      <c r="I7121" s="19">
        <f t="shared" si="221"/>
        <v>0</v>
      </c>
    </row>
    <row r="7122" spans="1:9" hidden="1">
      <c r="A7122" s="11" t="s">
        <v>11260</v>
      </c>
      <c r="B7122" s="2" t="s">
        <v>12011</v>
      </c>
      <c r="C7122" s="2" t="s">
        <v>12012</v>
      </c>
      <c r="D7122" s="2"/>
      <c r="E7122" s="2">
        <v>1</v>
      </c>
      <c r="F7122" s="9"/>
      <c r="G7122" s="8">
        <f t="shared" si="220"/>
        <v>908.28950048265733</v>
      </c>
      <c r="H7122" s="8">
        <v>865.03761950729267</v>
      </c>
      <c r="I7122" s="19">
        <f t="shared" si="221"/>
        <v>0</v>
      </c>
    </row>
    <row r="7123" spans="1:9" hidden="1">
      <c r="A7123" s="11" t="s">
        <v>11260</v>
      </c>
      <c r="B7123" s="2" t="s">
        <v>12013</v>
      </c>
      <c r="C7123" s="2" t="s">
        <v>12014</v>
      </c>
      <c r="D7123" s="2"/>
      <c r="E7123" s="2">
        <v>1</v>
      </c>
      <c r="F7123" s="9"/>
      <c r="G7123" s="8">
        <f t="shared" si="220"/>
        <v>752.33256577418115</v>
      </c>
      <c r="H7123" s="8">
        <v>716.50720549922016</v>
      </c>
      <c r="I7123" s="19">
        <f t="shared" si="221"/>
        <v>0</v>
      </c>
    </row>
    <row r="7124" spans="1:9" hidden="1">
      <c r="A7124" s="11" t="s">
        <v>11260</v>
      </c>
      <c r="B7124" s="2" t="s">
        <v>12015</v>
      </c>
      <c r="C7124" s="2" t="s">
        <v>12016</v>
      </c>
      <c r="D7124" s="2"/>
      <c r="E7124" s="2">
        <v>1</v>
      </c>
      <c r="F7124" s="9"/>
      <c r="G7124" s="8">
        <f t="shared" ref="G7124:G7187" si="222">H7124+(H7124*5%)</f>
        <v>1018.7738693993279</v>
      </c>
      <c r="H7124" s="8">
        <v>970.26082799935989</v>
      </c>
      <c r="I7124" s="19">
        <f t="shared" ref="I7124:I7187" si="223">G7124*F7124</f>
        <v>0</v>
      </c>
    </row>
    <row r="7125" spans="1:9" hidden="1">
      <c r="A7125" s="11" t="s">
        <v>11260</v>
      </c>
      <c r="B7125" s="2" t="s">
        <v>12017</v>
      </c>
      <c r="C7125" s="2" t="s">
        <v>12018</v>
      </c>
      <c r="D7125" s="2"/>
      <c r="E7125" s="2">
        <v>1</v>
      </c>
      <c r="F7125" s="9"/>
      <c r="G7125" s="8">
        <f t="shared" si="222"/>
        <v>862.81693470111077</v>
      </c>
      <c r="H7125" s="8">
        <v>821.73041400105785</v>
      </c>
      <c r="I7125" s="19">
        <f t="shared" si="223"/>
        <v>0</v>
      </c>
    </row>
    <row r="7126" spans="1:9" hidden="1">
      <c r="A7126" s="11" t="s">
        <v>11260</v>
      </c>
      <c r="B7126" s="2" t="s">
        <v>12019</v>
      </c>
      <c r="C7126" s="2" t="s">
        <v>12020</v>
      </c>
      <c r="D7126" s="2"/>
      <c r="E7126" s="2">
        <v>1</v>
      </c>
      <c r="F7126" s="9"/>
      <c r="G7126" s="8">
        <f t="shared" si="222"/>
        <v>1067.9589122813445</v>
      </c>
      <c r="H7126" s="8">
        <v>1017.1037259822328</v>
      </c>
      <c r="I7126" s="19">
        <f t="shared" si="223"/>
        <v>0</v>
      </c>
    </row>
    <row r="7127" spans="1:9" hidden="1">
      <c r="A7127" s="11" t="s">
        <v>11260</v>
      </c>
      <c r="B7127" s="2" t="s">
        <v>12021</v>
      </c>
      <c r="C7127" s="2" t="s">
        <v>12022</v>
      </c>
      <c r="D7127" s="2"/>
      <c r="E7127" s="2">
        <v>1</v>
      </c>
      <c r="F7127" s="9"/>
      <c r="G7127" s="8">
        <f t="shared" si="222"/>
        <v>912.00197759199227</v>
      </c>
      <c r="H7127" s="8">
        <v>868.57331199237365</v>
      </c>
      <c r="I7127" s="19">
        <f t="shared" si="223"/>
        <v>0</v>
      </c>
    </row>
    <row r="7128" spans="1:9" hidden="1">
      <c r="A7128" s="11" t="s">
        <v>11260</v>
      </c>
      <c r="B7128" s="2" t="s">
        <v>12023</v>
      </c>
      <c r="C7128" s="2" t="s">
        <v>12024</v>
      </c>
      <c r="D7128" s="2"/>
      <c r="E7128" s="2">
        <v>1</v>
      </c>
      <c r="F7128" s="9"/>
      <c r="G7128" s="8">
        <f t="shared" si="222"/>
        <v>908.28950048265733</v>
      </c>
      <c r="H7128" s="8">
        <v>865.03761950729267</v>
      </c>
      <c r="I7128" s="19">
        <f t="shared" si="223"/>
        <v>0</v>
      </c>
    </row>
    <row r="7129" spans="1:9" hidden="1">
      <c r="A7129" s="11" t="s">
        <v>11260</v>
      </c>
      <c r="B7129" s="2" t="s">
        <v>12025</v>
      </c>
      <c r="C7129" s="2" t="s">
        <v>12026</v>
      </c>
      <c r="D7129" s="2"/>
      <c r="E7129" s="2">
        <v>1</v>
      </c>
      <c r="F7129" s="9"/>
      <c r="G7129" s="8">
        <f t="shared" si="222"/>
        <v>752.33256577418115</v>
      </c>
      <c r="H7129" s="8">
        <v>716.50720549922016</v>
      </c>
      <c r="I7129" s="19">
        <f t="shared" si="223"/>
        <v>0</v>
      </c>
    </row>
    <row r="7130" spans="1:9" hidden="1">
      <c r="A7130" s="11" t="s">
        <v>11260</v>
      </c>
      <c r="B7130" s="2" t="s">
        <v>12027</v>
      </c>
      <c r="C7130" s="2" t="s">
        <v>12028</v>
      </c>
      <c r="D7130" s="2"/>
      <c r="E7130" s="2">
        <v>1</v>
      </c>
      <c r="F7130" s="9"/>
      <c r="G7130" s="8">
        <f t="shared" si="222"/>
        <v>1018.7738693993279</v>
      </c>
      <c r="H7130" s="8">
        <v>970.26082799935989</v>
      </c>
      <c r="I7130" s="19">
        <f t="shared" si="223"/>
        <v>0</v>
      </c>
    </row>
    <row r="7131" spans="1:9" hidden="1">
      <c r="A7131" s="11" t="s">
        <v>11260</v>
      </c>
      <c r="B7131" s="2" t="s">
        <v>12029</v>
      </c>
      <c r="C7131" s="2" t="s">
        <v>12030</v>
      </c>
      <c r="D7131" s="2"/>
      <c r="E7131" s="2">
        <v>1</v>
      </c>
      <c r="F7131" s="9"/>
      <c r="G7131" s="8">
        <f t="shared" si="222"/>
        <v>862.81693470111077</v>
      </c>
      <c r="H7131" s="8">
        <v>821.73041400105785</v>
      </c>
      <c r="I7131" s="19">
        <f t="shared" si="223"/>
        <v>0</v>
      </c>
    </row>
    <row r="7132" spans="1:9" hidden="1">
      <c r="A7132" s="11" t="s">
        <v>11260</v>
      </c>
      <c r="B7132" s="2" t="s">
        <v>12031</v>
      </c>
      <c r="C7132" s="2" t="s">
        <v>12008</v>
      </c>
      <c r="D7132" s="2"/>
      <c r="E7132" s="2">
        <v>1</v>
      </c>
      <c r="F7132" s="9"/>
      <c r="G7132" s="8">
        <f t="shared" si="222"/>
        <v>1105.8615214567894</v>
      </c>
      <c r="H7132" s="8">
        <v>1053.2014490064662</v>
      </c>
      <c r="I7132" s="19">
        <f t="shared" si="223"/>
        <v>0</v>
      </c>
    </row>
    <row r="7133" spans="1:9" hidden="1">
      <c r="A7133" s="11" t="s">
        <v>11260</v>
      </c>
      <c r="B7133" s="2" t="s">
        <v>12032</v>
      </c>
      <c r="C7133" s="2" t="s">
        <v>12033</v>
      </c>
      <c r="D7133" s="2"/>
      <c r="E7133" s="2">
        <v>1</v>
      </c>
      <c r="F7133" s="9"/>
      <c r="G7133" s="8">
        <f t="shared" si="222"/>
        <v>949.89408674705703</v>
      </c>
      <c r="H7133" s="8">
        <v>904.66103499719713</v>
      </c>
      <c r="I7133" s="19">
        <f t="shared" si="223"/>
        <v>0</v>
      </c>
    </row>
    <row r="7134" spans="1:9" hidden="1">
      <c r="A7134" s="11" t="s">
        <v>11260</v>
      </c>
      <c r="B7134" s="2" t="s">
        <v>12034</v>
      </c>
      <c r="C7134" s="2" t="s">
        <v>12035</v>
      </c>
      <c r="D7134" s="2"/>
      <c r="E7134" s="2">
        <v>1</v>
      </c>
      <c r="F7134" s="9"/>
      <c r="G7134" s="8">
        <f t="shared" si="222"/>
        <v>946.18160964182346</v>
      </c>
      <c r="H7134" s="8">
        <v>901.12534251602233</v>
      </c>
      <c r="I7134" s="19">
        <f t="shared" si="223"/>
        <v>0</v>
      </c>
    </row>
    <row r="7135" spans="1:9" hidden="1">
      <c r="A7135" s="11" t="s">
        <v>11260</v>
      </c>
      <c r="B7135" s="2" t="s">
        <v>12036</v>
      </c>
      <c r="C7135" s="2" t="s">
        <v>12037</v>
      </c>
      <c r="D7135" s="2"/>
      <c r="E7135" s="2">
        <v>1</v>
      </c>
      <c r="F7135" s="9"/>
      <c r="G7135" s="8">
        <f t="shared" si="222"/>
        <v>790.22467492676913</v>
      </c>
      <c r="H7135" s="8">
        <v>752.59492850168488</v>
      </c>
      <c r="I7135" s="19">
        <f t="shared" si="223"/>
        <v>0</v>
      </c>
    </row>
    <row r="7136" spans="1:9" hidden="1">
      <c r="A7136" s="11" t="s">
        <v>11260</v>
      </c>
      <c r="B7136" s="2" t="s">
        <v>12038</v>
      </c>
      <c r="C7136" s="2" t="s">
        <v>12016</v>
      </c>
      <c r="D7136" s="2"/>
      <c r="E7136" s="2">
        <v>1</v>
      </c>
      <c r="F7136" s="9"/>
      <c r="G7136" s="8">
        <f t="shared" si="222"/>
        <v>1056.6659785518143</v>
      </c>
      <c r="H7136" s="8">
        <v>1006.3485510017279</v>
      </c>
      <c r="I7136" s="19">
        <f t="shared" si="223"/>
        <v>0</v>
      </c>
    </row>
    <row r="7137" spans="1:9" hidden="1">
      <c r="A7137" s="11" t="s">
        <v>11260</v>
      </c>
      <c r="B7137" s="2" t="s">
        <v>12039</v>
      </c>
      <c r="C7137" s="2" t="s">
        <v>12018</v>
      </c>
      <c r="D7137" s="2"/>
      <c r="E7137" s="2">
        <v>1</v>
      </c>
      <c r="F7137" s="9"/>
      <c r="G7137" s="8">
        <f t="shared" si="222"/>
        <v>900.70904384623782</v>
      </c>
      <c r="H7137" s="8">
        <v>857.81813699641691</v>
      </c>
      <c r="I7137" s="19">
        <f t="shared" si="223"/>
        <v>0</v>
      </c>
    </row>
    <row r="7138" spans="1:9" hidden="1">
      <c r="A7138" s="11" t="s">
        <v>11260</v>
      </c>
      <c r="B7138" s="2" t="s">
        <v>12040</v>
      </c>
      <c r="C7138" s="2" t="s">
        <v>12020</v>
      </c>
      <c r="D7138" s="2"/>
      <c r="E7138" s="2">
        <v>1</v>
      </c>
      <c r="F7138" s="9"/>
      <c r="G7138" s="8">
        <f t="shared" si="222"/>
        <v>1105.8615214567894</v>
      </c>
      <c r="H7138" s="8">
        <v>1053.2014490064662</v>
      </c>
      <c r="I7138" s="19">
        <f t="shared" si="223"/>
        <v>0</v>
      </c>
    </row>
    <row r="7139" spans="1:9" hidden="1">
      <c r="A7139" s="11" t="s">
        <v>11260</v>
      </c>
      <c r="B7139" s="2" t="s">
        <v>12041</v>
      </c>
      <c r="C7139" s="2" t="s">
        <v>12022</v>
      </c>
      <c r="D7139" s="2"/>
      <c r="E7139" s="2">
        <v>1</v>
      </c>
      <c r="F7139" s="9"/>
      <c r="G7139" s="8">
        <f t="shared" si="222"/>
        <v>949.89408674705703</v>
      </c>
      <c r="H7139" s="8">
        <v>904.66103499719713</v>
      </c>
      <c r="I7139" s="19">
        <f t="shared" si="223"/>
        <v>0</v>
      </c>
    </row>
    <row r="7140" spans="1:9" hidden="1">
      <c r="A7140" s="11" t="s">
        <v>11260</v>
      </c>
      <c r="B7140" s="2" t="s">
        <v>12042</v>
      </c>
      <c r="C7140" s="2" t="s">
        <v>12024</v>
      </c>
      <c r="D7140" s="2"/>
      <c r="E7140" s="2">
        <v>1</v>
      </c>
      <c r="F7140" s="9"/>
      <c r="G7140" s="8">
        <f t="shared" si="222"/>
        <v>946.18160964182346</v>
      </c>
      <c r="H7140" s="8">
        <v>901.12534251602233</v>
      </c>
      <c r="I7140" s="19">
        <f t="shared" si="223"/>
        <v>0</v>
      </c>
    </row>
    <row r="7141" spans="1:9" hidden="1">
      <c r="A7141" s="11" t="s">
        <v>11260</v>
      </c>
      <c r="B7141" s="2" t="s">
        <v>12043</v>
      </c>
      <c r="C7141" s="2" t="s">
        <v>12026</v>
      </c>
      <c r="D7141" s="2"/>
      <c r="E7141" s="2">
        <v>1</v>
      </c>
      <c r="F7141" s="9"/>
      <c r="G7141" s="8">
        <f t="shared" si="222"/>
        <v>790.22467492676913</v>
      </c>
      <c r="H7141" s="8">
        <v>752.59492850168488</v>
      </c>
      <c r="I7141" s="19">
        <f t="shared" si="223"/>
        <v>0</v>
      </c>
    </row>
    <row r="7142" spans="1:9" hidden="1">
      <c r="A7142" s="11" t="s">
        <v>11260</v>
      </c>
      <c r="B7142" s="2" t="s">
        <v>12044</v>
      </c>
      <c r="C7142" s="2" t="s">
        <v>12028</v>
      </c>
      <c r="D7142" s="2"/>
      <c r="E7142" s="2">
        <v>1</v>
      </c>
      <c r="F7142" s="9"/>
      <c r="G7142" s="8">
        <f t="shared" si="222"/>
        <v>1056.6659785518143</v>
      </c>
      <c r="H7142" s="8">
        <v>1006.3485510017279</v>
      </c>
      <c r="I7142" s="19">
        <f t="shared" si="223"/>
        <v>0</v>
      </c>
    </row>
    <row r="7143" spans="1:9" hidden="1">
      <c r="A7143" s="11" t="s">
        <v>11260</v>
      </c>
      <c r="B7143" s="2" t="s">
        <v>12045</v>
      </c>
      <c r="C7143" s="2" t="s">
        <v>12030</v>
      </c>
      <c r="D7143" s="2"/>
      <c r="E7143" s="2">
        <v>1</v>
      </c>
      <c r="F7143" s="9"/>
      <c r="G7143" s="8">
        <f t="shared" si="222"/>
        <v>900.70904384623759</v>
      </c>
      <c r="H7143" s="8">
        <v>857.8181369964168</v>
      </c>
      <c r="I7143" s="19">
        <f t="shared" si="223"/>
        <v>0</v>
      </c>
    </row>
    <row r="7144" spans="1:9" hidden="1">
      <c r="A7144" s="11" t="s">
        <v>11260</v>
      </c>
      <c r="B7144" s="2" t="s">
        <v>12046</v>
      </c>
      <c r="C7144" s="2" t="s">
        <v>12047</v>
      </c>
      <c r="D7144" s="2"/>
      <c r="E7144" s="2">
        <v>1</v>
      </c>
      <c r="F7144" s="9"/>
      <c r="G7144" s="8">
        <f t="shared" si="222"/>
        <v>2.0545155555555557</v>
      </c>
      <c r="H7144" s="8">
        <v>1.9566814814814815</v>
      </c>
      <c r="I7144" s="19">
        <f t="shared" si="223"/>
        <v>0</v>
      </c>
    </row>
    <row r="7145" spans="1:9">
      <c r="A7145" s="11" t="s">
        <v>11260</v>
      </c>
      <c r="B7145" s="2" t="s">
        <v>12048</v>
      </c>
      <c r="C7145" s="2" t="s">
        <v>12049</v>
      </c>
      <c r="D7145" s="2"/>
      <c r="E7145" s="2">
        <v>1</v>
      </c>
      <c r="F7145" s="9">
        <v>15</v>
      </c>
      <c r="G7145" s="8">
        <f t="shared" si="222"/>
        <v>91.081564173726292</v>
      </c>
      <c r="H7145" s="8">
        <v>86.744346832120272</v>
      </c>
      <c r="I7145" s="19">
        <f t="shared" si="223"/>
        <v>1366.2234626058944</v>
      </c>
    </row>
    <row r="7146" spans="1:9" hidden="1">
      <c r="A7146" s="11" t="s">
        <v>11260</v>
      </c>
      <c r="B7146" s="2" t="s">
        <v>12050</v>
      </c>
      <c r="C7146" s="2" t="s">
        <v>12051</v>
      </c>
      <c r="D7146" s="2" t="s">
        <v>572</v>
      </c>
      <c r="E7146" s="2">
        <v>1</v>
      </c>
      <c r="F7146" s="9"/>
      <c r="G7146" s="8">
        <f t="shared" si="222"/>
        <v>0.58800000000000008</v>
      </c>
      <c r="H7146" s="16">
        <v>0.56000000000000005</v>
      </c>
      <c r="I7146" s="19">
        <f t="shared" si="223"/>
        <v>0</v>
      </c>
    </row>
    <row r="7147" spans="1:9" hidden="1">
      <c r="A7147" s="11" t="s">
        <v>11260</v>
      </c>
      <c r="B7147" s="2" t="s">
        <v>12052</v>
      </c>
      <c r="C7147" s="2" t="s">
        <v>12051</v>
      </c>
      <c r="D7147" s="2" t="s">
        <v>572</v>
      </c>
      <c r="E7147" s="2">
        <v>1</v>
      </c>
      <c r="F7147" s="9"/>
      <c r="G7147" s="8">
        <f t="shared" si="222"/>
        <v>128.17349999999999</v>
      </c>
      <c r="H7147" s="16">
        <v>122.07</v>
      </c>
      <c r="I7147" s="19">
        <f t="shared" si="223"/>
        <v>0</v>
      </c>
    </row>
    <row r="7148" spans="1:9" hidden="1">
      <c r="A7148" s="11" t="s">
        <v>11260</v>
      </c>
      <c r="B7148" s="2" t="s">
        <v>12053</v>
      </c>
      <c r="C7148" s="2" t="s">
        <v>12054</v>
      </c>
      <c r="D7148" s="2"/>
      <c r="E7148" s="2">
        <v>1</v>
      </c>
      <c r="F7148" s="9"/>
      <c r="G7148" s="8">
        <f t="shared" si="222"/>
        <v>1.6108418918918919</v>
      </c>
      <c r="H7148" s="8">
        <v>1.5341351351351351</v>
      </c>
      <c r="I7148" s="19">
        <f t="shared" si="223"/>
        <v>0</v>
      </c>
    </row>
    <row r="7149" spans="1:9" hidden="1">
      <c r="A7149" s="11" t="s">
        <v>11260</v>
      </c>
      <c r="B7149" s="2" t="s">
        <v>12055</v>
      </c>
      <c r="C7149" s="2" t="s">
        <v>12056</v>
      </c>
      <c r="D7149" s="2"/>
      <c r="E7149" s="2">
        <v>1</v>
      </c>
      <c r="F7149" s="9"/>
      <c r="G7149" s="8">
        <f t="shared" si="222"/>
        <v>81.243825333110365</v>
      </c>
      <c r="H7149" s="8">
        <v>77.375071745819398</v>
      </c>
      <c r="I7149" s="19">
        <f t="shared" si="223"/>
        <v>0</v>
      </c>
    </row>
    <row r="7150" spans="1:9" hidden="1">
      <c r="A7150" s="11" t="s">
        <v>11260</v>
      </c>
      <c r="B7150" s="2" t="s">
        <v>12057</v>
      </c>
      <c r="C7150" s="2" t="s">
        <v>12058</v>
      </c>
      <c r="D7150" s="2"/>
      <c r="E7150" s="2">
        <v>1</v>
      </c>
      <c r="F7150" s="9"/>
      <c r="G7150" s="8">
        <f t="shared" si="222"/>
        <v>0.52722140625000002</v>
      </c>
      <c r="H7150" s="8">
        <v>0.50211562500000007</v>
      </c>
      <c r="I7150" s="19">
        <f t="shared" si="223"/>
        <v>0</v>
      </c>
    </row>
    <row r="7151" spans="1:9" hidden="1">
      <c r="A7151" s="11" t="s">
        <v>11260</v>
      </c>
      <c r="B7151" s="2" t="s">
        <v>12059</v>
      </c>
      <c r="C7151" s="2" t="s">
        <v>12060</v>
      </c>
      <c r="D7151" s="2"/>
      <c r="E7151" s="2">
        <v>1</v>
      </c>
      <c r="F7151" s="9"/>
      <c r="G7151" s="8">
        <f t="shared" si="222"/>
        <v>7.242175862068966</v>
      </c>
      <c r="H7151" s="8">
        <v>6.897310344827587</v>
      </c>
      <c r="I7151" s="19">
        <f t="shared" si="223"/>
        <v>0</v>
      </c>
    </row>
    <row r="7152" spans="1:9" hidden="1">
      <c r="A7152" s="11" t="s">
        <v>11260</v>
      </c>
      <c r="B7152" s="2" t="s">
        <v>12061</v>
      </c>
      <c r="C7152" s="2" t="s">
        <v>12062</v>
      </c>
      <c r="D7152" s="2"/>
      <c r="E7152" s="2">
        <v>1</v>
      </c>
      <c r="F7152" s="9"/>
      <c r="G7152" s="8">
        <f t="shared" si="222"/>
        <v>141.73803791111598</v>
      </c>
      <c r="H7152" s="8">
        <v>134.98860753439618</v>
      </c>
      <c r="I7152" s="19">
        <f t="shared" si="223"/>
        <v>0</v>
      </c>
    </row>
    <row r="7153" spans="1:9" hidden="1">
      <c r="A7153" s="11" t="s">
        <v>11260</v>
      </c>
      <c r="B7153" s="2" t="s">
        <v>12063</v>
      </c>
      <c r="C7153" s="2" t="s">
        <v>12064</v>
      </c>
      <c r="D7153" s="2"/>
      <c r="E7153" s="2">
        <v>1</v>
      </c>
      <c r="F7153" s="9"/>
      <c r="G7153" s="8">
        <f t="shared" si="222"/>
        <v>212.57961165756714</v>
      </c>
      <c r="H7153" s="8">
        <v>202.45677300720681</v>
      </c>
      <c r="I7153" s="19">
        <f t="shared" si="223"/>
        <v>0</v>
      </c>
    </row>
    <row r="7154" spans="1:9" hidden="1">
      <c r="A7154" s="11" t="s">
        <v>11260</v>
      </c>
      <c r="B7154" s="2" t="s">
        <v>12065</v>
      </c>
      <c r="C7154" s="2" t="s">
        <v>12066</v>
      </c>
      <c r="D7154" s="2"/>
      <c r="E7154" s="2">
        <v>1</v>
      </c>
      <c r="F7154" s="9"/>
      <c r="G7154" s="8">
        <f t="shared" si="222"/>
        <v>2.2947352702702699</v>
      </c>
      <c r="H7154" s="8">
        <v>2.1854621621621617</v>
      </c>
      <c r="I7154" s="19">
        <f t="shared" si="223"/>
        <v>0</v>
      </c>
    </row>
    <row r="7155" spans="1:9" hidden="1">
      <c r="A7155" s="11" t="s">
        <v>11260</v>
      </c>
      <c r="B7155" s="2" t="s">
        <v>12067</v>
      </c>
      <c r="C7155" s="2" t="s">
        <v>12068</v>
      </c>
      <c r="D7155" s="2"/>
      <c r="E7155" s="2">
        <v>1</v>
      </c>
      <c r="F7155" s="9"/>
      <c r="G7155" s="8">
        <f t="shared" si="222"/>
        <v>248.01754752527148</v>
      </c>
      <c r="H7155" s="8">
        <v>236.20718811930618</v>
      </c>
      <c r="I7155" s="19">
        <f t="shared" si="223"/>
        <v>0</v>
      </c>
    </row>
    <row r="7156" spans="1:9" hidden="1">
      <c r="A7156" s="11" t="s">
        <v>11260</v>
      </c>
      <c r="B7156" s="2" t="s">
        <v>12069</v>
      </c>
      <c r="C7156" s="2" t="s">
        <v>12070</v>
      </c>
      <c r="D7156" s="2"/>
      <c r="E7156" s="2">
        <v>1</v>
      </c>
      <c r="F7156" s="9"/>
      <c r="G7156" s="8">
        <f t="shared" si="222"/>
        <v>318.87333976414067</v>
      </c>
      <c r="H7156" s="8">
        <v>303.68889501346729</v>
      </c>
      <c r="I7156" s="19">
        <f t="shared" si="223"/>
        <v>0</v>
      </c>
    </row>
    <row r="7157" spans="1:9" hidden="1">
      <c r="A7157" s="11" t="s">
        <v>11260</v>
      </c>
      <c r="B7157" s="2" t="s">
        <v>12071</v>
      </c>
      <c r="C7157" s="2" t="s">
        <v>12072</v>
      </c>
      <c r="D7157" s="2"/>
      <c r="E7157" s="2">
        <v>1</v>
      </c>
      <c r="F7157" s="9"/>
      <c r="G7157" s="8">
        <f t="shared" si="222"/>
        <v>100.36615264825519</v>
      </c>
      <c r="H7157" s="8">
        <v>95.58681204595733</v>
      </c>
      <c r="I7157" s="19">
        <f t="shared" si="223"/>
        <v>0</v>
      </c>
    </row>
    <row r="7158" spans="1:9" hidden="1">
      <c r="A7158" s="11" t="s">
        <v>11260</v>
      </c>
      <c r="B7158" s="2" t="s">
        <v>12073</v>
      </c>
      <c r="C7158" s="2" t="s">
        <v>12074</v>
      </c>
      <c r="D7158" s="2"/>
      <c r="E7158" s="2">
        <v>1</v>
      </c>
      <c r="F7158" s="9"/>
      <c r="G7158" s="8">
        <f t="shared" si="222"/>
        <v>65.320300500000002</v>
      </c>
      <c r="H7158" s="8">
        <v>62.209810000000004</v>
      </c>
      <c r="I7158" s="19">
        <f t="shared" si="223"/>
        <v>0</v>
      </c>
    </row>
    <row r="7159" spans="1:9" hidden="1">
      <c r="A7159" s="11" t="s">
        <v>11260</v>
      </c>
      <c r="B7159" s="2" t="s">
        <v>12075</v>
      </c>
      <c r="C7159" s="2" t="s">
        <v>12076</v>
      </c>
      <c r="D7159" s="2"/>
      <c r="E7159" s="2">
        <v>1</v>
      </c>
      <c r="F7159" s="9"/>
      <c r="G7159" s="8">
        <f t="shared" si="222"/>
        <v>80.19547045012925</v>
      </c>
      <c r="H7159" s="8">
        <v>76.376638523932613</v>
      </c>
      <c r="I7159" s="19">
        <f t="shared" si="223"/>
        <v>0</v>
      </c>
    </row>
    <row r="7160" spans="1:9" hidden="1">
      <c r="A7160" s="11" t="s">
        <v>11260</v>
      </c>
      <c r="B7160" s="2" t="s">
        <v>12077</v>
      </c>
      <c r="C7160" s="2" t="s">
        <v>12078</v>
      </c>
      <c r="D7160" s="2"/>
      <c r="E7160" s="2">
        <v>1</v>
      </c>
      <c r="F7160" s="9"/>
      <c r="G7160" s="8">
        <f t="shared" si="222"/>
        <v>0.39617179411764702</v>
      </c>
      <c r="H7160" s="8">
        <v>0.37730647058823524</v>
      </c>
      <c r="I7160" s="19">
        <f t="shared" si="223"/>
        <v>0</v>
      </c>
    </row>
    <row r="7161" spans="1:9" hidden="1">
      <c r="A7161" s="11" t="s">
        <v>11260</v>
      </c>
      <c r="B7161" s="2" t="s">
        <v>12079</v>
      </c>
      <c r="C7161" s="2" t="s">
        <v>12080</v>
      </c>
      <c r="D7161" s="2"/>
      <c r="E7161" s="2">
        <v>1</v>
      </c>
      <c r="F7161" s="9"/>
      <c r="G7161" s="8">
        <f t="shared" si="222"/>
        <v>0.39617179411764702</v>
      </c>
      <c r="H7161" s="8">
        <v>0.37730647058823524</v>
      </c>
      <c r="I7161" s="19">
        <f t="shared" si="223"/>
        <v>0</v>
      </c>
    </row>
    <row r="7162" spans="1:9" hidden="1">
      <c r="A7162" s="11" t="s">
        <v>11260</v>
      </c>
      <c r="B7162" s="2" t="s">
        <v>12081</v>
      </c>
      <c r="C7162" s="2" t="s">
        <v>12082</v>
      </c>
      <c r="D7162" s="2"/>
      <c r="E7162" s="2">
        <v>1</v>
      </c>
      <c r="F7162" s="9"/>
      <c r="G7162" s="8">
        <f t="shared" si="222"/>
        <v>40.079129999999999</v>
      </c>
      <c r="H7162" s="8">
        <v>38.1706</v>
      </c>
      <c r="I7162" s="19">
        <f t="shared" si="223"/>
        <v>0</v>
      </c>
    </row>
    <row r="7163" spans="1:9" hidden="1">
      <c r="A7163" s="11" t="s">
        <v>11260</v>
      </c>
      <c r="B7163" s="2" t="s">
        <v>12083</v>
      </c>
      <c r="C7163" s="2" t="s">
        <v>12084</v>
      </c>
      <c r="D7163" s="2"/>
      <c r="E7163" s="2">
        <v>1</v>
      </c>
      <c r="F7163" s="9"/>
      <c r="G7163" s="8">
        <f t="shared" si="222"/>
        <v>94.710000000000008</v>
      </c>
      <c r="H7163" s="8">
        <v>90.2</v>
      </c>
      <c r="I7163" s="19">
        <f t="shared" si="223"/>
        <v>0</v>
      </c>
    </row>
    <row r="7164" spans="1:9" hidden="1">
      <c r="A7164" s="11" t="s">
        <v>11260</v>
      </c>
      <c r="B7164" s="2" t="s">
        <v>12085</v>
      </c>
      <c r="C7164" s="2" t="s">
        <v>12086</v>
      </c>
      <c r="D7164" s="2"/>
      <c r="E7164" s="2">
        <v>1</v>
      </c>
      <c r="F7164" s="9"/>
      <c r="G7164" s="8">
        <f t="shared" si="222"/>
        <v>83.905499999999989</v>
      </c>
      <c r="H7164" s="8">
        <v>79.91</v>
      </c>
      <c r="I7164" s="19">
        <f t="shared" si="223"/>
        <v>0</v>
      </c>
    </row>
    <row r="7165" spans="1:9" hidden="1">
      <c r="A7165" s="11" t="s">
        <v>11260</v>
      </c>
      <c r="B7165" s="2" t="s">
        <v>12087</v>
      </c>
      <c r="C7165" s="2" t="s">
        <v>12088</v>
      </c>
      <c r="D7165" s="2"/>
      <c r="E7165" s="2">
        <v>1</v>
      </c>
      <c r="F7165" s="9"/>
      <c r="G7165" s="8">
        <f t="shared" si="222"/>
        <v>16.863501358112941</v>
      </c>
      <c r="H7165" s="8">
        <v>16.060477483917087</v>
      </c>
      <c r="I7165" s="19">
        <f t="shared" si="223"/>
        <v>0</v>
      </c>
    </row>
    <row r="7166" spans="1:9" hidden="1">
      <c r="A7166" s="11" t="s">
        <v>11260</v>
      </c>
      <c r="B7166" s="2" t="s">
        <v>12089</v>
      </c>
      <c r="C7166" s="2" t="s">
        <v>12090</v>
      </c>
      <c r="D7166" s="2"/>
      <c r="E7166" s="2">
        <v>1</v>
      </c>
      <c r="F7166" s="9"/>
      <c r="G7166" s="8">
        <f t="shared" si="222"/>
        <v>17.396190000000001</v>
      </c>
      <c r="H7166" s="8">
        <v>16.567800000000002</v>
      </c>
      <c r="I7166" s="19">
        <f t="shared" si="223"/>
        <v>0</v>
      </c>
    </row>
    <row r="7167" spans="1:9" hidden="1">
      <c r="A7167" s="11" t="s">
        <v>11260</v>
      </c>
      <c r="B7167" s="2" t="s">
        <v>12091</v>
      </c>
      <c r="C7167" s="2" t="s">
        <v>12092</v>
      </c>
      <c r="D7167" s="2"/>
      <c r="E7167" s="2">
        <v>1</v>
      </c>
      <c r="F7167" s="9"/>
      <c r="G7167" s="8">
        <f t="shared" si="222"/>
        <v>397.488</v>
      </c>
      <c r="H7167" s="8">
        <v>378.56</v>
      </c>
      <c r="I7167" s="19">
        <f t="shared" si="223"/>
        <v>0</v>
      </c>
    </row>
    <row r="7168" spans="1:9" hidden="1">
      <c r="A7168" s="11" t="s">
        <v>11260</v>
      </c>
      <c r="B7168" s="2" t="s">
        <v>12093</v>
      </c>
      <c r="C7168" s="2" t="s">
        <v>12094</v>
      </c>
      <c r="D7168" s="2"/>
      <c r="E7168" s="2">
        <v>1</v>
      </c>
      <c r="F7168" s="9"/>
      <c r="G7168" s="8">
        <f t="shared" si="222"/>
        <v>307.49250000000001</v>
      </c>
      <c r="H7168" s="8">
        <v>292.85000000000002</v>
      </c>
      <c r="I7168" s="19">
        <f t="shared" si="223"/>
        <v>0</v>
      </c>
    </row>
    <row r="7169" spans="1:9" hidden="1">
      <c r="A7169" s="11" t="s">
        <v>11260</v>
      </c>
      <c r="B7169" s="2" t="s">
        <v>12095</v>
      </c>
      <c r="C7169" s="2" t="s">
        <v>12096</v>
      </c>
      <c r="D7169" s="2"/>
      <c r="E7169" s="2">
        <v>1</v>
      </c>
      <c r="F7169" s="9"/>
      <c r="G7169" s="8">
        <f t="shared" si="222"/>
        <v>125.706</v>
      </c>
      <c r="H7169" s="8">
        <v>119.72</v>
      </c>
      <c r="I7169" s="19">
        <f t="shared" si="223"/>
        <v>0</v>
      </c>
    </row>
    <row r="7170" spans="1:9" hidden="1">
      <c r="A7170" s="11" t="s">
        <v>11260</v>
      </c>
      <c r="B7170" s="2" t="s">
        <v>12097</v>
      </c>
      <c r="C7170" s="2" t="s">
        <v>12098</v>
      </c>
      <c r="D7170" s="2"/>
      <c r="E7170" s="2">
        <v>1</v>
      </c>
      <c r="F7170" s="9"/>
      <c r="G7170" s="8">
        <f t="shared" si="222"/>
        <v>4.2000000000000003E-2</v>
      </c>
      <c r="H7170" s="8">
        <v>0.04</v>
      </c>
      <c r="I7170" s="19">
        <f t="shared" si="223"/>
        <v>0</v>
      </c>
    </row>
    <row r="7171" spans="1:9" hidden="1">
      <c r="A7171" s="11" t="s">
        <v>11260</v>
      </c>
      <c r="B7171" s="2" t="s">
        <v>12099</v>
      </c>
      <c r="C7171" s="2" t="s">
        <v>12100</v>
      </c>
      <c r="D7171" s="2"/>
      <c r="E7171" s="2">
        <v>1</v>
      </c>
      <c r="F7171" s="9"/>
      <c r="G7171" s="8">
        <f t="shared" si="222"/>
        <v>42.378</v>
      </c>
      <c r="H7171" s="8">
        <v>40.36</v>
      </c>
      <c r="I7171" s="19">
        <f t="shared" si="223"/>
        <v>0</v>
      </c>
    </row>
    <row r="7172" spans="1:9" hidden="1">
      <c r="A7172" s="11" t="s">
        <v>11260</v>
      </c>
      <c r="B7172" s="2" t="s">
        <v>12101</v>
      </c>
      <c r="C7172" s="2" t="s">
        <v>12102</v>
      </c>
      <c r="D7172" s="2"/>
      <c r="E7172" s="2">
        <v>1</v>
      </c>
      <c r="F7172" s="9"/>
      <c r="G7172" s="8">
        <f t="shared" si="222"/>
        <v>3.3390000000000003E-2</v>
      </c>
      <c r="H7172" s="8">
        <v>3.1800000000000002E-2</v>
      </c>
      <c r="I7172" s="19">
        <f t="shared" si="223"/>
        <v>0</v>
      </c>
    </row>
    <row r="7173" spans="1:9" hidden="1">
      <c r="A7173" s="11" t="s">
        <v>11260</v>
      </c>
      <c r="B7173" s="2" t="s">
        <v>12103</v>
      </c>
      <c r="C7173" s="2" t="s">
        <v>12104</v>
      </c>
      <c r="D7173" s="2"/>
      <c r="E7173" s="2">
        <v>1</v>
      </c>
      <c r="F7173" s="9"/>
      <c r="G7173" s="8">
        <f t="shared" si="222"/>
        <v>0.126</v>
      </c>
      <c r="H7173" s="8">
        <v>0.12</v>
      </c>
      <c r="I7173" s="19">
        <f t="shared" si="223"/>
        <v>0</v>
      </c>
    </row>
    <row r="7174" spans="1:9" hidden="1">
      <c r="A7174" s="11" t="s">
        <v>11260</v>
      </c>
      <c r="B7174" s="2" t="s">
        <v>12105</v>
      </c>
      <c r="C7174" s="2" t="s">
        <v>12106</v>
      </c>
      <c r="D7174" s="2"/>
      <c r="E7174" s="2">
        <v>1</v>
      </c>
      <c r="F7174" s="9"/>
      <c r="G7174" s="8">
        <f t="shared" si="222"/>
        <v>0.10017</v>
      </c>
      <c r="H7174" s="8">
        <v>9.5399999999999999E-2</v>
      </c>
      <c r="I7174" s="19">
        <f t="shared" si="223"/>
        <v>0</v>
      </c>
    </row>
    <row r="7175" spans="1:9">
      <c r="A7175" s="11" t="s">
        <v>11260</v>
      </c>
      <c r="B7175" s="2" t="s">
        <v>12107</v>
      </c>
      <c r="C7175" s="2" t="s">
        <v>12108</v>
      </c>
      <c r="D7175" s="2"/>
      <c r="E7175" s="2">
        <v>1</v>
      </c>
      <c r="F7175" s="9">
        <v>233</v>
      </c>
      <c r="G7175" s="8">
        <f t="shared" si="222"/>
        <v>2.2494315789473682</v>
      </c>
      <c r="H7175" s="8">
        <v>2.1423157894736842</v>
      </c>
      <c r="I7175" s="19">
        <f t="shared" si="223"/>
        <v>524.11755789473682</v>
      </c>
    </row>
    <row r="7176" spans="1:9">
      <c r="A7176" s="11" t="s">
        <v>11260</v>
      </c>
      <c r="B7176" s="2" t="s">
        <v>12109</v>
      </c>
      <c r="C7176" s="2" t="s">
        <v>12110</v>
      </c>
      <c r="D7176" s="2"/>
      <c r="E7176" s="2">
        <v>1</v>
      </c>
      <c r="F7176" s="9">
        <v>2006</v>
      </c>
      <c r="G7176" s="8">
        <f t="shared" si="222"/>
        <v>0.43407000000000007</v>
      </c>
      <c r="H7176" s="8">
        <v>0.41340000000000005</v>
      </c>
      <c r="I7176" s="19">
        <f t="shared" si="223"/>
        <v>870.7444200000001</v>
      </c>
    </row>
    <row r="7177" spans="1:9">
      <c r="A7177" s="11" t="s">
        <v>11260</v>
      </c>
      <c r="B7177" s="2" t="s">
        <v>12111</v>
      </c>
      <c r="C7177" s="2" t="s">
        <v>12112</v>
      </c>
      <c r="D7177" s="2"/>
      <c r="E7177" s="2">
        <v>1</v>
      </c>
      <c r="F7177" s="9">
        <v>2500</v>
      </c>
      <c r="G7177" s="8">
        <f t="shared" si="222"/>
        <v>0.126</v>
      </c>
      <c r="H7177" s="8">
        <v>0.12</v>
      </c>
      <c r="I7177" s="19">
        <f t="shared" si="223"/>
        <v>315</v>
      </c>
    </row>
    <row r="7178" spans="1:9">
      <c r="A7178" s="11" t="s">
        <v>11260</v>
      </c>
      <c r="B7178" s="2" t="s">
        <v>12113</v>
      </c>
      <c r="C7178" s="2" t="s">
        <v>12114</v>
      </c>
      <c r="D7178" s="2"/>
      <c r="E7178" s="2">
        <v>1</v>
      </c>
      <c r="F7178" s="9">
        <v>4000</v>
      </c>
      <c r="G7178" s="8">
        <f t="shared" si="222"/>
        <v>0.13356000000000001</v>
      </c>
      <c r="H7178" s="8">
        <v>0.12720000000000001</v>
      </c>
      <c r="I7178" s="19">
        <f t="shared" si="223"/>
        <v>534.24</v>
      </c>
    </row>
    <row r="7179" spans="1:9">
      <c r="A7179" s="11" t="s">
        <v>11260</v>
      </c>
      <c r="B7179" s="2" t="s">
        <v>12115</v>
      </c>
      <c r="C7179" s="2" t="s">
        <v>12116</v>
      </c>
      <c r="D7179" s="2"/>
      <c r="E7179" s="2">
        <v>1</v>
      </c>
      <c r="F7179" s="9">
        <v>3000</v>
      </c>
      <c r="G7179" s="8">
        <f t="shared" si="222"/>
        <v>0.13356000000000001</v>
      </c>
      <c r="H7179" s="8">
        <v>0.12720000000000001</v>
      </c>
      <c r="I7179" s="19">
        <f t="shared" si="223"/>
        <v>400.68000000000006</v>
      </c>
    </row>
    <row r="7180" spans="1:9">
      <c r="A7180" s="11" t="s">
        <v>11260</v>
      </c>
      <c r="B7180" s="2" t="s">
        <v>12117</v>
      </c>
      <c r="C7180" s="2" t="s">
        <v>12118</v>
      </c>
      <c r="D7180" s="2"/>
      <c r="E7180" s="2">
        <v>1</v>
      </c>
      <c r="F7180" s="9">
        <v>3000</v>
      </c>
      <c r="G7180" s="8">
        <f t="shared" si="222"/>
        <v>0.13356000000000001</v>
      </c>
      <c r="H7180" s="8">
        <v>0.12720000000000001</v>
      </c>
      <c r="I7180" s="19">
        <f t="shared" si="223"/>
        <v>400.68000000000006</v>
      </c>
    </row>
    <row r="7181" spans="1:9" hidden="1">
      <c r="A7181" s="11" t="s">
        <v>11260</v>
      </c>
      <c r="B7181" s="2" t="s">
        <v>12119</v>
      </c>
      <c r="C7181" s="2" t="s">
        <v>12120</v>
      </c>
      <c r="D7181" s="2"/>
      <c r="E7181" s="2">
        <v>1</v>
      </c>
      <c r="F7181" s="9"/>
      <c r="G7181" s="8">
        <f t="shared" si="222"/>
        <v>0.12243000000000001</v>
      </c>
      <c r="H7181" s="8">
        <v>0.11660000000000001</v>
      </c>
      <c r="I7181" s="19">
        <f t="shared" si="223"/>
        <v>0</v>
      </c>
    </row>
    <row r="7182" spans="1:9" hidden="1">
      <c r="A7182" s="11" t="s">
        <v>11260</v>
      </c>
      <c r="B7182" s="2" t="s">
        <v>12121</v>
      </c>
      <c r="C7182" s="2" t="s">
        <v>12122</v>
      </c>
      <c r="D7182" s="2"/>
      <c r="E7182" s="2">
        <v>1</v>
      </c>
      <c r="F7182" s="9"/>
      <c r="G7182" s="8">
        <f t="shared" si="222"/>
        <v>0.13356000000000001</v>
      </c>
      <c r="H7182" s="8">
        <v>0.12720000000000001</v>
      </c>
      <c r="I7182" s="19">
        <f t="shared" si="223"/>
        <v>0</v>
      </c>
    </row>
    <row r="7183" spans="1:9" hidden="1">
      <c r="A7183" s="11" t="s">
        <v>11260</v>
      </c>
      <c r="B7183" s="2" t="s">
        <v>12123</v>
      </c>
      <c r="C7183" s="2" t="s">
        <v>12124</v>
      </c>
      <c r="D7183" s="2"/>
      <c r="E7183" s="2">
        <v>1</v>
      </c>
      <c r="F7183" s="9"/>
      <c r="G7183" s="8">
        <f t="shared" si="222"/>
        <v>0.12243000000000001</v>
      </c>
      <c r="H7183" s="8">
        <v>0.11660000000000001</v>
      </c>
      <c r="I7183" s="19">
        <f t="shared" si="223"/>
        <v>0</v>
      </c>
    </row>
    <row r="7184" spans="1:9">
      <c r="A7184" s="11" t="s">
        <v>11260</v>
      </c>
      <c r="B7184" s="2" t="s">
        <v>12125</v>
      </c>
      <c r="C7184" s="2" t="s">
        <v>12126</v>
      </c>
      <c r="D7184" s="2"/>
      <c r="E7184" s="2">
        <v>1</v>
      </c>
      <c r="F7184" s="9">
        <v>46</v>
      </c>
      <c r="G7184" s="8">
        <f t="shared" si="222"/>
        <v>4.62</v>
      </c>
      <c r="H7184" s="8">
        <v>4.4000000000000004</v>
      </c>
      <c r="I7184" s="19">
        <f t="shared" si="223"/>
        <v>212.52</v>
      </c>
    </row>
    <row r="7185" spans="1:9">
      <c r="A7185" s="11" t="s">
        <v>11260</v>
      </c>
      <c r="B7185" s="2" t="s">
        <v>12127</v>
      </c>
      <c r="C7185" s="2" t="s">
        <v>12128</v>
      </c>
      <c r="D7185" s="2"/>
      <c r="E7185" s="2">
        <v>1</v>
      </c>
      <c r="F7185" s="9">
        <v>54</v>
      </c>
      <c r="G7185" s="8">
        <f t="shared" si="222"/>
        <v>6.4999200000000004</v>
      </c>
      <c r="H7185" s="8">
        <v>6.1904000000000003</v>
      </c>
      <c r="I7185" s="19">
        <f t="shared" si="223"/>
        <v>350.99567999999999</v>
      </c>
    </row>
    <row r="7186" spans="1:9">
      <c r="A7186" s="11" t="s">
        <v>11260</v>
      </c>
      <c r="B7186" s="2" t="s">
        <v>12129</v>
      </c>
      <c r="C7186" s="2" t="s">
        <v>12130</v>
      </c>
      <c r="D7186" s="2"/>
      <c r="E7186" s="2">
        <v>1</v>
      </c>
      <c r="F7186" s="9">
        <v>228</v>
      </c>
      <c r="G7186" s="8">
        <f t="shared" si="222"/>
        <v>0.27825</v>
      </c>
      <c r="H7186" s="8">
        <v>0.26500000000000001</v>
      </c>
      <c r="I7186" s="19">
        <f t="shared" si="223"/>
        <v>63.441000000000003</v>
      </c>
    </row>
    <row r="7187" spans="1:9" hidden="1">
      <c r="A7187" s="11" t="s">
        <v>11260</v>
      </c>
      <c r="B7187" s="2" t="s">
        <v>12131</v>
      </c>
      <c r="C7187" s="2" t="s">
        <v>12132</v>
      </c>
      <c r="D7187" s="2"/>
      <c r="E7187" s="2">
        <v>1</v>
      </c>
      <c r="F7187" s="9"/>
      <c r="G7187" s="8">
        <f t="shared" si="222"/>
        <v>2.4819899999999997</v>
      </c>
      <c r="H7187" s="8">
        <v>2.3637999999999999</v>
      </c>
      <c r="I7187" s="19">
        <f t="shared" si="223"/>
        <v>0</v>
      </c>
    </row>
    <row r="7188" spans="1:9" hidden="1">
      <c r="A7188" s="11" t="s">
        <v>11260</v>
      </c>
      <c r="B7188" s="2" t="s">
        <v>12133</v>
      </c>
      <c r="C7188" s="2" t="s">
        <v>12134</v>
      </c>
      <c r="D7188" s="2"/>
      <c r="E7188" s="2">
        <v>1</v>
      </c>
      <c r="F7188" s="9"/>
      <c r="G7188" s="8">
        <f t="shared" ref="G7188:G7251" si="224">H7188+(H7188*5%)</f>
        <v>4.5884999999999998</v>
      </c>
      <c r="H7188" s="8">
        <v>4.37</v>
      </c>
      <c r="I7188" s="19">
        <f t="shared" ref="I7188:I7251" si="225">G7188*F7188</f>
        <v>0</v>
      </c>
    </row>
    <row r="7189" spans="1:9" hidden="1">
      <c r="A7189" s="11" t="s">
        <v>11260</v>
      </c>
      <c r="B7189" s="2" t="s">
        <v>12135</v>
      </c>
      <c r="C7189" s="2" t="s">
        <v>12136</v>
      </c>
      <c r="D7189" s="2"/>
      <c r="E7189" s="2">
        <v>1</v>
      </c>
      <c r="F7189" s="9"/>
      <c r="G7189" s="8">
        <f t="shared" si="224"/>
        <v>7.5461400000000012</v>
      </c>
      <c r="H7189" s="8">
        <v>7.1868000000000007</v>
      </c>
      <c r="I7189" s="19">
        <f t="shared" si="225"/>
        <v>0</v>
      </c>
    </row>
    <row r="7190" spans="1:9" hidden="1">
      <c r="A7190" s="11" t="s">
        <v>11260</v>
      </c>
      <c r="B7190" s="2" t="s">
        <v>12137</v>
      </c>
      <c r="C7190" s="2" t="s">
        <v>12138</v>
      </c>
      <c r="D7190" s="2"/>
      <c r="E7190" s="2">
        <v>1</v>
      </c>
      <c r="F7190" s="9"/>
      <c r="G7190" s="8">
        <f t="shared" si="224"/>
        <v>4.9639799999999994</v>
      </c>
      <c r="H7190" s="8">
        <v>4.7275999999999998</v>
      </c>
      <c r="I7190" s="19">
        <f t="shared" si="225"/>
        <v>0</v>
      </c>
    </row>
    <row r="7191" spans="1:9" hidden="1">
      <c r="A7191" s="11" t="s">
        <v>11260</v>
      </c>
      <c r="B7191" s="2" t="s">
        <v>12139</v>
      </c>
      <c r="C7191" s="2" t="s">
        <v>12140</v>
      </c>
      <c r="D7191" s="2"/>
      <c r="E7191" s="2">
        <v>1</v>
      </c>
      <c r="F7191" s="9"/>
      <c r="G7191" s="8">
        <f t="shared" si="224"/>
        <v>1.0500000000000001E-2</v>
      </c>
      <c r="H7191" s="8">
        <v>0.01</v>
      </c>
      <c r="I7191" s="19">
        <f t="shared" si="225"/>
        <v>0</v>
      </c>
    </row>
    <row r="7192" spans="1:9" hidden="1">
      <c r="A7192" s="11" t="s">
        <v>11260</v>
      </c>
      <c r="B7192" s="2" t="s">
        <v>12141</v>
      </c>
      <c r="C7192" s="2" t="s">
        <v>12142</v>
      </c>
      <c r="D7192" s="2"/>
      <c r="E7192" s="2">
        <v>1</v>
      </c>
      <c r="F7192" s="9"/>
      <c r="G7192" s="8">
        <f t="shared" si="224"/>
        <v>0.36564412499999993</v>
      </c>
      <c r="H7192" s="8">
        <v>0.34823249999999994</v>
      </c>
      <c r="I7192" s="19">
        <f t="shared" si="225"/>
        <v>0</v>
      </c>
    </row>
    <row r="7193" spans="1:9" hidden="1">
      <c r="A7193" s="11" t="s">
        <v>11260</v>
      </c>
      <c r="B7193" s="2" t="s">
        <v>12143</v>
      </c>
      <c r="C7193" s="2" t="s">
        <v>12144</v>
      </c>
      <c r="D7193" s="2"/>
      <c r="E7193" s="2">
        <v>1</v>
      </c>
      <c r="F7193" s="9"/>
      <c r="G7193" s="8">
        <f t="shared" si="224"/>
        <v>7.2723419999999992</v>
      </c>
      <c r="H7193" s="8">
        <v>6.9260399999999995</v>
      </c>
      <c r="I7193" s="19">
        <f t="shared" si="225"/>
        <v>0</v>
      </c>
    </row>
    <row r="7194" spans="1:9" hidden="1">
      <c r="A7194" s="11" t="s">
        <v>11260</v>
      </c>
      <c r="B7194" s="2" t="s">
        <v>12145</v>
      </c>
      <c r="C7194" s="2" t="s">
        <v>12146</v>
      </c>
      <c r="D7194" s="2"/>
      <c r="E7194" s="2">
        <v>1</v>
      </c>
      <c r="F7194" s="9"/>
      <c r="G7194" s="8">
        <f t="shared" si="224"/>
        <v>7.2723419999999992</v>
      </c>
      <c r="H7194" s="8">
        <v>6.9260399999999995</v>
      </c>
      <c r="I7194" s="19">
        <f t="shared" si="225"/>
        <v>0</v>
      </c>
    </row>
    <row r="7195" spans="1:9" hidden="1">
      <c r="A7195" s="11" t="s">
        <v>11260</v>
      </c>
      <c r="B7195" s="2" t="s">
        <v>12147</v>
      </c>
      <c r="C7195" s="2" t="s">
        <v>12148</v>
      </c>
      <c r="D7195" s="2"/>
      <c r="E7195" s="2">
        <v>1</v>
      </c>
      <c r="F7195" s="9"/>
      <c r="G7195" s="8">
        <f t="shared" si="224"/>
        <v>14.744116711527209</v>
      </c>
      <c r="H7195" s="8">
        <v>14.042015915740199</v>
      </c>
      <c r="I7195" s="19">
        <f t="shared" si="225"/>
        <v>0</v>
      </c>
    </row>
    <row r="7196" spans="1:9" hidden="1">
      <c r="A7196" s="11" t="s">
        <v>11260</v>
      </c>
      <c r="B7196" s="2" t="s">
        <v>12149</v>
      </c>
      <c r="C7196" s="2" t="s">
        <v>12150</v>
      </c>
      <c r="D7196" s="2"/>
      <c r="E7196" s="2">
        <v>1</v>
      </c>
      <c r="F7196" s="9"/>
      <c r="G7196" s="8">
        <f t="shared" si="224"/>
        <v>22.059288511881569</v>
      </c>
      <c r="H7196" s="8">
        <v>21.008846201791972</v>
      </c>
      <c r="I7196" s="19">
        <f t="shared" si="225"/>
        <v>0</v>
      </c>
    </row>
    <row r="7197" spans="1:9" hidden="1">
      <c r="A7197" s="11" t="s">
        <v>11260</v>
      </c>
      <c r="B7197" s="2" t="s">
        <v>12151</v>
      </c>
      <c r="C7197" s="2" t="s">
        <v>12152</v>
      </c>
      <c r="D7197" s="2"/>
      <c r="E7197" s="2">
        <v>1</v>
      </c>
      <c r="F7197" s="9"/>
      <c r="G7197" s="8">
        <f t="shared" si="224"/>
        <v>31.853139413988654</v>
      </c>
      <c r="H7197" s="8">
        <v>30.336323251417767</v>
      </c>
      <c r="I7197" s="19">
        <f t="shared" si="225"/>
        <v>0</v>
      </c>
    </row>
    <row r="7198" spans="1:9" hidden="1">
      <c r="A7198" s="11" t="s">
        <v>11260</v>
      </c>
      <c r="B7198" s="2" t="s">
        <v>12153</v>
      </c>
      <c r="C7198" s="2" t="s">
        <v>12154</v>
      </c>
      <c r="D7198" s="2"/>
      <c r="E7198" s="2">
        <v>1</v>
      </c>
      <c r="F7198" s="9"/>
      <c r="G7198" s="8">
        <f t="shared" si="224"/>
        <v>0.99793722656250017</v>
      </c>
      <c r="H7198" s="8">
        <v>0.95041640625000012</v>
      </c>
      <c r="I7198" s="19">
        <f t="shared" si="225"/>
        <v>0</v>
      </c>
    </row>
    <row r="7199" spans="1:9" hidden="1">
      <c r="A7199" s="11" t="s">
        <v>11260</v>
      </c>
      <c r="B7199" s="2" t="s">
        <v>12155</v>
      </c>
      <c r="C7199" s="2" t="s">
        <v>12156</v>
      </c>
      <c r="D7199" s="2"/>
      <c r="E7199" s="2">
        <v>1</v>
      </c>
      <c r="F7199" s="9"/>
      <c r="G7199" s="8">
        <f t="shared" si="224"/>
        <v>8.4682936938588433</v>
      </c>
      <c r="H7199" s="8">
        <v>8.0650416131988987</v>
      </c>
      <c r="I7199" s="19">
        <f t="shared" si="225"/>
        <v>0</v>
      </c>
    </row>
    <row r="7200" spans="1:9" hidden="1">
      <c r="A7200" s="11" t="s">
        <v>11260</v>
      </c>
      <c r="B7200" s="2" t="s">
        <v>12157</v>
      </c>
      <c r="C7200" s="2" t="s">
        <v>12158</v>
      </c>
      <c r="D7200" s="2"/>
      <c r="E7200" s="2">
        <v>1</v>
      </c>
      <c r="F7200" s="9"/>
      <c r="G7200" s="8">
        <f t="shared" si="224"/>
        <v>11.62595763448784</v>
      </c>
      <c r="H7200" s="8">
        <v>11.072340604274133</v>
      </c>
      <c r="I7200" s="19">
        <f t="shared" si="225"/>
        <v>0</v>
      </c>
    </row>
    <row r="7201" spans="1:9" hidden="1">
      <c r="A7201" s="11" t="s">
        <v>11260</v>
      </c>
      <c r="B7201" s="2" t="s">
        <v>12159</v>
      </c>
      <c r="C7201" s="2" t="s">
        <v>12160</v>
      </c>
      <c r="D7201" s="2"/>
      <c r="E7201" s="2">
        <v>1</v>
      </c>
      <c r="F7201" s="9"/>
      <c r="G7201" s="8">
        <f t="shared" si="224"/>
        <v>14.346969677419356</v>
      </c>
      <c r="H7201" s="8">
        <v>13.663780645161291</v>
      </c>
      <c r="I7201" s="19">
        <f t="shared" si="225"/>
        <v>0</v>
      </c>
    </row>
    <row r="7202" spans="1:9" hidden="1">
      <c r="A7202" s="11" t="s">
        <v>11260</v>
      </c>
      <c r="B7202" s="2" t="s">
        <v>12161</v>
      </c>
      <c r="C7202" s="2" t="s">
        <v>12162</v>
      </c>
      <c r="D7202" s="2"/>
      <c r="E7202" s="2">
        <v>1</v>
      </c>
      <c r="F7202" s="9"/>
      <c r="G7202" s="8">
        <f t="shared" si="224"/>
        <v>17.059413780120479</v>
      </c>
      <c r="H7202" s="8">
        <v>16.247060742971886</v>
      </c>
      <c r="I7202" s="19">
        <f t="shared" si="225"/>
        <v>0</v>
      </c>
    </row>
    <row r="7203" spans="1:9" hidden="1">
      <c r="A7203" s="11" t="s">
        <v>11260</v>
      </c>
      <c r="B7203" s="2" t="s">
        <v>12163</v>
      </c>
      <c r="C7203" s="2" t="s">
        <v>12164</v>
      </c>
      <c r="D7203" s="2"/>
      <c r="E7203" s="2">
        <v>1</v>
      </c>
      <c r="F7203" s="9"/>
      <c r="G7203" s="8">
        <f t="shared" si="224"/>
        <v>19.761168000000001</v>
      </c>
      <c r="H7203" s="8">
        <v>18.820160000000001</v>
      </c>
      <c r="I7203" s="19">
        <f t="shared" si="225"/>
        <v>0</v>
      </c>
    </row>
    <row r="7204" spans="1:9" hidden="1">
      <c r="A7204" s="11" t="s">
        <v>11260</v>
      </c>
      <c r="B7204" s="2" t="s">
        <v>12165</v>
      </c>
      <c r="C7204" s="2" t="s">
        <v>12166</v>
      </c>
      <c r="D7204" s="2"/>
      <c r="E7204" s="2">
        <v>1</v>
      </c>
      <c r="F7204" s="9"/>
      <c r="G7204" s="8">
        <f t="shared" si="224"/>
        <v>22.540001467225611</v>
      </c>
      <c r="H7204" s="8">
        <v>21.466668064024393</v>
      </c>
      <c r="I7204" s="19">
        <f t="shared" si="225"/>
        <v>0</v>
      </c>
    </row>
    <row r="7205" spans="1:9" hidden="1">
      <c r="A7205" s="11" t="s">
        <v>11260</v>
      </c>
      <c r="B7205" s="2" t="s">
        <v>12167</v>
      </c>
      <c r="C7205" s="2" t="s">
        <v>12168</v>
      </c>
      <c r="D7205" s="2"/>
      <c r="E7205" s="2">
        <v>1</v>
      </c>
      <c r="F7205" s="9"/>
      <c r="G7205" s="8">
        <f t="shared" si="224"/>
        <v>25.233147889908256</v>
      </c>
      <c r="H7205" s="8">
        <v>24.031569418960245</v>
      </c>
      <c r="I7205" s="19">
        <f t="shared" si="225"/>
        <v>0</v>
      </c>
    </row>
    <row r="7206" spans="1:9" hidden="1">
      <c r="A7206" s="11" t="s">
        <v>11260</v>
      </c>
      <c r="B7206" s="2" t="s">
        <v>12169</v>
      </c>
      <c r="C7206" s="2" t="s">
        <v>12170</v>
      </c>
      <c r="D7206" s="2"/>
      <c r="E7206" s="2">
        <v>1</v>
      </c>
      <c r="F7206" s="9"/>
      <c r="G7206" s="8">
        <f t="shared" si="224"/>
        <v>27.960612366482508</v>
      </c>
      <c r="H7206" s="8">
        <v>26.629154634745245</v>
      </c>
      <c r="I7206" s="19">
        <f t="shared" si="225"/>
        <v>0</v>
      </c>
    </row>
    <row r="7207" spans="1:9" hidden="1">
      <c r="A7207" s="11" t="s">
        <v>11260</v>
      </c>
      <c r="B7207" s="2" t="s">
        <v>12171</v>
      </c>
      <c r="C7207" s="2" t="s">
        <v>12172</v>
      </c>
      <c r="D7207" s="2"/>
      <c r="E7207" s="2">
        <v>1</v>
      </c>
      <c r="F7207" s="9"/>
      <c r="G7207" s="8">
        <f t="shared" si="224"/>
        <v>30.670916475524479</v>
      </c>
      <c r="H7207" s="8">
        <v>29.210396643356646</v>
      </c>
      <c r="I7207" s="19">
        <f t="shared" si="225"/>
        <v>0</v>
      </c>
    </row>
    <row r="7208" spans="1:9" hidden="1">
      <c r="A7208" s="11" t="s">
        <v>11260</v>
      </c>
      <c r="B7208" s="2" t="s">
        <v>12173</v>
      </c>
      <c r="C7208" s="2" t="s">
        <v>12174</v>
      </c>
      <c r="D7208" s="2"/>
      <c r="E7208" s="2">
        <v>1</v>
      </c>
      <c r="F7208" s="9"/>
      <c r="G7208" s="8">
        <f t="shared" si="224"/>
        <v>33.394058615463656</v>
      </c>
      <c r="H7208" s="8">
        <v>31.803865348060622</v>
      </c>
      <c r="I7208" s="19">
        <f t="shared" si="225"/>
        <v>0</v>
      </c>
    </row>
    <row r="7209" spans="1:9" hidden="1">
      <c r="A7209" s="11" t="s">
        <v>11260</v>
      </c>
      <c r="B7209" s="2" t="s">
        <v>12175</v>
      </c>
      <c r="C7209" s="2" t="s">
        <v>12176</v>
      </c>
      <c r="D7209" s="2"/>
      <c r="E7209" s="2">
        <v>1</v>
      </c>
      <c r="F7209" s="9"/>
      <c r="G7209" s="8">
        <f t="shared" si="224"/>
        <v>36.097922877492877</v>
      </c>
      <c r="H7209" s="8">
        <v>34.378974169040838</v>
      </c>
      <c r="I7209" s="19">
        <f t="shared" si="225"/>
        <v>0</v>
      </c>
    </row>
    <row r="7210" spans="1:9" hidden="1">
      <c r="A7210" s="11" t="s">
        <v>11260</v>
      </c>
      <c r="B7210" s="2" t="s">
        <v>12177</v>
      </c>
      <c r="C7210" s="2" t="s">
        <v>12178</v>
      </c>
      <c r="D7210" s="2"/>
      <c r="E7210" s="2">
        <v>1</v>
      </c>
      <c r="F7210" s="9"/>
      <c r="G7210" s="8">
        <f t="shared" si="224"/>
        <v>6.6506609060955526</v>
      </c>
      <c r="H7210" s="8">
        <v>6.3339627677100498</v>
      </c>
      <c r="I7210" s="19">
        <f t="shared" si="225"/>
        <v>0</v>
      </c>
    </row>
    <row r="7211" spans="1:9" hidden="1">
      <c r="A7211" s="11" t="s">
        <v>11260</v>
      </c>
      <c r="B7211" s="2" t="s">
        <v>12179</v>
      </c>
      <c r="C7211" s="2" t="s">
        <v>12180</v>
      </c>
      <c r="D7211" s="2"/>
      <c r="E7211" s="2">
        <v>1</v>
      </c>
      <c r="F7211" s="9"/>
      <c r="G7211" s="8">
        <f t="shared" si="224"/>
        <v>6.6506609060955526</v>
      </c>
      <c r="H7211" s="8">
        <v>6.3339627677100498</v>
      </c>
      <c r="I7211" s="19">
        <f t="shared" si="225"/>
        <v>0</v>
      </c>
    </row>
    <row r="7212" spans="1:9" hidden="1">
      <c r="A7212" s="11" t="s">
        <v>11260</v>
      </c>
      <c r="B7212" s="2" t="s">
        <v>12181</v>
      </c>
      <c r="C7212" s="2" t="s">
        <v>12182</v>
      </c>
      <c r="D7212" s="2"/>
      <c r="E7212" s="2">
        <v>1</v>
      </c>
      <c r="F7212" s="9"/>
      <c r="G7212" s="8">
        <f t="shared" si="224"/>
        <v>3.2362615384615387</v>
      </c>
      <c r="H7212" s="8">
        <v>3.0821538461538465</v>
      </c>
      <c r="I7212" s="19">
        <f t="shared" si="225"/>
        <v>0</v>
      </c>
    </row>
    <row r="7213" spans="1:9" hidden="1">
      <c r="A7213" s="11" t="s">
        <v>11260</v>
      </c>
      <c r="B7213" s="2" t="s">
        <v>12183</v>
      </c>
      <c r="C7213" s="2" t="s">
        <v>12184</v>
      </c>
      <c r="D7213" s="2"/>
      <c r="E7213" s="2">
        <v>1</v>
      </c>
      <c r="F7213" s="9"/>
      <c r="G7213" s="8">
        <f t="shared" si="224"/>
        <v>3.2362615384615387</v>
      </c>
      <c r="H7213" s="8">
        <v>3.0821538461538465</v>
      </c>
      <c r="I7213" s="19">
        <f t="shared" si="225"/>
        <v>0</v>
      </c>
    </row>
    <row r="7214" spans="1:9" hidden="1">
      <c r="A7214" s="11" t="s">
        <v>11260</v>
      </c>
      <c r="B7214" s="2" t="s">
        <v>12185</v>
      </c>
      <c r="C7214" s="2" t="s">
        <v>12186</v>
      </c>
      <c r="D7214" s="2"/>
      <c r="E7214" s="2">
        <v>1</v>
      </c>
      <c r="F7214" s="9"/>
      <c r="G7214" s="8">
        <f t="shared" si="224"/>
        <v>10.146466902502159</v>
      </c>
      <c r="H7214" s="8">
        <v>9.6633018119068179</v>
      </c>
      <c r="I7214" s="19">
        <f t="shared" si="225"/>
        <v>0</v>
      </c>
    </row>
    <row r="7215" spans="1:9" hidden="1">
      <c r="A7215" s="11" t="s">
        <v>11260</v>
      </c>
      <c r="B7215" s="2" t="s">
        <v>12187</v>
      </c>
      <c r="C7215" s="2" t="s">
        <v>12188</v>
      </c>
      <c r="D7215" s="2"/>
      <c r="E7215" s="2">
        <v>1</v>
      </c>
      <c r="F7215" s="9"/>
      <c r="G7215" s="8">
        <f t="shared" si="224"/>
        <v>13.148478886283707</v>
      </c>
      <c r="H7215" s="8">
        <v>12.522360844079721</v>
      </c>
      <c r="I7215" s="19">
        <f t="shared" si="225"/>
        <v>0</v>
      </c>
    </row>
    <row r="7216" spans="1:9" hidden="1">
      <c r="A7216" s="11" t="s">
        <v>11260</v>
      </c>
      <c r="B7216" s="2" t="s">
        <v>12189</v>
      </c>
      <c r="C7216" s="2" t="s">
        <v>12190</v>
      </c>
      <c r="D7216" s="2"/>
      <c r="E7216" s="2">
        <v>1</v>
      </c>
      <c r="F7216" s="9"/>
      <c r="G7216" s="8">
        <f t="shared" si="224"/>
        <v>11.763905440573772</v>
      </c>
      <c r="H7216" s="8">
        <v>11.203719467213116</v>
      </c>
      <c r="I7216" s="19">
        <f t="shared" si="225"/>
        <v>0</v>
      </c>
    </row>
    <row r="7217" spans="1:9" hidden="1">
      <c r="A7217" s="11" t="s">
        <v>11260</v>
      </c>
      <c r="B7217" s="2" t="s">
        <v>12191</v>
      </c>
      <c r="C7217" s="2" t="s">
        <v>12192</v>
      </c>
      <c r="D7217" s="2"/>
      <c r="E7217" s="2">
        <v>1</v>
      </c>
      <c r="F7217" s="9"/>
      <c r="G7217" s="8">
        <f t="shared" si="224"/>
        <v>16.932704563394182</v>
      </c>
      <c r="H7217" s="8">
        <v>16.126385298470648</v>
      </c>
      <c r="I7217" s="19">
        <f t="shared" si="225"/>
        <v>0</v>
      </c>
    </row>
    <row r="7218" spans="1:9" hidden="1">
      <c r="A7218" s="11" t="s">
        <v>11260</v>
      </c>
      <c r="B7218" s="2" t="s">
        <v>12193</v>
      </c>
      <c r="C7218" s="2" t="s">
        <v>12194</v>
      </c>
      <c r="D7218" s="2"/>
      <c r="E7218" s="2">
        <v>1</v>
      </c>
      <c r="F7218" s="9"/>
      <c r="G7218" s="8">
        <f t="shared" si="224"/>
        <v>18.184616903602723</v>
      </c>
      <c r="H7218" s="8">
        <v>17.318682765335929</v>
      </c>
      <c r="I7218" s="19">
        <f t="shared" si="225"/>
        <v>0</v>
      </c>
    </row>
    <row r="7219" spans="1:9" hidden="1">
      <c r="A7219" s="11" t="s">
        <v>11260</v>
      </c>
      <c r="B7219" s="2" t="s">
        <v>12195</v>
      </c>
      <c r="C7219" s="2" t="s">
        <v>12196</v>
      </c>
      <c r="D7219" s="2"/>
      <c r="E7219" s="2">
        <v>1</v>
      </c>
      <c r="F7219" s="9"/>
      <c r="G7219" s="8">
        <f t="shared" si="224"/>
        <v>12.444123673469386</v>
      </c>
      <c r="H7219" s="8">
        <v>11.85154635568513</v>
      </c>
      <c r="I7219" s="19">
        <f t="shared" si="225"/>
        <v>0</v>
      </c>
    </row>
    <row r="7220" spans="1:9" hidden="1">
      <c r="A7220" s="11" t="s">
        <v>11260</v>
      </c>
      <c r="B7220" s="2" t="s">
        <v>12197</v>
      </c>
      <c r="C7220" s="2" t="s">
        <v>12198</v>
      </c>
      <c r="D7220" s="2"/>
      <c r="E7220" s="2">
        <v>1</v>
      </c>
      <c r="F7220" s="9"/>
      <c r="G7220" s="8">
        <f t="shared" si="224"/>
        <v>18.632590339116717</v>
      </c>
      <c r="H7220" s="8">
        <v>17.745324132492112</v>
      </c>
      <c r="I7220" s="19">
        <f t="shared" si="225"/>
        <v>0</v>
      </c>
    </row>
    <row r="7221" spans="1:9" hidden="1">
      <c r="A7221" s="11" t="s">
        <v>11260</v>
      </c>
      <c r="B7221" s="2" t="s">
        <v>12199</v>
      </c>
      <c r="C7221" s="2" t="s">
        <v>12200</v>
      </c>
      <c r="D7221" s="2"/>
      <c r="E7221" s="2">
        <v>1</v>
      </c>
      <c r="F7221" s="9"/>
      <c r="G7221" s="8">
        <f t="shared" si="224"/>
        <v>18.862046987389075</v>
      </c>
      <c r="H7221" s="8">
        <v>17.96385427370388</v>
      </c>
      <c r="I7221" s="19">
        <f t="shared" si="225"/>
        <v>0</v>
      </c>
    </row>
    <row r="7222" spans="1:9" hidden="1">
      <c r="A7222" s="11" t="s">
        <v>11260</v>
      </c>
      <c r="B7222" s="2" t="s">
        <v>12201</v>
      </c>
      <c r="C7222" s="2" t="s">
        <v>12202</v>
      </c>
      <c r="D7222" s="2"/>
      <c r="E7222" s="2">
        <v>1</v>
      </c>
      <c r="F7222" s="9"/>
      <c r="G7222" s="8">
        <f t="shared" si="224"/>
        <v>19.448779341926731</v>
      </c>
      <c r="H7222" s="8">
        <v>18.522646992311174</v>
      </c>
      <c r="I7222" s="19">
        <f t="shared" si="225"/>
        <v>0</v>
      </c>
    </row>
    <row r="7223" spans="1:9" hidden="1">
      <c r="A7223" s="11" t="s">
        <v>11260</v>
      </c>
      <c r="B7223" s="2" t="s">
        <v>12203</v>
      </c>
      <c r="C7223" s="2" t="s">
        <v>12204</v>
      </c>
      <c r="D7223" s="2"/>
      <c r="E7223" s="2">
        <v>1</v>
      </c>
      <c r="F7223" s="9"/>
      <c r="G7223" s="8">
        <f t="shared" si="224"/>
        <v>20.308845597920275</v>
      </c>
      <c r="H7223" s="8">
        <v>19.341757712305025</v>
      </c>
      <c r="I7223" s="19">
        <f t="shared" si="225"/>
        <v>0</v>
      </c>
    </row>
    <row r="7224" spans="1:9" hidden="1">
      <c r="A7224" s="11" t="s">
        <v>11260</v>
      </c>
      <c r="B7224" s="2" t="s">
        <v>12205</v>
      </c>
      <c r="C7224" s="2" t="s">
        <v>12206</v>
      </c>
      <c r="D7224" s="2"/>
      <c r="E7224" s="2">
        <v>1</v>
      </c>
      <c r="F7224" s="9"/>
      <c r="G7224" s="8">
        <f t="shared" si="224"/>
        <v>19.742826606851551</v>
      </c>
      <c r="H7224" s="8">
        <v>18.802692006525287</v>
      </c>
      <c r="I7224" s="19">
        <f t="shared" si="225"/>
        <v>0</v>
      </c>
    </row>
    <row r="7225" spans="1:9" hidden="1">
      <c r="A7225" s="11" t="s">
        <v>11260</v>
      </c>
      <c r="B7225" s="2" t="s">
        <v>12207</v>
      </c>
      <c r="C7225" s="2" t="s">
        <v>12208</v>
      </c>
      <c r="D7225" s="2"/>
      <c r="E7225" s="2">
        <v>1</v>
      </c>
      <c r="F7225" s="9"/>
      <c r="G7225" s="8">
        <f t="shared" si="224"/>
        <v>17.60132626107502</v>
      </c>
      <c r="H7225" s="8">
        <v>16.763167867690495</v>
      </c>
      <c r="I7225" s="19">
        <f t="shared" si="225"/>
        <v>0</v>
      </c>
    </row>
    <row r="7226" spans="1:9" hidden="1">
      <c r="A7226" s="11" t="s">
        <v>11260</v>
      </c>
      <c r="B7226" s="2" t="s">
        <v>12209</v>
      </c>
      <c r="C7226" s="2" t="s">
        <v>12210</v>
      </c>
      <c r="D7226" s="2"/>
      <c r="E7226" s="2">
        <v>1</v>
      </c>
      <c r="F7226" s="9"/>
      <c r="G7226" s="8">
        <f t="shared" si="224"/>
        <v>21.896138354700856</v>
      </c>
      <c r="H7226" s="8">
        <v>20.853465099715102</v>
      </c>
      <c r="I7226" s="19">
        <f t="shared" si="225"/>
        <v>0</v>
      </c>
    </row>
    <row r="7227" spans="1:9" hidden="1">
      <c r="A7227" s="11" t="s">
        <v>11260</v>
      </c>
      <c r="B7227" s="2" t="s">
        <v>12211</v>
      </c>
      <c r="C7227" s="2" t="s">
        <v>12212</v>
      </c>
      <c r="D7227" s="2"/>
      <c r="E7227" s="2">
        <v>1</v>
      </c>
      <c r="F7227" s="9"/>
      <c r="G7227" s="8">
        <f t="shared" si="224"/>
        <v>20.682336143953936</v>
      </c>
      <c r="H7227" s="8">
        <v>19.697462994241842</v>
      </c>
      <c r="I7227" s="19">
        <f t="shared" si="225"/>
        <v>0</v>
      </c>
    </row>
    <row r="7228" spans="1:9" hidden="1">
      <c r="A7228" s="11" t="s">
        <v>11260</v>
      </c>
      <c r="B7228" s="2" t="s">
        <v>12213</v>
      </c>
      <c r="C7228" s="2" t="s">
        <v>12214</v>
      </c>
      <c r="D7228" s="2"/>
      <c r="E7228" s="2">
        <v>1</v>
      </c>
      <c r="F7228" s="9"/>
      <c r="G7228" s="8">
        <f t="shared" si="224"/>
        <v>21.24504121531632</v>
      </c>
      <c r="H7228" s="8">
        <v>20.233372586015541</v>
      </c>
      <c r="I7228" s="19">
        <f t="shared" si="225"/>
        <v>0</v>
      </c>
    </row>
    <row r="7229" spans="1:9" hidden="1">
      <c r="A7229" s="11" t="s">
        <v>11260</v>
      </c>
      <c r="B7229" s="2" t="s">
        <v>12215</v>
      </c>
      <c r="C7229" s="2" t="s">
        <v>12216</v>
      </c>
      <c r="D7229" s="2"/>
      <c r="E7229" s="2">
        <v>1</v>
      </c>
      <c r="F7229" s="9"/>
      <c r="G7229" s="8">
        <f t="shared" si="224"/>
        <v>17.038695933609958</v>
      </c>
      <c r="H7229" s="8">
        <v>16.227329460580911</v>
      </c>
      <c r="I7229" s="19">
        <f t="shared" si="225"/>
        <v>0</v>
      </c>
    </row>
    <row r="7230" spans="1:9" hidden="1">
      <c r="A7230" s="11" t="s">
        <v>11260</v>
      </c>
      <c r="B7230" s="2" t="s">
        <v>12217</v>
      </c>
      <c r="C7230" s="2" t="s">
        <v>12218</v>
      </c>
      <c r="D7230" s="2"/>
      <c r="E7230" s="2">
        <v>1</v>
      </c>
      <c r="F7230" s="9"/>
      <c r="G7230" s="8">
        <f t="shared" si="224"/>
        <v>21.912727275000002</v>
      </c>
      <c r="H7230" s="8">
        <v>20.869264071428574</v>
      </c>
      <c r="I7230" s="19">
        <f t="shared" si="225"/>
        <v>0</v>
      </c>
    </row>
    <row r="7231" spans="1:9" hidden="1">
      <c r="A7231" s="11" t="s">
        <v>11260</v>
      </c>
      <c r="B7231" s="2" t="s">
        <v>12219</v>
      </c>
      <c r="C7231" s="2" t="s">
        <v>12220</v>
      </c>
      <c r="D7231" s="2"/>
      <c r="E7231" s="2">
        <v>1</v>
      </c>
      <c r="F7231" s="9"/>
      <c r="G7231" s="8">
        <f t="shared" si="224"/>
        <v>21.772536929170553</v>
      </c>
      <c r="H7231" s="8">
        <v>20.735749456352906</v>
      </c>
      <c r="I7231" s="19">
        <f t="shared" si="225"/>
        <v>0</v>
      </c>
    </row>
    <row r="7232" spans="1:9" hidden="1">
      <c r="A7232" s="11" t="s">
        <v>11260</v>
      </c>
      <c r="B7232" s="2" t="s">
        <v>12221</v>
      </c>
      <c r="C7232" s="2" t="s">
        <v>12222</v>
      </c>
      <c r="D7232" s="2"/>
      <c r="E7232" s="2">
        <v>1</v>
      </c>
      <c r="F7232" s="9"/>
      <c r="G7232" s="8">
        <f t="shared" si="224"/>
        <v>26.47850966268447</v>
      </c>
      <c r="H7232" s="8">
        <v>25.217628250175686</v>
      </c>
      <c r="I7232" s="19">
        <f t="shared" si="225"/>
        <v>0</v>
      </c>
    </row>
    <row r="7233" spans="1:9" hidden="1">
      <c r="A7233" s="11" t="s">
        <v>11260</v>
      </c>
      <c r="B7233" s="2" t="s">
        <v>12223</v>
      </c>
      <c r="C7233" s="2" t="s">
        <v>12224</v>
      </c>
      <c r="D7233" s="2"/>
      <c r="E7233" s="2">
        <v>1</v>
      </c>
      <c r="F7233" s="9"/>
      <c r="G7233" s="8">
        <f t="shared" si="224"/>
        <v>26.789601036757777</v>
      </c>
      <c r="H7233" s="8">
        <v>25.513905749293119</v>
      </c>
      <c r="I7233" s="19">
        <f t="shared" si="225"/>
        <v>0</v>
      </c>
    </row>
    <row r="7234" spans="1:9" hidden="1">
      <c r="A7234" s="11" t="s">
        <v>11260</v>
      </c>
      <c r="B7234" s="2" t="s">
        <v>12225</v>
      </c>
      <c r="C7234" s="2" t="s">
        <v>12226</v>
      </c>
      <c r="D7234" s="2"/>
      <c r="E7234" s="2">
        <v>1</v>
      </c>
      <c r="F7234" s="9"/>
      <c r="G7234" s="8">
        <f t="shared" si="224"/>
        <v>14.844691453287199</v>
      </c>
      <c r="H7234" s="8">
        <v>14.137801384083046</v>
      </c>
      <c r="I7234" s="19">
        <f t="shared" si="225"/>
        <v>0</v>
      </c>
    </row>
    <row r="7235" spans="1:9" hidden="1">
      <c r="A7235" s="11" t="s">
        <v>11260</v>
      </c>
      <c r="B7235" s="2" t="s">
        <v>12227</v>
      </c>
      <c r="C7235" s="2" t="s">
        <v>12228</v>
      </c>
      <c r="D7235" s="2"/>
      <c r="E7235" s="2">
        <v>1</v>
      </c>
      <c r="F7235" s="9"/>
      <c r="G7235" s="8">
        <f t="shared" si="224"/>
        <v>7.4309273134328366</v>
      </c>
      <c r="H7235" s="8">
        <v>7.077073631840797</v>
      </c>
      <c r="I7235" s="19">
        <f t="shared" si="225"/>
        <v>0</v>
      </c>
    </row>
    <row r="7236" spans="1:9" hidden="1">
      <c r="A7236" s="11" t="s">
        <v>11260</v>
      </c>
      <c r="B7236" s="2" t="s">
        <v>12229</v>
      </c>
      <c r="C7236" s="2" t="s">
        <v>12230</v>
      </c>
      <c r="D7236" s="2"/>
      <c r="E7236" s="2">
        <v>1</v>
      </c>
      <c r="F7236" s="9"/>
      <c r="G7236" s="8">
        <f t="shared" si="224"/>
        <v>7.4309273134328366</v>
      </c>
      <c r="H7236" s="8">
        <v>7.077073631840797</v>
      </c>
      <c r="I7236" s="19">
        <f t="shared" si="225"/>
        <v>0</v>
      </c>
    </row>
    <row r="7237" spans="1:9" hidden="1">
      <c r="A7237" s="11" t="s">
        <v>11260</v>
      </c>
      <c r="B7237" s="2" t="s">
        <v>12231</v>
      </c>
      <c r="C7237" s="2" t="s">
        <v>12232</v>
      </c>
      <c r="D7237" s="2"/>
      <c r="E7237" s="2">
        <v>1</v>
      </c>
      <c r="F7237" s="9"/>
      <c r="G7237" s="8">
        <f t="shared" si="224"/>
        <v>14.323600933371626</v>
      </c>
      <c r="H7237" s="8">
        <v>13.641524698449167</v>
      </c>
      <c r="I7237" s="19">
        <f t="shared" si="225"/>
        <v>0</v>
      </c>
    </row>
    <row r="7238" spans="1:9" hidden="1">
      <c r="A7238" s="11" t="s">
        <v>11260</v>
      </c>
      <c r="B7238" s="2" t="s">
        <v>12233</v>
      </c>
      <c r="C7238" s="2" t="s">
        <v>12234</v>
      </c>
      <c r="D7238" s="2"/>
      <c r="E7238" s="2">
        <v>1</v>
      </c>
      <c r="F7238" s="9"/>
      <c r="G7238" s="8">
        <f t="shared" si="224"/>
        <v>15.940130281582954</v>
      </c>
      <c r="H7238" s="8">
        <v>15.181076458650432</v>
      </c>
      <c r="I7238" s="19">
        <f t="shared" si="225"/>
        <v>0</v>
      </c>
    </row>
    <row r="7239" spans="1:9" hidden="1">
      <c r="A7239" s="11" t="s">
        <v>11260</v>
      </c>
      <c r="B7239" s="2" t="s">
        <v>12235</v>
      </c>
      <c r="C7239" s="2" t="s">
        <v>12236</v>
      </c>
      <c r="D7239" s="2"/>
      <c r="E7239" s="2">
        <v>1</v>
      </c>
      <c r="F7239" s="9"/>
      <c r="G7239" s="8">
        <f t="shared" si="224"/>
        <v>19.354501984732824</v>
      </c>
      <c r="H7239" s="8">
        <v>18.432859033078881</v>
      </c>
      <c r="I7239" s="19">
        <f t="shared" si="225"/>
        <v>0</v>
      </c>
    </row>
    <row r="7240" spans="1:9" hidden="1">
      <c r="A7240" s="11" t="s">
        <v>11260</v>
      </c>
      <c r="B7240" s="2" t="s">
        <v>12237</v>
      </c>
      <c r="C7240" s="2" t="s">
        <v>12238</v>
      </c>
      <c r="D7240" s="2"/>
      <c r="E7240" s="2">
        <v>1</v>
      </c>
      <c r="F7240" s="9"/>
      <c r="G7240" s="8">
        <f t="shared" si="224"/>
        <v>18.007704457478003</v>
      </c>
      <c r="H7240" s="8">
        <v>17.150194721407622</v>
      </c>
      <c r="I7240" s="19">
        <f t="shared" si="225"/>
        <v>0</v>
      </c>
    </row>
    <row r="7241" spans="1:9" hidden="1">
      <c r="A7241" s="11" t="s">
        <v>11260</v>
      </c>
      <c r="B7241" s="2" t="s">
        <v>12239</v>
      </c>
      <c r="C7241" s="2" t="s">
        <v>12240</v>
      </c>
      <c r="D7241" s="2"/>
      <c r="E7241" s="2">
        <v>1</v>
      </c>
      <c r="F7241" s="9"/>
      <c r="G7241" s="8">
        <f t="shared" si="224"/>
        <v>21.610295958904111</v>
      </c>
      <c r="H7241" s="8">
        <v>20.581234246575342</v>
      </c>
      <c r="I7241" s="19">
        <f t="shared" si="225"/>
        <v>0</v>
      </c>
    </row>
    <row r="7242" spans="1:9" hidden="1">
      <c r="A7242" s="11" t="s">
        <v>11260</v>
      </c>
      <c r="B7242" s="2" t="s">
        <v>12241</v>
      </c>
      <c r="C7242" s="2" t="s">
        <v>12242</v>
      </c>
      <c r="D7242" s="2"/>
      <c r="E7242" s="2">
        <v>1</v>
      </c>
      <c r="F7242" s="9"/>
      <c r="G7242" s="8">
        <f t="shared" si="224"/>
        <v>20.282790294117646</v>
      </c>
      <c r="H7242" s="8">
        <v>19.316943137254903</v>
      </c>
      <c r="I7242" s="19">
        <f t="shared" si="225"/>
        <v>0</v>
      </c>
    </row>
    <row r="7243" spans="1:9" hidden="1">
      <c r="A7243" s="11" t="s">
        <v>11260</v>
      </c>
      <c r="B7243" s="2" t="s">
        <v>12243</v>
      </c>
      <c r="C7243" s="2" t="s">
        <v>12244</v>
      </c>
      <c r="D7243" s="2"/>
      <c r="E7243" s="2">
        <v>1</v>
      </c>
      <c r="F7243" s="9"/>
      <c r="G7243" s="8">
        <f t="shared" si="224"/>
        <v>9.8326375000000006</v>
      </c>
      <c r="H7243" s="8">
        <v>9.3644166666666671</v>
      </c>
      <c r="I7243" s="19">
        <f t="shared" si="225"/>
        <v>0</v>
      </c>
    </row>
    <row r="7244" spans="1:9" hidden="1">
      <c r="A7244" s="11" t="s">
        <v>11260</v>
      </c>
      <c r="B7244" s="2" t="s">
        <v>12245</v>
      </c>
      <c r="C7244" s="2" t="s">
        <v>12246</v>
      </c>
      <c r="D7244" s="2"/>
      <c r="E7244" s="2">
        <v>1</v>
      </c>
      <c r="F7244" s="9"/>
      <c r="G7244" s="8">
        <f t="shared" si="224"/>
        <v>10.916022332789559</v>
      </c>
      <c r="H7244" s="8">
        <v>10.396211745513867</v>
      </c>
      <c r="I7244" s="19">
        <f t="shared" si="225"/>
        <v>0</v>
      </c>
    </row>
    <row r="7245" spans="1:9" hidden="1">
      <c r="A7245" s="11" t="s">
        <v>11260</v>
      </c>
      <c r="B7245" s="2" t="s">
        <v>12247</v>
      </c>
      <c r="C7245" s="2" t="s">
        <v>12248</v>
      </c>
      <c r="D7245" s="2"/>
      <c r="E7245" s="2">
        <v>1</v>
      </c>
      <c r="F7245" s="9"/>
      <c r="G7245" s="8">
        <f t="shared" si="224"/>
        <v>11.188182028639618</v>
      </c>
      <c r="H7245" s="8">
        <v>10.655411455847256</v>
      </c>
      <c r="I7245" s="19">
        <f t="shared" si="225"/>
        <v>0</v>
      </c>
    </row>
    <row r="7246" spans="1:9" hidden="1">
      <c r="A7246" s="11" t="s">
        <v>11260</v>
      </c>
      <c r="B7246" s="2" t="s">
        <v>12249</v>
      </c>
      <c r="C7246" s="2" t="s">
        <v>12250</v>
      </c>
      <c r="D7246" s="2"/>
      <c r="E7246" s="2">
        <v>1</v>
      </c>
      <c r="F7246" s="9"/>
      <c r="G7246" s="8">
        <f t="shared" si="224"/>
        <v>12.269774466618292</v>
      </c>
      <c r="H7246" s="8">
        <v>11.685499492017421</v>
      </c>
      <c r="I7246" s="19">
        <f t="shared" si="225"/>
        <v>0</v>
      </c>
    </row>
    <row r="7247" spans="1:9" hidden="1">
      <c r="A7247" s="11" t="s">
        <v>11260</v>
      </c>
      <c r="B7247" s="2" t="s">
        <v>12251</v>
      </c>
      <c r="C7247" s="2" t="s">
        <v>12252</v>
      </c>
      <c r="D7247" s="2"/>
      <c r="E7247" s="2">
        <v>1</v>
      </c>
      <c r="F7247" s="9"/>
      <c r="G7247" s="8">
        <f t="shared" si="224"/>
        <v>12.986802043269233</v>
      </c>
      <c r="H7247" s="8">
        <v>12.36838289835165</v>
      </c>
      <c r="I7247" s="19">
        <f t="shared" si="225"/>
        <v>0</v>
      </c>
    </row>
    <row r="7248" spans="1:9" hidden="1">
      <c r="A7248" s="11" t="s">
        <v>11260</v>
      </c>
      <c r="B7248" s="2" t="s">
        <v>12253</v>
      </c>
      <c r="C7248" s="2" t="s">
        <v>12254</v>
      </c>
      <c r="D7248" s="2"/>
      <c r="E7248" s="2">
        <v>1</v>
      </c>
      <c r="F7248" s="9"/>
      <c r="G7248" s="8">
        <f t="shared" si="224"/>
        <v>14.210726694915252</v>
      </c>
      <c r="H7248" s="8">
        <v>13.534025423728812</v>
      </c>
      <c r="I7248" s="19">
        <f t="shared" si="225"/>
        <v>0</v>
      </c>
    </row>
    <row r="7249" spans="1:9" hidden="1">
      <c r="A7249" s="11" t="s">
        <v>11260</v>
      </c>
      <c r="B7249" s="2" t="s">
        <v>12255</v>
      </c>
      <c r="C7249" s="2" t="s">
        <v>12256</v>
      </c>
      <c r="D7249" s="2"/>
      <c r="E7249" s="2">
        <v>1</v>
      </c>
      <c r="F7249" s="9"/>
      <c r="G7249" s="8">
        <f t="shared" si="224"/>
        <v>16.427560882352942</v>
      </c>
      <c r="H7249" s="8">
        <v>15.645296078431373</v>
      </c>
      <c r="I7249" s="19">
        <f t="shared" si="225"/>
        <v>0</v>
      </c>
    </row>
    <row r="7250" spans="1:9" hidden="1">
      <c r="A7250" s="11" t="s">
        <v>11260</v>
      </c>
      <c r="B7250" s="2" t="s">
        <v>12257</v>
      </c>
      <c r="C7250" s="2" t="s">
        <v>12258</v>
      </c>
      <c r="D7250" s="2"/>
      <c r="E7250" s="2">
        <v>1</v>
      </c>
      <c r="F7250" s="9"/>
      <c r="G7250" s="8">
        <f t="shared" si="224"/>
        <v>17.882143076517153</v>
      </c>
      <c r="H7250" s="8">
        <v>17.03061245382586</v>
      </c>
      <c r="I7250" s="19">
        <f t="shared" si="225"/>
        <v>0</v>
      </c>
    </row>
    <row r="7251" spans="1:9" hidden="1">
      <c r="A7251" s="11" t="s">
        <v>11260</v>
      </c>
      <c r="B7251" s="2" t="s">
        <v>12259</v>
      </c>
      <c r="C7251" s="2" t="s">
        <v>12260</v>
      </c>
      <c r="D7251" s="2"/>
      <c r="E7251" s="2">
        <v>1</v>
      </c>
      <c r="F7251" s="9"/>
      <c r="G7251" s="8">
        <f t="shared" si="224"/>
        <v>19.156582727697337</v>
      </c>
      <c r="H7251" s="8">
        <v>18.244364502568892</v>
      </c>
      <c r="I7251" s="19">
        <f t="shared" si="225"/>
        <v>0</v>
      </c>
    </row>
    <row r="7252" spans="1:9" hidden="1">
      <c r="A7252" s="11" t="s">
        <v>11260</v>
      </c>
      <c r="B7252" s="2" t="s">
        <v>12261</v>
      </c>
      <c r="C7252" s="2" t="s">
        <v>12262</v>
      </c>
      <c r="D7252" s="2"/>
      <c r="E7252" s="2">
        <v>1</v>
      </c>
      <c r="F7252" s="9"/>
      <c r="G7252" s="8">
        <f t="shared" ref="G7252:G7315" si="226">H7252+(H7252*5%)</f>
        <v>20.569393257641924</v>
      </c>
      <c r="H7252" s="8">
        <v>19.589898340611356</v>
      </c>
      <c r="I7252" s="19">
        <f t="shared" ref="I7252:I7315" si="227">G7252*F7252</f>
        <v>0</v>
      </c>
    </row>
    <row r="7253" spans="1:9" hidden="1">
      <c r="A7253" s="11" t="s">
        <v>11260</v>
      </c>
      <c r="B7253" s="2" t="s">
        <v>12263</v>
      </c>
      <c r="C7253" s="2" t="s">
        <v>12264</v>
      </c>
      <c r="D7253" s="2"/>
      <c r="E7253" s="2">
        <v>1</v>
      </c>
      <c r="F7253" s="9"/>
      <c r="G7253" s="8">
        <f t="shared" si="226"/>
        <v>21.944666475644699</v>
      </c>
      <c r="H7253" s="8">
        <v>20.899682357756856</v>
      </c>
      <c r="I7253" s="19">
        <f t="shared" si="227"/>
        <v>0</v>
      </c>
    </row>
    <row r="7254" spans="1:9" hidden="1">
      <c r="A7254" s="11" t="s">
        <v>11260</v>
      </c>
      <c r="B7254" s="2" t="s">
        <v>12265</v>
      </c>
      <c r="C7254" s="2" t="s">
        <v>12266</v>
      </c>
      <c r="D7254" s="2"/>
      <c r="E7254" s="2">
        <v>1</v>
      </c>
      <c r="F7254" s="9"/>
      <c r="G7254" s="8">
        <f t="shared" si="226"/>
        <v>24.660919469476745</v>
      </c>
      <c r="H7254" s="8">
        <v>23.486589970930233</v>
      </c>
      <c r="I7254" s="19">
        <f t="shared" si="227"/>
        <v>0</v>
      </c>
    </row>
    <row r="7255" spans="1:9" hidden="1">
      <c r="A7255" s="11" t="s">
        <v>11260</v>
      </c>
      <c r="B7255" s="2" t="s">
        <v>12267</v>
      </c>
      <c r="C7255" s="2" t="s">
        <v>12268</v>
      </c>
      <c r="D7255" s="2"/>
      <c r="E7255" s="2">
        <v>1</v>
      </c>
      <c r="F7255" s="9"/>
      <c r="G7255" s="8">
        <f t="shared" si="226"/>
        <v>30.890800593376266</v>
      </c>
      <c r="H7255" s="8">
        <v>29.419810088929776</v>
      </c>
      <c r="I7255" s="19">
        <f t="shared" si="227"/>
        <v>0</v>
      </c>
    </row>
    <row r="7256" spans="1:9" hidden="1">
      <c r="A7256" s="11" t="s">
        <v>11260</v>
      </c>
      <c r="B7256" s="2" t="s">
        <v>12269</v>
      </c>
      <c r="C7256" s="2" t="s">
        <v>12270</v>
      </c>
      <c r="D7256" s="2"/>
      <c r="E7256" s="2">
        <v>1</v>
      </c>
      <c r="F7256" s="9"/>
      <c r="G7256" s="8">
        <f t="shared" si="226"/>
        <v>32.943036659836068</v>
      </c>
      <c r="H7256" s="8">
        <v>31.374320628415305</v>
      </c>
      <c r="I7256" s="19">
        <f t="shared" si="227"/>
        <v>0</v>
      </c>
    </row>
    <row r="7257" spans="1:9" hidden="1">
      <c r="A7257" s="11" t="s">
        <v>11260</v>
      </c>
      <c r="B7257" s="2" t="s">
        <v>12271</v>
      </c>
      <c r="C7257" s="2" t="s">
        <v>12272</v>
      </c>
      <c r="D7257" s="2"/>
      <c r="E7257" s="2">
        <v>1</v>
      </c>
      <c r="F7257" s="9"/>
      <c r="G7257" s="8">
        <f t="shared" si="226"/>
        <v>8.418210220858894</v>
      </c>
      <c r="H7257" s="8">
        <v>8.0173430674846617</v>
      </c>
      <c r="I7257" s="19">
        <f t="shared" si="227"/>
        <v>0</v>
      </c>
    </row>
    <row r="7258" spans="1:9" hidden="1">
      <c r="A7258" s="11" t="s">
        <v>11260</v>
      </c>
      <c r="B7258" s="2" t="s">
        <v>12273</v>
      </c>
      <c r="C7258" s="2" t="s">
        <v>12274</v>
      </c>
      <c r="D7258" s="2"/>
      <c r="E7258" s="2">
        <v>1</v>
      </c>
      <c r="F7258" s="9"/>
      <c r="G7258" s="8">
        <f t="shared" si="226"/>
        <v>9.0998833995459716</v>
      </c>
      <c r="H7258" s="8">
        <v>8.6665556186152113</v>
      </c>
      <c r="I7258" s="19">
        <f t="shared" si="227"/>
        <v>0</v>
      </c>
    </row>
    <row r="7259" spans="1:9" hidden="1">
      <c r="A7259" s="11" t="s">
        <v>11260</v>
      </c>
      <c r="B7259" s="2" t="s">
        <v>12275</v>
      </c>
      <c r="C7259" s="2" t="s">
        <v>12276</v>
      </c>
      <c r="D7259" s="2"/>
      <c r="E7259" s="2">
        <v>1</v>
      </c>
      <c r="F7259" s="9"/>
      <c r="G7259" s="8">
        <f t="shared" si="226"/>
        <v>9.7903678214665266</v>
      </c>
      <c r="H7259" s="8">
        <v>9.3241598299681208</v>
      </c>
      <c r="I7259" s="19">
        <f t="shared" si="227"/>
        <v>0</v>
      </c>
    </row>
    <row r="7260" spans="1:9" hidden="1">
      <c r="A7260" s="11" t="s">
        <v>11260</v>
      </c>
      <c r="B7260" s="2" t="s">
        <v>12277</v>
      </c>
      <c r="C7260" s="2" t="s">
        <v>12278</v>
      </c>
      <c r="D7260" s="2"/>
      <c r="E7260" s="2">
        <v>1</v>
      </c>
      <c r="F7260" s="9"/>
      <c r="G7260" s="8">
        <f t="shared" si="226"/>
        <v>10.47203454816286</v>
      </c>
      <c r="H7260" s="8">
        <v>9.9733662363455799</v>
      </c>
      <c r="I7260" s="19">
        <f t="shared" si="227"/>
        <v>0</v>
      </c>
    </row>
    <row r="7261" spans="1:9" hidden="1">
      <c r="A7261" s="11" t="s">
        <v>11260</v>
      </c>
      <c r="B7261" s="2" t="s">
        <v>12279</v>
      </c>
      <c r="C7261" s="2" t="s">
        <v>12280</v>
      </c>
      <c r="D7261" s="2"/>
      <c r="E7261" s="2">
        <v>1</v>
      </c>
      <c r="F7261" s="9"/>
      <c r="G7261" s="8">
        <f t="shared" si="226"/>
        <v>11.143199468779123</v>
      </c>
      <c r="H7261" s="8">
        <v>10.612570922646784</v>
      </c>
      <c r="I7261" s="19">
        <f t="shared" si="227"/>
        <v>0</v>
      </c>
    </row>
    <row r="7262" spans="1:9" hidden="1">
      <c r="A7262" s="11" t="s">
        <v>11260</v>
      </c>
      <c r="B7262" s="2" t="s">
        <v>12281</v>
      </c>
      <c r="C7262" s="2" t="s">
        <v>12282</v>
      </c>
      <c r="D7262" s="2"/>
      <c r="E7262" s="2">
        <v>1</v>
      </c>
      <c r="F7262" s="9"/>
      <c r="G7262" s="8">
        <f t="shared" si="226"/>
        <v>11.824558391915641</v>
      </c>
      <c r="H7262" s="8">
        <v>11.261484182776801</v>
      </c>
      <c r="I7262" s="19">
        <f t="shared" si="227"/>
        <v>0</v>
      </c>
    </row>
    <row r="7263" spans="1:9" hidden="1">
      <c r="A7263" s="11" t="s">
        <v>11260</v>
      </c>
      <c r="B7263" s="2" t="s">
        <v>12283</v>
      </c>
      <c r="C7263" s="2" t="s">
        <v>12284</v>
      </c>
      <c r="D7263" s="2"/>
      <c r="E7263" s="2">
        <v>1</v>
      </c>
      <c r="F7263" s="9"/>
      <c r="G7263" s="8">
        <f t="shared" si="226"/>
        <v>12.506227063953489</v>
      </c>
      <c r="H7263" s="8">
        <v>11.910692441860466</v>
      </c>
      <c r="I7263" s="19">
        <f t="shared" si="227"/>
        <v>0</v>
      </c>
    </row>
    <row r="7264" spans="1:9" hidden="1">
      <c r="A7264" s="11" t="s">
        <v>11260</v>
      </c>
      <c r="B7264" s="2" t="s">
        <v>12285</v>
      </c>
      <c r="C7264" s="2" t="s">
        <v>12286</v>
      </c>
      <c r="D7264" s="2"/>
      <c r="E7264" s="2">
        <v>1</v>
      </c>
      <c r="F7264" s="9"/>
      <c r="G7264" s="8">
        <f t="shared" si="226"/>
        <v>13.187896157480314</v>
      </c>
      <c r="H7264" s="8">
        <v>12.559901102362204</v>
      </c>
      <c r="I7264" s="19">
        <f t="shared" si="227"/>
        <v>0</v>
      </c>
    </row>
    <row r="7265" spans="1:9" hidden="1">
      <c r="A7265" s="11" t="s">
        <v>11260</v>
      </c>
      <c r="B7265" s="2" t="s">
        <v>12287</v>
      </c>
      <c r="C7265" s="2" t="s">
        <v>12288</v>
      </c>
      <c r="D7265" s="2"/>
      <c r="E7265" s="2">
        <v>1</v>
      </c>
      <c r="F7265" s="9"/>
      <c r="G7265" s="8">
        <f t="shared" si="226"/>
        <v>13.868940348575714</v>
      </c>
      <c r="H7265" s="8">
        <v>13.208514617691156</v>
      </c>
      <c r="I7265" s="19">
        <f t="shared" si="227"/>
        <v>0</v>
      </c>
    </row>
    <row r="7266" spans="1:9" hidden="1">
      <c r="A7266" s="11" t="s">
        <v>11260</v>
      </c>
      <c r="B7266" s="2" t="s">
        <v>12289</v>
      </c>
      <c r="C7266" s="2" t="s">
        <v>12290</v>
      </c>
      <c r="D7266" s="2"/>
      <c r="E7266" s="2">
        <v>1</v>
      </c>
      <c r="F7266" s="9"/>
      <c r="G7266" s="8">
        <f t="shared" si="226"/>
        <v>15.220837320574162</v>
      </c>
      <c r="H7266" s="8">
        <v>14.496035543403964</v>
      </c>
      <c r="I7266" s="19">
        <f t="shared" si="227"/>
        <v>0</v>
      </c>
    </row>
    <row r="7267" spans="1:9" hidden="1">
      <c r="A7267" s="11" t="s">
        <v>11260</v>
      </c>
      <c r="B7267" s="2" t="s">
        <v>12291</v>
      </c>
      <c r="C7267" s="2" t="s">
        <v>12292</v>
      </c>
      <c r="D7267" s="2"/>
      <c r="E7267" s="2">
        <v>1</v>
      </c>
      <c r="F7267" s="9"/>
      <c r="G7267" s="8">
        <f t="shared" si="226"/>
        <v>16.584805886036317</v>
      </c>
      <c r="H7267" s="8">
        <v>15.795053224796494</v>
      </c>
      <c r="I7267" s="19">
        <f t="shared" si="227"/>
        <v>0</v>
      </c>
    </row>
    <row r="7268" spans="1:9" hidden="1">
      <c r="A7268" s="11" t="s">
        <v>11260</v>
      </c>
      <c r="B7268" s="2" t="s">
        <v>12293</v>
      </c>
      <c r="C7268" s="2" t="s">
        <v>12294</v>
      </c>
      <c r="D7268" s="2"/>
      <c r="E7268" s="2">
        <v>1</v>
      </c>
      <c r="F7268" s="9"/>
      <c r="G7268" s="8">
        <f t="shared" si="226"/>
        <v>13.349761413551404</v>
      </c>
      <c r="H7268" s="8">
        <v>12.714058489096574</v>
      </c>
      <c r="I7268" s="19">
        <f t="shared" si="227"/>
        <v>0</v>
      </c>
    </row>
    <row r="7269" spans="1:9" hidden="1">
      <c r="A7269" s="11" t="s">
        <v>11260</v>
      </c>
      <c r="B7269" s="2" t="s">
        <v>12295</v>
      </c>
      <c r="C7269" s="2" t="s">
        <v>12296</v>
      </c>
      <c r="D7269" s="2"/>
      <c r="E7269" s="2">
        <v>1</v>
      </c>
      <c r="F7269" s="9"/>
      <c r="G7269" s="8">
        <f t="shared" si="226"/>
        <v>14.030809762611273</v>
      </c>
      <c r="H7269" s="8">
        <v>13.362675964391689</v>
      </c>
      <c r="I7269" s="19">
        <f t="shared" si="227"/>
        <v>0</v>
      </c>
    </row>
    <row r="7270" spans="1:9" hidden="1">
      <c r="A7270" s="11" t="s">
        <v>11260</v>
      </c>
      <c r="B7270" s="2" t="s">
        <v>12297</v>
      </c>
      <c r="C7270" s="2" t="s">
        <v>12298</v>
      </c>
      <c r="D7270" s="2"/>
      <c r="E7270" s="2">
        <v>1</v>
      </c>
      <c r="F7270" s="9"/>
      <c r="G7270" s="8">
        <f t="shared" si="226"/>
        <v>14.712787144876327</v>
      </c>
      <c r="H7270" s="8">
        <v>14.012178233215549</v>
      </c>
      <c r="I7270" s="19">
        <f t="shared" si="227"/>
        <v>0</v>
      </c>
    </row>
    <row r="7271" spans="1:9" hidden="1">
      <c r="A7271" s="11" t="s">
        <v>11260</v>
      </c>
      <c r="B7271" s="2" t="s">
        <v>12299</v>
      </c>
      <c r="C7271" s="2" t="s">
        <v>12300</v>
      </c>
      <c r="D7271" s="2"/>
      <c r="E7271" s="2">
        <v>1</v>
      </c>
      <c r="F7271" s="9"/>
      <c r="G7271" s="8">
        <f t="shared" si="226"/>
        <v>15.39383261663286</v>
      </c>
      <c r="H7271" s="8">
        <v>14.660792968221772</v>
      </c>
      <c r="I7271" s="19">
        <f t="shared" si="227"/>
        <v>0</v>
      </c>
    </row>
    <row r="7272" spans="1:9" hidden="1">
      <c r="A7272" s="11" t="s">
        <v>11260</v>
      </c>
      <c r="B7272" s="2" t="s">
        <v>12301</v>
      </c>
      <c r="C7272" s="2" t="s">
        <v>12302</v>
      </c>
      <c r="D7272" s="2"/>
      <c r="E7272" s="2">
        <v>1</v>
      </c>
      <c r="F7272" s="9"/>
      <c r="G7272" s="8">
        <f t="shared" si="226"/>
        <v>16.075811943725743</v>
      </c>
      <c r="H7272" s="8">
        <v>15.310297089262614</v>
      </c>
      <c r="I7272" s="19">
        <f t="shared" si="227"/>
        <v>0</v>
      </c>
    </row>
    <row r="7273" spans="1:9" hidden="1">
      <c r="A7273" s="11" t="s">
        <v>11260</v>
      </c>
      <c r="B7273" s="2" t="s">
        <v>12303</v>
      </c>
      <c r="C7273" s="2" t="s">
        <v>12304</v>
      </c>
      <c r="D7273" s="2"/>
      <c r="E7273" s="2">
        <v>1</v>
      </c>
      <c r="F7273" s="9"/>
      <c r="G7273" s="8">
        <f t="shared" si="226"/>
        <v>16.747603763940521</v>
      </c>
      <c r="H7273" s="8">
        <v>15.950098822800495</v>
      </c>
      <c r="I7273" s="19">
        <f t="shared" si="227"/>
        <v>0</v>
      </c>
    </row>
    <row r="7274" spans="1:9" hidden="1">
      <c r="A7274" s="11" t="s">
        <v>11260</v>
      </c>
      <c r="B7274" s="2" t="s">
        <v>12305</v>
      </c>
      <c r="C7274" s="2" t="s">
        <v>12306</v>
      </c>
      <c r="D7274" s="2"/>
      <c r="E7274" s="2">
        <v>1</v>
      </c>
      <c r="F7274" s="9"/>
      <c r="G7274" s="8">
        <f t="shared" si="226"/>
        <v>17.428337030411456</v>
      </c>
      <c r="H7274" s="8">
        <v>16.598416219439482</v>
      </c>
      <c r="I7274" s="19">
        <f t="shared" si="227"/>
        <v>0</v>
      </c>
    </row>
    <row r="7275" spans="1:9" hidden="1">
      <c r="A7275" s="11" t="s">
        <v>11260</v>
      </c>
      <c r="B7275" s="2" t="s">
        <v>12307</v>
      </c>
      <c r="C7275" s="2" t="s">
        <v>12308</v>
      </c>
      <c r="D7275" s="2"/>
      <c r="E7275" s="2">
        <v>1</v>
      </c>
      <c r="F7275" s="9"/>
      <c r="G7275" s="8">
        <f t="shared" si="226"/>
        <v>18.10937894887995</v>
      </c>
      <c r="H7275" s="8">
        <v>17.247027570361858</v>
      </c>
      <c r="I7275" s="19">
        <f t="shared" si="227"/>
        <v>0</v>
      </c>
    </row>
    <row r="7276" spans="1:9" hidden="1">
      <c r="A7276" s="11" t="s">
        <v>11260</v>
      </c>
      <c r="B7276" s="2" t="s">
        <v>12309</v>
      </c>
      <c r="C7276" s="2" t="s">
        <v>12310</v>
      </c>
      <c r="D7276" s="2"/>
      <c r="E7276" s="2">
        <v>1</v>
      </c>
      <c r="F7276" s="9"/>
      <c r="G7276" s="8">
        <f t="shared" si="226"/>
        <v>18.79167529021559</v>
      </c>
      <c r="H7276" s="8">
        <v>17.896833609729132</v>
      </c>
      <c r="I7276" s="19">
        <f t="shared" si="227"/>
        <v>0</v>
      </c>
    </row>
    <row r="7277" spans="1:9" hidden="1">
      <c r="A7277" s="11" t="s">
        <v>11260</v>
      </c>
      <c r="B7277" s="2" t="s">
        <v>12311</v>
      </c>
      <c r="C7277" s="2" t="s">
        <v>12312</v>
      </c>
      <c r="D7277" s="2"/>
      <c r="E7277" s="2">
        <v>1</v>
      </c>
      <c r="F7277" s="9"/>
      <c r="G7277" s="8">
        <f t="shared" si="226"/>
        <v>19.472716417512011</v>
      </c>
      <c r="H7277" s="8">
        <v>18.545444207154297</v>
      </c>
      <c r="I7277" s="19">
        <f t="shared" si="227"/>
        <v>0</v>
      </c>
    </row>
    <row r="7278" spans="1:9" hidden="1">
      <c r="A7278" s="11" t="s">
        <v>11260</v>
      </c>
      <c r="B7278" s="2" t="s">
        <v>12313</v>
      </c>
      <c r="C7278" s="2" t="s">
        <v>12314</v>
      </c>
      <c r="D7278" s="2"/>
      <c r="E7278" s="2">
        <v>1</v>
      </c>
      <c r="F7278" s="9"/>
      <c r="G7278" s="8">
        <f t="shared" si="226"/>
        <v>38.189032359813091</v>
      </c>
      <c r="H7278" s="8">
        <v>36.3705070093458</v>
      </c>
      <c r="I7278" s="19">
        <f t="shared" si="227"/>
        <v>0</v>
      </c>
    </row>
    <row r="7279" spans="1:9" hidden="1">
      <c r="A7279" s="11" t="s">
        <v>11260</v>
      </c>
      <c r="B7279" s="2" t="s">
        <v>12315</v>
      </c>
      <c r="C7279" s="2" t="s">
        <v>12316</v>
      </c>
      <c r="D7279" s="2"/>
      <c r="E7279" s="2">
        <v>1</v>
      </c>
      <c r="F7279" s="9"/>
      <c r="G7279" s="8">
        <f t="shared" si="226"/>
        <v>39.386864508382416</v>
      </c>
      <c r="H7279" s="8">
        <v>37.51129953179278</v>
      </c>
      <c r="I7279" s="19">
        <f t="shared" si="227"/>
        <v>0</v>
      </c>
    </row>
    <row r="7280" spans="1:9" hidden="1">
      <c r="A7280" s="11" t="s">
        <v>11260</v>
      </c>
      <c r="B7280" s="2" t="s">
        <v>12317</v>
      </c>
      <c r="C7280" s="2" t="s">
        <v>12318</v>
      </c>
      <c r="D7280" s="2"/>
      <c r="E7280" s="2">
        <v>1</v>
      </c>
      <c r="F7280" s="9"/>
      <c r="G7280" s="8">
        <f t="shared" si="226"/>
        <v>37.263762786605419</v>
      </c>
      <c r="H7280" s="8">
        <v>35.489297892005162</v>
      </c>
      <c r="I7280" s="19">
        <f t="shared" si="227"/>
        <v>0</v>
      </c>
    </row>
    <row r="7281" spans="1:9" hidden="1">
      <c r="A7281" s="11" t="s">
        <v>11260</v>
      </c>
      <c r="B7281" s="2" t="s">
        <v>12319</v>
      </c>
      <c r="C7281" s="2" t="s">
        <v>12320</v>
      </c>
      <c r="D7281" s="2"/>
      <c r="E7281" s="2">
        <v>1</v>
      </c>
      <c r="F7281" s="9"/>
      <c r="G7281" s="8">
        <f t="shared" si="226"/>
        <v>39.536732910212073</v>
      </c>
      <c r="H7281" s="8">
        <v>37.654031343059117</v>
      </c>
      <c r="I7281" s="19">
        <f t="shared" si="227"/>
        <v>0</v>
      </c>
    </row>
    <row r="7282" spans="1:9" hidden="1">
      <c r="A7282" s="11" t="s">
        <v>11260</v>
      </c>
      <c r="B7282" s="2" t="s">
        <v>12321</v>
      </c>
      <c r="C7282" s="2" t="s">
        <v>12322</v>
      </c>
      <c r="D7282" s="2"/>
      <c r="E7282" s="2">
        <v>1</v>
      </c>
      <c r="F7282" s="9"/>
      <c r="G7282" s="8">
        <f t="shared" si="226"/>
        <v>43.488264602803739</v>
      </c>
      <c r="H7282" s="8">
        <v>41.417394859813086</v>
      </c>
      <c r="I7282" s="19">
        <f t="shared" si="227"/>
        <v>0</v>
      </c>
    </row>
    <row r="7283" spans="1:9" hidden="1">
      <c r="A7283" s="11" t="s">
        <v>11260</v>
      </c>
      <c r="B7283" s="2" t="s">
        <v>12323</v>
      </c>
      <c r="C7283" s="2" t="s">
        <v>12324</v>
      </c>
      <c r="D7283" s="2"/>
      <c r="E7283" s="2">
        <v>1</v>
      </c>
      <c r="F7283" s="9"/>
      <c r="G7283" s="8">
        <f t="shared" si="226"/>
        <v>47.278191102421424</v>
      </c>
      <c r="H7283" s="8">
        <v>45.026848668972782</v>
      </c>
      <c r="I7283" s="19">
        <f t="shared" si="227"/>
        <v>0</v>
      </c>
    </row>
    <row r="7284" spans="1:9" hidden="1">
      <c r="A7284" s="11" t="s">
        <v>11260</v>
      </c>
      <c r="B7284" s="2" t="s">
        <v>12325</v>
      </c>
      <c r="C7284" s="2" t="s">
        <v>12326</v>
      </c>
      <c r="D7284" s="2"/>
      <c r="E7284" s="2">
        <v>1</v>
      </c>
      <c r="F7284" s="9"/>
      <c r="G7284" s="8">
        <f t="shared" si="226"/>
        <v>42.001769384944929</v>
      </c>
      <c r="H7284" s="8">
        <v>40.001685128518979</v>
      </c>
      <c r="I7284" s="19">
        <f t="shared" si="227"/>
        <v>0</v>
      </c>
    </row>
    <row r="7285" spans="1:9" hidden="1">
      <c r="A7285" s="11" t="s">
        <v>11260</v>
      </c>
      <c r="B7285" s="2" t="s">
        <v>12327</v>
      </c>
      <c r="C7285" s="2" t="s">
        <v>12328</v>
      </c>
      <c r="D7285" s="2"/>
      <c r="E7285" s="2">
        <v>1</v>
      </c>
      <c r="F7285" s="9"/>
      <c r="G7285" s="8">
        <f t="shared" si="226"/>
        <v>38.128074101969872</v>
      </c>
      <c r="H7285" s="8">
        <v>36.312451525685596</v>
      </c>
      <c r="I7285" s="19">
        <f t="shared" si="227"/>
        <v>0</v>
      </c>
    </row>
    <row r="7286" spans="1:9" hidden="1">
      <c r="A7286" s="11" t="s">
        <v>11260</v>
      </c>
      <c r="B7286" s="2" t="s">
        <v>12329</v>
      </c>
      <c r="C7286" s="2" t="s">
        <v>12330</v>
      </c>
      <c r="D7286" s="2"/>
      <c r="E7286" s="2">
        <v>1</v>
      </c>
      <c r="F7286" s="9"/>
      <c r="G7286" s="8">
        <f t="shared" si="226"/>
        <v>38.127206250000008</v>
      </c>
      <c r="H7286" s="8">
        <v>36.311625000000006</v>
      </c>
      <c r="I7286" s="19">
        <f t="shared" si="227"/>
        <v>0</v>
      </c>
    </row>
    <row r="7287" spans="1:9" hidden="1">
      <c r="A7287" s="11" t="s">
        <v>11260</v>
      </c>
      <c r="B7287" s="2" t="s">
        <v>12331</v>
      </c>
      <c r="C7287" s="2" t="s">
        <v>12332</v>
      </c>
      <c r="D7287" s="2"/>
      <c r="E7287" s="2">
        <v>1</v>
      </c>
      <c r="F7287" s="9"/>
      <c r="G7287" s="8">
        <f t="shared" si="226"/>
        <v>21.287888517160948</v>
      </c>
      <c r="H7287" s="8">
        <v>20.274179540153284</v>
      </c>
      <c r="I7287" s="19">
        <f t="shared" si="227"/>
        <v>0</v>
      </c>
    </row>
    <row r="7288" spans="1:9" hidden="1">
      <c r="A7288" s="11" t="s">
        <v>11260</v>
      </c>
      <c r="B7288" s="2" t="s">
        <v>12333</v>
      </c>
      <c r="C7288" s="2" t="s">
        <v>12334</v>
      </c>
      <c r="D7288" s="2"/>
      <c r="E7288" s="2">
        <v>1</v>
      </c>
      <c r="F7288" s="9"/>
      <c r="G7288" s="8">
        <f t="shared" si="226"/>
        <v>40.251224424972619</v>
      </c>
      <c r="H7288" s="8">
        <v>38.334499452354876</v>
      </c>
      <c r="I7288" s="19">
        <f t="shared" si="227"/>
        <v>0</v>
      </c>
    </row>
    <row r="7289" spans="1:9" hidden="1">
      <c r="A7289" s="11" t="s">
        <v>11260</v>
      </c>
      <c r="B7289" s="2" t="s">
        <v>12335</v>
      </c>
      <c r="C7289" s="2" t="s">
        <v>12336</v>
      </c>
      <c r="D7289" s="2"/>
      <c r="E7289" s="2">
        <v>1</v>
      </c>
      <c r="F7289" s="9"/>
      <c r="G7289" s="8">
        <f t="shared" si="226"/>
        <v>23.393329820923658</v>
      </c>
      <c r="H7289" s="8">
        <v>22.279361734213008</v>
      </c>
      <c r="I7289" s="19">
        <f t="shared" si="227"/>
        <v>0</v>
      </c>
    </row>
    <row r="7290" spans="1:9" hidden="1">
      <c r="A7290" s="11" t="s">
        <v>11260</v>
      </c>
      <c r="B7290" s="2" t="s">
        <v>12337</v>
      </c>
      <c r="C7290" s="2" t="s">
        <v>12338</v>
      </c>
      <c r="D7290" s="2"/>
      <c r="E7290" s="2">
        <v>1</v>
      </c>
      <c r="F7290" s="9"/>
      <c r="G7290" s="8">
        <f t="shared" si="226"/>
        <v>16.850795751633989</v>
      </c>
      <c r="H7290" s="8">
        <v>16.048376906318083</v>
      </c>
      <c r="I7290" s="19">
        <f t="shared" si="227"/>
        <v>0</v>
      </c>
    </row>
    <row r="7291" spans="1:9" hidden="1">
      <c r="A7291" s="11" t="s">
        <v>11260</v>
      </c>
      <c r="B7291" s="2" t="s">
        <v>12339</v>
      </c>
      <c r="C7291" s="2" t="s">
        <v>12340</v>
      </c>
      <c r="D7291" s="2"/>
      <c r="E7291" s="2">
        <v>1</v>
      </c>
      <c r="F7291" s="9"/>
      <c r="G7291" s="8">
        <f t="shared" si="226"/>
        <v>21.288556310679617</v>
      </c>
      <c r="H7291" s="8">
        <v>20.274815533980586</v>
      </c>
      <c r="I7291" s="19">
        <f t="shared" si="227"/>
        <v>0</v>
      </c>
    </row>
    <row r="7292" spans="1:9" hidden="1">
      <c r="A7292" s="11" t="s">
        <v>11260</v>
      </c>
      <c r="B7292" s="2" t="s">
        <v>12341</v>
      </c>
      <c r="C7292" s="2" t="s">
        <v>12342</v>
      </c>
      <c r="D7292" s="2"/>
      <c r="E7292" s="2">
        <v>1</v>
      </c>
      <c r="F7292" s="9"/>
      <c r="G7292" s="8">
        <f t="shared" si="226"/>
        <v>36.644999999999996</v>
      </c>
      <c r="H7292" s="8">
        <v>34.9</v>
      </c>
      <c r="I7292" s="19">
        <f t="shared" si="227"/>
        <v>0</v>
      </c>
    </row>
    <row r="7293" spans="1:9" hidden="1">
      <c r="A7293" s="11" t="s">
        <v>11260</v>
      </c>
      <c r="B7293" s="2" t="s">
        <v>12343</v>
      </c>
      <c r="C7293" s="2" t="s">
        <v>12344</v>
      </c>
      <c r="D7293" s="2"/>
      <c r="E7293" s="2">
        <v>1</v>
      </c>
      <c r="F7293" s="9"/>
      <c r="G7293" s="8">
        <f t="shared" si="226"/>
        <v>69.28949999999999</v>
      </c>
      <c r="H7293" s="8">
        <v>65.989999999999995</v>
      </c>
      <c r="I7293" s="19">
        <f t="shared" si="227"/>
        <v>0</v>
      </c>
    </row>
    <row r="7294" spans="1:9" hidden="1">
      <c r="A7294" s="11" t="s">
        <v>11260</v>
      </c>
      <c r="B7294" s="2" t="s">
        <v>12345</v>
      </c>
      <c r="C7294" s="2" t="s">
        <v>12346</v>
      </c>
      <c r="D7294" s="2"/>
      <c r="E7294" s="2">
        <v>1</v>
      </c>
      <c r="F7294" s="9"/>
      <c r="G7294" s="8">
        <f t="shared" si="226"/>
        <v>139.12087037181689</v>
      </c>
      <c r="H7294" s="8">
        <v>132.49606702077799</v>
      </c>
      <c r="I7294" s="19">
        <f t="shared" si="227"/>
        <v>0</v>
      </c>
    </row>
    <row r="7295" spans="1:9" hidden="1">
      <c r="A7295" s="11" t="s">
        <v>11260</v>
      </c>
      <c r="B7295" s="2" t="s">
        <v>12347</v>
      </c>
      <c r="C7295" s="2" t="s">
        <v>12348</v>
      </c>
      <c r="D7295" s="2"/>
      <c r="E7295" s="2">
        <v>1</v>
      </c>
      <c r="F7295" s="9"/>
      <c r="G7295" s="8">
        <f t="shared" si="226"/>
        <v>19.005000000000003</v>
      </c>
      <c r="H7295" s="8">
        <v>18.100000000000001</v>
      </c>
      <c r="I7295" s="19">
        <f t="shared" si="227"/>
        <v>0</v>
      </c>
    </row>
    <row r="7296" spans="1:9" hidden="1">
      <c r="A7296" s="11" t="s">
        <v>11260</v>
      </c>
      <c r="B7296" s="2" t="s">
        <v>12349</v>
      </c>
      <c r="C7296" s="2" t="s">
        <v>12350</v>
      </c>
      <c r="D7296" s="2"/>
      <c r="E7296" s="2">
        <v>1</v>
      </c>
      <c r="F7296" s="9"/>
      <c r="G7296" s="8">
        <f t="shared" si="226"/>
        <v>44.28235163464381</v>
      </c>
      <c r="H7296" s="8">
        <v>42.173668223470294</v>
      </c>
      <c r="I7296" s="19">
        <f t="shared" si="227"/>
        <v>0</v>
      </c>
    </row>
    <row r="7297" spans="1:9" hidden="1">
      <c r="A7297" s="11" t="s">
        <v>11260</v>
      </c>
      <c r="B7297" s="2" t="s">
        <v>12351</v>
      </c>
      <c r="C7297" s="2" t="s">
        <v>12352</v>
      </c>
      <c r="D7297" s="2"/>
      <c r="E7297" s="2">
        <v>1</v>
      </c>
      <c r="F7297" s="9"/>
      <c r="G7297" s="8">
        <f t="shared" si="226"/>
        <v>10.876807450746268</v>
      </c>
      <c r="H7297" s="8">
        <v>10.358864238805969</v>
      </c>
      <c r="I7297" s="19">
        <f t="shared" si="227"/>
        <v>0</v>
      </c>
    </row>
    <row r="7298" spans="1:9" hidden="1">
      <c r="A7298" s="11" t="s">
        <v>11260</v>
      </c>
      <c r="B7298" s="2" t="s">
        <v>12353</v>
      </c>
      <c r="C7298" s="2" t="s">
        <v>12354</v>
      </c>
      <c r="D7298" s="2"/>
      <c r="E7298" s="2">
        <v>1</v>
      </c>
      <c r="F7298" s="9"/>
      <c r="G7298" s="8">
        <f t="shared" si="226"/>
        <v>37.358999999999995</v>
      </c>
      <c r="H7298" s="8">
        <v>35.58</v>
      </c>
      <c r="I7298" s="19">
        <f t="shared" si="227"/>
        <v>0</v>
      </c>
    </row>
    <row r="7299" spans="1:9" hidden="1">
      <c r="A7299" s="11" t="s">
        <v>11260</v>
      </c>
      <c r="B7299" s="2" t="s">
        <v>12355</v>
      </c>
      <c r="C7299" s="2" t="s">
        <v>12356</v>
      </c>
      <c r="D7299" s="2"/>
      <c r="E7299" s="2">
        <v>1</v>
      </c>
      <c r="F7299" s="9"/>
      <c r="G7299" s="8">
        <f t="shared" si="226"/>
        <v>38.020499999999998</v>
      </c>
      <c r="H7299" s="8">
        <v>36.21</v>
      </c>
      <c r="I7299" s="19">
        <f t="shared" si="227"/>
        <v>0</v>
      </c>
    </row>
    <row r="7300" spans="1:9" hidden="1">
      <c r="A7300" s="11" t="s">
        <v>11260</v>
      </c>
      <c r="B7300" s="2" t="s">
        <v>12357</v>
      </c>
      <c r="C7300" s="2" t="s">
        <v>12358</v>
      </c>
      <c r="D7300" s="2"/>
      <c r="E7300" s="2">
        <v>1</v>
      </c>
      <c r="F7300" s="9"/>
      <c r="G7300" s="8">
        <f t="shared" si="226"/>
        <v>2.4768733649289101</v>
      </c>
      <c r="H7300" s="8">
        <v>2.3589270142180094</v>
      </c>
      <c r="I7300" s="19">
        <f t="shared" si="227"/>
        <v>0</v>
      </c>
    </row>
    <row r="7301" spans="1:9" hidden="1">
      <c r="A7301" s="11" t="s">
        <v>11260</v>
      </c>
      <c r="B7301" s="2" t="s">
        <v>12359</v>
      </c>
      <c r="C7301" s="2" t="s">
        <v>12360</v>
      </c>
      <c r="D7301" s="2"/>
      <c r="E7301" s="2">
        <v>1</v>
      </c>
      <c r="F7301" s="9"/>
      <c r="G7301" s="8">
        <f t="shared" si="226"/>
        <v>60.925859904593636</v>
      </c>
      <c r="H7301" s="8">
        <v>58.024628480565369</v>
      </c>
      <c r="I7301" s="19">
        <f t="shared" si="227"/>
        <v>0</v>
      </c>
    </row>
    <row r="7302" spans="1:9" hidden="1">
      <c r="A7302" s="11" t="s">
        <v>11260</v>
      </c>
      <c r="B7302" s="2" t="s">
        <v>12361</v>
      </c>
      <c r="C7302" s="2" t="s">
        <v>12362</v>
      </c>
      <c r="D7302" s="2"/>
      <c r="E7302" s="2">
        <v>1</v>
      </c>
      <c r="F7302" s="9"/>
      <c r="G7302" s="8">
        <f t="shared" si="226"/>
        <v>58.725166043106945</v>
      </c>
      <c r="H7302" s="8">
        <v>55.928729564863758</v>
      </c>
      <c r="I7302" s="19">
        <f t="shared" si="227"/>
        <v>0</v>
      </c>
    </row>
    <row r="7303" spans="1:9" hidden="1">
      <c r="A7303" s="11" t="s">
        <v>11260</v>
      </c>
      <c r="B7303" s="2" t="s">
        <v>12363</v>
      </c>
      <c r="C7303" s="2" t="s">
        <v>12364</v>
      </c>
      <c r="D7303" s="2"/>
      <c r="E7303" s="2">
        <v>1</v>
      </c>
      <c r="F7303" s="9"/>
      <c r="G7303" s="8">
        <f t="shared" si="226"/>
        <v>50.179499999999997</v>
      </c>
      <c r="H7303" s="8">
        <v>47.79</v>
      </c>
      <c r="I7303" s="19">
        <f t="shared" si="227"/>
        <v>0</v>
      </c>
    </row>
    <row r="7304" spans="1:9" hidden="1">
      <c r="A7304" s="11" t="s">
        <v>11260</v>
      </c>
      <c r="B7304" s="2" t="s">
        <v>12365</v>
      </c>
      <c r="C7304" s="2" t="s">
        <v>12366</v>
      </c>
      <c r="D7304" s="2"/>
      <c r="E7304" s="2">
        <v>1</v>
      </c>
      <c r="F7304" s="9"/>
      <c r="G7304" s="8">
        <f t="shared" si="226"/>
        <v>74.197999088911686</v>
      </c>
      <c r="H7304" s="8">
        <v>70.664761037058753</v>
      </c>
      <c r="I7304" s="19">
        <f t="shared" si="227"/>
        <v>0</v>
      </c>
    </row>
    <row r="7305" spans="1:9" hidden="1">
      <c r="A7305" s="11" t="s">
        <v>11260</v>
      </c>
      <c r="B7305" s="2" t="s">
        <v>12367</v>
      </c>
      <c r="C7305" s="2" t="s">
        <v>12368</v>
      </c>
      <c r="D7305" s="2"/>
      <c r="E7305" s="2">
        <v>1</v>
      </c>
      <c r="F7305" s="9"/>
      <c r="G7305" s="8">
        <f t="shared" si="226"/>
        <v>6.6468506126914662</v>
      </c>
      <c r="H7305" s="8">
        <v>6.3303339168490158</v>
      </c>
      <c r="I7305" s="19">
        <f t="shared" si="227"/>
        <v>0</v>
      </c>
    </row>
    <row r="7306" spans="1:9" hidden="1">
      <c r="A7306" s="11" t="s">
        <v>11260</v>
      </c>
      <c r="B7306" s="2" t="s">
        <v>12369</v>
      </c>
      <c r="C7306" s="2" t="s">
        <v>12370</v>
      </c>
      <c r="D7306" s="2"/>
      <c r="E7306" s="2">
        <v>1</v>
      </c>
      <c r="F7306" s="9"/>
      <c r="G7306" s="8">
        <f t="shared" si="226"/>
        <v>10.207739041533546</v>
      </c>
      <c r="H7306" s="8">
        <v>9.7216562300319485</v>
      </c>
      <c r="I7306" s="19">
        <f t="shared" si="227"/>
        <v>0</v>
      </c>
    </row>
    <row r="7307" spans="1:9" hidden="1">
      <c r="A7307" s="11" t="s">
        <v>11260</v>
      </c>
      <c r="B7307" s="2" t="s">
        <v>12371</v>
      </c>
      <c r="C7307" s="2" t="s">
        <v>12372</v>
      </c>
      <c r="D7307" s="2"/>
      <c r="E7307" s="2">
        <v>1</v>
      </c>
      <c r="F7307" s="9"/>
      <c r="G7307" s="8">
        <f t="shared" si="226"/>
        <v>46.403639285478008</v>
      </c>
      <c r="H7307" s="8">
        <v>44.19394217664572</v>
      </c>
      <c r="I7307" s="19">
        <f t="shared" si="227"/>
        <v>0</v>
      </c>
    </row>
    <row r="7308" spans="1:9" hidden="1">
      <c r="A7308" s="11" t="s">
        <v>11260</v>
      </c>
      <c r="B7308" s="2" t="s">
        <v>12373</v>
      </c>
      <c r="C7308" s="2" t="s">
        <v>12374</v>
      </c>
      <c r="D7308" s="2"/>
      <c r="E7308" s="2">
        <v>1</v>
      </c>
      <c r="F7308" s="9"/>
      <c r="G7308" s="8">
        <f t="shared" si="226"/>
        <v>71.254738673173733</v>
      </c>
      <c r="H7308" s="8">
        <v>67.861655879213075</v>
      </c>
      <c r="I7308" s="19">
        <f t="shared" si="227"/>
        <v>0</v>
      </c>
    </row>
    <row r="7309" spans="1:9" hidden="1">
      <c r="A7309" s="11" t="s">
        <v>11260</v>
      </c>
      <c r="B7309" s="2" t="s">
        <v>12375</v>
      </c>
      <c r="C7309" s="2" t="s">
        <v>12376</v>
      </c>
      <c r="D7309" s="2"/>
      <c r="E7309" s="2">
        <v>1</v>
      </c>
      <c r="F7309" s="9"/>
      <c r="G7309" s="8">
        <f t="shared" si="226"/>
        <v>36.424499999999995</v>
      </c>
      <c r="H7309" s="8">
        <v>34.69</v>
      </c>
      <c r="I7309" s="19">
        <f t="shared" si="227"/>
        <v>0</v>
      </c>
    </row>
    <row r="7310" spans="1:9" hidden="1">
      <c r="A7310" s="11" t="s">
        <v>11260</v>
      </c>
      <c r="B7310" s="2" t="s">
        <v>12377</v>
      </c>
      <c r="C7310" s="2" t="s">
        <v>12378</v>
      </c>
      <c r="D7310" s="2"/>
      <c r="E7310" s="2">
        <v>1</v>
      </c>
      <c r="F7310" s="9"/>
      <c r="G7310" s="8">
        <f t="shared" si="226"/>
        <v>66.788094545454541</v>
      </c>
      <c r="H7310" s="8">
        <v>63.60770909090909</v>
      </c>
      <c r="I7310" s="19">
        <f t="shared" si="227"/>
        <v>0</v>
      </c>
    </row>
    <row r="7311" spans="1:9" hidden="1">
      <c r="A7311" s="11" t="s">
        <v>11260</v>
      </c>
      <c r="B7311" s="2" t="s">
        <v>12379</v>
      </c>
      <c r="C7311" s="2" t="s">
        <v>12380</v>
      </c>
      <c r="D7311" s="2"/>
      <c r="E7311" s="2">
        <v>1</v>
      </c>
      <c r="F7311" s="9"/>
      <c r="G7311" s="8">
        <f t="shared" si="226"/>
        <v>102.56660811188814</v>
      </c>
      <c r="H7311" s="8">
        <v>97.682483916083939</v>
      </c>
      <c r="I7311" s="19">
        <f t="shared" si="227"/>
        <v>0</v>
      </c>
    </row>
    <row r="7312" spans="1:9" hidden="1">
      <c r="A7312" s="11" t="s">
        <v>11260</v>
      </c>
      <c r="B7312" s="2" t="s">
        <v>12381</v>
      </c>
      <c r="C7312" s="2" t="s">
        <v>12382</v>
      </c>
      <c r="D7312" s="2"/>
      <c r="E7312" s="2">
        <v>1</v>
      </c>
      <c r="F7312" s="9"/>
      <c r="G7312" s="8">
        <f t="shared" si="226"/>
        <v>54.071087821543408</v>
      </c>
      <c r="H7312" s="8">
        <v>51.496274115755625</v>
      </c>
      <c r="I7312" s="19">
        <f t="shared" si="227"/>
        <v>0</v>
      </c>
    </row>
    <row r="7313" spans="1:9" hidden="1">
      <c r="A7313" s="11" t="s">
        <v>11260</v>
      </c>
      <c r="B7313" s="2" t="s">
        <v>12383</v>
      </c>
      <c r="C7313" s="2" t="s">
        <v>12384</v>
      </c>
      <c r="D7313" s="2"/>
      <c r="E7313" s="2">
        <v>1</v>
      </c>
      <c r="F7313" s="9"/>
      <c r="G7313" s="8">
        <f t="shared" si="226"/>
        <v>5.760145102781137</v>
      </c>
      <c r="H7313" s="8">
        <v>5.4858524788391785</v>
      </c>
      <c r="I7313" s="19">
        <f t="shared" si="227"/>
        <v>0</v>
      </c>
    </row>
    <row r="7314" spans="1:9" hidden="1">
      <c r="A7314" s="11" t="s">
        <v>11260</v>
      </c>
      <c r="B7314" s="2" t="s">
        <v>12385</v>
      </c>
      <c r="C7314" s="2" t="s">
        <v>12386</v>
      </c>
      <c r="D7314" s="2"/>
      <c r="E7314" s="2">
        <v>1</v>
      </c>
      <c r="F7314" s="9"/>
      <c r="G7314" s="8">
        <f t="shared" si="226"/>
        <v>35.917357878020717</v>
      </c>
      <c r="H7314" s="8">
        <v>34.20700750287687</v>
      </c>
      <c r="I7314" s="19">
        <f t="shared" si="227"/>
        <v>0</v>
      </c>
    </row>
    <row r="7315" spans="1:9" hidden="1">
      <c r="A7315" s="11" t="s">
        <v>11260</v>
      </c>
      <c r="B7315" s="2" t="s">
        <v>12387</v>
      </c>
      <c r="C7315" s="2" t="s">
        <v>12386</v>
      </c>
      <c r="D7315" s="2"/>
      <c r="E7315" s="2">
        <v>1</v>
      </c>
      <c r="F7315" s="9"/>
      <c r="G7315" s="8">
        <f t="shared" si="226"/>
        <v>38.661977614897005</v>
      </c>
      <c r="H7315" s="8">
        <v>36.820931061806668</v>
      </c>
      <c r="I7315" s="19">
        <f t="shared" si="227"/>
        <v>0</v>
      </c>
    </row>
    <row r="7316" spans="1:9" hidden="1">
      <c r="A7316" s="11" t="s">
        <v>11260</v>
      </c>
      <c r="B7316" s="2" t="s">
        <v>12388</v>
      </c>
      <c r="C7316" s="2" t="s">
        <v>12389</v>
      </c>
      <c r="D7316" s="2"/>
      <c r="E7316" s="2">
        <v>1</v>
      </c>
      <c r="F7316" s="9"/>
      <c r="G7316" s="8">
        <f t="shared" ref="G7316:G7379" si="228">H7316+(H7316*5%)</f>
        <v>32.763043840614507</v>
      </c>
      <c r="H7316" s="8">
        <v>31.202898895823338</v>
      </c>
      <c r="I7316" s="19">
        <f t="shared" ref="I7316:I7379" si="229">G7316*F7316</f>
        <v>0</v>
      </c>
    </row>
    <row r="7317" spans="1:9" hidden="1">
      <c r="A7317" s="11" t="s">
        <v>11260</v>
      </c>
      <c r="B7317" s="2" t="s">
        <v>12390</v>
      </c>
      <c r="C7317" s="2" t="s">
        <v>12391</v>
      </c>
      <c r="D7317" s="2"/>
      <c r="E7317" s="2">
        <v>1</v>
      </c>
      <c r="F7317" s="9"/>
      <c r="G7317" s="8">
        <f t="shared" si="228"/>
        <v>50.283413237518907</v>
      </c>
      <c r="H7317" s="8">
        <v>47.888964988113244</v>
      </c>
      <c r="I7317" s="19">
        <f t="shared" si="229"/>
        <v>0</v>
      </c>
    </row>
    <row r="7318" spans="1:9" hidden="1">
      <c r="A7318" s="11" t="s">
        <v>11260</v>
      </c>
      <c r="B7318" s="2" t="s">
        <v>12392</v>
      </c>
      <c r="C7318" s="2" t="s">
        <v>12393</v>
      </c>
      <c r="D7318" s="2"/>
      <c r="E7318" s="2">
        <v>1</v>
      </c>
      <c r="F7318" s="9"/>
      <c r="G7318" s="8">
        <f t="shared" si="228"/>
        <v>30.157105156338829</v>
      </c>
      <c r="H7318" s="8">
        <v>28.721052529846503</v>
      </c>
      <c r="I7318" s="19">
        <f t="shared" si="229"/>
        <v>0</v>
      </c>
    </row>
    <row r="7319" spans="1:9" hidden="1">
      <c r="A7319" s="11" t="s">
        <v>11260</v>
      </c>
      <c r="B7319" s="2" t="s">
        <v>12394</v>
      </c>
      <c r="C7319" s="2" t="s">
        <v>12393</v>
      </c>
      <c r="D7319" s="2"/>
      <c r="E7319" s="2">
        <v>1</v>
      </c>
      <c r="F7319" s="9"/>
      <c r="G7319" s="8">
        <f t="shared" si="228"/>
        <v>32.890310199004972</v>
      </c>
      <c r="H7319" s="8">
        <v>31.324104951433309</v>
      </c>
      <c r="I7319" s="19">
        <f t="shared" si="229"/>
        <v>0</v>
      </c>
    </row>
    <row r="7320" spans="1:9" hidden="1">
      <c r="A7320" s="11" t="s">
        <v>11260</v>
      </c>
      <c r="B7320" s="2" t="s">
        <v>12395</v>
      </c>
      <c r="C7320" s="2" t="s">
        <v>12396</v>
      </c>
      <c r="D7320" s="2"/>
      <c r="E7320" s="2">
        <v>1</v>
      </c>
      <c r="F7320" s="9"/>
      <c r="G7320" s="8">
        <f t="shared" si="228"/>
        <v>33.808508899320827</v>
      </c>
      <c r="H7320" s="8">
        <v>32.198579904115071</v>
      </c>
      <c r="I7320" s="19">
        <f t="shared" si="229"/>
        <v>0</v>
      </c>
    </row>
    <row r="7321" spans="1:9" hidden="1">
      <c r="A7321" s="11" t="s">
        <v>11260</v>
      </c>
      <c r="B7321" s="2" t="s">
        <v>12397</v>
      </c>
      <c r="C7321" s="2" t="s">
        <v>12398</v>
      </c>
      <c r="D7321" s="2"/>
      <c r="E7321" s="2">
        <v>1</v>
      </c>
      <c r="F7321" s="9"/>
      <c r="G7321" s="8">
        <f t="shared" si="228"/>
        <v>51.905412173366848</v>
      </c>
      <c r="H7321" s="8">
        <v>49.433725879396995</v>
      </c>
      <c r="I7321" s="19">
        <f t="shared" si="229"/>
        <v>0</v>
      </c>
    </row>
    <row r="7322" spans="1:9" hidden="1">
      <c r="A7322" s="11" t="s">
        <v>11260</v>
      </c>
      <c r="B7322" s="2" t="s">
        <v>12399</v>
      </c>
      <c r="C7322" s="2" t="s">
        <v>12400</v>
      </c>
      <c r="D7322" s="2"/>
      <c r="E7322" s="2">
        <v>1</v>
      </c>
      <c r="F7322" s="9"/>
      <c r="G7322" s="8">
        <f t="shared" si="228"/>
        <v>5.760145102781137</v>
      </c>
      <c r="H7322" s="8">
        <v>5.4858524788391785</v>
      </c>
      <c r="I7322" s="19">
        <f t="shared" si="229"/>
        <v>0</v>
      </c>
    </row>
    <row r="7323" spans="1:9" hidden="1">
      <c r="A7323" s="11" t="s">
        <v>11260</v>
      </c>
      <c r="B7323" s="2" t="s">
        <v>12401</v>
      </c>
      <c r="C7323" s="2" t="s">
        <v>12402</v>
      </c>
      <c r="D7323" s="2"/>
      <c r="E7323" s="2">
        <v>1</v>
      </c>
      <c r="F7323" s="9"/>
      <c r="G7323" s="8">
        <f t="shared" si="228"/>
        <v>32.085040055058499</v>
      </c>
      <c r="H7323" s="8">
        <v>30.557181004817618</v>
      </c>
      <c r="I7323" s="19">
        <f t="shared" si="229"/>
        <v>0</v>
      </c>
    </row>
    <row r="7324" spans="1:9" hidden="1">
      <c r="A7324" s="11" t="s">
        <v>11260</v>
      </c>
      <c r="B7324" s="2" t="s">
        <v>12403</v>
      </c>
      <c r="C7324" s="2" t="s">
        <v>12402</v>
      </c>
      <c r="D7324" s="2"/>
      <c r="E7324" s="2">
        <v>1</v>
      </c>
      <c r="F7324" s="9"/>
      <c r="G7324" s="8">
        <f t="shared" si="228"/>
        <v>34.866914009255368</v>
      </c>
      <c r="H7324" s="8">
        <v>33.206584770719395</v>
      </c>
      <c r="I7324" s="19">
        <f t="shared" si="229"/>
        <v>0</v>
      </c>
    </row>
    <row r="7325" spans="1:9" hidden="1">
      <c r="A7325" s="11" t="s">
        <v>11260</v>
      </c>
      <c r="B7325" s="2" t="s">
        <v>12404</v>
      </c>
      <c r="C7325" s="2" t="s">
        <v>12405</v>
      </c>
      <c r="D7325" s="2"/>
      <c r="E7325" s="2">
        <v>1</v>
      </c>
      <c r="F7325" s="9"/>
      <c r="G7325" s="8">
        <f t="shared" si="228"/>
        <v>28.048159162679429</v>
      </c>
      <c r="H7325" s="8">
        <v>26.71253253588517</v>
      </c>
      <c r="I7325" s="19">
        <f t="shared" si="229"/>
        <v>0</v>
      </c>
    </row>
    <row r="7326" spans="1:9" hidden="1">
      <c r="A7326" s="11" t="s">
        <v>11260</v>
      </c>
      <c r="B7326" s="2" t="s">
        <v>12406</v>
      </c>
      <c r="C7326" s="2" t="s">
        <v>12407</v>
      </c>
      <c r="D7326" s="2"/>
      <c r="E7326" s="2">
        <v>1</v>
      </c>
      <c r="F7326" s="9"/>
      <c r="G7326" s="8">
        <f t="shared" si="228"/>
        <v>43.096999324085743</v>
      </c>
      <c r="H7326" s="8">
        <v>41.04476126103404</v>
      </c>
      <c r="I7326" s="19">
        <f t="shared" si="229"/>
        <v>0</v>
      </c>
    </row>
    <row r="7327" spans="1:9" hidden="1">
      <c r="A7327" s="11" t="s">
        <v>11260</v>
      </c>
      <c r="B7327" s="2" t="s">
        <v>12408</v>
      </c>
      <c r="C7327" s="2" t="s">
        <v>12409</v>
      </c>
      <c r="D7327" s="2"/>
      <c r="E7327" s="2">
        <v>1</v>
      </c>
      <c r="F7327" s="9"/>
      <c r="G7327" s="8">
        <f t="shared" si="228"/>
        <v>26.324907927519824</v>
      </c>
      <c r="H7327" s="8">
        <v>25.071340883352214</v>
      </c>
      <c r="I7327" s="19">
        <f t="shared" si="229"/>
        <v>0</v>
      </c>
    </row>
    <row r="7328" spans="1:9" hidden="1">
      <c r="A7328" s="11" t="s">
        <v>11260</v>
      </c>
      <c r="B7328" s="2" t="s">
        <v>12410</v>
      </c>
      <c r="C7328" s="2" t="s">
        <v>12409</v>
      </c>
      <c r="D7328" s="2"/>
      <c r="E7328" s="2">
        <v>1</v>
      </c>
      <c r="F7328" s="9"/>
      <c r="G7328" s="8">
        <f t="shared" si="228"/>
        <v>29.129752299465242</v>
      </c>
      <c r="H7328" s="8">
        <v>27.742621237585944</v>
      </c>
      <c r="I7328" s="19">
        <f t="shared" si="229"/>
        <v>0</v>
      </c>
    </row>
    <row r="7329" spans="1:9" hidden="1">
      <c r="A7329" s="11" t="s">
        <v>11260</v>
      </c>
      <c r="B7329" s="2" t="s">
        <v>12411</v>
      </c>
      <c r="C7329" s="2" t="s">
        <v>12412</v>
      </c>
      <c r="D7329" s="2"/>
      <c r="E7329" s="2">
        <v>1</v>
      </c>
      <c r="F7329" s="9"/>
      <c r="G7329" s="8">
        <f t="shared" si="228"/>
        <v>40.005000000000003</v>
      </c>
      <c r="H7329" s="8">
        <v>38.1</v>
      </c>
      <c r="I7329" s="19">
        <f t="shared" si="229"/>
        <v>0</v>
      </c>
    </row>
    <row r="7330" spans="1:9" hidden="1">
      <c r="A7330" s="11" t="s">
        <v>11260</v>
      </c>
      <c r="B7330" s="2" t="s">
        <v>12413</v>
      </c>
      <c r="C7330" s="2" t="s">
        <v>12414</v>
      </c>
      <c r="D7330" s="2"/>
      <c r="E7330" s="2">
        <v>1</v>
      </c>
      <c r="F7330" s="9"/>
      <c r="G7330" s="8">
        <f t="shared" si="228"/>
        <v>71.087825577128882</v>
      </c>
      <c r="H7330" s="8">
        <v>67.702691025837026</v>
      </c>
      <c r="I7330" s="19">
        <f t="shared" si="229"/>
        <v>0</v>
      </c>
    </row>
    <row r="7331" spans="1:9" hidden="1">
      <c r="A7331" s="11" t="s">
        <v>11260</v>
      </c>
      <c r="B7331" s="2" t="s">
        <v>12415</v>
      </c>
      <c r="C7331" s="2" t="s">
        <v>12416</v>
      </c>
      <c r="D7331" s="2"/>
      <c r="E7331" s="2">
        <v>1</v>
      </c>
      <c r="F7331" s="9"/>
      <c r="G7331" s="8">
        <f t="shared" si="228"/>
        <v>39.708270096315552</v>
      </c>
      <c r="H7331" s="8">
        <v>37.817400091729098</v>
      </c>
      <c r="I7331" s="19">
        <f t="shared" si="229"/>
        <v>0</v>
      </c>
    </row>
    <row r="7332" spans="1:9" hidden="1">
      <c r="A7332" s="11" t="s">
        <v>11260</v>
      </c>
      <c r="B7332" s="2" t="s">
        <v>12417</v>
      </c>
      <c r="C7332" s="2" t="s">
        <v>12418</v>
      </c>
      <c r="D7332" s="2"/>
      <c r="E7332" s="2">
        <v>1</v>
      </c>
      <c r="F7332" s="9"/>
      <c r="G7332" s="8">
        <f t="shared" si="228"/>
        <v>40.005000000000003</v>
      </c>
      <c r="H7332" s="8">
        <v>38.1</v>
      </c>
      <c r="I7332" s="19">
        <f t="shared" si="229"/>
        <v>0</v>
      </c>
    </row>
    <row r="7333" spans="1:9" hidden="1">
      <c r="A7333" s="11" t="s">
        <v>11260</v>
      </c>
      <c r="B7333" s="2" t="s">
        <v>12419</v>
      </c>
      <c r="C7333" s="2" t="s">
        <v>12420</v>
      </c>
      <c r="D7333" s="2"/>
      <c r="E7333" s="2">
        <v>1</v>
      </c>
      <c r="F7333" s="9"/>
      <c r="G7333" s="8">
        <f t="shared" si="228"/>
        <v>37.632000000000005</v>
      </c>
      <c r="H7333" s="8">
        <v>35.840000000000003</v>
      </c>
      <c r="I7333" s="19">
        <f t="shared" si="229"/>
        <v>0</v>
      </c>
    </row>
    <row r="7334" spans="1:9" hidden="1">
      <c r="A7334" s="11" t="s">
        <v>11260</v>
      </c>
      <c r="B7334" s="2" t="s">
        <v>12421</v>
      </c>
      <c r="C7334" s="2" t="s">
        <v>12422</v>
      </c>
      <c r="D7334" s="2"/>
      <c r="E7334" s="2">
        <v>1</v>
      </c>
      <c r="F7334" s="9"/>
      <c r="G7334" s="8">
        <f t="shared" si="228"/>
        <v>157.54837046834049</v>
      </c>
      <c r="H7334" s="8">
        <v>150.04606711270523</v>
      </c>
      <c r="I7334" s="19">
        <f t="shared" si="229"/>
        <v>0</v>
      </c>
    </row>
    <row r="7335" spans="1:9" hidden="1">
      <c r="A7335" s="11" t="s">
        <v>11260</v>
      </c>
      <c r="B7335" s="2" t="s">
        <v>12423</v>
      </c>
      <c r="C7335" s="2" t="s">
        <v>12424</v>
      </c>
      <c r="D7335" s="2"/>
      <c r="E7335" s="2">
        <v>1</v>
      </c>
      <c r="F7335" s="9"/>
      <c r="G7335" s="8">
        <f t="shared" si="228"/>
        <v>15.910513983176649</v>
      </c>
      <c r="H7335" s="8">
        <v>15.152870460168238</v>
      </c>
      <c r="I7335" s="19">
        <f t="shared" si="229"/>
        <v>0</v>
      </c>
    </row>
    <row r="7336" spans="1:9" hidden="1">
      <c r="A7336" s="11" t="s">
        <v>11260</v>
      </c>
      <c r="B7336" s="2" t="s">
        <v>12425</v>
      </c>
      <c r="C7336" s="2" t="s">
        <v>12426</v>
      </c>
      <c r="D7336" s="2"/>
      <c r="E7336" s="2">
        <v>1</v>
      </c>
      <c r="F7336" s="9"/>
      <c r="G7336" s="8">
        <f t="shared" si="228"/>
        <v>11.878305814696489</v>
      </c>
      <c r="H7336" s="8">
        <v>11.312672204472847</v>
      </c>
      <c r="I7336" s="19">
        <f t="shared" si="229"/>
        <v>0</v>
      </c>
    </row>
    <row r="7337" spans="1:9" hidden="1">
      <c r="A7337" s="11" t="s">
        <v>11260</v>
      </c>
      <c r="B7337" s="2" t="s">
        <v>12427</v>
      </c>
      <c r="C7337" s="2" t="s">
        <v>12428</v>
      </c>
      <c r="D7337" s="2"/>
      <c r="E7337" s="2">
        <v>1</v>
      </c>
      <c r="F7337" s="9"/>
      <c r="G7337" s="8">
        <f t="shared" si="228"/>
        <v>124.45548275306065</v>
      </c>
      <c r="H7337" s="8">
        <v>118.52903119339109</v>
      </c>
      <c r="I7337" s="19">
        <f t="shared" si="229"/>
        <v>0</v>
      </c>
    </row>
    <row r="7338" spans="1:9" hidden="1">
      <c r="A7338" s="11" t="s">
        <v>11260</v>
      </c>
      <c r="B7338" s="2" t="s">
        <v>12429</v>
      </c>
      <c r="C7338" s="2" t="s">
        <v>12430</v>
      </c>
      <c r="D7338" s="2"/>
      <c r="E7338" s="2">
        <v>1</v>
      </c>
      <c r="F7338" s="9"/>
      <c r="G7338" s="8">
        <f t="shared" si="228"/>
        <v>22.992245034965038</v>
      </c>
      <c r="H7338" s="8">
        <v>21.897376223776227</v>
      </c>
      <c r="I7338" s="19">
        <f t="shared" si="229"/>
        <v>0</v>
      </c>
    </row>
    <row r="7339" spans="1:9" hidden="1">
      <c r="A7339" s="11" t="s">
        <v>11260</v>
      </c>
      <c r="B7339" s="2" t="s">
        <v>12431</v>
      </c>
      <c r="C7339" s="2" t="s">
        <v>12432</v>
      </c>
      <c r="D7339" s="2"/>
      <c r="E7339" s="2">
        <v>1</v>
      </c>
      <c r="F7339" s="9"/>
      <c r="G7339" s="8">
        <f t="shared" si="228"/>
        <v>13.534768145161291</v>
      </c>
      <c r="H7339" s="8">
        <v>12.890255376344086</v>
      </c>
      <c r="I7339" s="19">
        <f t="shared" si="229"/>
        <v>0</v>
      </c>
    </row>
    <row r="7340" spans="1:9" hidden="1">
      <c r="A7340" s="11" t="s">
        <v>11260</v>
      </c>
      <c r="B7340" s="2" t="s">
        <v>12433</v>
      </c>
      <c r="C7340" s="2" t="s">
        <v>12434</v>
      </c>
      <c r="D7340" s="2"/>
      <c r="E7340" s="2">
        <v>1</v>
      </c>
      <c r="F7340" s="9"/>
      <c r="G7340" s="8">
        <f t="shared" si="228"/>
        <v>258.73730509723214</v>
      </c>
      <c r="H7340" s="8">
        <v>246.41648104498299</v>
      </c>
      <c r="I7340" s="19">
        <f t="shared" si="229"/>
        <v>0</v>
      </c>
    </row>
    <row r="7341" spans="1:9" hidden="1">
      <c r="A7341" s="11" t="s">
        <v>11260</v>
      </c>
      <c r="B7341" s="2" t="s">
        <v>12435</v>
      </c>
      <c r="C7341" s="2" t="s">
        <v>12436</v>
      </c>
      <c r="D7341" s="2"/>
      <c r="E7341" s="2">
        <v>1</v>
      </c>
      <c r="F7341" s="9"/>
      <c r="G7341" s="8">
        <f t="shared" si="228"/>
        <v>181.58135111547529</v>
      </c>
      <c r="H7341" s="8">
        <v>172.93462010997646</v>
      </c>
      <c r="I7341" s="19">
        <f t="shared" si="229"/>
        <v>0</v>
      </c>
    </row>
    <row r="7342" spans="1:9" hidden="1">
      <c r="A7342" s="11" t="s">
        <v>11260</v>
      </c>
      <c r="B7342" s="2" t="s">
        <v>12437</v>
      </c>
      <c r="C7342" s="2" t="s">
        <v>12438</v>
      </c>
      <c r="D7342" s="2"/>
      <c r="E7342" s="2">
        <v>1</v>
      </c>
      <c r="F7342" s="9"/>
      <c r="G7342" s="8">
        <f t="shared" si="228"/>
        <v>178.21966247554337</v>
      </c>
      <c r="H7342" s="8">
        <v>169.73301188146988</v>
      </c>
      <c r="I7342" s="19">
        <f t="shared" si="229"/>
        <v>0</v>
      </c>
    </row>
    <row r="7343" spans="1:9" hidden="1">
      <c r="A7343" s="11" t="s">
        <v>11260</v>
      </c>
      <c r="B7343" s="2" t="s">
        <v>12439</v>
      </c>
      <c r="C7343" s="2" t="s">
        <v>12438</v>
      </c>
      <c r="D7343" s="2"/>
      <c r="E7343" s="2">
        <v>1</v>
      </c>
      <c r="F7343" s="9"/>
      <c r="G7343" s="8">
        <f t="shared" si="228"/>
        <v>202.47797372599146</v>
      </c>
      <c r="H7343" s="8">
        <v>192.83616545332521</v>
      </c>
      <c r="I7343" s="19">
        <f t="shared" si="229"/>
        <v>0</v>
      </c>
    </row>
    <row r="7344" spans="1:9" hidden="1">
      <c r="A7344" s="11" t="s">
        <v>11260</v>
      </c>
      <c r="B7344" s="2" t="s">
        <v>12440</v>
      </c>
      <c r="C7344" s="2" t="s">
        <v>12441</v>
      </c>
      <c r="D7344" s="2"/>
      <c r="E7344" s="2">
        <v>1</v>
      </c>
      <c r="F7344" s="9"/>
      <c r="G7344" s="8">
        <f t="shared" si="228"/>
        <v>157.4265</v>
      </c>
      <c r="H7344" s="8">
        <v>149.93</v>
      </c>
      <c r="I7344" s="19">
        <f t="shared" si="229"/>
        <v>0</v>
      </c>
    </row>
    <row r="7345" spans="1:9" hidden="1">
      <c r="A7345" s="11" t="s">
        <v>11260</v>
      </c>
      <c r="B7345" s="2" t="s">
        <v>12442</v>
      </c>
      <c r="C7345" s="2" t="s">
        <v>12443</v>
      </c>
      <c r="D7345" s="2"/>
      <c r="E7345" s="2">
        <v>1</v>
      </c>
      <c r="F7345" s="9"/>
      <c r="G7345" s="8">
        <f t="shared" si="228"/>
        <v>156.9925223092898</v>
      </c>
      <c r="H7345" s="8">
        <v>149.51668791360933</v>
      </c>
      <c r="I7345" s="19">
        <f t="shared" si="229"/>
        <v>0</v>
      </c>
    </row>
    <row r="7346" spans="1:9" hidden="1">
      <c r="A7346" s="11" t="s">
        <v>11260</v>
      </c>
      <c r="B7346" s="2" t="s">
        <v>12444</v>
      </c>
      <c r="C7346" s="2" t="s">
        <v>12445</v>
      </c>
      <c r="D7346" s="2"/>
      <c r="E7346" s="2">
        <v>1</v>
      </c>
      <c r="F7346" s="9"/>
      <c r="G7346" s="8">
        <f t="shared" si="228"/>
        <v>56.423570965563798</v>
      </c>
      <c r="H7346" s="8">
        <v>53.736734252917906</v>
      </c>
      <c r="I7346" s="19">
        <f t="shared" si="229"/>
        <v>0</v>
      </c>
    </row>
    <row r="7347" spans="1:9" hidden="1">
      <c r="A7347" s="11" t="s">
        <v>11260</v>
      </c>
      <c r="B7347" s="2" t="s">
        <v>12446</v>
      </c>
      <c r="C7347" s="2" t="s">
        <v>12447</v>
      </c>
      <c r="D7347" s="2"/>
      <c r="E7347" s="2">
        <v>1</v>
      </c>
      <c r="F7347" s="9"/>
      <c r="G7347" s="8">
        <f t="shared" si="228"/>
        <v>13.511645674698794</v>
      </c>
      <c r="H7347" s="8">
        <v>12.868233975903614</v>
      </c>
      <c r="I7347" s="19">
        <f t="shared" si="229"/>
        <v>0</v>
      </c>
    </row>
    <row r="7348" spans="1:9" hidden="1">
      <c r="A7348" s="11" t="s">
        <v>11260</v>
      </c>
      <c r="B7348" s="2" t="s">
        <v>12448</v>
      </c>
      <c r="C7348" s="2" t="s">
        <v>12449</v>
      </c>
      <c r="D7348" s="2"/>
      <c r="E7348" s="2">
        <v>1</v>
      </c>
      <c r="F7348" s="9"/>
      <c r="G7348" s="8">
        <f t="shared" si="228"/>
        <v>157.87076015350726</v>
      </c>
      <c r="H7348" s="8">
        <v>150.35310490810215</v>
      </c>
      <c r="I7348" s="19">
        <f t="shared" si="229"/>
        <v>0</v>
      </c>
    </row>
    <row r="7349" spans="1:9" hidden="1">
      <c r="A7349" s="11" t="s">
        <v>11260</v>
      </c>
      <c r="B7349" s="2" t="s">
        <v>12450</v>
      </c>
      <c r="C7349" s="2" t="s">
        <v>12451</v>
      </c>
      <c r="D7349" s="2"/>
      <c r="E7349" s="2">
        <v>1</v>
      </c>
      <c r="F7349" s="9"/>
      <c r="G7349" s="8">
        <f t="shared" si="228"/>
        <v>95.971861399955245</v>
      </c>
      <c r="H7349" s="8">
        <v>91.401772761862134</v>
      </c>
      <c r="I7349" s="19">
        <f t="shared" si="229"/>
        <v>0</v>
      </c>
    </row>
    <row r="7350" spans="1:9" hidden="1">
      <c r="A7350" s="11" t="s">
        <v>11260</v>
      </c>
      <c r="B7350" s="2" t="s">
        <v>12452</v>
      </c>
      <c r="C7350" s="2" t="s">
        <v>12453</v>
      </c>
      <c r="D7350" s="2"/>
      <c r="E7350" s="2">
        <v>1</v>
      </c>
      <c r="F7350" s="9"/>
      <c r="G7350" s="8">
        <f t="shared" si="228"/>
        <v>17.327009003275617</v>
      </c>
      <c r="H7350" s="8">
        <v>16.501913336452969</v>
      </c>
      <c r="I7350" s="19">
        <f t="shared" si="229"/>
        <v>0</v>
      </c>
    </row>
    <row r="7351" spans="1:9" hidden="1">
      <c r="A7351" s="11" t="s">
        <v>11260</v>
      </c>
      <c r="B7351" s="2" t="s">
        <v>12454</v>
      </c>
      <c r="C7351" s="2" t="s">
        <v>12455</v>
      </c>
      <c r="D7351" s="2"/>
      <c r="E7351" s="2">
        <v>1</v>
      </c>
      <c r="F7351" s="9"/>
      <c r="G7351" s="8">
        <f t="shared" si="228"/>
        <v>187.51602238539553</v>
      </c>
      <c r="H7351" s="8">
        <v>178.58668798609099</v>
      </c>
      <c r="I7351" s="19">
        <f t="shared" si="229"/>
        <v>0</v>
      </c>
    </row>
    <row r="7352" spans="1:9" hidden="1">
      <c r="A7352" s="11" t="s">
        <v>11260</v>
      </c>
      <c r="B7352" s="2" t="s">
        <v>12456</v>
      </c>
      <c r="C7352" s="2" t="s">
        <v>12449</v>
      </c>
      <c r="D7352" s="2"/>
      <c r="E7352" s="2">
        <v>1</v>
      </c>
      <c r="F7352" s="9"/>
      <c r="G7352" s="8">
        <f t="shared" si="228"/>
        <v>207.95054494117647</v>
      </c>
      <c r="H7352" s="8">
        <v>198.0481380392157</v>
      </c>
      <c r="I7352" s="19">
        <f t="shared" si="229"/>
        <v>0</v>
      </c>
    </row>
    <row r="7353" spans="1:9" hidden="1">
      <c r="A7353" s="11" t="s">
        <v>11260</v>
      </c>
      <c r="B7353" s="2" t="s">
        <v>12457</v>
      </c>
      <c r="C7353" s="2" t="s">
        <v>12458</v>
      </c>
      <c r="D7353" s="2"/>
      <c r="E7353" s="2">
        <v>1</v>
      </c>
      <c r="F7353" s="9"/>
      <c r="G7353" s="8">
        <f t="shared" si="228"/>
        <v>18.594955783953857</v>
      </c>
      <c r="H7353" s="8">
        <v>17.709481699003675</v>
      </c>
      <c r="I7353" s="19">
        <f t="shared" si="229"/>
        <v>0</v>
      </c>
    </row>
    <row r="7354" spans="1:9" hidden="1">
      <c r="A7354" s="11" t="s">
        <v>11260</v>
      </c>
      <c r="B7354" s="2" t="s">
        <v>12459</v>
      </c>
      <c r="C7354" s="2" t="s">
        <v>12460</v>
      </c>
      <c r="D7354" s="2"/>
      <c r="E7354" s="2">
        <v>1</v>
      </c>
      <c r="F7354" s="9"/>
      <c r="G7354" s="8">
        <f t="shared" si="228"/>
        <v>213.19246204900108</v>
      </c>
      <c r="H7354" s="8">
        <v>203.0404400466677</v>
      </c>
      <c r="I7354" s="19">
        <f t="shared" si="229"/>
        <v>0</v>
      </c>
    </row>
    <row r="7355" spans="1:9" hidden="1">
      <c r="A7355" s="11" t="s">
        <v>11260</v>
      </c>
      <c r="B7355" s="2" t="s">
        <v>12461</v>
      </c>
      <c r="C7355" s="2" t="s">
        <v>12462</v>
      </c>
      <c r="D7355" s="2"/>
      <c r="E7355" s="2">
        <v>1</v>
      </c>
      <c r="F7355" s="9"/>
      <c r="G7355" s="8">
        <f t="shared" si="228"/>
        <v>174.68502044943824</v>
      </c>
      <c r="H7355" s="8">
        <v>166.36668614232212</v>
      </c>
      <c r="I7355" s="19">
        <f t="shared" si="229"/>
        <v>0</v>
      </c>
    </row>
    <row r="7356" spans="1:9" hidden="1">
      <c r="A7356" s="11" t="s">
        <v>11260</v>
      </c>
      <c r="B7356" s="2" t="s">
        <v>12463</v>
      </c>
      <c r="C7356" s="2" t="s">
        <v>12464</v>
      </c>
      <c r="D7356" s="2"/>
      <c r="E7356" s="2">
        <v>1</v>
      </c>
      <c r="F7356" s="9"/>
      <c r="G7356" s="8">
        <f t="shared" si="228"/>
        <v>19.525025180245134</v>
      </c>
      <c r="H7356" s="8">
        <v>18.595262076423936</v>
      </c>
      <c r="I7356" s="19">
        <f t="shared" si="229"/>
        <v>0</v>
      </c>
    </row>
    <row r="7357" spans="1:9" hidden="1">
      <c r="A7357" s="11" t="s">
        <v>11260</v>
      </c>
      <c r="B7357" s="2" t="s">
        <v>12465</v>
      </c>
      <c r="C7357" s="2" t="s">
        <v>12466</v>
      </c>
      <c r="D7357" s="2"/>
      <c r="E7357" s="2">
        <v>1</v>
      </c>
      <c r="F7357" s="9"/>
      <c r="G7357" s="8">
        <f t="shared" si="228"/>
        <v>236.0014998687825</v>
      </c>
      <c r="H7357" s="8">
        <v>224.76333320836429</v>
      </c>
      <c r="I7357" s="19">
        <f t="shared" si="229"/>
        <v>0</v>
      </c>
    </row>
    <row r="7358" spans="1:9" hidden="1">
      <c r="A7358" s="11" t="s">
        <v>11260</v>
      </c>
      <c r="B7358" s="2" t="s">
        <v>12467</v>
      </c>
      <c r="C7358" s="2" t="s">
        <v>12468</v>
      </c>
      <c r="D7358" s="2"/>
      <c r="E7358" s="2">
        <v>1</v>
      </c>
      <c r="F7358" s="9"/>
      <c r="G7358" s="8">
        <f t="shared" si="228"/>
        <v>51.576000000000001</v>
      </c>
      <c r="H7358" s="8">
        <v>49.12</v>
      </c>
      <c r="I7358" s="19">
        <f t="shared" si="229"/>
        <v>0</v>
      </c>
    </row>
    <row r="7359" spans="1:9" hidden="1">
      <c r="A7359" s="11" t="s">
        <v>11260</v>
      </c>
      <c r="B7359" s="2" t="s">
        <v>12469</v>
      </c>
      <c r="C7359" s="2" t="s">
        <v>12470</v>
      </c>
      <c r="D7359" s="2"/>
      <c r="E7359" s="2">
        <v>1</v>
      </c>
      <c r="F7359" s="9"/>
      <c r="G7359" s="8">
        <f t="shared" si="228"/>
        <v>79.618457278558765</v>
      </c>
      <c r="H7359" s="8">
        <v>75.827102170055966</v>
      </c>
      <c r="I7359" s="19">
        <f t="shared" si="229"/>
        <v>0</v>
      </c>
    </row>
    <row r="7360" spans="1:9" hidden="1">
      <c r="A7360" s="11" t="s">
        <v>11260</v>
      </c>
      <c r="B7360" s="2" t="s">
        <v>12471</v>
      </c>
      <c r="C7360" s="2" t="s">
        <v>12472</v>
      </c>
      <c r="D7360" s="2"/>
      <c r="E7360" s="2">
        <v>1</v>
      </c>
      <c r="F7360" s="9"/>
      <c r="G7360" s="8">
        <f t="shared" si="228"/>
        <v>48.680972303021534</v>
      </c>
      <c r="H7360" s="8">
        <v>46.362830764782416</v>
      </c>
      <c r="I7360" s="19">
        <f t="shared" si="229"/>
        <v>0</v>
      </c>
    </row>
    <row r="7361" spans="1:9" hidden="1">
      <c r="A7361" s="11" t="s">
        <v>11260</v>
      </c>
      <c r="B7361" s="2" t="s">
        <v>12473</v>
      </c>
      <c r="C7361" s="2" t="s">
        <v>12474</v>
      </c>
      <c r="D7361" s="2"/>
      <c r="E7361" s="2">
        <v>1</v>
      </c>
      <c r="F7361" s="9"/>
      <c r="G7361" s="8">
        <f t="shared" si="228"/>
        <v>78.352304038834973</v>
      </c>
      <c r="H7361" s="8">
        <v>74.621241941747599</v>
      </c>
      <c r="I7361" s="19">
        <f t="shared" si="229"/>
        <v>0</v>
      </c>
    </row>
    <row r="7362" spans="1:9" hidden="1">
      <c r="A7362" s="11" t="s">
        <v>11260</v>
      </c>
      <c r="B7362" s="2" t="s">
        <v>12475</v>
      </c>
      <c r="C7362" s="2" t="s">
        <v>12476</v>
      </c>
      <c r="D7362" s="2"/>
      <c r="E7362" s="2">
        <v>1</v>
      </c>
      <c r="F7362" s="9"/>
      <c r="G7362" s="8">
        <f t="shared" si="228"/>
        <v>83.461239667968755</v>
      </c>
      <c r="H7362" s="8">
        <v>79.486894921875006</v>
      </c>
      <c r="I7362" s="19">
        <f t="shared" si="229"/>
        <v>0</v>
      </c>
    </row>
    <row r="7363" spans="1:9" hidden="1">
      <c r="A7363" s="11" t="s">
        <v>11260</v>
      </c>
      <c r="B7363" s="2" t="s">
        <v>12477</v>
      </c>
      <c r="C7363" s="2" t="s">
        <v>12478</v>
      </c>
      <c r="D7363" s="2"/>
      <c r="E7363" s="2">
        <v>1</v>
      </c>
      <c r="F7363" s="9"/>
      <c r="G7363" s="8">
        <f t="shared" si="228"/>
        <v>52.864545042968743</v>
      </c>
      <c r="H7363" s="8">
        <v>50.347185755208329</v>
      </c>
      <c r="I7363" s="19">
        <f t="shared" si="229"/>
        <v>0</v>
      </c>
    </row>
    <row r="7364" spans="1:9" hidden="1">
      <c r="A7364" s="11" t="s">
        <v>11260</v>
      </c>
      <c r="B7364" s="2" t="s">
        <v>12479</v>
      </c>
      <c r="C7364" s="2" t="s">
        <v>12480</v>
      </c>
      <c r="D7364" s="2"/>
      <c r="E7364" s="2">
        <v>1</v>
      </c>
      <c r="F7364" s="9"/>
      <c r="G7364" s="8">
        <f t="shared" si="228"/>
        <v>110.34167455485523</v>
      </c>
      <c r="H7364" s="8">
        <v>105.08730909986213</v>
      </c>
      <c r="I7364" s="19">
        <f t="shared" si="229"/>
        <v>0</v>
      </c>
    </row>
    <row r="7365" spans="1:9" hidden="1">
      <c r="A7365" s="11" t="s">
        <v>11260</v>
      </c>
      <c r="B7365" s="2" t="s">
        <v>12481</v>
      </c>
      <c r="C7365" s="2" t="s">
        <v>12482</v>
      </c>
      <c r="D7365" s="2"/>
      <c r="E7365" s="2">
        <v>1</v>
      </c>
      <c r="F7365" s="9"/>
      <c r="G7365" s="8">
        <f t="shared" si="228"/>
        <v>69.817401553082519</v>
      </c>
      <c r="H7365" s="8">
        <v>66.492763383888118</v>
      </c>
      <c r="I7365" s="19">
        <f t="shared" si="229"/>
        <v>0</v>
      </c>
    </row>
    <row r="7366" spans="1:9" hidden="1">
      <c r="A7366" s="11" t="s">
        <v>11260</v>
      </c>
      <c r="B7366" s="2" t="s">
        <v>12483</v>
      </c>
      <c r="C7366" s="2" t="s">
        <v>12484</v>
      </c>
      <c r="D7366" s="2"/>
      <c r="E7366" s="2">
        <v>1</v>
      </c>
      <c r="F7366" s="9"/>
      <c r="G7366" s="8">
        <f t="shared" si="228"/>
        <v>48.68210621887966</v>
      </c>
      <c r="H7366" s="8">
        <v>46.363910684647294</v>
      </c>
      <c r="I7366" s="19">
        <f t="shared" si="229"/>
        <v>0</v>
      </c>
    </row>
    <row r="7367" spans="1:9" hidden="1">
      <c r="A7367" s="11" t="s">
        <v>11260</v>
      </c>
      <c r="B7367" s="2" t="s">
        <v>12485</v>
      </c>
      <c r="C7367" s="2" t="s">
        <v>12486</v>
      </c>
      <c r="D7367" s="2"/>
      <c r="E7367" s="2">
        <v>1</v>
      </c>
      <c r="F7367" s="9"/>
      <c r="G7367" s="8">
        <f t="shared" si="228"/>
        <v>135.64406619532127</v>
      </c>
      <c r="H7367" s="8">
        <v>129.18482494792502</v>
      </c>
      <c r="I7367" s="19">
        <f t="shared" si="229"/>
        <v>0</v>
      </c>
    </row>
    <row r="7368" spans="1:9" hidden="1">
      <c r="A7368" s="11" t="s">
        <v>11260</v>
      </c>
      <c r="B7368" s="2" t="s">
        <v>12487</v>
      </c>
      <c r="C7368" s="2" t="s">
        <v>12488</v>
      </c>
      <c r="D7368" s="2"/>
      <c r="E7368" s="2">
        <v>1</v>
      </c>
      <c r="F7368" s="9"/>
      <c r="G7368" s="8">
        <f t="shared" si="228"/>
        <v>135.64406619532127</v>
      </c>
      <c r="H7368" s="8">
        <v>129.18482494792502</v>
      </c>
      <c r="I7368" s="19">
        <f t="shared" si="229"/>
        <v>0</v>
      </c>
    </row>
    <row r="7369" spans="1:9" hidden="1">
      <c r="A7369" s="11" t="s">
        <v>11260</v>
      </c>
      <c r="B7369" s="2" t="s">
        <v>12489</v>
      </c>
      <c r="C7369" s="2" t="s">
        <v>12490</v>
      </c>
      <c r="D7369" s="2"/>
      <c r="E7369" s="2">
        <v>1</v>
      </c>
      <c r="F7369" s="9"/>
      <c r="G7369" s="8">
        <f t="shared" si="228"/>
        <v>3.8006678571428574</v>
      </c>
      <c r="H7369" s="8">
        <v>3.619683673469388</v>
      </c>
      <c r="I7369" s="19">
        <f t="shared" si="229"/>
        <v>0</v>
      </c>
    </row>
    <row r="7370" spans="1:9" hidden="1">
      <c r="A7370" s="11" t="s">
        <v>11260</v>
      </c>
      <c r="B7370" s="2" t="s">
        <v>12491</v>
      </c>
      <c r="C7370" s="2" t="s">
        <v>12492</v>
      </c>
      <c r="D7370" s="2"/>
      <c r="E7370" s="2">
        <v>1</v>
      </c>
      <c r="F7370" s="9"/>
      <c r="G7370" s="8">
        <f t="shared" si="228"/>
        <v>1.8802227561837455</v>
      </c>
      <c r="H7370" s="8">
        <v>1.7906883392226147</v>
      </c>
      <c r="I7370" s="19">
        <f t="shared" si="229"/>
        <v>0</v>
      </c>
    </row>
    <row r="7371" spans="1:9" hidden="1">
      <c r="A7371" s="11" t="s">
        <v>11260</v>
      </c>
      <c r="B7371" s="2" t="s">
        <v>12493</v>
      </c>
      <c r="C7371" s="2" t="s">
        <v>12494</v>
      </c>
      <c r="D7371" s="2"/>
      <c r="E7371" s="2">
        <v>1</v>
      </c>
      <c r="F7371" s="9"/>
      <c r="G7371" s="8">
        <f t="shared" si="228"/>
        <v>7.7910000000000021E-2</v>
      </c>
      <c r="H7371" s="8">
        <v>7.4200000000000016E-2</v>
      </c>
      <c r="I7371" s="19">
        <f t="shared" si="229"/>
        <v>0</v>
      </c>
    </row>
    <row r="7372" spans="1:9" hidden="1">
      <c r="A7372" s="11" t="s">
        <v>11260</v>
      </c>
      <c r="B7372" s="2" t="s">
        <v>12495</v>
      </c>
      <c r="C7372" s="2" t="s">
        <v>12496</v>
      </c>
      <c r="D7372" s="2"/>
      <c r="E7372" s="2">
        <v>1</v>
      </c>
      <c r="F7372" s="9"/>
      <c r="G7372" s="8">
        <f t="shared" si="228"/>
        <v>0.26712000000000002</v>
      </c>
      <c r="H7372" s="8">
        <v>0.25440000000000002</v>
      </c>
      <c r="I7372" s="19">
        <f t="shared" si="229"/>
        <v>0</v>
      </c>
    </row>
    <row r="7373" spans="1:9" hidden="1">
      <c r="A7373" s="11" t="s">
        <v>11260</v>
      </c>
      <c r="B7373" s="2" t="s">
        <v>12497</v>
      </c>
      <c r="C7373" s="2" t="s">
        <v>12498</v>
      </c>
      <c r="D7373" s="2"/>
      <c r="E7373" s="2">
        <v>1</v>
      </c>
      <c r="F7373" s="9"/>
      <c r="G7373" s="8">
        <f t="shared" si="228"/>
        <v>0.11130000000000001</v>
      </c>
      <c r="H7373" s="8">
        <v>0.10600000000000001</v>
      </c>
      <c r="I7373" s="19">
        <f t="shared" si="229"/>
        <v>0</v>
      </c>
    </row>
    <row r="7374" spans="1:9" hidden="1">
      <c r="A7374" s="11" t="s">
        <v>11260</v>
      </c>
      <c r="B7374" s="2" t="s">
        <v>12499</v>
      </c>
      <c r="C7374" s="2" t="s">
        <v>12500</v>
      </c>
      <c r="D7374" s="2"/>
      <c r="E7374" s="2">
        <v>1</v>
      </c>
      <c r="F7374" s="9"/>
      <c r="G7374" s="8">
        <f t="shared" si="228"/>
        <v>3.7285500000000003</v>
      </c>
      <c r="H7374" s="8">
        <v>3.5510000000000002</v>
      </c>
      <c r="I7374" s="19">
        <f t="shared" si="229"/>
        <v>0</v>
      </c>
    </row>
    <row r="7375" spans="1:9" hidden="1">
      <c r="A7375" s="11" t="s">
        <v>11260</v>
      </c>
      <c r="B7375" s="2" t="s">
        <v>12501</v>
      </c>
      <c r="C7375" s="2" t="s">
        <v>12502</v>
      </c>
      <c r="D7375" s="2"/>
      <c r="E7375" s="2">
        <v>1</v>
      </c>
      <c r="F7375" s="9"/>
      <c r="G7375" s="8">
        <f t="shared" si="228"/>
        <v>0.32277</v>
      </c>
      <c r="H7375" s="8">
        <v>0.30740000000000001</v>
      </c>
      <c r="I7375" s="19">
        <f t="shared" si="229"/>
        <v>0</v>
      </c>
    </row>
    <row r="7376" spans="1:9" hidden="1">
      <c r="A7376" s="11" t="s">
        <v>11260</v>
      </c>
      <c r="B7376" s="2" t="s">
        <v>12503</v>
      </c>
      <c r="C7376" s="2" t="s">
        <v>12504</v>
      </c>
      <c r="D7376" s="2"/>
      <c r="E7376" s="2">
        <v>1</v>
      </c>
      <c r="F7376" s="9"/>
      <c r="G7376" s="8">
        <f t="shared" si="228"/>
        <v>5.7225000000000001</v>
      </c>
      <c r="H7376" s="8">
        <v>5.45</v>
      </c>
      <c r="I7376" s="19">
        <f t="shared" si="229"/>
        <v>0</v>
      </c>
    </row>
    <row r="7377" spans="1:9" hidden="1">
      <c r="A7377" s="11" t="s">
        <v>11260</v>
      </c>
      <c r="B7377" s="2" t="s">
        <v>12505</v>
      </c>
      <c r="C7377" s="2" t="s">
        <v>12506</v>
      </c>
      <c r="D7377" s="2"/>
      <c r="E7377" s="2">
        <v>1</v>
      </c>
      <c r="F7377" s="9"/>
      <c r="G7377" s="8">
        <f t="shared" si="228"/>
        <v>1.0395000000000001</v>
      </c>
      <c r="H7377" s="8">
        <v>0.99</v>
      </c>
      <c r="I7377" s="19">
        <f t="shared" si="229"/>
        <v>0</v>
      </c>
    </row>
    <row r="7378" spans="1:9">
      <c r="A7378" s="11" t="s">
        <v>11260</v>
      </c>
      <c r="B7378" s="2" t="s">
        <v>12507</v>
      </c>
      <c r="C7378" s="2" t="s">
        <v>12508</v>
      </c>
      <c r="D7378" s="2"/>
      <c r="E7378" s="2">
        <v>1</v>
      </c>
      <c r="F7378" s="9">
        <v>350</v>
      </c>
      <c r="G7378" s="8">
        <f t="shared" si="228"/>
        <v>0.58800000000000008</v>
      </c>
      <c r="H7378" s="8">
        <v>0.56000000000000005</v>
      </c>
      <c r="I7378" s="19">
        <f t="shared" si="229"/>
        <v>205.80000000000004</v>
      </c>
    </row>
    <row r="7379" spans="1:9" hidden="1">
      <c r="A7379" s="11" t="s">
        <v>11260</v>
      </c>
      <c r="B7379" s="2" t="s">
        <v>12509</v>
      </c>
      <c r="C7379" s="2" t="s">
        <v>12510</v>
      </c>
      <c r="D7379" s="2"/>
      <c r="E7379" s="2">
        <v>1</v>
      </c>
      <c r="F7379" s="9"/>
      <c r="G7379" s="8">
        <f t="shared" si="228"/>
        <v>1.3356000000000001</v>
      </c>
      <c r="H7379" s="8">
        <v>1.272</v>
      </c>
      <c r="I7379" s="19">
        <f t="shared" si="229"/>
        <v>0</v>
      </c>
    </row>
    <row r="7380" spans="1:9" hidden="1">
      <c r="A7380" s="11" t="s">
        <v>11260</v>
      </c>
      <c r="B7380" s="2" t="s">
        <v>12511</v>
      </c>
      <c r="C7380" s="2" t="s">
        <v>12512</v>
      </c>
      <c r="D7380" s="2"/>
      <c r="E7380" s="2">
        <v>1</v>
      </c>
      <c r="F7380" s="9"/>
      <c r="G7380" s="8">
        <f t="shared" ref="G7380:G7443" si="230">H7380+(H7380*5%)</f>
        <v>0.42000000000000004</v>
      </c>
      <c r="H7380" s="8">
        <v>0.4</v>
      </c>
      <c r="I7380" s="19">
        <f t="shared" ref="I7380:I7443" si="231">G7380*F7380</f>
        <v>0</v>
      </c>
    </row>
    <row r="7381" spans="1:9" hidden="1">
      <c r="A7381" s="11" t="s">
        <v>11260</v>
      </c>
      <c r="B7381" s="2" t="s">
        <v>12513</v>
      </c>
      <c r="C7381" s="2" t="s">
        <v>12514</v>
      </c>
      <c r="D7381" s="2"/>
      <c r="E7381" s="2">
        <v>1</v>
      </c>
      <c r="F7381" s="9"/>
      <c r="G7381" s="8">
        <f t="shared" si="230"/>
        <v>0.31164000000000008</v>
      </c>
      <c r="H7381" s="8">
        <v>0.29680000000000006</v>
      </c>
      <c r="I7381" s="19">
        <f t="shared" si="231"/>
        <v>0</v>
      </c>
    </row>
    <row r="7382" spans="1:9" hidden="1">
      <c r="A7382" s="11" t="s">
        <v>11260</v>
      </c>
      <c r="B7382" s="2" t="s">
        <v>12515</v>
      </c>
      <c r="C7382" s="2" t="s">
        <v>12516</v>
      </c>
      <c r="D7382" s="2"/>
      <c r="E7382" s="2">
        <v>1</v>
      </c>
      <c r="F7382" s="9"/>
      <c r="G7382" s="8">
        <f t="shared" si="230"/>
        <v>0.94605000000000006</v>
      </c>
      <c r="H7382" s="8">
        <v>0.90100000000000002</v>
      </c>
      <c r="I7382" s="19">
        <f t="shared" si="231"/>
        <v>0</v>
      </c>
    </row>
    <row r="7383" spans="1:9" hidden="1">
      <c r="A7383" s="11" t="s">
        <v>11260</v>
      </c>
      <c r="B7383" s="2" t="s">
        <v>12517</v>
      </c>
      <c r="C7383" s="2" t="s">
        <v>12516</v>
      </c>
      <c r="D7383" s="2"/>
      <c r="E7383" s="2">
        <v>1</v>
      </c>
      <c r="F7383" s="9"/>
      <c r="G7383" s="8">
        <f t="shared" si="230"/>
        <v>0.94605000000000006</v>
      </c>
      <c r="H7383" s="8">
        <v>0.90100000000000002</v>
      </c>
      <c r="I7383" s="19">
        <f t="shared" si="231"/>
        <v>0</v>
      </c>
    </row>
    <row r="7384" spans="1:9" hidden="1">
      <c r="A7384" s="11" t="s">
        <v>11260</v>
      </c>
      <c r="B7384" s="2" t="s">
        <v>12518</v>
      </c>
      <c r="C7384" s="2" t="s">
        <v>12519</v>
      </c>
      <c r="D7384" s="2"/>
      <c r="E7384" s="2">
        <v>1</v>
      </c>
      <c r="F7384" s="9"/>
      <c r="G7384" s="8">
        <f t="shared" si="230"/>
        <v>1.9588800000000002</v>
      </c>
      <c r="H7384" s="8">
        <v>1.8656000000000001</v>
      </c>
      <c r="I7384" s="19">
        <f t="shared" si="231"/>
        <v>0</v>
      </c>
    </row>
    <row r="7385" spans="1:9">
      <c r="A7385" s="11" t="s">
        <v>11260</v>
      </c>
      <c r="B7385" s="2" t="s">
        <v>12520</v>
      </c>
      <c r="C7385" s="2" t="s">
        <v>12521</v>
      </c>
      <c r="D7385" s="2"/>
      <c r="E7385" s="2">
        <v>1</v>
      </c>
      <c r="F7385" s="9">
        <v>12</v>
      </c>
      <c r="G7385" s="8">
        <f t="shared" si="230"/>
        <v>1.9588800000000002</v>
      </c>
      <c r="H7385" s="8">
        <v>1.8656000000000001</v>
      </c>
      <c r="I7385" s="19">
        <f t="shared" si="231"/>
        <v>23.50656</v>
      </c>
    </row>
    <row r="7386" spans="1:9" hidden="1">
      <c r="A7386" s="11" t="s">
        <v>11260</v>
      </c>
      <c r="B7386" s="2" t="s">
        <v>12522</v>
      </c>
      <c r="C7386" s="2" t="s">
        <v>12523</v>
      </c>
      <c r="D7386" s="2"/>
      <c r="E7386" s="2">
        <v>1</v>
      </c>
      <c r="F7386" s="9"/>
      <c r="G7386" s="8">
        <f t="shared" si="230"/>
        <v>2.0924399999999999</v>
      </c>
      <c r="H7386" s="8">
        <v>1.9927999999999999</v>
      </c>
      <c r="I7386" s="19">
        <f t="shared" si="231"/>
        <v>0</v>
      </c>
    </row>
    <row r="7387" spans="1:9" hidden="1">
      <c r="A7387" s="11" t="s">
        <v>11260</v>
      </c>
      <c r="B7387" s="2" t="s">
        <v>12524</v>
      </c>
      <c r="C7387" s="2" t="s">
        <v>12525</v>
      </c>
      <c r="D7387" s="2"/>
      <c r="E7387" s="2">
        <v>1</v>
      </c>
      <c r="F7387" s="9"/>
      <c r="G7387" s="8">
        <f t="shared" si="230"/>
        <v>2.0924399999999999</v>
      </c>
      <c r="H7387" s="8">
        <v>1.9927999999999999</v>
      </c>
      <c r="I7387" s="19">
        <f t="shared" si="231"/>
        <v>0</v>
      </c>
    </row>
    <row r="7388" spans="1:9">
      <c r="A7388" s="11" t="s">
        <v>11260</v>
      </c>
      <c r="B7388" s="2" t="s">
        <v>12526</v>
      </c>
      <c r="C7388" s="2" t="s">
        <v>12527</v>
      </c>
      <c r="D7388" s="2"/>
      <c r="E7388" s="2">
        <v>1</v>
      </c>
      <c r="F7388" s="9">
        <v>100</v>
      </c>
      <c r="G7388" s="8">
        <f t="shared" si="230"/>
        <v>1.5915900000000001</v>
      </c>
      <c r="H7388" s="8">
        <v>1.5158</v>
      </c>
      <c r="I7388" s="19">
        <f t="shared" si="231"/>
        <v>159.15899999999999</v>
      </c>
    </row>
    <row r="7389" spans="1:9">
      <c r="A7389" s="11" t="s">
        <v>11260</v>
      </c>
      <c r="B7389" s="2" t="s">
        <v>12528</v>
      </c>
      <c r="C7389" s="2" t="s">
        <v>12529</v>
      </c>
      <c r="D7389" s="2"/>
      <c r="E7389" s="2">
        <v>1</v>
      </c>
      <c r="F7389" s="9">
        <v>100</v>
      </c>
      <c r="G7389" s="8">
        <f t="shared" si="230"/>
        <v>1.5915900000000001</v>
      </c>
      <c r="H7389" s="8">
        <v>1.5158</v>
      </c>
      <c r="I7389" s="19">
        <f t="shared" si="231"/>
        <v>159.15899999999999</v>
      </c>
    </row>
    <row r="7390" spans="1:9" hidden="1">
      <c r="A7390" s="11" t="s">
        <v>11260</v>
      </c>
      <c r="B7390" s="2" t="s">
        <v>12530</v>
      </c>
      <c r="C7390" s="2" t="s">
        <v>12531</v>
      </c>
      <c r="D7390" s="2"/>
      <c r="E7390" s="2">
        <v>1</v>
      </c>
      <c r="F7390" s="9"/>
      <c r="G7390" s="8">
        <f t="shared" si="230"/>
        <v>0.79800000000000004</v>
      </c>
      <c r="H7390" s="8">
        <v>0.76</v>
      </c>
      <c r="I7390" s="19">
        <f t="shared" si="231"/>
        <v>0</v>
      </c>
    </row>
    <row r="7391" spans="1:9" hidden="1">
      <c r="A7391" s="11" t="s">
        <v>11260</v>
      </c>
      <c r="B7391" s="2" t="s">
        <v>2136</v>
      </c>
      <c r="C7391" s="2" t="s">
        <v>12532</v>
      </c>
      <c r="D7391" s="2"/>
      <c r="E7391" s="2">
        <v>1</v>
      </c>
      <c r="F7391" s="9"/>
      <c r="G7391" s="8">
        <f t="shared" si="230"/>
        <v>0.21000000000000002</v>
      </c>
      <c r="H7391" s="8">
        <v>0.2</v>
      </c>
      <c r="I7391" s="19">
        <f t="shared" si="231"/>
        <v>0</v>
      </c>
    </row>
    <row r="7392" spans="1:9" hidden="1">
      <c r="A7392" s="11" t="s">
        <v>11260</v>
      </c>
      <c r="B7392" s="2" t="s">
        <v>12533</v>
      </c>
      <c r="C7392" s="2" t="s">
        <v>12534</v>
      </c>
      <c r="D7392" s="2"/>
      <c r="E7392" s="2">
        <v>1</v>
      </c>
      <c r="F7392" s="9"/>
      <c r="G7392" s="8">
        <f t="shared" si="230"/>
        <v>1.0312221276595743</v>
      </c>
      <c r="H7392" s="8">
        <v>0.98211631205673755</v>
      </c>
      <c r="I7392" s="19">
        <f t="shared" si="231"/>
        <v>0</v>
      </c>
    </row>
    <row r="7393" spans="1:9" hidden="1">
      <c r="A7393" s="11" t="s">
        <v>11260</v>
      </c>
      <c r="B7393" s="2" t="s">
        <v>12535</v>
      </c>
      <c r="C7393" s="2" t="s">
        <v>12536</v>
      </c>
      <c r="D7393" s="2"/>
      <c r="E7393" s="2">
        <v>1</v>
      </c>
      <c r="F7393" s="9"/>
      <c r="G7393" s="8">
        <f t="shared" si="230"/>
        <v>1.0691347058823528</v>
      </c>
      <c r="H7393" s="8">
        <v>1.0182235294117645</v>
      </c>
      <c r="I7393" s="19">
        <f t="shared" si="231"/>
        <v>0</v>
      </c>
    </row>
    <row r="7394" spans="1:9" hidden="1">
      <c r="A7394" s="11" t="s">
        <v>11260</v>
      </c>
      <c r="B7394" s="2" t="s">
        <v>12537</v>
      </c>
      <c r="C7394" s="2" t="s">
        <v>12538</v>
      </c>
      <c r="D7394" s="2"/>
      <c r="E7394" s="2">
        <v>1</v>
      </c>
      <c r="F7394" s="9"/>
      <c r="G7394" s="8">
        <f t="shared" si="230"/>
        <v>2.3261699999999998</v>
      </c>
      <c r="H7394" s="8">
        <v>2.2153999999999998</v>
      </c>
      <c r="I7394" s="19">
        <f t="shared" si="231"/>
        <v>0</v>
      </c>
    </row>
    <row r="7395" spans="1:9" hidden="1">
      <c r="A7395" s="11" t="s">
        <v>11260</v>
      </c>
      <c r="B7395" s="2" t="s">
        <v>12539</v>
      </c>
      <c r="C7395" s="2" t="s">
        <v>12540</v>
      </c>
      <c r="D7395" s="2"/>
      <c r="E7395" s="2">
        <v>1</v>
      </c>
      <c r="F7395" s="9"/>
      <c r="G7395" s="8">
        <f t="shared" si="230"/>
        <v>0.43049999999999999</v>
      </c>
      <c r="H7395" s="8">
        <v>0.41</v>
      </c>
      <c r="I7395" s="19">
        <f t="shared" si="231"/>
        <v>0</v>
      </c>
    </row>
    <row r="7396" spans="1:9" hidden="1">
      <c r="A7396" s="11" t="s">
        <v>11260</v>
      </c>
      <c r="B7396" s="2" t="s">
        <v>12541</v>
      </c>
      <c r="C7396" s="2" t="s">
        <v>12542</v>
      </c>
      <c r="D7396" s="2"/>
      <c r="E7396" s="2">
        <v>1</v>
      </c>
      <c r="F7396" s="9"/>
      <c r="G7396" s="8">
        <f t="shared" si="230"/>
        <v>3.1080000000000001</v>
      </c>
      <c r="H7396" s="8">
        <v>2.96</v>
      </c>
      <c r="I7396" s="19">
        <f t="shared" si="231"/>
        <v>0</v>
      </c>
    </row>
    <row r="7397" spans="1:9" hidden="1">
      <c r="A7397" s="11" t="s">
        <v>11260</v>
      </c>
      <c r="B7397" s="2" t="s">
        <v>12543</v>
      </c>
      <c r="C7397" s="2" t="s">
        <v>12544</v>
      </c>
      <c r="D7397" s="2"/>
      <c r="E7397" s="2">
        <v>1</v>
      </c>
      <c r="F7397" s="9"/>
      <c r="G7397" s="8">
        <f t="shared" si="230"/>
        <v>1.1129999999999999E-2</v>
      </c>
      <c r="H7397" s="8">
        <v>1.06E-2</v>
      </c>
      <c r="I7397" s="19">
        <f t="shared" si="231"/>
        <v>0</v>
      </c>
    </row>
    <row r="7398" spans="1:9" hidden="1">
      <c r="A7398" s="11" t="s">
        <v>11260</v>
      </c>
      <c r="B7398" s="2" t="s">
        <v>12545</v>
      </c>
      <c r="C7398" s="2" t="s">
        <v>12546</v>
      </c>
      <c r="D7398" s="2"/>
      <c r="E7398" s="2">
        <v>1</v>
      </c>
      <c r="F7398" s="9"/>
      <c r="G7398" s="8">
        <f t="shared" si="230"/>
        <v>1.1129999999999999E-2</v>
      </c>
      <c r="H7398" s="8">
        <v>1.06E-2</v>
      </c>
      <c r="I7398" s="19">
        <f t="shared" si="231"/>
        <v>0</v>
      </c>
    </row>
    <row r="7399" spans="1:9" hidden="1">
      <c r="A7399" s="11" t="s">
        <v>11260</v>
      </c>
      <c r="B7399" s="2" t="s">
        <v>12547</v>
      </c>
      <c r="C7399" s="2" t="s">
        <v>12548</v>
      </c>
      <c r="D7399" s="2"/>
      <c r="E7399" s="2">
        <v>1</v>
      </c>
      <c r="F7399" s="9"/>
      <c r="G7399" s="8">
        <f t="shared" si="230"/>
        <v>31.623060000000002</v>
      </c>
      <c r="H7399" s="8">
        <v>30.1172</v>
      </c>
      <c r="I7399" s="19">
        <f t="shared" si="231"/>
        <v>0</v>
      </c>
    </row>
    <row r="7400" spans="1:9" hidden="1">
      <c r="A7400" s="11" t="s">
        <v>11260</v>
      </c>
      <c r="B7400" s="2" t="s">
        <v>12549</v>
      </c>
      <c r="C7400" s="2" t="s">
        <v>12550</v>
      </c>
      <c r="D7400" s="2"/>
      <c r="E7400" s="2">
        <v>1</v>
      </c>
      <c r="F7400" s="9"/>
      <c r="G7400" s="8">
        <f t="shared" si="230"/>
        <v>13.064853468815699</v>
      </c>
      <c r="H7400" s="8">
        <v>12.442717589348284</v>
      </c>
      <c r="I7400" s="19">
        <f t="shared" si="231"/>
        <v>0</v>
      </c>
    </row>
    <row r="7401" spans="1:9">
      <c r="A7401" s="11" t="s">
        <v>11260</v>
      </c>
      <c r="B7401" s="2" t="s">
        <v>12551</v>
      </c>
      <c r="C7401" s="2" t="s">
        <v>12552</v>
      </c>
      <c r="D7401" s="2"/>
      <c r="E7401" s="2">
        <v>1</v>
      </c>
      <c r="F7401" s="9">
        <v>81</v>
      </c>
      <c r="G7401" s="8">
        <f t="shared" si="230"/>
        <v>20.705508155753588</v>
      </c>
      <c r="H7401" s="8">
        <v>19.719531576908178</v>
      </c>
      <c r="I7401" s="19">
        <f t="shared" si="231"/>
        <v>1677.1461606160406</v>
      </c>
    </row>
    <row r="7402" spans="1:9" hidden="1">
      <c r="A7402" s="11" t="s">
        <v>11260</v>
      </c>
      <c r="B7402" s="2" t="s">
        <v>12553</v>
      </c>
      <c r="C7402" s="2" t="s">
        <v>12554</v>
      </c>
      <c r="D7402" s="2"/>
      <c r="E7402" s="2">
        <v>1</v>
      </c>
      <c r="F7402" s="9"/>
      <c r="G7402" s="8">
        <f t="shared" si="230"/>
        <v>19.762648989184697</v>
      </c>
      <c r="H7402" s="8">
        <v>18.821570465890186</v>
      </c>
      <c r="I7402" s="19">
        <f t="shared" si="231"/>
        <v>0</v>
      </c>
    </row>
    <row r="7403" spans="1:9">
      <c r="A7403" s="11" t="s">
        <v>11260</v>
      </c>
      <c r="B7403" s="2" t="s">
        <v>12555</v>
      </c>
      <c r="C7403" s="2" t="s">
        <v>12556</v>
      </c>
      <c r="D7403" s="2"/>
      <c r="E7403" s="2">
        <v>1</v>
      </c>
      <c r="F7403" s="9">
        <f>(1*50)+44</f>
        <v>94</v>
      </c>
      <c r="G7403" s="8">
        <f t="shared" si="230"/>
        <v>23.96602437703142</v>
      </c>
      <c r="H7403" s="8">
        <v>22.824785120982305</v>
      </c>
      <c r="I7403" s="19">
        <f t="shared" si="231"/>
        <v>2252.8062914409534</v>
      </c>
    </row>
    <row r="7404" spans="1:9" hidden="1">
      <c r="A7404" s="11" t="s">
        <v>11260</v>
      </c>
      <c r="B7404" s="2" t="s">
        <v>12557</v>
      </c>
      <c r="C7404" s="2" t="s">
        <v>12558</v>
      </c>
      <c r="D7404" s="2"/>
      <c r="E7404" s="2">
        <v>1</v>
      </c>
      <c r="F7404" s="9"/>
      <c r="G7404" s="8">
        <f t="shared" si="230"/>
        <v>22.837454069724775</v>
      </c>
      <c r="H7404" s="8">
        <v>21.749956256880736</v>
      </c>
      <c r="I7404" s="19">
        <f t="shared" si="231"/>
        <v>0</v>
      </c>
    </row>
    <row r="7405" spans="1:9" hidden="1">
      <c r="A7405" s="11" t="s">
        <v>11260</v>
      </c>
      <c r="B7405" s="2" t="s">
        <v>12559</v>
      </c>
      <c r="C7405" s="2" t="s">
        <v>12560</v>
      </c>
      <c r="D7405" s="2"/>
      <c r="E7405" s="2">
        <v>1</v>
      </c>
      <c r="F7405" s="9"/>
      <c r="G7405" s="8">
        <f t="shared" si="230"/>
        <v>59.361481575370668</v>
      </c>
      <c r="H7405" s="8">
        <v>56.534744357495875</v>
      </c>
      <c r="I7405" s="19">
        <f t="shared" si="231"/>
        <v>0</v>
      </c>
    </row>
    <row r="7406" spans="1:9" hidden="1">
      <c r="A7406" s="11" t="s">
        <v>11260</v>
      </c>
      <c r="B7406" s="2" t="s">
        <v>12561</v>
      </c>
      <c r="C7406" s="2" t="s">
        <v>12562</v>
      </c>
      <c r="D7406" s="2"/>
      <c r="E7406" s="2">
        <v>1</v>
      </c>
      <c r="F7406" s="9"/>
      <c r="G7406" s="8">
        <f t="shared" si="230"/>
        <v>28.907806308962265</v>
      </c>
      <c r="H7406" s="8">
        <v>27.531244103773584</v>
      </c>
      <c r="I7406" s="19">
        <f t="shared" si="231"/>
        <v>0</v>
      </c>
    </row>
    <row r="7407" spans="1:9" hidden="1">
      <c r="A7407" s="11" t="s">
        <v>11260</v>
      </c>
      <c r="B7407" s="2" t="s">
        <v>12563</v>
      </c>
      <c r="C7407" s="2" t="s">
        <v>12564</v>
      </c>
      <c r="D7407" s="2"/>
      <c r="E7407" s="2">
        <v>1</v>
      </c>
      <c r="F7407" s="9"/>
      <c r="G7407" s="8">
        <f t="shared" si="230"/>
        <v>31.805897117647064</v>
      </c>
      <c r="H7407" s="8">
        <v>30.291330588235297</v>
      </c>
      <c r="I7407" s="19">
        <f t="shared" si="231"/>
        <v>0</v>
      </c>
    </row>
    <row r="7408" spans="1:9" hidden="1">
      <c r="A7408" s="11" t="s">
        <v>11260</v>
      </c>
      <c r="B7408" s="2" t="s">
        <v>12565</v>
      </c>
      <c r="C7408" s="2" t="s">
        <v>12566</v>
      </c>
      <c r="D7408" s="2"/>
      <c r="E7408" s="2">
        <v>1</v>
      </c>
      <c r="F7408" s="9"/>
      <c r="G7408" s="8">
        <f t="shared" si="230"/>
        <v>66.464915531363459</v>
      </c>
      <c r="H7408" s="8">
        <v>63.299919553679487</v>
      </c>
      <c r="I7408" s="19">
        <f t="shared" si="231"/>
        <v>0</v>
      </c>
    </row>
    <row r="7409" spans="1:9" hidden="1">
      <c r="A7409" s="11" t="s">
        <v>11260</v>
      </c>
      <c r="B7409" s="2" t="s">
        <v>12567</v>
      </c>
      <c r="C7409" s="2" t="s">
        <v>12568</v>
      </c>
      <c r="D7409" s="2"/>
      <c r="E7409" s="2">
        <v>1</v>
      </c>
      <c r="F7409" s="9"/>
      <c r="G7409" s="8">
        <f t="shared" si="230"/>
        <v>66.486636091994626</v>
      </c>
      <c r="H7409" s="8">
        <v>63.320605801899639</v>
      </c>
      <c r="I7409" s="19">
        <f t="shared" si="231"/>
        <v>0</v>
      </c>
    </row>
    <row r="7410" spans="1:9" hidden="1">
      <c r="A7410" s="11" t="s">
        <v>11260</v>
      </c>
      <c r="B7410" s="2" t="s">
        <v>12569</v>
      </c>
      <c r="C7410" s="2" t="s">
        <v>12570</v>
      </c>
      <c r="D7410" s="2"/>
      <c r="E7410" s="2">
        <v>1</v>
      </c>
      <c r="F7410" s="9"/>
      <c r="G7410" s="8">
        <f t="shared" si="230"/>
        <v>8.3725022166499485</v>
      </c>
      <c r="H7410" s="8">
        <v>7.9738116349047132</v>
      </c>
      <c r="I7410" s="19">
        <f t="shared" si="231"/>
        <v>0</v>
      </c>
    </row>
    <row r="7411" spans="1:9" hidden="1">
      <c r="A7411" s="11" t="s">
        <v>11260</v>
      </c>
      <c r="B7411" s="2" t="s">
        <v>12571</v>
      </c>
      <c r="C7411" s="2" t="s">
        <v>12570</v>
      </c>
      <c r="D7411" s="2"/>
      <c r="E7411" s="2">
        <v>1</v>
      </c>
      <c r="F7411" s="9"/>
      <c r="G7411" s="8">
        <f t="shared" si="230"/>
        <v>8.3692328125</v>
      </c>
      <c r="H7411" s="8">
        <v>7.9706979166666674</v>
      </c>
      <c r="I7411" s="19">
        <f t="shared" si="231"/>
        <v>0</v>
      </c>
    </row>
    <row r="7412" spans="1:9" hidden="1">
      <c r="A7412" s="11" t="s">
        <v>11260</v>
      </c>
      <c r="B7412" s="2" t="s">
        <v>12572</v>
      </c>
      <c r="C7412" s="2" t="s">
        <v>12570</v>
      </c>
      <c r="D7412" s="2"/>
      <c r="E7412" s="2">
        <v>1</v>
      </c>
      <c r="F7412" s="9"/>
      <c r="G7412" s="8">
        <f t="shared" si="230"/>
        <v>8.3725022166499485</v>
      </c>
      <c r="H7412" s="8">
        <v>7.9738116349047132</v>
      </c>
      <c r="I7412" s="19">
        <f t="shared" si="231"/>
        <v>0</v>
      </c>
    </row>
    <row r="7413" spans="1:9" hidden="1">
      <c r="A7413" s="11" t="s">
        <v>11260</v>
      </c>
      <c r="B7413" s="2" t="s">
        <v>12573</v>
      </c>
      <c r="C7413" s="2" t="s">
        <v>12570</v>
      </c>
      <c r="D7413" s="2"/>
      <c r="E7413" s="2">
        <v>1</v>
      </c>
      <c r="F7413" s="9"/>
      <c r="G7413" s="8">
        <f t="shared" si="230"/>
        <v>8.3725022166499485</v>
      </c>
      <c r="H7413" s="8">
        <v>7.9738116349047132</v>
      </c>
      <c r="I7413" s="19">
        <f t="shared" si="231"/>
        <v>0</v>
      </c>
    </row>
    <row r="7414" spans="1:9" hidden="1">
      <c r="A7414" s="11" t="s">
        <v>11260</v>
      </c>
      <c r="B7414" s="2" t="s">
        <v>12574</v>
      </c>
      <c r="C7414" s="2" t="s">
        <v>12575</v>
      </c>
      <c r="D7414" s="2"/>
      <c r="E7414" s="2">
        <v>1</v>
      </c>
      <c r="F7414" s="9"/>
      <c r="G7414" s="8">
        <f t="shared" si="230"/>
        <v>8.3725022166499485</v>
      </c>
      <c r="H7414" s="8">
        <v>7.9738116349047132</v>
      </c>
      <c r="I7414" s="19">
        <f t="shared" si="231"/>
        <v>0</v>
      </c>
    </row>
    <row r="7415" spans="1:9" hidden="1">
      <c r="A7415" s="11" t="s">
        <v>11260</v>
      </c>
      <c r="B7415" s="2" t="s">
        <v>12576</v>
      </c>
      <c r="C7415" s="2" t="s">
        <v>12577</v>
      </c>
      <c r="D7415" s="2"/>
      <c r="E7415" s="2">
        <v>1</v>
      </c>
      <c r="F7415" s="9"/>
      <c r="G7415" s="8">
        <f t="shared" si="230"/>
        <v>13.915300000000002</v>
      </c>
      <c r="H7415" s="8">
        <v>13.252666666666668</v>
      </c>
      <c r="I7415" s="19">
        <f t="shared" si="231"/>
        <v>0</v>
      </c>
    </row>
    <row r="7416" spans="1:9" hidden="1">
      <c r="A7416" s="11" t="s">
        <v>11260</v>
      </c>
      <c r="B7416" s="2" t="s">
        <v>12578</v>
      </c>
      <c r="C7416" s="2" t="s">
        <v>12579</v>
      </c>
      <c r="D7416" s="2"/>
      <c r="E7416" s="2">
        <v>1</v>
      </c>
      <c r="F7416" s="9"/>
      <c r="G7416" s="8">
        <f t="shared" si="230"/>
        <v>13.915300000000002</v>
      </c>
      <c r="H7416" s="8">
        <v>13.252666666666668</v>
      </c>
      <c r="I7416" s="19">
        <f t="shared" si="231"/>
        <v>0</v>
      </c>
    </row>
    <row r="7417" spans="1:9" hidden="1">
      <c r="A7417" s="11" t="s">
        <v>11260</v>
      </c>
      <c r="B7417" s="2" t="s">
        <v>12580</v>
      </c>
      <c r="C7417" s="2" t="s">
        <v>12581</v>
      </c>
      <c r="D7417" s="2"/>
      <c r="E7417" s="2">
        <v>1</v>
      </c>
      <c r="F7417" s="9"/>
      <c r="G7417" s="8">
        <f t="shared" si="230"/>
        <v>28.486710000000002</v>
      </c>
      <c r="H7417" s="8">
        <v>27.130200000000002</v>
      </c>
      <c r="I7417" s="19">
        <f t="shared" si="231"/>
        <v>0</v>
      </c>
    </row>
    <row r="7418" spans="1:9" hidden="1">
      <c r="A7418" s="11" t="s">
        <v>11260</v>
      </c>
      <c r="B7418" s="2" t="s">
        <v>12582</v>
      </c>
      <c r="C7418" s="2" t="s">
        <v>12583</v>
      </c>
      <c r="D7418" s="2"/>
      <c r="E7418" s="2">
        <v>1</v>
      </c>
      <c r="F7418" s="9"/>
      <c r="G7418" s="8">
        <f t="shared" si="230"/>
        <v>19.602403625353247</v>
      </c>
      <c r="H7418" s="8">
        <v>18.668955833669759</v>
      </c>
      <c r="I7418" s="19">
        <f t="shared" si="231"/>
        <v>0</v>
      </c>
    </row>
    <row r="7419" spans="1:9" hidden="1">
      <c r="A7419" s="11" t="s">
        <v>11260</v>
      </c>
      <c r="B7419" s="2" t="s">
        <v>12584</v>
      </c>
      <c r="C7419" s="2" t="s">
        <v>12585</v>
      </c>
      <c r="D7419" s="2"/>
      <c r="E7419" s="2">
        <v>1</v>
      </c>
      <c r="F7419" s="9"/>
      <c r="G7419" s="8">
        <f t="shared" si="230"/>
        <v>29.447301888457467</v>
      </c>
      <c r="H7419" s="8">
        <v>28.045049417578539</v>
      </c>
      <c r="I7419" s="19">
        <f t="shared" si="231"/>
        <v>0</v>
      </c>
    </row>
    <row r="7420" spans="1:9" hidden="1">
      <c r="A7420" s="11" t="s">
        <v>11260</v>
      </c>
      <c r="B7420" s="2" t="s">
        <v>12586</v>
      </c>
      <c r="C7420" s="2" t="s">
        <v>12587</v>
      </c>
      <c r="D7420" s="2"/>
      <c r="E7420" s="2">
        <v>1</v>
      </c>
      <c r="F7420" s="9"/>
      <c r="G7420" s="8">
        <f t="shared" si="230"/>
        <v>27.242985000000001</v>
      </c>
      <c r="H7420" s="8">
        <v>25.945700000000002</v>
      </c>
      <c r="I7420" s="19">
        <f t="shared" si="231"/>
        <v>0</v>
      </c>
    </row>
    <row r="7421" spans="1:9" hidden="1">
      <c r="A7421" s="11" t="s">
        <v>11260</v>
      </c>
      <c r="B7421" s="2" t="s">
        <v>12588</v>
      </c>
      <c r="C7421" s="2" t="s">
        <v>12589</v>
      </c>
      <c r="D7421" s="2"/>
      <c r="E7421" s="2">
        <v>1</v>
      </c>
      <c r="F7421" s="9"/>
      <c r="G7421" s="8">
        <f t="shared" si="230"/>
        <v>25.06917</v>
      </c>
      <c r="H7421" s="8">
        <v>23.875399999999999</v>
      </c>
      <c r="I7421" s="19">
        <f t="shared" si="231"/>
        <v>0</v>
      </c>
    </row>
    <row r="7422" spans="1:9" hidden="1">
      <c r="A7422" s="11" t="s">
        <v>11260</v>
      </c>
      <c r="B7422" s="2" t="s">
        <v>12590</v>
      </c>
      <c r="C7422" s="2" t="s">
        <v>12591</v>
      </c>
      <c r="D7422" s="2"/>
      <c r="E7422" s="2">
        <v>1</v>
      </c>
      <c r="F7422" s="9"/>
      <c r="G7422" s="8">
        <f t="shared" si="230"/>
        <v>22.097736129263915</v>
      </c>
      <c r="H7422" s="8">
        <v>21.045462980251347</v>
      </c>
      <c r="I7422" s="19">
        <f t="shared" si="231"/>
        <v>0</v>
      </c>
    </row>
    <row r="7423" spans="1:9" hidden="1">
      <c r="A7423" s="11" t="s">
        <v>11260</v>
      </c>
      <c r="B7423" s="2" t="s">
        <v>12592</v>
      </c>
      <c r="C7423" s="2" t="s">
        <v>12593</v>
      </c>
      <c r="D7423" s="2"/>
      <c r="E7423" s="2">
        <v>1</v>
      </c>
      <c r="F7423" s="9"/>
      <c r="G7423" s="8">
        <f t="shared" si="230"/>
        <v>35.867128002232093</v>
      </c>
      <c r="H7423" s="8">
        <v>34.159169525935326</v>
      </c>
      <c r="I7423" s="19">
        <f t="shared" si="231"/>
        <v>0</v>
      </c>
    </row>
    <row r="7424" spans="1:9" hidden="1">
      <c r="A7424" s="11" t="s">
        <v>11260</v>
      </c>
      <c r="B7424" s="2" t="s">
        <v>12594</v>
      </c>
      <c r="C7424" s="2" t="s">
        <v>12595</v>
      </c>
      <c r="D7424" s="2"/>
      <c r="E7424" s="2">
        <v>1</v>
      </c>
      <c r="F7424" s="9"/>
      <c r="G7424" s="8">
        <f t="shared" si="230"/>
        <v>28.37856</v>
      </c>
      <c r="H7424" s="8">
        <v>27.027200000000001</v>
      </c>
      <c r="I7424" s="19">
        <f t="shared" si="231"/>
        <v>0</v>
      </c>
    </row>
    <row r="7425" spans="1:9" hidden="1">
      <c r="A7425" s="11" t="s">
        <v>11260</v>
      </c>
      <c r="B7425" s="2" t="s">
        <v>12596</v>
      </c>
      <c r="C7425" s="2" t="s">
        <v>12597</v>
      </c>
      <c r="D7425" s="2"/>
      <c r="E7425" s="2">
        <v>1</v>
      </c>
      <c r="F7425" s="9"/>
      <c r="G7425" s="8">
        <f t="shared" si="230"/>
        <v>9.2594410840534174</v>
      </c>
      <c r="H7425" s="8">
        <v>8.8185153181461118</v>
      </c>
      <c r="I7425" s="19">
        <f t="shared" si="231"/>
        <v>0</v>
      </c>
    </row>
    <row r="7426" spans="1:9" hidden="1">
      <c r="A7426" s="11" t="s">
        <v>11260</v>
      </c>
      <c r="B7426" s="2" t="s">
        <v>12598</v>
      </c>
      <c r="C7426" s="2" t="s">
        <v>12599</v>
      </c>
      <c r="D7426" s="2"/>
      <c r="E7426" s="2">
        <v>1</v>
      </c>
      <c r="F7426" s="9"/>
      <c r="G7426" s="8">
        <f t="shared" si="230"/>
        <v>9.2594410840534174</v>
      </c>
      <c r="H7426" s="8">
        <v>8.8185153181461118</v>
      </c>
      <c r="I7426" s="19">
        <f t="shared" si="231"/>
        <v>0</v>
      </c>
    </row>
    <row r="7427" spans="1:9" hidden="1">
      <c r="A7427" s="11" t="s">
        <v>11260</v>
      </c>
      <c r="B7427" s="2" t="s">
        <v>12600</v>
      </c>
      <c r="C7427" s="2" t="s">
        <v>12601</v>
      </c>
      <c r="D7427" s="2"/>
      <c r="E7427" s="2">
        <v>1</v>
      </c>
      <c r="F7427" s="9"/>
      <c r="G7427" s="8">
        <f t="shared" si="230"/>
        <v>9.2594410840534174</v>
      </c>
      <c r="H7427" s="8">
        <v>8.8185153181461118</v>
      </c>
      <c r="I7427" s="19">
        <f t="shared" si="231"/>
        <v>0</v>
      </c>
    </row>
    <row r="7428" spans="1:9" hidden="1">
      <c r="A7428" s="11" t="s">
        <v>11260</v>
      </c>
      <c r="B7428" s="2" t="s">
        <v>12602</v>
      </c>
      <c r="C7428" s="2" t="s">
        <v>12603</v>
      </c>
      <c r="D7428" s="2"/>
      <c r="E7428" s="2">
        <v>1</v>
      </c>
      <c r="F7428" s="9"/>
      <c r="G7428" s="8">
        <f t="shared" si="230"/>
        <v>9.2594410840534174</v>
      </c>
      <c r="H7428" s="8">
        <v>8.8185153181461118</v>
      </c>
      <c r="I7428" s="19">
        <f t="shared" si="231"/>
        <v>0</v>
      </c>
    </row>
    <row r="7429" spans="1:9" hidden="1">
      <c r="A7429" s="11" t="s">
        <v>11260</v>
      </c>
      <c r="B7429" s="2" t="s">
        <v>12604</v>
      </c>
      <c r="C7429" s="2" t="s">
        <v>12605</v>
      </c>
      <c r="D7429" s="2"/>
      <c r="E7429" s="2">
        <v>1</v>
      </c>
      <c r="F7429" s="9"/>
      <c r="G7429" s="8">
        <f t="shared" si="230"/>
        <v>9.2594410840534174</v>
      </c>
      <c r="H7429" s="8">
        <v>8.8185153181461118</v>
      </c>
      <c r="I7429" s="19">
        <f t="shared" si="231"/>
        <v>0</v>
      </c>
    </row>
    <row r="7430" spans="1:9" hidden="1">
      <c r="A7430" s="11" t="s">
        <v>11260</v>
      </c>
      <c r="B7430" s="2" t="s">
        <v>12606</v>
      </c>
      <c r="C7430" s="2" t="s">
        <v>12607</v>
      </c>
      <c r="D7430" s="2"/>
      <c r="E7430" s="2">
        <v>1</v>
      </c>
      <c r="F7430" s="9"/>
      <c r="G7430" s="8">
        <f t="shared" si="230"/>
        <v>9.2594410840534174</v>
      </c>
      <c r="H7430" s="8">
        <v>8.8185153181461118</v>
      </c>
      <c r="I7430" s="19">
        <f t="shared" si="231"/>
        <v>0</v>
      </c>
    </row>
    <row r="7431" spans="1:9" hidden="1">
      <c r="A7431" s="11" t="s">
        <v>11260</v>
      </c>
      <c r="B7431" s="2" t="s">
        <v>12608</v>
      </c>
      <c r="C7431" s="2" t="s">
        <v>12609</v>
      </c>
      <c r="D7431" s="2"/>
      <c r="E7431" s="2">
        <v>1</v>
      </c>
      <c r="F7431" s="9"/>
      <c r="G7431" s="8">
        <f t="shared" si="230"/>
        <v>9.2594410840534174</v>
      </c>
      <c r="H7431" s="8">
        <v>8.8185153181461118</v>
      </c>
      <c r="I7431" s="19">
        <f t="shared" si="231"/>
        <v>0</v>
      </c>
    </row>
    <row r="7432" spans="1:9" hidden="1">
      <c r="A7432" s="11" t="s">
        <v>11260</v>
      </c>
      <c r="B7432" s="2" t="s">
        <v>12610</v>
      </c>
      <c r="C7432" s="2" t="s">
        <v>12611</v>
      </c>
      <c r="D7432" s="2"/>
      <c r="E7432" s="2">
        <v>1</v>
      </c>
      <c r="F7432" s="9"/>
      <c r="G7432" s="8">
        <f t="shared" si="230"/>
        <v>9.2594410840534174</v>
      </c>
      <c r="H7432" s="8">
        <v>8.8185153181461118</v>
      </c>
      <c r="I7432" s="19">
        <f t="shared" si="231"/>
        <v>0</v>
      </c>
    </row>
    <row r="7433" spans="1:9" hidden="1">
      <c r="A7433" s="11" t="s">
        <v>11260</v>
      </c>
      <c r="B7433" s="2" t="s">
        <v>12612</v>
      </c>
      <c r="C7433" s="2" t="s">
        <v>12613</v>
      </c>
      <c r="D7433" s="2"/>
      <c r="E7433" s="2">
        <v>1</v>
      </c>
      <c r="F7433" s="9"/>
      <c r="G7433" s="8">
        <f t="shared" si="230"/>
        <v>9.2594410840534174</v>
      </c>
      <c r="H7433" s="8">
        <v>8.8185153181461118</v>
      </c>
      <c r="I7433" s="19">
        <f t="shared" si="231"/>
        <v>0</v>
      </c>
    </row>
    <row r="7434" spans="1:9" hidden="1">
      <c r="A7434" s="11" t="s">
        <v>11260</v>
      </c>
      <c r="B7434" s="2" t="s">
        <v>12614</v>
      </c>
      <c r="C7434" s="2" t="s">
        <v>12615</v>
      </c>
      <c r="D7434" s="2"/>
      <c r="E7434" s="2">
        <v>1</v>
      </c>
      <c r="F7434" s="9"/>
      <c r="G7434" s="8">
        <f t="shared" si="230"/>
        <v>9.2594410840534174</v>
      </c>
      <c r="H7434" s="8">
        <v>8.8185153181461118</v>
      </c>
      <c r="I7434" s="19">
        <f t="shared" si="231"/>
        <v>0</v>
      </c>
    </row>
    <row r="7435" spans="1:9" hidden="1">
      <c r="A7435" s="11" t="s">
        <v>11260</v>
      </c>
      <c r="B7435" s="2" t="s">
        <v>12616</v>
      </c>
      <c r="C7435" s="2" t="s">
        <v>12617</v>
      </c>
      <c r="D7435" s="2"/>
      <c r="E7435" s="2">
        <v>1</v>
      </c>
      <c r="F7435" s="9"/>
      <c r="G7435" s="8">
        <f t="shared" si="230"/>
        <v>25.077388569142126</v>
      </c>
      <c r="H7435" s="8">
        <v>23.883227208706789</v>
      </c>
      <c r="I7435" s="19">
        <f t="shared" si="231"/>
        <v>0</v>
      </c>
    </row>
    <row r="7436" spans="1:9" hidden="1">
      <c r="A7436" s="11" t="s">
        <v>11260</v>
      </c>
      <c r="B7436" s="2" t="s">
        <v>12618</v>
      </c>
      <c r="C7436" s="2" t="s">
        <v>12619</v>
      </c>
      <c r="D7436" s="2"/>
      <c r="E7436" s="2">
        <v>1</v>
      </c>
      <c r="F7436" s="9"/>
      <c r="G7436" s="8">
        <f t="shared" si="230"/>
        <v>27.701954616390591</v>
      </c>
      <c r="H7436" s="8">
        <v>26.382813920371991</v>
      </c>
      <c r="I7436" s="19">
        <f t="shared" si="231"/>
        <v>0</v>
      </c>
    </row>
    <row r="7437" spans="1:9" hidden="1">
      <c r="A7437" s="11" t="s">
        <v>11260</v>
      </c>
      <c r="B7437" s="2" t="s">
        <v>12620</v>
      </c>
      <c r="C7437" s="2" t="s">
        <v>12621</v>
      </c>
      <c r="D7437" s="2"/>
      <c r="E7437" s="2">
        <v>1</v>
      </c>
      <c r="F7437" s="9"/>
      <c r="G7437" s="8">
        <f t="shared" si="230"/>
        <v>30.532903401541322</v>
      </c>
      <c r="H7437" s="8">
        <v>29.078955620515544</v>
      </c>
      <c r="I7437" s="19">
        <f t="shared" si="231"/>
        <v>0</v>
      </c>
    </row>
    <row r="7438" spans="1:9" hidden="1">
      <c r="A7438" s="11" t="s">
        <v>11260</v>
      </c>
      <c r="B7438" s="2" t="s">
        <v>12622</v>
      </c>
      <c r="C7438" s="2" t="s">
        <v>12623</v>
      </c>
      <c r="D7438" s="2"/>
      <c r="E7438" s="2">
        <v>1</v>
      </c>
      <c r="F7438" s="9"/>
      <c r="G7438" s="8">
        <f t="shared" si="230"/>
        <v>33.158131258561646</v>
      </c>
      <c r="H7438" s="8">
        <v>31.579172627201565</v>
      </c>
      <c r="I7438" s="19">
        <f t="shared" si="231"/>
        <v>0</v>
      </c>
    </row>
    <row r="7439" spans="1:9" hidden="1">
      <c r="A7439" s="11" t="s">
        <v>11260</v>
      </c>
      <c r="B7439" s="2" t="s">
        <v>12624</v>
      </c>
      <c r="C7439" s="2" t="s">
        <v>12625</v>
      </c>
      <c r="D7439" s="2"/>
      <c r="E7439" s="2">
        <v>1</v>
      </c>
      <c r="F7439" s="9"/>
      <c r="G7439" s="8">
        <f t="shared" si="230"/>
        <v>36.05037727695801</v>
      </c>
      <c r="H7439" s="8">
        <v>34.333692644721914</v>
      </c>
      <c r="I7439" s="19">
        <f t="shared" si="231"/>
        <v>0</v>
      </c>
    </row>
    <row r="7440" spans="1:9" hidden="1">
      <c r="A7440" s="11" t="s">
        <v>11260</v>
      </c>
      <c r="B7440" s="2" t="s">
        <v>12626</v>
      </c>
      <c r="C7440" s="2" t="s">
        <v>12627</v>
      </c>
      <c r="D7440" s="2"/>
      <c r="E7440" s="2">
        <v>1</v>
      </c>
      <c r="F7440" s="9"/>
      <c r="G7440" s="8">
        <f t="shared" si="230"/>
        <v>18.714941538461538</v>
      </c>
      <c r="H7440" s="8">
        <v>17.823753846153846</v>
      </c>
      <c r="I7440" s="19">
        <f t="shared" si="231"/>
        <v>0</v>
      </c>
    </row>
    <row r="7441" spans="1:9" hidden="1">
      <c r="A7441" s="11" t="s">
        <v>11260</v>
      </c>
      <c r="B7441" s="2" t="s">
        <v>12628</v>
      </c>
      <c r="C7441" s="2" t="s">
        <v>12629</v>
      </c>
      <c r="D7441" s="2"/>
      <c r="E7441" s="2">
        <v>1</v>
      </c>
      <c r="F7441" s="9"/>
      <c r="G7441" s="8">
        <f t="shared" si="230"/>
        <v>18.723887495219884</v>
      </c>
      <c r="H7441" s="8">
        <v>17.832273804971319</v>
      </c>
      <c r="I7441" s="19">
        <f t="shared" si="231"/>
        <v>0</v>
      </c>
    </row>
    <row r="7442" spans="1:9" hidden="1">
      <c r="A7442" s="11" t="s">
        <v>11260</v>
      </c>
      <c r="B7442" s="2" t="s">
        <v>12630</v>
      </c>
      <c r="C7442" s="2" t="s">
        <v>12631</v>
      </c>
      <c r="D7442" s="2"/>
      <c r="E7442" s="2">
        <v>1</v>
      </c>
      <c r="F7442" s="9"/>
      <c r="G7442" s="8">
        <f t="shared" si="230"/>
        <v>18.714941538461538</v>
      </c>
      <c r="H7442" s="8">
        <v>17.823753846153846</v>
      </c>
      <c r="I7442" s="19">
        <f t="shared" si="231"/>
        <v>0</v>
      </c>
    </row>
    <row r="7443" spans="1:9" hidden="1">
      <c r="A7443" s="11" t="s">
        <v>11260</v>
      </c>
      <c r="B7443" s="2" t="s">
        <v>12632</v>
      </c>
      <c r="C7443" s="2" t="s">
        <v>12633</v>
      </c>
      <c r="D7443" s="2"/>
      <c r="E7443" s="2">
        <v>1</v>
      </c>
      <c r="F7443" s="9"/>
      <c r="G7443" s="8">
        <f t="shared" si="230"/>
        <v>18.042548429295252</v>
      </c>
      <c r="H7443" s="8">
        <v>17.18337945647167</v>
      </c>
      <c r="I7443" s="19">
        <f t="shared" si="231"/>
        <v>0</v>
      </c>
    </row>
    <row r="7444" spans="1:9" hidden="1">
      <c r="A7444" s="11" t="s">
        <v>11260</v>
      </c>
      <c r="B7444" s="2" t="s">
        <v>12634</v>
      </c>
      <c r="C7444" s="2" t="s">
        <v>12635</v>
      </c>
      <c r="D7444" s="2"/>
      <c r="E7444" s="2">
        <v>1</v>
      </c>
      <c r="F7444" s="9"/>
      <c r="G7444" s="8">
        <f t="shared" ref="G7444:G7507" si="232">H7444+(H7444*5%)</f>
        <v>18.714941538461538</v>
      </c>
      <c r="H7444" s="8">
        <v>17.823753846153846</v>
      </c>
      <c r="I7444" s="19">
        <f t="shared" ref="I7444:I7507" si="233">G7444*F7444</f>
        <v>0</v>
      </c>
    </row>
    <row r="7445" spans="1:9" hidden="1">
      <c r="A7445" s="11" t="s">
        <v>11260</v>
      </c>
      <c r="B7445" s="2" t="s">
        <v>12636</v>
      </c>
      <c r="C7445" s="2" t="s">
        <v>12637</v>
      </c>
      <c r="D7445" s="2"/>
      <c r="E7445" s="2">
        <v>1</v>
      </c>
      <c r="F7445" s="9"/>
      <c r="G7445" s="8">
        <f t="shared" si="232"/>
        <v>8.4634372941176466</v>
      </c>
      <c r="H7445" s="8">
        <v>8.0604164705882351</v>
      </c>
      <c r="I7445" s="19">
        <f t="shared" si="233"/>
        <v>0</v>
      </c>
    </row>
    <row r="7446" spans="1:9" hidden="1">
      <c r="A7446" s="11" t="s">
        <v>11260</v>
      </c>
      <c r="B7446" s="2" t="s">
        <v>12638</v>
      </c>
      <c r="C7446" s="2" t="s">
        <v>12639</v>
      </c>
      <c r="D7446" s="2"/>
      <c r="E7446" s="2">
        <v>1</v>
      </c>
      <c r="F7446" s="9"/>
      <c r="G7446" s="8">
        <f t="shared" si="232"/>
        <v>8.4634372941176466</v>
      </c>
      <c r="H7446" s="8">
        <v>8.0604164705882351</v>
      </c>
      <c r="I7446" s="19">
        <f t="shared" si="233"/>
        <v>0</v>
      </c>
    </row>
    <row r="7447" spans="1:9" hidden="1">
      <c r="A7447" s="11" t="s">
        <v>11260</v>
      </c>
      <c r="B7447" s="2" t="s">
        <v>12640</v>
      </c>
      <c r="C7447" s="2" t="s">
        <v>12641</v>
      </c>
      <c r="D7447" s="2"/>
      <c r="E7447" s="2">
        <v>1</v>
      </c>
      <c r="F7447" s="9"/>
      <c r="G7447" s="8">
        <f t="shared" si="232"/>
        <v>9.1572239825581416</v>
      </c>
      <c r="H7447" s="8">
        <v>8.7211656976744205</v>
      </c>
      <c r="I7447" s="19">
        <f t="shared" si="233"/>
        <v>0</v>
      </c>
    </row>
    <row r="7448" spans="1:9" hidden="1">
      <c r="A7448" s="11" t="s">
        <v>11260</v>
      </c>
      <c r="B7448" s="2" t="s">
        <v>12642</v>
      </c>
      <c r="C7448" s="2" t="s">
        <v>12643</v>
      </c>
      <c r="D7448" s="2"/>
      <c r="E7448" s="2">
        <v>1</v>
      </c>
      <c r="F7448" s="9"/>
      <c r="G7448" s="8">
        <f t="shared" si="232"/>
        <v>9.1572239825581416</v>
      </c>
      <c r="H7448" s="8">
        <v>8.7211656976744205</v>
      </c>
      <c r="I7448" s="19">
        <f t="shared" si="233"/>
        <v>0</v>
      </c>
    </row>
    <row r="7449" spans="1:9" hidden="1">
      <c r="A7449" s="11" t="s">
        <v>11260</v>
      </c>
      <c r="B7449" s="2" t="s">
        <v>12644</v>
      </c>
      <c r="C7449" s="2" t="s">
        <v>12645</v>
      </c>
      <c r="D7449" s="2"/>
      <c r="E7449" s="2">
        <v>1</v>
      </c>
      <c r="F7449" s="9"/>
      <c r="G7449" s="8">
        <f t="shared" si="232"/>
        <v>14.890782225609758</v>
      </c>
      <c r="H7449" s="8">
        <v>14.181697357723579</v>
      </c>
      <c r="I7449" s="19">
        <f t="shared" si="233"/>
        <v>0</v>
      </c>
    </row>
    <row r="7450" spans="1:9" hidden="1">
      <c r="A7450" s="11" t="s">
        <v>11260</v>
      </c>
      <c r="B7450" s="2" t="s">
        <v>12646</v>
      </c>
      <c r="C7450" s="2" t="s">
        <v>12647</v>
      </c>
      <c r="D7450" s="2"/>
      <c r="E7450" s="2">
        <v>1</v>
      </c>
      <c r="F7450" s="9"/>
      <c r="G7450" s="8">
        <f t="shared" si="232"/>
        <v>14.890782225609758</v>
      </c>
      <c r="H7450" s="8">
        <v>14.181697357723579</v>
      </c>
      <c r="I7450" s="19">
        <f t="shared" si="233"/>
        <v>0</v>
      </c>
    </row>
    <row r="7451" spans="1:9" hidden="1">
      <c r="A7451" s="11" t="s">
        <v>11260</v>
      </c>
      <c r="B7451" s="2" t="s">
        <v>12648</v>
      </c>
      <c r="C7451" s="2" t="s">
        <v>12649</v>
      </c>
      <c r="D7451" s="2"/>
      <c r="E7451" s="2">
        <v>1</v>
      </c>
      <c r="F7451" s="9"/>
      <c r="G7451" s="8">
        <f t="shared" si="232"/>
        <v>14.89523650029019</v>
      </c>
      <c r="H7451" s="8">
        <v>14.185939524085896</v>
      </c>
      <c r="I7451" s="19">
        <f t="shared" si="233"/>
        <v>0</v>
      </c>
    </row>
    <row r="7452" spans="1:9" hidden="1">
      <c r="A7452" s="11" t="s">
        <v>11260</v>
      </c>
      <c r="B7452" s="2" t="s">
        <v>12650</v>
      </c>
      <c r="C7452" s="2" t="s">
        <v>12651</v>
      </c>
      <c r="D7452" s="2"/>
      <c r="E7452" s="2">
        <v>1</v>
      </c>
      <c r="F7452" s="9"/>
      <c r="G7452" s="8">
        <f t="shared" si="232"/>
        <v>14.890782225609758</v>
      </c>
      <c r="H7452" s="8">
        <v>14.181697357723579</v>
      </c>
      <c r="I7452" s="19">
        <f t="shared" si="233"/>
        <v>0</v>
      </c>
    </row>
    <row r="7453" spans="1:9" hidden="1">
      <c r="A7453" s="11" t="s">
        <v>11260</v>
      </c>
      <c r="B7453" s="2" t="s">
        <v>12652</v>
      </c>
      <c r="C7453" s="2" t="s">
        <v>12653</v>
      </c>
      <c r="D7453" s="2"/>
      <c r="E7453" s="2">
        <v>1</v>
      </c>
      <c r="F7453" s="9"/>
      <c r="G7453" s="8">
        <f t="shared" si="232"/>
        <v>12.33226536585366</v>
      </c>
      <c r="H7453" s="8">
        <v>11.745014634146342</v>
      </c>
      <c r="I7453" s="19">
        <f t="shared" si="233"/>
        <v>0</v>
      </c>
    </row>
    <row r="7454" spans="1:9" hidden="1">
      <c r="A7454" s="11" t="s">
        <v>11260</v>
      </c>
      <c r="B7454" s="2" t="s">
        <v>12654</v>
      </c>
      <c r="C7454" s="2" t="s">
        <v>12655</v>
      </c>
      <c r="D7454" s="2"/>
      <c r="E7454" s="2">
        <v>1</v>
      </c>
      <c r="F7454" s="9"/>
      <c r="G7454" s="8">
        <f t="shared" si="232"/>
        <v>12.33226536585366</v>
      </c>
      <c r="H7454" s="8">
        <v>11.745014634146342</v>
      </c>
      <c r="I7454" s="19">
        <f t="shared" si="233"/>
        <v>0</v>
      </c>
    </row>
    <row r="7455" spans="1:9" hidden="1">
      <c r="A7455" s="11" t="s">
        <v>11260</v>
      </c>
      <c r="B7455" s="2" t="s">
        <v>12656</v>
      </c>
      <c r="C7455" s="2" t="s">
        <v>12657</v>
      </c>
      <c r="D7455" s="2"/>
      <c r="E7455" s="2">
        <v>1</v>
      </c>
      <c r="F7455" s="9"/>
      <c r="G7455" s="8">
        <f t="shared" si="232"/>
        <v>23.480849574386507</v>
      </c>
      <c r="H7455" s="8">
        <v>22.362713880368101</v>
      </c>
      <c r="I7455" s="19">
        <f t="shared" si="233"/>
        <v>0</v>
      </c>
    </row>
    <row r="7456" spans="1:9" hidden="1">
      <c r="A7456" s="11" t="s">
        <v>11260</v>
      </c>
      <c r="B7456" s="2" t="s">
        <v>12658</v>
      </c>
      <c r="C7456" s="2" t="s">
        <v>12659</v>
      </c>
      <c r="D7456" s="2"/>
      <c r="E7456" s="2">
        <v>1</v>
      </c>
      <c r="F7456" s="9"/>
      <c r="G7456" s="8">
        <f t="shared" si="232"/>
        <v>24.869472817299915</v>
      </c>
      <c r="H7456" s="8">
        <v>23.685212206952301</v>
      </c>
      <c r="I7456" s="19">
        <f t="shared" si="233"/>
        <v>0</v>
      </c>
    </row>
    <row r="7457" spans="1:9" hidden="1">
      <c r="A7457" s="11" t="s">
        <v>11260</v>
      </c>
      <c r="B7457" s="2" t="s">
        <v>12660</v>
      </c>
      <c r="C7457" s="2" t="s">
        <v>12661</v>
      </c>
      <c r="D7457" s="2"/>
      <c r="E7457" s="2">
        <v>1</v>
      </c>
      <c r="F7457" s="9"/>
      <c r="G7457" s="8">
        <f t="shared" si="232"/>
        <v>23.480849574386507</v>
      </c>
      <c r="H7457" s="8">
        <v>22.362713880368101</v>
      </c>
      <c r="I7457" s="19">
        <f t="shared" si="233"/>
        <v>0</v>
      </c>
    </row>
    <row r="7458" spans="1:9" hidden="1">
      <c r="A7458" s="11" t="s">
        <v>11260</v>
      </c>
      <c r="B7458" s="2" t="s">
        <v>12662</v>
      </c>
      <c r="C7458" s="2" t="s">
        <v>12663</v>
      </c>
      <c r="D7458" s="2"/>
      <c r="E7458" s="2">
        <v>1</v>
      </c>
      <c r="F7458" s="9"/>
      <c r="G7458" s="8">
        <f t="shared" si="232"/>
        <v>24.869472817299915</v>
      </c>
      <c r="H7458" s="8">
        <v>23.685212206952301</v>
      </c>
      <c r="I7458" s="19">
        <f t="shared" si="233"/>
        <v>0</v>
      </c>
    </row>
    <row r="7459" spans="1:9" hidden="1">
      <c r="A7459" s="11" t="s">
        <v>11260</v>
      </c>
      <c r="B7459" s="2" t="s">
        <v>12664</v>
      </c>
      <c r="C7459" s="2" t="s">
        <v>12665</v>
      </c>
      <c r="D7459" s="2"/>
      <c r="E7459" s="2">
        <v>1</v>
      </c>
      <c r="F7459" s="9"/>
      <c r="G7459" s="8">
        <f t="shared" si="232"/>
        <v>22.06750158358896</v>
      </c>
      <c r="H7459" s="8">
        <v>21.016668174846629</v>
      </c>
      <c r="I7459" s="19">
        <f t="shared" si="233"/>
        <v>0</v>
      </c>
    </row>
    <row r="7460" spans="1:9" hidden="1">
      <c r="A7460" s="11" t="s">
        <v>11260</v>
      </c>
      <c r="B7460" s="2" t="s">
        <v>12666</v>
      </c>
      <c r="C7460" s="2" t="s">
        <v>12667</v>
      </c>
      <c r="D7460" s="2"/>
      <c r="E7460" s="2">
        <v>1</v>
      </c>
      <c r="F7460" s="9"/>
      <c r="G7460" s="8">
        <f t="shared" si="232"/>
        <v>24.956207473331297</v>
      </c>
      <c r="H7460" s="8">
        <v>23.767816641267903</v>
      </c>
      <c r="I7460" s="19">
        <f t="shared" si="233"/>
        <v>0</v>
      </c>
    </row>
    <row r="7461" spans="1:9" hidden="1">
      <c r="A7461" s="11" t="s">
        <v>11260</v>
      </c>
      <c r="B7461" s="2" t="s">
        <v>12668</v>
      </c>
      <c r="C7461" s="2" t="s">
        <v>12669</v>
      </c>
      <c r="D7461" s="2"/>
      <c r="E7461" s="2">
        <v>1</v>
      </c>
      <c r="F7461" s="9"/>
      <c r="G7461" s="8">
        <f t="shared" si="232"/>
        <v>24.954954854907076</v>
      </c>
      <c r="H7461" s="8">
        <v>23.766623671340071</v>
      </c>
      <c r="I7461" s="19">
        <f t="shared" si="233"/>
        <v>0</v>
      </c>
    </row>
    <row r="7462" spans="1:9" hidden="1">
      <c r="A7462" s="11" t="s">
        <v>11260</v>
      </c>
      <c r="B7462" s="2" t="s">
        <v>12670</v>
      </c>
      <c r="C7462" s="2" t="s">
        <v>12671</v>
      </c>
      <c r="D7462" s="2"/>
      <c r="E7462" s="2">
        <v>1</v>
      </c>
      <c r="F7462" s="9"/>
      <c r="G7462" s="8">
        <f t="shared" si="232"/>
        <v>26.34826110383678</v>
      </c>
      <c r="H7462" s="8">
        <v>25.093582003654078</v>
      </c>
      <c r="I7462" s="19">
        <f t="shared" si="233"/>
        <v>0</v>
      </c>
    </row>
    <row r="7463" spans="1:9" hidden="1">
      <c r="A7463" s="11" t="s">
        <v>11260</v>
      </c>
      <c r="B7463" s="2" t="s">
        <v>12672</v>
      </c>
      <c r="C7463" s="2" t="s">
        <v>12673</v>
      </c>
      <c r="D7463" s="2"/>
      <c r="E7463" s="2">
        <v>1</v>
      </c>
      <c r="F7463" s="9"/>
      <c r="G7463" s="8">
        <f t="shared" si="232"/>
        <v>27.731345833333332</v>
      </c>
      <c r="H7463" s="8">
        <v>26.410805555555555</v>
      </c>
      <c r="I7463" s="19">
        <f t="shared" si="233"/>
        <v>0</v>
      </c>
    </row>
    <row r="7464" spans="1:9" hidden="1">
      <c r="A7464" s="11" t="s">
        <v>11260</v>
      </c>
      <c r="B7464" s="2" t="s">
        <v>12674</v>
      </c>
      <c r="C7464" s="2" t="s">
        <v>12675</v>
      </c>
      <c r="D7464" s="2"/>
      <c r="E7464" s="2">
        <v>1</v>
      </c>
      <c r="F7464" s="9"/>
      <c r="G7464" s="8">
        <f t="shared" si="232"/>
        <v>27.73319142857143</v>
      </c>
      <c r="H7464" s="8">
        <v>26.412563265306126</v>
      </c>
      <c r="I7464" s="19">
        <f t="shared" si="233"/>
        <v>0</v>
      </c>
    </row>
    <row r="7465" spans="1:9" hidden="1">
      <c r="A7465" s="11" t="s">
        <v>11260</v>
      </c>
      <c r="B7465" s="2" t="s">
        <v>12676</v>
      </c>
      <c r="C7465" s="2" t="s">
        <v>12677</v>
      </c>
      <c r="D7465" s="2"/>
      <c r="E7465" s="2">
        <v>1</v>
      </c>
      <c r="F7465" s="9"/>
      <c r="G7465" s="8">
        <f t="shared" si="232"/>
        <v>30.693331627375514</v>
      </c>
      <c r="H7465" s="8">
        <v>29.231744407024298</v>
      </c>
      <c r="I7465" s="19">
        <f t="shared" si="233"/>
        <v>0</v>
      </c>
    </row>
    <row r="7466" spans="1:9" hidden="1">
      <c r="A7466" s="11" t="s">
        <v>11260</v>
      </c>
      <c r="B7466" s="2" t="s">
        <v>12678</v>
      </c>
      <c r="C7466" s="2" t="s">
        <v>12679</v>
      </c>
      <c r="D7466" s="2"/>
      <c r="E7466" s="2">
        <v>1</v>
      </c>
      <c r="F7466" s="9"/>
      <c r="G7466" s="8">
        <f t="shared" si="232"/>
        <v>30.646228921875004</v>
      </c>
      <c r="H7466" s="8">
        <v>29.186884687500005</v>
      </c>
      <c r="I7466" s="19">
        <f t="shared" si="233"/>
        <v>0</v>
      </c>
    </row>
    <row r="7467" spans="1:9" hidden="1">
      <c r="A7467" s="11" t="s">
        <v>11260</v>
      </c>
      <c r="B7467" s="2" t="s">
        <v>12680</v>
      </c>
      <c r="C7467" s="2" t="s">
        <v>12681</v>
      </c>
      <c r="D7467" s="2"/>
      <c r="E7467" s="2">
        <v>1</v>
      </c>
      <c r="F7467" s="9"/>
      <c r="G7467" s="8">
        <f t="shared" si="232"/>
        <v>33.588124386117137</v>
      </c>
      <c r="H7467" s="8">
        <v>31.988689891540133</v>
      </c>
      <c r="I7467" s="19">
        <f t="shared" si="233"/>
        <v>0</v>
      </c>
    </row>
    <row r="7468" spans="1:9" hidden="1">
      <c r="A7468" s="11" t="s">
        <v>11260</v>
      </c>
      <c r="B7468" s="2" t="s">
        <v>12682</v>
      </c>
      <c r="C7468" s="2" t="s">
        <v>12683</v>
      </c>
      <c r="D7468" s="2"/>
      <c r="E7468" s="2">
        <v>1</v>
      </c>
      <c r="F7468" s="9"/>
      <c r="G7468" s="8">
        <f t="shared" si="232"/>
        <v>33.594344862450029</v>
      </c>
      <c r="H7468" s="8">
        <v>31.994614154714316</v>
      </c>
      <c r="I7468" s="19">
        <f t="shared" si="233"/>
        <v>0</v>
      </c>
    </row>
    <row r="7469" spans="1:9" hidden="1">
      <c r="A7469" s="11" t="s">
        <v>11260</v>
      </c>
      <c r="B7469" s="2" t="s">
        <v>12684</v>
      </c>
      <c r="C7469" s="2" t="s">
        <v>12685</v>
      </c>
      <c r="D7469" s="2"/>
      <c r="E7469" s="2">
        <v>1</v>
      </c>
      <c r="F7469" s="9"/>
      <c r="G7469" s="8">
        <f t="shared" si="232"/>
        <v>9.4972368631006354</v>
      </c>
      <c r="H7469" s="8">
        <v>9.044987488667271</v>
      </c>
      <c r="I7469" s="19">
        <f t="shared" si="233"/>
        <v>0</v>
      </c>
    </row>
    <row r="7470" spans="1:9" hidden="1">
      <c r="A7470" s="11" t="s">
        <v>11260</v>
      </c>
      <c r="B7470" s="2" t="s">
        <v>12686</v>
      </c>
      <c r="C7470" s="2" t="s">
        <v>12687</v>
      </c>
      <c r="D7470" s="2"/>
      <c r="E7470" s="2">
        <v>1</v>
      </c>
      <c r="F7470" s="9"/>
      <c r="G7470" s="8">
        <f t="shared" si="232"/>
        <v>14.268271066743667</v>
      </c>
      <c r="H7470" s="8">
        <v>13.588829587374921</v>
      </c>
      <c r="I7470" s="19">
        <f t="shared" si="233"/>
        <v>0</v>
      </c>
    </row>
    <row r="7471" spans="1:9" hidden="1">
      <c r="A7471" s="11" t="s">
        <v>11260</v>
      </c>
      <c r="B7471" s="2" t="s">
        <v>12688</v>
      </c>
      <c r="C7471" s="2" t="s">
        <v>12689</v>
      </c>
      <c r="D7471" s="2"/>
      <c r="E7471" s="2">
        <v>1</v>
      </c>
      <c r="F7471" s="9"/>
      <c r="G7471" s="8">
        <f t="shared" si="232"/>
        <v>4.4990400000000008</v>
      </c>
      <c r="H7471" s="8">
        <v>4.2848000000000006</v>
      </c>
      <c r="I7471" s="19">
        <f t="shared" si="233"/>
        <v>0</v>
      </c>
    </row>
    <row r="7472" spans="1:9" hidden="1">
      <c r="A7472" s="11" t="s">
        <v>11260</v>
      </c>
      <c r="B7472" s="2" t="s">
        <v>12690</v>
      </c>
      <c r="C7472" s="2" t="s">
        <v>12691</v>
      </c>
      <c r="D7472" s="2"/>
      <c r="E7472" s="2">
        <v>1</v>
      </c>
      <c r="F7472" s="9"/>
      <c r="G7472" s="8">
        <f t="shared" si="232"/>
        <v>12.603222772277229</v>
      </c>
      <c r="H7472" s="8">
        <v>12.003069306930694</v>
      </c>
      <c r="I7472" s="19">
        <f t="shared" si="233"/>
        <v>0</v>
      </c>
    </row>
    <row r="7473" spans="1:9" hidden="1">
      <c r="A7473" s="11" t="s">
        <v>11260</v>
      </c>
      <c r="B7473" s="2" t="s">
        <v>12692</v>
      </c>
      <c r="C7473" s="2" t="s">
        <v>12693</v>
      </c>
      <c r="D7473" s="2"/>
      <c r="E7473" s="2">
        <v>1</v>
      </c>
      <c r="F7473" s="9"/>
      <c r="G7473" s="8">
        <f t="shared" si="232"/>
        <v>11.09619</v>
      </c>
      <c r="H7473" s="8">
        <v>10.5678</v>
      </c>
      <c r="I7473" s="19">
        <f t="shared" si="233"/>
        <v>0</v>
      </c>
    </row>
    <row r="7474" spans="1:9" hidden="1">
      <c r="A7474" s="11" t="s">
        <v>11260</v>
      </c>
      <c r="B7474" s="2" t="s">
        <v>12694</v>
      </c>
      <c r="C7474" s="2" t="s">
        <v>12695</v>
      </c>
      <c r="D7474" s="2"/>
      <c r="E7474" s="2">
        <v>1</v>
      </c>
      <c r="F7474" s="9"/>
      <c r="G7474" s="8">
        <f t="shared" si="232"/>
        <v>10.447289999999999</v>
      </c>
      <c r="H7474" s="8">
        <v>9.9497999999999998</v>
      </c>
      <c r="I7474" s="19">
        <f t="shared" si="233"/>
        <v>0</v>
      </c>
    </row>
    <row r="7475" spans="1:9" hidden="1">
      <c r="A7475" s="11" t="s">
        <v>11260</v>
      </c>
      <c r="B7475" s="2" t="s">
        <v>12696</v>
      </c>
      <c r="C7475" s="2" t="s">
        <v>12697</v>
      </c>
      <c r="D7475" s="2"/>
      <c r="E7475" s="2">
        <v>1</v>
      </c>
      <c r="F7475" s="9"/>
      <c r="G7475" s="8">
        <f t="shared" si="232"/>
        <v>13.598228251721498</v>
      </c>
      <c r="H7475" s="8">
        <v>12.950693573068094</v>
      </c>
      <c r="I7475" s="19">
        <f t="shared" si="233"/>
        <v>0</v>
      </c>
    </row>
    <row r="7476" spans="1:9" hidden="1">
      <c r="A7476" s="11" t="s">
        <v>11260</v>
      </c>
      <c r="B7476" s="2" t="s">
        <v>12698</v>
      </c>
      <c r="C7476" s="2" t="s">
        <v>12699</v>
      </c>
      <c r="D7476" s="2"/>
      <c r="E7476" s="2">
        <v>1</v>
      </c>
      <c r="F7476" s="9"/>
      <c r="G7476" s="8">
        <f t="shared" si="232"/>
        <v>11.96139</v>
      </c>
      <c r="H7476" s="8">
        <v>11.3918</v>
      </c>
      <c r="I7476" s="19">
        <f t="shared" si="233"/>
        <v>0</v>
      </c>
    </row>
    <row r="7477" spans="1:9" hidden="1">
      <c r="A7477" s="11" t="s">
        <v>11260</v>
      </c>
      <c r="B7477" s="2" t="s">
        <v>12700</v>
      </c>
      <c r="C7477" s="2" t="s">
        <v>12701</v>
      </c>
      <c r="D7477" s="2"/>
      <c r="E7477" s="2">
        <v>1</v>
      </c>
      <c r="F7477" s="9"/>
      <c r="G7477" s="8">
        <f t="shared" si="232"/>
        <v>13.663810093196645</v>
      </c>
      <c r="H7477" s="8">
        <v>13.013152469711089</v>
      </c>
      <c r="I7477" s="19">
        <f t="shared" si="233"/>
        <v>0</v>
      </c>
    </row>
    <row r="7478" spans="1:9" hidden="1">
      <c r="A7478" s="11" t="s">
        <v>11260</v>
      </c>
      <c r="B7478" s="2" t="s">
        <v>12702</v>
      </c>
      <c r="C7478" s="2" t="s">
        <v>12703</v>
      </c>
      <c r="D7478" s="2"/>
      <c r="E7478" s="2">
        <v>1</v>
      </c>
      <c r="F7478" s="9"/>
      <c r="G7478" s="8">
        <f t="shared" si="232"/>
        <v>14.138392914517318</v>
      </c>
      <c r="H7478" s="8">
        <v>13.465136109064114</v>
      </c>
      <c r="I7478" s="19">
        <f t="shared" si="233"/>
        <v>0</v>
      </c>
    </row>
    <row r="7479" spans="1:9" hidden="1">
      <c r="A7479" s="11" t="s">
        <v>11260</v>
      </c>
      <c r="B7479" s="2" t="s">
        <v>12704</v>
      </c>
      <c r="C7479" s="2" t="s">
        <v>12705</v>
      </c>
      <c r="D7479" s="2"/>
      <c r="E7479" s="2">
        <v>1</v>
      </c>
      <c r="F7479" s="9"/>
      <c r="G7479" s="8">
        <f t="shared" si="232"/>
        <v>12.415620000000001</v>
      </c>
      <c r="H7479" s="8">
        <v>11.824400000000001</v>
      </c>
      <c r="I7479" s="19">
        <f t="shared" si="233"/>
        <v>0</v>
      </c>
    </row>
    <row r="7480" spans="1:9" hidden="1">
      <c r="A7480" s="11" t="s">
        <v>11260</v>
      </c>
      <c r="B7480" s="2" t="s">
        <v>12706</v>
      </c>
      <c r="C7480" s="2" t="s">
        <v>12707</v>
      </c>
      <c r="D7480" s="2"/>
      <c r="E7480" s="2">
        <v>1</v>
      </c>
      <c r="F7480" s="9"/>
      <c r="G7480" s="8">
        <f t="shared" si="232"/>
        <v>14.26450886792453</v>
      </c>
      <c r="H7480" s="8">
        <v>13.585246540880505</v>
      </c>
      <c r="I7480" s="19">
        <f t="shared" si="233"/>
        <v>0</v>
      </c>
    </row>
    <row r="7481" spans="1:9" hidden="1">
      <c r="A7481" s="11" t="s">
        <v>11260</v>
      </c>
      <c r="B7481" s="2" t="s">
        <v>12708</v>
      </c>
      <c r="C7481" s="2" t="s">
        <v>12709</v>
      </c>
      <c r="D7481" s="2"/>
      <c r="E7481" s="2">
        <v>1</v>
      </c>
      <c r="F7481" s="9"/>
      <c r="G7481" s="8">
        <f t="shared" si="232"/>
        <v>14.257018134601314</v>
      </c>
      <c r="H7481" s="8">
        <v>13.578112509144109</v>
      </c>
      <c r="I7481" s="19">
        <f t="shared" si="233"/>
        <v>0</v>
      </c>
    </row>
    <row r="7482" spans="1:9" hidden="1">
      <c r="A7482" s="11" t="s">
        <v>11260</v>
      </c>
      <c r="B7482" s="2" t="s">
        <v>12710</v>
      </c>
      <c r="C7482" s="2" t="s">
        <v>12711</v>
      </c>
      <c r="D7482" s="2"/>
      <c r="E7482" s="2">
        <v>1</v>
      </c>
      <c r="F7482" s="9"/>
      <c r="G7482" s="8">
        <f t="shared" si="232"/>
        <v>11.691015000000002</v>
      </c>
      <c r="H7482" s="8">
        <v>11.134300000000001</v>
      </c>
      <c r="I7482" s="19">
        <f t="shared" si="233"/>
        <v>0</v>
      </c>
    </row>
    <row r="7483" spans="1:9" hidden="1">
      <c r="A7483" s="11" t="s">
        <v>11260</v>
      </c>
      <c r="B7483" s="2" t="s">
        <v>12712</v>
      </c>
      <c r="C7483" s="2" t="s">
        <v>12713</v>
      </c>
      <c r="D7483" s="2"/>
      <c r="E7483" s="2">
        <v>1</v>
      </c>
      <c r="F7483" s="9"/>
      <c r="G7483" s="8">
        <f t="shared" si="232"/>
        <v>13.590909098360656</v>
      </c>
      <c r="H7483" s="8">
        <v>12.943722950819673</v>
      </c>
      <c r="I7483" s="19">
        <f t="shared" si="233"/>
        <v>0</v>
      </c>
    </row>
    <row r="7484" spans="1:9" hidden="1">
      <c r="A7484" s="11" t="s">
        <v>11260</v>
      </c>
      <c r="B7484" s="2" t="s">
        <v>12714</v>
      </c>
      <c r="C7484" s="2" t="s">
        <v>12715</v>
      </c>
      <c r="D7484" s="2"/>
      <c r="E7484" s="2">
        <v>1</v>
      </c>
      <c r="F7484" s="9"/>
      <c r="G7484" s="8">
        <f t="shared" si="232"/>
        <v>15.675042689243027</v>
      </c>
      <c r="H7484" s="8">
        <v>14.928612084993359</v>
      </c>
      <c r="I7484" s="19">
        <f t="shared" si="233"/>
        <v>0</v>
      </c>
    </row>
    <row r="7485" spans="1:9" hidden="1">
      <c r="A7485" s="11" t="s">
        <v>11260</v>
      </c>
      <c r="B7485" s="2" t="s">
        <v>12716</v>
      </c>
      <c r="C7485" s="2" t="s">
        <v>12717</v>
      </c>
      <c r="D7485" s="2"/>
      <c r="E7485" s="2">
        <v>1</v>
      </c>
      <c r="F7485" s="9"/>
      <c r="G7485" s="8">
        <f t="shared" si="232"/>
        <v>13.778310000000001</v>
      </c>
      <c r="H7485" s="8">
        <v>13.122200000000001</v>
      </c>
      <c r="I7485" s="19">
        <f t="shared" si="233"/>
        <v>0</v>
      </c>
    </row>
    <row r="7486" spans="1:9" hidden="1">
      <c r="A7486" s="11" t="s">
        <v>11260</v>
      </c>
      <c r="B7486" s="2" t="s">
        <v>12718</v>
      </c>
      <c r="C7486" s="2" t="s">
        <v>12719</v>
      </c>
      <c r="D7486" s="2"/>
      <c r="E7486" s="2">
        <v>1</v>
      </c>
      <c r="F7486" s="9"/>
      <c r="G7486" s="8">
        <f t="shared" si="232"/>
        <v>15.737966931818184</v>
      </c>
      <c r="H7486" s="8">
        <v>14.988539935064937</v>
      </c>
      <c r="I7486" s="19">
        <f t="shared" si="233"/>
        <v>0</v>
      </c>
    </row>
    <row r="7487" spans="1:9" hidden="1">
      <c r="A7487" s="11" t="s">
        <v>11260</v>
      </c>
      <c r="B7487" s="2" t="s">
        <v>12720</v>
      </c>
      <c r="C7487" s="2" t="s">
        <v>12721</v>
      </c>
      <c r="D7487" s="2"/>
      <c r="E7487" s="2">
        <v>1</v>
      </c>
      <c r="F7487" s="9"/>
      <c r="G7487" s="8">
        <f t="shared" si="232"/>
        <v>16.45276966074826</v>
      </c>
      <c r="H7487" s="8">
        <v>15.669304438807865</v>
      </c>
      <c r="I7487" s="19">
        <f t="shared" si="233"/>
        <v>0</v>
      </c>
    </row>
    <row r="7488" spans="1:9" hidden="1">
      <c r="A7488" s="11" t="s">
        <v>11260</v>
      </c>
      <c r="B7488" s="2" t="s">
        <v>12722</v>
      </c>
      <c r="C7488" s="2" t="s">
        <v>12723</v>
      </c>
      <c r="D7488" s="2"/>
      <c r="E7488" s="2">
        <v>1</v>
      </c>
      <c r="F7488" s="9"/>
      <c r="G7488" s="8">
        <f t="shared" si="232"/>
        <v>16.250582785388129</v>
      </c>
      <c r="H7488" s="8">
        <v>15.476745509893457</v>
      </c>
      <c r="I7488" s="19">
        <f t="shared" si="233"/>
        <v>0</v>
      </c>
    </row>
    <row r="7489" spans="1:9" hidden="1">
      <c r="A7489" s="11" t="s">
        <v>11260</v>
      </c>
      <c r="B7489" s="2" t="s">
        <v>12724</v>
      </c>
      <c r="C7489" s="2" t="s">
        <v>12725</v>
      </c>
      <c r="D7489" s="2"/>
      <c r="E7489" s="2">
        <v>1</v>
      </c>
      <c r="F7489" s="9"/>
      <c r="G7489" s="8">
        <f t="shared" si="232"/>
        <v>16.656591724137929</v>
      </c>
      <c r="H7489" s="8">
        <v>15.863420689655172</v>
      </c>
      <c r="I7489" s="19">
        <f t="shared" si="233"/>
        <v>0</v>
      </c>
    </row>
    <row r="7490" spans="1:9" hidden="1">
      <c r="A7490" s="11" t="s">
        <v>11260</v>
      </c>
      <c r="B7490" s="2" t="s">
        <v>12726</v>
      </c>
      <c r="C7490" s="2" t="s">
        <v>12727</v>
      </c>
      <c r="D7490" s="2"/>
      <c r="E7490" s="2">
        <v>1</v>
      </c>
      <c r="F7490" s="9"/>
      <c r="G7490" s="8">
        <f t="shared" si="232"/>
        <v>17.626475351123599</v>
      </c>
      <c r="H7490" s="8">
        <v>16.787119382022475</v>
      </c>
      <c r="I7490" s="19">
        <f t="shared" si="233"/>
        <v>0</v>
      </c>
    </row>
    <row r="7491" spans="1:9" hidden="1">
      <c r="A7491" s="11" t="s">
        <v>11260</v>
      </c>
      <c r="B7491" s="2" t="s">
        <v>12728</v>
      </c>
      <c r="C7491" s="2" t="s">
        <v>12729</v>
      </c>
      <c r="D7491" s="2"/>
      <c r="E7491" s="2">
        <v>1</v>
      </c>
      <c r="F7491" s="9"/>
      <c r="G7491" s="8">
        <f t="shared" si="232"/>
        <v>17.812304999999999</v>
      </c>
      <c r="H7491" s="8">
        <v>16.964099999999998</v>
      </c>
      <c r="I7491" s="19">
        <f t="shared" si="233"/>
        <v>0</v>
      </c>
    </row>
    <row r="7492" spans="1:9" hidden="1">
      <c r="A7492" s="11" t="s">
        <v>11260</v>
      </c>
      <c r="B7492" s="2" t="s">
        <v>12730</v>
      </c>
      <c r="C7492" s="2" t="s">
        <v>12731</v>
      </c>
      <c r="D7492" s="2"/>
      <c r="E7492" s="2">
        <v>1</v>
      </c>
      <c r="F7492" s="9"/>
      <c r="G7492" s="8">
        <f t="shared" si="232"/>
        <v>16.741620000000001</v>
      </c>
      <c r="H7492" s="8">
        <v>15.944400000000002</v>
      </c>
      <c r="I7492" s="19">
        <f t="shared" si="233"/>
        <v>0</v>
      </c>
    </row>
    <row r="7493" spans="1:9" hidden="1">
      <c r="A7493" s="11" t="s">
        <v>11260</v>
      </c>
      <c r="B7493" s="2" t="s">
        <v>12732</v>
      </c>
      <c r="C7493" s="2" t="s">
        <v>12733</v>
      </c>
      <c r="D7493" s="2"/>
      <c r="E7493" s="2">
        <v>1</v>
      </c>
      <c r="F7493" s="9"/>
      <c r="G7493" s="8">
        <f t="shared" si="232"/>
        <v>17.905073444854636</v>
      </c>
      <c r="H7493" s="8">
        <v>17.052450899861558</v>
      </c>
      <c r="I7493" s="19">
        <f t="shared" si="233"/>
        <v>0</v>
      </c>
    </row>
    <row r="7494" spans="1:9" hidden="1">
      <c r="A7494" s="11" t="s">
        <v>11260</v>
      </c>
      <c r="B7494" s="2" t="s">
        <v>12734</v>
      </c>
      <c r="C7494" s="2" t="s">
        <v>12735</v>
      </c>
      <c r="D7494" s="2"/>
      <c r="E7494" s="2">
        <v>1</v>
      </c>
      <c r="F7494" s="9"/>
      <c r="G7494" s="8">
        <f t="shared" si="232"/>
        <v>18.650715901060067</v>
      </c>
      <c r="H7494" s="8">
        <v>17.76258657243816</v>
      </c>
      <c r="I7494" s="19">
        <f t="shared" si="233"/>
        <v>0</v>
      </c>
    </row>
    <row r="7495" spans="1:9" hidden="1">
      <c r="A7495" s="11" t="s">
        <v>11260</v>
      </c>
      <c r="B7495" s="2" t="s">
        <v>12736</v>
      </c>
      <c r="C7495" s="2" t="s">
        <v>12737</v>
      </c>
      <c r="D7495" s="2"/>
      <c r="E7495" s="2">
        <v>1</v>
      </c>
      <c r="F7495" s="9"/>
      <c r="G7495" s="8">
        <f t="shared" si="232"/>
        <v>18.937545876198776</v>
      </c>
      <c r="H7495" s="8">
        <v>18.035757977332167</v>
      </c>
      <c r="I7495" s="19">
        <f t="shared" si="233"/>
        <v>0</v>
      </c>
    </row>
    <row r="7496" spans="1:9" hidden="1">
      <c r="A7496" s="11" t="s">
        <v>11260</v>
      </c>
      <c r="B7496" s="2" t="s">
        <v>12738</v>
      </c>
      <c r="C7496" s="2" t="s">
        <v>12739</v>
      </c>
      <c r="D7496" s="2"/>
      <c r="E7496" s="2">
        <v>1</v>
      </c>
      <c r="F7496" s="9"/>
      <c r="G7496" s="8">
        <f t="shared" si="232"/>
        <v>18.983328383311601</v>
      </c>
      <c r="H7496" s="8">
        <v>18.079360365058669</v>
      </c>
      <c r="I7496" s="19">
        <f t="shared" si="233"/>
        <v>0</v>
      </c>
    </row>
    <row r="7497" spans="1:9" hidden="1">
      <c r="A7497" s="11" t="s">
        <v>11260</v>
      </c>
      <c r="B7497" s="2" t="s">
        <v>12740</v>
      </c>
      <c r="C7497" s="2" t="s">
        <v>12741</v>
      </c>
      <c r="D7497" s="2"/>
      <c r="E7497" s="2">
        <v>1</v>
      </c>
      <c r="F7497" s="9"/>
      <c r="G7497" s="8">
        <f t="shared" si="232"/>
        <v>21.898147239520956</v>
      </c>
      <c r="H7497" s="8">
        <v>20.855378323353293</v>
      </c>
      <c r="I7497" s="19">
        <f t="shared" si="233"/>
        <v>0</v>
      </c>
    </row>
    <row r="7498" spans="1:9" hidden="1">
      <c r="A7498" s="11" t="s">
        <v>11260</v>
      </c>
      <c r="B7498" s="2" t="s">
        <v>12742</v>
      </c>
      <c r="C7498" s="2" t="s">
        <v>12743</v>
      </c>
      <c r="D7498" s="2"/>
      <c r="E7498" s="2">
        <v>1</v>
      </c>
      <c r="F7498" s="9"/>
      <c r="G7498" s="8">
        <f t="shared" si="232"/>
        <v>35.009003623188406</v>
      </c>
      <c r="H7498" s="8">
        <v>33.341908212560384</v>
      </c>
      <c r="I7498" s="19">
        <f t="shared" si="233"/>
        <v>0</v>
      </c>
    </row>
    <row r="7499" spans="1:9" hidden="1">
      <c r="A7499" s="11" t="s">
        <v>11260</v>
      </c>
      <c r="B7499" s="2" t="s">
        <v>12744</v>
      </c>
      <c r="C7499" s="2" t="s">
        <v>12745</v>
      </c>
      <c r="D7499" s="2"/>
      <c r="E7499" s="2">
        <v>1</v>
      </c>
      <c r="F7499" s="9"/>
      <c r="G7499" s="8">
        <f t="shared" si="232"/>
        <v>17.779860000000003</v>
      </c>
      <c r="H7499" s="8">
        <v>16.933200000000003</v>
      </c>
      <c r="I7499" s="19">
        <f t="shared" si="233"/>
        <v>0</v>
      </c>
    </row>
    <row r="7500" spans="1:9" hidden="1">
      <c r="A7500" s="11" t="s">
        <v>11260</v>
      </c>
      <c r="B7500" s="2" t="s">
        <v>12746</v>
      </c>
      <c r="C7500" s="2" t="s">
        <v>12747</v>
      </c>
      <c r="D7500" s="2"/>
      <c r="E7500" s="2">
        <v>1</v>
      </c>
      <c r="F7500" s="9"/>
      <c r="G7500" s="8">
        <f t="shared" si="232"/>
        <v>19.947130587455828</v>
      </c>
      <c r="H7500" s="8">
        <v>18.997267226148406</v>
      </c>
      <c r="I7500" s="19">
        <f t="shared" si="233"/>
        <v>0</v>
      </c>
    </row>
    <row r="7501" spans="1:9" hidden="1">
      <c r="A7501" s="11" t="s">
        <v>11260</v>
      </c>
      <c r="B7501" s="2" t="s">
        <v>12748</v>
      </c>
      <c r="C7501" s="2" t="s">
        <v>12749</v>
      </c>
      <c r="D7501" s="2"/>
      <c r="E7501" s="2">
        <v>1</v>
      </c>
      <c r="F7501" s="9"/>
      <c r="G7501" s="8">
        <f t="shared" si="232"/>
        <v>23.289173277819831</v>
      </c>
      <c r="H7501" s="8">
        <v>22.180165026495079</v>
      </c>
      <c r="I7501" s="19">
        <f t="shared" si="233"/>
        <v>0</v>
      </c>
    </row>
    <row r="7502" spans="1:9" hidden="1">
      <c r="A7502" s="11" t="s">
        <v>11260</v>
      </c>
      <c r="B7502" s="2" t="s">
        <v>12750</v>
      </c>
      <c r="C7502" s="2" t="s">
        <v>12751</v>
      </c>
      <c r="D7502" s="2"/>
      <c r="E7502" s="2">
        <v>1</v>
      </c>
      <c r="F7502" s="9"/>
      <c r="G7502" s="8">
        <f t="shared" si="232"/>
        <v>24.957929452903691</v>
      </c>
      <c r="H7502" s="8">
        <v>23.769456621813038</v>
      </c>
      <c r="I7502" s="19">
        <f t="shared" si="233"/>
        <v>0</v>
      </c>
    </row>
    <row r="7503" spans="1:9" hidden="1">
      <c r="A7503" s="11" t="s">
        <v>11260</v>
      </c>
      <c r="B7503" s="2" t="s">
        <v>12752</v>
      </c>
      <c r="C7503" s="2" t="s">
        <v>12753</v>
      </c>
      <c r="D7503" s="2"/>
      <c r="E7503" s="2">
        <v>1</v>
      </c>
      <c r="F7503" s="9"/>
      <c r="G7503" s="8">
        <f t="shared" si="232"/>
        <v>26.650335204115503</v>
      </c>
      <c r="H7503" s="8">
        <v>25.381271622967144</v>
      </c>
      <c r="I7503" s="19">
        <f t="shared" si="233"/>
        <v>0</v>
      </c>
    </row>
    <row r="7504" spans="1:9" hidden="1">
      <c r="A7504" s="11" t="s">
        <v>11260</v>
      </c>
      <c r="B7504" s="2" t="s">
        <v>12754</v>
      </c>
      <c r="C7504" s="2" t="s">
        <v>12755</v>
      </c>
      <c r="D7504" s="2"/>
      <c r="E7504" s="2">
        <v>1</v>
      </c>
      <c r="F7504" s="9"/>
      <c r="G7504" s="8">
        <f t="shared" si="232"/>
        <v>28.299994192692068</v>
      </c>
      <c r="H7504" s="8">
        <v>26.952375421611492</v>
      </c>
      <c r="I7504" s="19">
        <f t="shared" si="233"/>
        <v>0</v>
      </c>
    </row>
    <row r="7505" spans="1:9" hidden="1">
      <c r="A7505" s="11" t="s">
        <v>11260</v>
      </c>
      <c r="B7505" s="2" t="s">
        <v>12756</v>
      </c>
      <c r="C7505" s="2" t="s">
        <v>12757</v>
      </c>
      <c r="D7505" s="2"/>
      <c r="E7505" s="2">
        <v>1</v>
      </c>
      <c r="F7505" s="9"/>
      <c r="G7505" s="8">
        <f t="shared" si="232"/>
        <v>29.951508011497641</v>
      </c>
      <c r="H7505" s="8">
        <v>28.525245725235848</v>
      </c>
      <c r="I7505" s="19">
        <f t="shared" si="233"/>
        <v>0</v>
      </c>
    </row>
    <row r="7506" spans="1:9" hidden="1">
      <c r="A7506" s="11" t="s">
        <v>11260</v>
      </c>
      <c r="B7506" s="2" t="s">
        <v>12758</v>
      </c>
      <c r="C7506" s="2" t="s">
        <v>12759</v>
      </c>
      <c r="D7506" s="2"/>
      <c r="E7506" s="2">
        <v>1</v>
      </c>
      <c r="F7506" s="9"/>
      <c r="G7506" s="8">
        <f t="shared" si="232"/>
        <v>33.343061735317562</v>
      </c>
      <c r="H7506" s="8">
        <v>31.755296890778631</v>
      </c>
      <c r="I7506" s="19">
        <f t="shared" si="233"/>
        <v>0</v>
      </c>
    </row>
    <row r="7507" spans="1:9" hidden="1">
      <c r="A7507" s="11" t="s">
        <v>11260</v>
      </c>
      <c r="B7507" s="2" t="s">
        <v>12760</v>
      </c>
      <c r="C7507" s="2" t="s">
        <v>12761</v>
      </c>
      <c r="D7507" s="2"/>
      <c r="E7507" s="2">
        <v>1</v>
      </c>
      <c r="F7507" s="9"/>
      <c r="G7507" s="8">
        <f t="shared" si="232"/>
        <v>36.663727527167353</v>
      </c>
      <c r="H7507" s="8">
        <v>34.917835740159383</v>
      </c>
      <c r="I7507" s="19">
        <f t="shared" si="233"/>
        <v>0</v>
      </c>
    </row>
    <row r="7508" spans="1:9">
      <c r="A7508" s="11" t="s">
        <v>11260</v>
      </c>
      <c r="B7508" s="2" t="s">
        <v>12762</v>
      </c>
      <c r="C7508" s="2" t="s">
        <v>12763</v>
      </c>
      <c r="D7508" s="2"/>
      <c r="E7508" s="2">
        <v>1</v>
      </c>
      <c r="F7508" s="9">
        <v>142</v>
      </c>
      <c r="G7508" s="8">
        <f t="shared" ref="G7508:G7571" si="234">H7508+(H7508*5%)</f>
        <v>40.044605320328081</v>
      </c>
      <c r="H7508" s="8">
        <v>38.137719352693409</v>
      </c>
      <c r="I7508" s="19">
        <f t="shared" ref="I7508:I7571" si="235">G7508*F7508</f>
        <v>5686.3339554865879</v>
      </c>
    </row>
    <row r="7509" spans="1:9" hidden="1">
      <c r="A7509" s="11" t="s">
        <v>11260</v>
      </c>
      <c r="B7509" s="2" t="s">
        <v>12764</v>
      </c>
      <c r="C7509" s="2" t="s">
        <v>12765</v>
      </c>
      <c r="D7509" s="2"/>
      <c r="E7509" s="2">
        <v>1</v>
      </c>
      <c r="F7509" s="9"/>
      <c r="G7509" s="8">
        <f t="shared" si="234"/>
        <v>43.356375141104301</v>
      </c>
      <c r="H7509" s="8">
        <v>41.291785848670763</v>
      </c>
      <c r="I7509" s="19">
        <f t="shared" si="235"/>
        <v>0</v>
      </c>
    </row>
    <row r="7510" spans="1:9" hidden="1">
      <c r="A7510" s="11" t="s">
        <v>11260</v>
      </c>
      <c r="B7510" s="2" t="s">
        <v>12766</v>
      </c>
      <c r="C7510" s="2" t="s">
        <v>12767</v>
      </c>
      <c r="D7510" s="2"/>
      <c r="E7510" s="2">
        <v>1</v>
      </c>
      <c r="F7510" s="9"/>
      <c r="G7510" s="8">
        <f t="shared" si="234"/>
        <v>48.607971083690984</v>
      </c>
      <c r="H7510" s="8">
        <v>46.293305793991415</v>
      </c>
      <c r="I7510" s="19">
        <f t="shared" si="235"/>
        <v>0</v>
      </c>
    </row>
    <row r="7511" spans="1:9" hidden="1">
      <c r="A7511" s="11" t="s">
        <v>11260</v>
      </c>
      <c r="B7511" s="2" t="s">
        <v>12768</v>
      </c>
      <c r="C7511" s="2" t="s">
        <v>12769</v>
      </c>
      <c r="D7511" s="2"/>
      <c r="E7511" s="2">
        <v>1</v>
      </c>
      <c r="F7511" s="9"/>
      <c r="G7511" s="8">
        <f t="shared" si="234"/>
        <v>46.703627464387473</v>
      </c>
      <c r="H7511" s="8">
        <v>44.479645204178546</v>
      </c>
      <c r="I7511" s="19">
        <f t="shared" si="235"/>
        <v>0</v>
      </c>
    </row>
    <row r="7512" spans="1:9" hidden="1">
      <c r="A7512" s="11" t="s">
        <v>11260</v>
      </c>
      <c r="B7512" s="2" t="s">
        <v>12770</v>
      </c>
      <c r="C7512" s="2" t="s">
        <v>12771</v>
      </c>
      <c r="D7512" s="2"/>
      <c r="E7512" s="2">
        <v>1</v>
      </c>
      <c r="F7512" s="9"/>
      <c r="G7512" s="8">
        <f t="shared" si="234"/>
        <v>7.6196401191827476</v>
      </c>
      <c r="H7512" s="8">
        <v>7.2568001135073787</v>
      </c>
      <c r="I7512" s="19">
        <f t="shared" si="235"/>
        <v>0</v>
      </c>
    </row>
    <row r="7513" spans="1:9" hidden="1">
      <c r="A7513" s="11" t="s">
        <v>11260</v>
      </c>
      <c r="B7513" s="2" t="s">
        <v>12772</v>
      </c>
      <c r="C7513" s="2" t="s">
        <v>12773</v>
      </c>
      <c r="D7513" s="2"/>
      <c r="E7513" s="2">
        <v>1</v>
      </c>
      <c r="F7513" s="9"/>
      <c r="G7513" s="8">
        <f t="shared" si="234"/>
        <v>11.356914057251908</v>
      </c>
      <c r="H7513" s="8">
        <v>10.816108625954199</v>
      </c>
      <c r="I7513" s="19">
        <f t="shared" si="235"/>
        <v>0</v>
      </c>
    </row>
    <row r="7514" spans="1:9" hidden="1">
      <c r="A7514" s="11" t="s">
        <v>11260</v>
      </c>
      <c r="B7514" s="2" t="s">
        <v>12774</v>
      </c>
      <c r="C7514" s="2" t="s">
        <v>12775</v>
      </c>
      <c r="D7514" s="2"/>
      <c r="E7514" s="2">
        <v>1</v>
      </c>
      <c r="F7514" s="9"/>
      <c r="G7514" s="8">
        <f t="shared" si="234"/>
        <v>14.984352741843157</v>
      </c>
      <c r="H7514" s="8">
        <v>14.270812135088722</v>
      </c>
      <c r="I7514" s="19">
        <f t="shared" si="235"/>
        <v>0</v>
      </c>
    </row>
    <row r="7515" spans="1:9" hidden="1">
      <c r="A7515" s="11" t="s">
        <v>11260</v>
      </c>
      <c r="B7515" s="2" t="s">
        <v>12776</v>
      </c>
      <c r="C7515" s="2" t="s">
        <v>12777</v>
      </c>
      <c r="D7515" s="2"/>
      <c r="E7515" s="2">
        <v>1</v>
      </c>
      <c r="F7515" s="9"/>
      <c r="G7515" s="8">
        <f t="shared" si="234"/>
        <v>18.706520853658532</v>
      </c>
      <c r="H7515" s="8">
        <v>17.815734146341459</v>
      </c>
      <c r="I7515" s="19">
        <f t="shared" si="235"/>
        <v>0</v>
      </c>
    </row>
    <row r="7516" spans="1:9" hidden="1">
      <c r="A7516" s="11" t="s">
        <v>11260</v>
      </c>
      <c r="B7516" s="2" t="s">
        <v>12778</v>
      </c>
      <c r="C7516" s="2" t="s">
        <v>12779</v>
      </c>
      <c r="D7516" s="2"/>
      <c r="E7516" s="2">
        <v>1</v>
      </c>
      <c r="F7516" s="9"/>
      <c r="G7516" s="8">
        <f t="shared" si="234"/>
        <v>22.389995397008057</v>
      </c>
      <c r="H7516" s="8">
        <v>21.323805140007675</v>
      </c>
      <c r="I7516" s="19">
        <f t="shared" si="235"/>
        <v>0</v>
      </c>
    </row>
    <row r="7517" spans="1:9" hidden="1">
      <c r="A7517" s="11" t="s">
        <v>11260</v>
      </c>
      <c r="B7517" s="2" t="s">
        <v>12780</v>
      </c>
      <c r="C7517" s="2" t="s">
        <v>12781</v>
      </c>
      <c r="D7517" s="2"/>
      <c r="E7517" s="2">
        <v>1</v>
      </c>
      <c r="F7517" s="9"/>
      <c r="G7517" s="8">
        <f t="shared" si="234"/>
        <v>26.144272997032644</v>
      </c>
      <c r="H7517" s="8">
        <v>24.899307616221567</v>
      </c>
      <c r="I7517" s="19">
        <f t="shared" si="235"/>
        <v>0</v>
      </c>
    </row>
    <row r="7518" spans="1:9" hidden="1">
      <c r="A7518" s="11" t="s">
        <v>11260</v>
      </c>
      <c r="B7518" s="2" t="s">
        <v>12782</v>
      </c>
      <c r="C7518" s="2" t="s">
        <v>12783</v>
      </c>
      <c r="D7518" s="2"/>
      <c r="E7518" s="2">
        <v>1</v>
      </c>
      <c r="F7518" s="9"/>
      <c r="G7518" s="8">
        <f t="shared" si="234"/>
        <v>29.847211994219652</v>
      </c>
      <c r="H7518" s="8">
        <v>28.425916184971097</v>
      </c>
      <c r="I7518" s="19">
        <f t="shared" si="235"/>
        <v>0</v>
      </c>
    </row>
    <row r="7519" spans="1:9" hidden="1">
      <c r="A7519" s="11" t="s">
        <v>11260</v>
      </c>
      <c r="B7519" s="2" t="s">
        <v>12784</v>
      </c>
      <c r="C7519" s="2" t="s">
        <v>12785</v>
      </c>
      <c r="D7519" s="2"/>
      <c r="E7519" s="2">
        <v>1</v>
      </c>
      <c r="F7519" s="9"/>
      <c r="G7519" s="8">
        <f t="shared" si="234"/>
        <v>33.578217741893972</v>
      </c>
      <c r="H7519" s="8">
        <v>31.979254992279976</v>
      </c>
      <c r="I7519" s="19">
        <f t="shared" si="235"/>
        <v>0</v>
      </c>
    </row>
    <row r="7520" spans="1:9" hidden="1">
      <c r="A7520" s="11" t="s">
        <v>11260</v>
      </c>
      <c r="B7520" s="2" t="s">
        <v>12786</v>
      </c>
      <c r="C7520" s="2" t="s">
        <v>12787</v>
      </c>
      <c r="D7520" s="2"/>
      <c r="E7520" s="2">
        <v>1</v>
      </c>
      <c r="F7520" s="9"/>
      <c r="G7520" s="8">
        <f t="shared" si="234"/>
        <v>37.300180931202227</v>
      </c>
      <c r="H7520" s="8">
        <v>35.523981839240214</v>
      </c>
      <c r="I7520" s="19">
        <f t="shared" si="235"/>
        <v>0</v>
      </c>
    </row>
    <row r="7521" spans="1:9" hidden="1">
      <c r="A7521" s="11" t="s">
        <v>11260</v>
      </c>
      <c r="B7521" s="2" t="s">
        <v>12788</v>
      </c>
      <c r="C7521" s="2" t="s">
        <v>12789</v>
      </c>
      <c r="D7521" s="2"/>
      <c r="E7521" s="2">
        <v>1</v>
      </c>
      <c r="F7521" s="9"/>
      <c r="G7521" s="8">
        <f t="shared" si="234"/>
        <v>41.043937409867162</v>
      </c>
      <c r="H7521" s="8">
        <v>39.08946419987349</v>
      </c>
      <c r="I7521" s="19">
        <f t="shared" si="235"/>
        <v>0</v>
      </c>
    </row>
    <row r="7522" spans="1:9" hidden="1">
      <c r="A7522" s="11" t="s">
        <v>11260</v>
      </c>
      <c r="B7522" s="2" t="s">
        <v>12790</v>
      </c>
      <c r="C7522" s="2" t="s">
        <v>12791</v>
      </c>
      <c r="D7522" s="2"/>
      <c r="E7522" s="2">
        <v>1</v>
      </c>
      <c r="F7522" s="9"/>
      <c r="G7522" s="8">
        <f t="shared" si="234"/>
        <v>44.766355874274666</v>
      </c>
      <c r="H7522" s="8">
        <v>42.634624642166351</v>
      </c>
      <c r="I7522" s="19">
        <f t="shared" si="235"/>
        <v>0</v>
      </c>
    </row>
    <row r="7523" spans="1:9" hidden="1">
      <c r="A7523" s="11" t="s">
        <v>11260</v>
      </c>
      <c r="B7523" s="2" t="s">
        <v>12792</v>
      </c>
      <c r="C7523" s="2" t="s">
        <v>12793</v>
      </c>
      <c r="D7523" s="2"/>
      <c r="E7523" s="2">
        <v>1</v>
      </c>
      <c r="F7523" s="9"/>
      <c r="G7523" s="8">
        <f t="shared" si="234"/>
        <v>66.957163411764711</v>
      </c>
      <c r="H7523" s="8">
        <v>63.768727058823536</v>
      </c>
      <c r="I7523" s="19">
        <f t="shared" si="235"/>
        <v>0</v>
      </c>
    </row>
    <row r="7524" spans="1:9" hidden="1">
      <c r="A7524" s="11" t="s">
        <v>11260</v>
      </c>
      <c r="B7524" s="2" t="s">
        <v>12794</v>
      </c>
      <c r="C7524" s="2" t="s">
        <v>12795</v>
      </c>
      <c r="D7524" s="2"/>
      <c r="E7524" s="2">
        <v>1</v>
      </c>
      <c r="F7524" s="9"/>
      <c r="G7524" s="8">
        <f t="shared" si="234"/>
        <v>225.12095904687874</v>
      </c>
      <c r="H7524" s="8">
        <v>214.40091337797975</v>
      </c>
      <c r="I7524" s="19">
        <f t="shared" si="235"/>
        <v>0</v>
      </c>
    </row>
    <row r="7525" spans="1:9" hidden="1">
      <c r="A7525" s="11" t="s">
        <v>11260</v>
      </c>
      <c r="B7525" s="2" t="s">
        <v>12796</v>
      </c>
      <c r="C7525" s="2" t="s">
        <v>12797</v>
      </c>
      <c r="D7525" s="2"/>
      <c r="E7525" s="2">
        <v>1</v>
      </c>
      <c r="F7525" s="9"/>
      <c r="G7525" s="8">
        <f t="shared" si="234"/>
        <v>6.8115600000000009</v>
      </c>
      <c r="H7525" s="8">
        <v>6.4872000000000005</v>
      </c>
      <c r="I7525" s="19">
        <f t="shared" si="235"/>
        <v>0</v>
      </c>
    </row>
    <row r="7526" spans="1:9" hidden="1">
      <c r="A7526" s="11" t="s">
        <v>11260</v>
      </c>
      <c r="B7526" s="2" t="s">
        <v>12798</v>
      </c>
      <c r="C7526" s="2" t="s">
        <v>12799</v>
      </c>
      <c r="D7526" s="2"/>
      <c r="E7526" s="2">
        <v>1</v>
      </c>
      <c r="F7526" s="9"/>
      <c r="G7526" s="8">
        <f t="shared" si="234"/>
        <v>6.8115600000000009</v>
      </c>
      <c r="H7526" s="8">
        <v>6.4872000000000005</v>
      </c>
      <c r="I7526" s="19">
        <f t="shared" si="235"/>
        <v>0</v>
      </c>
    </row>
    <row r="7527" spans="1:9" hidden="1">
      <c r="A7527" s="11" t="s">
        <v>11260</v>
      </c>
      <c r="B7527" s="2" t="s">
        <v>12800</v>
      </c>
      <c r="C7527" s="2" t="s">
        <v>12801</v>
      </c>
      <c r="D7527" s="2"/>
      <c r="E7527" s="2">
        <v>1</v>
      </c>
      <c r="F7527" s="9"/>
      <c r="G7527" s="8">
        <f t="shared" si="234"/>
        <v>2.8694852307692313</v>
      </c>
      <c r="H7527" s="8">
        <v>2.7328430769230776</v>
      </c>
      <c r="I7527" s="19">
        <f t="shared" si="235"/>
        <v>0</v>
      </c>
    </row>
    <row r="7528" spans="1:9" hidden="1">
      <c r="A7528" s="11" t="s">
        <v>11260</v>
      </c>
      <c r="B7528" s="2" t="s">
        <v>12802</v>
      </c>
      <c r="C7528" s="2" t="s">
        <v>12803</v>
      </c>
      <c r="D7528" s="2"/>
      <c r="E7528" s="2">
        <v>1</v>
      </c>
      <c r="F7528" s="9"/>
      <c r="G7528" s="8">
        <f t="shared" si="234"/>
        <v>3.3278700000000003</v>
      </c>
      <c r="H7528" s="8">
        <v>3.1694000000000004</v>
      </c>
      <c r="I7528" s="19">
        <f t="shared" si="235"/>
        <v>0</v>
      </c>
    </row>
    <row r="7529" spans="1:9">
      <c r="A7529" s="11" t="s">
        <v>11260</v>
      </c>
      <c r="B7529" s="2" t="s">
        <v>2424</v>
      </c>
      <c r="C7529" s="2" t="s">
        <v>12804</v>
      </c>
      <c r="D7529" s="2"/>
      <c r="E7529" s="2">
        <v>1</v>
      </c>
      <c r="F7529" s="9">
        <v>625</v>
      </c>
      <c r="G7529" s="8">
        <f t="shared" si="234"/>
        <v>6.1215000000000002</v>
      </c>
      <c r="H7529" s="8">
        <v>5.83</v>
      </c>
      <c r="I7529" s="19">
        <f t="shared" si="235"/>
        <v>3825.9375</v>
      </c>
    </row>
    <row r="7530" spans="1:9" hidden="1">
      <c r="A7530" s="11" t="s">
        <v>11260</v>
      </c>
      <c r="B7530" s="2" t="s">
        <v>12805</v>
      </c>
      <c r="C7530" s="2" t="s">
        <v>12806</v>
      </c>
      <c r="D7530" s="2"/>
      <c r="E7530" s="2">
        <v>1</v>
      </c>
      <c r="F7530" s="9"/>
      <c r="G7530" s="8">
        <f t="shared" si="234"/>
        <v>6.4260000000000002</v>
      </c>
      <c r="H7530" s="8">
        <v>6.12</v>
      </c>
      <c r="I7530" s="19">
        <f t="shared" si="235"/>
        <v>0</v>
      </c>
    </row>
    <row r="7531" spans="1:9" hidden="1">
      <c r="A7531" s="11" t="s">
        <v>11260</v>
      </c>
      <c r="B7531" s="2" t="s">
        <v>12807</v>
      </c>
      <c r="C7531" s="2" t="s">
        <v>12808</v>
      </c>
      <c r="D7531" s="2"/>
      <c r="E7531" s="2">
        <v>1</v>
      </c>
      <c r="F7531" s="9"/>
      <c r="G7531" s="8">
        <f t="shared" si="234"/>
        <v>1.05</v>
      </c>
      <c r="H7531" s="8">
        <v>1</v>
      </c>
      <c r="I7531" s="19">
        <f t="shared" si="235"/>
        <v>0</v>
      </c>
    </row>
    <row r="7532" spans="1:9" hidden="1">
      <c r="A7532" s="11" t="s">
        <v>11260</v>
      </c>
      <c r="B7532" s="2" t="s">
        <v>12809</v>
      </c>
      <c r="C7532" s="2" t="s">
        <v>12810</v>
      </c>
      <c r="D7532" s="2"/>
      <c r="E7532" s="2">
        <v>1</v>
      </c>
      <c r="F7532" s="9"/>
      <c r="G7532" s="8">
        <f t="shared" si="234"/>
        <v>1.3689900000000002</v>
      </c>
      <c r="H7532" s="8">
        <v>1.3038000000000001</v>
      </c>
      <c r="I7532" s="19">
        <f t="shared" si="235"/>
        <v>0</v>
      </c>
    </row>
    <row r="7533" spans="1:9">
      <c r="A7533" s="11" t="s">
        <v>11260</v>
      </c>
      <c r="B7533" s="2" t="s">
        <v>12811</v>
      </c>
      <c r="C7533" s="2" t="s">
        <v>12812</v>
      </c>
      <c r="D7533" s="2"/>
      <c r="E7533" s="2">
        <v>1</v>
      </c>
      <c r="F7533" s="9">
        <v>240</v>
      </c>
      <c r="G7533" s="8">
        <f t="shared" si="234"/>
        <v>2.4026184848484848</v>
      </c>
      <c r="H7533" s="8">
        <v>2.2882080808080807</v>
      </c>
      <c r="I7533" s="19">
        <f t="shared" si="235"/>
        <v>576.62843636363641</v>
      </c>
    </row>
    <row r="7534" spans="1:9" hidden="1">
      <c r="A7534" s="11" t="s">
        <v>11260</v>
      </c>
      <c r="B7534" s="2" t="s">
        <v>12813</v>
      </c>
      <c r="C7534" s="2" t="s">
        <v>12814</v>
      </c>
      <c r="D7534" s="2"/>
      <c r="E7534" s="2">
        <v>1</v>
      </c>
      <c r="F7534" s="9"/>
      <c r="G7534" s="8">
        <f t="shared" si="234"/>
        <v>2.29278</v>
      </c>
      <c r="H7534" s="8">
        <v>2.1836000000000002</v>
      </c>
      <c r="I7534" s="19">
        <f t="shared" si="235"/>
        <v>0</v>
      </c>
    </row>
    <row r="7535" spans="1:9">
      <c r="A7535" s="11" t="s">
        <v>11260</v>
      </c>
      <c r="B7535" s="2" t="s">
        <v>12815</v>
      </c>
      <c r="C7535" s="2" t="s">
        <v>12816</v>
      </c>
      <c r="D7535" s="2"/>
      <c r="E7535" s="2">
        <v>1</v>
      </c>
      <c r="F7535" s="9">
        <v>150</v>
      </c>
      <c r="G7535" s="8">
        <f t="shared" si="234"/>
        <v>0.72345000000000004</v>
      </c>
      <c r="H7535" s="8">
        <v>0.68900000000000006</v>
      </c>
      <c r="I7535" s="19">
        <f t="shared" si="235"/>
        <v>108.51750000000001</v>
      </c>
    </row>
    <row r="7536" spans="1:9" hidden="1">
      <c r="A7536" s="11" t="s">
        <v>11260</v>
      </c>
      <c r="B7536" s="2" t="s">
        <v>12817</v>
      </c>
      <c r="C7536" s="2" t="s">
        <v>12818</v>
      </c>
      <c r="D7536" s="2"/>
      <c r="E7536" s="2">
        <v>1</v>
      </c>
      <c r="F7536" s="9"/>
      <c r="G7536" s="8">
        <f t="shared" si="234"/>
        <v>1.4802900000000001</v>
      </c>
      <c r="H7536" s="8">
        <v>1.4098000000000002</v>
      </c>
      <c r="I7536" s="19">
        <f t="shared" si="235"/>
        <v>0</v>
      </c>
    </row>
    <row r="7537" spans="1:9">
      <c r="A7537" s="11" t="s">
        <v>11260</v>
      </c>
      <c r="B7537" s="2" t="s">
        <v>12819</v>
      </c>
      <c r="C7537" s="2" t="s">
        <v>12820</v>
      </c>
      <c r="D7537" s="2"/>
      <c r="E7537" s="2">
        <v>1</v>
      </c>
      <c r="F7537" s="9">
        <v>258</v>
      </c>
      <c r="G7537" s="8">
        <f t="shared" si="234"/>
        <v>1.61385</v>
      </c>
      <c r="H7537" s="8">
        <v>1.5369999999999999</v>
      </c>
      <c r="I7537" s="19">
        <f t="shared" si="235"/>
        <v>416.37330000000003</v>
      </c>
    </row>
    <row r="7538" spans="1:9" hidden="1">
      <c r="A7538" s="11" t="s">
        <v>11260</v>
      </c>
      <c r="B7538" s="2" t="s">
        <v>12821</v>
      </c>
      <c r="C7538" s="2" t="s">
        <v>12822</v>
      </c>
      <c r="D7538" s="2"/>
      <c r="E7538" s="2">
        <v>1</v>
      </c>
      <c r="F7538" s="9"/>
      <c r="G7538" s="8">
        <f t="shared" si="234"/>
        <v>1.31334</v>
      </c>
      <c r="H7538" s="8">
        <v>1.2507999999999999</v>
      </c>
      <c r="I7538" s="19">
        <f t="shared" si="235"/>
        <v>0</v>
      </c>
    </row>
    <row r="7539" spans="1:9">
      <c r="A7539" s="11" t="s">
        <v>11260</v>
      </c>
      <c r="B7539" s="2" t="s">
        <v>12823</v>
      </c>
      <c r="C7539" s="2" t="s">
        <v>12824</v>
      </c>
      <c r="D7539" s="2"/>
      <c r="E7539" s="2">
        <v>1</v>
      </c>
      <c r="F7539" s="9">
        <v>2</v>
      </c>
      <c r="G7539" s="8">
        <f t="shared" si="234"/>
        <v>14.824599787750152</v>
      </c>
      <c r="H7539" s="8">
        <v>14.118666464523955</v>
      </c>
      <c r="I7539" s="19">
        <f t="shared" si="235"/>
        <v>29.649199575500305</v>
      </c>
    </row>
    <row r="7540" spans="1:9" hidden="1">
      <c r="A7540" s="11" t="s">
        <v>11260</v>
      </c>
      <c r="B7540" s="2" t="s">
        <v>12825</v>
      </c>
      <c r="C7540" s="2" t="s">
        <v>12826</v>
      </c>
      <c r="D7540" s="2"/>
      <c r="E7540" s="2">
        <v>1</v>
      </c>
      <c r="F7540" s="9"/>
      <c r="G7540" s="8">
        <f t="shared" si="234"/>
        <v>7.5611418909090906</v>
      </c>
      <c r="H7540" s="8">
        <v>7.2010875151515146</v>
      </c>
      <c r="I7540" s="19">
        <f t="shared" si="235"/>
        <v>0</v>
      </c>
    </row>
    <row r="7541" spans="1:9" hidden="1">
      <c r="A7541" s="11" t="s">
        <v>11260</v>
      </c>
      <c r="B7541" s="2" t="s">
        <v>12827</v>
      </c>
      <c r="C7541" s="2" t="s">
        <v>12828</v>
      </c>
      <c r="D7541" s="2"/>
      <c r="E7541" s="2">
        <v>1</v>
      </c>
      <c r="F7541" s="9"/>
      <c r="G7541" s="8">
        <f t="shared" si="234"/>
        <v>7.5611418909090906</v>
      </c>
      <c r="H7541" s="8">
        <v>7.2010875151515146</v>
      </c>
      <c r="I7541" s="19">
        <f t="shared" si="235"/>
        <v>0</v>
      </c>
    </row>
    <row r="7542" spans="1:9" hidden="1">
      <c r="A7542" s="11" t="s">
        <v>11260</v>
      </c>
      <c r="B7542" s="2" t="s">
        <v>12829</v>
      </c>
      <c r="C7542" s="2" t="s">
        <v>12830</v>
      </c>
      <c r="D7542" s="2"/>
      <c r="E7542" s="2">
        <v>1</v>
      </c>
      <c r="F7542" s="9"/>
      <c r="G7542" s="8">
        <f t="shared" si="234"/>
        <v>45.04392</v>
      </c>
      <c r="H7542" s="8">
        <v>42.898971428571429</v>
      </c>
      <c r="I7542" s="19">
        <f t="shared" si="235"/>
        <v>0</v>
      </c>
    </row>
    <row r="7543" spans="1:9" hidden="1">
      <c r="A7543" s="11" t="s">
        <v>11260</v>
      </c>
      <c r="B7543" s="2" t="s">
        <v>12831</v>
      </c>
      <c r="C7543" s="2" t="s">
        <v>12832</v>
      </c>
      <c r="D7543" s="2"/>
      <c r="E7543" s="2">
        <v>1</v>
      </c>
      <c r="F7543" s="9"/>
      <c r="G7543" s="8">
        <f t="shared" si="234"/>
        <v>21.662539543121152</v>
      </c>
      <c r="H7543" s="8">
        <v>20.630990041067765</v>
      </c>
      <c r="I7543" s="19">
        <f t="shared" si="235"/>
        <v>0</v>
      </c>
    </row>
    <row r="7544" spans="1:9" hidden="1">
      <c r="A7544" s="11" t="s">
        <v>11260</v>
      </c>
      <c r="B7544" s="2" t="s">
        <v>12833</v>
      </c>
      <c r="C7544" s="2" t="s">
        <v>12834</v>
      </c>
      <c r="D7544" s="2"/>
      <c r="E7544" s="2">
        <v>1</v>
      </c>
      <c r="F7544" s="9"/>
      <c r="G7544" s="8">
        <f t="shared" si="234"/>
        <v>23.348383159650925</v>
      </c>
      <c r="H7544" s="8">
        <v>22.236555390143739</v>
      </c>
      <c r="I7544" s="19">
        <f t="shared" si="235"/>
        <v>0</v>
      </c>
    </row>
    <row r="7545" spans="1:9" hidden="1">
      <c r="A7545" s="11" t="s">
        <v>11260</v>
      </c>
      <c r="B7545" s="2" t="s">
        <v>12835</v>
      </c>
      <c r="C7545" s="2" t="s">
        <v>12836</v>
      </c>
      <c r="D7545" s="2"/>
      <c r="E7545" s="2">
        <v>1</v>
      </c>
      <c r="F7545" s="9"/>
      <c r="G7545" s="8">
        <f t="shared" si="234"/>
        <v>23.329049043430462</v>
      </c>
      <c r="H7545" s="8">
        <v>22.218141946124248</v>
      </c>
      <c r="I7545" s="19">
        <f t="shared" si="235"/>
        <v>0</v>
      </c>
    </row>
    <row r="7546" spans="1:9" hidden="1">
      <c r="A7546" s="11" t="s">
        <v>11260</v>
      </c>
      <c r="B7546" s="2" t="s">
        <v>12837</v>
      </c>
      <c r="C7546" s="2" t="s">
        <v>12838</v>
      </c>
      <c r="D7546" s="2"/>
      <c r="E7546" s="2">
        <v>1</v>
      </c>
      <c r="F7546" s="9"/>
      <c r="G7546" s="8">
        <f t="shared" si="234"/>
        <v>11.658564437086094</v>
      </c>
      <c r="H7546" s="8">
        <v>11.103394701986756</v>
      </c>
      <c r="I7546" s="19">
        <f t="shared" si="235"/>
        <v>0</v>
      </c>
    </row>
    <row r="7547" spans="1:9" hidden="1">
      <c r="A7547" s="11" t="s">
        <v>11260</v>
      </c>
      <c r="B7547" s="2" t="s">
        <v>12839</v>
      </c>
      <c r="C7547" s="2" t="s">
        <v>12840</v>
      </c>
      <c r="D7547" s="2"/>
      <c r="E7547" s="2">
        <v>1</v>
      </c>
      <c r="F7547" s="9"/>
      <c r="G7547" s="8">
        <f t="shared" si="234"/>
        <v>11.56284551724138</v>
      </c>
      <c r="H7547" s="8">
        <v>11.012233825944172</v>
      </c>
      <c r="I7547" s="19">
        <f t="shared" si="235"/>
        <v>0</v>
      </c>
    </row>
    <row r="7548" spans="1:9">
      <c r="A7548" s="11" t="s">
        <v>11260</v>
      </c>
      <c r="B7548" s="2" t="s">
        <v>12841</v>
      </c>
      <c r="C7548" s="2" t="s">
        <v>12842</v>
      </c>
      <c r="D7548" s="2"/>
      <c r="E7548" s="2">
        <v>1</v>
      </c>
      <c r="F7548" s="9">
        <v>37</v>
      </c>
      <c r="G7548" s="8">
        <f t="shared" si="234"/>
        <v>7.9106193939393954</v>
      </c>
      <c r="H7548" s="8">
        <v>7.5339232323232332</v>
      </c>
      <c r="I7548" s="19">
        <f t="shared" si="235"/>
        <v>292.69291757575763</v>
      </c>
    </row>
    <row r="7549" spans="1:9" hidden="1">
      <c r="A7549" s="11" t="s">
        <v>11260</v>
      </c>
      <c r="B7549" s="2" t="s">
        <v>12843</v>
      </c>
      <c r="C7549" s="2" t="s">
        <v>12844</v>
      </c>
      <c r="D7549" s="2"/>
      <c r="E7549" s="2">
        <v>1</v>
      </c>
      <c r="F7549" s="9"/>
      <c r="G7549" s="8">
        <f t="shared" si="234"/>
        <v>21.479786545528789</v>
      </c>
      <c r="H7549" s="8">
        <v>20.456939567170274</v>
      </c>
      <c r="I7549" s="19">
        <f t="shared" si="235"/>
        <v>0</v>
      </c>
    </row>
    <row r="7550" spans="1:9" hidden="1">
      <c r="A7550" s="11" t="s">
        <v>11260</v>
      </c>
      <c r="B7550" s="2" t="s">
        <v>12845</v>
      </c>
      <c r="C7550" s="2" t="s">
        <v>12846</v>
      </c>
      <c r="D7550" s="2"/>
      <c r="E7550" s="2">
        <v>1</v>
      </c>
      <c r="F7550" s="9"/>
      <c r="G7550" s="8">
        <f t="shared" si="234"/>
        <v>10.789443823529412</v>
      </c>
      <c r="H7550" s="8">
        <v>10.275660784313725</v>
      </c>
      <c r="I7550" s="19">
        <f t="shared" si="235"/>
        <v>0</v>
      </c>
    </row>
    <row r="7551" spans="1:9" hidden="1">
      <c r="A7551" s="11" t="s">
        <v>11260</v>
      </c>
      <c r="B7551" s="2" t="s">
        <v>12847</v>
      </c>
      <c r="C7551" s="2" t="s">
        <v>12848</v>
      </c>
      <c r="D7551" s="2"/>
      <c r="E7551" s="2">
        <v>1</v>
      </c>
      <c r="F7551" s="9"/>
      <c r="G7551" s="8">
        <f t="shared" si="234"/>
        <v>10.789443823529412</v>
      </c>
      <c r="H7551" s="8">
        <v>10.275660784313725</v>
      </c>
      <c r="I7551" s="19">
        <f t="shared" si="235"/>
        <v>0</v>
      </c>
    </row>
    <row r="7552" spans="1:9" hidden="1">
      <c r="A7552" s="11" t="s">
        <v>11260</v>
      </c>
      <c r="B7552" s="2" t="s">
        <v>12849</v>
      </c>
      <c r="C7552" s="2" t="s">
        <v>12850</v>
      </c>
      <c r="D7552" s="2"/>
      <c r="E7552" s="2">
        <v>1</v>
      </c>
      <c r="F7552" s="9"/>
      <c r="G7552" s="8">
        <f t="shared" si="234"/>
        <v>3.3310200000000001</v>
      </c>
      <c r="H7552" s="8">
        <v>3.1724000000000001</v>
      </c>
      <c r="I7552" s="19">
        <f t="shared" si="235"/>
        <v>0</v>
      </c>
    </row>
    <row r="7553" spans="1:9" hidden="1">
      <c r="A7553" s="11" t="s">
        <v>11260</v>
      </c>
      <c r="B7553" s="2" t="s">
        <v>12851</v>
      </c>
      <c r="C7553" s="2" t="s">
        <v>12852</v>
      </c>
      <c r="D7553" s="2"/>
      <c r="E7553" s="2">
        <v>1</v>
      </c>
      <c r="F7553" s="9"/>
      <c r="G7553" s="8">
        <f t="shared" si="234"/>
        <v>6.7053000000000003</v>
      </c>
      <c r="H7553" s="8">
        <v>6.3860000000000001</v>
      </c>
      <c r="I7553" s="19">
        <f t="shared" si="235"/>
        <v>0</v>
      </c>
    </row>
    <row r="7554" spans="1:9" hidden="1">
      <c r="A7554" s="11" t="s">
        <v>11260</v>
      </c>
      <c r="B7554" s="2" t="s">
        <v>12853</v>
      </c>
      <c r="C7554" s="2" t="s">
        <v>12854</v>
      </c>
      <c r="D7554" s="2"/>
      <c r="E7554" s="2">
        <v>1</v>
      </c>
      <c r="F7554" s="9"/>
      <c r="G7554" s="8">
        <f t="shared" si="234"/>
        <v>8.6656160071942452</v>
      </c>
      <c r="H7554" s="8">
        <v>8.2529676258992808</v>
      </c>
      <c r="I7554" s="19">
        <f t="shared" si="235"/>
        <v>0</v>
      </c>
    </row>
    <row r="7555" spans="1:9">
      <c r="A7555" s="11" t="s">
        <v>11260</v>
      </c>
      <c r="B7555" s="2" t="s">
        <v>12855</v>
      </c>
      <c r="C7555" s="2" t="s">
        <v>12856</v>
      </c>
      <c r="D7555" s="2"/>
      <c r="E7555" s="2">
        <v>1</v>
      </c>
      <c r="F7555" s="9">
        <v>75</v>
      </c>
      <c r="G7555" s="8">
        <f t="shared" si="234"/>
        <v>13.36734</v>
      </c>
      <c r="H7555" s="8">
        <v>12.7308</v>
      </c>
      <c r="I7555" s="19">
        <f t="shared" si="235"/>
        <v>1002.5505000000001</v>
      </c>
    </row>
    <row r="7556" spans="1:9" hidden="1">
      <c r="A7556" s="11" t="s">
        <v>11260</v>
      </c>
      <c r="B7556" s="2" t="s">
        <v>12857</v>
      </c>
      <c r="C7556" s="2" t="s">
        <v>12856</v>
      </c>
      <c r="D7556" s="2"/>
      <c r="E7556" s="2">
        <v>1</v>
      </c>
      <c r="F7556" s="9"/>
      <c r="G7556" s="8">
        <f t="shared" si="234"/>
        <v>13.23093857142857</v>
      </c>
      <c r="H7556" s="8">
        <v>12.60089387755102</v>
      </c>
      <c r="I7556" s="19">
        <f t="shared" si="235"/>
        <v>0</v>
      </c>
    </row>
    <row r="7557" spans="1:9">
      <c r="A7557" s="11" t="s">
        <v>11260</v>
      </c>
      <c r="B7557" s="2" t="s">
        <v>12858</v>
      </c>
      <c r="C7557" s="2" t="s">
        <v>12859</v>
      </c>
      <c r="D7557" s="2"/>
      <c r="E7557" s="2">
        <v>1</v>
      </c>
      <c r="F7557" s="9">
        <v>37</v>
      </c>
      <c r="G7557" s="8">
        <f t="shared" si="234"/>
        <v>1.0362968674698796</v>
      </c>
      <c r="H7557" s="8">
        <v>0.98694939759036149</v>
      </c>
      <c r="I7557" s="19">
        <f t="shared" si="235"/>
        <v>38.342984096385543</v>
      </c>
    </row>
    <row r="7558" spans="1:9">
      <c r="A7558" s="11" t="s">
        <v>11260</v>
      </c>
      <c r="B7558" s="2" t="s">
        <v>12860</v>
      </c>
      <c r="C7558" s="2" t="s">
        <v>12861</v>
      </c>
      <c r="D7558" s="2"/>
      <c r="E7558" s="2">
        <v>1</v>
      </c>
      <c r="F7558" s="9">
        <v>37</v>
      </c>
      <c r="G7558" s="8">
        <f t="shared" si="234"/>
        <v>4.2127720481927708</v>
      </c>
      <c r="H7558" s="8">
        <v>4.0121638554216865</v>
      </c>
      <c r="I7558" s="19">
        <f t="shared" si="235"/>
        <v>155.87256578313253</v>
      </c>
    </row>
    <row r="7559" spans="1:9" hidden="1">
      <c r="A7559" s="11" t="s">
        <v>11260</v>
      </c>
      <c r="B7559" s="2" t="s">
        <v>12862</v>
      </c>
      <c r="C7559" s="2" t="s">
        <v>12861</v>
      </c>
      <c r="D7559" s="2"/>
      <c r="E7559" s="2">
        <v>1</v>
      </c>
      <c r="F7559" s="9"/>
      <c r="G7559" s="8">
        <f t="shared" si="234"/>
        <v>2.9717099999999999</v>
      </c>
      <c r="H7559" s="8">
        <v>2.8302</v>
      </c>
      <c r="I7559" s="19">
        <f t="shared" si="235"/>
        <v>0</v>
      </c>
    </row>
    <row r="7560" spans="1:9" hidden="1">
      <c r="A7560" s="11" t="s">
        <v>11260</v>
      </c>
      <c r="B7560" s="2" t="s">
        <v>12863</v>
      </c>
      <c r="C7560" s="2" t="s">
        <v>12864</v>
      </c>
      <c r="D7560" s="2"/>
      <c r="E7560" s="2">
        <v>1</v>
      </c>
      <c r="F7560" s="9"/>
      <c r="G7560" s="8">
        <f t="shared" si="234"/>
        <v>5.1359792195121958</v>
      </c>
      <c r="H7560" s="8">
        <v>4.8914087804878053</v>
      </c>
      <c r="I7560" s="19">
        <f t="shared" si="235"/>
        <v>0</v>
      </c>
    </row>
    <row r="7561" spans="1:9" hidden="1">
      <c r="A7561" s="11" t="s">
        <v>11260</v>
      </c>
      <c r="B7561" s="2" t="s">
        <v>12865</v>
      </c>
      <c r="C7561" s="2" t="s">
        <v>12866</v>
      </c>
      <c r="D7561" s="2"/>
      <c r="E7561" s="2">
        <v>1</v>
      </c>
      <c r="F7561" s="9"/>
      <c r="G7561" s="8">
        <f t="shared" si="234"/>
        <v>5.1062763061968406</v>
      </c>
      <c r="H7561" s="8">
        <v>4.8631202916160383</v>
      </c>
      <c r="I7561" s="19">
        <f t="shared" si="235"/>
        <v>0</v>
      </c>
    </row>
    <row r="7562" spans="1:9">
      <c r="A7562" s="11" t="s">
        <v>11260</v>
      </c>
      <c r="B7562" s="2" t="s">
        <v>12867</v>
      </c>
      <c r="C7562" s="2" t="s">
        <v>12868</v>
      </c>
      <c r="D7562" s="2"/>
      <c r="E7562" s="2">
        <v>1</v>
      </c>
      <c r="F7562" s="9">
        <v>129</v>
      </c>
      <c r="G7562" s="8">
        <f t="shared" si="234"/>
        <v>8.2431167940813808</v>
      </c>
      <c r="H7562" s="8">
        <v>7.8505874229346491</v>
      </c>
      <c r="I7562" s="19">
        <f t="shared" si="235"/>
        <v>1063.362066436498</v>
      </c>
    </row>
    <row r="7563" spans="1:9" hidden="1">
      <c r="A7563" s="11" t="s">
        <v>11260</v>
      </c>
      <c r="B7563" s="2" t="s">
        <v>12869</v>
      </c>
      <c r="C7563" s="2" t="s">
        <v>12870</v>
      </c>
      <c r="D7563" s="2"/>
      <c r="E7563" s="2">
        <v>1</v>
      </c>
      <c r="F7563" s="9"/>
      <c r="G7563" s="8">
        <f t="shared" si="234"/>
        <v>10.24864083424808</v>
      </c>
      <c r="H7563" s="8">
        <v>9.7606103183315049</v>
      </c>
      <c r="I7563" s="19">
        <f t="shared" si="235"/>
        <v>0</v>
      </c>
    </row>
    <row r="7564" spans="1:9" hidden="1">
      <c r="A7564" s="11" t="s">
        <v>11260</v>
      </c>
      <c r="B7564" s="2" t="s">
        <v>12871</v>
      </c>
      <c r="C7564" s="2" t="s">
        <v>12872</v>
      </c>
      <c r="D7564" s="2"/>
      <c r="E7564" s="2">
        <v>1</v>
      </c>
      <c r="F7564" s="9"/>
      <c r="G7564" s="8">
        <f t="shared" si="234"/>
        <v>10.24864083424808</v>
      </c>
      <c r="H7564" s="8">
        <v>9.7606103183315049</v>
      </c>
      <c r="I7564" s="19">
        <f t="shared" si="235"/>
        <v>0</v>
      </c>
    </row>
    <row r="7565" spans="1:9">
      <c r="A7565" s="11" t="s">
        <v>11260</v>
      </c>
      <c r="B7565" s="2" t="s">
        <v>12873</v>
      </c>
      <c r="C7565" s="2" t="s">
        <v>12874</v>
      </c>
      <c r="D7565" s="2"/>
      <c r="E7565" s="2">
        <v>1</v>
      </c>
      <c r="F7565" s="9">
        <v>10</v>
      </c>
      <c r="G7565" s="8">
        <f t="shared" si="234"/>
        <v>24.402756959043131</v>
      </c>
      <c r="H7565" s="8">
        <v>23.24072091337441</v>
      </c>
      <c r="I7565" s="19">
        <f t="shared" si="235"/>
        <v>244.02756959043131</v>
      </c>
    </row>
    <row r="7566" spans="1:9">
      <c r="A7566" s="11" t="s">
        <v>11260</v>
      </c>
      <c r="B7566" s="2" t="s">
        <v>12875</v>
      </c>
      <c r="C7566" s="2" t="s">
        <v>12876</v>
      </c>
      <c r="D7566" s="2"/>
      <c r="E7566" s="2">
        <v>1</v>
      </c>
      <c r="F7566" s="9">
        <v>32</v>
      </c>
      <c r="G7566" s="8">
        <f t="shared" si="234"/>
        <v>12.548462043478262</v>
      </c>
      <c r="H7566" s="8">
        <v>11.950916231884058</v>
      </c>
      <c r="I7566" s="19">
        <f t="shared" si="235"/>
        <v>401.55078539130437</v>
      </c>
    </row>
    <row r="7567" spans="1:9">
      <c r="A7567" s="11" t="s">
        <v>11260</v>
      </c>
      <c r="B7567" s="2" t="s">
        <v>12877</v>
      </c>
      <c r="C7567" s="2" t="s">
        <v>12878</v>
      </c>
      <c r="D7567" s="2"/>
      <c r="E7567" s="2">
        <v>1</v>
      </c>
      <c r="F7567" s="9">
        <f>1+27</f>
        <v>28</v>
      </c>
      <c r="G7567" s="8">
        <f t="shared" si="234"/>
        <v>12.548462043478262</v>
      </c>
      <c r="H7567" s="8">
        <v>11.950916231884058</v>
      </c>
      <c r="I7567" s="19">
        <f t="shared" si="235"/>
        <v>351.35693721739131</v>
      </c>
    </row>
    <row r="7568" spans="1:9">
      <c r="A7568" s="11" t="s">
        <v>11260</v>
      </c>
      <c r="B7568" s="2" t="s">
        <v>12879</v>
      </c>
      <c r="C7568" s="2" t="s">
        <v>12880</v>
      </c>
      <c r="D7568" s="2"/>
      <c r="E7568" s="2">
        <v>1</v>
      </c>
      <c r="F7568" s="9">
        <v>32</v>
      </c>
      <c r="G7568" s="8">
        <f t="shared" si="234"/>
        <v>8.7751040000000007</v>
      </c>
      <c r="H7568" s="8">
        <v>8.3572419047619046</v>
      </c>
      <c r="I7568" s="19">
        <f t="shared" si="235"/>
        <v>280.80332800000002</v>
      </c>
    </row>
    <row r="7569" spans="1:9" hidden="1">
      <c r="A7569" s="11" t="s">
        <v>11260</v>
      </c>
      <c r="B7569" s="2" t="s">
        <v>12881</v>
      </c>
      <c r="C7569" s="2" t="s">
        <v>12882</v>
      </c>
      <c r="D7569" s="2"/>
      <c r="E7569" s="2">
        <v>1</v>
      </c>
      <c r="F7569" s="9"/>
      <c r="G7569" s="8">
        <f t="shared" si="234"/>
        <v>14.999238662576689</v>
      </c>
      <c r="H7569" s="8">
        <v>14.284989202453989</v>
      </c>
      <c r="I7569" s="19">
        <f t="shared" si="235"/>
        <v>0</v>
      </c>
    </row>
    <row r="7570" spans="1:9" hidden="1">
      <c r="A7570" s="11" t="s">
        <v>11260</v>
      </c>
      <c r="B7570" s="2" t="s">
        <v>12883</v>
      </c>
      <c r="C7570" s="2" t="s">
        <v>12884</v>
      </c>
      <c r="D7570" s="2"/>
      <c r="E7570" s="2">
        <v>1</v>
      </c>
      <c r="F7570" s="9"/>
      <c r="G7570" s="8">
        <f t="shared" si="234"/>
        <v>14.999238662576689</v>
      </c>
      <c r="H7570" s="8">
        <v>14.284989202453989</v>
      </c>
      <c r="I7570" s="19">
        <f t="shared" si="235"/>
        <v>0</v>
      </c>
    </row>
    <row r="7571" spans="1:9" hidden="1">
      <c r="A7571" s="11" t="s">
        <v>11260</v>
      </c>
      <c r="B7571" s="2" t="s">
        <v>12885</v>
      </c>
      <c r="C7571" s="2" t="s">
        <v>12886</v>
      </c>
      <c r="D7571" s="2"/>
      <c r="E7571" s="2">
        <v>1</v>
      </c>
      <c r="F7571" s="9"/>
      <c r="G7571" s="8">
        <f t="shared" si="234"/>
        <v>26.95873895756457</v>
      </c>
      <c r="H7571" s="8">
        <v>25.674989483394828</v>
      </c>
      <c r="I7571" s="19">
        <f t="shared" si="235"/>
        <v>0</v>
      </c>
    </row>
    <row r="7572" spans="1:9" hidden="1">
      <c r="A7572" s="11" t="s">
        <v>11260</v>
      </c>
      <c r="B7572" s="2" t="s">
        <v>12887</v>
      </c>
      <c r="C7572" s="2" t="s">
        <v>12888</v>
      </c>
      <c r="D7572" s="2"/>
      <c r="E7572" s="2">
        <v>1</v>
      </c>
      <c r="F7572" s="9"/>
      <c r="G7572" s="8">
        <f t="shared" ref="G7572:G7635" si="236">H7572+(H7572*5%)</f>
        <v>14.679278966789669</v>
      </c>
      <c r="H7572" s="8">
        <v>13.980265682656828</v>
      </c>
      <c r="I7572" s="19">
        <f t="shared" ref="I7572:I7635" si="237">G7572*F7572</f>
        <v>0</v>
      </c>
    </row>
    <row r="7573" spans="1:9" hidden="1">
      <c r="A7573" s="11" t="s">
        <v>11260</v>
      </c>
      <c r="B7573" s="2" t="s">
        <v>12889</v>
      </c>
      <c r="C7573" s="2" t="s">
        <v>12890</v>
      </c>
      <c r="D7573" s="2"/>
      <c r="E7573" s="2">
        <v>1</v>
      </c>
      <c r="F7573" s="9"/>
      <c r="G7573" s="8">
        <f t="shared" si="236"/>
        <v>14.679278966789669</v>
      </c>
      <c r="H7573" s="8">
        <v>13.980265682656828</v>
      </c>
      <c r="I7573" s="19">
        <f t="shared" si="237"/>
        <v>0</v>
      </c>
    </row>
    <row r="7574" spans="1:9">
      <c r="A7574" s="11" t="s">
        <v>11260</v>
      </c>
      <c r="B7574" s="2" t="s">
        <v>12891</v>
      </c>
      <c r="C7574" s="2" t="s">
        <v>12892</v>
      </c>
      <c r="D7574" s="2"/>
      <c r="E7574" s="2">
        <v>1</v>
      </c>
      <c r="F7574" s="9">
        <v>132</v>
      </c>
      <c r="G7574" s="8">
        <f t="shared" si="236"/>
        <v>2.2668264159292035</v>
      </c>
      <c r="H7574" s="8">
        <v>2.1588823008849558</v>
      </c>
      <c r="I7574" s="19">
        <f t="shared" si="237"/>
        <v>299.22108690265486</v>
      </c>
    </row>
    <row r="7575" spans="1:9">
      <c r="A7575" s="11" t="s">
        <v>11260</v>
      </c>
      <c r="B7575" s="2" t="s">
        <v>12893</v>
      </c>
      <c r="C7575" s="2" t="s">
        <v>12894</v>
      </c>
      <c r="D7575" s="2"/>
      <c r="E7575" s="2">
        <v>1</v>
      </c>
      <c r="F7575" s="9">
        <v>33</v>
      </c>
      <c r="G7575" s="8">
        <f t="shared" si="236"/>
        <v>2.0759736986301371</v>
      </c>
      <c r="H7575" s="8">
        <v>1.9771178082191783</v>
      </c>
      <c r="I7575" s="19">
        <f t="shared" si="237"/>
        <v>68.507132054794525</v>
      </c>
    </row>
    <row r="7576" spans="1:9" hidden="1">
      <c r="A7576" s="11" t="s">
        <v>11260</v>
      </c>
      <c r="B7576" s="2" t="s">
        <v>12895</v>
      </c>
      <c r="C7576" s="2" t="s">
        <v>12896</v>
      </c>
      <c r="D7576" s="2"/>
      <c r="E7576" s="2">
        <v>1</v>
      </c>
      <c r="F7576" s="9"/>
      <c r="G7576" s="8">
        <f t="shared" si="236"/>
        <v>5.3170298203592825</v>
      </c>
      <c r="H7576" s="8">
        <v>5.0638379241516978</v>
      </c>
      <c r="I7576" s="19">
        <f t="shared" si="237"/>
        <v>0</v>
      </c>
    </row>
    <row r="7577" spans="1:9" hidden="1">
      <c r="A7577" s="11" t="s">
        <v>11260</v>
      </c>
      <c r="B7577" s="2" t="s">
        <v>12897</v>
      </c>
      <c r="C7577" s="2" t="s">
        <v>12898</v>
      </c>
      <c r="D7577" s="2"/>
      <c r="E7577" s="2">
        <v>1</v>
      </c>
      <c r="F7577" s="9"/>
      <c r="G7577" s="8">
        <f t="shared" si="236"/>
        <v>10.690371055495103</v>
      </c>
      <c r="H7577" s="8">
        <v>10.181305767138193</v>
      </c>
      <c r="I7577" s="19">
        <f t="shared" si="237"/>
        <v>0</v>
      </c>
    </row>
    <row r="7578" spans="1:9" hidden="1">
      <c r="A7578" s="11" t="s">
        <v>11260</v>
      </c>
      <c r="B7578" s="2" t="s">
        <v>12899</v>
      </c>
      <c r="C7578" s="2" t="s">
        <v>12900</v>
      </c>
      <c r="D7578" s="2"/>
      <c r="E7578" s="2">
        <v>1</v>
      </c>
      <c r="F7578" s="9"/>
      <c r="G7578" s="8">
        <f t="shared" si="236"/>
        <v>17.619573802816902</v>
      </c>
      <c r="H7578" s="8">
        <v>16.780546478873241</v>
      </c>
      <c r="I7578" s="19">
        <f t="shared" si="237"/>
        <v>0</v>
      </c>
    </row>
    <row r="7579" spans="1:9" hidden="1">
      <c r="A7579" s="11" t="s">
        <v>11260</v>
      </c>
      <c r="B7579" s="2" t="s">
        <v>12901</v>
      </c>
      <c r="C7579" s="2" t="s">
        <v>12902</v>
      </c>
      <c r="D7579" s="2"/>
      <c r="E7579" s="2">
        <v>1</v>
      </c>
      <c r="F7579" s="9"/>
      <c r="G7579" s="8">
        <f t="shared" si="236"/>
        <v>17.619573802816902</v>
      </c>
      <c r="H7579" s="8">
        <v>16.780546478873241</v>
      </c>
      <c r="I7579" s="19">
        <f t="shared" si="237"/>
        <v>0</v>
      </c>
    </row>
    <row r="7580" spans="1:9" hidden="1">
      <c r="A7580" s="11" t="s">
        <v>11260</v>
      </c>
      <c r="B7580" s="2" t="s">
        <v>12903</v>
      </c>
      <c r="C7580" s="2" t="s">
        <v>12904</v>
      </c>
      <c r="D7580" s="2"/>
      <c r="E7580" s="2">
        <v>1</v>
      </c>
      <c r="F7580" s="9"/>
      <c r="G7580" s="8">
        <f t="shared" si="236"/>
        <v>28.778068125511602</v>
      </c>
      <c r="H7580" s="8">
        <v>27.407683929058667</v>
      </c>
      <c r="I7580" s="19">
        <f t="shared" si="237"/>
        <v>0</v>
      </c>
    </row>
    <row r="7581" spans="1:9" hidden="1">
      <c r="A7581" s="11" t="s">
        <v>11260</v>
      </c>
      <c r="B7581" s="2" t="s">
        <v>12905</v>
      </c>
      <c r="C7581" s="2" t="s">
        <v>12906</v>
      </c>
      <c r="D7581" s="2"/>
      <c r="E7581" s="2">
        <v>1</v>
      </c>
      <c r="F7581" s="9"/>
      <c r="G7581" s="8">
        <f t="shared" si="236"/>
        <v>15.572254418985272</v>
      </c>
      <c r="H7581" s="8">
        <v>14.830718494271688</v>
      </c>
      <c r="I7581" s="19">
        <f t="shared" si="237"/>
        <v>0</v>
      </c>
    </row>
    <row r="7582" spans="1:9" hidden="1">
      <c r="A7582" s="11" t="s">
        <v>11260</v>
      </c>
      <c r="B7582" s="2" t="s">
        <v>12907</v>
      </c>
      <c r="C7582" s="2" t="s">
        <v>12908</v>
      </c>
      <c r="D7582" s="2"/>
      <c r="E7582" s="2">
        <v>1</v>
      </c>
      <c r="F7582" s="9"/>
      <c r="G7582" s="8">
        <f t="shared" si="236"/>
        <v>15.572254418985272</v>
      </c>
      <c r="H7582" s="8">
        <v>14.830718494271688</v>
      </c>
      <c r="I7582" s="19">
        <f t="shared" si="237"/>
        <v>0</v>
      </c>
    </row>
    <row r="7583" spans="1:9" hidden="1">
      <c r="A7583" s="11" t="s">
        <v>11260</v>
      </c>
      <c r="B7583" s="2" t="s">
        <v>12909</v>
      </c>
      <c r="C7583" s="2" t="s">
        <v>12910</v>
      </c>
      <c r="D7583" s="2"/>
      <c r="E7583" s="2">
        <v>1</v>
      </c>
      <c r="F7583" s="9"/>
      <c r="G7583" s="8">
        <f t="shared" si="236"/>
        <v>12.419070416666667</v>
      </c>
      <c r="H7583" s="8">
        <v>11.827686111111111</v>
      </c>
      <c r="I7583" s="19">
        <f t="shared" si="237"/>
        <v>0</v>
      </c>
    </row>
    <row r="7584" spans="1:9" hidden="1">
      <c r="A7584" s="11" t="s">
        <v>11260</v>
      </c>
      <c r="B7584" s="2" t="s">
        <v>12911</v>
      </c>
      <c r="C7584" s="2" t="s">
        <v>12912</v>
      </c>
      <c r="D7584" s="2"/>
      <c r="E7584" s="2">
        <v>1</v>
      </c>
      <c r="F7584" s="9"/>
      <c r="G7584" s="8">
        <f t="shared" si="236"/>
        <v>13.476950416666668</v>
      </c>
      <c r="H7584" s="8">
        <v>12.835190873015874</v>
      </c>
      <c r="I7584" s="19">
        <f t="shared" si="237"/>
        <v>0</v>
      </c>
    </row>
    <row r="7585" spans="1:9">
      <c r="A7585" s="11" t="s">
        <v>11260</v>
      </c>
      <c r="B7585" s="2" t="s">
        <v>12913</v>
      </c>
      <c r="C7585" s="2" t="s">
        <v>12914</v>
      </c>
      <c r="D7585" s="2"/>
      <c r="E7585" s="2">
        <v>1</v>
      </c>
      <c r="F7585" s="9">
        <v>45</v>
      </c>
      <c r="G7585" s="8">
        <f t="shared" si="236"/>
        <v>8.2878039657282727</v>
      </c>
      <c r="H7585" s="8">
        <v>7.8931466340269267</v>
      </c>
      <c r="I7585" s="19">
        <f t="shared" si="237"/>
        <v>372.95117845777224</v>
      </c>
    </row>
    <row r="7586" spans="1:9" hidden="1">
      <c r="A7586" s="11" t="s">
        <v>11260</v>
      </c>
      <c r="B7586" s="2" t="s">
        <v>12915</v>
      </c>
      <c r="C7586" s="2" t="s">
        <v>12916</v>
      </c>
      <c r="D7586" s="2"/>
      <c r="E7586" s="2">
        <v>1</v>
      </c>
      <c r="F7586" s="9"/>
      <c r="G7586" s="8">
        <f t="shared" si="236"/>
        <v>13.191646005361932</v>
      </c>
      <c r="H7586" s="8">
        <v>12.563472386058983</v>
      </c>
      <c r="I7586" s="19">
        <f t="shared" si="237"/>
        <v>0</v>
      </c>
    </row>
    <row r="7587" spans="1:9" hidden="1">
      <c r="A7587" s="11" t="s">
        <v>11260</v>
      </c>
      <c r="B7587" s="2" t="s">
        <v>12917</v>
      </c>
      <c r="C7587" s="2" t="s">
        <v>12918</v>
      </c>
      <c r="D7587" s="2"/>
      <c r="E7587" s="2">
        <v>1</v>
      </c>
      <c r="F7587" s="9"/>
      <c r="G7587" s="8">
        <f t="shared" si="236"/>
        <v>14.822693297587131</v>
      </c>
      <c r="H7587" s="8">
        <v>14.116850759606791</v>
      </c>
      <c r="I7587" s="19">
        <f t="shared" si="237"/>
        <v>0</v>
      </c>
    </row>
    <row r="7588" spans="1:9" hidden="1">
      <c r="A7588" s="11" t="s">
        <v>11260</v>
      </c>
      <c r="B7588" s="2" t="s">
        <v>12919</v>
      </c>
      <c r="C7588" s="2" t="s">
        <v>12920</v>
      </c>
      <c r="D7588" s="2"/>
      <c r="E7588" s="2">
        <v>1</v>
      </c>
      <c r="F7588" s="9"/>
      <c r="G7588" s="8">
        <f t="shared" si="236"/>
        <v>9.9770235759493691</v>
      </c>
      <c r="H7588" s="8">
        <v>9.501927215189875</v>
      </c>
      <c r="I7588" s="19">
        <f t="shared" si="237"/>
        <v>0</v>
      </c>
    </row>
    <row r="7589" spans="1:9" hidden="1">
      <c r="A7589" s="11" t="s">
        <v>11260</v>
      </c>
      <c r="B7589" s="2" t="s">
        <v>12921</v>
      </c>
      <c r="C7589" s="2" t="s">
        <v>12922</v>
      </c>
      <c r="D7589" s="2"/>
      <c r="E7589" s="2">
        <v>1</v>
      </c>
      <c r="F7589" s="9"/>
      <c r="G7589" s="8">
        <f t="shared" si="236"/>
        <v>14.101766497461931</v>
      </c>
      <c r="H7589" s="8">
        <v>13.430253807106601</v>
      </c>
      <c r="I7589" s="19">
        <f t="shared" si="237"/>
        <v>0</v>
      </c>
    </row>
    <row r="7590" spans="1:9" hidden="1">
      <c r="A7590" s="11" t="s">
        <v>11260</v>
      </c>
      <c r="B7590" s="2" t="s">
        <v>12923</v>
      </c>
      <c r="C7590" s="2" t="s">
        <v>12924</v>
      </c>
      <c r="D7590" s="2"/>
      <c r="E7590" s="2">
        <v>1</v>
      </c>
      <c r="F7590" s="9"/>
      <c r="G7590" s="8">
        <f t="shared" si="236"/>
        <v>15.677198223350254</v>
      </c>
      <c r="H7590" s="8">
        <v>14.93066497461929</v>
      </c>
      <c r="I7590" s="19">
        <f t="shared" si="237"/>
        <v>0</v>
      </c>
    </row>
    <row r="7591" spans="1:9" hidden="1">
      <c r="A7591" s="11" t="s">
        <v>11260</v>
      </c>
      <c r="B7591" s="2" t="s">
        <v>12925</v>
      </c>
      <c r="C7591" s="2" t="s">
        <v>12926</v>
      </c>
      <c r="D7591" s="2"/>
      <c r="E7591" s="2">
        <v>1</v>
      </c>
      <c r="F7591" s="9"/>
      <c r="G7591" s="8">
        <f t="shared" si="236"/>
        <v>10.416298344827586</v>
      </c>
      <c r="H7591" s="8">
        <v>9.9202841379310343</v>
      </c>
      <c r="I7591" s="19">
        <f t="shared" si="237"/>
        <v>0</v>
      </c>
    </row>
    <row r="7592" spans="1:9" hidden="1">
      <c r="A7592" s="11" t="s">
        <v>11260</v>
      </c>
      <c r="B7592" s="2" t="s">
        <v>12927</v>
      </c>
      <c r="C7592" s="2" t="s">
        <v>12928</v>
      </c>
      <c r="D7592" s="2"/>
      <c r="E7592" s="2">
        <v>1</v>
      </c>
      <c r="F7592" s="9"/>
      <c r="G7592" s="8">
        <f t="shared" si="236"/>
        <v>14.610226378378378</v>
      </c>
      <c r="H7592" s="8">
        <v>13.914501312741313</v>
      </c>
      <c r="I7592" s="19">
        <f t="shared" si="237"/>
        <v>0</v>
      </c>
    </row>
    <row r="7593" spans="1:9" hidden="1">
      <c r="A7593" s="11" t="s">
        <v>11260</v>
      </c>
      <c r="B7593" s="2" t="s">
        <v>12929</v>
      </c>
      <c r="C7593" s="2" t="s">
        <v>12930</v>
      </c>
      <c r="D7593" s="2"/>
      <c r="E7593" s="2">
        <v>1</v>
      </c>
      <c r="F7593" s="9"/>
      <c r="G7593" s="8">
        <f t="shared" si="236"/>
        <v>15.888345729729732</v>
      </c>
      <c r="H7593" s="8">
        <v>15.13175783783784</v>
      </c>
      <c r="I7593" s="19">
        <f t="shared" si="237"/>
        <v>0</v>
      </c>
    </row>
    <row r="7594" spans="1:9" hidden="1">
      <c r="A7594" s="11" t="s">
        <v>11260</v>
      </c>
      <c r="B7594" s="2" t="s">
        <v>12931</v>
      </c>
      <c r="C7594" s="2" t="s">
        <v>12932</v>
      </c>
      <c r="D7594" s="2"/>
      <c r="E7594" s="2">
        <v>1</v>
      </c>
      <c r="F7594" s="9"/>
      <c r="G7594" s="8">
        <f t="shared" si="236"/>
        <v>28.624871609467462</v>
      </c>
      <c r="H7594" s="8">
        <v>27.261782485207107</v>
      </c>
      <c r="I7594" s="19">
        <f t="shared" si="237"/>
        <v>0</v>
      </c>
    </row>
    <row r="7595" spans="1:9" hidden="1">
      <c r="A7595" s="11" t="s">
        <v>11260</v>
      </c>
      <c r="B7595" s="2" t="s">
        <v>12933</v>
      </c>
      <c r="C7595" s="2" t="s">
        <v>12934</v>
      </c>
      <c r="D7595" s="2"/>
      <c r="E7595" s="2">
        <v>1</v>
      </c>
      <c r="F7595" s="9"/>
      <c r="G7595" s="8">
        <f t="shared" si="236"/>
        <v>73.218146462416556</v>
      </c>
      <c r="H7595" s="8">
        <v>69.731568059444342</v>
      </c>
      <c r="I7595" s="19">
        <f t="shared" si="237"/>
        <v>0</v>
      </c>
    </row>
    <row r="7596" spans="1:9" hidden="1">
      <c r="A7596" s="11" t="s">
        <v>11260</v>
      </c>
      <c r="B7596" s="2" t="s">
        <v>12935</v>
      </c>
      <c r="C7596" s="2" t="s">
        <v>12936</v>
      </c>
      <c r="D7596" s="2"/>
      <c r="E7596" s="2">
        <v>1</v>
      </c>
      <c r="F7596" s="9"/>
      <c r="G7596" s="8">
        <f t="shared" si="236"/>
        <v>22.028441824251559</v>
      </c>
      <c r="H7596" s="8">
        <v>20.979468404049104</v>
      </c>
      <c r="I7596" s="19">
        <f t="shared" si="237"/>
        <v>0</v>
      </c>
    </row>
    <row r="7597" spans="1:9" hidden="1">
      <c r="A7597" s="11" t="s">
        <v>11260</v>
      </c>
      <c r="B7597" s="2" t="s">
        <v>12937</v>
      </c>
      <c r="C7597" s="2" t="s">
        <v>12938</v>
      </c>
      <c r="D7597" s="2"/>
      <c r="E7597" s="2">
        <v>1</v>
      </c>
      <c r="F7597" s="9"/>
      <c r="G7597" s="8">
        <f t="shared" si="236"/>
        <v>22.028441824251559</v>
      </c>
      <c r="H7597" s="8">
        <v>20.979468404049104</v>
      </c>
      <c r="I7597" s="19">
        <f t="shared" si="237"/>
        <v>0</v>
      </c>
    </row>
    <row r="7598" spans="1:9" hidden="1">
      <c r="A7598" s="11" t="s">
        <v>11260</v>
      </c>
      <c r="B7598" s="2" t="s">
        <v>12939</v>
      </c>
      <c r="C7598" s="2" t="s">
        <v>12940</v>
      </c>
      <c r="D7598" s="2"/>
      <c r="E7598" s="2">
        <v>1</v>
      </c>
      <c r="F7598" s="9"/>
      <c r="G7598" s="8">
        <f t="shared" si="236"/>
        <v>11.209314757281554</v>
      </c>
      <c r="H7598" s="8">
        <v>10.67553786407767</v>
      </c>
      <c r="I7598" s="19">
        <f t="shared" si="237"/>
        <v>0</v>
      </c>
    </row>
    <row r="7599" spans="1:9" hidden="1">
      <c r="A7599" s="11" t="s">
        <v>11260</v>
      </c>
      <c r="B7599" s="2" t="s">
        <v>12941</v>
      </c>
      <c r="C7599" s="2" t="s">
        <v>12942</v>
      </c>
      <c r="D7599" s="2"/>
      <c r="E7599" s="2">
        <v>1</v>
      </c>
      <c r="F7599" s="9"/>
      <c r="G7599" s="8">
        <f t="shared" si="236"/>
        <v>16.197417833840802</v>
      </c>
      <c r="H7599" s="8">
        <v>15.426112222705527</v>
      </c>
      <c r="I7599" s="19">
        <f t="shared" si="237"/>
        <v>0</v>
      </c>
    </row>
    <row r="7600" spans="1:9" hidden="1">
      <c r="A7600" s="11" t="s">
        <v>11260</v>
      </c>
      <c r="B7600" s="2" t="s">
        <v>12943</v>
      </c>
      <c r="C7600" s="2" t="s">
        <v>12944</v>
      </c>
      <c r="D7600" s="2"/>
      <c r="E7600" s="2">
        <v>1</v>
      </c>
      <c r="F7600" s="9"/>
      <c r="G7600" s="8">
        <f t="shared" si="236"/>
        <v>13.665967773543825</v>
      </c>
      <c r="H7600" s="8">
        <v>13.01520740337507</v>
      </c>
      <c r="I7600" s="19">
        <f t="shared" si="237"/>
        <v>0</v>
      </c>
    </row>
    <row r="7601" spans="1:9">
      <c r="A7601" s="11" t="s">
        <v>11260</v>
      </c>
      <c r="B7601" s="2" t="s">
        <v>12945</v>
      </c>
      <c r="C7601" s="2" t="s">
        <v>12946</v>
      </c>
      <c r="D7601" s="2"/>
      <c r="E7601" s="2">
        <v>1</v>
      </c>
      <c r="F7601" s="9">
        <v>140</v>
      </c>
      <c r="G7601" s="8">
        <f t="shared" si="236"/>
        <v>1.1864999999999999</v>
      </c>
      <c r="H7601" s="8">
        <v>1.1299999999999999</v>
      </c>
      <c r="I7601" s="19">
        <f t="shared" si="237"/>
        <v>166.10999999999999</v>
      </c>
    </row>
    <row r="7602" spans="1:9" hidden="1">
      <c r="A7602" s="11" t="s">
        <v>11260</v>
      </c>
      <c r="B7602" s="2" t="s">
        <v>12947</v>
      </c>
      <c r="C7602" s="2" t="s">
        <v>12948</v>
      </c>
      <c r="D7602" s="2"/>
      <c r="E7602" s="2">
        <v>1</v>
      </c>
      <c r="F7602" s="9"/>
      <c r="G7602" s="8">
        <f t="shared" si="236"/>
        <v>0.90153000000000016</v>
      </c>
      <c r="H7602" s="8">
        <v>0.85860000000000014</v>
      </c>
      <c r="I7602" s="19">
        <f t="shared" si="237"/>
        <v>0</v>
      </c>
    </row>
    <row r="7603" spans="1:9" hidden="1">
      <c r="A7603" s="11" t="s">
        <v>11260</v>
      </c>
      <c r="B7603" s="2" t="s">
        <v>12949</v>
      </c>
      <c r="C7603" s="2" t="s">
        <v>12950</v>
      </c>
      <c r="D7603" s="2"/>
      <c r="E7603" s="2">
        <v>1</v>
      </c>
      <c r="F7603" s="9"/>
      <c r="G7603" s="8">
        <f t="shared" si="236"/>
        <v>4.0068000000000001</v>
      </c>
      <c r="H7603" s="8">
        <v>3.8160000000000003</v>
      </c>
      <c r="I7603" s="19">
        <f t="shared" si="237"/>
        <v>0</v>
      </c>
    </row>
    <row r="7604" spans="1:9" hidden="1">
      <c r="A7604" s="11" t="s">
        <v>11260</v>
      </c>
      <c r="B7604" s="2" t="s">
        <v>12951</v>
      </c>
      <c r="C7604" s="2" t="s">
        <v>12952</v>
      </c>
      <c r="D7604" s="2"/>
      <c r="E7604" s="2">
        <v>1</v>
      </c>
      <c r="F7604" s="9"/>
      <c r="G7604" s="8">
        <f t="shared" si="236"/>
        <v>4.0068000000000001</v>
      </c>
      <c r="H7604" s="8">
        <v>3.8160000000000003</v>
      </c>
      <c r="I7604" s="19">
        <f t="shared" si="237"/>
        <v>0</v>
      </c>
    </row>
    <row r="7605" spans="1:9" hidden="1">
      <c r="A7605" s="11" t="s">
        <v>11260</v>
      </c>
      <c r="B7605" s="2" t="s">
        <v>12953</v>
      </c>
      <c r="C7605" s="2" t="s">
        <v>12954</v>
      </c>
      <c r="D7605" s="2"/>
      <c r="E7605" s="2">
        <v>1</v>
      </c>
      <c r="F7605" s="9"/>
      <c r="G7605" s="8">
        <f t="shared" si="236"/>
        <v>10.851750000000001</v>
      </c>
      <c r="H7605" s="8">
        <v>10.335000000000001</v>
      </c>
      <c r="I7605" s="19">
        <f t="shared" si="237"/>
        <v>0</v>
      </c>
    </row>
    <row r="7606" spans="1:9" hidden="1">
      <c r="A7606" s="11" t="s">
        <v>11260</v>
      </c>
      <c r="B7606" s="2" t="s">
        <v>12955</v>
      </c>
      <c r="C7606" s="2" t="s">
        <v>12956</v>
      </c>
      <c r="D7606" s="2"/>
      <c r="E7606" s="2">
        <v>1</v>
      </c>
      <c r="F7606" s="9"/>
      <c r="G7606" s="8">
        <f t="shared" si="236"/>
        <v>10.851750000000001</v>
      </c>
      <c r="H7606" s="8">
        <v>10.335000000000001</v>
      </c>
      <c r="I7606" s="19">
        <f t="shared" si="237"/>
        <v>0</v>
      </c>
    </row>
    <row r="7607" spans="1:9" hidden="1">
      <c r="A7607" s="11" t="s">
        <v>11260</v>
      </c>
      <c r="B7607" s="2" t="s">
        <v>12957</v>
      </c>
      <c r="C7607" s="2" t="s">
        <v>12958</v>
      </c>
      <c r="D7607" s="2"/>
      <c r="E7607" s="2">
        <v>1</v>
      </c>
      <c r="F7607" s="9"/>
      <c r="G7607" s="8">
        <f t="shared" si="236"/>
        <v>3.7793407133800541</v>
      </c>
      <c r="H7607" s="8">
        <v>3.5993721079810039</v>
      </c>
      <c r="I7607" s="19">
        <f t="shared" si="237"/>
        <v>0</v>
      </c>
    </row>
    <row r="7608" spans="1:9" hidden="1">
      <c r="A7608" s="11" t="s">
        <v>11260</v>
      </c>
      <c r="B7608" s="2" t="s">
        <v>12959</v>
      </c>
      <c r="C7608" s="2" t="s">
        <v>12960</v>
      </c>
      <c r="D7608" s="2"/>
      <c r="E7608" s="2">
        <v>1</v>
      </c>
      <c r="F7608" s="9"/>
      <c r="G7608" s="8">
        <f t="shared" si="236"/>
        <v>3.7793407133800541</v>
      </c>
      <c r="H7608" s="8">
        <v>3.5993721079810039</v>
      </c>
      <c r="I7608" s="19">
        <f t="shared" si="237"/>
        <v>0</v>
      </c>
    </row>
    <row r="7609" spans="1:9">
      <c r="A7609" s="11" t="s">
        <v>11260</v>
      </c>
      <c r="B7609" s="2" t="s">
        <v>12961</v>
      </c>
      <c r="C7609" s="2" t="s">
        <v>12962</v>
      </c>
      <c r="D7609" s="2"/>
      <c r="E7609" s="2">
        <v>1</v>
      </c>
      <c r="F7609" s="9">
        <v>300</v>
      </c>
      <c r="G7609" s="8">
        <f t="shared" si="236"/>
        <v>2.6794577419354839</v>
      </c>
      <c r="H7609" s="8">
        <v>2.5518645161290321</v>
      </c>
      <c r="I7609" s="19">
        <f t="shared" si="237"/>
        <v>803.83732258064515</v>
      </c>
    </row>
    <row r="7610" spans="1:9" hidden="1">
      <c r="A7610" s="11" t="s">
        <v>11260</v>
      </c>
      <c r="B7610" s="2" t="s">
        <v>12963</v>
      </c>
      <c r="C7610" s="2" t="s">
        <v>12964</v>
      </c>
      <c r="D7610" s="2"/>
      <c r="E7610" s="2">
        <v>1</v>
      </c>
      <c r="F7610" s="9"/>
      <c r="G7610" s="8">
        <f t="shared" si="236"/>
        <v>3.5504700000000002</v>
      </c>
      <c r="H7610" s="8">
        <v>3.3814000000000002</v>
      </c>
      <c r="I7610" s="19">
        <f t="shared" si="237"/>
        <v>0</v>
      </c>
    </row>
    <row r="7611" spans="1:9">
      <c r="A7611" s="11" t="s">
        <v>11260</v>
      </c>
      <c r="B7611" s="2" t="s">
        <v>12965</v>
      </c>
      <c r="C7611" s="2" t="s">
        <v>12966</v>
      </c>
      <c r="D7611" s="2"/>
      <c r="E7611" s="2">
        <v>1</v>
      </c>
      <c r="F7611" s="9">
        <v>150</v>
      </c>
      <c r="G7611" s="8">
        <f t="shared" si="236"/>
        <v>2.1826010071942448</v>
      </c>
      <c r="H7611" s="8">
        <v>2.0786676258992807</v>
      </c>
      <c r="I7611" s="19">
        <f t="shared" si="237"/>
        <v>327.39015107913673</v>
      </c>
    </row>
    <row r="7612" spans="1:9">
      <c r="A7612" s="11" t="s">
        <v>11260</v>
      </c>
      <c r="B7612" s="2" t="s">
        <v>12967</v>
      </c>
      <c r="C7612" s="2" t="s">
        <v>12968</v>
      </c>
      <c r="D7612" s="2"/>
      <c r="E7612" s="2">
        <v>1</v>
      </c>
      <c r="F7612" s="9">
        <v>173</v>
      </c>
      <c r="G7612" s="8">
        <f t="shared" si="236"/>
        <v>2.1826010071942448</v>
      </c>
      <c r="H7612" s="8">
        <v>2.0786676258992807</v>
      </c>
      <c r="I7612" s="19">
        <f t="shared" si="237"/>
        <v>377.58997424460432</v>
      </c>
    </row>
    <row r="7613" spans="1:9" hidden="1">
      <c r="A7613" s="11" t="s">
        <v>11260</v>
      </c>
      <c r="B7613" s="2" t="s">
        <v>12969</v>
      </c>
      <c r="C7613" s="2" t="s">
        <v>12970</v>
      </c>
      <c r="D7613" s="2"/>
      <c r="E7613" s="2">
        <v>1</v>
      </c>
      <c r="F7613" s="9"/>
      <c r="G7613" s="8">
        <f t="shared" si="236"/>
        <v>15.671040000000001</v>
      </c>
      <c r="H7613" s="8">
        <v>14.924800000000001</v>
      </c>
      <c r="I7613" s="19">
        <f t="shared" si="237"/>
        <v>0</v>
      </c>
    </row>
    <row r="7614" spans="1:9" hidden="1">
      <c r="A7614" s="11" t="s">
        <v>11260</v>
      </c>
      <c r="B7614" s="2" t="s">
        <v>12971</v>
      </c>
      <c r="C7614" s="2" t="s">
        <v>12970</v>
      </c>
      <c r="D7614" s="2"/>
      <c r="E7614" s="2">
        <v>1</v>
      </c>
      <c r="F7614" s="9"/>
      <c r="G7614" s="8">
        <f t="shared" si="236"/>
        <v>15.682170000000001</v>
      </c>
      <c r="H7614" s="8">
        <v>14.935400000000001</v>
      </c>
      <c r="I7614" s="19">
        <f t="shared" si="237"/>
        <v>0</v>
      </c>
    </row>
    <row r="7615" spans="1:9" hidden="1">
      <c r="A7615" s="11" t="s">
        <v>11260</v>
      </c>
      <c r="B7615" s="2" t="s">
        <v>12972</v>
      </c>
      <c r="C7615" s="2" t="s">
        <v>12973</v>
      </c>
      <c r="D7615" s="2"/>
      <c r="E7615" s="2">
        <v>1</v>
      </c>
      <c r="F7615" s="9"/>
      <c r="G7615" s="8">
        <f t="shared" si="236"/>
        <v>25.788210000000003</v>
      </c>
      <c r="H7615" s="8">
        <v>24.560200000000002</v>
      </c>
      <c r="I7615" s="19">
        <f t="shared" si="237"/>
        <v>0</v>
      </c>
    </row>
    <row r="7616" spans="1:9" hidden="1">
      <c r="A7616" s="11" t="s">
        <v>11260</v>
      </c>
      <c r="B7616" s="2" t="s">
        <v>12974</v>
      </c>
      <c r="C7616" s="2" t="s">
        <v>12975</v>
      </c>
      <c r="D7616" s="2"/>
      <c r="E7616" s="2">
        <v>1</v>
      </c>
      <c r="F7616" s="9"/>
      <c r="G7616" s="8">
        <f t="shared" si="236"/>
        <v>16.906470000000002</v>
      </c>
      <c r="H7616" s="8">
        <v>16.101400000000002</v>
      </c>
      <c r="I7616" s="19">
        <f t="shared" si="237"/>
        <v>0</v>
      </c>
    </row>
    <row r="7617" spans="1:9" hidden="1">
      <c r="A7617" s="11" t="s">
        <v>11260</v>
      </c>
      <c r="B7617" s="2" t="s">
        <v>12976</v>
      </c>
      <c r="C7617" s="2" t="s">
        <v>12977</v>
      </c>
      <c r="D7617" s="2"/>
      <c r="E7617" s="2">
        <v>1</v>
      </c>
      <c r="F7617" s="9"/>
      <c r="G7617" s="8">
        <f t="shared" si="236"/>
        <v>24.664080000000002</v>
      </c>
      <c r="H7617" s="8">
        <v>23.489600000000003</v>
      </c>
      <c r="I7617" s="19">
        <f t="shared" si="237"/>
        <v>0</v>
      </c>
    </row>
    <row r="7618" spans="1:9" hidden="1">
      <c r="A7618" s="11" t="s">
        <v>11260</v>
      </c>
      <c r="B7618" s="2" t="s">
        <v>12978</v>
      </c>
      <c r="C7618" s="2" t="s">
        <v>12979</v>
      </c>
      <c r="D7618" s="2"/>
      <c r="E7618" s="2">
        <v>1</v>
      </c>
      <c r="F7618" s="9"/>
      <c r="G7618" s="8">
        <f t="shared" si="236"/>
        <v>25.498830000000002</v>
      </c>
      <c r="H7618" s="8">
        <v>24.284600000000001</v>
      </c>
      <c r="I7618" s="19">
        <f t="shared" si="237"/>
        <v>0</v>
      </c>
    </row>
    <row r="7619" spans="1:9" hidden="1">
      <c r="A7619" s="11" t="s">
        <v>11260</v>
      </c>
      <c r="B7619" s="2" t="s">
        <v>12980</v>
      </c>
      <c r="C7619" s="2" t="s">
        <v>12981</v>
      </c>
      <c r="D7619" s="2"/>
      <c r="E7619" s="2">
        <v>1</v>
      </c>
      <c r="F7619" s="9"/>
      <c r="G7619" s="8">
        <f t="shared" si="236"/>
        <v>25.498830000000002</v>
      </c>
      <c r="H7619" s="8">
        <v>24.284600000000001</v>
      </c>
      <c r="I7619" s="19">
        <f t="shared" si="237"/>
        <v>0</v>
      </c>
    </row>
    <row r="7620" spans="1:9" hidden="1">
      <c r="A7620" s="11" t="s">
        <v>11260</v>
      </c>
      <c r="B7620" s="2" t="s">
        <v>12982</v>
      </c>
      <c r="C7620" s="2" t="s">
        <v>12983</v>
      </c>
      <c r="D7620" s="2"/>
      <c r="E7620" s="2">
        <v>1</v>
      </c>
      <c r="F7620" s="9"/>
      <c r="G7620" s="8">
        <f t="shared" si="236"/>
        <v>4.4408700000000003</v>
      </c>
      <c r="H7620" s="8">
        <v>4.2294</v>
      </c>
      <c r="I7620" s="19">
        <f t="shared" si="237"/>
        <v>0</v>
      </c>
    </row>
    <row r="7621" spans="1:9" hidden="1">
      <c r="A7621" s="11" t="s">
        <v>11260</v>
      </c>
      <c r="B7621" s="2" t="s">
        <v>12984</v>
      </c>
      <c r="C7621" s="2" t="s">
        <v>12985</v>
      </c>
      <c r="D7621" s="2"/>
      <c r="E7621" s="2">
        <v>1</v>
      </c>
      <c r="F7621" s="9"/>
      <c r="G7621" s="8">
        <f t="shared" si="236"/>
        <v>5.3760000000000003</v>
      </c>
      <c r="H7621" s="8">
        <v>5.12</v>
      </c>
      <c r="I7621" s="19">
        <f t="shared" si="237"/>
        <v>0</v>
      </c>
    </row>
    <row r="7622" spans="1:9" hidden="1">
      <c r="A7622" s="11" t="s">
        <v>11260</v>
      </c>
      <c r="B7622" s="2" t="s">
        <v>12986</v>
      </c>
      <c r="C7622" s="2" t="s">
        <v>12987</v>
      </c>
      <c r="D7622" s="2"/>
      <c r="E7622" s="2">
        <v>1</v>
      </c>
      <c r="F7622" s="9"/>
      <c r="G7622" s="8">
        <f t="shared" si="236"/>
        <v>4.7413800000000004</v>
      </c>
      <c r="H7622" s="8">
        <v>4.5156000000000001</v>
      </c>
      <c r="I7622" s="19">
        <f t="shared" si="237"/>
        <v>0</v>
      </c>
    </row>
    <row r="7623" spans="1:9">
      <c r="A7623" s="11" t="s">
        <v>11260</v>
      </c>
      <c r="B7623" s="2" t="s">
        <v>12988</v>
      </c>
      <c r="C7623" s="2" t="s">
        <v>12989</v>
      </c>
      <c r="D7623" s="2"/>
      <c r="E7623" s="2">
        <v>1</v>
      </c>
      <c r="F7623" s="9">
        <v>1</v>
      </c>
      <c r="G7623" s="8">
        <f t="shared" si="236"/>
        <v>7.33467</v>
      </c>
      <c r="H7623" s="8">
        <v>6.9854000000000003</v>
      </c>
      <c r="I7623" s="19">
        <f t="shared" si="237"/>
        <v>7.33467</v>
      </c>
    </row>
    <row r="7624" spans="1:9">
      <c r="A7624" s="11" t="s">
        <v>11260</v>
      </c>
      <c r="B7624" s="2" t="s">
        <v>12990</v>
      </c>
      <c r="C7624" s="2" t="s">
        <v>12991</v>
      </c>
      <c r="D7624" s="2"/>
      <c r="E7624" s="2">
        <v>1</v>
      </c>
      <c r="F7624" s="9">
        <v>1</v>
      </c>
      <c r="G7624" s="8">
        <f t="shared" si="236"/>
        <v>7.33467</v>
      </c>
      <c r="H7624" s="8">
        <v>6.9854000000000003</v>
      </c>
      <c r="I7624" s="19">
        <f t="shared" si="237"/>
        <v>7.33467</v>
      </c>
    </row>
    <row r="7625" spans="1:9">
      <c r="A7625" s="11" t="s">
        <v>11260</v>
      </c>
      <c r="B7625" s="2" t="s">
        <v>12992</v>
      </c>
      <c r="C7625" s="2" t="s">
        <v>12993</v>
      </c>
      <c r="D7625" s="2"/>
      <c r="E7625" s="2">
        <v>1</v>
      </c>
      <c r="F7625" s="9">
        <v>260</v>
      </c>
      <c r="G7625" s="8">
        <f t="shared" si="236"/>
        <v>2.76024</v>
      </c>
      <c r="H7625" s="8">
        <v>2.6288</v>
      </c>
      <c r="I7625" s="19">
        <f t="shared" si="237"/>
        <v>717.66240000000005</v>
      </c>
    </row>
    <row r="7626" spans="1:9">
      <c r="A7626" s="11" t="s">
        <v>11260</v>
      </c>
      <c r="B7626" s="2" t="s">
        <v>12994</v>
      </c>
      <c r="C7626" s="2" t="s">
        <v>12995</v>
      </c>
      <c r="D7626" s="2"/>
      <c r="E7626" s="2">
        <v>1</v>
      </c>
      <c r="F7626" s="9">
        <v>50</v>
      </c>
      <c r="G7626" s="8">
        <f t="shared" si="236"/>
        <v>4.0068000000000001</v>
      </c>
      <c r="H7626" s="8">
        <v>3.8160000000000003</v>
      </c>
      <c r="I7626" s="19">
        <f t="shared" si="237"/>
        <v>200.34</v>
      </c>
    </row>
    <row r="7627" spans="1:9" hidden="1">
      <c r="A7627" s="11" t="s">
        <v>11260</v>
      </c>
      <c r="B7627" s="2" t="s">
        <v>12996</v>
      </c>
      <c r="C7627" s="2" t="s">
        <v>12997</v>
      </c>
      <c r="D7627" s="2"/>
      <c r="E7627" s="2">
        <v>1</v>
      </c>
      <c r="F7627" s="9"/>
      <c r="G7627" s="8">
        <f t="shared" si="236"/>
        <v>7.4237100000000007</v>
      </c>
      <c r="H7627" s="8">
        <v>7.0702000000000007</v>
      </c>
      <c r="I7627" s="19">
        <f t="shared" si="237"/>
        <v>0</v>
      </c>
    </row>
    <row r="7628" spans="1:9" hidden="1">
      <c r="A7628" s="11" t="s">
        <v>11260</v>
      </c>
      <c r="B7628" s="2" t="s">
        <v>12998</v>
      </c>
      <c r="C7628" s="2" t="s">
        <v>12999</v>
      </c>
      <c r="D7628" s="2"/>
      <c r="E7628" s="2">
        <v>1</v>
      </c>
      <c r="F7628" s="9"/>
      <c r="G7628" s="8">
        <f t="shared" si="236"/>
        <v>1.1241300000000001</v>
      </c>
      <c r="H7628" s="8">
        <v>1.0706</v>
      </c>
      <c r="I7628" s="19">
        <f t="shared" si="237"/>
        <v>0</v>
      </c>
    </row>
    <row r="7629" spans="1:9" hidden="1">
      <c r="A7629" s="11" t="s">
        <v>11260</v>
      </c>
      <c r="B7629" s="2" t="s">
        <v>13000</v>
      </c>
      <c r="C7629" s="2" t="s">
        <v>13001</v>
      </c>
      <c r="D7629" s="2"/>
      <c r="E7629" s="2">
        <v>1</v>
      </c>
      <c r="F7629" s="9"/>
      <c r="G7629" s="8">
        <f t="shared" si="236"/>
        <v>1.1129999999999999E-2</v>
      </c>
      <c r="H7629" s="8">
        <v>1.06E-2</v>
      </c>
      <c r="I7629" s="19">
        <f t="shared" si="237"/>
        <v>0</v>
      </c>
    </row>
    <row r="7630" spans="1:9" hidden="1">
      <c r="A7630" s="11" t="s">
        <v>11260</v>
      </c>
      <c r="B7630" s="2" t="s">
        <v>13002</v>
      </c>
      <c r="C7630" s="2" t="s">
        <v>13003</v>
      </c>
      <c r="D7630" s="2"/>
      <c r="E7630" s="2">
        <v>1</v>
      </c>
      <c r="F7630" s="9"/>
      <c r="G7630" s="8">
        <f t="shared" si="236"/>
        <v>152.81897505135706</v>
      </c>
      <c r="H7630" s="8">
        <v>145.54188100129244</v>
      </c>
      <c r="I7630" s="19">
        <f t="shared" si="237"/>
        <v>0</v>
      </c>
    </row>
    <row r="7631" spans="1:9" hidden="1">
      <c r="A7631" s="11" t="s">
        <v>11260</v>
      </c>
      <c r="B7631" s="2" t="s">
        <v>13004</v>
      </c>
      <c r="C7631" s="2" t="s">
        <v>13005</v>
      </c>
      <c r="D7631" s="2"/>
      <c r="E7631" s="2">
        <v>1</v>
      </c>
      <c r="F7631" s="9"/>
      <c r="G7631" s="8">
        <f t="shared" si="236"/>
        <v>27.057013779608653</v>
      </c>
      <c r="H7631" s="8">
        <v>25.768584552008242</v>
      </c>
      <c r="I7631" s="19">
        <f t="shared" si="237"/>
        <v>0</v>
      </c>
    </row>
    <row r="7632" spans="1:9" hidden="1">
      <c r="A7632" s="11" t="s">
        <v>11260</v>
      </c>
      <c r="B7632" s="2" t="s">
        <v>13006</v>
      </c>
      <c r="C7632" s="2" t="s">
        <v>13007</v>
      </c>
      <c r="D7632" s="2"/>
      <c r="E7632" s="2">
        <v>1</v>
      </c>
      <c r="F7632" s="9"/>
      <c r="G7632" s="8">
        <f t="shared" si="236"/>
        <v>106.44089094198654</v>
      </c>
      <c r="H7632" s="8">
        <v>101.37227708760622</v>
      </c>
      <c r="I7632" s="19">
        <f t="shared" si="237"/>
        <v>0</v>
      </c>
    </row>
    <row r="7633" spans="1:9" hidden="1">
      <c r="A7633" s="11" t="s">
        <v>11260</v>
      </c>
      <c r="B7633" s="2" t="s">
        <v>13008</v>
      </c>
      <c r="C7633" s="2" t="s">
        <v>13009</v>
      </c>
      <c r="D7633" s="2"/>
      <c r="E7633" s="2">
        <v>1</v>
      </c>
      <c r="F7633" s="9"/>
      <c r="G7633" s="8">
        <f t="shared" si="236"/>
        <v>5.9266200000000007</v>
      </c>
      <c r="H7633" s="8">
        <v>5.644400000000001</v>
      </c>
      <c r="I7633" s="19">
        <f t="shared" si="237"/>
        <v>0</v>
      </c>
    </row>
    <row r="7634" spans="1:9" hidden="1">
      <c r="A7634" s="11" t="s">
        <v>11260</v>
      </c>
      <c r="B7634" s="2" t="s">
        <v>13010</v>
      </c>
      <c r="C7634" s="2" t="s">
        <v>13011</v>
      </c>
      <c r="D7634" s="2"/>
      <c r="E7634" s="2">
        <v>1</v>
      </c>
      <c r="F7634" s="9"/>
      <c r="G7634" s="8">
        <f t="shared" si="236"/>
        <v>10.003875000000001</v>
      </c>
      <c r="H7634" s="8">
        <v>9.5274999999999999</v>
      </c>
      <c r="I7634" s="19">
        <f t="shared" si="237"/>
        <v>0</v>
      </c>
    </row>
    <row r="7635" spans="1:9" hidden="1">
      <c r="A7635" s="11" t="s">
        <v>11260</v>
      </c>
      <c r="B7635" s="2" t="s">
        <v>13012</v>
      </c>
      <c r="C7635" s="2" t="s">
        <v>13013</v>
      </c>
      <c r="D7635" s="2"/>
      <c r="E7635" s="2">
        <v>1</v>
      </c>
      <c r="F7635" s="9"/>
      <c r="G7635" s="8">
        <f t="shared" si="236"/>
        <v>20.559315000000002</v>
      </c>
      <c r="H7635" s="8">
        <v>19.580300000000001</v>
      </c>
      <c r="I7635" s="19">
        <f t="shared" si="237"/>
        <v>0</v>
      </c>
    </row>
    <row r="7636" spans="1:9" hidden="1">
      <c r="A7636" s="11" t="s">
        <v>11260</v>
      </c>
      <c r="B7636" s="2" t="s">
        <v>13014</v>
      </c>
      <c r="C7636" s="2" t="s">
        <v>13015</v>
      </c>
      <c r="D7636" s="2"/>
      <c r="E7636" s="2">
        <v>1</v>
      </c>
      <c r="F7636" s="9"/>
      <c r="G7636" s="8">
        <f t="shared" ref="G7636:G7699" si="238">H7636+(H7636*5%)</f>
        <v>20.357239461230435</v>
      </c>
      <c r="H7636" s="8">
        <v>19.387847105933748</v>
      </c>
      <c r="I7636" s="19">
        <f t="shared" ref="I7636:I7699" si="239">G7636*F7636</f>
        <v>0</v>
      </c>
    </row>
    <row r="7637" spans="1:9" hidden="1">
      <c r="A7637" s="11" t="s">
        <v>11260</v>
      </c>
      <c r="B7637" s="2" t="s">
        <v>13016</v>
      </c>
      <c r="C7637" s="2" t="s">
        <v>13017</v>
      </c>
      <c r="D7637" s="2"/>
      <c r="E7637" s="2">
        <v>1</v>
      </c>
      <c r="F7637" s="9"/>
      <c r="G7637" s="8">
        <f t="shared" si="238"/>
        <v>3.018135135135136</v>
      </c>
      <c r="H7637" s="8">
        <v>2.874414414414415</v>
      </c>
      <c r="I7637" s="19">
        <f t="shared" si="239"/>
        <v>0</v>
      </c>
    </row>
    <row r="7638" spans="1:9" hidden="1">
      <c r="A7638" s="11" t="s">
        <v>11260</v>
      </c>
      <c r="B7638" s="2" t="s">
        <v>13018</v>
      </c>
      <c r="C7638" s="2" t="s">
        <v>13019</v>
      </c>
      <c r="D7638" s="2"/>
      <c r="E7638" s="2">
        <v>1</v>
      </c>
      <c r="F7638" s="9"/>
      <c r="G7638" s="8">
        <f t="shared" si="238"/>
        <v>3.5860718816067654</v>
      </c>
      <c r="H7638" s="8">
        <v>3.4153065539112051</v>
      </c>
      <c r="I7638" s="19">
        <f t="shared" si="239"/>
        <v>0</v>
      </c>
    </row>
    <row r="7639" spans="1:9" hidden="1">
      <c r="A7639" s="11" t="s">
        <v>11260</v>
      </c>
      <c r="B7639" s="2" t="s">
        <v>13020</v>
      </c>
      <c r="C7639" s="2" t="s">
        <v>13021</v>
      </c>
      <c r="D7639" s="2"/>
      <c r="E7639" s="2">
        <v>1</v>
      </c>
      <c r="F7639" s="9"/>
      <c r="G7639" s="8">
        <f t="shared" si="238"/>
        <v>3.1109586666666673</v>
      </c>
      <c r="H7639" s="8">
        <v>2.9628177777777784</v>
      </c>
      <c r="I7639" s="19">
        <f t="shared" si="239"/>
        <v>0</v>
      </c>
    </row>
    <row r="7640" spans="1:9" hidden="1">
      <c r="A7640" s="11" t="s">
        <v>11260</v>
      </c>
      <c r="B7640" s="2" t="s">
        <v>13022</v>
      </c>
      <c r="C7640" s="2" t="s">
        <v>13023</v>
      </c>
      <c r="D7640" s="2"/>
      <c r="E7640" s="2">
        <v>1</v>
      </c>
      <c r="F7640" s="9"/>
      <c r="G7640" s="8">
        <f t="shared" si="238"/>
        <v>3.4010511917098452</v>
      </c>
      <c r="H7640" s="8">
        <v>3.2390963730569955</v>
      </c>
      <c r="I7640" s="19">
        <f t="shared" si="239"/>
        <v>0</v>
      </c>
    </row>
    <row r="7641" spans="1:9" hidden="1">
      <c r="A7641" s="11" t="s">
        <v>11260</v>
      </c>
      <c r="B7641" s="2" t="s">
        <v>13024</v>
      </c>
      <c r="C7641" s="2" t="s">
        <v>13025</v>
      </c>
      <c r="D7641" s="2"/>
      <c r="E7641" s="2">
        <v>1</v>
      </c>
      <c r="F7641" s="9"/>
      <c r="G7641" s="8">
        <f t="shared" si="238"/>
        <v>3.8475680549682876</v>
      </c>
      <c r="H7641" s="8">
        <v>3.6643505285412261</v>
      </c>
      <c r="I7641" s="19">
        <f t="shared" si="239"/>
        <v>0</v>
      </c>
    </row>
    <row r="7642" spans="1:9" hidden="1">
      <c r="A7642" s="11" t="s">
        <v>11260</v>
      </c>
      <c r="B7642" s="2" t="s">
        <v>13026</v>
      </c>
      <c r="C7642" s="2" t="s">
        <v>13027</v>
      </c>
      <c r="D7642" s="2"/>
      <c r="E7642" s="2">
        <v>1</v>
      </c>
      <c r="F7642" s="9"/>
      <c r="G7642" s="8">
        <f t="shared" si="238"/>
        <v>3.5771868708971555</v>
      </c>
      <c r="H7642" s="8">
        <v>3.4068446389496718</v>
      </c>
      <c r="I7642" s="19">
        <f t="shared" si="239"/>
        <v>0</v>
      </c>
    </row>
    <row r="7643" spans="1:9" hidden="1">
      <c r="A7643" s="11" t="s">
        <v>11260</v>
      </c>
      <c r="B7643" s="2" t="s">
        <v>13028</v>
      </c>
      <c r="C7643" s="2" t="s">
        <v>13029</v>
      </c>
      <c r="D7643" s="2"/>
      <c r="E7643" s="2">
        <v>1</v>
      </c>
      <c r="F7643" s="9"/>
      <c r="G7643" s="8">
        <f t="shared" si="238"/>
        <v>4.256546341463415</v>
      </c>
      <c r="H7643" s="8">
        <v>4.0538536585365854</v>
      </c>
      <c r="I7643" s="19">
        <f t="shared" si="239"/>
        <v>0</v>
      </c>
    </row>
    <row r="7644" spans="1:9" hidden="1">
      <c r="A7644" s="11" t="s">
        <v>11260</v>
      </c>
      <c r="B7644" s="2" t="s">
        <v>13030</v>
      </c>
      <c r="C7644" s="2" t="s">
        <v>13031</v>
      </c>
      <c r="D7644" s="2"/>
      <c r="E7644" s="2">
        <v>1</v>
      </c>
      <c r="F7644" s="9"/>
      <c r="G7644" s="8">
        <f t="shared" si="238"/>
        <v>3.5771868708971555</v>
      </c>
      <c r="H7644" s="8">
        <v>3.4068446389496718</v>
      </c>
      <c r="I7644" s="19">
        <f t="shared" si="239"/>
        <v>0</v>
      </c>
    </row>
    <row r="7645" spans="1:9" hidden="1">
      <c r="A7645" s="11" t="s">
        <v>11260</v>
      </c>
      <c r="B7645" s="2" t="s">
        <v>13032</v>
      </c>
      <c r="C7645" s="2" t="s">
        <v>13033</v>
      </c>
      <c r="D7645" s="2"/>
      <c r="E7645" s="2">
        <v>1</v>
      </c>
      <c r="F7645" s="9"/>
      <c r="G7645" s="8">
        <f t="shared" si="238"/>
        <v>3.6774366847826085</v>
      </c>
      <c r="H7645" s="8">
        <v>3.5023206521739128</v>
      </c>
      <c r="I7645" s="19">
        <f t="shared" si="239"/>
        <v>0</v>
      </c>
    </row>
    <row r="7646" spans="1:9" hidden="1">
      <c r="A7646" s="11" t="s">
        <v>11260</v>
      </c>
      <c r="B7646" s="2" t="s">
        <v>13034</v>
      </c>
      <c r="C7646" s="2" t="s">
        <v>13035</v>
      </c>
      <c r="D7646" s="2"/>
      <c r="E7646" s="2">
        <v>1</v>
      </c>
      <c r="F7646" s="9"/>
      <c r="G7646" s="8">
        <f t="shared" si="238"/>
        <v>4.2191734715025913</v>
      </c>
      <c r="H7646" s="8">
        <v>4.0182604490500866</v>
      </c>
      <c r="I7646" s="19">
        <f t="shared" si="239"/>
        <v>0</v>
      </c>
    </row>
    <row r="7647" spans="1:9" hidden="1">
      <c r="A7647" s="11" t="s">
        <v>11260</v>
      </c>
      <c r="B7647" s="2" t="s">
        <v>13036</v>
      </c>
      <c r="C7647" s="2" t="s">
        <v>13037</v>
      </c>
      <c r="D7647" s="2"/>
      <c r="E7647" s="2">
        <v>1</v>
      </c>
      <c r="F7647" s="9"/>
      <c r="G7647" s="8">
        <f t="shared" si="238"/>
        <v>4.2538860000000005</v>
      </c>
      <c r="H7647" s="8">
        <v>4.0513200000000005</v>
      </c>
      <c r="I7647" s="19">
        <f t="shared" si="239"/>
        <v>0</v>
      </c>
    </row>
    <row r="7648" spans="1:9" hidden="1">
      <c r="A7648" s="11" t="s">
        <v>11260</v>
      </c>
      <c r="B7648" s="2" t="s">
        <v>13038</v>
      </c>
      <c r="C7648" s="2" t="s">
        <v>13039</v>
      </c>
      <c r="D7648" s="2"/>
      <c r="E7648" s="2">
        <v>1</v>
      </c>
      <c r="F7648" s="9"/>
      <c r="G7648" s="8">
        <f t="shared" si="238"/>
        <v>4.7075099520766788</v>
      </c>
      <c r="H7648" s="8">
        <v>4.4833428115015987</v>
      </c>
      <c r="I7648" s="19">
        <f t="shared" si="239"/>
        <v>0</v>
      </c>
    </row>
    <row r="7649" spans="1:9" hidden="1">
      <c r="A7649" s="11" t="s">
        <v>11260</v>
      </c>
      <c r="B7649" s="2" t="s">
        <v>13040</v>
      </c>
      <c r="C7649" s="2" t="s">
        <v>13041</v>
      </c>
      <c r="D7649" s="2"/>
      <c r="E7649" s="2">
        <v>1</v>
      </c>
      <c r="F7649" s="9"/>
      <c r="G7649" s="8">
        <f t="shared" si="238"/>
        <v>5.899861555075594</v>
      </c>
      <c r="H7649" s="8">
        <v>5.6189157667386613</v>
      </c>
      <c r="I7649" s="19">
        <f t="shared" si="239"/>
        <v>0</v>
      </c>
    </row>
    <row r="7650" spans="1:9" hidden="1">
      <c r="A7650" s="11" t="s">
        <v>11260</v>
      </c>
      <c r="B7650" s="2" t="s">
        <v>13042</v>
      </c>
      <c r="C7650" s="2" t="s">
        <v>13043</v>
      </c>
      <c r="D7650" s="2"/>
      <c r="E7650" s="2">
        <v>1</v>
      </c>
      <c r="F7650" s="9"/>
      <c r="G7650" s="8">
        <f t="shared" si="238"/>
        <v>7.5466030079999982</v>
      </c>
      <c r="H7650" s="8">
        <v>7.1872409599999987</v>
      </c>
      <c r="I7650" s="19">
        <f t="shared" si="239"/>
        <v>0</v>
      </c>
    </row>
    <row r="7651" spans="1:9" hidden="1">
      <c r="A7651" s="11" t="s">
        <v>11260</v>
      </c>
      <c r="B7651" s="2" t="s">
        <v>13044</v>
      </c>
      <c r="C7651" s="2" t="s">
        <v>13045</v>
      </c>
      <c r="D7651" s="2"/>
      <c r="E7651" s="2">
        <v>1</v>
      </c>
      <c r="F7651" s="9"/>
      <c r="G7651" s="8">
        <f t="shared" si="238"/>
        <v>3.3184409302325588</v>
      </c>
      <c r="H7651" s="8">
        <v>3.160419933554818</v>
      </c>
      <c r="I7651" s="19">
        <f t="shared" si="239"/>
        <v>0</v>
      </c>
    </row>
    <row r="7652" spans="1:9" hidden="1">
      <c r="A7652" s="11" t="s">
        <v>11260</v>
      </c>
      <c r="B7652" s="2" t="s">
        <v>13046</v>
      </c>
      <c r="C7652" s="2" t="s">
        <v>13047</v>
      </c>
      <c r="D7652" s="2"/>
      <c r="E7652" s="2">
        <v>1</v>
      </c>
      <c r="F7652" s="9"/>
      <c r="G7652" s="8">
        <f t="shared" si="238"/>
        <v>8.7517051601423503</v>
      </c>
      <c r="H7652" s="8">
        <v>8.3349572953736661</v>
      </c>
      <c r="I7652" s="19">
        <f t="shared" si="239"/>
        <v>0</v>
      </c>
    </row>
    <row r="7653" spans="1:9" hidden="1">
      <c r="A7653" s="11" t="s">
        <v>11260</v>
      </c>
      <c r="B7653" s="2" t="s">
        <v>13048</v>
      </c>
      <c r="C7653" s="2" t="s">
        <v>13049</v>
      </c>
      <c r="D7653" s="2"/>
      <c r="E7653" s="2">
        <v>1</v>
      </c>
      <c r="F7653" s="9"/>
      <c r="G7653" s="8">
        <f t="shared" si="238"/>
        <v>10.065036804942629</v>
      </c>
      <c r="H7653" s="8">
        <v>9.5857493380405998</v>
      </c>
      <c r="I7653" s="19">
        <f t="shared" si="239"/>
        <v>0</v>
      </c>
    </row>
    <row r="7654" spans="1:9" hidden="1">
      <c r="A7654" s="11" t="s">
        <v>11260</v>
      </c>
      <c r="B7654" s="2" t="s">
        <v>13050</v>
      </c>
      <c r="C7654" s="2" t="s">
        <v>13051</v>
      </c>
      <c r="D7654" s="2"/>
      <c r="E7654" s="2">
        <v>1</v>
      </c>
      <c r="F7654" s="9"/>
      <c r="G7654" s="8">
        <f t="shared" si="238"/>
        <v>9.0599045584045594</v>
      </c>
      <c r="H7654" s="8">
        <v>8.6284805318138655</v>
      </c>
      <c r="I7654" s="19">
        <f t="shared" si="239"/>
        <v>0</v>
      </c>
    </row>
    <row r="7655" spans="1:9" hidden="1">
      <c r="A7655" s="11" t="s">
        <v>11260</v>
      </c>
      <c r="B7655" s="2" t="s">
        <v>13052</v>
      </c>
      <c r="C7655" s="2" t="s">
        <v>13053</v>
      </c>
      <c r="D7655" s="2"/>
      <c r="E7655" s="2">
        <v>1</v>
      </c>
      <c r="F7655" s="9"/>
      <c r="G7655" s="8">
        <f t="shared" si="238"/>
        <v>8.3712380876494024</v>
      </c>
      <c r="H7655" s="8">
        <v>7.9726077025232405</v>
      </c>
      <c r="I7655" s="19">
        <f t="shared" si="239"/>
        <v>0</v>
      </c>
    </row>
    <row r="7656" spans="1:9" hidden="1">
      <c r="A7656" s="11" t="s">
        <v>11260</v>
      </c>
      <c r="B7656" s="2" t="s">
        <v>13054</v>
      </c>
      <c r="C7656" s="2" t="s">
        <v>13055</v>
      </c>
      <c r="D7656" s="2"/>
      <c r="E7656" s="2">
        <v>1</v>
      </c>
      <c r="F7656" s="9"/>
      <c r="G7656" s="8">
        <f t="shared" si="238"/>
        <v>12.796192635658915</v>
      </c>
      <c r="H7656" s="8">
        <v>12.186850129198968</v>
      </c>
      <c r="I7656" s="19">
        <f t="shared" si="239"/>
        <v>0</v>
      </c>
    </row>
    <row r="7657" spans="1:9" hidden="1">
      <c r="A7657" s="11" t="s">
        <v>11260</v>
      </c>
      <c r="B7657" s="2" t="s">
        <v>13056</v>
      </c>
      <c r="C7657" s="2" t="s">
        <v>13057</v>
      </c>
      <c r="D7657" s="2"/>
      <c r="E7657" s="2">
        <v>1</v>
      </c>
      <c r="F7657" s="9"/>
      <c r="G7657" s="8">
        <f t="shared" si="238"/>
        <v>15.218167864077669</v>
      </c>
      <c r="H7657" s="8">
        <v>14.493493203883494</v>
      </c>
      <c r="I7657" s="19">
        <f t="shared" si="239"/>
        <v>0</v>
      </c>
    </row>
    <row r="7658" spans="1:9" hidden="1">
      <c r="A7658" s="11" t="s">
        <v>11260</v>
      </c>
      <c r="B7658" s="2" t="s">
        <v>13058</v>
      </c>
      <c r="C7658" s="2" t="s">
        <v>13059</v>
      </c>
      <c r="D7658" s="2"/>
      <c r="E7658" s="2">
        <v>1</v>
      </c>
      <c r="F7658" s="9"/>
      <c r="G7658" s="8">
        <f t="shared" si="238"/>
        <v>0.85525263157894738</v>
      </c>
      <c r="H7658" s="8">
        <v>0.81452631578947365</v>
      </c>
      <c r="I7658" s="19">
        <f t="shared" si="239"/>
        <v>0</v>
      </c>
    </row>
    <row r="7659" spans="1:9" hidden="1">
      <c r="A7659" s="11" t="s">
        <v>11260</v>
      </c>
      <c r="B7659" s="2" t="s">
        <v>13060</v>
      </c>
      <c r="C7659" s="2" t="s">
        <v>13061</v>
      </c>
      <c r="D7659" s="2"/>
      <c r="E7659" s="2">
        <v>1</v>
      </c>
      <c r="F7659" s="9"/>
      <c r="G7659" s="8">
        <f t="shared" si="238"/>
        <v>1.042457</v>
      </c>
      <c r="H7659" s="8">
        <v>0.99281619047619052</v>
      </c>
      <c r="I7659" s="19">
        <f t="shared" si="239"/>
        <v>0</v>
      </c>
    </row>
    <row r="7660" spans="1:9" hidden="1">
      <c r="A7660" s="11" t="s">
        <v>11260</v>
      </c>
      <c r="B7660" s="2" t="s">
        <v>13062</v>
      </c>
      <c r="C7660" s="2" t="s">
        <v>13063</v>
      </c>
      <c r="D7660" s="2"/>
      <c r="E7660" s="2">
        <v>1</v>
      </c>
      <c r="F7660" s="9"/>
      <c r="G7660" s="8">
        <f t="shared" si="238"/>
        <v>3.9971117098445599</v>
      </c>
      <c r="H7660" s="8">
        <v>3.8067730569948188</v>
      </c>
      <c r="I7660" s="19">
        <f t="shared" si="239"/>
        <v>0</v>
      </c>
    </row>
    <row r="7661" spans="1:9" hidden="1">
      <c r="A7661" s="11" t="s">
        <v>11260</v>
      </c>
      <c r="B7661" s="2" t="s">
        <v>13064</v>
      </c>
      <c r="C7661" s="2" t="s">
        <v>13065</v>
      </c>
      <c r="D7661" s="2"/>
      <c r="E7661" s="2">
        <v>1</v>
      </c>
      <c r="F7661" s="9"/>
      <c r="G7661" s="8">
        <f t="shared" si="238"/>
        <v>3.9971117098445599</v>
      </c>
      <c r="H7661" s="8">
        <v>3.8067730569948188</v>
      </c>
      <c r="I7661" s="19">
        <f t="shared" si="239"/>
        <v>0</v>
      </c>
    </row>
    <row r="7662" spans="1:9">
      <c r="A7662" s="11" t="s">
        <v>11260</v>
      </c>
      <c r="B7662" s="2" t="s">
        <v>13066</v>
      </c>
      <c r="C7662" s="2" t="s">
        <v>13067</v>
      </c>
      <c r="D7662" s="2"/>
      <c r="E7662" s="2">
        <v>1</v>
      </c>
      <c r="F7662" s="9">
        <v>562</v>
      </c>
      <c r="G7662" s="8">
        <f t="shared" si="238"/>
        <v>3.9821080511811022</v>
      </c>
      <c r="H7662" s="8">
        <v>3.7924838582677163</v>
      </c>
      <c r="I7662" s="19">
        <f t="shared" si="239"/>
        <v>2237.9447247637795</v>
      </c>
    </row>
    <row r="7663" spans="1:9">
      <c r="A7663" s="11" t="s">
        <v>11260</v>
      </c>
      <c r="B7663" s="2" t="s">
        <v>13068</v>
      </c>
      <c r="C7663" s="2" t="s">
        <v>13069</v>
      </c>
      <c r="D7663" s="2"/>
      <c r="E7663" s="2">
        <v>1</v>
      </c>
      <c r="F7663" s="9">
        <v>558</v>
      </c>
      <c r="G7663" s="8">
        <f t="shared" si="238"/>
        <v>3.9821080511811022</v>
      </c>
      <c r="H7663" s="8">
        <v>3.7924838582677163</v>
      </c>
      <c r="I7663" s="19">
        <f t="shared" si="239"/>
        <v>2222.0162925590548</v>
      </c>
    </row>
    <row r="7664" spans="1:9">
      <c r="A7664" s="11" t="s">
        <v>11260</v>
      </c>
      <c r="B7664" s="2" t="s">
        <v>13070</v>
      </c>
      <c r="C7664" s="2" t="s">
        <v>13071</v>
      </c>
      <c r="D7664" s="2"/>
      <c r="E7664" s="2">
        <v>1</v>
      </c>
      <c r="F7664" s="9">
        <f>560+500</f>
        <v>1060</v>
      </c>
      <c r="G7664" s="8">
        <f t="shared" si="238"/>
        <v>4.3277487272727289</v>
      </c>
      <c r="H7664" s="8">
        <v>4.1216654545454556</v>
      </c>
      <c r="I7664" s="19">
        <f t="shared" si="239"/>
        <v>4587.4136509090922</v>
      </c>
    </row>
    <row r="7665" spans="1:9">
      <c r="A7665" s="11" t="s">
        <v>11260</v>
      </c>
      <c r="B7665" s="2" t="s">
        <v>13072</v>
      </c>
      <c r="C7665" s="2" t="s">
        <v>13071</v>
      </c>
      <c r="D7665" s="2"/>
      <c r="E7665" s="2">
        <v>1</v>
      </c>
      <c r="F7665" s="9">
        <f>561+500</f>
        <v>1061</v>
      </c>
      <c r="G7665" s="8">
        <f t="shared" si="238"/>
        <v>4.3277487272727289</v>
      </c>
      <c r="H7665" s="8">
        <v>4.1216654545454556</v>
      </c>
      <c r="I7665" s="19">
        <f t="shared" si="239"/>
        <v>4591.7413996363657</v>
      </c>
    </row>
    <row r="7666" spans="1:9" hidden="1">
      <c r="A7666" s="11" t="s">
        <v>11260</v>
      </c>
      <c r="B7666" s="2" t="s">
        <v>13073</v>
      </c>
      <c r="C7666" s="2" t="s">
        <v>13074</v>
      </c>
      <c r="D7666" s="2"/>
      <c r="E7666" s="2">
        <v>1</v>
      </c>
      <c r="F7666" s="9"/>
      <c r="G7666" s="8">
        <f t="shared" si="238"/>
        <v>6.0752877192982462</v>
      </c>
      <c r="H7666" s="8">
        <v>5.7859883040935678</v>
      </c>
      <c r="I7666" s="19">
        <f t="shared" si="239"/>
        <v>0</v>
      </c>
    </row>
    <row r="7667" spans="1:9" hidden="1">
      <c r="A7667" s="11" t="s">
        <v>11260</v>
      </c>
      <c r="B7667" s="2" t="s">
        <v>13075</v>
      </c>
      <c r="C7667" s="2" t="s">
        <v>13074</v>
      </c>
      <c r="D7667" s="2"/>
      <c r="E7667" s="2">
        <v>1</v>
      </c>
      <c r="F7667" s="9"/>
      <c r="G7667" s="8">
        <f t="shared" si="238"/>
        <v>6.0752877192982462</v>
      </c>
      <c r="H7667" s="8">
        <v>5.7859883040935678</v>
      </c>
      <c r="I7667" s="19">
        <f t="shared" si="239"/>
        <v>0</v>
      </c>
    </row>
    <row r="7668" spans="1:9">
      <c r="A7668" s="11" t="s">
        <v>11260</v>
      </c>
      <c r="B7668" s="2" t="s">
        <v>13076</v>
      </c>
      <c r="C7668" s="2" t="s">
        <v>13074</v>
      </c>
      <c r="D7668" s="2"/>
      <c r="E7668" s="2">
        <v>1</v>
      </c>
      <c r="F7668" s="9">
        <v>598</v>
      </c>
      <c r="G7668" s="8">
        <f t="shared" si="238"/>
        <v>4.6749716193656097</v>
      </c>
      <c r="H7668" s="8">
        <v>4.4523539232053428</v>
      </c>
      <c r="I7668" s="19">
        <f t="shared" si="239"/>
        <v>2795.6330283806346</v>
      </c>
    </row>
    <row r="7669" spans="1:9">
      <c r="A7669" s="11" t="s">
        <v>11260</v>
      </c>
      <c r="B7669" s="2" t="s">
        <v>13077</v>
      </c>
      <c r="C7669" s="2" t="s">
        <v>13074</v>
      </c>
      <c r="D7669" s="2"/>
      <c r="E7669" s="2">
        <v>1</v>
      </c>
      <c r="F7669" s="9">
        <v>680</v>
      </c>
      <c r="G7669" s="8">
        <f t="shared" si="238"/>
        <v>4.6749716193656097</v>
      </c>
      <c r="H7669" s="8">
        <v>4.4523539232053428</v>
      </c>
      <c r="I7669" s="19">
        <f t="shared" si="239"/>
        <v>3178.9807011686144</v>
      </c>
    </row>
    <row r="7670" spans="1:9">
      <c r="A7670" s="11" t="s">
        <v>11260</v>
      </c>
      <c r="B7670" s="2" t="s">
        <v>13078</v>
      </c>
      <c r="C7670" s="2" t="s">
        <v>13079</v>
      </c>
      <c r="D7670" s="2"/>
      <c r="E7670" s="2">
        <v>1</v>
      </c>
      <c r="F7670" s="9">
        <f>572+250</f>
        <v>822</v>
      </c>
      <c r="G7670" s="8">
        <f t="shared" si="238"/>
        <v>2.4534815789473692</v>
      </c>
      <c r="H7670" s="8">
        <v>2.3366491228070183</v>
      </c>
      <c r="I7670" s="19">
        <f t="shared" si="239"/>
        <v>2016.7618578947374</v>
      </c>
    </row>
    <row r="7671" spans="1:9">
      <c r="A7671" s="11" t="s">
        <v>11260</v>
      </c>
      <c r="B7671" s="2" t="s">
        <v>13080</v>
      </c>
      <c r="C7671" s="2" t="s">
        <v>13079</v>
      </c>
      <c r="D7671" s="2"/>
      <c r="E7671" s="2">
        <v>1</v>
      </c>
      <c r="F7671" s="9">
        <v>794</v>
      </c>
      <c r="G7671" s="8">
        <f t="shared" si="238"/>
        <v>2.4534815789473692</v>
      </c>
      <c r="H7671" s="8">
        <v>2.3366491228070183</v>
      </c>
      <c r="I7671" s="19">
        <f t="shared" si="239"/>
        <v>1948.0643736842112</v>
      </c>
    </row>
    <row r="7672" spans="1:9">
      <c r="A7672" s="11" t="s">
        <v>11260</v>
      </c>
      <c r="B7672" s="2" t="s">
        <v>13081</v>
      </c>
      <c r="C7672" s="2" t="s">
        <v>13082</v>
      </c>
      <c r="D7672" s="2"/>
      <c r="E7672" s="2">
        <v>1</v>
      </c>
      <c r="F7672" s="9">
        <v>622</v>
      </c>
      <c r="G7672" s="8">
        <f t="shared" si="238"/>
        <v>3.5678464285714284</v>
      </c>
      <c r="H7672" s="8">
        <v>3.3979489795918365</v>
      </c>
      <c r="I7672" s="19">
        <f t="shared" si="239"/>
        <v>2219.2004785714284</v>
      </c>
    </row>
    <row r="7673" spans="1:9">
      <c r="A7673" s="11" t="s">
        <v>11260</v>
      </c>
      <c r="B7673" s="2" t="s">
        <v>13083</v>
      </c>
      <c r="C7673" s="2" t="s">
        <v>13082</v>
      </c>
      <c r="D7673" s="2"/>
      <c r="E7673" s="2">
        <v>1</v>
      </c>
      <c r="F7673" s="9">
        <f>588+250</f>
        <v>838</v>
      </c>
      <c r="G7673" s="8">
        <f t="shared" si="238"/>
        <v>3.5678464285714284</v>
      </c>
      <c r="H7673" s="8">
        <v>3.3979489795918365</v>
      </c>
      <c r="I7673" s="19">
        <f t="shared" si="239"/>
        <v>2989.8553071428569</v>
      </c>
    </row>
    <row r="7674" spans="1:9">
      <c r="A7674" s="11" t="s">
        <v>11260</v>
      </c>
      <c r="B7674" s="2" t="s">
        <v>13084</v>
      </c>
      <c r="C7674" s="2" t="s">
        <v>13085</v>
      </c>
      <c r="D7674" s="2"/>
      <c r="E7674" s="2">
        <v>1</v>
      </c>
      <c r="F7674" s="9">
        <v>533</v>
      </c>
      <c r="G7674" s="8">
        <f t="shared" si="238"/>
        <v>2.8432869230769233</v>
      </c>
      <c r="H7674" s="8">
        <v>2.7078923076923078</v>
      </c>
      <c r="I7674" s="19">
        <f t="shared" si="239"/>
        <v>1515.4719300000002</v>
      </c>
    </row>
    <row r="7675" spans="1:9">
      <c r="A7675" s="11" t="s">
        <v>11260</v>
      </c>
      <c r="B7675" s="2" t="s">
        <v>13086</v>
      </c>
      <c r="C7675" s="2" t="s">
        <v>13085</v>
      </c>
      <c r="D7675" s="2"/>
      <c r="E7675" s="2">
        <v>1</v>
      </c>
      <c r="F7675" s="9">
        <v>525</v>
      </c>
      <c r="G7675" s="8">
        <f t="shared" si="238"/>
        <v>2.8432869230769233</v>
      </c>
      <c r="H7675" s="8">
        <v>2.7078923076923078</v>
      </c>
      <c r="I7675" s="19">
        <f t="shared" si="239"/>
        <v>1492.7256346153847</v>
      </c>
    </row>
    <row r="7676" spans="1:9">
      <c r="A7676" s="11" t="s">
        <v>11260</v>
      </c>
      <c r="B7676" s="2" t="s">
        <v>13087</v>
      </c>
      <c r="C7676" s="2" t="s">
        <v>13088</v>
      </c>
      <c r="D7676" s="2"/>
      <c r="E7676" s="2">
        <v>1</v>
      </c>
      <c r="F7676" s="9">
        <f>529+500</f>
        <v>1029</v>
      </c>
      <c r="G7676" s="8">
        <f t="shared" si="238"/>
        <v>4.0891988950276241</v>
      </c>
      <c r="H7676" s="8">
        <v>3.894475138121547</v>
      </c>
      <c r="I7676" s="19">
        <f t="shared" si="239"/>
        <v>4207.785662983425</v>
      </c>
    </row>
    <row r="7677" spans="1:9">
      <c r="A7677" s="11" t="s">
        <v>11260</v>
      </c>
      <c r="B7677" s="2" t="s">
        <v>13089</v>
      </c>
      <c r="C7677" s="2" t="s">
        <v>13090</v>
      </c>
      <c r="D7677" s="2"/>
      <c r="E7677" s="2">
        <v>1</v>
      </c>
      <c r="F7677" s="9">
        <v>1000</v>
      </c>
      <c r="G7677" s="8">
        <f t="shared" si="238"/>
        <v>4.0891988950276241</v>
      </c>
      <c r="H7677" s="8">
        <v>3.894475138121547</v>
      </c>
      <c r="I7677" s="19">
        <f t="shared" si="239"/>
        <v>4089.1988950276241</v>
      </c>
    </row>
    <row r="7678" spans="1:9">
      <c r="A7678" s="11" t="s">
        <v>11260</v>
      </c>
      <c r="B7678" s="2" t="s">
        <v>13091</v>
      </c>
      <c r="C7678" s="2" t="s">
        <v>13092</v>
      </c>
      <c r="D7678" s="2"/>
      <c r="E7678" s="2">
        <v>1</v>
      </c>
      <c r="F7678" s="9">
        <f>771+250</f>
        <v>1021</v>
      </c>
      <c r="G7678" s="8">
        <f t="shared" si="238"/>
        <v>2.9095929426433917</v>
      </c>
      <c r="H7678" s="8">
        <v>2.7710408977556114</v>
      </c>
      <c r="I7678" s="19">
        <f t="shared" si="239"/>
        <v>2970.6943944389031</v>
      </c>
    </row>
    <row r="7679" spans="1:9">
      <c r="A7679" s="11" t="s">
        <v>11260</v>
      </c>
      <c r="B7679" s="2" t="s">
        <v>13093</v>
      </c>
      <c r="C7679" s="2" t="s">
        <v>13092</v>
      </c>
      <c r="D7679" s="2"/>
      <c r="E7679" s="2">
        <v>1</v>
      </c>
      <c r="F7679" s="9">
        <v>171</v>
      </c>
      <c r="G7679" s="8">
        <f t="shared" si="238"/>
        <v>2.9095929426433917</v>
      </c>
      <c r="H7679" s="8">
        <v>2.7710408977556114</v>
      </c>
      <c r="I7679" s="19">
        <f t="shared" si="239"/>
        <v>497.54039319201996</v>
      </c>
    </row>
    <row r="7680" spans="1:9" hidden="1">
      <c r="A7680" s="11" t="s">
        <v>11260</v>
      </c>
      <c r="B7680" s="2" t="s">
        <v>13094</v>
      </c>
      <c r="C7680" s="2" t="s">
        <v>13095</v>
      </c>
      <c r="D7680" s="2"/>
      <c r="E7680" s="2">
        <v>1</v>
      </c>
      <c r="F7680" s="9"/>
      <c r="G7680" s="8">
        <f t="shared" si="238"/>
        <v>4.230166265060241</v>
      </c>
      <c r="H7680" s="8">
        <v>4.0287297762478484</v>
      </c>
      <c r="I7680" s="19">
        <f t="shared" si="239"/>
        <v>0</v>
      </c>
    </row>
    <row r="7681" spans="1:9">
      <c r="A7681" s="11" t="s">
        <v>11260</v>
      </c>
      <c r="B7681" s="2" t="s">
        <v>13096</v>
      </c>
      <c r="C7681" s="2" t="s">
        <v>13095</v>
      </c>
      <c r="D7681" s="2"/>
      <c r="E7681" s="2">
        <v>1</v>
      </c>
      <c r="F7681" s="9">
        <v>696</v>
      </c>
      <c r="G7681" s="8">
        <f t="shared" si="238"/>
        <v>4.230166265060241</v>
      </c>
      <c r="H7681" s="8">
        <v>4.0287297762478484</v>
      </c>
      <c r="I7681" s="19">
        <f t="shared" si="239"/>
        <v>2944.1957204819278</v>
      </c>
    </row>
    <row r="7682" spans="1:9">
      <c r="A7682" s="11" t="s">
        <v>11260</v>
      </c>
      <c r="B7682" s="2" t="s">
        <v>13097</v>
      </c>
      <c r="C7682" s="2" t="s">
        <v>13098</v>
      </c>
      <c r="D7682" s="2"/>
      <c r="E7682" s="2">
        <v>1</v>
      </c>
      <c r="F7682" s="9">
        <v>250</v>
      </c>
      <c r="G7682" s="8">
        <f t="shared" si="238"/>
        <v>4.1473543664383561</v>
      </c>
      <c r="H7682" s="8">
        <v>3.9498613013698627</v>
      </c>
      <c r="I7682" s="19">
        <f t="shared" si="239"/>
        <v>1036.838591609589</v>
      </c>
    </row>
    <row r="7683" spans="1:9" hidden="1">
      <c r="A7683" s="11" t="s">
        <v>11260</v>
      </c>
      <c r="B7683" s="2" t="s">
        <v>13099</v>
      </c>
      <c r="C7683" s="2" t="s">
        <v>13098</v>
      </c>
      <c r="D7683" s="2"/>
      <c r="E7683" s="2">
        <v>1</v>
      </c>
      <c r="F7683" s="9"/>
      <c r="G7683" s="8">
        <f t="shared" si="238"/>
        <v>4.1473543664383561</v>
      </c>
      <c r="H7683" s="8">
        <v>3.9498613013698627</v>
      </c>
      <c r="I7683" s="19">
        <f t="shared" si="239"/>
        <v>0</v>
      </c>
    </row>
    <row r="7684" spans="1:9" hidden="1">
      <c r="A7684" s="11" t="s">
        <v>11260</v>
      </c>
      <c r="B7684" s="2" t="s">
        <v>13100</v>
      </c>
      <c r="C7684" s="2" t="s">
        <v>13101</v>
      </c>
      <c r="D7684" s="2"/>
      <c r="E7684" s="2">
        <v>1</v>
      </c>
      <c r="F7684" s="9"/>
      <c r="G7684" s="8">
        <f t="shared" si="238"/>
        <v>2.3050515384615382</v>
      </c>
      <c r="H7684" s="8">
        <v>2.1952871794871793</v>
      </c>
      <c r="I7684" s="19">
        <f t="shared" si="239"/>
        <v>0</v>
      </c>
    </row>
    <row r="7685" spans="1:9" hidden="1">
      <c r="A7685" s="11" t="s">
        <v>11260</v>
      </c>
      <c r="B7685" s="2" t="s">
        <v>13102</v>
      </c>
      <c r="C7685" s="2" t="s">
        <v>13103</v>
      </c>
      <c r="D7685" s="2"/>
      <c r="E7685" s="2">
        <v>1</v>
      </c>
      <c r="F7685" s="9"/>
      <c r="G7685" s="8">
        <f t="shared" si="238"/>
        <v>2.3050515384615382</v>
      </c>
      <c r="H7685" s="8">
        <v>2.1952871794871793</v>
      </c>
      <c r="I7685" s="19">
        <f t="shared" si="239"/>
        <v>0</v>
      </c>
    </row>
    <row r="7686" spans="1:9" hidden="1">
      <c r="A7686" s="11" t="s">
        <v>11260</v>
      </c>
      <c r="B7686" s="2" t="s">
        <v>13104</v>
      </c>
      <c r="C7686" s="2" t="s">
        <v>13105</v>
      </c>
      <c r="D7686" s="2"/>
      <c r="E7686" s="2">
        <v>1</v>
      </c>
      <c r="F7686" s="9"/>
      <c r="G7686" s="8">
        <f t="shared" si="238"/>
        <v>2.6159337931034488</v>
      </c>
      <c r="H7686" s="8">
        <v>2.4913655172413796</v>
      </c>
      <c r="I7686" s="19">
        <f t="shared" si="239"/>
        <v>0</v>
      </c>
    </row>
    <row r="7687" spans="1:9" hidden="1">
      <c r="A7687" s="11" t="s">
        <v>11260</v>
      </c>
      <c r="B7687" s="2" t="s">
        <v>13106</v>
      </c>
      <c r="C7687" s="2" t="s">
        <v>13105</v>
      </c>
      <c r="D7687" s="2"/>
      <c r="E7687" s="2">
        <v>1</v>
      </c>
      <c r="F7687" s="9"/>
      <c r="G7687" s="8">
        <f t="shared" si="238"/>
        <v>2.6159337931034488</v>
      </c>
      <c r="H7687" s="8">
        <v>2.4913655172413796</v>
      </c>
      <c r="I7687" s="19">
        <f t="shared" si="239"/>
        <v>0</v>
      </c>
    </row>
    <row r="7688" spans="1:9" hidden="1">
      <c r="A7688" s="11" t="s">
        <v>11260</v>
      </c>
      <c r="B7688" s="2" t="s">
        <v>13107</v>
      </c>
      <c r="C7688" s="2" t="s">
        <v>13108</v>
      </c>
      <c r="D7688" s="2"/>
      <c r="E7688" s="2">
        <v>1</v>
      </c>
      <c r="F7688" s="9"/>
      <c r="G7688" s="8">
        <f t="shared" si="238"/>
        <v>1.847099568345324</v>
      </c>
      <c r="H7688" s="8">
        <v>1.7591424460431657</v>
      </c>
      <c r="I7688" s="19">
        <f t="shared" si="239"/>
        <v>0</v>
      </c>
    </row>
    <row r="7689" spans="1:9" hidden="1">
      <c r="A7689" s="11" t="s">
        <v>11260</v>
      </c>
      <c r="B7689" s="2" t="s">
        <v>13109</v>
      </c>
      <c r="C7689" s="2" t="s">
        <v>13108</v>
      </c>
      <c r="D7689" s="2"/>
      <c r="E7689" s="2">
        <v>1</v>
      </c>
      <c r="F7689" s="9"/>
      <c r="G7689" s="8">
        <f t="shared" si="238"/>
        <v>1.847099568345324</v>
      </c>
      <c r="H7689" s="8">
        <v>1.7591424460431657</v>
      </c>
      <c r="I7689" s="19">
        <f t="shared" si="239"/>
        <v>0</v>
      </c>
    </row>
    <row r="7690" spans="1:9" hidden="1">
      <c r="A7690" s="11" t="s">
        <v>11260</v>
      </c>
      <c r="B7690" s="2" t="s">
        <v>13110</v>
      </c>
      <c r="C7690" s="2" t="s">
        <v>13111</v>
      </c>
      <c r="D7690" s="2"/>
      <c r="E7690" s="2">
        <v>1</v>
      </c>
      <c r="F7690" s="9"/>
      <c r="G7690" s="8">
        <f t="shared" si="238"/>
        <v>2.5015411111111119</v>
      </c>
      <c r="H7690" s="8">
        <v>2.3824201058201067</v>
      </c>
      <c r="I7690" s="19">
        <f t="shared" si="239"/>
        <v>0</v>
      </c>
    </row>
    <row r="7691" spans="1:9" hidden="1">
      <c r="A7691" s="11" t="s">
        <v>11260</v>
      </c>
      <c r="B7691" s="2" t="s">
        <v>13112</v>
      </c>
      <c r="C7691" s="2" t="s">
        <v>13111</v>
      </c>
      <c r="D7691" s="2"/>
      <c r="E7691" s="2">
        <v>1</v>
      </c>
      <c r="F7691" s="9"/>
      <c r="G7691" s="8">
        <f t="shared" si="238"/>
        <v>2.5015411111111119</v>
      </c>
      <c r="H7691" s="8">
        <v>2.3824201058201067</v>
      </c>
      <c r="I7691" s="19">
        <f t="shared" si="239"/>
        <v>0</v>
      </c>
    </row>
    <row r="7692" spans="1:9" hidden="1">
      <c r="A7692" s="11" t="s">
        <v>11260</v>
      </c>
      <c r="B7692" s="2" t="s">
        <v>13113</v>
      </c>
      <c r="C7692" s="2" t="s">
        <v>13114</v>
      </c>
      <c r="D7692" s="2"/>
      <c r="E7692" s="2">
        <v>1</v>
      </c>
      <c r="F7692" s="9"/>
      <c r="G7692" s="8">
        <f t="shared" si="238"/>
        <v>4.4616185185185184</v>
      </c>
      <c r="H7692" s="8">
        <v>4.2491604938271603</v>
      </c>
      <c r="I7692" s="19">
        <f t="shared" si="239"/>
        <v>0</v>
      </c>
    </row>
    <row r="7693" spans="1:9" hidden="1">
      <c r="A7693" s="11" t="s">
        <v>11260</v>
      </c>
      <c r="B7693" s="2" t="s">
        <v>13115</v>
      </c>
      <c r="C7693" s="2" t="s">
        <v>13116</v>
      </c>
      <c r="D7693" s="2"/>
      <c r="E7693" s="2">
        <v>1</v>
      </c>
      <c r="F7693" s="9"/>
      <c r="G7693" s="8">
        <f t="shared" si="238"/>
        <v>4.4616185185185184</v>
      </c>
      <c r="H7693" s="8">
        <v>4.2491604938271603</v>
      </c>
      <c r="I7693" s="19">
        <f t="shared" si="239"/>
        <v>0</v>
      </c>
    </row>
    <row r="7694" spans="1:9" hidden="1">
      <c r="A7694" s="11" t="s">
        <v>11260</v>
      </c>
      <c r="B7694" s="2" t="s">
        <v>13117</v>
      </c>
      <c r="C7694" s="2" t="s">
        <v>13118</v>
      </c>
      <c r="D7694" s="2"/>
      <c r="E7694" s="2">
        <v>1</v>
      </c>
      <c r="F7694" s="9"/>
      <c r="G7694" s="8">
        <f t="shared" si="238"/>
        <v>2.0334510000000003</v>
      </c>
      <c r="H7694" s="8">
        <v>1.9366200000000002</v>
      </c>
      <c r="I7694" s="19">
        <f t="shared" si="239"/>
        <v>0</v>
      </c>
    </row>
    <row r="7695" spans="1:9" hidden="1">
      <c r="A7695" s="11" t="s">
        <v>11260</v>
      </c>
      <c r="B7695" s="2" t="s">
        <v>13119</v>
      </c>
      <c r="C7695" s="2" t="s">
        <v>13120</v>
      </c>
      <c r="D7695" s="2"/>
      <c r="E7695" s="2">
        <v>1</v>
      </c>
      <c r="F7695" s="9"/>
      <c r="G7695" s="8">
        <f t="shared" si="238"/>
        <v>2.0334510000000003</v>
      </c>
      <c r="H7695" s="8">
        <v>1.9366200000000002</v>
      </c>
      <c r="I7695" s="19">
        <f t="shared" si="239"/>
        <v>0</v>
      </c>
    </row>
    <row r="7696" spans="1:9" hidden="1">
      <c r="A7696" s="11" t="s">
        <v>11260</v>
      </c>
      <c r="B7696" s="2" t="s">
        <v>13121</v>
      </c>
      <c r="C7696" s="2" t="s">
        <v>13088</v>
      </c>
      <c r="D7696" s="2"/>
      <c r="E7696" s="2">
        <v>1</v>
      </c>
      <c r="F7696" s="9"/>
      <c r="G7696" s="8">
        <f t="shared" si="238"/>
        <v>3.0969225000000002</v>
      </c>
      <c r="H7696" s="8">
        <v>2.9494500000000001</v>
      </c>
      <c r="I7696" s="19">
        <f t="shared" si="239"/>
        <v>0</v>
      </c>
    </row>
    <row r="7697" spans="1:9" hidden="1">
      <c r="A7697" s="11" t="s">
        <v>11260</v>
      </c>
      <c r="B7697" s="2" t="s">
        <v>13122</v>
      </c>
      <c r="C7697" s="2" t="s">
        <v>13090</v>
      </c>
      <c r="D7697" s="2"/>
      <c r="E7697" s="2">
        <v>1</v>
      </c>
      <c r="F7697" s="9"/>
      <c r="G7697" s="8">
        <f t="shared" si="238"/>
        <v>3.0969225000000002</v>
      </c>
      <c r="H7697" s="8">
        <v>2.9494500000000001</v>
      </c>
      <c r="I7697" s="19">
        <f t="shared" si="239"/>
        <v>0</v>
      </c>
    </row>
    <row r="7698" spans="1:9" hidden="1">
      <c r="A7698" s="11" t="s">
        <v>11260</v>
      </c>
      <c r="B7698" s="2" t="s">
        <v>13123</v>
      </c>
      <c r="C7698" s="2" t="s">
        <v>13124</v>
      </c>
      <c r="D7698" s="2"/>
      <c r="E7698" s="2">
        <v>1</v>
      </c>
      <c r="F7698" s="9"/>
      <c r="G7698" s="8">
        <f t="shared" si="238"/>
        <v>2.6284817232375981</v>
      </c>
      <c r="H7698" s="8">
        <v>2.5033159268929506</v>
      </c>
      <c r="I7698" s="19">
        <f t="shared" si="239"/>
        <v>0</v>
      </c>
    </row>
    <row r="7699" spans="1:9" hidden="1">
      <c r="A7699" s="11" t="s">
        <v>11260</v>
      </c>
      <c r="B7699" s="2" t="s">
        <v>13125</v>
      </c>
      <c r="C7699" s="2" t="s">
        <v>13124</v>
      </c>
      <c r="D7699" s="2"/>
      <c r="E7699" s="2">
        <v>1</v>
      </c>
      <c r="F7699" s="9"/>
      <c r="G7699" s="8">
        <f t="shared" si="238"/>
        <v>2.6284817232375981</v>
      </c>
      <c r="H7699" s="8">
        <v>2.5033159268929506</v>
      </c>
      <c r="I7699" s="19">
        <f t="shared" si="239"/>
        <v>0</v>
      </c>
    </row>
    <row r="7700" spans="1:9" hidden="1">
      <c r="A7700" s="11" t="s">
        <v>11260</v>
      </c>
      <c r="B7700" s="2" t="s">
        <v>13126</v>
      </c>
      <c r="C7700" s="2" t="s">
        <v>13127</v>
      </c>
      <c r="D7700" s="2"/>
      <c r="E7700" s="2">
        <v>1</v>
      </c>
      <c r="F7700" s="9"/>
      <c r="G7700" s="8">
        <f t="shared" ref="G7700:G7763" si="240">H7700+(H7700*5%)</f>
        <v>2.9947751489361703</v>
      </c>
      <c r="H7700" s="8">
        <v>2.8521668085106384</v>
      </c>
      <c r="I7700" s="19">
        <f t="shared" ref="I7700:I7763" si="241">G7700*F7700</f>
        <v>0</v>
      </c>
    </row>
    <row r="7701" spans="1:9" hidden="1">
      <c r="A7701" s="11" t="s">
        <v>11260</v>
      </c>
      <c r="B7701" s="2" t="s">
        <v>13128</v>
      </c>
      <c r="C7701" s="2" t="s">
        <v>13127</v>
      </c>
      <c r="D7701" s="2"/>
      <c r="E7701" s="2">
        <v>1</v>
      </c>
      <c r="F7701" s="9"/>
      <c r="G7701" s="8">
        <f t="shared" si="240"/>
        <v>2.9947751489361703</v>
      </c>
      <c r="H7701" s="8">
        <v>2.8521668085106384</v>
      </c>
      <c r="I7701" s="19">
        <f t="shared" si="241"/>
        <v>0</v>
      </c>
    </row>
    <row r="7702" spans="1:9" hidden="1">
      <c r="A7702" s="11" t="s">
        <v>11260</v>
      </c>
      <c r="B7702" s="2" t="s">
        <v>13129</v>
      </c>
      <c r="C7702" s="2" t="s">
        <v>13130</v>
      </c>
      <c r="D7702" s="2"/>
      <c r="E7702" s="2">
        <v>1</v>
      </c>
      <c r="F7702" s="9"/>
      <c r="G7702" s="8">
        <f t="shared" si="240"/>
        <v>2.2317903738317755</v>
      </c>
      <c r="H7702" s="8">
        <v>2.1255146417445481</v>
      </c>
      <c r="I7702" s="19">
        <f t="shared" si="241"/>
        <v>0</v>
      </c>
    </row>
    <row r="7703" spans="1:9" hidden="1">
      <c r="A7703" s="11" t="s">
        <v>11260</v>
      </c>
      <c r="B7703" s="2" t="s">
        <v>13131</v>
      </c>
      <c r="C7703" s="2" t="s">
        <v>13130</v>
      </c>
      <c r="D7703" s="2"/>
      <c r="E7703" s="2">
        <v>1</v>
      </c>
      <c r="F7703" s="9"/>
      <c r="G7703" s="8">
        <f t="shared" si="240"/>
        <v>2.2317903738317755</v>
      </c>
      <c r="H7703" s="8">
        <v>2.1255146417445481</v>
      </c>
      <c r="I7703" s="19">
        <f t="shared" si="241"/>
        <v>0</v>
      </c>
    </row>
    <row r="7704" spans="1:9" hidden="1">
      <c r="A7704" s="11" t="s">
        <v>11260</v>
      </c>
      <c r="B7704" s="2" t="s">
        <v>13132</v>
      </c>
      <c r="C7704" s="2" t="s">
        <v>13133</v>
      </c>
      <c r="D7704" s="2"/>
      <c r="E7704" s="2">
        <v>1</v>
      </c>
      <c r="F7704" s="9"/>
      <c r="G7704" s="8">
        <f t="shared" si="240"/>
        <v>3.0371864864864868</v>
      </c>
      <c r="H7704" s="8">
        <v>2.8925585585585587</v>
      </c>
      <c r="I7704" s="19">
        <f t="shared" si="241"/>
        <v>0</v>
      </c>
    </row>
    <row r="7705" spans="1:9" hidden="1">
      <c r="A7705" s="11" t="s">
        <v>11260</v>
      </c>
      <c r="B7705" s="2" t="s">
        <v>13134</v>
      </c>
      <c r="C7705" s="2" t="s">
        <v>13135</v>
      </c>
      <c r="D7705" s="2"/>
      <c r="E7705" s="2">
        <v>1</v>
      </c>
      <c r="F7705" s="9"/>
      <c r="G7705" s="8">
        <f t="shared" si="240"/>
        <v>3.0371864864864868</v>
      </c>
      <c r="H7705" s="8">
        <v>2.8925585585585587</v>
      </c>
      <c r="I7705" s="19">
        <f t="shared" si="241"/>
        <v>0</v>
      </c>
    </row>
    <row r="7706" spans="1:9" hidden="1">
      <c r="A7706" s="11" t="s">
        <v>11260</v>
      </c>
      <c r="B7706" s="2" t="s">
        <v>13136</v>
      </c>
      <c r="C7706" s="2" t="s">
        <v>13098</v>
      </c>
      <c r="D7706" s="2"/>
      <c r="E7706" s="2">
        <v>1</v>
      </c>
      <c r="F7706" s="9"/>
      <c r="G7706" s="8">
        <f t="shared" si="240"/>
        <v>3.0618630000000002</v>
      </c>
      <c r="H7706" s="8">
        <v>2.9160600000000003</v>
      </c>
      <c r="I7706" s="19">
        <f t="shared" si="241"/>
        <v>0</v>
      </c>
    </row>
    <row r="7707" spans="1:9" hidden="1">
      <c r="A7707" s="11" t="s">
        <v>11260</v>
      </c>
      <c r="B7707" s="2" t="s">
        <v>13137</v>
      </c>
      <c r="C7707" s="2" t="s">
        <v>13098</v>
      </c>
      <c r="D7707" s="2"/>
      <c r="E7707" s="2">
        <v>1</v>
      </c>
      <c r="F7707" s="9"/>
      <c r="G7707" s="8">
        <f t="shared" si="240"/>
        <v>3.0618630000000002</v>
      </c>
      <c r="H7707" s="8">
        <v>2.9160600000000003</v>
      </c>
      <c r="I7707" s="19">
        <f t="shared" si="241"/>
        <v>0</v>
      </c>
    </row>
    <row r="7708" spans="1:9" hidden="1">
      <c r="A7708" s="11" t="s">
        <v>11260</v>
      </c>
      <c r="B7708" s="2" t="s">
        <v>13138</v>
      </c>
      <c r="C7708" s="2" t="s">
        <v>13098</v>
      </c>
      <c r="D7708" s="2"/>
      <c r="E7708" s="2">
        <v>1</v>
      </c>
      <c r="F7708" s="9"/>
      <c r="G7708" s="8">
        <f t="shared" si="240"/>
        <v>3.1670415000000003</v>
      </c>
      <c r="H7708" s="8">
        <v>3.0162300000000002</v>
      </c>
      <c r="I7708" s="19">
        <f t="shared" si="241"/>
        <v>0</v>
      </c>
    </row>
    <row r="7709" spans="1:9" hidden="1">
      <c r="A7709" s="11" t="s">
        <v>11260</v>
      </c>
      <c r="B7709" s="2" t="s">
        <v>13139</v>
      </c>
      <c r="C7709" s="2" t="s">
        <v>13098</v>
      </c>
      <c r="D7709" s="2"/>
      <c r="E7709" s="2">
        <v>1</v>
      </c>
      <c r="F7709" s="9"/>
      <c r="G7709" s="8">
        <f t="shared" si="240"/>
        <v>3.1670415000000003</v>
      </c>
      <c r="H7709" s="8">
        <v>3.0162300000000002</v>
      </c>
      <c r="I7709" s="19">
        <f t="shared" si="241"/>
        <v>0</v>
      </c>
    </row>
    <row r="7710" spans="1:9" hidden="1">
      <c r="A7710" s="11" t="s">
        <v>11260</v>
      </c>
      <c r="B7710" s="2" t="s">
        <v>13140</v>
      </c>
      <c r="C7710" s="2" t="s">
        <v>13141</v>
      </c>
      <c r="D7710" s="2"/>
      <c r="E7710" s="2">
        <v>1</v>
      </c>
      <c r="F7710" s="9"/>
      <c r="G7710" s="8">
        <f t="shared" si="240"/>
        <v>6.4148386082474236</v>
      </c>
      <c r="H7710" s="8">
        <v>6.1093701030927843</v>
      </c>
      <c r="I7710" s="19">
        <f t="shared" si="241"/>
        <v>0</v>
      </c>
    </row>
    <row r="7711" spans="1:9" hidden="1">
      <c r="A7711" s="11" t="s">
        <v>11260</v>
      </c>
      <c r="B7711" s="2" t="s">
        <v>13142</v>
      </c>
      <c r="C7711" s="2" t="s">
        <v>13141</v>
      </c>
      <c r="D7711" s="2"/>
      <c r="E7711" s="2">
        <v>1</v>
      </c>
      <c r="F7711" s="9"/>
      <c r="G7711" s="8">
        <f t="shared" si="240"/>
        <v>6.4148386082474236</v>
      </c>
      <c r="H7711" s="8">
        <v>6.1093701030927843</v>
      </c>
      <c r="I7711" s="19">
        <f t="shared" si="241"/>
        <v>0</v>
      </c>
    </row>
    <row r="7712" spans="1:9" hidden="1">
      <c r="A7712" s="11" t="s">
        <v>11260</v>
      </c>
      <c r="B7712" s="2" t="s">
        <v>13143</v>
      </c>
      <c r="C7712" s="2" t="s">
        <v>13141</v>
      </c>
      <c r="D7712" s="2"/>
      <c r="E7712" s="2">
        <v>1</v>
      </c>
      <c r="F7712" s="9"/>
      <c r="G7712" s="8">
        <f t="shared" si="240"/>
        <v>3.8401370200573059</v>
      </c>
      <c r="H7712" s="8">
        <v>3.6572733524355296</v>
      </c>
      <c r="I7712" s="19">
        <f t="shared" si="241"/>
        <v>0</v>
      </c>
    </row>
    <row r="7713" spans="1:9" hidden="1">
      <c r="A7713" s="11" t="s">
        <v>11260</v>
      </c>
      <c r="B7713" s="2" t="s">
        <v>13144</v>
      </c>
      <c r="C7713" s="2" t="s">
        <v>13145</v>
      </c>
      <c r="D7713" s="2"/>
      <c r="E7713" s="2">
        <v>1</v>
      </c>
      <c r="F7713" s="9"/>
      <c r="G7713" s="8">
        <f t="shared" si="240"/>
        <v>4.1061621774193551</v>
      </c>
      <c r="H7713" s="8">
        <v>3.9106306451612904</v>
      </c>
      <c r="I7713" s="19">
        <f t="shared" si="241"/>
        <v>0</v>
      </c>
    </row>
    <row r="7714" spans="1:9" hidden="1">
      <c r="A7714" s="11" t="s">
        <v>11260</v>
      </c>
      <c r="B7714" s="2" t="s">
        <v>13146</v>
      </c>
      <c r="C7714" s="2" t="s">
        <v>13147</v>
      </c>
      <c r="D7714" s="2"/>
      <c r="E7714" s="2">
        <v>1</v>
      </c>
      <c r="F7714" s="9"/>
      <c r="G7714" s="8">
        <f t="shared" si="240"/>
        <v>4.1061621774193551</v>
      </c>
      <c r="H7714" s="8">
        <v>3.9106306451612904</v>
      </c>
      <c r="I7714" s="19">
        <f t="shared" si="241"/>
        <v>0</v>
      </c>
    </row>
    <row r="7715" spans="1:9" hidden="1">
      <c r="A7715" s="11" t="s">
        <v>11260</v>
      </c>
      <c r="B7715" s="2" t="s">
        <v>13148</v>
      </c>
      <c r="C7715" s="2" t="s">
        <v>13149</v>
      </c>
      <c r="D7715" s="2"/>
      <c r="E7715" s="2">
        <v>1</v>
      </c>
      <c r="F7715" s="9"/>
      <c r="G7715" s="8">
        <f t="shared" si="240"/>
        <v>6.2262795929203536</v>
      </c>
      <c r="H7715" s="8">
        <v>5.929790088495575</v>
      </c>
      <c r="I7715" s="19">
        <f t="shared" si="241"/>
        <v>0</v>
      </c>
    </row>
    <row r="7716" spans="1:9" hidden="1">
      <c r="A7716" s="11" t="s">
        <v>11260</v>
      </c>
      <c r="B7716" s="2" t="s">
        <v>13150</v>
      </c>
      <c r="C7716" s="2" t="s">
        <v>13151</v>
      </c>
      <c r="D7716" s="2"/>
      <c r="E7716" s="2">
        <v>1</v>
      </c>
      <c r="F7716" s="9"/>
      <c r="G7716" s="8">
        <f t="shared" si="240"/>
        <v>6.2262795929203536</v>
      </c>
      <c r="H7716" s="8">
        <v>5.929790088495575</v>
      </c>
      <c r="I7716" s="19">
        <f t="shared" si="241"/>
        <v>0</v>
      </c>
    </row>
    <row r="7717" spans="1:9" hidden="1">
      <c r="A7717" s="11" t="s">
        <v>11260</v>
      </c>
      <c r="B7717" s="2" t="s">
        <v>13152</v>
      </c>
      <c r="C7717" s="2" t="s">
        <v>13153</v>
      </c>
      <c r="D7717" s="2"/>
      <c r="E7717" s="2">
        <v>1</v>
      </c>
      <c r="F7717" s="9"/>
      <c r="G7717" s="8">
        <f t="shared" si="240"/>
        <v>2.9524816791044777</v>
      </c>
      <c r="H7717" s="8">
        <v>2.8118873134328357</v>
      </c>
      <c r="I7717" s="19">
        <f t="shared" si="241"/>
        <v>0</v>
      </c>
    </row>
    <row r="7718" spans="1:9" hidden="1">
      <c r="A7718" s="11" t="s">
        <v>11260</v>
      </c>
      <c r="B7718" s="2" t="s">
        <v>13154</v>
      </c>
      <c r="C7718" s="2" t="s">
        <v>13153</v>
      </c>
      <c r="D7718" s="2"/>
      <c r="E7718" s="2">
        <v>1</v>
      </c>
      <c r="F7718" s="9"/>
      <c r="G7718" s="8">
        <f t="shared" si="240"/>
        <v>2.9524816791044777</v>
      </c>
      <c r="H7718" s="8">
        <v>2.8118873134328357</v>
      </c>
      <c r="I7718" s="19">
        <f t="shared" si="241"/>
        <v>0</v>
      </c>
    </row>
    <row r="7719" spans="1:9" hidden="1">
      <c r="A7719" s="11" t="s">
        <v>11260</v>
      </c>
      <c r="B7719" s="2" t="s">
        <v>13155</v>
      </c>
      <c r="C7719" s="2" t="s">
        <v>13156</v>
      </c>
      <c r="D7719" s="2"/>
      <c r="E7719" s="2">
        <v>1</v>
      </c>
      <c r="F7719" s="9"/>
      <c r="G7719" s="8">
        <f t="shared" si="240"/>
        <v>3.7954913043478271</v>
      </c>
      <c r="H7719" s="8">
        <v>3.6147536231884065</v>
      </c>
      <c r="I7719" s="19">
        <f t="shared" si="241"/>
        <v>0</v>
      </c>
    </row>
    <row r="7720" spans="1:9" hidden="1">
      <c r="A7720" s="11" t="s">
        <v>11260</v>
      </c>
      <c r="B7720" s="2" t="s">
        <v>13157</v>
      </c>
      <c r="C7720" s="2" t="s">
        <v>13158</v>
      </c>
      <c r="D7720" s="2"/>
      <c r="E7720" s="2">
        <v>1</v>
      </c>
      <c r="F7720" s="9"/>
      <c r="G7720" s="8">
        <f t="shared" si="240"/>
        <v>3.3184409302325588</v>
      </c>
      <c r="H7720" s="8">
        <v>3.160419933554818</v>
      </c>
      <c r="I7720" s="19">
        <f t="shared" si="241"/>
        <v>0</v>
      </c>
    </row>
    <row r="7721" spans="1:9" hidden="1">
      <c r="A7721" s="11" t="s">
        <v>11260</v>
      </c>
      <c r="B7721" s="2" t="s">
        <v>13159</v>
      </c>
      <c r="C7721" s="2" t="s">
        <v>13160</v>
      </c>
      <c r="D7721" s="2"/>
      <c r="E7721" s="2">
        <v>1</v>
      </c>
      <c r="F7721" s="9"/>
      <c r="G7721" s="8">
        <f t="shared" si="240"/>
        <v>4.5279283170731714</v>
      </c>
      <c r="H7721" s="8">
        <v>4.3123126829268301</v>
      </c>
      <c r="I7721" s="19">
        <f t="shared" si="241"/>
        <v>0</v>
      </c>
    </row>
    <row r="7722" spans="1:9" hidden="1">
      <c r="A7722" s="11" t="s">
        <v>11260</v>
      </c>
      <c r="B7722" s="2" t="s">
        <v>13161</v>
      </c>
      <c r="C7722" s="2" t="s">
        <v>13162</v>
      </c>
      <c r="D7722" s="2"/>
      <c r="E7722" s="2">
        <v>1</v>
      </c>
      <c r="F7722" s="9"/>
      <c r="G7722" s="8">
        <f t="shared" si="240"/>
        <v>4.5279283170731714</v>
      </c>
      <c r="H7722" s="8">
        <v>4.3123126829268301</v>
      </c>
      <c r="I7722" s="19">
        <f t="shared" si="241"/>
        <v>0</v>
      </c>
    </row>
    <row r="7723" spans="1:9" hidden="1">
      <c r="A7723" s="11" t="s">
        <v>11260</v>
      </c>
      <c r="B7723" s="2" t="s">
        <v>13163</v>
      </c>
      <c r="C7723" s="2" t="s">
        <v>13164</v>
      </c>
      <c r="D7723" s="2"/>
      <c r="E7723" s="2">
        <v>1</v>
      </c>
      <c r="F7723" s="9"/>
      <c r="G7723" s="8">
        <f t="shared" si="240"/>
        <v>4.9069892925430221</v>
      </c>
      <c r="H7723" s="8">
        <v>4.6733231357552594</v>
      </c>
      <c r="I7723" s="19">
        <f t="shared" si="241"/>
        <v>0</v>
      </c>
    </row>
    <row r="7724" spans="1:9" hidden="1">
      <c r="A7724" s="11" t="s">
        <v>11260</v>
      </c>
      <c r="B7724" s="2" t="s">
        <v>13165</v>
      </c>
      <c r="C7724" s="2" t="s">
        <v>13166</v>
      </c>
      <c r="D7724" s="2"/>
      <c r="E7724" s="2">
        <v>1</v>
      </c>
      <c r="F7724" s="9"/>
      <c r="G7724" s="8">
        <f t="shared" si="240"/>
        <v>4.9069892925430221</v>
      </c>
      <c r="H7724" s="8">
        <v>4.6733231357552594</v>
      </c>
      <c r="I7724" s="19">
        <f t="shared" si="241"/>
        <v>0</v>
      </c>
    </row>
    <row r="7725" spans="1:9" hidden="1">
      <c r="A7725" s="11" t="s">
        <v>11260</v>
      </c>
      <c r="B7725" s="2" t="s">
        <v>13167</v>
      </c>
      <c r="C7725" s="2" t="s">
        <v>13168</v>
      </c>
      <c r="D7725" s="2"/>
      <c r="E7725" s="2">
        <v>1</v>
      </c>
      <c r="F7725" s="9"/>
      <c r="G7725" s="8">
        <f t="shared" si="240"/>
        <v>5.8815059706362156</v>
      </c>
      <c r="H7725" s="8">
        <v>5.6014342577487763</v>
      </c>
      <c r="I7725" s="19">
        <f t="shared" si="241"/>
        <v>0</v>
      </c>
    </row>
    <row r="7726" spans="1:9" hidden="1">
      <c r="A7726" s="11" t="s">
        <v>11260</v>
      </c>
      <c r="B7726" s="2" t="s">
        <v>13169</v>
      </c>
      <c r="C7726" s="2" t="s">
        <v>13170</v>
      </c>
      <c r="D7726" s="2"/>
      <c r="E7726" s="2">
        <v>1</v>
      </c>
      <c r="F7726" s="9"/>
      <c r="G7726" s="8">
        <f t="shared" si="240"/>
        <v>5.8815059706362156</v>
      </c>
      <c r="H7726" s="8">
        <v>5.6014342577487763</v>
      </c>
      <c r="I7726" s="19">
        <f t="shared" si="241"/>
        <v>0</v>
      </c>
    </row>
    <row r="7727" spans="1:9" hidden="1">
      <c r="A7727" s="11" t="s">
        <v>11260</v>
      </c>
      <c r="B7727" s="2" t="s">
        <v>13171</v>
      </c>
      <c r="C7727" s="2" t="s">
        <v>13172</v>
      </c>
      <c r="D7727" s="2"/>
      <c r="E7727" s="2">
        <v>1</v>
      </c>
      <c r="F7727" s="9"/>
      <c r="G7727" s="8">
        <f t="shared" si="240"/>
        <v>3.7841186106032914</v>
      </c>
      <c r="H7727" s="8">
        <v>3.603922486288849</v>
      </c>
      <c r="I7727" s="19">
        <f t="shared" si="241"/>
        <v>0</v>
      </c>
    </row>
    <row r="7728" spans="1:9" hidden="1">
      <c r="A7728" s="11" t="s">
        <v>11260</v>
      </c>
      <c r="B7728" s="2" t="s">
        <v>13173</v>
      </c>
      <c r="C7728" s="2" t="s">
        <v>13174</v>
      </c>
      <c r="D7728" s="2"/>
      <c r="E7728" s="2">
        <v>1</v>
      </c>
      <c r="F7728" s="9"/>
      <c r="G7728" s="8">
        <f t="shared" si="240"/>
        <v>3.7841186106032914</v>
      </c>
      <c r="H7728" s="8">
        <v>3.603922486288849</v>
      </c>
      <c r="I7728" s="19">
        <f t="shared" si="241"/>
        <v>0</v>
      </c>
    </row>
    <row r="7729" spans="1:9" hidden="1">
      <c r="A7729" s="11" t="s">
        <v>11260</v>
      </c>
      <c r="B7729" s="2" t="s">
        <v>13175</v>
      </c>
      <c r="C7729" s="2" t="s">
        <v>13176</v>
      </c>
      <c r="D7729" s="2"/>
      <c r="E7729" s="2">
        <v>1</v>
      </c>
      <c r="F7729" s="9"/>
      <c r="G7729" s="8">
        <f t="shared" si="240"/>
        <v>2.59368052631579</v>
      </c>
      <c r="H7729" s="8">
        <v>2.4701719298245619</v>
      </c>
      <c r="I7729" s="19">
        <f t="shared" si="241"/>
        <v>0</v>
      </c>
    </row>
    <row r="7730" spans="1:9" hidden="1">
      <c r="A7730" s="11" t="s">
        <v>11260</v>
      </c>
      <c r="B7730" s="2" t="s">
        <v>13177</v>
      </c>
      <c r="C7730" s="2" t="s">
        <v>13178</v>
      </c>
      <c r="D7730" s="2"/>
      <c r="E7730" s="2">
        <v>1</v>
      </c>
      <c r="F7730" s="9"/>
      <c r="G7730" s="8">
        <f t="shared" si="240"/>
        <v>2.59368052631579</v>
      </c>
      <c r="H7730" s="8">
        <v>2.4701719298245619</v>
      </c>
      <c r="I7730" s="19">
        <f t="shared" si="241"/>
        <v>0</v>
      </c>
    </row>
    <row r="7731" spans="1:9" hidden="1">
      <c r="A7731" s="11" t="s">
        <v>11260</v>
      </c>
      <c r="B7731" s="2" t="s">
        <v>13179</v>
      </c>
      <c r="C7731" s="2" t="s">
        <v>13180</v>
      </c>
      <c r="D7731" s="2"/>
      <c r="E7731" s="2">
        <v>1</v>
      </c>
      <c r="F7731" s="9"/>
      <c r="G7731" s="8">
        <f t="shared" si="240"/>
        <v>3.620335318275155</v>
      </c>
      <c r="H7731" s="8">
        <v>3.4479383983572904</v>
      </c>
      <c r="I7731" s="19">
        <f t="shared" si="241"/>
        <v>0</v>
      </c>
    </row>
    <row r="7732" spans="1:9" hidden="1">
      <c r="A7732" s="11" t="s">
        <v>11260</v>
      </c>
      <c r="B7732" s="2" t="s">
        <v>13181</v>
      </c>
      <c r="C7732" s="2" t="s">
        <v>13182</v>
      </c>
      <c r="D7732" s="2"/>
      <c r="E7732" s="2">
        <v>1</v>
      </c>
      <c r="F7732" s="9"/>
      <c r="G7732" s="8">
        <f t="shared" si="240"/>
        <v>3.620335318275155</v>
      </c>
      <c r="H7732" s="8">
        <v>3.4479383983572904</v>
      </c>
      <c r="I7732" s="19">
        <f t="shared" si="241"/>
        <v>0</v>
      </c>
    </row>
    <row r="7733" spans="1:9" hidden="1">
      <c r="A7733" s="11" t="s">
        <v>11260</v>
      </c>
      <c r="B7733" s="2" t="s">
        <v>13183</v>
      </c>
      <c r="C7733" s="2" t="s">
        <v>13184</v>
      </c>
      <c r="D7733" s="2"/>
      <c r="E7733" s="2">
        <v>1</v>
      </c>
      <c r="F7733" s="9"/>
      <c r="G7733" s="8">
        <f t="shared" si="240"/>
        <v>4.4298888963210699</v>
      </c>
      <c r="H7733" s="8">
        <v>4.2189418060200667</v>
      </c>
      <c r="I7733" s="19">
        <f t="shared" si="241"/>
        <v>0</v>
      </c>
    </row>
    <row r="7734" spans="1:9" hidden="1">
      <c r="A7734" s="11" t="s">
        <v>11260</v>
      </c>
      <c r="B7734" s="2" t="s">
        <v>13185</v>
      </c>
      <c r="C7734" s="2" t="s">
        <v>13186</v>
      </c>
      <c r="D7734" s="2"/>
      <c r="E7734" s="2">
        <v>1</v>
      </c>
      <c r="F7734" s="9"/>
      <c r="G7734" s="8">
        <f t="shared" si="240"/>
        <v>4.4298888963210699</v>
      </c>
      <c r="H7734" s="8">
        <v>4.2189418060200667</v>
      </c>
      <c r="I7734" s="19">
        <f t="shared" si="241"/>
        <v>0</v>
      </c>
    </row>
    <row r="7735" spans="1:9" hidden="1">
      <c r="A7735" s="11" t="s">
        <v>11260</v>
      </c>
      <c r="B7735" s="2" t="s">
        <v>13187</v>
      </c>
      <c r="C7735" s="2" t="s">
        <v>13188</v>
      </c>
      <c r="D7735" s="2"/>
      <c r="E7735" s="2">
        <v>1</v>
      </c>
      <c r="F7735" s="9"/>
      <c r="G7735" s="8">
        <f t="shared" si="240"/>
        <v>2.8411854545454549</v>
      </c>
      <c r="H7735" s="8">
        <v>2.7058909090909093</v>
      </c>
      <c r="I7735" s="19">
        <f t="shared" si="241"/>
        <v>0</v>
      </c>
    </row>
    <row r="7736" spans="1:9" hidden="1">
      <c r="A7736" s="11" t="s">
        <v>11260</v>
      </c>
      <c r="B7736" s="2" t="s">
        <v>13189</v>
      </c>
      <c r="C7736" s="2" t="s">
        <v>13190</v>
      </c>
      <c r="D7736" s="2"/>
      <c r="E7736" s="2">
        <v>1</v>
      </c>
      <c r="F7736" s="9"/>
      <c r="G7736" s="8">
        <f t="shared" si="240"/>
        <v>2.8411854545454549</v>
      </c>
      <c r="H7736" s="8">
        <v>2.7058909090909093</v>
      </c>
      <c r="I7736" s="19">
        <f t="shared" si="241"/>
        <v>0</v>
      </c>
    </row>
    <row r="7737" spans="1:9" hidden="1">
      <c r="A7737" s="11" t="s">
        <v>11260</v>
      </c>
      <c r="B7737" s="2" t="s">
        <v>13191</v>
      </c>
      <c r="C7737" s="2" t="s">
        <v>13192</v>
      </c>
      <c r="D7737" s="2"/>
      <c r="E7737" s="2">
        <v>1</v>
      </c>
      <c r="F7737" s="9"/>
      <c r="G7737" s="8">
        <f t="shared" si="240"/>
        <v>4.2542241736227053</v>
      </c>
      <c r="H7737" s="8">
        <v>4.0516420701168618</v>
      </c>
      <c r="I7737" s="19">
        <f t="shared" si="241"/>
        <v>0</v>
      </c>
    </row>
    <row r="7738" spans="1:9" hidden="1">
      <c r="A7738" s="11" t="s">
        <v>11260</v>
      </c>
      <c r="B7738" s="2" t="s">
        <v>13193</v>
      </c>
      <c r="C7738" s="2" t="s">
        <v>13194</v>
      </c>
      <c r="D7738" s="2"/>
      <c r="E7738" s="2">
        <v>1</v>
      </c>
      <c r="F7738" s="9"/>
      <c r="G7738" s="8">
        <f t="shared" si="240"/>
        <v>4.2542241736227053</v>
      </c>
      <c r="H7738" s="8">
        <v>4.0516420701168618</v>
      </c>
      <c r="I7738" s="19">
        <f t="shared" si="241"/>
        <v>0</v>
      </c>
    </row>
    <row r="7739" spans="1:9" hidden="1">
      <c r="A7739" s="11" t="s">
        <v>11260</v>
      </c>
      <c r="B7739" s="2" t="s">
        <v>13195</v>
      </c>
      <c r="C7739" s="2" t="s">
        <v>13196</v>
      </c>
      <c r="D7739" s="2"/>
      <c r="E7739" s="2">
        <v>1</v>
      </c>
      <c r="F7739" s="9"/>
      <c r="G7739" s="8">
        <f t="shared" si="240"/>
        <v>2.1499970093457943</v>
      </c>
      <c r="H7739" s="8">
        <v>2.0476161993769471</v>
      </c>
      <c r="I7739" s="19">
        <f t="shared" si="241"/>
        <v>0</v>
      </c>
    </row>
    <row r="7740" spans="1:9" hidden="1">
      <c r="A7740" s="11" t="s">
        <v>11260</v>
      </c>
      <c r="B7740" s="2" t="s">
        <v>13197</v>
      </c>
      <c r="C7740" s="2" t="s">
        <v>13198</v>
      </c>
      <c r="D7740" s="2"/>
      <c r="E7740" s="2">
        <v>1</v>
      </c>
      <c r="F7740" s="9"/>
      <c r="G7740" s="8">
        <f t="shared" si="240"/>
        <v>2.1499970093457943</v>
      </c>
      <c r="H7740" s="8">
        <v>2.0476161993769471</v>
      </c>
      <c r="I7740" s="19">
        <f t="shared" si="241"/>
        <v>0</v>
      </c>
    </row>
    <row r="7741" spans="1:9" hidden="1">
      <c r="A7741" s="11" t="s">
        <v>11260</v>
      </c>
      <c r="B7741" s="2" t="s">
        <v>13199</v>
      </c>
      <c r="C7741" s="2" t="s">
        <v>13200</v>
      </c>
      <c r="D7741" s="2"/>
      <c r="E7741" s="2">
        <v>1</v>
      </c>
      <c r="F7741" s="9"/>
      <c r="G7741" s="8">
        <f t="shared" si="240"/>
        <v>2.6971146268656714</v>
      </c>
      <c r="H7741" s="8">
        <v>2.5686805970149251</v>
      </c>
      <c r="I7741" s="19">
        <f t="shared" si="241"/>
        <v>0</v>
      </c>
    </row>
    <row r="7742" spans="1:9" hidden="1">
      <c r="A7742" s="11" t="s">
        <v>11260</v>
      </c>
      <c r="B7742" s="2" t="s">
        <v>13201</v>
      </c>
      <c r="C7742" s="2" t="s">
        <v>13202</v>
      </c>
      <c r="D7742" s="2"/>
      <c r="E7742" s="2">
        <v>1</v>
      </c>
      <c r="F7742" s="9"/>
      <c r="G7742" s="8">
        <f t="shared" si="240"/>
        <v>2.6971146268656714</v>
      </c>
      <c r="H7742" s="8">
        <v>2.5686805970149251</v>
      </c>
      <c r="I7742" s="19">
        <f t="shared" si="241"/>
        <v>0</v>
      </c>
    </row>
    <row r="7743" spans="1:9" hidden="1">
      <c r="A7743" s="11" t="s">
        <v>11260</v>
      </c>
      <c r="B7743" s="2" t="s">
        <v>13203</v>
      </c>
      <c r="C7743" s="2" t="s">
        <v>13204</v>
      </c>
      <c r="D7743" s="2"/>
      <c r="E7743" s="2">
        <v>1</v>
      </c>
      <c r="F7743" s="9"/>
      <c r="G7743" s="8">
        <f t="shared" si="240"/>
        <v>2.5366094444444451</v>
      </c>
      <c r="H7743" s="8">
        <v>2.415818518518519</v>
      </c>
      <c r="I7743" s="19">
        <f t="shared" si="241"/>
        <v>0</v>
      </c>
    </row>
    <row r="7744" spans="1:9" hidden="1">
      <c r="A7744" s="11" t="s">
        <v>11260</v>
      </c>
      <c r="B7744" s="2" t="s">
        <v>13205</v>
      </c>
      <c r="C7744" s="2" t="s">
        <v>13206</v>
      </c>
      <c r="D7744" s="2"/>
      <c r="E7744" s="2">
        <v>1</v>
      </c>
      <c r="F7744" s="9"/>
      <c r="G7744" s="8">
        <f t="shared" si="240"/>
        <v>2.5366094444444451</v>
      </c>
      <c r="H7744" s="8">
        <v>2.415818518518519</v>
      </c>
      <c r="I7744" s="19">
        <f t="shared" si="241"/>
        <v>0</v>
      </c>
    </row>
    <row r="7745" spans="1:9" hidden="1">
      <c r="A7745" s="11" t="s">
        <v>11260</v>
      </c>
      <c r="B7745" s="2" t="s">
        <v>13207</v>
      </c>
      <c r="C7745" s="2" t="s">
        <v>13208</v>
      </c>
      <c r="D7745" s="2"/>
      <c r="E7745" s="2">
        <v>1</v>
      </c>
      <c r="F7745" s="9"/>
      <c r="G7745" s="8">
        <f t="shared" si="240"/>
        <v>2.9686238640429345</v>
      </c>
      <c r="H7745" s="8">
        <v>2.8272608228980327</v>
      </c>
      <c r="I7745" s="19">
        <f t="shared" si="241"/>
        <v>0</v>
      </c>
    </row>
    <row r="7746" spans="1:9" hidden="1">
      <c r="A7746" s="11" t="s">
        <v>11260</v>
      </c>
      <c r="B7746" s="2" t="s">
        <v>13209</v>
      </c>
      <c r="C7746" s="2" t="s">
        <v>13210</v>
      </c>
      <c r="D7746" s="2"/>
      <c r="E7746" s="2">
        <v>1</v>
      </c>
      <c r="F7746" s="9"/>
      <c r="G7746" s="8">
        <f t="shared" si="240"/>
        <v>2.9686238640429345</v>
      </c>
      <c r="H7746" s="8">
        <v>2.8272608228980327</v>
      </c>
      <c r="I7746" s="19">
        <f t="shared" si="241"/>
        <v>0</v>
      </c>
    </row>
    <row r="7747" spans="1:9" hidden="1">
      <c r="A7747" s="11" t="s">
        <v>11260</v>
      </c>
      <c r="B7747" s="2" t="s">
        <v>13211</v>
      </c>
      <c r="C7747" s="2" t="s">
        <v>13212</v>
      </c>
      <c r="D7747" s="2"/>
      <c r="E7747" s="2">
        <v>1</v>
      </c>
      <c r="F7747" s="9"/>
      <c r="G7747" s="8">
        <f t="shared" si="240"/>
        <v>68.943191155292837</v>
      </c>
      <c r="H7747" s="8">
        <v>65.660182052659849</v>
      </c>
      <c r="I7747" s="19">
        <f t="shared" si="241"/>
        <v>0</v>
      </c>
    </row>
    <row r="7748" spans="1:9" hidden="1">
      <c r="A7748" s="11" t="s">
        <v>11260</v>
      </c>
      <c r="B7748" s="2" t="s">
        <v>13213</v>
      </c>
      <c r="C7748" s="2" t="s">
        <v>13214</v>
      </c>
      <c r="D7748" s="2"/>
      <c r="E7748" s="2">
        <v>1</v>
      </c>
      <c r="F7748" s="9"/>
      <c r="G7748" s="8">
        <f t="shared" si="240"/>
        <v>6.370191955017301</v>
      </c>
      <c r="H7748" s="8">
        <v>6.066849480968858</v>
      </c>
      <c r="I7748" s="19">
        <f t="shared" si="241"/>
        <v>0</v>
      </c>
    </row>
    <row r="7749" spans="1:9" hidden="1">
      <c r="A7749" s="11" t="s">
        <v>11260</v>
      </c>
      <c r="B7749" s="2" t="s">
        <v>13215</v>
      </c>
      <c r="C7749" s="2" t="s">
        <v>13216</v>
      </c>
      <c r="D7749" s="2"/>
      <c r="E7749" s="2">
        <v>1</v>
      </c>
      <c r="F7749" s="9"/>
      <c r="G7749" s="8">
        <f t="shared" si="240"/>
        <v>6.370191955017301</v>
      </c>
      <c r="H7749" s="8">
        <v>6.066849480968858</v>
      </c>
      <c r="I7749" s="19">
        <f t="shared" si="241"/>
        <v>0</v>
      </c>
    </row>
    <row r="7750" spans="1:9" hidden="1">
      <c r="A7750" s="11" t="s">
        <v>11260</v>
      </c>
      <c r="B7750" s="2" t="s">
        <v>13217</v>
      </c>
      <c r="C7750" s="2" t="s">
        <v>13218</v>
      </c>
      <c r="D7750" s="2"/>
      <c r="E7750" s="2">
        <v>1</v>
      </c>
      <c r="F7750" s="9"/>
      <c r="G7750" s="8">
        <f t="shared" si="240"/>
        <v>3.9064413559322038</v>
      </c>
      <c r="H7750" s="8">
        <v>3.7204203389830512</v>
      </c>
      <c r="I7750" s="19">
        <f t="shared" si="241"/>
        <v>0</v>
      </c>
    </row>
    <row r="7751" spans="1:9" hidden="1">
      <c r="A7751" s="11" t="s">
        <v>11260</v>
      </c>
      <c r="B7751" s="2" t="s">
        <v>13219</v>
      </c>
      <c r="C7751" s="2" t="s">
        <v>13218</v>
      </c>
      <c r="D7751" s="2"/>
      <c r="E7751" s="2">
        <v>1</v>
      </c>
      <c r="F7751" s="9"/>
      <c r="G7751" s="8">
        <f t="shared" si="240"/>
        <v>3.9064413559322038</v>
      </c>
      <c r="H7751" s="8">
        <v>3.7204203389830512</v>
      </c>
      <c r="I7751" s="19">
        <f t="shared" si="241"/>
        <v>0</v>
      </c>
    </row>
    <row r="7752" spans="1:9" hidden="1">
      <c r="A7752" s="11" t="s">
        <v>11260</v>
      </c>
      <c r="B7752" s="2" t="s">
        <v>13220</v>
      </c>
      <c r="C7752" s="2" t="s">
        <v>13221</v>
      </c>
      <c r="D7752" s="2"/>
      <c r="E7752" s="2">
        <v>1</v>
      </c>
      <c r="F7752" s="9"/>
      <c r="G7752" s="8">
        <f t="shared" si="240"/>
        <v>5.4044100000000004</v>
      </c>
      <c r="H7752" s="8">
        <v>5.1470571428571432</v>
      </c>
      <c r="I7752" s="19">
        <f t="shared" si="241"/>
        <v>0</v>
      </c>
    </row>
    <row r="7753" spans="1:9" hidden="1">
      <c r="A7753" s="11" t="s">
        <v>11260</v>
      </c>
      <c r="B7753" s="2" t="s">
        <v>13222</v>
      </c>
      <c r="C7753" s="2" t="s">
        <v>13223</v>
      </c>
      <c r="D7753" s="2"/>
      <c r="E7753" s="2">
        <v>1</v>
      </c>
      <c r="F7753" s="9"/>
      <c r="G7753" s="8">
        <f t="shared" si="240"/>
        <v>5.4044100000000004</v>
      </c>
      <c r="H7753" s="8">
        <v>5.1470571428571432</v>
      </c>
      <c r="I7753" s="19">
        <f t="shared" si="241"/>
        <v>0</v>
      </c>
    </row>
    <row r="7754" spans="1:9" hidden="1">
      <c r="A7754" s="11" t="s">
        <v>11260</v>
      </c>
      <c r="B7754" s="2" t="s">
        <v>13224</v>
      </c>
      <c r="C7754" s="2" t="s">
        <v>13225</v>
      </c>
      <c r="D7754" s="2"/>
      <c r="E7754" s="2">
        <v>1</v>
      </c>
      <c r="F7754" s="9"/>
      <c r="G7754" s="8">
        <f t="shared" si="240"/>
        <v>6.6033974123539245</v>
      </c>
      <c r="H7754" s="8">
        <v>6.2889499165275469</v>
      </c>
      <c r="I7754" s="19">
        <f t="shared" si="241"/>
        <v>0</v>
      </c>
    </row>
    <row r="7755" spans="1:9" hidden="1">
      <c r="A7755" s="11" t="s">
        <v>11260</v>
      </c>
      <c r="B7755" s="2" t="s">
        <v>13226</v>
      </c>
      <c r="C7755" s="2" t="s">
        <v>13227</v>
      </c>
      <c r="D7755" s="2"/>
      <c r="E7755" s="2">
        <v>1</v>
      </c>
      <c r="F7755" s="9"/>
      <c r="G7755" s="8">
        <f t="shared" si="240"/>
        <v>6.6033974123539245</v>
      </c>
      <c r="H7755" s="8">
        <v>6.2889499165275469</v>
      </c>
      <c r="I7755" s="19">
        <f t="shared" si="241"/>
        <v>0</v>
      </c>
    </row>
    <row r="7756" spans="1:9" hidden="1">
      <c r="A7756" s="11" t="s">
        <v>11260</v>
      </c>
      <c r="B7756" s="2" t="s">
        <v>13228</v>
      </c>
      <c r="C7756" s="2" t="s">
        <v>13229</v>
      </c>
      <c r="D7756" s="2"/>
      <c r="E7756" s="2">
        <v>1</v>
      </c>
      <c r="F7756" s="9"/>
      <c r="G7756" s="8">
        <f t="shared" si="240"/>
        <v>3.2666550000000005</v>
      </c>
      <c r="H7756" s="8">
        <v>3.1111000000000004</v>
      </c>
      <c r="I7756" s="19">
        <f t="shared" si="241"/>
        <v>0</v>
      </c>
    </row>
    <row r="7757" spans="1:9" hidden="1">
      <c r="A7757" s="11" t="s">
        <v>11260</v>
      </c>
      <c r="B7757" s="2" t="s">
        <v>13230</v>
      </c>
      <c r="C7757" s="2" t="s">
        <v>13231</v>
      </c>
      <c r="D7757" s="2"/>
      <c r="E7757" s="2">
        <v>1</v>
      </c>
      <c r="F7757" s="9"/>
      <c r="G7757" s="8">
        <f t="shared" si="240"/>
        <v>3.2666550000000005</v>
      </c>
      <c r="H7757" s="8">
        <v>3.1111000000000004</v>
      </c>
      <c r="I7757" s="19">
        <f t="shared" si="241"/>
        <v>0</v>
      </c>
    </row>
    <row r="7758" spans="1:9" hidden="1">
      <c r="A7758" s="11" t="s">
        <v>11260</v>
      </c>
      <c r="B7758" s="2" t="s">
        <v>13232</v>
      </c>
      <c r="C7758" s="2" t="s">
        <v>13233</v>
      </c>
      <c r="D7758" s="2"/>
      <c r="E7758" s="2">
        <v>1</v>
      </c>
      <c r="F7758" s="9"/>
      <c r="G7758" s="8">
        <f t="shared" si="240"/>
        <v>5.2867500000000005</v>
      </c>
      <c r="H7758" s="8">
        <v>5.0350000000000001</v>
      </c>
      <c r="I7758" s="19">
        <f t="shared" si="241"/>
        <v>0</v>
      </c>
    </row>
    <row r="7759" spans="1:9" hidden="1">
      <c r="A7759" s="11" t="s">
        <v>11260</v>
      </c>
      <c r="B7759" s="2" t="s">
        <v>13234</v>
      </c>
      <c r="C7759" s="2" t="s">
        <v>13235</v>
      </c>
      <c r="D7759" s="2"/>
      <c r="E7759" s="2">
        <v>1</v>
      </c>
      <c r="F7759" s="9"/>
      <c r="G7759" s="8">
        <f t="shared" si="240"/>
        <v>1.6803159874608153</v>
      </c>
      <c r="H7759" s="8">
        <v>1.6003009404388717</v>
      </c>
      <c r="I7759" s="19">
        <f t="shared" si="241"/>
        <v>0</v>
      </c>
    </row>
    <row r="7760" spans="1:9" hidden="1">
      <c r="A7760" s="11" t="s">
        <v>11260</v>
      </c>
      <c r="B7760" s="2" t="s">
        <v>13236</v>
      </c>
      <c r="C7760" s="2" t="s">
        <v>13237</v>
      </c>
      <c r="D7760" s="2"/>
      <c r="E7760" s="2">
        <v>1</v>
      </c>
      <c r="F7760" s="9"/>
      <c r="G7760" s="8">
        <f t="shared" si="240"/>
        <v>1.8695264788732395</v>
      </c>
      <c r="H7760" s="8">
        <v>1.7805014084507043</v>
      </c>
      <c r="I7760" s="19">
        <f t="shared" si="241"/>
        <v>0</v>
      </c>
    </row>
    <row r="7761" spans="1:9" hidden="1">
      <c r="A7761" s="11" t="s">
        <v>11260</v>
      </c>
      <c r="B7761" s="2" t="s">
        <v>13238</v>
      </c>
      <c r="C7761" s="2" t="s">
        <v>13239</v>
      </c>
      <c r="D7761" s="2"/>
      <c r="E7761" s="2">
        <v>1</v>
      </c>
      <c r="F7761" s="9"/>
      <c r="G7761" s="8">
        <f t="shared" si="240"/>
        <v>1.8695264788732395</v>
      </c>
      <c r="H7761" s="8">
        <v>1.7805014084507043</v>
      </c>
      <c r="I7761" s="19">
        <f t="shared" si="241"/>
        <v>0</v>
      </c>
    </row>
    <row r="7762" spans="1:9" hidden="1">
      <c r="A7762" s="11" t="s">
        <v>11260</v>
      </c>
      <c r="B7762" s="2" t="s">
        <v>13240</v>
      </c>
      <c r="C7762" s="2" t="s">
        <v>13241</v>
      </c>
      <c r="D7762" s="2"/>
      <c r="E7762" s="2">
        <v>1</v>
      </c>
      <c r="F7762" s="9"/>
      <c r="G7762" s="8">
        <f t="shared" si="240"/>
        <v>2.2145527553444184</v>
      </c>
      <c r="H7762" s="8">
        <v>2.1090978622327796</v>
      </c>
      <c r="I7762" s="19">
        <f t="shared" si="241"/>
        <v>0</v>
      </c>
    </row>
    <row r="7763" spans="1:9" hidden="1">
      <c r="A7763" s="11" t="s">
        <v>11260</v>
      </c>
      <c r="B7763" s="2" t="s">
        <v>13242</v>
      </c>
      <c r="C7763" s="2" t="s">
        <v>13243</v>
      </c>
      <c r="D7763" s="2"/>
      <c r="E7763" s="2">
        <v>1</v>
      </c>
      <c r="F7763" s="9"/>
      <c r="G7763" s="8">
        <f t="shared" si="240"/>
        <v>1.8138673913043477</v>
      </c>
      <c r="H7763" s="8">
        <v>1.7274927536231883</v>
      </c>
      <c r="I7763" s="19">
        <f t="shared" si="241"/>
        <v>0</v>
      </c>
    </row>
    <row r="7764" spans="1:9" hidden="1">
      <c r="A7764" s="11" t="s">
        <v>11260</v>
      </c>
      <c r="B7764" s="2" t="s">
        <v>13244</v>
      </c>
      <c r="C7764" s="2" t="s">
        <v>13243</v>
      </c>
      <c r="D7764" s="2"/>
      <c r="E7764" s="2">
        <v>1</v>
      </c>
      <c r="F7764" s="9"/>
      <c r="G7764" s="8">
        <f t="shared" ref="G7764:G7827" si="242">H7764+(H7764*5%)</f>
        <v>1.8138673913043477</v>
      </c>
      <c r="H7764" s="8">
        <v>1.7274927536231883</v>
      </c>
      <c r="I7764" s="19">
        <f t="shared" ref="I7764:I7827" si="243">G7764*F7764</f>
        <v>0</v>
      </c>
    </row>
    <row r="7765" spans="1:9" hidden="1">
      <c r="A7765" s="11" t="s">
        <v>11260</v>
      </c>
      <c r="B7765" s="2" t="s">
        <v>13245</v>
      </c>
      <c r="C7765" s="2" t="s">
        <v>13246</v>
      </c>
      <c r="D7765" s="2"/>
      <c r="E7765" s="2">
        <v>1</v>
      </c>
      <c r="F7765" s="9"/>
      <c r="G7765" s="8">
        <f t="shared" si="242"/>
        <v>2.0924399999999999</v>
      </c>
      <c r="H7765" s="8">
        <v>1.9927999999999999</v>
      </c>
      <c r="I7765" s="19">
        <f t="shared" si="243"/>
        <v>0</v>
      </c>
    </row>
    <row r="7766" spans="1:9" hidden="1">
      <c r="A7766" s="11" t="s">
        <v>11260</v>
      </c>
      <c r="B7766" s="2" t="s">
        <v>13247</v>
      </c>
      <c r="C7766" s="2" t="s">
        <v>13248</v>
      </c>
      <c r="D7766" s="2"/>
      <c r="E7766" s="2">
        <v>1</v>
      </c>
      <c r="F7766" s="9"/>
      <c r="G7766" s="8">
        <f t="shared" si="242"/>
        <v>0.90153000000000016</v>
      </c>
      <c r="H7766" s="8">
        <v>0.85860000000000014</v>
      </c>
      <c r="I7766" s="19">
        <f t="shared" si="243"/>
        <v>0</v>
      </c>
    </row>
    <row r="7767" spans="1:9" hidden="1">
      <c r="A7767" s="11" t="s">
        <v>11260</v>
      </c>
      <c r="B7767" s="2" t="s">
        <v>13249</v>
      </c>
      <c r="C7767" s="2" t="s">
        <v>13248</v>
      </c>
      <c r="D7767" s="2"/>
      <c r="E7767" s="2">
        <v>1</v>
      </c>
      <c r="F7767" s="9"/>
      <c r="G7767" s="8">
        <f t="shared" si="242"/>
        <v>0.90153000000000016</v>
      </c>
      <c r="H7767" s="8">
        <v>0.85860000000000014</v>
      </c>
      <c r="I7767" s="19">
        <f t="shared" si="243"/>
        <v>0</v>
      </c>
    </row>
    <row r="7768" spans="1:9" hidden="1">
      <c r="A7768" s="11" t="s">
        <v>11260</v>
      </c>
      <c r="B7768" s="2" t="s">
        <v>13250</v>
      </c>
      <c r="C7768" s="2" t="s">
        <v>13251</v>
      </c>
      <c r="D7768" s="2"/>
      <c r="E7768" s="2">
        <v>1</v>
      </c>
      <c r="F7768" s="9"/>
      <c r="G7768" s="8">
        <f t="shared" si="242"/>
        <v>1.3130271084337348</v>
      </c>
      <c r="H7768" s="8">
        <v>1.2505020080321283</v>
      </c>
      <c r="I7768" s="19">
        <f t="shared" si="243"/>
        <v>0</v>
      </c>
    </row>
    <row r="7769" spans="1:9" hidden="1">
      <c r="A7769" s="11" t="s">
        <v>11260</v>
      </c>
      <c r="B7769" s="2" t="s">
        <v>13252</v>
      </c>
      <c r="C7769" s="2" t="s">
        <v>13253</v>
      </c>
      <c r="D7769" s="2"/>
      <c r="E7769" s="2">
        <v>1</v>
      </c>
      <c r="F7769" s="9"/>
      <c r="G7769" s="8">
        <f t="shared" si="242"/>
        <v>1.3130271084337348</v>
      </c>
      <c r="H7769" s="8">
        <v>1.2505020080321283</v>
      </c>
      <c r="I7769" s="19">
        <f t="shared" si="243"/>
        <v>0</v>
      </c>
    </row>
    <row r="7770" spans="1:9" hidden="1">
      <c r="A7770" s="11" t="s">
        <v>11260</v>
      </c>
      <c r="B7770" s="2" t="s">
        <v>13254</v>
      </c>
      <c r="C7770" s="2" t="s">
        <v>13255</v>
      </c>
      <c r="D7770" s="2"/>
      <c r="E7770" s="2">
        <v>1</v>
      </c>
      <c r="F7770" s="9"/>
      <c r="G7770" s="8">
        <f t="shared" si="242"/>
        <v>1.9975266490765171</v>
      </c>
      <c r="H7770" s="8">
        <v>1.9024063324538258</v>
      </c>
      <c r="I7770" s="19">
        <f t="shared" si="243"/>
        <v>0</v>
      </c>
    </row>
    <row r="7771" spans="1:9" hidden="1">
      <c r="A7771" s="11" t="s">
        <v>11260</v>
      </c>
      <c r="B7771" s="2" t="s">
        <v>13256</v>
      </c>
      <c r="C7771" s="2" t="s">
        <v>13257</v>
      </c>
      <c r="D7771" s="2"/>
      <c r="E7771" s="2">
        <v>1</v>
      </c>
      <c r="F7771" s="9"/>
      <c r="G7771" s="8">
        <f t="shared" si="242"/>
        <v>2.0364736434108526</v>
      </c>
      <c r="H7771" s="8">
        <v>1.9394987080103359</v>
      </c>
      <c r="I7771" s="19">
        <f t="shared" si="243"/>
        <v>0</v>
      </c>
    </row>
    <row r="7772" spans="1:9" hidden="1">
      <c r="A7772" s="11" t="s">
        <v>11260</v>
      </c>
      <c r="B7772" s="2" t="s">
        <v>13258</v>
      </c>
      <c r="C7772" s="2" t="s">
        <v>13259</v>
      </c>
      <c r="D7772" s="2"/>
      <c r="E7772" s="2">
        <v>1</v>
      </c>
      <c r="F7772" s="9"/>
      <c r="G7772" s="8">
        <f t="shared" si="242"/>
        <v>2.0364736434108526</v>
      </c>
      <c r="H7772" s="8">
        <v>1.9394987080103359</v>
      </c>
      <c r="I7772" s="19">
        <f t="shared" si="243"/>
        <v>0</v>
      </c>
    </row>
    <row r="7773" spans="1:9" hidden="1">
      <c r="A7773" s="11" t="s">
        <v>11260</v>
      </c>
      <c r="B7773" s="2" t="s">
        <v>13260</v>
      </c>
      <c r="C7773" s="2" t="s">
        <v>13261</v>
      </c>
      <c r="D7773" s="2"/>
      <c r="E7773" s="2">
        <v>1</v>
      </c>
      <c r="F7773" s="9"/>
      <c r="G7773" s="8">
        <f t="shared" si="242"/>
        <v>1.6194150000000003</v>
      </c>
      <c r="H7773" s="8">
        <v>1.5423000000000002</v>
      </c>
      <c r="I7773" s="19">
        <f t="shared" si="243"/>
        <v>0</v>
      </c>
    </row>
    <row r="7774" spans="1:9" hidden="1">
      <c r="A7774" s="11" t="s">
        <v>11260</v>
      </c>
      <c r="B7774" s="2" t="s">
        <v>13262</v>
      </c>
      <c r="C7774" s="2" t="s">
        <v>13263</v>
      </c>
      <c r="D7774" s="2"/>
      <c r="E7774" s="2">
        <v>1</v>
      </c>
      <c r="F7774" s="9"/>
      <c r="G7774" s="8">
        <f t="shared" si="242"/>
        <v>1.9530000000000003</v>
      </c>
      <c r="H7774" s="8">
        <v>1.8600000000000003</v>
      </c>
      <c r="I7774" s="19">
        <f t="shared" si="243"/>
        <v>0</v>
      </c>
    </row>
    <row r="7775" spans="1:9" hidden="1">
      <c r="A7775" s="11" t="s">
        <v>11260</v>
      </c>
      <c r="B7775" s="2" t="s">
        <v>13264</v>
      </c>
      <c r="C7775" s="2" t="s">
        <v>13265</v>
      </c>
      <c r="D7775" s="2"/>
      <c r="E7775" s="2">
        <v>1</v>
      </c>
      <c r="F7775" s="9"/>
      <c r="G7775" s="8">
        <f t="shared" si="242"/>
        <v>1.9530000000000003</v>
      </c>
      <c r="H7775" s="8">
        <v>1.8600000000000003</v>
      </c>
      <c r="I7775" s="19">
        <f t="shared" si="243"/>
        <v>0</v>
      </c>
    </row>
    <row r="7776" spans="1:9" hidden="1">
      <c r="A7776" s="11" t="s">
        <v>11260</v>
      </c>
      <c r="B7776" s="2" t="s">
        <v>13266</v>
      </c>
      <c r="C7776" s="2" t="s">
        <v>13267</v>
      </c>
      <c r="D7776" s="2"/>
      <c r="E7776" s="2">
        <v>1</v>
      </c>
      <c r="F7776" s="9"/>
      <c r="G7776" s="8">
        <f t="shared" si="242"/>
        <v>5.0871358695652171</v>
      </c>
      <c r="H7776" s="8">
        <v>4.8448913043478257</v>
      </c>
      <c r="I7776" s="19">
        <f t="shared" si="243"/>
        <v>0</v>
      </c>
    </row>
    <row r="7777" spans="1:9" hidden="1">
      <c r="A7777" s="11" t="s">
        <v>11260</v>
      </c>
      <c r="B7777" s="2" t="s">
        <v>13268</v>
      </c>
      <c r="C7777" s="2" t="s">
        <v>13269</v>
      </c>
      <c r="D7777" s="2"/>
      <c r="E7777" s="2">
        <v>1</v>
      </c>
      <c r="F7777" s="9"/>
      <c r="G7777" s="8">
        <f t="shared" si="242"/>
        <v>5.0871358695652171</v>
      </c>
      <c r="H7777" s="8">
        <v>4.8448913043478257</v>
      </c>
      <c r="I7777" s="19">
        <f t="shared" si="243"/>
        <v>0</v>
      </c>
    </row>
    <row r="7778" spans="1:9" hidden="1">
      <c r="A7778" s="11" t="s">
        <v>11260</v>
      </c>
      <c r="B7778" s="2" t="s">
        <v>13270</v>
      </c>
      <c r="C7778" s="2" t="s">
        <v>13271</v>
      </c>
      <c r="D7778" s="2"/>
      <c r="E7778" s="2">
        <v>1</v>
      </c>
      <c r="F7778" s="9"/>
      <c r="G7778" s="8">
        <f t="shared" si="242"/>
        <v>5.7458225051334715</v>
      </c>
      <c r="H7778" s="8">
        <v>5.472211909650925</v>
      </c>
      <c r="I7778" s="19">
        <f t="shared" si="243"/>
        <v>0</v>
      </c>
    </row>
    <row r="7779" spans="1:9" hidden="1">
      <c r="A7779" s="11" t="s">
        <v>11260</v>
      </c>
      <c r="B7779" s="2" t="s">
        <v>13272</v>
      </c>
      <c r="C7779" s="2" t="s">
        <v>13273</v>
      </c>
      <c r="D7779" s="2"/>
      <c r="E7779" s="2">
        <v>1</v>
      </c>
      <c r="F7779" s="9"/>
      <c r="G7779" s="8">
        <f t="shared" si="242"/>
        <v>5.7458225051334715</v>
      </c>
      <c r="H7779" s="8">
        <v>5.472211909650925</v>
      </c>
      <c r="I7779" s="19">
        <f t="shared" si="243"/>
        <v>0</v>
      </c>
    </row>
    <row r="7780" spans="1:9" hidden="1">
      <c r="A7780" s="11" t="s">
        <v>11260</v>
      </c>
      <c r="B7780" s="2" t="s">
        <v>13274</v>
      </c>
      <c r="C7780" s="2" t="s">
        <v>13275</v>
      </c>
      <c r="D7780" s="2"/>
      <c r="E7780" s="2">
        <v>1</v>
      </c>
      <c r="F7780" s="9"/>
      <c r="G7780" s="8">
        <f t="shared" si="242"/>
        <v>2.6083458545454548</v>
      </c>
      <c r="H7780" s="8">
        <v>2.4841389090909094</v>
      </c>
      <c r="I7780" s="19">
        <f t="shared" si="243"/>
        <v>0</v>
      </c>
    </row>
    <row r="7781" spans="1:9" hidden="1">
      <c r="A7781" s="11" t="s">
        <v>11260</v>
      </c>
      <c r="B7781" s="2" t="s">
        <v>13276</v>
      </c>
      <c r="C7781" s="2" t="s">
        <v>13277</v>
      </c>
      <c r="D7781" s="2"/>
      <c r="E7781" s="2">
        <v>1</v>
      </c>
      <c r="F7781" s="9"/>
      <c r="G7781" s="8">
        <f t="shared" si="242"/>
        <v>2.6083458545454548</v>
      </c>
      <c r="H7781" s="8">
        <v>2.4841389090909094</v>
      </c>
      <c r="I7781" s="19">
        <f t="shared" si="243"/>
        <v>0</v>
      </c>
    </row>
    <row r="7782" spans="1:9" hidden="1">
      <c r="A7782" s="11" t="s">
        <v>11260</v>
      </c>
      <c r="B7782" s="2" t="s">
        <v>13278</v>
      </c>
      <c r="C7782" s="2" t="s">
        <v>13279</v>
      </c>
      <c r="D7782" s="2"/>
      <c r="E7782" s="2">
        <v>1</v>
      </c>
      <c r="F7782" s="9"/>
      <c r="G7782" s="8">
        <f t="shared" si="242"/>
        <v>3.6906697854077257</v>
      </c>
      <c r="H7782" s="8">
        <v>3.5149236051502148</v>
      </c>
      <c r="I7782" s="19">
        <f t="shared" si="243"/>
        <v>0</v>
      </c>
    </row>
    <row r="7783" spans="1:9" hidden="1">
      <c r="A7783" s="11" t="s">
        <v>11260</v>
      </c>
      <c r="B7783" s="2" t="s">
        <v>13280</v>
      </c>
      <c r="C7783" s="2" t="s">
        <v>13279</v>
      </c>
      <c r="D7783" s="2"/>
      <c r="E7783" s="2">
        <v>1</v>
      </c>
      <c r="F7783" s="9"/>
      <c r="G7783" s="8">
        <f t="shared" si="242"/>
        <v>3.6906697854077257</v>
      </c>
      <c r="H7783" s="8">
        <v>3.5149236051502148</v>
      </c>
      <c r="I7783" s="19">
        <f t="shared" si="243"/>
        <v>0</v>
      </c>
    </row>
    <row r="7784" spans="1:9" hidden="1">
      <c r="A7784" s="11" t="s">
        <v>11260</v>
      </c>
      <c r="B7784" s="2" t="s">
        <v>13281</v>
      </c>
      <c r="C7784" s="2" t="s">
        <v>13282</v>
      </c>
      <c r="D7784" s="2"/>
      <c r="E7784" s="2">
        <v>1</v>
      </c>
      <c r="F7784" s="9"/>
      <c r="G7784" s="8">
        <f t="shared" si="242"/>
        <v>3.0614087850467291</v>
      </c>
      <c r="H7784" s="8">
        <v>2.9156274143302183</v>
      </c>
      <c r="I7784" s="19">
        <f t="shared" si="243"/>
        <v>0</v>
      </c>
    </row>
    <row r="7785" spans="1:9" hidden="1">
      <c r="A7785" s="11" t="s">
        <v>11260</v>
      </c>
      <c r="B7785" s="2" t="s">
        <v>13283</v>
      </c>
      <c r="C7785" s="2" t="s">
        <v>13284</v>
      </c>
      <c r="D7785" s="2"/>
      <c r="E7785" s="2">
        <v>1</v>
      </c>
      <c r="F7785" s="9"/>
      <c r="G7785" s="8">
        <f t="shared" si="242"/>
        <v>3.0614087850467291</v>
      </c>
      <c r="H7785" s="8">
        <v>2.9156274143302183</v>
      </c>
      <c r="I7785" s="19">
        <f t="shared" si="243"/>
        <v>0</v>
      </c>
    </row>
    <row r="7786" spans="1:9" hidden="1">
      <c r="A7786" s="11" t="s">
        <v>11260</v>
      </c>
      <c r="B7786" s="2" t="s">
        <v>13285</v>
      </c>
      <c r="C7786" s="2" t="s">
        <v>13286</v>
      </c>
      <c r="D7786" s="2"/>
      <c r="E7786" s="2">
        <v>1</v>
      </c>
      <c r="F7786" s="9"/>
      <c r="G7786" s="8">
        <f t="shared" si="242"/>
        <v>1.9633319999999999</v>
      </c>
      <c r="H7786" s="8">
        <v>1.8698399999999999</v>
      </c>
      <c r="I7786" s="19">
        <f t="shared" si="243"/>
        <v>0</v>
      </c>
    </row>
    <row r="7787" spans="1:9" hidden="1">
      <c r="A7787" s="11" t="s">
        <v>11260</v>
      </c>
      <c r="B7787" s="2" t="s">
        <v>13287</v>
      </c>
      <c r="C7787" s="2" t="s">
        <v>13288</v>
      </c>
      <c r="D7787" s="2"/>
      <c r="E7787" s="2">
        <v>1</v>
      </c>
      <c r="F7787" s="9"/>
      <c r="G7787" s="8">
        <f t="shared" si="242"/>
        <v>1.9633319999999999</v>
      </c>
      <c r="H7787" s="8">
        <v>1.8698399999999999</v>
      </c>
      <c r="I7787" s="19">
        <f t="shared" si="243"/>
        <v>0</v>
      </c>
    </row>
    <row r="7788" spans="1:9" hidden="1">
      <c r="A7788" s="11" t="s">
        <v>11260</v>
      </c>
      <c r="B7788" s="2" t="s">
        <v>13289</v>
      </c>
      <c r="C7788" s="2" t="s">
        <v>13290</v>
      </c>
      <c r="D7788" s="2"/>
      <c r="E7788" s="2">
        <v>1</v>
      </c>
      <c r="F7788" s="9"/>
      <c r="G7788" s="8">
        <f t="shared" si="242"/>
        <v>2.7112679999999996</v>
      </c>
      <c r="H7788" s="8">
        <v>2.5821599999999996</v>
      </c>
      <c r="I7788" s="19">
        <f t="shared" si="243"/>
        <v>0</v>
      </c>
    </row>
    <row r="7789" spans="1:9" hidden="1">
      <c r="A7789" s="11" t="s">
        <v>11260</v>
      </c>
      <c r="B7789" s="2" t="s">
        <v>13291</v>
      </c>
      <c r="C7789" s="2" t="s">
        <v>13290</v>
      </c>
      <c r="D7789" s="2"/>
      <c r="E7789" s="2">
        <v>1</v>
      </c>
      <c r="F7789" s="9"/>
      <c r="G7789" s="8">
        <f t="shared" si="242"/>
        <v>2.7112679999999996</v>
      </c>
      <c r="H7789" s="8">
        <v>2.5821599999999996</v>
      </c>
      <c r="I7789" s="19">
        <f t="shared" si="243"/>
        <v>0</v>
      </c>
    </row>
    <row r="7790" spans="1:9" hidden="1">
      <c r="A7790" s="11" t="s">
        <v>11260</v>
      </c>
      <c r="B7790" s="2" t="s">
        <v>13292</v>
      </c>
      <c r="C7790" s="2" t="s">
        <v>13293</v>
      </c>
      <c r="D7790" s="2"/>
      <c r="E7790" s="2">
        <v>1</v>
      </c>
      <c r="F7790" s="9"/>
      <c r="G7790" s="8">
        <f t="shared" si="242"/>
        <v>2.2427500990099012</v>
      </c>
      <c r="H7790" s="8">
        <v>2.135952475247525</v>
      </c>
      <c r="I7790" s="19">
        <f t="shared" si="243"/>
        <v>0</v>
      </c>
    </row>
    <row r="7791" spans="1:9" hidden="1">
      <c r="A7791" s="11" t="s">
        <v>11260</v>
      </c>
      <c r="B7791" s="2" t="s">
        <v>13294</v>
      </c>
      <c r="C7791" s="2" t="s">
        <v>13295</v>
      </c>
      <c r="D7791" s="2"/>
      <c r="E7791" s="2">
        <v>1</v>
      </c>
      <c r="F7791" s="9"/>
      <c r="G7791" s="8">
        <f t="shared" si="242"/>
        <v>2.2427500990099012</v>
      </c>
      <c r="H7791" s="8">
        <v>2.135952475247525</v>
      </c>
      <c r="I7791" s="19">
        <f t="shared" si="243"/>
        <v>0</v>
      </c>
    </row>
    <row r="7792" spans="1:9" hidden="1">
      <c r="A7792" s="11" t="s">
        <v>11260</v>
      </c>
      <c r="B7792" s="2" t="s">
        <v>13296</v>
      </c>
      <c r="C7792" s="2" t="s">
        <v>13297</v>
      </c>
      <c r="D7792" s="2"/>
      <c r="E7792" s="2">
        <v>1</v>
      </c>
      <c r="F7792" s="9"/>
      <c r="G7792" s="8">
        <f t="shared" si="242"/>
        <v>3.4706832786885249</v>
      </c>
      <c r="H7792" s="8">
        <v>3.3054126463700237</v>
      </c>
      <c r="I7792" s="19">
        <f t="shared" si="243"/>
        <v>0</v>
      </c>
    </row>
    <row r="7793" spans="1:9" hidden="1">
      <c r="A7793" s="11" t="s">
        <v>11260</v>
      </c>
      <c r="B7793" s="2" t="s">
        <v>13298</v>
      </c>
      <c r="C7793" s="2" t="s">
        <v>13297</v>
      </c>
      <c r="D7793" s="2"/>
      <c r="E7793" s="2">
        <v>1</v>
      </c>
      <c r="F7793" s="9"/>
      <c r="G7793" s="8">
        <f t="shared" si="242"/>
        <v>3.4706832786885249</v>
      </c>
      <c r="H7793" s="8">
        <v>3.3054126463700237</v>
      </c>
      <c r="I7793" s="19">
        <f t="shared" si="243"/>
        <v>0</v>
      </c>
    </row>
    <row r="7794" spans="1:9" hidden="1">
      <c r="A7794" s="11" t="s">
        <v>11260</v>
      </c>
      <c r="B7794" s="2" t="s">
        <v>13299</v>
      </c>
      <c r="C7794" s="2" t="s">
        <v>13300</v>
      </c>
      <c r="D7794" s="2"/>
      <c r="E7794" s="2">
        <v>1</v>
      </c>
      <c r="F7794" s="9"/>
      <c r="G7794" s="8">
        <f t="shared" si="242"/>
        <v>2.4152100000000001</v>
      </c>
      <c r="H7794" s="8">
        <v>2.3002000000000002</v>
      </c>
      <c r="I7794" s="19">
        <f t="shared" si="243"/>
        <v>0</v>
      </c>
    </row>
    <row r="7795" spans="1:9" hidden="1">
      <c r="A7795" s="11" t="s">
        <v>11260</v>
      </c>
      <c r="B7795" s="2" t="s">
        <v>13301</v>
      </c>
      <c r="C7795" s="2" t="s">
        <v>13302</v>
      </c>
      <c r="D7795" s="2"/>
      <c r="E7795" s="2">
        <v>1</v>
      </c>
      <c r="F7795" s="9"/>
      <c r="G7795" s="8">
        <f t="shared" si="242"/>
        <v>6.4525733333333335</v>
      </c>
      <c r="H7795" s="8">
        <v>6.1453079365079368</v>
      </c>
      <c r="I7795" s="19">
        <f t="shared" si="243"/>
        <v>0</v>
      </c>
    </row>
    <row r="7796" spans="1:9" hidden="1">
      <c r="A7796" s="11" t="s">
        <v>11260</v>
      </c>
      <c r="B7796" s="2" t="s">
        <v>13303</v>
      </c>
      <c r="C7796" s="2" t="s">
        <v>13304</v>
      </c>
      <c r="D7796" s="2"/>
      <c r="E7796" s="2">
        <v>1</v>
      </c>
      <c r="F7796" s="9"/>
      <c r="G7796" s="8">
        <f t="shared" si="242"/>
        <v>6.4525733333333335</v>
      </c>
      <c r="H7796" s="8">
        <v>6.1453079365079368</v>
      </c>
      <c r="I7796" s="19">
        <f t="shared" si="243"/>
        <v>0</v>
      </c>
    </row>
    <row r="7797" spans="1:9" hidden="1">
      <c r="A7797" s="11" t="s">
        <v>11260</v>
      </c>
      <c r="B7797" s="2" t="s">
        <v>13305</v>
      </c>
      <c r="C7797" s="2" t="s">
        <v>13306</v>
      </c>
      <c r="D7797" s="2"/>
      <c r="E7797" s="2">
        <v>1</v>
      </c>
      <c r="F7797" s="9"/>
      <c r="G7797" s="8">
        <f t="shared" si="242"/>
        <v>3.1014734693877557</v>
      </c>
      <c r="H7797" s="8">
        <v>2.9537842565597674</v>
      </c>
      <c r="I7797" s="19">
        <f t="shared" si="243"/>
        <v>0</v>
      </c>
    </row>
    <row r="7798" spans="1:9" hidden="1">
      <c r="A7798" s="11" t="s">
        <v>11260</v>
      </c>
      <c r="B7798" s="2" t="s">
        <v>13307</v>
      </c>
      <c r="C7798" s="2" t="s">
        <v>13308</v>
      </c>
      <c r="D7798" s="2"/>
      <c r="E7798" s="2">
        <v>1</v>
      </c>
      <c r="F7798" s="9"/>
      <c r="G7798" s="8">
        <f t="shared" si="242"/>
        <v>3.1014734693877557</v>
      </c>
      <c r="H7798" s="8">
        <v>2.9537842565597674</v>
      </c>
      <c r="I7798" s="19">
        <f t="shared" si="243"/>
        <v>0</v>
      </c>
    </row>
    <row r="7799" spans="1:9" hidden="1">
      <c r="A7799" s="11" t="s">
        <v>11260</v>
      </c>
      <c r="B7799" s="2" t="s">
        <v>13309</v>
      </c>
      <c r="C7799" s="2" t="s">
        <v>13310</v>
      </c>
      <c r="D7799" s="2"/>
      <c r="E7799" s="2">
        <v>1</v>
      </c>
      <c r="F7799" s="9"/>
      <c r="G7799" s="8">
        <f t="shared" si="242"/>
        <v>2.8142478688524601</v>
      </c>
      <c r="H7799" s="8">
        <v>2.6802360655737716</v>
      </c>
      <c r="I7799" s="19">
        <f t="shared" si="243"/>
        <v>0</v>
      </c>
    </row>
    <row r="7800" spans="1:9" hidden="1">
      <c r="A7800" s="11" t="s">
        <v>11260</v>
      </c>
      <c r="B7800" s="2" t="s">
        <v>13311</v>
      </c>
      <c r="C7800" s="2" t="s">
        <v>13312</v>
      </c>
      <c r="D7800" s="2"/>
      <c r="E7800" s="2">
        <v>1</v>
      </c>
      <c r="F7800" s="9"/>
      <c r="G7800" s="8">
        <f t="shared" si="242"/>
        <v>2.8142478688524601</v>
      </c>
      <c r="H7800" s="8">
        <v>2.6802360655737716</v>
      </c>
      <c r="I7800" s="19">
        <f t="shared" si="243"/>
        <v>0</v>
      </c>
    </row>
    <row r="7801" spans="1:9" hidden="1">
      <c r="A7801" s="11" t="s">
        <v>11260</v>
      </c>
      <c r="B7801" s="2" t="s">
        <v>13313</v>
      </c>
      <c r="C7801" s="2" t="s">
        <v>13314</v>
      </c>
      <c r="D7801" s="2"/>
      <c r="E7801" s="2">
        <v>1</v>
      </c>
      <c r="F7801" s="9"/>
      <c r="G7801" s="8">
        <f t="shared" si="242"/>
        <v>2.6269365994236313</v>
      </c>
      <c r="H7801" s="8">
        <v>2.5018443804034582</v>
      </c>
      <c r="I7801" s="19">
        <f t="shared" si="243"/>
        <v>0</v>
      </c>
    </row>
    <row r="7802" spans="1:9" hidden="1">
      <c r="A7802" s="11" t="s">
        <v>11260</v>
      </c>
      <c r="B7802" s="2" t="s">
        <v>13315</v>
      </c>
      <c r="C7802" s="2" t="s">
        <v>13314</v>
      </c>
      <c r="D7802" s="2"/>
      <c r="E7802" s="2">
        <v>1</v>
      </c>
      <c r="F7802" s="9"/>
      <c r="G7802" s="8">
        <f t="shared" si="242"/>
        <v>2.6269365994236313</v>
      </c>
      <c r="H7802" s="8">
        <v>2.5018443804034582</v>
      </c>
      <c r="I7802" s="19">
        <f t="shared" si="243"/>
        <v>0</v>
      </c>
    </row>
    <row r="7803" spans="1:9" hidden="1">
      <c r="A7803" s="11" t="s">
        <v>11260</v>
      </c>
      <c r="B7803" s="2" t="s">
        <v>13316</v>
      </c>
      <c r="C7803" s="2" t="s">
        <v>13317</v>
      </c>
      <c r="D7803" s="2"/>
      <c r="E7803" s="2">
        <v>1</v>
      </c>
      <c r="F7803" s="9"/>
      <c r="G7803" s="8">
        <f t="shared" si="242"/>
        <v>3.2602235928143717</v>
      </c>
      <c r="H7803" s="8">
        <v>3.1049748502994015</v>
      </c>
      <c r="I7803" s="19">
        <f t="shared" si="243"/>
        <v>0</v>
      </c>
    </row>
    <row r="7804" spans="1:9" hidden="1">
      <c r="A7804" s="11" t="s">
        <v>11260</v>
      </c>
      <c r="B7804" s="2" t="s">
        <v>13318</v>
      </c>
      <c r="C7804" s="2" t="s">
        <v>13319</v>
      </c>
      <c r="D7804" s="2"/>
      <c r="E7804" s="2">
        <v>1</v>
      </c>
      <c r="F7804" s="9"/>
      <c r="G7804" s="8">
        <f t="shared" si="242"/>
        <v>3.2602235928143717</v>
      </c>
      <c r="H7804" s="8">
        <v>3.1049748502994015</v>
      </c>
      <c r="I7804" s="19">
        <f t="shared" si="243"/>
        <v>0</v>
      </c>
    </row>
    <row r="7805" spans="1:9" hidden="1">
      <c r="A7805" s="11" t="s">
        <v>11260</v>
      </c>
      <c r="B7805" s="2" t="s">
        <v>13320</v>
      </c>
      <c r="C7805" s="2" t="s">
        <v>13321</v>
      </c>
      <c r="D7805" s="2"/>
      <c r="E7805" s="2">
        <v>1</v>
      </c>
      <c r="F7805" s="9"/>
      <c r="G7805" s="8">
        <f t="shared" si="242"/>
        <v>3.0830648275862074</v>
      </c>
      <c r="H7805" s="8">
        <v>2.9362522167487688</v>
      </c>
      <c r="I7805" s="19">
        <f t="shared" si="243"/>
        <v>0</v>
      </c>
    </row>
    <row r="7806" spans="1:9" hidden="1">
      <c r="A7806" s="11" t="s">
        <v>11260</v>
      </c>
      <c r="B7806" s="2" t="s">
        <v>13322</v>
      </c>
      <c r="C7806" s="2" t="s">
        <v>13323</v>
      </c>
      <c r="D7806" s="2"/>
      <c r="E7806" s="2">
        <v>1</v>
      </c>
      <c r="F7806" s="9"/>
      <c r="G7806" s="8">
        <f t="shared" si="242"/>
        <v>3.0830648275862074</v>
      </c>
      <c r="H7806" s="8">
        <v>2.9362522167487688</v>
      </c>
      <c r="I7806" s="19">
        <f t="shared" si="243"/>
        <v>0</v>
      </c>
    </row>
    <row r="7807" spans="1:9" hidden="1">
      <c r="A7807" s="11" t="s">
        <v>11260</v>
      </c>
      <c r="B7807" s="2" t="s">
        <v>13324</v>
      </c>
      <c r="C7807" s="2" t="s">
        <v>13325</v>
      </c>
      <c r="D7807" s="2"/>
      <c r="E7807" s="2">
        <v>1</v>
      </c>
      <c r="F7807" s="9"/>
      <c r="G7807" s="8">
        <f t="shared" si="242"/>
        <v>3.6642923796034004</v>
      </c>
      <c r="H7807" s="8">
        <v>3.4898022662889527</v>
      </c>
      <c r="I7807" s="19">
        <f t="shared" si="243"/>
        <v>0</v>
      </c>
    </row>
    <row r="7808" spans="1:9" hidden="1">
      <c r="A7808" s="11" t="s">
        <v>11260</v>
      </c>
      <c r="B7808" s="2" t="s">
        <v>13326</v>
      </c>
      <c r="C7808" s="2" t="s">
        <v>13327</v>
      </c>
      <c r="D7808" s="2"/>
      <c r="E7808" s="2">
        <v>1</v>
      </c>
      <c r="F7808" s="9"/>
      <c r="G7808" s="8">
        <f t="shared" si="242"/>
        <v>3.6642923796034004</v>
      </c>
      <c r="H7808" s="8">
        <v>3.4898022662889527</v>
      </c>
      <c r="I7808" s="19">
        <f t="shared" si="243"/>
        <v>0</v>
      </c>
    </row>
    <row r="7809" spans="1:9" hidden="1">
      <c r="A7809" s="11" t="s">
        <v>11260</v>
      </c>
      <c r="B7809" s="2" t="s">
        <v>13328</v>
      </c>
      <c r="C7809" s="2" t="s">
        <v>9387</v>
      </c>
      <c r="D7809" s="2"/>
      <c r="E7809" s="2">
        <v>1</v>
      </c>
      <c r="F7809" s="9"/>
      <c r="G7809" s="8">
        <f t="shared" si="242"/>
        <v>2.8823352631578949</v>
      </c>
      <c r="H7809" s="8">
        <v>2.7450812030075191</v>
      </c>
      <c r="I7809" s="19">
        <f t="shared" si="243"/>
        <v>0</v>
      </c>
    </row>
    <row r="7810" spans="1:9" hidden="1">
      <c r="A7810" s="11" t="s">
        <v>11260</v>
      </c>
      <c r="B7810" s="2" t="s">
        <v>13329</v>
      </c>
      <c r="C7810" s="2" t="s">
        <v>9387</v>
      </c>
      <c r="D7810" s="2"/>
      <c r="E7810" s="2">
        <v>1</v>
      </c>
      <c r="F7810" s="9"/>
      <c r="G7810" s="8">
        <f t="shared" si="242"/>
        <v>2.1020383486238527</v>
      </c>
      <c r="H7810" s="8">
        <v>2.0019412844036695</v>
      </c>
      <c r="I7810" s="19">
        <f t="shared" si="243"/>
        <v>0</v>
      </c>
    </row>
    <row r="7811" spans="1:9" hidden="1">
      <c r="A7811" s="11" t="s">
        <v>11260</v>
      </c>
      <c r="B7811" s="2" t="s">
        <v>13330</v>
      </c>
      <c r="C7811" s="2" t="s">
        <v>13331</v>
      </c>
      <c r="D7811" s="2"/>
      <c r="E7811" s="2">
        <v>1</v>
      </c>
      <c r="F7811" s="9"/>
      <c r="G7811" s="8">
        <f t="shared" si="242"/>
        <v>11.025701971830987</v>
      </c>
      <c r="H7811" s="8">
        <v>10.50066854460094</v>
      </c>
      <c r="I7811" s="19">
        <f t="shared" si="243"/>
        <v>0</v>
      </c>
    </row>
    <row r="7812" spans="1:9" hidden="1">
      <c r="A7812" s="11" t="s">
        <v>11260</v>
      </c>
      <c r="B7812" s="2" t="s">
        <v>13332</v>
      </c>
      <c r="C7812" s="2" t="s">
        <v>9387</v>
      </c>
      <c r="D7812" s="2"/>
      <c r="E7812" s="2">
        <v>1</v>
      </c>
      <c r="F7812" s="9"/>
      <c r="G7812" s="8">
        <f t="shared" si="242"/>
        <v>3.3803580681818182</v>
      </c>
      <c r="H7812" s="8">
        <v>3.2193886363636364</v>
      </c>
      <c r="I7812" s="19">
        <f t="shared" si="243"/>
        <v>0</v>
      </c>
    </row>
    <row r="7813" spans="1:9" hidden="1">
      <c r="A7813" s="11" t="s">
        <v>11260</v>
      </c>
      <c r="B7813" s="2" t="s">
        <v>13333</v>
      </c>
      <c r="C7813" s="2" t="s">
        <v>13334</v>
      </c>
      <c r="D7813" s="2"/>
      <c r="E7813" s="2">
        <v>1</v>
      </c>
      <c r="F7813" s="9"/>
      <c r="G7813" s="8">
        <f t="shared" si="242"/>
        <v>8.6240172963988933</v>
      </c>
      <c r="H7813" s="8">
        <v>8.2133498060941843</v>
      </c>
      <c r="I7813" s="19">
        <f t="shared" si="243"/>
        <v>0</v>
      </c>
    </row>
    <row r="7814" spans="1:9" hidden="1">
      <c r="A7814" s="11" t="s">
        <v>11260</v>
      </c>
      <c r="B7814" s="2" t="s">
        <v>13335</v>
      </c>
      <c r="C7814" s="2" t="s">
        <v>13336</v>
      </c>
      <c r="D7814" s="2"/>
      <c r="E7814" s="2">
        <v>1</v>
      </c>
      <c r="F7814" s="9"/>
      <c r="G7814" s="8">
        <f t="shared" si="242"/>
        <v>2.515044181034483</v>
      </c>
      <c r="H7814" s="8">
        <v>2.3952801724137935</v>
      </c>
      <c r="I7814" s="19">
        <f t="shared" si="243"/>
        <v>0</v>
      </c>
    </row>
    <row r="7815" spans="1:9" hidden="1">
      <c r="A7815" s="11" t="s">
        <v>11260</v>
      </c>
      <c r="B7815" s="2" t="s">
        <v>13337</v>
      </c>
      <c r="C7815" s="2" t="s">
        <v>13338</v>
      </c>
      <c r="D7815" s="2"/>
      <c r="E7815" s="2">
        <v>1</v>
      </c>
      <c r="F7815" s="9"/>
      <c r="G7815" s="8">
        <f t="shared" si="242"/>
        <v>6.7762976635514018</v>
      </c>
      <c r="H7815" s="8">
        <v>6.4536168224299066</v>
      </c>
      <c r="I7815" s="19">
        <f t="shared" si="243"/>
        <v>0</v>
      </c>
    </row>
    <row r="7816" spans="1:9">
      <c r="A7816" s="11" t="s">
        <v>11260</v>
      </c>
      <c r="B7816" s="2" t="s">
        <v>13339</v>
      </c>
      <c r="C7816" s="2" t="s">
        <v>13340</v>
      </c>
      <c r="D7816" s="2"/>
      <c r="E7816" s="2">
        <v>1</v>
      </c>
      <c r="F7816" s="9">
        <f>53+9</f>
        <v>62</v>
      </c>
      <c r="G7816" s="8">
        <f t="shared" si="242"/>
        <v>2.2208432432432432</v>
      </c>
      <c r="H7816" s="8">
        <v>2.1150888030888031</v>
      </c>
      <c r="I7816" s="19">
        <f t="shared" si="243"/>
        <v>137.69228108108109</v>
      </c>
    </row>
    <row r="7817" spans="1:9" hidden="1">
      <c r="A7817" s="11" t="s">
        <v>11260</v>
      </c>
      <c r="B7817" s="2" t="s">
        <v>13341</v>
      </c>
      <c r="C7817" s="2" t="s">
        <v>13342</v>
      </c>
      <c r="D7817" s="2"/>
      <c r="E7817" s="2">
        <v>1</v>
      </c>
      <c r="F7817" s="9"/>
      <c r="G7817" s="8">
        <f t="shared" si="242"/>
        <v>3.2872301834862383</v>
      </c>
      <c r="H7817" s="8">
        <v>3.1306954128440365</v>
      </c>
      <c r="I7817" s="19">
        <f t="shared" si="243"/>
        <v>0</v>
      </c>
    </row>
    <row r="7818" spans="1:9" hidden="1">
      <c r="A7818" s="11" t="s">
        <v>11260</v>
      </c>
      <c r="B7818" s="2" t="s">
        <v>13343</v>
      </c>
      <c r="C7818" s="2" t="s">
        <v>13344</v>
      </c>
      <c r="D7818" s="2"/>
      <c r="E7818" s="2">
        <v>1</v>
      </c>
      <c r="F7818" s="9"/>
      <c r="G7818" s="8">
        <f t="shared" si="242"/>
        <v>3.9721667553191486</v>
      </c>
      <c r="H7818" s="8">
        <v>3.7830159574468083</v>
      </c>
      <c r="I7818" s="19">
        <f t="shared" si="243"/>
        <v>0</v>
      </c>
    </row>
    <row r="7819" spans="1:9" hidden="1">
      <c r="A7819" s="11" t="s">
        <v>11260</v>
      </c>
      <c r="B7819" s="2" t="s">
        <v>13345</v>
      </c>
      <c r="C7819" s="2" t="s">
        <v>13346</v>
      </c>
      <c r="D7819" s="2"/>
      <c r="E7819" s="2">
        <v>1</v>
      </c>
      <c r="F7819" s="9"/>
      <c r="G7819" s="8">
        <f t="shared" si="242"/>
        <v>1.8900000000000001</v>
      </c>
      <c r="H7819" s="8">
        <v>1.8</v>
      </c>
      <c r="I7819" s="19">
        <f t="shared" si="243"/>
        <v>0</v>
      </c>
    </row>
    <row r="7820" spans="1:9">
      <c r="A7820" s="11" t="s">
        <v>11260</v>
      </c>
      <c r="B7820" s="2" t="s">
        <v>13347</v>
      </c>
      <c r="C7820" s="2" t="s">
        <v>13348</v>
      </c>
      <c r="D7820" s="2"/>
      <c r="E7820" s="2">
        <v>1</v>
      </c>
      <c r="F7820" s="9">
        <v>713</v>
      </c>
      <c r="G7820" s="8">
        <f t="shared" si="242"/>
        <v>2.1368446632124352</v>
      </c>
      <c r="H7820" s="8">
        <v>2.0350901554404146</v>
      </c>
      <c r="I7820" s="19">
        <f t="shared" si="243"/>
        <v>1523.5702448704662</v>
      </c>
    </row>
    <row r="7821" spans="1:9" hidden="1">
      <c r="A7821" s="11" t="s">
        <v>11260</v>
      </c>
      <c r="B7821" s="2" t="s">
        <v>13349</v>
      </c>
      <c r="C7821" s="2" t="s">
        <v>13350</v>
      </c>
      <c r="D7821" s="2"/>
      <c r="E7821" s="2">
        <v>1</v>
      </c>
      <c r="F7821" s="9"/>
      <c r="G7821" s="8">
        <f t="shared" si="242"/>
        <v>10.985309999999998</v>
      </c>
      <c r="H7821" s="8">
        <v>10.462199999999999</v>
      </c>
      <c r="I7821" s="19">
        <f t="shared" si="243"/>
        <v>0</v>
      </c>
    </row>
    <row r="7822" spans="1:9" hidden="1">
      <c r="A7822" s="11" t="s">
        <v>11260</v>
      </c>
      <c r="B7822" s="2" t="s">
        <v>13351</v>
      </c>
      <c r="C7822" s="2" t="s">
        <v>13352</v>
      </c>
      <c r="D7822" s="2"/>
      <c r="E7822" s="2">
        <v>1</v>
      </c>
      <c r="F7822" s="9"/>
      <c r="G7822" s="8">
        <f t="shared" si="242"/>
        <v>11.25243</v>
      </c>
      <c r="H7822" s="8">
        <v>10.7166</v>
      </c>
      <c r="I7822" s="19">
        <f t="shared" si="243"/>
        <v>0</v>
      </c>
    </row>
    <row r="7823" spans="1:9" hidden="1">
      <c r="A7823" s="11" t="s">
        <v>11260</v>
      </c>
      <c r="B7823" s="2" t="s">
        <v>13353</v>
      </c>
      <c r="C7823" s="2" t="s">
        <v>13354</v>
      </c>
      <c r="D7823" s="2"/>
      <c r="E7823" s="2">
        <v>1</v>
      </c>
      <c r="F7823" s="9"/>
      <c r="G7823" s="8">
        <f t="shared" si="242"/>
        <v>15.23780819828408</v>
      </c>
      <c r="H7823" s="8">
        <v>14.512198284080077</v>
      </c>
      <c r="I7823" s="19">
        <f t="shared" si="243"/>
        <v>0</v>
      </c>
    </row>
    <row r="7824" spans="1:9" hidden="1">
      <c r="A7824" s="11" t="s">
        <v>11260</v>
      </c>
      <c r="B7824" s="2" t="s">
        <v>13355</v>
      </c>
      <c r="C7824" s="2" t="s">
        <v>13356</v>
      </c>
      <c r="D7824" s="2"/>
      <c r="E7824" s="2">
        <v>1</v>
      </c>
      <c r="F7824" s="9"/>
      <c r="G7824" s="8">
        <f t="shared" si="242"/>
        <v>9.6635843835616448</v>
      </c>
      <c r="H7824" s="8">
        <v>9.203413698630138</v>
      </c>
      <c r="I7824" s="19">
        <f t="shared" si="243"/>
        <v>0</v>
      </c>
    </row>
    <row r="7825" spans="1:9" hidden="1">
      <c r="A7825" s="11" t="s">
        <v>11260</v>
      </c>
      <c r="B7825" s="2" t="s">
        <v>13357</v>
      </c>
      <c r="C7825" s="2" t="s">
        <v>13358</v>
      </c>
      <c r="D7825" s="2"/>
      <c r="E7825" s="2">
        <v>1</v>
      </c>
      <c r="F7825" s="9"/>
      <c r="G7825" s="8">
        <f t="shared" si="242"/>
        <v>5.5415684210526317</v>
      </c>
      <c r="H7825" s="8">
        <v>5.2776842105263162</v>
      </c>
      <c r="I7825" s="19">
        <f t="shared" si="243"/>
        <v>0</v>
      </c>
    </row>
    <row r="7826" spans="1:9" hidden="1">
      <c r="A7826" s="11" t="s">
        <v>11260</v>
      </c>
      <c r="B7826" s="2" t="s">
        <v>13359</v>
      </c>
      <c r="C7826" s="2" t="s">
        <v>13360</v>
      </c>
      <c r="D7826" s="2"/>
      <c r="E7826" s="2">
        <v>1</v>
      </c>
      <c r="F7826" s="9"/>
      <c r="G7826" s="8">
        <f t="shared" si="242"/>
        <v>8.017121239592969</v>
      </c>
      <c r="H7826" s="8">
        <v>7.635353561517114</v>
      </c>
      <c r="I7826" s="19">
        <f t="shared" si="243"/>
        <v>0</v>
      </c>
    </row>
    <row r="7827" spans="1:9" hidden="1">
      <c r="A7827" s="11" t="s">
        <v>11260</v>
      </c>
      <c r="B7827" s="2" t="s">
        <v>13361</v>
      </c>
      <c r="C7827" s="2" t="s">
        <v>13362</v>
      </c>
      <c r="D7827" s="2"/>
      <c r="E7827" s="2">
        <v>1</v>
      </c>
      <c r="F7827" s="9"/>
      <c r="G7827" s="8">
        <f t="shared" si="242"/>
        <v>2.0806885279187819</v>
      </c>
      <c r="H7827" s="8">
        <v>1.9816081218274113</v>
      </c>
      <c r="I7827" s="19">
        <f t="shared" si="243"/>
        <v>0</v>
      </c>
    </row>
    <row r="7828" spans="1:9" hidden="1">
      <c r="A7828" s="11" t="s">
        <v>11260</v>
      </c>
      <c r="B7828" s="2" t="s">
        <v>13363</v>
      </c>
      <c r="C7828" s="2" t="s">
        <v>13364</v>
      </c>
      <c r="D7828" s="2"/>
      <c r="E7828" s="2">
        <v>1</v>
      </c>
      <c r="F7828" s="9"/>
      <c r="G7828" s="8">
        <f t="shared" ref="G7828:G7893" si="244">H7828+(H7828*5%)</f>
        <v>2.829705058365759</v>
      </c>
      <c r="H7828" s="8">
        <v>2.6949571984435798</v>
      </c>
      <c r="I7828" s="19">
        <f t="shared" ref="I7828:I7893" si="245">G7828*F7828</f>
        <v>0</v>
      </c>
    </row>
    <row r="7829" spans="1:9" hidden="1">
      <c r="A7829" s="11" t="s">
        <v>11260</v>
      </c>
      <c r="B7829" s="2" t="s">
        <v>13365</v>
      </c>
      <c r="C7829" s="2" t="s">
        <v>13366</v>
      </c>
      <c r="D7829" s="2"/>
      <c r="E7829" s="2">
        <v>1</v>
      </c>
      <c r="F7829" s="9"/>
      <c r="G7829" s="8">
        <f t="shared" si="244"/>
        <v>1.63611</v>
      </c>
      <c r="H7829" s="8">
        <v>1.5582</v>
      </c>
      <c r="I7829" s="19">
        <f t="shared" si="245"/>
        <v>0</v>
      </c>
    </row>
    <row r="7830" spans="1:9" hidden="1">
      <c r="A7830" s="11" t="s">
        <v>11260</v>
      </c>
      <c r="B7830" s="2" t="s">
        <v>13367</v>
      </c>
      <c r="C7830" s="2" t="s">
        <v>13346</v>
      </c>
      <c r="D7830" s="2"/>
      <c r="E7830" s="2">
        <v>1</v>
      </c>
      <c r="F7830" s="9"/>
      <c r="G7830" s="8">
        <f t="shared" si="244"/>
        <v>2.1360997101449279</v>
      </c>
      <c r="H7830" s="8">
        <v>2.0343806763285026</v>
      </c>
      <c r="I7830" s="19">
        <f t="shared" si="245"/>
        <v>0</v>
      </c>
    </row>
    <row r="7831" spans="1:9">
      <c r="A7831" s="11" t="s">
        <v>11260</v>
      </c>
      <c r="B7831" s="2" t="s">
        <v>13368</v>
      </c>
      <c r="C7831" s="2" t="s">
        <v>13369</v>
      </c>
      <c r="D7831" s="2"/>
      <c r="E7831" s="2">
        <v>1</v>
      </c>
      <c r="F7831" s="9">
        <v>182</v>
      </c>
      <c r="G7831" s="8">
        <f t="shared" si="244"/>
        <v>0.53424000000000005</v>
      </c>
      <c r="H7831" s="8">
        <v>0.50880000000000003</v>
      </c>
      <c r="I7831" s="19">
        <f t="shared" si="245"/>
        <v>97.231680000000011</v>
      </c>
    </row>
    <row r="7832" spans="1:9">
      <c r="A7832" s="11" t="s">
        <v>11260</v>
      </c>
      <c r="B7832" s="2" t="s">
        <v>13370</v>
      </c>
      <c r="C7832" s="2" t="s">
        <v>13371</v>
      </c>
      <c r="D7832" s="2"/>
      <c r="E7832" s="2">
        <v>1</v>
      </c>
      <c r="F7832" s="9">
        <v>100</v>
      </c>
      <c r="G7832" s="8">
        <f t="shared" si="244"/>
        <v>1.501922957746479</v>
      </c>
      <c r="H7832" s="8">
        <v>1.4304028169014085</v>
      </c>
      <c r="I7832" s="19">
        <f t="shared" si="245"/>
        <v>150.1922957746479</v>
      </c>
    </row>
    <row r="7833" spans="1:9" hidden="1">
      <c r="A7833" s="11" t="s">
        <v>11260</v>
      </c>
      <c r="B7833" s="2" t="s">
        <v>13372</v>
      </c>
      <c r="C7833" s="2" t="s">
        <v>13373</v>
      </c>
      <c r="D7833" s="2"/>
      <c r="E7833" s="2">
        <v>1</v>
      </c>
      <c r="F7833" s="9"/>
      <c r="G7833" s="8">
        <f t="shared" si="244"/>
        <v>2.4591090128755364</v>
      </c>
      <c r="H7833" s="8">
        <v>2.342008583690987</v>
      </c>
      <c r="I7833" s="19">
        <f t="shared" si="245"/>
        <v>0</v>
      </c>
    </row>
    <row r="7834" spans="1:9" hidden="1">
      <c r="A7834" s="11" t="s">
        <v>11260</v>
      </c>
      <c r="B7834" s="2" t="s">
        <v>13374</v>
      </c>
      <c r="C7834" s="2" t="s">
        <v>13375</v>
      </c>
      <c r="D7834" s="2"/>
      <c r="E7834" s="2">
        <v>1</v>
      </c>
      <c r="F7834" s="9"/>
      <c r="G7834" s="8">
        <f t="shared" si="244"/>
        <v>3.8163567590027703</v>
      </c>
      <c r="H7834" s="8">
        <v>3.6346254847645429</v>
      </c>
      <c r="I7834" s="19">
        <f t="shared" si="245"/>
        <v>0</v>
      </c>
    </row>
    <row r="7835" spans="1:9" hidden="1">
      <c r="A7835" s="11" t="s">
        <v>11260</v>
      </c>
      <c r="B7835" s="2" t="s">
        <v>13376</v>
      </c>
      <c r="C7835" s="2" t="s">
        <v>13377</v>
      </c>
      <c r="D7835" s="2"/>
      <c r="E7835" s="2">
        <v>1</v>
      </c>
      <c r="F7835" s="9"/>
      <c r="G7835" s="8">
        <f t="shared" si="244"/>
        <v>2.4547406896551727</v>
      </c>
      <c r="H7835" s="8">
        <v>2.3378482758620693</v>
      </c>
      <c r="I7835" s="19">
        <f t="shared" si="245"/>
        <v>0</v>
      </c>
    </row>
    <row r="7836" spans="1:9" hidden="1">
      <c r="A7836" s="11" t="s">
        <v>11260</v>
      </c>
      <c r="B7836" s="2" t="s">
        <v>13378</v>
      </c>
      <c r="C7836" s="2" t="s">
        <v>13379</v>
      </c>
      <c r="D7836" s="2"/>
      <c r="E7836" s="2">
        <v>1</v>
      </c>
      <c r="F7836" s="9"/>
      <c r="G7836" s="8">
        <f t="shared" si="244"/>
        <v>3.8116959640102825</v>
      </c>
      <c r="H7836" s="8">
        <v>3.6301866323907452</v>
      </c>
      <c r="I7836" s="19">
        <f t="shared" si="245"/>
        <v>0</v>
      </c>
    </row>
    <row r="7837" spans="1:9" hidden="1">
      <c r="A7837" s="11" t="s">
        <v>11260</v>
      </c>
      <c r="B7837" s="2" t="s">
        <v>13380</v>
      </c>
      <c r="C7837" s="2" t="s">
        <v>13381</v>
      </c>
      <c r="D7837" s="2"/>
      <c r="E7837" s="2">
        <v>1</v>
      </c>
      <c r="F7837" s="9"/>
      <c r="G7837" s="8">
        <f t="shared" si="244"/>
        <v>2.4658436619718316</v>
      </c>
      <c r="H7837" s="8">
        <v>2.348422535211268</v>
      </c>
      <c r="I7837" s="19">
        <f t="shared" si="245"/>
        <v>0</v>
      </c>
    </row>
    <row r="7838" spans="1:9" hidden="1">
      <c r="A7838" s="11" t="s">
        <v>11260</v>
      </c>
      <c r="B7838" s="2" t="s">
        <v>13382</v>
      </c>
      <c r="C7838" s="2" t="s">
        <v>13381</v>
      </c>
      <c r="D7838" s="2"/>
      <c r="E7838" s="2">
        <v>1</v>
      </c>
      <c r="F7838" s="9"/>
      <c r="G7838" s="8">
        <f t="shared" si="244"/>
        <v>2.4486000000000003</v>
      </c>
      <c r="H7838" s="8">
        <v>2.3320000000000003</v>
      </c>
      <c r="I7838" s="19">
        <f t="shared" si="245"/>
        <v>0</v>
      </c>
    </row>
    <row r="7839" spans="1:9" hidden="1">
      <c r="A7839" s="11" t="s">
        <v>11260</v>
      </c>
      <c r="B7839" s="2" t="s">
        <v>13383</v>
      </c>
      <c r="C7839" s="2" t="s">
        <v>13384</v>
      </c>
      <c r="D7839" s="2"/>
      <c r="E7839" s="2">
        <v>1</v>
      </c>
      <c r="F7839" s="9"/>
      <c r="G7839" s="8">
        <f t="shared" si="244"/>
        <v>2.8767118681318675</v>
      </c>
      <c r="H7839" s="8">
        <v>2.7397255886970169</v>
      </c>
      <c r="I7839" s="19">
        <f t="shared" si="245"/>
        <v>0</v>
      </c>
    </row>
    <row r="7840" spans="1:9" hidden="1">
      <c r="A7840" s="11" t="s">
        <v>11260</v>
      </c>
      <c r="B7840" s="2" t="s">
        <v>13385</v>
      </c>
      <c r="C7840" s="2" t="s">
        <v>13386</v>
      </c>
      <c r="D7840" s="2"/>
      <c r="E7840" s="2">
        <v>1</v>
      </c>
      <c r="F7840" s="9"/>
      <c r="G7840" s="8">
        <f t="shared" si="244"/>
        <v>2.8767118681318675</v>
      </c>
      <c r="H7840" s="8">
        <v>2.7397255886970169</v>
      </c>
      <c r="I7840" s="19">
        <f t="shared" si="245"/>
        <v>0</v>
      </c>
    </row>
    <row r="7841" spans="1:9">
      <c r="A7841" s="11" t="s">
        <v>11260</v>
      </c>
      <c r="B7841" s="2" t="s">
        <v>13387</v>
      </c>
      <c r="C7841" s="2" t="s">
        <v>13388</v>
      </c>
      <c r="D7841" s="2"/>
      <c r="E7841" s="2">
        <v>1</v>
      </c>
      <c r="F7841" s="9">
        <v>380</v>
      </c>
      <c r="G7841" s="8">
        <f t="shared" si="244"/>
        <v>0.20033999999999999</v>
      </c>
      <c r="H7841" s="8">
        <v>0.1908</v>
      </c>
      <c r="I7841" s="19">
        <f t="shared" si="245"/>
        <v>76.129199999999997</v>
      </c>
    </row>
    <row r="7842" spans="1:9">
      <c r="A7842" s="11" t="s">
        <v>11260</v>
      </c>
      <c r="B7842" s="2" t="s">
        <v>13389</v>
      </c>
      <c r="C7842" s="2" t="s">
        <v>12585</v>
      </c>
      <c r="D7842" s="2"/>
      <c r="E7842" s="2">
        <v>1</v>
      </c>
      <c r="F7842" s="9">
        <f>98+10</f>
        <v>108</v>
      </c>
      <c r="G7842" s="8">
        <f t="shared" si="244"/>
        <v>5.0962956521739127</v>
      </c>
      <c r="H7842" s="8">
        <v>4.8536149068322976</v>
      </c>
      <c r="I7842" s="19">
        <f t="shared" si="245"/>
        <v>550.39993043478262</v>
      </c>
    </row>
    <row r="7843" spans="1:9" hidden="1">
      <c r="A7843" s="11" t="s">
        <v>11260</v>
      </c>
      <c r="B7843" s="2" t="s">
        <v>13390</v>
      </c>
      <c r="C7843" s="2" t="s">
        <v>13391</v>
      </c>
      <c r="D7843" s="2"/>
      <c r="E7843" s="2">
        <v>1</v>
      </c>
      <c r="F7843" s="9"/>
      <c r="G7843" s="8">
        <f t="shared" si="244"/>
        <v>8.6677244525547454</v>
      </c>
      <c r="H7843" s="8">
        <v>8.2549756690997569</v>
      </c>
      <c r="I7843" s="19">
        <f t="shared" si="245"/>
        <v>0</v>
      </c>
    </row>
    <row r="7844" spans="1:9" hidden="1">
      <c r="A7844" s="11" t="s">
        <v>11260</v>
      </c>
      <c r="B7844" s="2" t="s">
        <v>13392</v>
      </c>
      <c r="C7844" s="2" t="s">
        <v>13371</v>
      </c>
      <c r="D7844" s="2"/>
      <c r="E7844" s="2">
        <v>1</v>
      </c>
      <c r="F7844" s="9"/>
      <c r="G7844" s="8">
        <f t="shared" si="244"/>
        <v>3.5937460588235295</v>
      </c>
      <c r="H7844" s="8">
        <v>3.4226152941176471</v>
      </c>
      <c r="I7844" s="19">
        <f t="shared" si="245"/>
        <v>0</v>
      </c>
    </row>
    <row r="7845" spans="1:9" hidden="1">
      <c r="A7845" s="11" t="s">
        <v>11260</v>
      </c>
      <c r="B7845" s="2" t="s">
        <v>13393</v>
      </c>
      <c r="C7845" s="2" t="s">
        <v>13394</v>
      </c>
      <c r="D7845" s="2"/>
      <c r="E7845" s="2">
        <v>1</v>
      </c>
      <c r="F7845" s="9"/>
      <c r="G7845" s="8">
        <f t="shared" si="244"/>
        <v>5.6633011567164173</v>
      </c>
      <c r="H7845" s="8">
        <v>5.3936201492537306</v>
      </c>
      <c r="I7845" s="19">
        <f t="shared" si="245"/>
        <v>0</v>
      </c>
    </row>
    <row r="7846" spans="1:9" hidden="1">
      <c r="A7846" s="11" t="s">
        <v>11260</v>
      </c>
      <c r="B7846" s="2" t="s">
        <v>13395</v>
      </c>
      <c r="C7846" s="2" t="s">
        <v>13396</v>
      </c>
      <c r="D7846" s="2"/>
      <c r="E7846" s="2">
        <v>1</v>
      </c>
      <c r="F7846" s="9"/>
      <c r="G7846" s="8">
        <f t="shared" si="244"/>
        <v>8.7006149999999991</v>
      </c>
      <c r="H7846" s="8">
        <v>8.2862999999999989</v>
      </c>
      <c r="I7846" s="19">
        <f t="shared" si="245"/>
        <v>0</v>
      </c>
    </row>
    <row r="7847" spans="1:9" hidden="1">
      <c r="A7847" s="11" t="s">
        <v>11260</v>
      </c>
      <c r="B7847" s="2" t="s">
        <v>13397</v>
      </c>
      <c r="C7847" s="2" t="s">
        <v>13398</v>
      </c>
      <c r="D7847" s="2"/>
      <c r="E7847" s="2">
        <v>1</v>
      </c>
      <c r="F7847" s="9"/>
      <c r="G7847" s="8">
        <f t="shared" si="244"/>
        <v>5.1423211143695005</v>
      </c>
      <c r="H7847" s="8">
        <v>4.8974486803519053</v>
      </c>
      <c r="I7847" s="19">
        <f t="shared" si="245"/>
        <v>0</v>
      </c>
    </row>
    <row r="7848" spans="1:9" hidden="1">
      <c r="A7848" s="11" t="s">
        <v>11260</v>
      </c>
      <c r="B7848" s="2" t="s">
        <v>13399</v>
      </c>
      <c r="C7848" s="2" t="s">
        <v>13400</v>
      </c>
      <c r="D7848" s="2"/>
      <c r="E7848" s="2">
        <v>1</v>
      </c>
      <c r="F7848" s="9"/>
      <c r="G7848" s="8">
        <f t="shared" si="244"/>
        <v>5.1423211143695005</v>
      </c>
      <c r="H7848" s="8">
        <v>4.8974486803519053</v>
      </c>
      <c r="I7848" s="19">
        <f t="shared" si="245"/>
        <v>0</v>
      </c>
    </row>
    <row r="7849" spans="1:9" hidden="1">
      <c r="A7849" s="11" t="s">
        <v>11260</v>
      </c>
      <c r="B7849" s="2" t="s">
        <v>13401</v>
      </c>
      <c r="C7849" s="2" t="s">
        <v>13402</v>
      </c>
      <c r="D7849" s="2"/>
      <c r="E7849" s="2">
        <v>1</v>
      </c>
      <c r="F7849" s="9"/>
      <c r="G7849" s="8">
        <f t="shared" si="244"/>
        <v>2.7739384615384619</v>
      </c>
      <c r="H7849" s="8">
        <v>2.6418461538461542</v>
      </c>
      <c r="I7849" s="19">
        <f t="shared" si="245"/>
        <v>0</v>
      </c>
    </row>
    <row r="7850" spans="1:9" hidden="1">
      <c r="A7850" s="11" t="s">
        <v>11260</v>
      </c>
      <c r="B7850" s="2" t="s">
        <v>13403</v>
      </c>
      <c r="C7850" s="2" t="s">
        <v>13404</v>
      </c>
      <c r="D7850" s="2"/>
      <c r="E7850" s="2">
        <v>1</v>
      </c>
      <c r="F7850" s="9"/>
      <c r="G7850" s="8">
        <f t="shared" si="244"/>
        <v>4.1761574875207996</v>
      </c>
      <c r="H7850" s="8">
        <v>3.9772928452579044</v>
      </c>
      <c r="I7850" s="19">
        <f t="shared" si="245"/>
        <v>0</v>
      </c>
    </row>
    <row r="7851" spans="1:9" hidden="1">
      <c r="A7851" s="11" t="s">
        <v>11260</v>
      </c>
      <c r="B7851" s="2" t="s">
        <v>13405</v>
      </c>
      <c r="C7851" s="2" t="s">
        <v>13406</v>
      </c>
      <c r="D7851" s="2"/>
      <c r="E7851" s="2">
        <v>1</v>
      </c>
      <c r="F7851" s="9"/>
      <c r="G7851" s="8">
        <f t="shared" si="244"/>
        <v>1.3442131658291459</v>
      </c>
      <c r="H7851" s="8">
        <v>1.2802030150753769</v>
      </c>
      <c r="I7851" s="19">
        <f t="shared" si="245"/>
        <v>0</v>
      </c>
    </row>
    <row r="7852" spans="1:9" hidden="1">
      <c r="A7852" s="11" t="s">
        <v>11260</v>
      </c>
      <c r="B7852" s="2" t="s">
        <v>13407</v>
      </c>
      <c r="C7852" s="2" t="s">
        <v>13408</v>
      </c>
      <c r="D7852" s="2"/>
      <c r="E7852" s="2">
        <v>1</v>
      </c>
      <c r="F7852" s="9"/>
      <c r="G7852" s="8">
        <f t="shared" si="244"/>
        <v>1.9815447272727273</v>
      </c>
      <c r="H7852" s="8">
        <v>1.8871854545454547</v>
      </c>
      <c r="I7852" s="19">
        <f t="shared" si="245"/>
        <v>0</v>
      </c>
    </row>
    <row r="7853" spans="1:9">
      <c r="A7853" s="11"/>
      <c r="B7853" s="2" t="s">
        <v>13409</v>
      </c>
      <c r="C7853" s="2" t="s">
        <v>13410</v>
      </c>
      <c r="D7853" s="2"/>
      <c r="E7853" s="2">
        <v>1</v>
      </c>
      <c r="F7853" s="9">
        <v>70</v>
      </c>
      <c r="G7853" s="8">
        <f>H7853+(H7853*5%)</f>
        <v>0.79380000000000006</v>
      </c>
      <c r="H7853" s="8">
        <v>0.75600000000000001</v>
      </c>
      <c r="I7853" s="19">
        <f>G7853*F7853</f>
        <v>55.566000000000003</v>
      </c>
    </row>
    <row r="7854" spans="1:9">
      <c r="A7854" s="11" t="s">
        <v>11260</v>
      </c>
      <c r="B7854" s="2" t="s">
        <v>13411</v>
      </c>
      <c r="C7854" s="2" t="s">
        <v>13410</v>
      </c>
      <c r="D7854" s="2"/>
      <c r="E7854" s="2">
        <v>1</v>
      </c>
      <c r="F7854" s="9">
        <v>137</v>
      </c>
      <c r="G7854" s="8">
        <f t="shared" si="244"/>
        <v>0.79380000000000006</v>
      </c>
      <c r="H7854" s="8">
        <v>0.75600000000000001</v>
      </c>
      <c r="I7854" s="19">
        <f t="shared" si="245"/>
        <v>108.75060000000001</v>
      </c>
    </row>
    <row r="7855" spans="1:9" hidden="1">
      <c r="A7855" s="11" t="s">
        <v>11260</v>
      </c>
      <c r="B7855" s="2" t="s">
        <v>13412</v>
      </c>
      <c r="C7855" s="2" t="s">
        <v>13413</v>
      </c>
      <c r="D7855" s="2"/>
      <c r="E7855" s="2">
        <v>1</v>
      </c>
      <c r="F7855" s="9"/>
      <c r="G7855" s="8">
        <f t="shared" si="244"/>
        <v>1.2879</v>
      </c>
      <c r="H7855" s="8">
        <v>1.2265714285714286</v>
      </c>
      <c r="I7855" s="19">
        <f t="shared" si="245"/>
        <v>0</v>
      </c>
    </row>
    <row r="7856" spans="1:9">
      <c r="A7856" s="11"/>
      <c r="B7856" s="2" t="s">
        <v>13414</v>
      </c>
      <c r="C7856" s="2" t="s">
        <v>13415</v>
      </c>
      <c r="D7856" s="2"/>
      <c r="E7856" s="2">
        <v>1</v>
      </c>
      <c r="F7856" s="9">
        <v>12</v>
      </c>
      <c r="G7856" s="8">
        <f>H7856+(H7856*5%)</f>
        <v>1.9698007894736842</v>
      </c>
      <c r="H7856" s="8">
        <v>1.8760007518796993</v>
      </c>
      <c r="I7856" s="19">
        <f>G7856*F7856</f>
        <v>23.637609473684211</v>
      </c>
    </row>
    <row r="7857" spans="1:9">
      <c r="A7857" s="11" t="s">
        <v>11260</v>
      </c>
      <c r="B7857" s="2" t="s">
        <v>13416</v>
      </c>
      <c r="C7857" s="2" t="s">
        <v>13417</v>
      </c>
      <c r="D7857" s="2"/>
      <c r="E7857" s="2">
        <v>1</v>
      </c>
      <c r="F7857" s="9">
        <v>300</v>
      </c>
      <c r="G7857" s="8">
        <f t="shared" si="244"/>
        <v>1.9698007894736842</v>
      </c>
      <c r="H7857" s="8">
        <v>1.8760007518796993</v>
      </c>
      <c r="I7857" s="19">
        <f>G7857*F7857</f>
        <v>590.94023684210526</v>
      </c>
    </row>
    <row r="7858" spans="1:9" hidden="1">
      <c r="A7858" s="11" t="s">
        <v>11260</v>
      </c>
      <c r="B7858" s="2" t="s">
        <v>13418</v>
      </c>
      <c r="C7858" s="2" t="s">
        <v>13419</v>
      </c>
      <c r="D7858" s="2"/>
      <c r="E7858" s="2">
        <v>1</v>
      </c>
      <c r="F7858" s="9"/>
      <c r="G7858" s="8">
        <f t="shared" si="244"/>
        <v>3.9251626229508205</v>
      </c>
      <c r="H7858" s="8">
        <v>3.7382501170960194</v>
      </c>
      <c r="I7858" s="19">
        <f t="shared" si="245"/>
        <v>0</v>
      </c>
    </row>
    <row r="7859" spans="1:9">
      <c r="A7859" s="11" t="s">
        <v>11260</v>
      </c>
      <c r="B7859" s="2" t="s">
        <v>13420</v>
      </c>
      <c r="C7859" s="2" t="s">
        <v>13421</v>
      </c>
      <c r="D7859" s="2"/>
      <c r="E7859" s="2">
        <v>1</v>
      </c>
      <c r="F7859" s="9">
        <v>67</v>
      </c>
      <c r="G7859" s="8">
        <f t="shared" si="244"/>
        <v>1.2022405405405407</v>
      </c>
      <c r="H7859" s="8">
        <v>1.1449909909909912</v>
      </c>
      <c r="I7859" s="19">
        <f t="shared" si="245"/>
        <v>80.550116216216225</v>
      </c>
    </row>
    <row r="7860" spans="1:9" hidden="1">
      <c r="A7860" s="11" t="s">
        <v>11260</v>
      </c>
      <c r="B7860" s="2" t="s">
        <v>13422</v>
      </c>
      <c r="C7860" s="2" t="s">
        <v>13423</v>
      </c>
      <c r="D7860" s="2"/>
      <c r="E7860" s="2">
        <v>1</v>
      </c>
      <c r="F7860" s="9"/>
      <c r="G7860" s="8">
        <f t="shared" si="244"/>
        <v>1.540392</v>
      </c>
      <c r="H7860" s="8">
        <v>1.4670399999999999</v>
      </c>
      <c r="I7860" s="19">
        <f t="shared" si="245"/>
        <v>0</v>
      </c>
    </row>
    <row r="7861" spans="1:9" hidden="1">
      <c r="A7861" s="11" t="s">
        <v>11260</v>
      </c>
      <c r="B7861" s="2" t="s">
        <v>13424</v>
      </c>
      <c r="C7861" s="2" t="s">
        <v>13425</v>
      </c>
      <c r="D7861" s="2"/>
      <c r="E7861" s="2">
        <v>1</v>
      </c>
      <c r="F7861" s="9"/>
      <c r="G7861" s="8">
        <f t="shared" si="244"/>
        <v>6.4442700000000004</v>
      </c>
      <c r="H7861" s="8">
        <v>6.1374000000000004</v>
      </c>
      <c r="I7861" s="19">
        <f t="shared" si="245"/>
        <v>0</v>
      </c>
    </row>
    <row r="7862" spans="1:9" hidden="1">
      <c r="A7862" s="11" t="s">
        <v>11260</v>
      </c>
      <c r="B7862" s="2" t="s">
        <v>13426</v>
      </c>
      <c r="C7862" s="2" t="s">
        <v>13427</v>
      </c>
      <c r="D7862" s="2"/>
      <c r="E7862" s="2">
        <v>1</v>
      </c>
      <c r="F7862" s="9"/>
      <c r="G7862" s="8">
        <f t="shared" si="244"/>
        <v>14.44674</v>
      </c>
      <c r="H7862" s="8">
        <v>13.758800000000001</v>
      </c>
      <c r="I7862" s="19">
        <f t="shared" si="245"/>
        <v>0</v>
      </c>
    </row>
    <row r="7863" spans="1:9" hidden="1">
      <c r="A7863" s="11" t="s">
        <v>11260</v>
      </c>
      <c r="B7863" s="2" t="s">
        <v>13428</v>
      </c>
      <c r="C7863" s="2" t="s">
        <v>13429</v>
      </c>
      <c r="D7863" s="2"/>
      <c r="E7863" s="2">
        <v>1</v>
      </c>
      <c r="F7863" s="9"/>
      <c r="G7863" s="8">
        <f t="shared" si="244"/>
        <v>18.909869999999998</v>
      </c>
      <c r="H7863" s="8">
        <v>18.009399999999999</v>
      </c>
      <c r="I7863" s="19">
        <f t="shared" si="245"/>
        <v>0</v>
      </c>
    </row>
    <row r="7864" spans="1:9" hidden="1">
      <c r="A7864" s="11" t="s">
        <v>11260</v>
      </c>
      <c r="B7864" s="2" t="s">
        <v>13430</v>
      </c>
      <c r="C7864" s="2" t="s">
        <v>13431</v>
      </c>
      <c r="D7864" s="2"/>
      <c r="E7864" s="2">
        <v>1</v>
      </c>
      <c r="F7864" s="9"/>
      <c r="G7864" s="8">
        <f t="shared" si="244"/>
        <v>3.5040641860465125</v>
      </c>
      <c r="H7864" s="8">
        <v>3.3372039867109642</v>
      </c>
      <c r="I7864" s="19">
        <f t="shared" si="245"/>
        <v>0</v>
      </c>
    </row>
    <row r="7865" spans="1:9" hidden="1">
      <c r="A7865" s="11" t="s">
        <v>11260</v>
      </c>
      <c r="B7865" s="2" t="s">
        <v>13432</v>
      </c>
      <c r="C7865" s="2" t="s">
        <v>13433</v>
      </c>
      <c r="D7865" s="2"/>
      <c r="E7865" s="2">
        <v>1</v>
      </c>
      <c r="F7865" s="9"/>
      <c r="G7865" s="8">
        <f t="shared" si="244"/>
        <v>4.432248169014084</v>
      </c>
      <c r="H7865" s="8">
        <v>4.2211887323943653</v>
      </c>
      <c r="I7865" s="19">
        <f t="shared" si="245"/>
        <v>0</v>
      </c>
    </row>
    <row r="7866" spans="1:9" hidden="1">
      <c r="A7866" s="11" t="s">
        <v>11260</v>
      </c>
      <c r="B7866" s="2" t="s">
        <v>13434</v>
      </c>
      <c r="C7866" s="2" t="s">
        <v>13435</v>
      </c>
      <c r="D7866" s="2"/>
      <c r="E7866" s="2">
        <v>1</v>
      </c>
      <c r="F7866" s="9"/>
      <c r="G7866" s="8">
        <f t="shared" si="244"/>
        <v>5.7239566363636367</v>
      </c>
      <c r="H7866" s="8">
        <v>5.4513872727272732</v>
      </c>
      <c r="I7866" s="19">
        <f t="shared" si="245"/>
        <v>0</v>
      </c>
    </row>
    <row r="7867" spans="1:9" hidden="1">
      <c r="A7867" s="11" t="s">
        <v>11260</v>
      </c>
      <c r="B7867" s="2" t="s">
        <v>13436</v>
      </c>
      <c r="C7867" s="2" t="s">
        <v>13437</v>
      </c>
      <c r="D7867" s="2"/>
      <c r="E7867" s="2">
        <v>1</v>
      </c>
      <c r="F7867" s="9"/>
      <c r="G7867" s="8">
        <f t="shared" si="244"/>
        <v>4.3969009900990095</v>
      </c>
      <c r="H7867" s="8">
        <v>4.1875247524752472</v>
      </c>
      <c r="I7867" s="19">
        <f t="shared" si="245"/>
        <v>0</v>
      </c>
    </row>
    <row r="7868" spans="1:9" hidden="1">
      <c r="A7868" s="11" t="s">
        <v>11260</v>
      </c>
      <c r="B7868" s="2" t="s">
        <v>13438</v>
      </c>
      <c r="C7868" s="2" t="s">
        <v>13439</v>
      </c>
      <c r="D7868" s="2"/>
      <c r="E7868" s="2">
        <v>1</v>
      </c>
      <c r="F7868" s="9"/>
      <c r="G7868" s="8">
        <f t="shared" si="244"/>
        <v>2.3454698936170213</v>
      </c>
      <c r="H7868" s="8">
        <v>2.23378085106383</v>
      </c>
      <c r="I7868" s="19">
        <f t="shared" si="245"/>
        <v>0</v>
      </c>
    </row>
    <row r="7869" spans="1:9" hidden="1">
      <c r="A7869" s="11" t="s">
        <v>11260</v>
      </c>
      <c r="B7869" s="2" t="s">
        <v>13440</v>
      </c>
      <c r="C7869" s="2" t="s">
        <v>13441</v>
      </c>
      <c r="D7869" s="2"/>
      <c r="E7869" s="2">
        <v>1</v>
      </c>
      <c r="F7869" s="9"/>
      <c r="G7869" s="8">
        <f t="shared" si="244"/>
        <v>2.9290844680851071</v>
      </c>
      <c r="H7869" s="8">
        <v>2.7896042553191496</v>
      </c>
      <c r="I7869" s="19">
        <f t="shared" si="245"/>
        <v>0</v>
      </c>
    </row>
    <row r="7870" spans="1:9" hidden="1">
      <c r="A7870" s="11" t="s">
        <v>11260</v>
      </c>
      <c r="B7870" s="2" t="s">
        <v>13442</v>
      </c>
      <c r="C7870" s="2" t="s">
        <v>13443</v>
      </c>
      <c r="D7870" s="2"/>
      <c r="E7870" s="2">
        <v>1</v>
      </c>
      <c r="F7870" s="9"/>
      <c r="G7870" s="8">
        <f t="shared" si="244"/>
        <v>1.3773375000000001</v>
      </c>
      <c r="H7870" s="8">
        <v>1.3117500000000002</v>
      </c>
      <c r="I7870" s="19">
        <f t="shared" si="245"/>
        <v>0</v>
      </c>
    </row>
    <row r="7871" spans="1:9" hidden="1">
      <c r="A7871" s="11" t="s">
        <v>11260</v>
      </c>
      <c r="B7871" s="2" t="s">
        <v>13444</v>
      </c>
      <c r="C7871" s="2" t="s">
        <v>13445</v>
      </c>
      <c r="D7871" s="2"/>
      <c r="E7871" s="2">
        <v>1</v>
      </c>
      <c r="F7871" s="9"/>
      <c r="G7871" s="8">
        <f t="shared" si="244"/>
        <v>1.5518281784386618</v>
      </c>
      <c r="H7871" s="8">
        <v>1.4779315985130113</v>
      </c>
      <c r="I7871" s="19">
        <f t="shared" si="245"/>
        <v>0</v>
      </c>
    </row>
    <row r="7872" spans="1:9" hidden="1">
      <c r="A7872" s="11" t="s">
        <v>11260</v>
      </c>
      <c r="B7872" s="2" t="s">
        <v>13446</v>
      </c>
      <c r="C7872" s="2" t="s">
        <v>13447</v>
      </c>
      <c r="D7872" s="2"/>
      <c r="E7872" s="2">
        <v>1</v>
      </c>
      <c r="F7872" s="9"/>
      <c r="G7872" s="8">
        <f t="shared" si="244"/>
        <v>3.0849212121212117</v>
      </c>
      <c r="H7872" s="8">
        <v>2.9380202020202018</v>
      </c>
      <c r="I7872" s="19">
        <f t="shared" si="245"/>
        <v>0</v>
      </c>
    </row>
    <row r="7873" spans="1:9" hidden="1">
      <c r="A7873" s="11" t="s">
        <v>11260</v>
      </c>
      <c r="B7873" s="2" t="s">
        <v>13448</v>
      </c>
      <c r="C7873" s="2" t="s">
        <v>13449</v>
      </c>
      <c r="D7873" s="2"/>
      <c r="E7873" s="2">
        <v>1</v>
      </c>
      <c r="F7873" s="9"/>
      <c r="G7873" s="8">
        <f t="shared" si="244"/>
        <v>3.1850350000000001</v>
      </c>
      <c r="H7873" s="8">
        <v>3.0333666666666668</v>
      </c>
      <c r="I7873" s="19">
        <f t="shared" si="245"/>
        <v>0</v>
      </c>
    </row>
    <row r="7874" spans="1:9" hidden="1">
      <c r="A7874" s="11" t="s">
        <v>11260</v>
      </c>
      <c r="B7874" s="2" t="s">
        <v>13450</v>
      </c>
      <c r="C7874" s="2" t="s">
        <v>13451</v>
      </c>
      <c r="D7874" s="2"/>
      <c r="E7874" s="2">
        <v>1</v>
      </c>
      <c r="F7874" s="9"/>
      <c r="G7874" s="8">
        <f t="shared" si="244"/>
        <v>2.9588814457831325</v>
      </c>
      <c r="H7874" s="8">
        <v>2.8179823293172692</v>
      </c>
      <c r="I7874" s="19">
        <f t="shared" si="245"/>
        <v>0</v>
      </c>
    </row>
    <row r="7875" spans="1:9" hidden="1">
      <c r="A7875" s="11" t="s">
        <v>11260</v>
      </c>
      <c r="B7875" s="2" t="s">
        <v>13452</v>
      </c>
      <c r="C7875" s="2" t="s">
        <v>13453</v>
      </c>
      <c r="D7875" s="2"/>
      <c r="E7875" s="2">
        <v>1</v>
      </c>
      <c r="F7875" s="9"/>
      <c r="G7875" s="8">
        <f t="shared" si="244"/>
        <v>3.2277284654731466</v>
      </c>
      <c r="H7875" s="8">
        <v>3.0740271099744252</v>
      </c>
      <c r="I7875" s="19">
        <f t="shared" si="245"/>
        <v>0</v>
      </c>
    </row>
    <row r="7876" spans="1:9" hidden="1">
      <c r="A7876" s="11" t="s">
        <v>11260</v>
      </c>
      <c r="B7876" s="2" t="s">
        <v>13454</v>
      </c>
      <c r="C7876" s="2" t="s">
        <v>13455</v>
      </c>
      <c r="D7876" s="2"/>
      <c r="E7876" s="2">
        <v>1</v>
      </c>
      <c r="F7876" s="9"/>
      <c r="G7876" s="8">
        <f t="shared" si="244"/>
        <v>1.2786657692307692</v>
      </c>
      <c r="H7876" s="8">
        <v>1.2177769230769231</v>
      </c>
      <c r="I7876" s="19">
        <f t="shared" si="245"/>
        <v>0</v>
      </c>
    </row>
    <row r="7877" spans="1:9" hidden="1">
      <c r="A7877" s="11" t="s">
        <v>11260</v>
      </c>
      <c r="B7877" s="2" t="s">
        <v>13456</v>
      </c>
      <c r="C7877" s="2" t="s">
        <v>13457</v>
      </c>
      <c r="D7877" s="2"/>
      <c r="E7877" s="2">
        <v>1</v>
      </c>
      <c r="F7877" s="9"/>
      <c r="G7877" s="8">
        <f t="shared" si="244"/>
        <v>1.3132456779661017</v>
      </c>
      <c r="H7877" s="8">
        <v>1.2507101694915255</v>
      </c>
      <c r="I7877" s="19">
        <f t="shared" si="245"/>
        <v>0</v>
      </c>
    </row>
    <row r="7878" spans="1:9" hidden="1">
      <c r="A7878" s="11" t="s">
        <v>11260</v>
      </c>
      <c r="B7878" s="2" t="s">
        <v>13458</v>
      </c>
      <c r="C7878" s="2" t="s">
        <v>13459</v>
      </c>
      <c r="D7878" s="2"/>
      <c r="E7878" s="2">
        <v>1</v>
      </c>
      <c r="F7878" s="9"/>
      <c r="G7878" s="8">
        <f t="shared" si="244"/>
        <v>1.3203068702290075</v>
      </c>
      <c r="H7878" s="8">
        <v>1.2574351145038167</v>
      </c>
      <c r="I7878" s="19">
        <f t="shared" si="245"/>
        <v>0</v>
      </c>
    </row>
    <row r="7879" spans="1:9" hidden="1">
      <c r="A7879" s="11" t="s">
        <v>11260</v>
      </c>
      <c r="B7879" s="2" t="s">
        <v>13460</v>
      </c>
      <c r="C7879" s="2" t="s">
        <v>13461</v>
      </c>
      <c r="D7879" s="2"/>
      <c r="E7879" s="2">
        <v>1</v>
      </c>
      <c r="F7879" s="9"/>
      <c r="G7879" s="8">
        <f t="shared" si="244"/>
        <v>1.4364152173913047</v>
      </c>
      <c r="H7879" s="8">
        <v>1.3680144927536235</v>
      </c>
      <c r="I7879" s="19">
        <f t="shared" si="245"/>
        <v>0</v>
      </c>
    </row>
    <row r="7880" spans="1:9" hidden="1">
      <c r="A7880" s="11" t="s">
        <v>11260</v>
      </c>
      <c r="B7880" s="2" t="s">
        <v>13462</v>
      </c>
      <c r="C7880" s="2" t="s">
        <v>13463</v>
      </c>
      <c r="D7880" s="2"/>
      <c r="E7880" s="2">
        <v>1</v>
      </c>
      <c r="F7880" s="9"/>
      <c r="G7880" s="8">
        <f t="shared" si="244"/>
        <v>1.8488305617977527</v>
      </c>
      <c r="H7880" s="8">
        <v>1.7607910112359551</v>
      </c>
      <c r="I7880" s="19">
        <f t="shared" si="245"/>
        <v>0</v>
      </c>
    </row>
    <row r="7881" spans="1:9" hidden="1">
      <c r="A7881" s="11" t="s">
        <v>11260</v>
      </c>
      <c r="B7881" s="2" t="s">
        <v>13464</v>
      </c>
      <c r="C7881" s="2" t="s">
        <v>13465</v>
      </c>
      <c r="D7881" s="2"/>
      <c r="E7881" s="2">
        <v>1</v>
      </c>
      <c r="F7881" s="9"/>
      <c r="G7881" s="8">
        <f t="shared" si="244"/>
        <v>2.0380392857142859</v>
      </c>
      <c r="H7881" s="8">
        <v>1.9409897959183675</v>
      </c>
      <c r="I7881" s="19">
        <f t="shared" si="245"/>
        <v>0</v>
      </c>
    </row>
    <row r="7882" spans="1:9" hidden="1">
      <c r="A7882" s="11" t="s">
        <v>11260</v>
      </c>
      <c r="B7882" s="2" t="s">
        <v>13466</v>
      </c>
      <c r="C7882" s="2" t="s">
        <v>13467</v>
      </c>
      <c r="D7882" s="2"/>
      <c r="E7882" s="2">
        <v>1</v>
      </c>
      <c r="F7882" s="9"/>
      <c r="G7882" s="8">
        <f t="shared" si="244"/>
        <v>2.6880000000000002</v>
      </c>
      <c r="H7882" s="8">
        <v>2.56</v>
      </c>
      <c r="I7882" s="19">
        <f t="shared" si="245"/>
        <v>0</v>
      </c>
    </row>
    <row r="7883" spans="1:9" hidden="1">
      <c r="A7883" s="11" t="s">
        <v>11260</v>
      </c>
      <c r="B7883" s="2" t="s">
        <v>13468</v>
      </c>
      <c r="C7883" s="2" t="s">
        <v>13469</v>
      </c>
      <c r="D7883" s="2"/>
      <c r="E7883" s="2">
        <v>1</v>
      </c>
      <c r="F7883" s="9"/>
      <c r="G7883" s="8">
        <f t="shared" si="244"/>
        <v>1.5961153846153846</v>
      </c>
      <c r="H7883" s="8">
        <v>1.5201098901098902</v>
      </c>
      <c r="I7883" s="19">
        <f t="shared" si="245"/>
        <v>0</v>
      </c>
    </row>
    <row r="7884" spans="1:9" hidden="1">
      <c r="A7884" s="11" t="s">
        <v>11260</v>
      </c>
      <c r="B7884" s="2" t="s">
        <v>13470</v>
      </c>
      <c r="C7884" s="2" t="s">
        <v>13467</v>
      </c>
      <c r="D7884" s="2"/>
      <c r="E7884" s="2">
        <v>1</v>
      </c>
      <c r="F7884" s="9"/>
      <c r="G7884" s="8">
        <f t="shared" si="244"/>
        <v>2.0470924907063202</v>
      </c>
      <c r="H7884" s="8">
        <v>1.9496118959107811</v>
      </c>
      <c r="I7884" s="19">
        <f t="shared" si="245"/>
        <v>0</v>
      </c>
    </row>
    <row r="7885" spans="1:9" hidden="1">
      <c r="A7885" s="11" t="s">
        <v>11260</v>
      </c>
      <c r="B7885" s="2" t="s">
        <v>13471</v>
      </c>
      <c r="C7885" s="2" t="s">
        <v>13472</v>
      </c>
      <c r="D7885" s="2"/>
      <c r="E7885" s="2">
        <v>1</v>
      </c>
      <c r="F7885" s="9"/>
      <c r="G7885" s="8">
        <f t="shared" si="244"/>
        <v>8.0136000000000003</v>
      </c>
      <c r="H7885" s="8">
        <v>7.6320000000000006</v>
      </c>
      <c r="I7885" s="19">
        <f t="shared" si="245"/>
        <v>0</v>
      </c>
    </row>
    <row r="7886" spans="1:9" hidden="1">
      <c r="A7886" s="11" t="s">
        <v>11260</v>
      </c>
      <c r="B7886" s="2" t="s">
        <v>13473</v>
      </c>
      <c r="C7886" s="2" t="s">
        <v>13474</v>
      </c>
      <c r="D7886" s="2"/>
      <c r="E7886" s="2">
        <v>1</v>
      </c>
      <c r="F7886" s="9"/>
      <c r="G7886" s="8">
        <f t="shared" si="244"/>
        <v>2.7379800000000003</v>
      </c>
      <c r="H7886" s="8">
        <v>2.6076000000000001</v>
      </c>
      <c r="I7886" s="19">
        <f t="shared" si="245"/>
        <v>0</v>
      </c>
    </row>
    <row r="7887" spans="1:9" hidden="1">
      <c r="A7887" s="11" t="s">
        <v>11260</v>
      </c>
      <c r="B7887" s="2" t="s">
        <v>13475</v>
      </c>
      <c r="C7887" s="2" t="s">
        <v>13476</v>
      </c>
      <c r="D7887" s="2"/>
      <c r="E7887" s="2">
        <v>1</v>
      </c>
      <c r="F7887" s="9"/>
      <c r="G7887" s="8">
        <f t="shared" si="244"/>
        <v>3.2277</v>
      </c>
      <c r="H7887" s="8">
        <v>3.0739999999999998</v>
      </c>
      <c r="I7887" s="19">
        <f t="shared" si="245"/>
        <v>0</v>
      </c>
    </row>
    <row r="7888" spans="1:9" hidden="1">
      <c r="A7888" s="11" t="s">
        <v>11260</v>
      </c>
      <c r="B7888" s="2" t="s">
        <v>13477</v>
      </c>
      <c r="C7888" s="2" t="s">
        <v>13478</v>
      </c>
      <c r="D7888" s="2"/>
      <c r="E7888" s="2">
        <v>1</v>
      </c>
      <c r="F7888" s="9"/>
      <c r="G7888" s="8">
        <f t="shared" si="244"/>
        <v>2.7379800000000003</v>
      </c>
      <c r="H7888" s="8">
        <v>2.6076000000000001</v>
      </c>
      <c r="I7888" s="19">
        <f t="shared" si="245"/>
        <v>0</v>
      </c>
    </row>
    <row r="7889" spans="1:9" hidden="1">
      <c r="A7889" s="11" t="s">
        <v>11260</v>
      </c>
      <c r="B7889" s="2" t="s">
        <v>13479</v>
      </c>
      <c r="C7889" s="2" t="s">
        <v>13480</v>
      </c>
      <c r="D7889" s="2"/>
      <c r="E7889" s="2">
        <v>1</v>
      </c>
      <c r="F7889" s="9"/>
      <c r="G7889" s="8">
        <f t="shared" si="244"/>
        <v>3.2277</v>
      </c>
      <c r="H7889" s="8">
        <v>3.0739999999999998</v>
      </c>
      <c r="I7889" s="19">
        <f t="shared" si="245"/>
        <v>0</v>
      </c>
    </row>
    <row r="7890" spans="1:9" hidden="1">
      <c r="A7890" s="11" t="s">
        <v>11260</v>
      </c>
      <c r="B7890" s="2" t="s">
        <v>13481</v>
      </c>
      <c r="C7890" s="2" t="s">
        <v>13482</v>
      </c>
      <c r="D7890" s="2"/>
      <c r="E7890" s="2">
        <v>1</v>
      </c>
      <c r="F7890" s="9"/>
      <c r="G7890" s="8">
        <f t="shared" si="244"/>
        <v>12.109440000000001</v>
      </c>
      <c r="H7890" s="8">
        <v>11.532800000000002</v>
      </c>
      <c r="I7890" s="19">
        <f t="shared" si="245"/>
        <v>0</v>
      </c>
    </row>
    <row r="7891" spans="1:9" hidden="1">
      <c r="A7891" s="11" t="s">
        <v>11260</v>
      </c>
      <c r="B7891" s="2" t="s">
        <v>13483</v>
      </c>
      <c r="C7891" s="2" t="s">
        <v>13484</v>
      </c>
      <c r="D7891" s="2"/>
      <c r="E7891" s="2">
        <v>1</v>
      </c>
      <c r="F7891" s="9"/>
      <c r="G7891" s="8">
        <f t="shared" si="244"/>
        <v>9.638580000000001</v>
      </c>
      <c r="H7891" s="8">
        <v>9.1796000000000006</v>
      </c>
      <c r="I7891" s="19">
        <f t="shared" si="245"/>
        <v>0</v>
      </c>
    </row>
    <row r="7892" spans="1:9">
      <c r="A7892" s="11" t="s">
        <v>11260</v>
      </c>
      <c r="B7892" s="2" t="s">
        <v>13485</v>
      </c>
      <c r="C7892" s="2" t="s">
        <v>13486</v>
      </c>
      <c r="D7892" s="2"/>
      <c r="E7892" s="2">
        <v>1</v>
      </c>
      <c r="F7892" s="9">
        <f>(19*25)+59</f>
        <v>534</v>
      </c>
      <c r="G7892" s="8">
        <f t="shared" si="244"/>
        <v>6.9339900000000005</v>
      </c>
      <c r="H7892" s="8">
        <v>6.6038000000000006</v>
      </c>
      <c r="I7892" s="19">
        <f t="shared" si="245"/>
        <v>3702.7506600000002</v>
      </c>
    </row>
    <row r="7893" spans="1:9">
      <c r="A7893" s="11" t="s">
        <v>11260</v>
      </c>
      <c r="B7893" s="2" t="s">
        <v>13487</v>
      </c>
      <c r="C7893" s="2" t="s">
        <v>13488</v>
      </c>
      <c r="D7893" s="2"/>
      <c r="E7893" s="2">
        <v>1</v>
      </c>
      <c r="F7893" s="9">
        <v>100</v>
      </c>
      <c r="G7893" s="8">
        <f t="shared" si="244"/>
        <v>7.7687400000000002</v>
      </c>
      <c r="H7893" s="8">
        <v>7.3988000000000005</v>
      </c>
      <c r="I7893" s="19">
        <f t="shared" si="245"/>
        <v>776.87400000000002</v>
      </c>
    </row>
    <row r="7894" spans="1:9" hidden="1">
      <c r="A7894" s="11" t="s">
        <v>11260</v>
      </c>
      <c r="B7894" s="2" t="s">
        <v>13489</v>
      </c>
      <c r="C7894" s="2" t="s">
        <v>13490</v>
      </c>
      <c r="D7894" s="2"/>
      <c r="E7894" s="2">
        <v>1</v>
      </c>
      <c r="F7894" s="9"/>
      <c r="G7894" s="8">
        <f t="shared" ref="G7894:G7957" si="246">H7894+(H7894*5%)</f>
        <v>0.98628923076923081</v>
      </c>
      <c r="H7894" s="8">
        <v>0.93932307692307693</v>
      </c>
      <c r="I7894" s="19">
        <f t="shared" ref="I7894:I7957" si="247">G7894*F7894</f>
        <v>0</v>
      </c>
    </row>
    <row r="7895" spans="1:9">
      <c r="A7895" s="11" t="s">
        <v>11260</v>
      </c>
      <c r="B7895" s="2" t="s">
        <v>13491</v>
      </c>
      <c r="C7895" s="2" t="s">
        <v>13492</v>
      </c>
      <c r="D7895" s="2"/>
      <c r="E7895" s="2">
        <v>1</v>
      </c>
      <c r="F7895" s="9">
        <f>90+83+200</f>
        <v>373</v>
      </c>
      <c r="G7895" s="8">
        <f t="shared" si="246"/>
        <v>0.96890838709677429</v>
      </c>
      <c r="H7895" s="8">
        <v>0.92276989247311836</v>
      </c>
      <c r="I7895" s="19">
        <f t="shared" si="247"/>
        <v>361.4028283870968</v>
      </c>
    </row>
    <row r="7896" spans="1:9" hidden="1">
      <c r="A7896" s="11" t="s">
        <v>11260</v>
      </c>
      <c r="B7896" s="2" t="s">
        <v>13493</v>
      </c>
      <c r="C7896" s="2" t="s">
        <v>13494</v>
      </c>
      <c r="D7896" s="2"/>
      <c r="E7896" s="2">
        <v>1</v>
      </c>
      <c r="F7896" s="9"/>
      <c r="G7896" s="8">
        <f t="shared" si="246"/>
        <v>1.4552257500000003</v>
      </c>
      <c r="H7896" s="8">
        <v>1.385929285714286</v>
      </c>
      <c r="I7896" s="19">
        <f t="shared" si="247"/>
        <v>0</v>
      </c>
    </row>
    <row r="7897" spans="1:9" hidden="1">
      <c r="A7897" s="11" t="s">
        <v>11260</v>
      </c>
      <c r="B7897" s="2" t="s">
        <v>13495</v>
      </c>
      <c r="C7897" s="2" t="s">
        <v>13496</v>
      </c>
      <c r="D7897" s="2"/>
      <c r="E7897" s="2">
        <v>1</v>
      </c>
      <c r="F7897" s="9"/>
      <c r="G7897" s="8">
        <f t="shared" si="246"/>
        <v>1.3703319148936171</v>
      </c>
      <c r="H7897" s="8">
        <v>1.3050780141843972</v>
      </c>
      <c r="I7897" s="19">
        <f t="shared" si="247"/>
        <v>0</v>
      </c>
    </row>
    <row r="7898" spans="1:9">
      <c r="A7898" s="11" t="s">
        <v>11260</v>
      </c>
      <c r="B7898" s="2" t="s">
        <v>13497</v>
      </c>
      <c r="C7898" s="2" t="s">
        <v>13498</v>
      </c>
      <c r="D7898" s="2"/>
      <c r="E7898" s="2">
        <v>1</v>
      </c>
      <c r="F7898" s="9">
        <v>86</v>
      </c>
      <c r="G7898" s="8">
        <f t="shared" si="246"/>
        <v>2.7115260869565216</v>
      </c>
      <c r="H7898" s="8">
        <v>2.5824057971014494</v>
      </c>
      <c r="I7898" s="19">
        <f t="shared" si="247"/>
        <v>233.19124347826087</v>
      </c>
    </row>
    <row r="7899" spans="1:9" hidden="1">
      <c r="A7899" s="11" t="s">
        <v>11260</v>
      </c>
      <c r="B7899" s="2" t="s">
        <v>13499</v>
      </c>
      <c r="C7899" s="2" t="s">
        <v>13500</v>
      </c>
      <c r="D7899" s="2"/>
      <c r="E7899" s="2">
        <v>1</v>
      </c>
      <c r="F7899" s="9"/>
      <c r="G7899" s="8">
        <f t="shared" si="246"/>
        <v>2.9167691135734071</v>
      </c>
      <c r="H7899" s="8">
        <v>2.7778753462603878</v>
      </c>
      <c r="I7899" s="19">
        <f t="shared" si="247"/>
        <v>0</v>
      </c>
    </row>
    <row r="7900" spans="1:9" hidden="1">
      <c r="A7900" s="11" t="s">
        <v>11260</v>
      </c>
      <c r="B7900" s="2" t="s">
        <v>13501</v>
      </c>
      <c r="C7900" s="2" t="s">
        <v>13502</v>
      </c>
      <c r="D7900" s="2"/>
      <c r="E7900" s="2">
        <v>1</v>
      </c>
      <c r="F7900" s="9"/>
      <c r="G7900" s="8">
        <f t="shared" si="246"/>
        <v>3.4410866465256804</v>
      </c>
      <c r="H7900" s="8">
        <v>3.277225377643505</v>
      </c>
      <c r="I7900" s="19">
        <f t="shared" si="247"/>
        <v>0</v>
      </c>
    </row>
    <row r="7901" spans="1:9" hidden="1">
      <c r="A7901" s="11" t="s">
        <v>11260</v>
      </c>
      <c r="B7901" s="2" t="s">
        <v>13503</v>
      </c>
      <c r="C7901" s="2" t="s">
        <v>13504</v>
      </c>
      <c r="D7901" s="2"/>
      <c r="E7901" s="2">
        <v>1</v>
      </c>
      <c r="F7901" s="9"/>
      <c r="G7901" s="8">
        <f t="shared" si="246"/>
        <v>4.0760785714285719</v>
      </c>
      <c r="H7901" s="8">
        <v>3.881979591836735</v>
      </c>
      <c r="I7901" s="19">
        <f t="shared" si="247"/>
        <v>0</v>
      </c>
    </row>
    <row r="7902" spans="1:9" hidden="1">
      <c r="A7902" s="11" t="s">
        <v>11260</v>
      </c>
      <c r="B7902" s="2" t="s">
        <v>13505</v>
      </c>
      <c r="C7902" s="2" t="s">
        <v>13506</v>
      </c>
      <c r="D7902" s="2"/>
      <c r="E7902" s="2">
        <v>1</v>
      </c>
      <c r="F7902" s="9"/>
      <c r="G7902" s="8">
        <f t="shared" si="246"/>
        <v>3.9808507441253269</v>
      </c>
      <c r="H7902" s="8">
        <v>3.7912864229765018</v>
      </c>
      <c r="I7902" s="19">
        <f t="shared" si="247"/>
        <v>0</v>
      </c>
    </row>
    <row r="7903" spans="1:9" hidden="1">
      <c r="A7903" s="11" t="s">
        <v>11260</v>
      </c>
      <c r="B7903" s="2" t="s">
        <v>13507</v>
      </c>
      <c r="C7903" s="2" t="s">
        <v>13508</v>
      </c>
      <c r="D7903" s="2"/>
      <c r="E7903" s="2">
        <v>1</v>
      </c>
      <c r="F7903" s="9"/>
      <c r="G7903" s="8">
        <f t="shared" si="246"/>
        <v>4.5465</v>
      </c>
      <c r="H7903" s="8">
        <v>4.33</v>
      </c>
      <c r="I7903" s="19">
        <f t="shared" si="247"/>
        <v>0</v>
      </c>
    </row>
    <row r="7904" spans="1:9" hidden="1">
      <c r="A7904" s="11" t="s">
        <v>11260</v>
      </c>
      <c r="B7904" s="2" t="s">
        <v>13509</v>
      </c>
      <c r="C7904" s="2" t="s">
        <v>13510</v>
      </c>
      <c r="D7904" s="2"/>
      <c r="E7904" s="2">
        <v>1</v>
      </c>
      <c r="F7904" s="9"/>
      <c r="G7904" s="8">
        <f t="shared" si="246"/>
        <v>3.3654696275071632</v>
      </c>
      <c r="H7904" s="8">
        <v>3.2052091690544411</v>
      </c>
      <c r="I7904" s="19">
        <f t="shared" si="247"/>
        <v>0</v>
      </c>
    </row>
    <row r="7905" spans="1:9" hidden="1">
      <c r="A7905" s="11" t="s">
        <v>11260</v>
      </c>
      <c r="B7905" s="2" t="s">
        <v>13511</v>
      </c>
      <c r="C7905" s="2" t="s">
        <v>13508</v>
      </c>
      <c r="D7905" s="2"/>
      <c r="E7905" s="2">
        <v>1</v>
      </c>
      <c r="F7905" s="9"/>
      <c r="G7905" s="8">
        <f t="shared" si="246"/>
        <v>3.6244810997963341</v>
      </c>
      <c r="H7905" s="8">
        <v>3.4518867617107944</v>
      </c>
      <c r="I7905" s="19">
        <f t="shared" si="247"/>
        <v>0</v>
      </c>
    </row>
    <row r="7906" spans="1:9">
      <c r="A7906" s="11" t="s">
        <v>11260</v>
      </c>
      <c r="B7906" s="2" t="s">
        <v>13512</v>
      </c>
      <c r="C7906" s="2" t="s">
        <v>13472</v>
      </c>
      <c r="D7906" s="2"/>
      <c r="E7906" s="2">
        <v>1</v>
      </c>
      <c r="F7906" s="9">
        <v>6.5</v>
      </c>
      <c r="G7906" s="8">
        <f t="shared" si="246"/>
        <v>6.4155000000000006</v>
      </c>
      <c r="H7906" s="8">
        <v>6.11</v>
      </c>
      <c r="I7906" s="19">
        <f t="shared" si="247"/>
        <v>41.700750000000006</v>
      </c>
    </row>
    <row r="7907" spans="1:9" hidden="1">
      <c r="A7907" s="11" t="s">
        <v>11260</v>
      </c>
      <c r="B7907" s="2" t="s">
        <v>13513</v>
      </c>
      <c r="C7907" s="2" t="s">
        <v>13514</v>
      </c>
      <c r="D7907" s="2"/>
      <c r="E7907" s="2">
        <v>1</v>
      </c>
      <c r="F7907" s="9"/>
      <c r="G7907" s="8">
        <f t="shared" si="246"/>
        <v>0.6238364999999999</v>
      </c>
      <c r="H7907" s="8">
        <v>0.59412999999999994</v>
      </c>
      <c r="I7907" s="19">
        <f t="shared" si="247"/>
        <v>0</v>
      </c>
    </row>
    <row r="7908" spans="1:9" hidden="1">
      <c r="A7908" s="11" t="s">
        <v>11260</v>
      </c>
      <c r="B7908" s="2" t="s">
        <v>13515</v>
      </c>
      <c r="C7908" s="2" t="s">
        <v>13516</v>
      </c>
      <c r="D7908" s="2"/>
      <c r="E7908" s="2">
        <v>1</v>
      </c>
      <c r="F7908" s="9"/>
      <c r="G7908" s="8">
        <f t="shared" si="246"/>
        <v>2.4609561864406779</v>
      </c>
      <c r="H7908" s="8">
        <v>2.3437677966101695</v>
      </c>
      <c r="I7908" s="19">
        <f t="shared" si="247"/>
        <v>0</v>
      </c>
    </row>
    <row r="7909" spans="1:9" hidden="1">
      <c r="A7909" s="11" t="s">
        <v>11260</v>
      </c>
      <c r="B7909" s="2" t="s">
        <v>13517</v>
      </c>
      <c r="C7909" s="2" t="s">
        <v>13518</v>
      </c>
      <c r="D7909" s="2"/>
      <c r="E7909" s="2">
        <v>1</v>
      </c>
      <c r="F7909" s="9"/>
      <c r="G7909" s="8">
        <f t="shared" si="246"/>
        <v>2.4609561864406779</v>
      </c>
      <c r="H7909" s="8">
        <v>2.3437677966101695</v>
      </c>
      <c r="I7909" s="19">
        <f t="shared" si="247"/>
        <v>0</v>
      </c>
    </row>
    <row r="7910" spans="1:9" hidden="1">
      <c r="A7910" s="11" t="s">
        <v>11260</v>
      </c>
      <c r="B7910" s="2" t="s">
        <v>13519</v>
      </c>
      <c r="C7910" s="2" t="s">
        <v>13520</v>
      </c>
      <c r="D7910" s="2"/>
      <c r="E7910" s="2">
        <v>1</v>
      </c>
      <c r="F7910" s="9"/>
      <c r="G7910" s="8">
        <f t="shared" si="246"/>
        <v>2.5776622602739727</v>
      </c>
      <c r="H7910" s="8">
        <v>2.4549164383561646</v>
      </c>
      <c r="I7910" s="19">
        <f t="shared" si="247"/>
        <v>0</v>
      </c>
    </row>
    <row r="7911" spans="1:9" hidden="1">
      <c r="A7911" s="11" t="s">
        <v>11260</v>
      </c>
      <c r="B7911" s="2" t="s">
        <v>13521</v>
      </c>
      <c r="C7911" s="2" t="s">
        <v>13522</v>
      </c>
      <c r="D7911" s="2"/>
      <c r="E7911" s="2">
        <v>1</v>
      </c>
      <c r="F7911" s="9"/>
      <c r="G7911" s="8">
        <f t="shared" si="246"/>
        <v>3.5969200578034681</v>
      </c>
      <c r="H7911" s="8">
        <v>3.4256381502890174</v>
      </c>
      <c r="I7911" s="19">
        <f t="shared" si="247"/>
        <v>0</v>
      </c>
    </row>
    <row r="7912" spans="1:9" hidden="1">
      <c r="A7912" s="11" t="s">
        <v>11260</v>
      </c>
      <c r="B7912" s="2" t="s">
        <v>13523</v>
      </c>
      <c r="C7912" s="2" t="s">
        <v>13524</v>
      </c>
      <c r="D7912" s="2"/>
      <c r="E7912" s="2">
        <v>1</v>
      </c>
      <c r="F7912" s="9"/>
      <c r="G7912" s="8">
        <f t="shared" si="246"/>
        <v>4.0587175830815712</v>
      </c>
      <c r="H7912" s="8">
        <v>3.8654453172205439</v>
      </c>
      <c r="I7912" s="19">
        <f t="shared" si="247"/>
        <v>0</v>
      </c>
    </row>
    <row r="7913" spans="1:9" hidden="1">
      <c r="A7913" s="11" t="s">
        <v>11260</v>
      </c>
      <c r="B7913" s="2" t="s">
        <v>13525</v>
      </c>
      <c r="C7913" s="2" t="s">
        <v>13526</v>
      </c>
      <c r="D7913" s="2"/>
      <c r="E7913" s="2">
        <v>1</v>
      </c>
      <c r="F7913" s="9"/>
      <c r="G7913" s="8">
        <f t="shared" si="246"/>
        <v>5.4235082758620692</v>
      </c>
      <c r="H7913" s="8">
        <v>5.1652459770114945</v>
      </c>
      <c r="I7913" s="19">
        <f t="shared" si="247"/>
        <v>0</v>
      </c>
    </row>
    <row r="7914" spans="1:9" hidden="1">
      <c r="A7914" s="11" t="s">
        <v>11260</v>
      </c>
      <c r="B7914" s="2" t="s">
        <v>13527</v>
      </c>
      <c r="C7914" s="2" t="s">
        <v>13528</v>
      </c>
      <c r="D7914" s="2"/>
      <c r="E7914" s="2">
        <v>1</v>
      </c>
      <c r="F7914" s="9"/>
      <c r="G7914" s="8">
        <f t="shared" si="246"/>
        <v>6.8715710741301068</v>
      </c>
      <c r="H7914" s="8">
        <v>6.5443534039334352</v>
      </c>
      <c r="I7914" s="19">
        <f t="shared" si="247"/>
        <v>0</v>
      </c>
    </row>
    <row r="7915" spans="1:9" hidden="1">
      <c r="A7915" s="11" t="s">
        <v>11260</v>
      </c>
      <c r="B7915" s="2" t="s">
        <v>13529</v>
      </c>
      <c r="C7915" s="2" t="s">
        <v>13437</v>
      </c>
      <c r="D7915" s="2"/>
      <c r="E7915" s="2">
        <v>1</v>
      </c>
      <c r="F7915" s="9"/>
      <c r="G7915" s="8">
        <f t="shared" si="246"/>
        <v>5.0842002185792357</v>
      </c>
      <c r="H7915" s="8">
        <v>4.8420954462659385</v>
      </c>
      <c r="I7915" s="19">
        <f t="shared" si="247"/>
        <v>0</v>
      </c>
    </row>
    <row r="7916" spans="1:9" hidden="1">
      <c r="A7916" s="11" t="s">
        <v>11260</v>
      </c>
      <c r="B7916" s="2" t="s">
        <v>13530</v>
      </c>
      <c r="C7916" s="2" t="s">
        <v>13531</v>
      </c>
      <c r="D7916" s="2"/>
      <c r="E7916" s="2">
        <v>1</v>
      </c>
      <c r="F7916" s="9"/>
      <c r="G7916" s="8">
        <f t="shared" si="246"/>
        <v>4.2995948863636366</v>
      </c>
      <c r="H7916" s="8">
        <v>4.0948522727272731</v>
      </c>
      <c r="I7916" s="19">
        <f t="shared" si="247"/>
        <v>0</v>
      </c>
    </row>
    <row r="7917" spans="1:9">
      <c r="A7917" s="11" t="s">
        <v>11260</v>
      </c>
      <c r="B7917" s="2" t="s">
        <v>13532</v>
      </c>
      <c r="C7917" s="2" t="s">
        <v>13533</v>
      </c>
      <c r="D7917" s="2"/>
      <c r="E7917" s="2">
        <v>1</v>
      </c>
      <c r="F7917" s="9">
        <v>22</v>
      </c>
      <c r="G7917" s="8">
        <f t="shared" si="246"/>
        <v>1.4114488888888888</v>
      </c>
      <c r="H7917" s="8">
        <v>1.3442370370370369</v>
      </c>
      <c r="I7917" s="19">
        <f t="shared" si="247"/>
        <v>31.051875555555554</v>
      </c>
    </row>
    <row r="7918" spans="1:9">
      <c r="A7918" s="11" t="s">
        <v>11260</v>
      </c>
      <c r="B7918" s="2" t="s">
        <v>13534</v>
      </c>
      <c r="C7918" s="2" t="s">
        <v>13535</v>
      </c>
      <c r="D7918" s="2"/>
      <c r="E7918" s="2">
        <v>1</v>
      </c>
      <c r="F7918" s="9">
        <f>(9*100)+24+358</f>
        <v>1282</v>
      </c>
      <c r="G7918" s="8">
        <f t="shared" si="246"/>
        <v>1.2474000000000003</v>
      </c>
      <c r="H7918" s="8">
        <v>1.1880000000000002</v>
      </c>
      <c r="I7918" s="19">
        <f t="shared" si="247"/>
        <v>1599.1668000000004</v>
      </c>
    </row>
    <row r="7919" spans="1:9" hidden="1">
      <c r="A7919" s="11" t="s">
        <v>11260</v>
      </c>
      <c r="B7919" s="2" t="s">
        <v>13536</v>
      </c>
      <c r="C7919" s="2" t="s">
        <v>13537</v>
      </c>
      <c r="D7919" s="2"/>
      <c r="E7919" s="2">
        <v>1</v>
      </c>
      <c r="F7919" s="9"/>
      <c r="G7919" s="8">
        <f t="shared" si="246"/>
        <v>2.0380392857142859</v>
      </c>
      <c r="H7919" s="8">
        <v>1.9409897959183675</v>
      </c>
      <c r="I7919" s="19">
        <f t="shared" si="247"/>
        <v>0</v>
      </c>
    </row>
    <row r="7920" spans="1:9" hidden="1">
      <c r="A7920" s="11" t="s">
        <v>11260</v>
      </c>
      <c r="B7920" s="2" t="s">
        <v>13538</v>
      </c>
      <c r="C7920" s="2" t="s">
        <v>13539</v>
      </c>
      <c r="D7920" s="2"/>
      <c r="E7920" s="2">
        <v>1</v>
      </c>
      <c r="F7920" s="9"/>
      <c r="G7920" s="8">
        <f t="shared" si="246"/>
        <v>1.726972456140351</v>
      </c>
      <c r="H7920" s="8">
        <v>1.6447356725146201</v>
      </c>
      <c r="I7920" s="19">
        <f t="shared" si="247"/>
        <v>0</v>
      </c>
    </row>
    <row r="7921" spans="1:9" hidden="1">
      <c r="A7921" s="11" t="s">
        <v>11260</v>
      </c>
      <c r="B7921" s="2" t="s">
        <v>13540</v>
      </c>
      <c r="C7921" s="2" t="s">
        <v>13541</v>
      </c>
      <c r="D7921" s="2"/>
      <c r="E7921" s="2">
        <v>1</v>
      </c>
      <c r="F7921" s="9"/>
      <c r="G7921" s="8">
        <f t="shared" si="246"/>
        <v>3.3946499999999999</v>
      </c>
      <c r="H7921" s="8">
        <v>3.2330000000000001</v>
      </c>
      <c r="I7921" s="19">
        <f t="shared" si="247"/>
        <v>0</v>
      </c>
    </row>
    <row r="7922" spans="1:9" hidden="1">
      <c r="A7922" s="11" t="s">
        <v>11260</v>
      </c>
      <c r="B7922" s="2" t="s">
        <v>13542</v>
      </c>
      <c r="C7922" s="2" t="s">
        <v>13543</v>
      </c>
      <c r="D7922" s="2"/>
      <c r="E7922" s="2">
        <v>1</v>
      </c>
      <c r="F7922" s="9"/>
      <c r="G7922" s="8">
        <f t="shared" si="246"/>
        <v>10.381515906344411</v>
      </c>
      <c r="H7922" s="8">
        <v>9.8871580060422968</v>
      </c>
      <c r="I7922" s="19">
        <f t="shared" si="247"/>
        <v>0</v>
      </c>
    </row>
    <row r="7923" spans="1:9">
      <c r="A7923" s="11" t="s">
        <v>11260</v>
      </c>
      <c r="B7923" s="2" t="s">
        <v>13544</v>
      </c>
      <c r="C7923" s="2" t="s">
        <v>13545</v>
      </c>
      <c r="D7923" s="2"/>
      <c r="E7923" s="2">
        <v>1</v>
      </c>
      <c r="F7923" s="9">
        <v>6.5</v>
      </c>
      <c r="G7923" s="8">
        <f t="shared" si="246"/>
        <v>3.3946499999999999</v>
      </c>
      <c r="H7923" s="8">
        <v>3.2330000000000001</v>
      </c>
      <c r="I7923" s="19">
        <f t="shared" si="247"/>
        <v>22.065224999999998</v>
      </c>
    </row>
    <row r="7924" spans="1:9">
      <c r="A7924" s="11" t="s">
        <v>11260</v>
      </c>
      <c r="B7924" s="2" t="s">
        <v>13546</v>
      </c>
      <c r="C7924" s="2" t="s">
        <v>13547</v>
      </c>
      <c r="D7924" s="2"/>
      <c r="E7924" s="2">
        <v>1</v>
      </c>
      <c r="F7924" s="9">
        <f>16+24</f>
        <v>40</v>
      </c>
      <c r="G7924" s="8">
        <f t="shared" si="246"/>
        <v>3.0564323275862071</v>
      </c>
      <c r="H7924" s="8">
        <v>2.9108879310344831</v>
      </c>
      <c r="I7924" s="19">
        <f t="shared" si="247"/>
        <v>122.25729310344829</v>
      </c>
    </row>
    <row r="7925" spans="1:9">
      <c r="A7925" s="11" t="s">
        <v>11260</v>
      </c>
      <c r="B7925" s="2" t="s">
        <v>13548</v>
      </c>
      <c r="C7925" s="2" t="s">
        <v>13549</v>
      </c>
      <c r="D7925" s="2"/>
      <c r="E7925" s="2">
        <v>1</v>
      </c>
      <c r="F7925" s="9">
        <f>(50*23)+4+94</f>
        <v>1248</v>
      </c>
      <c r="G7925" s="8">
        <f t="shared" si="246"/>
        <v>4.2652874634146354</v>
      </c>
      <c r="H7925" s="8">
        <v>4.0621785365853667</v>
      </c>
      <c r="I7925" s="19">
        <f t="shared" si="247"/>
        <v>5323.0787543414654</v>
      </c>
    </row>
    <row r="7926" spans="1:9" hidden="1">
      <c r="A7926" s="11" t="s">
        <v>11260</v>
      </c>
      <c r="B7926" s="2" t="s">
        <v>13550</v>
      </c>
      <c r="C7926" s="2" t="s">
        <v>13551</v>
      </c>
      <c r="D7926" s="2"/>
      <c r="E7926" s="2">
        <v>1</v>
      </c>
      <c r="F7926" s="9"/>
      <c r="G7926" s="8">
        <f t="shared" si="246"/>
        <v>4.343256172248803</v>
      </c>
      <c r="H7926" s="8">
        <v>4.136434449760765</v>
      </c>
      <c r="I7926" s="19">
        <f t="shared" si="247"/>
        <v>0</v>
      </c>
    </row>
    <row r="7927" spans="1:9" hidden="1">
      <c r="A7927" s="11" t="s">
        <v>11260</v>
      </c>
      <c r="B7927" s="2" t="s">
        <v>13552</v>
      </c>
      <c r="C7927" s="2" t="s">
        <v>13553</v>
      </c>
      <c r="D7927" s="2"/>
      <c r="E7927" s="2">
        <v>1</v>
      </c>
      <c r="F7927" s="9"/>
      <c r="G7927" s="8">
        <f t="shared" si="246"/>
        <v>3.7764300000000004</v>
      </c>
      <c r="H7927" s="8">
        <v>3.5966000000000005</v>
      </c>
      <c r="I7927" s="19">
        <f t="shared" si="247"/>
        <v>0</v>
      </c>
    </row>
    <row r="7928" spans="1:9" hidden="1">
      <c r="A7928" s="11" t="s">
        <v>11260</v>
      </c>
      <c r="B7928" s="2" t="s">
        <v>13554</v>
      </c>
      <c r="C7928" s="2" t="s">
        <v>13555</v>
      </c>
      <c r="D7928" s="2"/>
      <c r="E7928" s="2">
        <v>1</v>
      </c>
      <c r="F7928" s="9"/>
      <c r="G7928" s="8">
        <f t="shared" si="246"/>
        <v>4.3184399999999998</v>
      </c>
      <c r="H7928" s="8">
        <v>4.1128</v>
      </c>
      <c r="I7928" s="19">
        <f t="shared" si="247"/>
        <v>0</v>
      </c>
    </row>
    <row r="7929" spans="1:9" hidden="1">
      <c r="A7929" s="11" t="s">
        <v>11260</v>
      </c>
      <c r="B7929" s="2" t="s">
        <v>13556</v>
      </c>
      <c r="C7929" s="2" t="s">
        <v>13557</v>
      </c>
      <c r="D7929" s="2"/>
      <c r="E7929" s="2">
        <v>1</v>
      </c>
      <c r="F7929" s="9"/>
      <c r="G7929" s="8">
        <f t="shared" si="246"/>
        <v>1.6583700000000001</v>
      </c>
      <c r="H7929" s="8">
        <v>1.5794000000000001</v>
      </c>
      <c r="I7929" s="19">
        <f t="shared" si="247"/>
        <v>0</v>
      </c>
    </row>
    <row r="7930" spans="1:9" hidden="1">
      <c r="A7930" s="11" t="s">
        <v>11260</v>
      </c>
      <c r="B7930" s="2" t="s">
        <v>13558</v>
      </c>
      <c r="C7930" s="2" t="s">
        <v>13559</v>
      </c>
      <c r="D7930" s="2"/>
      <c r="E7930" s="2">
        <v>1</v>
      </c>
      <c r="F7930" s="9"/>
      <c r="G7930" s="8">
        <f t="shared" si="246"/>
        <v>1.6583700000000001</v>
      </c>
      <c r="H7930" s="8">
        <v>1.5794000000000001</v>
      </c>
      <c r="I7930" s="19">
        <f t="shared" si="247"/>
        <v>0</v>
      </c>
    </row>
    <row r="7931" spans="1:9" hidden="1">
      <c r="A7931" s="11" t="s">
        <v>11260</v>
      </c>
      <c r="B7931" s="2" t="s">
        <v>13560</v>
      </c>
      <c r="C7931" s="2" t="s">
        <v>13561</v>
      </c>
      <c r="D7931" s="2"/>
      <c r="E7931" s="2">
        <v>1</v>
      </c>
      <c r="F7931" s="9"/>
      <c r="G7931" s="8">
        <f t="shared" si="246"/>
        <v>10.272990000000002</v>
      </c>
      <c r="H7931" s="8">
        <v>9.7838000000000012</v>
      </c>
      <c r="I7931" s="19">
        <f t="shared" si="247"/>
        <v>0</v>
      </c>
    </row>
    <row r="7932" spans="1:9" hidden="1">
      <c r="A7932" s="11" t="s">
        <v>11260</v>
      </c>
      <c r="B7932" s="2" t="s">
        <v>13562</v>
      </c>
      <c r="C7932" s="2" t="s">
        <v>13563</v>
      </c>
      <c r="D7932" s="2"/>
      <c r="E7932" s="2">
        <v>1</v>
      </c>
      <c r="F7932" s="9"/>
      <c r="G7932" s="8">
        <f t="shared" si="246"/>
        <v>4.9305900000000005</v>
      </c>
      <c r="H7932" s="8">
        <v>4.6958000000000002</v>
      </c>
      <c r="I7932" s="19">
        <f t="shared" si="247"/>
        <v>0</v>
      </c>
    </row>
    <row r="7933" spans="1:9" hidden="1">
      <c r="A7933" s="11" t="s">
        <v>11260</v>
      </c>
      <c r="B7933" s="2" t="s">
        <v>13564</v>
      </c>
      <c r="C7933" s="2" t="s">
        <v>13565</v>
      </c>
      <c r="D7933" s="2"/>
      <c r="E7933" s="2">
        <v>1</v>
      </c>
      <c r="F7933" s="9"/>
      <c r="G7933" s="8">
        <f t="shared" si="246"/>
        <v>4.9305900000000005</v>
      </c>
      <c r="H7933" s="8">
        <v>4.6958000000000002</v>
      </c>
      <c r="I7933" s="19">
        <f t="shared" si="247"/>
        <v>0</v>
      </c>
    </row>
    <row r="7934" spans="1:9" hidden="1">
      <c r="A7934" s="11" t="s">
        <v>11260</v>
      </c>
      <c r="B7934" s="2" t="s">
        <v>13566</v>
      </c>
      <c r="C7934" s="2" t="s">
        <v>13567</v>
      </c>
      <c r="D7934" s="2"/>
      <c r="E7934" s="2">
        <v>1</v>
      </c>
      <c r="F7934" s="9"/>
      <c r="G7934" s="8">
        <f t="shared" si="246"/>
        <v>3.9853845528455283</v>
      </c>
      <c r="H7934" s="8">
        <v>3.7956043360433602</v>
      </c>
      <c r="I7934" s="19">
        <f t="shared" si="247"/>
        <v>0</v>
      </c>
    </row>
    <row r="7935" spans="1:9" hidden="1">
      <c r="A7935" s="11" t="s">
        <v>11260</v>
      </c>
      <c r="B7935" s="2" t="s">
        <v>13568</v>
      </c>
      <c r="C7935" s="2" t="s">
        <v>13569</v>
      </c>
      <c r="D7935" s="2"/>
      <c r="E7935" s="2">
        <v>1</v>
      </c>
      <c r="F7935" s="9"/>
      <c r="G7935" s="8">
        <f t="shared" si="246"/>
        <v>5.1118370731707312</v>
      </c>
      <c r="H7935" s="8">
        <v>4.8684162601626015</v>
      </c>
      <c r="I7935" s="19">
        <f t="shared" si="247"/>
        <v>0</v>
      </c>
    </row>
    <row r="7936" spans="1:9" hidden="1">
      <c r="A7936" s="11" t="s">
        <v>11260</v>
      </c>
      <c r="B7936" s="2" t="s">
        <v>13570</v>
      </c>
      <c r="C7936" s="2" t="s">
        <v>13571</v>
      </c>
      <c r="D7936" s="2"/>
      <c r="E7936" s="2">
        <v>1</v>
      </c>
      <c r="F7936" s="9"/>
      <c r="G7936" s="8">
        <f t="shared" si="246"/>
        <v>6.5036596800000011</v>
      </c>
      <c r="H7936" s="8">
        <v>6.1939616000000006</v>
      </c>
      <c r="I7936" s="19">
        <f t="shared" si="247"/>
        <v>0</v>
      </c>
    </row>
    <row r="7937" spans="1:9" hidden="1">
      <c r="A7937" s="11" t="s">
        <v>11260</v>
      </c>
      <c r="B7937" s="2" t="s">
        <v>13572</v>
      </c>
      <c r="C7937" s="2" t="s">
        <v>13573</v>
      </c>
      <c r="D7937" s="2"/>
      <c r="E7937" s="2">
        <v>1</v>
      </c>
      <c r="F7937" s="9"/>
      <c r="G7937" s="8">
        <f t="shared" si="246"/>
        <v>5.0050786337760913</v>
      </c>
      <c r="H7937" s="8">
        <v>4.7667415559772301</v>
      </c>
      <c r="I7937" s="19">
        <f t="shared" si="247"/>
        <v>0</v>
      </c>
    </row>
    <row r="7938" spans="1:9" hidden="1">
      <c r="A7938" s="11" t="s">
        <v>11260</v>
      </c>
      <c r="B7938" s="2" t="s">
        <v>13574</v>
      </c>
      <c r="C7938" s="2" t="s">
        <v>13575</v>
      </c>
      <c r="D7938" s="2"/>
      <c r="E7938" s="2">
        <v>1</v>
      </c>
      <c r="F7938" s="9"/>
      <c r="G7938" s="8">
        <f t="shared" si="246"/>
        <v>1.7662628571428574</v>
      </c>
      <c r="H7938" s="8">
        <v>1.6821551020408165</v>
      </c>
      <c r="I7938" s="19">
        <f t="shared" si="247"/>
        <v>0</v>
      </c>
    </row>
    <row r="7939" spans="1:9" hidden="1">
      <c r="A7939" s="11" t="s">
        <v>11260</v>
      </c>
      <c r="B7939" s="2" t="s">
        <v>13576</v>
      </c>
      <c r="C7939" s="2" t="s">
        <v>13577</v>
      </c>
      <c r="D7939" s="2"/>
      <c r="E7939" s="2">
        <v>1</v>
      </c>
      <c r="F7939" s="9"/>
      <c r="G7939" s="8">
        <f t="shared" si="246"/>
        <v>2.4297332926829269</v>
      </c>
      <c r="H7939" s="8">
        <v>2.3140317073170733</v>
      </c>
      <c r="I7939" s="19">
        <f t="shared" si="247"/>
        <v>0</v>
      </c>
    </row>
    <row r="7940" spans="1:9" hidden="1">
      <c r="A7940" s="11" t="s">
        <v>11260</v>
      </c>
      <c r="B7940" s="2" t="s">
        <v>13578</v>
      </c>
      <c r="C7940" s="2" t="s">
        <v>13579</v>
      </c>
      <c r="D7940" s="2"/>
      <c r="E7940" s="2">
        <v>1</v>
      </c>
      <c r="F7940" s="9"/>
      <c r="G7940" s="8">
        <f t="shared" si="246"/>
        <v>3.3853692923076926</v>
      </c>
      <c r="H7940" s="8">
        <v>3.2241612307692309</v>
      </c>
      <c r="I7940" s="19">
        <f t="shared" si="247"/>
        <v>0</v>
      </c>
    </row>
    <row r="7941" spans="1:9" hidden="1">
      <c r="A7941" s="11" t="s">
        <v>11260</v>
      </c>
      <c r="B7941" s="2" t="s">
        <v>13580</v>
      </c>
      <c r="C7941" s="2" t="s">
        <v>13581</v>
      </c>
      <c r="D7941" s="2"/>
      <c r="E7941" s="2">
        <v>1</v>
      </c>
      <c r="F7941" s="9"/>
      <c r="G7941" s="8">
        <f t="shared" si="246"/>
        <v>3.4299624545454548</v>
      </c>
      <c r="H7941" s="8">
        <v>3.2666309090909094</v>
      </c>
      <c r="I7941" s="19">
        <f t="shared" si="247"/>
        <v>0</v>
      </c>
    </row>
    <row r="7942" spans="1:9" hidden="1">
      <c r="A7942" s="11" t="s">
        <v>11260</v>
      </c>
      <c r="B7942" s="2" t="s">
        <v>13582</v>
      </c>
      <c r="C7942" s="2" t="s">
        <v>13583</v>
      </c>
      <c r="D7942" s="2"/>
      <c r="E7942" s="2">
        <v>1</v>
      </c>
      <c r="F7942" s="9"/>
      <c r="G7942" s="8">
        <f t="shared" si="246"/>
        <v>3.0018126582278484</v>
      </c>
      <c r="H7942" s="8">
        <v>2.8588691983122367</v>
      </c>
      <c r="I7942" s="19">
        <f t="shared" si="247"/>
        <v>0</v>
      </c>
    </row>
    <row r="7943" spans="1:9" hidden="1">
      <c r="A7943" s="11" t="s">
        <v>11260</v>
      </c>
      <c r="B7943" s="2" t="s">
        <v>13584</v>
      </c>
      <c r="C7943" s="2" t="s">
        <v>13585</v>
      </c>
      <c r="D7943" s="2"/>
      <c r="E7943" s="2">
        <v>1</v>
      </c>
      <c r="F7943" s="9"/>
      <c r="G7943" s="8">
        <f t="shared" si="246"/>
        <v>1.2464606250000001</v>
      </c>
      <c r="H7943" s="8">
        <v>1.1871053571428571</v>
      </c>
      <c r="I7943" s="19">
        <f t="shared" si="247"/>
        <v>0</v>
      </c>
    </row>
    <row r="7944" spans="1:9" hidden="1">
      <c r="A7944" s="11" t="s">
        <v>11260</v>
      </c>
      <c r="B7944" s="2" t="s">
        <v>13586</v>
      </c>
      <c r="C7944" s="2" t="s">
        <v>13587</v>
      </c>
      <c r="D7944" s="2"/>
      <c r="E7944" s="2">
        <v>1</v>
      </c>
      <c r="F7944" s="9"/>
      <c r="G7944" s="8">
        <f t="shared" si="246"/>
        <v>1.7263568674698797</v>
      </c>
      <c r="H7944" s="8">
        <v>1.6441493975903616</v>
      </c>
      <c r="I7944" s="19">
        <f t="shared" si="247"/>
        <v>0</v>
      </c>
    </row>
    <row r="7945" spans="1:9" hidden="1">
      <c r="A7945" s="11" t="s">
        <v>11260</v>
      </c>
      <c r="B7945" s="2" t="s">
        <v>13588</v>
      </c>
      <c r="C7945" s="2" t="s">
        <v>13589</v>
      </c>
      <c r="D7945" s="2"/>
      <c r="E7945" s="2">
        <v>1</v>
      </c>
      <c r="F7945" s="9"/>
      <c r="G7945" s="8">
        <f t="shared" si="246"/>
        <v>1.7487271597633138</v>
      </c>
      <c r="H7945" s="8">
        <v>1.6654544378698226</v>
      </c>
      <c r="I7945" s="19">
        <f t="shared" si="247"/>
        <v>0</v>
      </c>
    </row>
    <row r="7946" spans="1:9" hidden="1">
      <c r="A7946" s="11" t="s">
        <v>11260</v>
      </c>
      <c r="B7946" s="2" t="s">
        <v>13590</v>
      </c>
      <c r="C7946" s="2" t="s">
        <v>13591</v>
      </c>
      <c r="D7946" s="2"/>
      <c r="E7946" s="2">
        <v>1</v>
      </c>
      <c r="F7946" s="9"/>
      <c r="G7946" s="8">
        <f t="shared" si="246"/>
        <v>1.5277316250000001</v>
      </c>
      <c r="H7946" s="8">
        <v>1.4549825000000001</v>
      </c>
      <c r="I7946" s="19">
        <f t="shared" si="247"/>
        <v>0</v>
      </c>
    </row>
    <row r="7947" spans="1:9">
      <c r="A7947" s="11" t="s">
        <v>11260</v>
      </c>
      <c r="B7947" s="2" t="s">
        <v>13592</v>
      </c>
      <c r="C7947" s="2" t="s">
        <v>13593</v>
      </c>
      <c r="D7947" s="2"/>
      <c r="E7947" s="2">
        <v>1</v>
      </c>
      <c r="F7947" s="9">
        <v>17</v>
      </c>
      <c r="G7947" s="8">
        <f t="shared" si="246"/>
        <v>2.7031382608695655</v>
      </c>
      <c r="H7947" s="8">
        <v>2.574417391304348</v>
      </c>
      <c r="I7947" s="19">
        <f t="shared" si="247"/>
        <v>45.953350434782614</v>
      </c>
    </row>
    <row r="7948" spans="1:9" hidden="1">
      <c r="A7948" s="11" t="s">
        <v>11260</v>
      </c>
      <c r="B7948" s="2" t="s">
        <v>13594</v>
      </c>
      <c r="C7948" s="2" t="s">
        <v>13595</v>
      </c>
      <c r="D7948" s="2"/>
      <c r="E7948" s="2">
        <v>1</v>
      </c>
      <c r="F7948" s="9"/>
      <c r="G7948" s="8">
        <f t="shared" si="246"/>
        <v>3.7756384615384615</v>
      </c>
      <c r="H7948" s="8">
        <v>3.5958461538461539</v>
      </c>
      <c r="I7948" s="19">
        <f t="shared" si="247"/>
        <v>0</v>
      </c>
    </row>
    <row r="7949" spans="1:9" hidden="1">
      <c r="A7949" s="11" t="s">
        <v>11260</v>
      </c>
      <c r="B7949" s="2" t="s">
        <v>13596</v>
      </c>
      <c r="C7949" s="2" t="s">
        <v>13597</v>
      </c>
      <c r="D7949" s="2"/>
      <c r="E7949" s="2">
        <v>1</v>
      </c>
      <c r="F7949" s="9"/>
      <c r="G7949" s="8">
        <f t="shared" si="246"/>
        <v>4.0315843298969076</v>
      </c>
      <c r="H7949" s="8">
        <v>3.8396041237113407</v>
      </c>
      <c r="I7949" s="19">
        <f t="shared" si="247"/>
        <v>0</v>
      </c>
    </row>
    <row r="7950" spans="1:9" hidden="1">
      <c r="A7950" s="11" t="s">
        <v>11260</v>
      </c>
      <c r="B7950" s="2" t="s">
        <v>13598</v>
      </c>
      <c r="C7950" s="2" t="s">
        <v>13599</v>
      </c>
      <c r="D7950" s="2"/>
      <c r="E7950" s="2">
        <v>1</v>
      </c>
      <c r="F7950" s="9"/>
      <c r="G7950" s="8">
        <f t="shared" si="246"/>
        <v>3.3360300000000001</v>
      </c>
      <c r="H7950" s="8">
        <v>3.1771714285714285</v>
      </c>
      <c r="I7950" s="19">
        <f t="shared" si="247"/>
        <v>0</v>
      </c>
    </row>
    <row r="7951" spans="1:9">
      <c r="A7951" s="11" t="s">
        <v>11260</v>
      </c>
      <c r="B7951" s="2" t="s">
        <v>13600</v>
      </c>
      <c r="C7951" s="2" t="s">
        <v>13601</v>
      </c>
      <c r="D7951" s="2"/>
      <c r="E7951" s="2">
        <v>1</v>
      </c>
      <c r="F7951" s="9">
        <f>200+97</f>
        <v>297</v>
      </c>
      <c r="G7951" s="8">
        <f t="shared" si="246"/>
        <v>1.1006333333333336</v>
      </c>
      <c r="H7951" s="8">
        <v>1.0482222222222224</v>
      </c>
      <c r="I7951" s="19">
        <f t="shared" si="247"/>
        <v>326.88810000000007</v>
      </c>
    </row>
    <row r="7952" spans="1:9" hidden="1">
      <c r="A7952" s="11" t="s">
        <v>11260</v>
      </c>
      <c r="B7952" s="2" t="s">
        <v>13602</v>
      </c>
      <c r="C7952" s="2" t="s">
        <v>13603</v>
      </c>
      <c r="D7952" s="2"/>
      <c r="E7952" s="2">
        <v>1</v>
      </c>
      <c r="F7952" s="9"/>
      <c r="G7952" s="8">
        <f t="shared" si="246"/>
        <v>1.1154828461538462</v>
      </c>
      <c r="H7952" s="8">
        <v>1.0623646153846154</v>
      </c>
      <c r="I7952" s="19">
        <f t="shared" si="247"/>
        <v>0</v>
      </c>
    </row>
    <row r="7953" spans="1:9" hidden="1">
      <c r="A7953" s="11" t="s">
        <v>11260</v>
      </c>
      <c r="B7953" s="2" t="s">
        <v>13604</v>
      </c>
      <c r="C7953" s="2" t="s">
        <v>13605</v>
      </c>
      <c r="D7953" s="2"/>
      <c r="E7953" s="2">
        <v>1</v>
      </c>
      <c r="F7953" s="9"/>
      <c r="G7953" s="8">
        <f t="shared" si="246"/>
        <v>1.3482297872340427</v>
      </c>
      <c r="H7953" s="8">
        <v>1.2840283687943264</v>
      </c>
      <c r="I7953" s="19">
        <f t="shared" si="247"/>
        <v>0</v>
      </c>
    </row>
    <row r="7954" spans="1:9" hidden="1">
      <c r="A7954" s="11" t="s">
        <v>11260</v>
      </c>
      <c r="B7954" s="2" t="s">
        <v>13606</v>
      </c>
      <c r="C7954" s="2" t="s">
        <v>13607</v>
      </c>
      <c r="D7954" s="2"/>
      <c r="E7954" s="2">
        <v>1</v>
      </c>
      <c r="F7954" s="9"/>
      <c r="G7954" s="8">
        <f t="shared" si="246"/>
        <v>2.4874313333333333</v>
      </c>
      <c r="H7954" s="8">
        <v>2.3689822222222223</v>
      </c>
      <c r="I7954" s="19">
        <f t="shared" si="247"/>
        <v>0</v>
      </c>
    </row>
    <row r="7955" spans="1:9" hidden="1">
      <c r="A7955" s="11" t="s">
        <v>11260</v>
      </c>
      <c r="B7955" s="2" t="s">
        <v>13608</v>
      </c>
      <c r="C7955" s="2" t="s">
        <v>13609</v>
      </c>
      <c r="D7955" s="2"/>
      <c r="E7955" s="2">
        <v>1</v>
      </c>
      <c r="F7955" s="9"/>
      <c r="G7955" s="8">
        <f t="shared" si="246"/>
        <v>3.8554090909090903</v>
      </c>
      <c r="H7955" s="8">
        <v>3.6718181818181814</v>
      </c>
      <c r="I7955" s="19">
        <f t="shared" si="247"/>
        <v>0</v>
      </c>
    </row>
    <row r="7956" spans="1:9" hidden="1">
      <c r="A7956" s="11" t="s">
        <v>11260</v>
      </c>
      <c r="B7956" s="2" t="s">
        <v>13610</v>
      </c>
      <c r="C7956" s="2" t="s">
        <v>13406</v>
      </c>
      <c r="D7956" s="2"/>
      <c r="E7956" s="2">
        <v>1</v>
      </c>
      <c r="F7956" s="9"/>
      <c r="G7956" s="8">
        <f t="shared" si="246"/>
        <v>1.2327858563535914</v>
      </c>
      <c r="H7956" s="8">
        <v>1.1740817679558013</v>
      </c>
      <c r="I7956" s="19">
        <f t="shared" si="247"/>
        <v>0</v>
      </c>
    </row>
    <row r="7957" spans="1:9" hidden="1">
      <c r="A7957" s="11" t="s">
        <v>11260</v>
      </c>
      <c r="B7957" s="2" t="s">
        <v>13611</v>
      </c>
      <c r="C7957" s="2" t="s">
        <v>13612</v>
      </c>
      <c r="D7957" s="2"/>
      <c r="E7957" s="2">
        <v>1</v>
      </c>
      <c r="F7957" s="9"/>
      <c r="G7957" s="8">
        <f t="shared" si="246"/>
        <v>2.0902996153846147</v>
      </c>
      <c r="H7957" s="8">
        <v>1.990761538461538</v>
      </c>
      <c r="I7957" s="19">
        <f t="shared" si="247"/>
        <v>0</v>
      </c>
    </row>
    <row r="7958" spans="1:9" hidden="1">
      <c r="A7958" s="11" t="s">
        <v>11260</v>
      </c>
      <c r="B7958" s="2" t="s">
        <v>13613</v>
      </c>
      <c r="C7958" s="2" t="s">
        <v>13614</v>
      </c>
      <c r="D7958" s="2"/>
      <c r="E7958" s="2">
        <v>1</v>
      </c>
      <c r="F7958" s="9"/>
      <c r="G7958" s="8">
        <f t="shared" ref="G7958:G8021" si="248">H7958+(H7958*5%)</f>
        <v>3.4855837611940297</v>
      </c>
      <c r="H7958" s="8">
        <v>3.319603582089552</v>
      </c>
      <c r="I7958" s="19">
        <f t="shared" ref="I7958:I8021" si="249">G7958*F7958</f>
        <v>0</v>
      </c>
    </row>
    <row r="7959" spans="1:9">
      <c r="A7959" s="11" t="s">
        <v>11260</v>
      </c>
      <c r="B7959" s="2" t="s">
        <v>13615</v>
      </c>
      <c r="C7959" s="2" t="s">
        <v>13616</v>
      </c>
      <c r="D7959" s="2"/>
      <c r="E7959" s="2">
        <v>1</v>
      </c>
      <c r="F7959" s="9">
        <v>145</v>
      </c>
      <c r="G7959" s="8">
        <f t="shared" si="248"/>
        <v>0.7159140625</v>
      </c>
      <c r="H7959" s="8">
        <v>0.68182291666666672</v>
      </c>
      <c r="I7959" s="19">
        <f t="shared" si="249"/>
        <v>103.8075390625</v>
      </c>
    </row>
    <row r="7960" spans="1:9" hidden="1">
      <c r="A7960" s="11" t="s">
        <v>11260</v>
      </c>
      <c r="B7960" s="2" t="s">
        <v>13617</v>
      </c>
      <c r="C7960" s="2" t="s">
        <v>13616</v>
      </c>
      <c r="D7960" s="2"/>
      <c r="E7960" s="2">
        <v>1</v>
      </c>
      <c r="F7960" s="9"/>
      <c r="G7960" s="8">
        <f t="shared" si="248"/>
        <v>1.4398046250000001</v>
      </c>
      <c r="H7960" s="8">
        <v>1.3712425000000001</v>
      </c>
      <c r="I7960" s="19">
        <f t="shared" si="249"/>
        <v>0</v>
      </c>
    </row>
    <row r="7961" spans="1:9" hidden="1">
      <c r="A7961" s="11" t="s">
        <v>11260</v>
      </c>
      <c r="B7961" s="2" t="s">
        <v>13618</v>
      </c>
      <c r="C7961" s="2" t="s">
        <v>13619</v>
      </c>
      <c r="D7961" s="2"/>
      <c r="E7961" s="2">
        <v>1</v>
      </c>
      <c r="F7961" s="9"/>
      <c r="G7961" s="8">
        <f t="shared" si="248"/>
        <v>1.7827247368421055</v>
      </c>
      <c r="H7961" s="8">
        <v>1.6978330827067671</v>
      </c>
      <c r="I7961" s="19">
        <f t="shared" si="249"/>
        <v>0</v>
      </c>
    </row>
    <row r="7962" spans="1:9" hidden="1">
      <c r="A7962" s="11" t="s">
        <v>11260</v>
      </c>
      <c r="B7962" s="2" t="s">
        <v>13620</v>
      </c>
      <c r="C7962" s="2" t="s">
        <v>13621</v>
      </c>
      <c r="D7962" s="2"/>
      <c r="E7962" s="2">
        <v>1</v>
      </c>
      <c r="F7962" s="9"/>
      <c r="G7962" s="8">
        <f t="shared" si="248"/>
        <v>3.6491928368794326</v>
      </c>
      <c r="H7962" s="8">
        <v>3.4754217494089836</v>
      </c>
      <c r="I7962" s="19">
        <f t="shared" si="249"/>
        <v>0</v>
      </c>
    </row>
    <row r="7963" spans="1:9" hidden="1">
      <c r="A7963" s="11" t="s">
        <v>11260</v>
      </c>
      <c r="B7963" s="2" t="s">
        <v>13622</v>
      </c>
      <c r="C7963" s="2" t="s">
        <v>13623</v>
      </c>
      <c r="D7963" s="2"/>
      <c r="E7963" s="2">
        <v>1</v>
      </c>
      <c r="F7963" s="9"/>
      <c r="G7963" s="8">
        <f t="shared" si="248"/>
        <v>1.2027116379310347</v>
      </c>
      <c r="H7963" s="8">
        <v>1.145439655172414</v>
      </c>
      <c r="I7963" s="19">
        <f t="shared" si="249"/>
        <v>0</v>
      </c>
    </row>
    <row r="7964" spans="1:9" hidden="1">
      <c r="A7964" s="11" t="s">
        <v>11260</v>
      </c>
      <c r="B7964" s="2" t="s">
        <v>13624</v>
      </c>
      <c r="C7964" s="2" t="s">
        <v>13625</v>
      </c>
      <c r="D7964" s="2"/>
      <c r="E7964" s="2">
        <v>1</v>
      </c>
      <c r="F7964" s="9"/>
      <c r="G7964" s="8">
        <f t="shared" si="248"/>
        <v>3.3494577181208061</v>
      </c>
      <c r="H7964" s="8">
        <v>3.1899597315436248</v>
      </c>
      <c r="I7964" s="19">
        <f t="shared" si="249"/>
        <v>0</v>
      </c>
    </row>
    <row r="7965" spans="1:9" hidden="1">
      <c r="A7965" s="11" t="s">
        <v>11260</v>
      </c>
      <c r="B7965" s="2" t="s">
        <v>13626</v>
      </c>
      <c r="C7965" s="2" t="s">
        <v>13627</v>
      </c>
      <c r="D7965" s="2"/>
      <c r="E7965" s="2">
        <v>1</v>
      </c>
      <c r="F7965" s="9"/>
      <c r="G7965" s="8">
        <f t="shared" si="248"/>
        <v>55.416297141249295</v>
      </c>
      <c r="H7965" s="8">
        <v>52.777425848808853</v>
      </c>
      <c r="I7965" s="19">
        <f t="shared" si="249"/>
        <v>0</v>
      </c>
    </row>
    <row r="7966" spans="1:9" hidden="1">
      <c r="A7966" s="11" t="s">
        <v>11260</v>
      </c>
      <c r="B7966" s="2" t="s">
        <v>13628</v>
      </c>
      <c r="C7966" s="2" t="s">
        <v>13629</v>
      </c>
      <c r="D7966" s="2"/>
      <c r="E7966" s="2">
        <v>1</v>
      </c>
      <c r="F7966" s="9"/>
      <c r="G7966" s="8">
        <f t="shared" si="248"/>
        <v>2.438706666666667</v>
      </c>
      <c r="H7966" s="8">
        <v>2.3225777777777781</v>
      </c>
      <c r="I7966" s="19">
        <f t="shared" si="249"/>
        <v>0</v>
      </c>
    </row>
    <row r="7967" spans="1:9" hidden="1">
      <c r="A7967" s="11" t="s">
        <v>11260</v>
      </c>
      <c r="B7967" s="2" t="s">
        <v>13630</v>
      </c>
      <c r="C7967" s="2" t="s">
        <v>13631</v>
      </c>
      <c r="D7967" s="2"/>
      <c r="E7967" s="2">
        <v>1</v>
      </c>
      <c r="F7967" s="9"/>
      <c r="G7967" s="8">
        <f t="shared" si="248"/>
        <v>4.0283180000000005</v>
      </c>
      <c r="H7967" s="8">
        <v>3.8364933333333338</v>
      </c>
      <c r="I7967" s="19">
        <f t="shared" si="249"/>
        <v>0</v>
      </c>
    </row>
    <row r="7968" spans="1:9" hidden="1">
      <c r="A7968" s="11" t="s">
        <v>11260</v>
      </c>
      <c r="B7968" s="2" t="s">
        <v>13632</v>
      </c>
      <c r="C7968" s="2" t="s">
        <v>13633</v>
      </c>
      <c r="D7968" s="2"/>
      <c r="E7968" s="2">
        <v>1</v>
      </c>
      <c r="F7968" s="9"/>
      <c r="G7968" s="8">
        <f t="shared" si="248"/>
        <v>5.4235082758620692</v>
      </c>
      <c r="H7968" s="8">
        <v>5.1652459770114945</v>
      </c>
      <c r="I7968" s="19">
        <f t="shared" si="249"/>
        <v>0</v>
      </c>
    </row>
    <row r="7969" spans="1:9" hidden="1">
      <c r="A7969" s="11" t="s">
        <v>11260</v>
      </c>
      <c r="B7969" s="2" t="s">
        <v>13634</v>
      </c>
      <c r="C7969" s="2" t="s">
        <v>13635</v>
      </c>
      <c r="D7969" s="2"/>
      <c r="E7969" s="2">
        <v>1</v>
      </c>
      <c r="F7969" s="9"/>
      <c r="G7969" s="8">
        <f t="shared" si="248"/>
        <v>7.2499893830703019</v>
      </c>
      <c r="H7969" s="8">
        <v>6.9047517934002878</v>
      </c>
      <c r="I7969" s="19">
        <f t="shared" si="249"/>
        <v>0</v>
      </c>
    </row>
    <row r="7970" spans="1:9" hidden="1">
      <c r="A7970" s="11" t="s">
        <v>11260</v>
      </c>
      <c r="B7970" s="2" t="s">
        <v>13636</v>
      </c>
      <c r="C7970" s="2" t="s">
        <v>13637</v>
      </c>
      <c r="D7970" s="2"/>
      <c r="E7970" s="2">
        <v>1</v>
      </c>
      <c r="F7970" s="9"/>
      <c r="G7970" s="8">
        <f t="shared" si="248"/>
        <v>5.0671090909090903</v>
      </c>
      <c r="H7970" s="8">
        <v>4.8258181818181809</v>
      </c>
      <c r="I7970" s="19">
        <f t="shared" si="249"/>
        <v>0</v>
      </c>
    </row>
    <row r="7971" spans="1:9" hidden="1">
      <c r="A7971" s="11" t="s">
        <v>11260</v>
      </c>
      <c r="B7971" s="2" t="s">
        <v>13638</v>
      </c>
      <c r="C7971" s="2" t="s">
        <v>13639</v>
      </c>
      <c r="D7971" s="2"/>
      <c r="E7971" s="2">
        <v>1</v>
      </c>
      <c r="F7971" s="9"/>
      <c r="G7971" s="8">
        <f t="shared" si="248"/>
        <v>2.7615193103448274</v>
      </c>
      <c r="H7971" s="8">
        <v>2.6300183908045978</v>
      </c>
      <c r="I7971" s="19">
        <f t="shared" si="249"/>
        <v>0</v>
      </c>
    </row>
    <row r="7972" spans="1:9" hidden="1">
      <c r="A7972" s="11" t="s">
        <v>11260</v>
      </c>
      <c r="B7972" s="2" t="s">
        <v>13640</v>
      </c>
      <c r="C7972" s="2" t="s">
        <v>13641</v>
      </c>
      <c r="D7972" s="2"/>
      <c r="E7972" s="2">
        <v>1</v>
      </c>
      <c r="F7972" s="9"/>
      <c r="G7972" s="8">
        <f t="shared" si="248"/>
        <v>3.8757464879356571</v>
      </c>
      <c r="H7972" s="8">
        <v>3.6911871313672924</v>
      </c>
      <c r="I7972" s="19">
        <f t="shared" si="249"/>
        <v>0</v>
      </c>
    </row>
    <row r="7973" spans="1:9" hidden="1">
      <c r="A7973" s="11" t="s">
        <v>11260</v>
      </c>
      <c r="B7973" s="2" t="s">
        <v>13642</v>
      </c>
      <c r="C7973" s="2" t="s">
        <v>13643</v>
      </c>
      <c r="D7973" s="2"/>
      <c r="E7973" s="2">
        <v>1</v>
      </c>
      <c r="F7973" s="9"/>
      <c r="G7973" s="8">
        <f t="shared" si="248"/>
        <v>4.343256172248803</v>
      </c>
      <c r="H7973" s="8">
        <v>4.136434449760765</v>
      </c>
      <c r="I7973" s="19">
        <f t="shared" si="249"/>
        <v>0</v>
      </c>
    </row>
    <row r="7974" spans="1:9" hidden="1">
      <c r="A7974" s="11" t="s">
        <v>11260</v>
      </c>
      <c r="B7974" s="2" t="s">
        <v>13644</v>
      </c>
      <c r="C7974" s="2" t="s">
        <v>13645</v>
      </c>
      <c r="D7974" s="2"/>
      <c r="E7974" s="2">
        <v>1</v>
      </c>
      <c r="F7974" s="9"/>
      <c r="G7974" s="8">
        <f t="shared" si="248"/>
        <v>3.4432556962025322</v>
      </c>
      <c r="H7974" s="8">
        <v>3.2792911392405069</v>
      </c>
      <c r="I7974" s="19">
        <f t="shared" si="249"/>
        <v>0</v>
      </c>
    </row>
    <row r="7975" spans="1:9">
      <c r="A7975" s="11" t="s">
        <v>11260</v>
      </c>
      <c r="B7975" s="2" t="s">
        <v>13646</v>
      </c>
      <c r="C7975" s="2" t="s">
        <v>13647</v>
      </c>
      <c r="D7975" s="2"/>
      <c r="E7975" s="2">
        <v>1</v>
      </c>
      <c r="F7975" s="9">
        <f>185+41</f>
        <v>226</v>
      </c>
      <c r="G7975" s="8">
        <f t="shared" si="248"/>
        <v>1.2225609375000002</v>
      </c>
      <c r="H7975" s="8">
        <v>1.1643437500000002</v>
      </c>
      <c r="I7975" s="19">
        <f t="shared" si="249"/>
        <v>276.29877187500006</v>
      </c>
    </row>
    <row r="7976" spans="1:9" hidden="1">
      <c r="A7976" s="11" t="s">
        <v>11260</v>
      </c>
      <c r="B7976" s="2" t="s">
        <v>13648</v>
      </c>
      <c r="C7976" s="2" t="s">
        <v>13649</v>
      </c>
      <c r="D7976" s="2"/>
      <c r="E7976" s="2">
        <v>1</v>
      </c>
      <c r="F7976" s="9"/>
      <c r="G7976" s="8">
        <f t="shared" si="248"/>
        <v>9.5854318443804019</v>
      </c>
      <c r="H7976" s="8">
        <v>9.1289827089337159</v>
      </c>
      <c r="I7976" s="19">
        <f t="shared" si="249"/>
        <v>0</v>
      </c>
    </row>
    <row r="7977" spans="1:9">
      <c r="A7977" s="11" t="s">
        <v>11260</v>
      </c>
      <c r="B7977" s="2" t="s">
        <v>13650</v>
      </c>
      <c r="C7977" s="2" t="s">
        <v>13651</v>
      </c>
      <c r="D7977" s="2"/>
      <c r="E7977" s="2">
        <v>1</v>
      </c>
      <c r="F7977" s="9">
        <f>(7*100)+54+172</f>
        <v>926</v>
      </c>
      <c r="G7977" s="8">
        <f t="shared" si="248"/>
        <v>1.29929184</v>
      </c>
      <c r="H7977" s="8">
        <v>1.2374208</v>
      </c>
      <c r="I7977" s="19">
        <f t="shared" si="249"/>
        <v>1203.1442438399999</v>
      </c>
    </row>
    <row r="7978" spans="1:9" hidden="1">
      <c r="A7978" s="11" t="s">
        <v>11260</v>
      </c>
      <c r="B7978" s="2" t="s">
        <v>13652</v>
      </c>
      <c r="C7978" s="2" t="s">
        <v>13653</v>
      </c>
      <c r="D7978" s="2"/>
      <c r="E7978" s="2">
        <v>1</v>
      </c>
      <c r="F7978" s="9"/>
      <c r="G7978" s="8">
        <f t="shared" si="248"/>
        <v>1.9748311578947368</v>
      </c>
      <c r="H7978" s="8">
        <v>1.8807915789473684</v>
      </c>
      <c r="I7978" s="19">
        <f t="shared" si="249"/>
        <v>0</v>
      </c>
    </row>
    <row r="7979" spans="1:9">
      <c r="A7979" s="11" t="s">
        <v>11260</v>
      </c>
      <c r="B7979" s="2" t="s">
        <v>13654</v>
      </c>
      <c r="C7979" s="2" t="s">
        <v>13655</v>
      </c>
      <c r="D7979" s="2"/>
      <c r="E7979" s="2">
        <v>1</v>
      </c>
      <c r="F7979" s="9">
        <v>100</v>
      </c>
      <c r="G7979" s="8">
        <f t="shared" si="248"/>
        <v>1.5293892</v>
      </c>
      <c r="H7979" s="8">
        <v>1.4565611428571428</v>
      </c>
      <c r="I7979" s="19">
        <f t="shared" si="249"/>
        <v>152.93892</v>
      </c>
    </row>
    <row r="7980" spans="1:9">
      <c r="A7980" s="11" t="s">
        <v>11260</v>
      </c>
      <c r="B7980" s="2" t="s">
        <v>13656</v>
      </c>
      <c r="C7980" s="2" t="s">
        <v>13657</v>
      </c>
      <c r="D7980" s="2"/>
      <c r="E7980" s="2">
        <v>1</v>
      </c>
      <c r="F7980" s="9">
        <v>67</v>
      </c>
      <c r="G7980" s="8">
        <f t="shared" si="248"/>
        <v>3.0365710344827588</v>
      </c>
      <c r="H7980" s="8">
        <v>2.8919724137931038</v>
      </c>
      <c r="I7980" s="19">
        <f t="shared" si="249"/>
        <v>203.45025931034485</v>
      </c>
    </row>
    <row r="7981" spans="1:9" hidden="1">
      <c r="A7981" s="11" t="s">
        <v>11260</v>
      </c>
      <c r="B7981" s="2" t="s">
        <v>13658</v>
      </c>
      <c r="C7981" s="2" t="s">
        <v>13659</v>
      </c>
      <c r="D7981" s="2"/>
      <c r="E7981" s="2">
        <v>1</v>
      </c>
      <c r="F7981" s="9"/>
      <c r="G7981" s="8">
        <f t="shared" si="248"/>
        <v>21.2619022406639</v>
      </c>
      <c r="H7981" s="8">
        <v>20.24943070539419</v>
      </c>
      <c r="I7981" s="19">
        <f t="shared" si="249"/>
        <v>0</v>
      </c>
    </row>
    <row r="7982" spans="1:9">
      <c r="A7982" s="11" t="s">
        <v>11260</v>
      </c>
      <c r="B7982" s="2" t="s">
        <v>13660</v>
      </c>
      <c r="C7982" s="2" t="s">
        <v>13661</v>
      </c>
      <c r="D7982" s="2"/>
      <c r="E7982" s="2">
        <v>1</v>
      </c>
      <c r="F7982" s="9">
        <f>(14*50)+27+32+28+94</f>
        <v>881</v>
      </c>
      <c r="G7982" s="8">
        <f t="shared" si="248"/>
        <v>4.2319158722358727</v>
      </c>
      <c r="H7982" s="8">
        <v>4.0303960687960689</v>
      </c>
      <c r="I7982" s="19">
        <f t="shared" si="249"/>
        <v>3728.3178834398041</v>
      </c>
    </row>
    <row r="7983" spans="1:9" hidden="1">
      <c r="A7983" s="11" t="s">
        <v>11260</v>
      </c>
      <c r="B7983" s="2" t="s">
        <v>13662</v>
      </c>
      <c r="C7983" s="2" t="s">
        <v>13663</v>
      </c>
      <c r="D7983" s="2"/>
      <c r="E7983" s="2">
        <v>1</v>
      </c>
      <c r="F7983" s="9"/>
      <c r="G7983" s="8">
        <f t="shared" si="248"/>
        <v>5.1229606490872213</v>
      </c>
      <c r="H7983" s="8">
        <v>4.8790101419878296</v>
      </c>
      <c r="I7983" s="19">
        <f t="shared" si="249"/>
        <v>0</v>
      </c>
    </row>
    <row r="7984" spans="1:9" hidden="1">
      <c r="A7984" s="11" t="s">
        <v>11260</v>
      </c>
      <c r="B7984" s="2" t="s">
        <v>13664</v>
      </c>
      <c r="C7984" s="2" t="s">
        <v>13665</v>
      </c>
      <c r="D7984" s="2"/>
      <c r="E7984" s="2">
        <v>1</v>
      </c>
      <c r="F7984" s="9"/>
      <c r="G7984" s="8">
        <f t="shared" si="248"/>
        <v>3.7688653333333333</v>
      </c>
      <c r="H7984" s="8">
        <v>3.5893955555555555</v>
      </c>
      <c r="I7984" s="19">
        <f t="shared" si="249"/>
        <v>0</v>
      </c>
    </row>
    <row r="7985" spans="1:9" hidden="1">
      <c r="A7985" s="11" t="s">
        <v>11260</v>
      </c>
      <c r="B7985" s="2" t="s">
        <v>13666</v>
      </c>
      <c r="C7985" s="2" t="s">
        <v>13667</v>
      </c>
      <c r="D7985" s="2"/>
      <c r="E7985" s="2">
        <v>1</v>
      </c>
      <c r="F7985" s="9"/>
      <c r="G7985" s="8">
        <f t="shared" si="248"/>
        <v>69.206340000000012</v>
      </c>
      <c r="H7985" s="8">
        <v>65.910800000000009</v>
      </c>
      <c r="I7985" s="19">
        <f t="shared" si="249"/>
        <v>0</v>
      </c>
    </row>
    <row r="7986" spans="1:9" hidden="1">
      <c r="A7986" s="11" t="s">
        <v>11260</v>
      </c>
      <c r="B7986" s="2" t="s">
        <v>13668</v>
      </c>
      <c r="C7986" s="2" t="s">
        <v>13669</v>
      </c>
      <c r="D7986" s="2"/>
      <c r="E7986" s="2">
        <v>1</v>
      </c>
      <c r="F7986" s="9"/>
      <c r="G7986" s="8">
        <f t="shared" si="248"/>
        <v>22.004009999999997</v>
      </c>
      <c r="H7986" s="8">
        <v>20.956199999999999</v>
      </c>
      <c r="I7986" s="19">
        <f t="shared" si="249"/>
        <v>0</v>
      </c>
    </row>
    <row r="7987" spans="1:9" hidden="1">
      <c r="A7987" s="11" t="s">
        <v>11260</v>
      </c>
      <c r="B7987" s="2" t="s">
        <v>13670</v>
      </c>
      <c r="C7987" s="2" t="s">
        <v>13671</v>
      </c>
      <c r="D7987" s="2"/>
      <c r="E7987" s="2">
        <v>1</v>
      </c>
      <c r="F7987" s="9"/>
      <c r="G7987" s="8">
        <f t="shared" si="248"/>
        <v>22.004009999999997</v>
      </c>
      <c r="H7987" s="8">
        <v>20.956199999999999</v>
      </c>
      <c r="I7987" s="19">
        <f t="shared" si="249"/>
        <v>0</v>
      </c>
    </row>
    <row r="7988" spans="1:9" hidden="1">
      <c r="A7988" s="11" t="s">
        <v>11260</v>
      </c>
      <c r="B7988" s="2" t="s">
        <v>13672</v>
      </c>
      <c r="C7988" s="2" t="s">
        <v>13673</v>
      </c>
      <c r="D7988" s="2"/>
      <c r="E7988" s="2">
        <v>1</v>
      </c>
      <c r="F7988" s="9"/>
      <c r="G7988" s="8">
        <f t="shared" si="248"/>
        <v>51.765630000000002</v>
      </c>
      <c r="H7988" s="8">
        <v>49.300600000000003</v>
      </c>
      <c r="I7988" s="19">
        <f t="shared" si="249"/>
        <v>0</v>
      </c>
    </row>
    <row r="7989" spans="1:9" hidden="1">
      <c r="A7989" s="11" t="s">
        <v>11260</v>
      </c>
      <c r="B7989" s="2" t="s">
        <v>13674</v>
      </c>
      <c r="C7989" s="2" t="s">
        <v>13675</v>
      </c>
      <c r="D7989" s="2"/>
      <c r="E7989" s="2">
        <v>1</v>
      </c>
      <c r="F7989" s="9"/>
      <c r="G7989" s="8">
        <f t="shared" si="248"/>
        <v>18.831960000000002</v>
      </c>
      <c r="H7989" s="8">
        <v>17.935200000000002</v>
      </c>
      <c r="I7989" s="19">
        <f t="shared" si="249"/>
        <v>0</v>
      </c>
    </row>
    <row r="7990" spans="1:9" hidden="1">
      <c r="A7990" s="11" t="s">
        <v>11260</v>
      </c>
      <c r="B7990" s="2" t="s">
        <v>13676</v>
      </c>
      <c r="C7990" s="2" t="s">
        <v>13677</v>
      </c>
      <c r="D7990" s="2"/>
      <c r="E7990" s="2">
        <v>1</v>
      </c>
      <c r="F7990" s="9"/>
      <c r="G7990" s="8">
        <f t="shared" si="248"/>
        <v>18.831960000000002</v>
      </c>
      <c r="H7990" s="8">
        <v>17.935200000000002</v>
      </c>
      <c r="I7990" s="19">
        <f t="shared" si="249"/>
        <v>0</v>
      </c>
    </row>
    <row r="7991" spans="1:9" hidden="1">
      <c r="A7991" s="11" t="s">
        <v>11260</v>
      </c>
      <c r="B7991" s="2" t="s">
        <v>13678</v>
      </c>
      <c r="C7991" s="2" t="s">
        <v>13679</v>
      </c>
      <c r="D7991" s="2"/>
      <c r="E7991" s="2">
        <v>1</v>
      </c>
      <c r="F7991" s="9"/>
      <c r="G7991" s="8">
        <f t="shared" si="248"/>
        <v>11.9091</v>
      </c>
      <c r="H7991" s="8">
        <v>11.342000000000001</v>
      </c>
      <c r="I7991" s="19">
        <f t="shared" si="249"/>
        <v>0</v>
      </c>
    </row>
    <row r="7992" spans="1:9" hidden="1">
      <c r="A7992" s="11" t="s">
        <v>11260</v>
      </c>
      <c r="B7992" s="2" t="s">
        <v>13680</v>
      </c>
      <c r="C7992" s="2" t="s">
        <v>13679</v>
      </c>
      <c r="D7992" s="2"/>
      <c r="E7992" s="2">
        <v>1</v>
      </c>
      <c r="F7992" s="9"/>
      <c r="G7992" s="8">
        <f t="shared" si="248"/>
        <v>14.613690000000002</v>
      </c>
      <c r="H7992" s="8">
        <v>13.917800000000002</v>
      </c>
      <c r="I7992" s="19">
        <f t="shared" si="249"/>
        <v>0</v>
      </c>
    </row>
    <row r="7993" spans="1:9" hidden="1">
      <c r="A7993" s="11" t="s">
        <v>11260</v>
      </c>
      <c r="B7993" s="2" t="s">
        <v>13681</v>
      </c>
      <c r="C7993" s="2" t="s">
        <v>13682</v>
      </c>
      <c r="D7993" s="2"/>
      <c r="E7993" s="2">
        <v>1</v>
      </c>
      <c r="F7993" s="9"/>
      <c r="G7993" s="8">
        <f t="shared" si="248"/>
        <v>15.59313</v>
      </c>
      <c r="H7993" s="8">
        <v>14.8506</v>
      </c>
      <c r="I7993" s="19">
        <f t="shared" si="249"/>
        <v>0</v>
      </c>
    </row>
    <row r="7994" spans="1:9" hidden="1">
      <c r="A7994" s="11" t="s">
        <v>11260</v>
      </c>
      <c r="B7994" s="2" t="s">
        <v>13683</v>
      </c>
      <c r="C7994" s="2" t="s">
        <v>13684</v>
      </c>
      <c r="D7994" s="2"/>
      <c r="E7994" s="2">
        <v>1</v>
      </c>
      <c r="F7994" s="9"/>
      <c r="G7994" s="8">
        <f t="shared" si="248"/>
        <v>8.4314999999999998</v>
      </c>
      <c r="H7994" s="8">
        <v>8.0299999999999994</v>
      </c>
      <c r="I7994" s="19">
        <f t="shared" si="249"/>
        <v>0</v>
      </c>
    </row>
    <row r="7995" spans="1:9" hidden="1">
      <c r="A7995" s="11" t="s">
        <v>11260</v>
      </c>
      <c r="B7995" s="2" t="s">
        <v>13685</v>
      </c>
      <c r="C7995" s="2" t="s">
        <v>13686</v>
      </c>
      <c r="D7995" s="2"/>
      <c r="E7995" s="2">
        <v>1</v>
      </c>
      <c r="F7995" s="9"/>
      <c r="G7995" s="8">
        <f t="shared" si="248"/>
        <v>4.4742599999999992</v>
      </c>
      <c r="H7995" s="8">
        <v>4.2611999999999997</v>
      </c>
      <c r="I7995" s="19">
        <f t="shared" si="249"/>
        <v>0</v>
      </c>
    </row>
    <row r="7996" spans="1:9" hidden="1">
      <c r="A7996" s="11" t="s">
        <v>11260</v>
      </c>
      <c r="B7996" s="2" t="s">
        <v>13687</v>
      </c>
      <c r="C7996" s="2" t="s">
        <v>13688</v>
      </c>
      <c r="D7996" s="2"/>
      <c r="E7996" s="2">
        <v>1</v>
      </c>
      <c r="F7996" s="9"/>
      <c r="G7996" s="8">
        <f t="shared" si="248"/>
        <v>4.4742599999999992</v>
      </c>
      <c r="H7996" s="8">
        <v>4.2611999999999997</v>
      </c>
      <c r="I7996" s="19">
        <f t="shared" si="249"/>
        <v>0</v>
      </c>
    </row>
    <row r="7997" spans="1:9" hidden="1">
      <c r="A7997" s="11" t="s">
        <v>11260</v>
      </c>
      <c r="B7997" s="2" t="s">
        <v>13689</v>
      </c>
      <c r="C7997" s="2" t="s">
        <v>13690</v>
      </c>
      <c r="D7997" s="2"/>
      <c r="E7997" s="2">
        <v>1</v>
      </c>
      <c r="F7997" s="9"/>
      <c r="G7997" s="8">
        <f t="shared" si="248"/>
        <v>11.630850000000001</v>
      </c>
      <c r="H7997" s="8">
        <v>11.077</v>
      </c>
      <c r="I7997" s="19">
        <f t="shared" si="249"/>
        <v>0</v>
      </c>
    </row>
    <row r="7998" spans="1:9" hidden="1">
      <c r="A7998" s="11" t="s">
        <v>11260</v>
      </c>
      <c r="B7998" s="2" t="s">
        <v>13691</v>
      </c>
      <c r="C7998" s="2" t="s">
        <v>13692</v>
      </c>
      <c r="D7998" s="2"/>
      <c r="E7998" s="2">
        <v>1</v>
      </c>
      <c r="F7998" s="9"/>
      <c r="G7998" s="8">
        <f t="shared" si="248"/>
        <v>5.5204800000000001</v>
      </c>
      <c r="H7998" s="8">
        <v>5.2576000000000001</v>
      </c>
      <c r="I7998" s="19">
        <f t="shared" si="249"/>
        <v>0</v>
      </c>
    </row>
    <row r="7999" spans="1:9" hidden="1">
      <c r="A7999" s="11" t="s">
        <v>11260</v>
      </c>
      <c r="B7999" s="2" t="s">
        <v>13693</v>
      </c>
      <c r="C7999" s="2" t="s">
        <v>13694</v>
      </c>
      <c r="D7999" s="2"/>
      <c r="E7999" s="2">
        <v>1</v>
      </c>
      <c r="F7999" s="9"/>
      <c r="G7999" s="8">
        <f t="shared" si="248"/>
        <v>119.83888346273523</v>
      </c>
      <c r="H7999" s="8">
        <v>114.13226996450973</v>
      </c>
      <c r="I7999" s="19">
        <f t="shared" si="249"/>
        <v>0</v>
      </c>
    </row>
    <row r="8000" spans="1:9" hidden="1">
      <c r="A8000" s="11" t="s">
        <v>11260</v>
      </c>
      <c r="B8000" s="2" t="s">
        <v>13695</v>
      </c>
      <c r="C8000" s="2" t="s">
        <v>13696</v>
      </c>
      <c r="D8000" s="2"/>
      <c r="E8000" s="2">
        <v>1</v>
      </c>
      <c r="F8000" s="9"/>
      <c r="G8000" s="8">
        <f t="shared" si="248"/>
        <v>5.5204800000000001</v>
      </c>
      <c r="H8000" s="8">
        <v>5.2576000000000001</v>
      </c>
      <c r="I8000" s="19">
        <f t="shared" si="249"/>
        <v>0</v>
      </c>
    </row>
    <row r="8001" spans="1:9" hidden="1">
      <c r="A8001" s="11" t="s">
        <v>11260</v>
      </c>
      <c r="B8001" s="2" t="s">
        <v>13697</v>
      </c>
      <c r="C8001" s="2" t="s">
        <v>13698</v>
      </c>
      <c r="D8001" s="2"/>
      <c r="E8001" s="2">
        <v>1</v>
      </c>
      <c r="F8001" s="9"/>
      <c r="G8001" s="8">
        <f t="shared" si="248"/>
        <v>2.3745996883852691</v>
      </c>
      <c r="H8001" s="8">
        <v>2.2615235127478752</v>
      </c>
      <c r="I8001" s="19">
        <f t="shared" si="249"/>
        <v>0</v>
      </c>
    </row>
    <row r="8002" spans="1:9" hidden="1">
      <c r="A8002" s="11" t="s">
        <v>11260</v>
      </c>
      <c r="B8002" s="2" t="s">
        <v>13699</v>
      </c>
      <c r="C8002" s="2" t="s">
        <v>13700</v>
      </c>
      <c r="D8002" s="2"/>
      <c r="E8002" s="2">
        <v>1</v>
      </c>
      <c r="F8002" s="9"/>
      <c r="G8002" s="8">
        <f t="shared" si="248"/>
        <v>2.4326489839572192</v>
      </c>
      <c r="H8002" s="8">
        <v>2.3168085561497325</v>
      </c>
      <c r="I8002" s="19">
        <f t="shared" si="249"/>
        <v>0</v>
      </c>
    </row>
    <row r="8003" spans="1:9" hidden="1">
      <c r="A8003" s="11" t="s">
        <v>11260</v>
      </c>
      <c r="B8003" s="2" t="s">
        <v>13701</v>
      </c>
      <c r="C8003" s="2" t="s">
        <v>13702</v>
      </c>
      <c r="D8003" s="2"/>
      <c r="E8003" s="2">
        <v>1</v>
      </c>
      <c r="F8003" s="9"/>
      <c r="G8003" s="8">
        <f t="shared" si="248"/>
        <v>1.9416044274809161</v>
      </c>
      <c r="H8003" s="8">
        <v>1.8491470737913487</v>
      </c>
      <c r="I8003" s="19">
        <f t="shared" si="249"/>
        <v>0</v>
      </c>
    </row>
    <row r="8004" spans="1:9" hidden="1">
      <c r="A8004" s="11" t="s">
        <v>11260</v>
      </c>
      <c r="B8004" s="2" t="s">
        <v>13703</v>
      </c>
      <c r="C8004" s="2" t="s">
        <v>13704</v>
      </c>
      <c r="D8004" s="2"/>
      <c r="E8004" s="2">
        <v>1</v>
      </c>
      <c r="F8004" s="9"/>
      <c r="G8004" s="8">
        <f t="shared" si="248"/>
        <v>3.7284879944289702</v>
      </c>
      <c r="H8004" s="8">
        <v>3.5509409470752096</v>
      </c>
      <c r="I8004" s="19">
        <f t="shared" si="249"/>
        <v>0</v>
      </c>
    </row>
    <row r="8005" spans="1:9" hidden="1">
      <c r="A8005" s="11" t="s">
        <v>11260</v>
      </c>
      <c r="B8005" s="2" t="s">
        <v>13705</v>
      </c>
      <c r="C8005" s="2" t="s">
        <v>13706</v>
      </c>
      <c r="D8005" s="2"/>
      <c r="E8005" s="2">
        <v>1</v>
      </c>
      <c r="F8005" s="9"/>
      <c r="G8005" s="8">
        <f t="shared" si="248"/>
        <v>4.1382295950920245</v>
      </c>
      <c r="H8005" s="8">
        <v>3.9411710429447853</v>
      </c>
      <c r="I8005" s="19">
        <f t="shared" si="249"/>
        <v>0</v>
      </c>
    </row>
    <row r="8006" spans="1:9" hidden="1">
      <c r="A8006" s="11" t="s">
        <v>11260</v>
      </c>
      <c r="B8006" s="2" t="s">
        <v>13707</v>
      </c>
      <c r="C8006" s="2" t="s">
        <v>13708</v>
      </c>
      <c r="D8006" s="2"/>
      <c r="E8006" s="2">
        <v>1</v>
      </c>
      <c r="F8006" s="9"/>
      <c r="G8006" s="8">
        <f t="shared" si="248"/>
        <v>3.085519075144509</v>
      </c>
      <c r="H8006" s="8">
        <v>2.9385895953757228</v>
      </c>
      <c r="I8006" s="19">
        <f t="shared" si="249"/>
        <v>0</v>
      </c>
    </row>
    <row r="8007" spans="1:9" hidden="1">
      <c r="A8007" s="11" t="s">
        <v>11260</v>
      </c>
      <c r="B8007" s="2" t="s">
        <v>13709</v>
      </c>
      <c r="C8007" s="2" t="s">
        <v>13710</v>
      </c>
      <c r="D8007" s="2"/>
      <c r="E8007" s="2">
        <v>1</v>
      </c>
      <c r="F8007" s="9"/>
      <c r="G8007" s="8">
        <f t="shared" si="248"/>
        <v>3.085519075144509</v>
      </c>
      <c r="H8007" s="8">
        <v>2.9385895953757228</v>
      </c>
      <c r="I8007" s="19">
        <f t="shared" si="249"/>
        <v>0</v>
      </c>
    </row>
    <row r="8008" spans="1:9" hidden="1">
      <c r="A8008" s="11" t="s">
        <v>11260</v>
      </c>
      <c r="B8008" s="2" t="s">
        <v>13711</v>
      </c>
      <c r="C8008" s="2" t="s">
        <v>13712</v>
      </c>
      <c r="D8008" s="2"/>
      <c r="E8008" s="2">
        <v>1</v>
      </c>
      <c r="F8008" s="9"/>
      <c r="G8008" s="8">
        <f t="shared" si="248"/>
        <v>4.1980772983114445</v>
      </c>
      <c r="H8008" s="8">
        <v>3.998168855534709</v>
      </c>
      <c r="I8008" s="19">
        <f t="shared" si="249"/>
        <v>0</v>
      </c>
    </row>
    <row r="8009" spans="1:9" hidden="1">
      <c r="A8009" s="11" t="s">
        <v>11260</v>
      </c>
      <c r="B8009" s="2" t="s">
        <v>13713</v>
      </c>
      <c r="C8009" s="2" t="s">
        <v>13714</v>
      </c>
      <c r="D8009" s="2"/>
      <c r="E8009" s="2">
        <v>1</v>
      </c>
      <c r="F8009" s="9"/>
      <c r="G8009" s="8">
        <f t="shared" si="248"/>
        <v>4.1980772983114445</v>
      </c>
      <c r="H8009" s="8">
        <v>3.998168855534709</v>
      </c>
      <c r="I8009" s="19">
        <f t="shared" si="249"/>
        <v>0</v>
      </c>
    </row>
    <row r="8010" spans="1:9" hidden="1">
      <c r="A8010" s="11" t="s">
        <v>11260</v>
      </c>
      <c r="B8010" s="2" t="s">
        <v>13715</v>
      </c>
      <c r="C8010" s="2" t="s">
        <v>13716</v>
      </c>
      <c r="D8010" s="2"/>
      <c r="E8010" s="2">
        <v>1</v>
      </c>
      <c r="F8010" s="9"/>
      <c r="G8010" s="8">
        <f t="shared" si="248"/>
        <v>3.5859625187406294</v>
      </c>
      <c r="H8010" s="8">
        <v>3.4152023988005995</v>
      </c>
      <c r="I8010" s="19">
        <f t="shared" si="249"/>
        <v>0</v>
      </c>
    </row>
    <row r="8011" spans="1:9" hidden="1">
      <c r="A8011" s="11" t="s">
        <v>11260</v>
      </c>
      <c r="B8011" s="2" t="s">
        <v>13717</v>
      </c>
      <c r="C8011" s="2" t="s">
        <v>13718</v>
      </c>
      <c r="D8011" s="2"/>
      <c r="E8011" s="2">
        <v>1</v>
      </c>
      <c r="F8011" s="9"/>
      <c r="G8011" s="8">
        <f t="shared" si="248"/>
        <v>3.5859625187406294</v>
      </c>
      <c r="H8011" s="8">
        <v>3.4152023988005995</v>
      </c>
      <c r="I8011" s="19">
        <f t="shared" si="249"/>
        <v>0</v>
      </c>
    </row>
    <row r="8012" spans="1:9" hidden="1">
      <c r="A8012" s="11" t="s">
        <v>11260</v>
      </c>
      <c r="B8012" s="2" t="s">
        <v>13719</v>
      </c>
      <c r="C8012" s="2" t="s">
        <v>13720</v>
      </c>
      <c r="D8012" s="2"/>
      <c r="E8012" s="2">
        <v>1</v>
      </c>
      <c r="F8012" s="9"/>
      <c r="G8012" s="8">
        <f t="shared" si="248"/>
        <v>4.9667624999999989</v>
      </c>
      <c r="H8012" s="8">
        <v>4.730249999999999</v>
      </c>
      <c r="I8012" s="19">
        <f t="shared" si="249"/>
        <v>0</v>
      </c>
    </row>
    <row r="8013" spans="1:9" hidden="1">
      <c r="A8013" s="11" t="s">
        <v>11260</v>
      </c>
      <c r="B8013" s="2" t="s">
        <v>13721</v>
      </c>
      <c r="C8013" s="2" t="s">
        <v>13722</v>
      </c>
      <c r="D8013" s="2"/>
      <c r="E8013" s="2">
        <v>1</v>
      </c>
      <c r="F8013" s="9"/>
      <c r="G8013" s="8">
        <f t="shared" si="248"/>
        <v>4.9667624999999989</v>
      </c>
      <c r="H8013" s="8">
        <v>4.730249999999999</v>
      </c>
      <c r="I8013" s="19">
        <f t="shared" si="249"/>
        <v>0</v>
      </c>
    </row>
    <row r="8014" spans="1:9" hidden="1">
      <c r="A8014" s="11" t="s">
        <v>11260</v>
      </c>
      <c r="B8014" s="2" t="s">
        <v>13723</v>
      </c>
      <c r="C8014" s="2" t="s">
        <v>13724</v>
      </c>
      <c r="D8014" s="2"/>
      <c r="E8014" s="2">
        <v>1</v>
      </c>
      <c r="F8014" s="9"/>
      <c r="G8014" s="8">
        <f t="shared" si="248"/>
        <v>2.3414999999999999</v>
      </c>
      <c r="H8014" s="8">
        <v>2.23</v>
      </c>
      <c r="I8014" s="19">
        <f t="shared" si="249"/>
        <v>0</v>
      </c>
    </row>
    <row r="8015" spans="1:9" hidden="1">
      <c r="A8015" s="11" t="s">
        <v>11260</v>
      </c>
      <c r="B8015" s="2" t="s">
        <v>13725</v>
      </c>
      <c r="C8015" s="2" t="s">
        <v>13472</v>
      </c>
      <c r="D8015" s="2"/>
      <c r="E8015" s="2">
        <v>1</v>
      </c>
      <c r="F8015" s="9"/>
      <c r="G8015" s="8">
        <f t="shared" si="248"/>
        <v>10.192662418032786</v>
      </c>
      <c r="H8015" s="8">
        <v>9.7072975409836051</v>
      </c>
      <c r="I8015" s="19">
        <f t="shared" si="249"/>
        <v>0</v>
      </c>
    </row>
    <row r="8016" spans="1:9" hidden="1">
      <c r="A8016" s="11" t="s">
        <v>11260</v>
      </c>
      <c r="B8016" s="2" t="s">
        <v>13726</v>
      </c>
      <c r="C8016" s="2" t="s">
        <v>13727</v>
      </c>
      <c r="D8016" s="2"/>
      <c r="E8016" s="2">
        <v>1</v>
      </c>
      <c r="F8016" s="9"/>
      <c r="G8016" s="8">
        <f t="shared" si="248"/>
        <v>11.619719999999999</v>
      </c>
      <c r="H8016" s="8">
        <v>11.0664</v>
      </c>
      <c r="I8016" s="19">
        <f t="shared" si="249"/>
        <v>0</v>
      </c>
    </row>
    <row r="8017" spans="1:9" hidden="1">
      <c r="A8017" s="11" t="s">
        <v>11260</v>
      </c>
      <c r="B8017" s="2" t="s">
        <v>13728</v>
      </c>
      <c r="C8017" s="2" t="s">
        <v>13729</v>
      </c>
      <c r="D8017" s="2"/>
      <c r="E8017" s="2">
        <v>1</v>
      </c>
      <c r="F8017" s="9"/>
      <c r="G8017" s="8">
        <f t="shared" si="248"/>
        <v>23.120999999999999</v>
      </c>
      <c r="H8017" s="8">
        <v>22.02</v>
      </c>
      <c r="I8017" s="19">
        <f t="shared" si="249"/>
        <v>0</v>
      </c>
    </row>
    <row r="8018" spans="1:9">
      <c r="A8018" s="11" t="s">
        <v>11260</v>
      </c>
      <c r="B8018" s="2" t="s">
        <v>13730</v>
      </c>
      <c r="C8018" s="2" t="s">
        <v>13731</v>
      </c>
      <c r="D8018" s="2"/>
      <c r="E8018" s="2">
        <v>1</v>
      </c>
      <c r="F8018" s="9">
        <v>4</v>
      </c>
      <c r="G8018" s="8">
        <f t="shared" si="248"/>
        <v>11.886839999999999</v>
      </c>
      <c r="H8018" s="8">
        <v>11.3208</v>
      </c>
      <c r="I8018" s="19">
        <f t="shared" si="249"/>
        <v>47.547359999999998</v>
      </c>
    </row>
    <row r="8019" spans="1:9" hidden="1">
      <c r="A8019" s="11" t="s">
        <v>11260</v>
      </c>
      <c r="B8019" s="2" t="s">
        <v>13732</v>
      </c>
      <c r="C8019" s="2" t="s">
        <v>13729</v>
      </c>
      <c r="D8019" s="2"/>
      <c r="E8019" s="2">
        <v>1</v>
      </c>
      <c r="F8019" s="9"/>
      <c r="G8019" s="8">
        <f t="shared" si="248"/>
        <v>23.860224841402335</v>
      </c>
      <c r="H8019" s="8">
        <v>22.724023658478416</v>
      </c>
      <c r="I8019" s="19">
        <f t="shared" si="249"/>
        <v>0</v>
      </c>
    </row>
    <row r="8020" spans="1:9">
      <c r="A8020" s="11" t="s">
        <v>11260</v>
      </c>
      <c r="B8020" s="2" t="s">
        <v>13733</v>
      </c>
      <c r="C8020" s="2" t="s">
        <v>13734</v>
      </c>
      <c r="D8020" s="2"/>
      <c r="E8020" s="2">
        <v>1</v>
      </c>
      <c r="F8020" s="9">
        <v>5</v>
      </c>
      <c r="G8020" s="8">
        <f t="shared" si="248"/>
        <v>11.886839999999999</v>
      </c>
      <c r="H8020" s="8">
        <v>11.3208</v>
      </c>
      <c r="I8020" s="19">
        <f t="shared" si="249"/>
        <v>59.434199999999997</v>
      </c>
    </row>
    <row r="8021" spans="1:9">
      <c r="A8021" s="11" t="s">
        <v>11260</v>
      </c>
      <c r="B8021" s="2" t="s">
        <v>13735</v>
      </c>
      <c r="C8021" s="2" t="s">
        <v>13736</v>
      </c>
      <c r="D8021" s="2"/>
      <c r="E8021" s="2">
        <v>1</v>
      </c>
      <c r="F8021" s="9">
        <v>4</v>
      </c>
      <c r="G8021" s="8">
        <f t="shared" si="248"/>
        <v>58.054499999999997</v>
      </c>
      <c r="H8021" s="8">
        <v>55.29</v>
      </c>
      <c r="I8021" s="19">
        <f t="shared" si="249"/>
        <v>232.21799999999999</v>
      </c>
    </row>
    <row r="8022" spans="1:9" hidden="1">
      <c r="A8022" s="11" t="s">
        <v>11260</v>
      </c>
      <c r="B8022" s="2" t="s">
        <v>13737</v>
      </c>
      <c r="C8022" s="2" t="s">
        <v>13738</v>
      </c>
      <c r="D8022" s="2"/>
      <c r="E8022" s="2">
        <v>1</v>
      </c>
      <c r="F8022" s="9"/>
      <c r="G8022" s="8">
        <f t="shared" ref="G8022:G8085" si="250">H8022+(H8022*5%)</f>
        <v>372.59311605824234</v>
      </c>
      <c r="H8022" s="8">
        <v>354.85058672213557</v>
      </c>
      <c r="I8022" s="19">
        <f t="shared" ref="I8022:I8085" si="251">G8022*F8022</f>
        <v>0</v>
      </c>
    </row>
    <row r="8023" spans="1:9" hidden="1">
      <c r="A8023" s="11" t="s">
        <v>11260</v>
      </c>
      <c r="B8023" s="2" t="s">
        <v>13739</v>
      </c>
      <c r="C8023" s="2" t="s">
        <v>13740</v>
      </c>
      <c r="D8023" s="2"/>
      <c r="E8023" s="2">
        <v>1</v>
      </c>
      <c r="F8023" s="9"/>
      <c r="G8023" s="8">
        <f t="shared" si="250"/>
        <v>145.37735901196049</v>
      </c>
      <c r="H8023" s="8">
        <v>138.45462763043855</v>
      </c>
      <c r="I8023" s="19">
        <f t="shared" si="251"/>
        <v>0</v>
      </c>
    </row>
    <row r="8024" spans="1:9" hidden="1">
      <c r="A8024" s="11" t="s">
        <v>11260</v>
      </c>
      <c r="B8024" s="2" t="s">
        <v>13741</v>
      </c>
      <c r="C8024" s="2" t="s">
        <v>13742</v>
      </c>
      <c r="D8024" s="2"/>
      <c r="E8024" s="2">
        <v>1</v>
      </c>
      <c r="F8024" s="9"/>
      <c r="G8024" s="8">
        <f t="shared" si="250"/>
        <v>145.37735901196049</v>
      </c>
      <c r="H8024" s="8">
        <v>138.45462763043855</v>
      </c>
      <c r="I8024" s="19">
        <f t="shared" si="251"/>
        <v>0</v>
      </c>
    </row>
    <row r="8025" spans="1:9" hidden="1">
      <c r="A8025" s="11" t="s">
        <v>11260</v>
      </c>
      <c r="B8025" s="2" t="s">
        <v>13743</v>
      </c>
      <c r="C8025" s="2" t="s">
        <v>13736</v>
      </c>
      <c r="D8025" s="2"/>
      <c r="E8025" s="2">
        <v>1</v>
      </c>
      <c r="F8025" s="9"/>
      <c r="G8025" s="8">
        <f t="shared" si="250"/>
        <v>70.742280000000008</v>
      </c>
      <c r="H8025" s="8">
        <v>67.37360000000001</v>
      </c>
      <c r="I8025" s="19">
        <f t="shared" si="251"/>
        <v>0</v>
      </c>
    </row>
    <row r="8026" spans="1:9">
      <c r="A8026" s="11" t="s">
        <v>11260</v>
      </c>
      <c r="B8026" s="2" t="s">
        <v>13744</v>
      </c>
      <c r="C8026" s="2" t="s">
        <v>13745</v>
      </c>
      <c r="D8026" s="2"/>
      <c r="E8026" s="2">
        <v>1</v>
      </c>
      <c r="F8026" s="9">
        <v>3</v>
      </c>
      <c r="G8026" s="8">
        <f t="shared" si="250"/>
        <v>30.31812</v>
      </c>
      <c r="H8026" s="8">
        <v>28.874400000000001</v>
      </c>
      <c r="I8026" s="19">
        <f t="shared" si="251"/>
        <v>90.954360000000008</v>
      </c>
    </row>
    <row r="8027" spans="1:9">
      <c r="A8027" s="11" t="s">
        <v>11260</v>
      </c>
      <c r="B8027" s="2" t="s">
        <v>13746</v>
      </c>
      <c r="C8027" s="2" t="s">
        <v>13747</v>
      </c>
      <c r="D8027" s="2"/>
      <c r="E8027" s="2">
        <v>1</v>
      </c>
      <c r="F8027" s="9">
        <v>4</v>
      </c>
      <c r="G8027" s="8">
        <f t="shared" si="250"/>
        <v>30.31812</v>
      </c>
      <c r="H8027" s="8">
        <v>28.874400000000001</v>
      </c>
      <c r="I8027" s="19">
        <f t="shared" si="251"/>
        <v>121.27248</v>
      </c>
    </row>
    <row r="8028" spans="1:9" hidden="1">
      <c r="A8028" s="11" t="s">
        <v>11260</v>
      </c>
      <c r="B8028" s="2" t="s">
        <v>13748</v>
      </c>
      <c r="C8028" s="2" t="s">
        <v>13749</v>
      </c>
      <c r="D8028" s="2"/>
      <c r="E8028" s="2">
        <v>1</v>
      </c>
      <c r="F8028" s="9"/>
      <c r="G8028" s="8">
        <f t="shared" si="250"/>
        <v>0.65666999999999998</v>
      </c>
      <c r="H8028" s="8">
        <v>0.62539999999999996</v>
      </c>
      <c r="I8028" s="19">
        <f t="shared" si="251"/>
        <v>0</v>
      </c>
    </row>
    <row r="8029" spans="1:9" hidden="1">
      <c r="A8029" s="11" t="s">
        <v>11260</v>
      </c>
      <c r="B8029" s="2" t="s">
        <v>13750</v>
      </c>
      <c r="C8029" s="2" t="s">
        <v>13751</v>
      </c>
      <c r="D8029" s="2"/>
      <c r="E8029" s="2">
        <v>1</v>
      </c>
      <c r="F8029" s="9"/>
      <c r="G8029" s="8">
        <f t="shared" si="250"/>
        <v>2.28165</v>
      </c>
      <c r="H8029" s="8">
        <v>2.173</v>
      </c>
      <c r="I8029" s="19">
        <f t="shared" si="251"/>
        <v>0</v>
      </c>
    </row>
    <row r="8030" spans="1:9" hidden="1">
      <c r="A8030" s="11" t="s">
        <v>11260</v>
      </c>
      <c r="B8030" s="2" t="s">
        <v>13752</v>
      </c>
      <c r="C8030" s="2" t="s">
        <v>13753</v>
      </c>
      <c r="D8030" s="2"/>
      <c r="E8030" s="2">
        <v>1</v>
      </c>
      <c r="F8030" s="9"/>
      <c r="G8030" s="8">
        <f t="shared" si="250"/>
        <v>2.28165</v>
      </c>
      <c r="H8030" s="8">
        <v>2.173</v>
      </c>
      <c r="I8030" s="19">
        <f t="shared" si="251"/>
        <v>0</v>
      </c>
    </row>
    <row r="8031" spans="1:9" hidden="1">
      <c r="A8031" s="11" t="s">
        <v>11260</v>
      </c>
      <c r="B8031" s="2" t="s">
        <v>13754</v>
      </c>
      <c r="C8031" s="2" t="s">
        <v>13755</v>
      </c>
      <c r="D8031" s="2"/>
      <c r="E8031" s="2">
        <v>1</v>
      </c>
      <c r="F8031" s="9"/>
      <c r="G8031" s="8">
        <f t="shared" si="250"/>
        <v>2.2259999999999999E-2</v>
      </c>
      <c r="H8031" s="8">
        <v>2.12E-2</v>
      </c>
      <c r="I8031" s="19">
        <f t="shared" si="251"/>
        <v>0</v>
      </c>
    </row>
    <row r="8032" spans="1:9" hidden="1">
      <c r="A8032" s="11" t="s">
        <v>11260</v>
      </c>
      <c r="B8032" s="2" t="s">
        <v>13756</v>
      </c>
      <c r="C8032" s="2" t="s">
        <v>13757</v>
      </c>
      <c r="D8032" s="2"/>
      <c r="E8032" s="2">
        <v>1</v>
      </c>
      <c r="F8032" s="9"/>
      <c r="G8032" s="8">
        <f t="shared" si="250"/>
        <v>2.2259999999999999E-2</v>
      </c>
      <c r="H8032" s="8">
        <v>2.12E-2</v>
      </c>
      <c r="I8032" s="19">
        <f t="shared" si="251"/>
        <v>0</v>
      </c>
    </row>
    <row r="8033" spans="1:9" hidden="1">
      <c r="A8033" s="11" t="s">
        <v>11260</v>
      </c>
      <c r="B8033" s="2" t="s">
        <v>13758</v>
      </c>
      <c r="C8033" s="2" t="s">
        <v>13759</v>
      </c>
      <c r="D8033" s="2"/>
      <c r="E8033" s="2">
        <v>1</v>
      </c>
      <c r="F8033" s="9"/>
      <c r="G8033" s="8">
        <f t="shared" si="250"/>
        <v>111.47808000000001</v>
      </c>
      <c r="H8033" s="8">
        <v>106.1696</v>
      </c>
      <c r="I8033" s="19">
        <f t="shared" si="251"/>
        <v>0</v>
      </c>
    </row>
    <row r="8034" spans="1:9" hidden="1">
      <c r="A8034" s="11" t="s">
        <v>11260</v>
      </c>
      <c r="B8034" s="2" t="s">
        <v>13760</v>
      </c>
      <c r="C8034" s="2" t="s">
        <v>13761</v>
      </c>
      <c r="D8034" s="2"/>
      <c r="E8034" s="2">
        <v>1</v>
      </c>
      <c r="F8034" s="9"/>
      <c r="G8034" s="8">
        <f t="shared" si="250"/>
        <v>50.630370000000006</v>
      </c>
      <c r="H8034" s="8">
        <v>48.219400000000007</v>
      </c>
      <c r="I8034" s="19">
        <f t="shared" si="251"/>
        <v>0</v>
      </c>
    </row>
    <row r="8035" spans="1:9" hidden="1">
      <c r="A8035" s="11" t="s">
        <v>11260</v>
      </c>
      <c r="B8035" s="2" t="s">
        <v>13762</v>
      </c>
      <c r="C8035" s="2" t="s">
        <v>13763</v>
      </c>
      <c r="D8035" s="2"/>
      <c r="E8035" s="2">
        <v>1</v>
      </c>
      <c r="F8035" s="9"/>
      <c r="G8035" s="8">
        <f t="shared" si="250"/>
        <v>50.630370000000006</v>
      </c>
      <c r="H8035" s="8">
        <v>48.219400000000007</v>
      </c>
      <c r="I8035" s="19">
        <f t="shared" si="251"/>
        <v>0</v>
      </c>
    </row>
    <row r="8036" spans="1:9" hidden="1">
      <c r="A8036" s="11" t="s">
        <v>11260</v>
      </c>
      <c r="B8036" s="2" t="s">
        <v>13764</v>
      </c>
      <c r="C8036" s="2" t="s">
        <v>13765</v>
      </c>
      <c r="D8036" s="2"/>
      <c r="E8036" s="2">
        <v>1</v>
      </c>
      <c r="F8036" s="9"/>
      <c r="G8036" s="8">
        <f t="shared" si="250"/>
        <v>24.140970000000003</v>
      </c>
      <c r="H8036" s="8">
        <v>22.991400000000002</v>
      </c>
      <c r="I8036" s="19">
        <f t="shared" si="251"/>
        <v>0</v>
      </c>
    </row>
    <row r="8037" spans="1:9">
      <c r="A8037" s="11" t="s">
        <v>11260</v>
      </c>
      <c r="B8037" s="2" t="s">
        <v>13766</v>
      </c>
      <c r="C8037" s="2" t="s">
        <v>13767</v>
      </c>
      <c r="D8037" s="2"/>
      <c r="E8037" s="2">
        <v>1</v>
      </c>
      <c r="F8037" s="9">
        <v>127</v>
      </c>
      <c r="G8037" s="8">
        <f t="shared" si="250"/>
        <v>76.496490000000009</v>
      </c>
      <c r="H8037" s="8">
        <v>72.853800000000007</v>
      </c>
      <c r="I8037" s="19">
        <f t="shared" si="251"/>
        <v>9715.0542300000016</v>
      </c>
    </row>
    <row r="8038" spans="1:9" hidden="1">
      <c r="A8038" s="11" t="s">
        <v>11260</v>
      </c>
      <c r="B8038" s="2" t="s">
        <v>13768</v>
      </c>
      <c r="C8038" s="2" t="s">
        <v>13769</v>
      </c>
      <c r="D8038" s="2"/>
      <c r="E8038" s="2">
        <v>1</v>
      </c>
      <c r="F8038" s="9"/>
      <c r="G8038" s="8">
        <f t="shared" si="250"/>
        <v>35.159669999999998</v>
      </c>
      <c r="H8038" s="8">
        <v>33.485399999999998</v>
      </c>
      <c r="I8038" s="19">
        <f t="shared" si="251"/>
        <v>0</v>
      </c>
    </row>
    <row r="8039" spans="1:9" hidden="1">
      <c r="A8039" s="11" t="s">
        <v>11260</v>
      </c>
      <c r="B8039" s="2" t="s">
        <v>13770</v>
      </c>
      <c r="C8039" s="2" t="s">
        <v>13771</v>
      </c>
      <c r="D8039" s="2"/>
      <c r="E8039" s="2">
        <v>1</v>
      </c>
      <c r="F8039" s="9"/>
      <c r="G8039" s="8">
        <f t="shared" si="250"/>
        <v>35.159669999999998</v>
      </c>
      <c r="H8039" s="8">
        <v>33.485399999999998</v>
      </c>
      <c r="I8039" s="19">
        <f t="shared" si="251"/>
        <v>0</v>
      </c>
    </row>
    <row r="8040" spans="1:9">
      <c r="A8040" s="11" t="s">
        <v>11260</v>
      </c>
      <c r="B8040" s="2" t="s">
        <v>13772</v>
      </c>
      <c r="C8040" s="2" t="s">
        <v>13773</v>
      </c>
      <c r="D8040" s="2"/>
      <c r="E8040" s="2">
        <v>1</v>
      </c>
      <c r="F8040" s="9">
        <v>20</v>
      </c>
      <c r="G8040" s="8">
        <f t="shared" si="250"/>
        <v>3.6172500000000003</v>
      </c>
      <c r="H8040" s="8">
        <v>3.4450000000000003</v>
      </c>
      <c r="I8040" s="19">
        <f t="shared" si="251"/>
        <v>72.344999999999999</v>
      </c>
    </row>
    <row r="8041" spans="1:9" hidden="1">
      <c r="A8041" s="11" t="s">
        <v>11260</v>
      </c>
      <c r="B8041" s="2" t="s">
        <v>13774</v>
      </c>
      <c r="C8041" s="2" t="s">
        <v>13775</v>
      </c>
      <c r="D8041" s="2"/>
      <c r="E8041" s="2">
        <v>1</v>
      </c>
      <c r="F8041" s="9"/>
      <c r="G8041" s="8">
        <f t="shared" si="250"/>
        <v>25.109279999999998</v>
      </c>
      <c r="H8041" s="8">
        <v>23.913599999999999</v>
      </c>
      <c r="I8041" s="19">
        <f t="shared" si="251"/>
        <v>0</v>
      </c>
    </row>
    <row r="8042" spans="1:9" hidden="1">
      <c r="A8042" s="11" t="s">
        <v>11260</v>
      </c>
      <c r="B8042" s="2" t="s">
        <v>13776</v>
      </c>
      <c r="C8042" s="2" t="s">
        <v>13777</v>
      </c>
      <c r="D8042" s="2"/>
      <c r="E8042" s="2">
        <v>1</v>
      </c>
      <c r="F8042" s="9"/>
      <c r="G8042" s="8">
        <f t="shared" si="250"/>
        <v>81.126570000000001</v>
      </c>
      <c r="H8042" s="8">
        <v>77.263400000000004</v>
      </c>
      <c r="I8042" s="19">
        <f t="shared" si="251"/>
        <v>0</v>
      </c>
    </row>
    <row r="8043" spans="1:9" hidden="1">
      <c r="A8043" s="11" t="s">
        <v>11260</v>
      </c>
      <c r="B8043" s="2" t="s">
        <v>13778</v>
      </c>
      <c r="C8043" s="2" t="s">
        <v>13779</v>
      </c>
      <c r="D8043" s="2"/>
      <c r="E8043" s="2">
        <v>1</v>
      </c>
      <c r="F8043" s="9"/>
      <c r="G8043" s="8">
        <f t="shared" si="250"/>
        <v>86.268630000000016</v>
      </c>
      <c r="H8043" s="8">
        <v>82.160600000000017</v>
      </c>
      <c r="I8043" s="19">
        <f t="shared" si="251"/>
        <v>0</v>
      </c>
    </row>
    <row r="8044" spans="1:9" hidden="1">
      <c r="A8044" s="11" t="s">
        <v>11260</v>
      </c>
      <c r="B8044" s="2" t="s">
        <v>13780</v>
      </c>
      <c r="C8044" s="2" t="s">
        <v>13781</v>
      </c>
      <c r="D8044" s="2"/>
      <c r="E8044" s="2">
        <v>1</v>
      </c>
      <c r="F8044" s="9"/>
      <c r="G8044" s="8">
        <f t="shared" si="250"/>
        <v>34.213620000000006</v>
      </c>
      <c r="H8044" s="8">
        <v>32.584400000000002</v>
      </c>
      <c r="I8044" s="19">
        <f t="shared" si="251"/>
        <v>0</v>
      </c>
    </row>
    <row r="8045" spans="1:9" hidden="1">
      <c r="A8045" s="11" t="s">
        <v>11260</v>
      </c>
      <c r="B8045" s="2" t="s">
        <v>13782</v>
      </c>
      <c r="C8045" s="2" t="s">
        <v>13783</v>
      </c>
      <c r="D8045" s="2"/>
      <c r="E8045" s="2">
        <v>1</v>
      </c>
      <c r="F8045" s="9"/>
      <c r="G8045" s="8">
        <f t="shared" si="250"/>
        <v>34.213620000000006</v>
      </c>
      <c r="H8045" s="8">
        <v>32.584400000000002</v>
      </c>
      <c r="I8045" s="19">
        <f t="shared" si="251"/>
        <v>0</v>
      </c>
    </row>
    <row r="8046" spans="1:9">
      <c r="A8046" s="11" t="s">
        <v>11260</v>
      </c>
      <c r="B8046" s="2" t="s">
        <v>13784</v>
      </c>
      <c r="C8046" s="2" t="s">
        <v>13785</v>
      </c>
      <c r="D8046" s="2"/>
      <c r="E8046" s="2">
        <v>1</v>
      </c>
      <c r="F8046" s="9">
        <v>2</v>
      </c>
      <c r="G8046" s="8">
        <f t="shared" si="250"/>
        <v>34.213620000000006</v>
      </c>
      <c r="H8046" s="8">
        <v>32.584400000000002</v>
      </c>
      <c r="I8046" s="19">
        <f t="shared" si="251"/>
        <v>68.427240000000012</v>
      </c>
    </row>
    <row r="8047" spans="1:9">
      <c r="A8047" s="11" t="s">
        <v>11260</v>
      </c>
      <c r="B8047" s="2" t="s">
        <v>13786</v>
      </c>
      <c r="C8047" s="2" t="s">
        <v>13787</v>
      </c>
      <c r="D8047" s="2"/>
      <c r="E8047" s="2">
        <v>1</v>
      </c>
      <c r="F8047" s="9">
        <v>3</v>
      </c>
      <c r="G8047" s="8">
        <f t="shared" si="250"/>
        <v>34.213620000000006</v>
      </c>
      <c r="H8047" s="8">
        <v>32.584400000000002</v>
      </c>
      <c r="I8047" s="19">
        <f t="shared" si="251"/>
        <v>102.64086000000002</v>
      </c>
    </row>
    <row r="8048" spans="1:9" hidden="1">
      <c r="A8048" s="11" t="s">
        <v>11260</v>
      </c>
      <c r="B8048" s="2" t="s">
        <v>13788</v>
      </c>
      <c r="C8048" s="2" t="s">
        <v>13779</v>
      </c>
      <c r="D8048" s="2"/>
      <c r="E8048" s="2">
        <v>1</v>
      </c>
      <c r="F8048" s="9"/>
      <c r="G8048" s="8">
        <f t="shared" si="250"/>
        <v>60.301765183823534</v>
      </c>
      <c r="H8048" s="8">
        <v>57.43025255602241</v>
      </c>
      <c r="I8048" s="19">
        <f t="shared" si="251"/>
        <v>0</v>
      </c>
    </row>
    <row r="8049" spans="1:9" hidden="1">
      <c r="A8049" s="11" t="s">
        <v>11260</v>
      </c>
      <c r="B8049" s="2" t="s">
        <v>13789</v>
      </c>
      <c r="C8049" s="2" t="s">
        <v>13790</v>
      </c>
      <c r="D8049" s="2"/>
      <c r="E8049" s="2">
        <v>1</v>
      </c>
      <c r="F8049" s="9"/>
      <c r="G8049" s="8">
        <f t="shared" si="250"/>
        <v>27.858390000000004</v>
      </c>
      <c r="H8049" s="8">
        <v>26.531800000000004</v>
      </c>
      <c r="I8049" s="19">
        <f t="shared" si="251"/>
        <v>0</v>
      </c>
    </row>
    <row r="8050" spans="1:9" hidden="1">
      <c r="A8050" s="11" t="s">
        <v>11260</v>
      </c>
      <c r="B8050" s="2" t="s">
        <v>13791</v>
      </c>
      <c r="C8050" s="2" t="s">
        <v>13792</v>
      </c>
      <c r="D8050" s="2"/>
      <c r="E8050" s="2">
        <v>1</v>
      </c>
      <c r="F8050" s="9"/>
      <c r="G8050" s="8">
        <f t="shared" si="250"/>
        <v>27.858390000000004</v>
      </c>
      <c r="H8050" s="8">
        <v>26.531800000000004</v>
      </c>
      <c r="I8050" s="19">
        <f t="shared" si="251"/>
        <v>0</v>
      </c>
    </row>
    <row r="8051" spans="1:9" hidden="1">
      <c r="A8051" s="11" t="s">
        <v>11260</v>
      </c>
      <c r="B8051" s="2" t="s">
        <v>13793</v>
      </c>
      <c r="C8051" s="2" t="s">
        <v>13794</v>
      </c>
      <c r="D8051" s="2"/>
      <c r="E8051" s="2">
        <v>1</v>
      </c>
      <c r="F8051" s="9"/>
      <c r="G8051" s="8">
        <f t="shared" si="250"/>
        <v>15.771210000000002</v>
      </c>
      <c r="H8051" s="8">
        <v>15.020200000000001</v>
      </c>
      <c r="I8051" s="19">
        <f t="shared" si="251"/>
        <v>0</v>
      </c>
    </row>
    <row r="8052" spans="1:9" hidden="1">
      <c r="A8052" s="11" t="s">
        <v>11260</v>
      </c>
      <c r="B8052" s="2" t="s">
        <v>13795</v>
      </c>
      <c r="C8052" s="2" t="s">
        <v>13796</v>
      </c>
      <c r="D8052" s="2"/>
      <c r="E8052" s="2">
        <v>1</v>
      </c>
      <c r="F8052" s="9"/>
      <c r="G8052" s="8">
        <f t="shared" si="250"/>
        <v>19.555410000000002</v>
      </c>
      <c r="H8052" s="8">
        <v>18.624200000000002</v>
      </c>
      <c r="I8052" s="19">
        <f t="shared" si="251"/>
        <v>0</v>
      </c>
    </row>
    <row r="8053" spans="1:9" hidden="1">
      <c r="A8053" s="11" t="s">
        <v>11260</v>
      </c>
      <c r="B8053" s="2" t="s">
        <v>13797</v>
      </c>
      <c r="C8053" s="2" t="s">
        <v>13798</v>
      </c>
      <c r="D8053" s="2"/>
      <c r="E8053" s="2">
        <v>1</v>
      </c>
      <c r="F8053" s="9"/>
      <c r="G8053" s="8">
        <f t="shared" si="250"/>
        <v>13.4673</v>
      </c>
      <c r="H8053" s="8">
        <v>12.826000000000001</v>
      </c>
      <c r="I8053" s="19">
        <f t="shared" si="251"/>
        <v>0</v>
      </c>
    </row>
    <row r="8054" spans="1:9" hidden="1">
      <c r="A8054" s="11" t="s">
        <v>11260</v>
      </c>
      <c r="B8054" s="2" t="s">
        <v>13799</v>
      </c>
      <c r="C8054" s="2" t="s">
        <v>13800</v>
      </c>
      <c r="D8054" s="2"/>
      <c r="E8054" s="2">
        <v>1</v>
      </c>
      <c r="F8054" s="9"/>
      <c r="G8054" s="8">
        <f t="shared" si="250"/>
        <v>0.72345000000000004</v>
      </c>
      <c r="H8054" s="8">
        <v>0.68900000000000006</v>
      </c>
      <c r="I8054" s="19">
        <f t="shared" si="251"/>
        <v>0</v>
      </c>
    </row>
    <row r="8055" spans="1:9" hidden="1">
      <c r="A8055" s="11" t="s">
        <v>11260</v>
      </c>
      <c r="B8055" s="2" t="s">
        <v>13801</v>
      </c>
      <c r="C8055" s="2" t="s">
        <v>13802</v>
      </c>
      <c r="D8055" s="2"/>
      <c r="E8055" s="2">
        <v>1</v>
      </c>
      <c r="F8055" s="9"/>
      <c r="G8055" s="8">
        <f t="shared" si="250"/>
        <v>15.771210000000002</v>
      </c>
      <c r="H8055" s="8">
        <v>15.020200000000001</v>
      </c>
      <c r="I8055" s="19">
        <f t="shared" si="251"/>
        <v>0</v>
      </c>
    </row>
    <row r="8056" spans="1:9" hidden="1">
      <c r="A8056" s="11" t="s">
        <v>11260</v>
      </c>
      <c r="B8056" s="2" t="s">
        <v>13803</v>
      </c>
      <c r="C8056" s="2" t="s">
        <v>13804</v>
      </c>
      <c r="D8056" s="2"/>
      <c r="E8056" s="2">
        <v>1</v>
      </c>
      <c r="F8056" s="9"/>
      <c r="G8056" s="8">
        <f t="shared" si="250"/>
        <v>11.719072162080433</v>
      </c>
      <c r="H8056" s="8">
        <v>11.16102110674327</v>
      </c>
      <c r="I8056" s="19">
        <f t="shared" si="251"/>
        <v>0</v>
      </c>
    </row>
    <row r="8057" spans="1:9" hidden="1">
      <c r="A8057" s="11" t="s">
        <v>11260</v>
      </c>
      <c r="B8057" s="2" t="s">
        <v>13805</v>
      </c>
      <c r="C8057" s="2" t="s">
        <v>13806</v>
      </c>
      <c r="D8057" s="2"/>
      <c r="E8057" s="2">
        <v>1</v>
      </c>
      <c r="F8057" s="9"/>
      <c r="G8057" s="8">
        <f t="shared" si="250"/>
        <v>26.522789999999997</v>
      </c>
      <c r="H8057" s="8">
        <v>25.259799999999998</v>
      </c>
      <c r="I8057" s="19">
        <f t="shared" si="251"/>
        <v>0</v>
      </c>
    </row>
    <row r="8058" spans="1:9" hidden="1">
      <c r="A8058" s="11" t="s">
        <v>11260</v>
      </c>
      <c r="B8058" s="2" t="s">
        <v>13807</v>
      </c>
      <c r="C8058" s="2" t="s">
        <v>13808</v>
      </c>
      <c r="D8058" s="2"/>
      <c r="E8058" s="2">
        <v>1</v>
      </c>
      <c r="F8058" s="9"/>
      <c r="G8058" s="8">
        <f t="shared" si="250"/>
        <v>9.6612858369098724</v>
      </c>
      <c r="H8058" s="8">
        <v>9.2012246065808316</v>
      </c>
      <c r="I8058" s="19">
        <f t="shared" si="251"/>
        <v>0</v>
      </c>
    </row>
    <row r="8059" spans="1:9">
      <c r="A8059" s="11" t="s">
        <v>11260</v>
      </c>
      <c r="B8059" s="2" t="s">
        <v>13809</v>
      </c>
      <c r="C8059" s="2" t="s">
        <v>13810</v>
      </c>
      <c r="D8059" s="2"/>
      <c r="E8059" s="2">
        <v>1</v>
      </c>
      <c r="F8059" s="9">
        <v>4</v>
      </c>
      <c r="G8059" s="8">
        <f t="shared" si="250"/>
        <v>45.412500000000001</v>
      </c>
      <c r="H8059" s="8">
        <v>43.25</v>
      </c>
      <c r="I8059" s="19">
        <f t="shared" si="251"/>
        <v>181.65</v>
      </c>
    </row>
    <row r="8060" spans="1:9" hidden="1">
      <c r="A8060" s="11" t="s">
        <v>11260</v>
      </c>
      <c r="B8060" s="2" t="s">
        <v>13811</v>
      </c>
      <c r="C8060" s="2" t="s">
        <v>13812</v>
      </c>
      <c r="D8060" s="2"/>
      <c r="E8060" s="2">
        <v>1</v>
      </c>
      <c r="F8060" s="9"/>
      <c r="G8060" s="8">
        <f t="shared" si="250"/>
        <v>2.2593899999999998</v>
      </c>
      <c r="H8060" s="8">
        <v>2.1517999999999997</v>
      </c>
      <c r="I8060" s="19">
        <f t="shared" si="251"/>
        <v>0</v>
      </c>
    </row>
    <row r="8061" spans="1:9" hidden="1">
      <c r="A8061" s="11" t="s">
        <v>11260</v>
      </c>
      <c r="B8061" s="2" t="s">
        <v>13813</v>
      </c>
      <c r="C8061" s="2" t="s">
        <v>13814</v>
      </c>
      <c r="D8061" s="2"/>
      <c r="E8061" s="2">
        <v>1</v>
      </c>
      <c r="F8061" s="9"/>
      <c r="G8061" s="8">
        <f t="shared" si="250"/>
        <v>2.2593899999999998</v>
      </c>
      <c r="H8061" s="8">
        <v>2.1517999999999997</v>
      </c>
      <c r="I8061" s="19">
        <f t="shared" si="251"/>
        <v>0</v>
      </c>
    </row>
    <row r="8062" spans="1:9" hidden="1">
      <c r="A8062" s="11" t="s">
        <v>11260</v>
      </c>
      <c r="B8062" s="2" t="s">
        <v>13815</v>
      </c>
      <c r="C8062" s="2" t="s">
        <v>13816</v>
      </c>
      <c r="D8062" s="2"/>
      <c r="E8062" s="2">
        <v>1</v>
      </c>
      <c r="F8062" s="9"/>
      <c r="G8062" s="8">
        <f t="shared" si="250"/>
        <v>74.526479999999992</v>
      </c>
      <c r="H8062" s="8">
        <v>70.977599999999995</v>
      </c>
      <c r="I8062" s="19">
        <f t="shared" si="251"/>
        <v>0</v>
      </c>
    </row>
    <row r="8063" spans="1:9" hidden="1">
      <c r="A8063" s="11" t="s">
        <v>11260</v>
      </c>
      <c r="B8063" s="2" t="s">
        <v>13817</v>
      </c>
      <c r="C8063" s="2" t="s">
        <v>13818</v>
      </c>
      <c r="D8063" s="2"/>
      <c r="E8063" s="2">
        <v>1</v>
      </c>
      <c r="F8063" s="9"/>
      <c r="G8063" s="8">
        <f t="shared" si="250"/>
        <v>13.968150000000001</v>
      </c>
      <c r="H8063" s="8">
        <v>13.303000000000001</v>
      </c>
      <c r="I8063" s="19">
        <f t="shared" si="251"/>
        <v>0</v>
      </c>
    </row>
    <row r="8064" spans="1:9" hidden="1">
      <c r="A8064" s="11" t="s">
        <v>11260</v>
      </c>
      <c r="B8064" s="2" t="s">
        <v>13819</v>
      </c>
      <c r="C8064" s="2" t="s">
        <v>13820</v>
      </c>
      <c r="D8064" s="2"/>
      <c r="E8064" s="2">
        <v>1</v>
      </c>
      <c r="F8064" s="9"/>
      <c r="G8064" s="8">
        <f t="shared" si="250"/>
        <v>23.320069318801092</v>
      </c>
      <c r="H8064" s="8">
        <v>22.20958982742961</v>
      </c>
      <c r="I8064" s="19">
        <f t="shared" si="251"/>
        <v>0</v>
      </c>
    </row>
    <row r="8065" spans="1:9" hidden="1">
      <c r="A8065" s="11" t="s">
        <v>11260</v>
      </c>
      <c r="B8065" s="2" t="s">
        <v>13821</v>
      </c>
      <c r="C8065" s="2" t="s">
        <v>13822</v>
      </c>
      <c r="D8065" s="2"/>
      <c r="E8065" s="2">
        <v>1</v>
      </c>
      <c r="F8065" s="9"/>
      <c r="G8065" s="8">
        <f t="shared" si="250"/>
        <v>1.5408866666666667</v>
      </c>
      <c r="H8065" s="8">
        <v>1.4675111111111112</v>
      </c>
      <c r="I8065" s="19">
        <f t="shared" si="251"/>
        <v>0</v>
      </c>
    </row>
    <row r="8066" spans="1:9" hidden="1">
      <c r="A8066" s="11" t="s">
        <v>11260</v>
      </c>
      <c r="B8066" s="2" t="s">
        <v>13823</v>
      </c>
      <c r="C8066" s="2" t="s">
        <v>13824</v>
      </c>
      <c r="D8066" s="2"/>
      <c r="E8066" s="2">
        <v>1</v>
      </c>
      <c r="F8066" s="9"/>
      <c r="G8066" s="8">
        <f t="shared" si="250"/>
        <v>2.5646875367647057</v>
      </c>
      <c r="H8066" s="8">
        <v>2.4425595588235294</v>
      </c>
      <c r="I8066" s="19">
        <f t="shared" si="251"/>
        <v>0</v>
      </c>
    </row>
    <row r="8067" spans="1:9" hidden="1">
      <c r="A8067" s="11" t="s">
        <v>11260</v>
      </c>
      <c r="B8067" s="2" t="s">
        <v>13825</v>
      </c>
      <c r="C8067" s="2" t="s">
        <v>13826</v>
      </c>
      <c r="D8067" s="2"/>
      <c r="E8067" s="2">
        <v>1</v>
      </c>
      <c r="F8067" s="9"/>
      <c r="G8067" s="8">
        <f t="shared" si="250"/>
        <v>8.295434237288136</v>
      </c>
      <c r="H8067" s="8">
        <v>7.9004135593220344</v>
      </c>
      <c r="I8067" s="19">
        <f t="shared" si="251"/>
        <v>0</v>
      </c>
    </row>
    <row r="8068" spans="1:9">
      <c r="A8068" s="11" t="s">
        <v>11260</v>
      </c>
      <c r="B8068" s="2" t="s">
        <v>13827</v>
      </c>
      <c r="C8068" s="2" t="s">
        <v>13828</v>
      </c>
      <c r="D8068" s="2"/>
      <c r="E8068" s="2">
        <v>1</v>
      </c>
      <c r="F8068" s="9">
        <f>105+50</f>
        <v>155</v>
      </c>
      <c r="G8068" s="8">
        <f t="shared" si="250"/>
        <v>2.8167787072243349</v>
      </c>
      <c r="H8068" s="8">
        <v>2.6826463878326998</v>
      </c>
      <c r="I8068" s="19">
        <f t="shared" si="251"/>
        <v>436.60069961977189</v>
      </c>
    </row>
    <row r="8069" spans="1:9" hidden="1">
      <c r="A8069" s="11" t="s">
        <v>11260</v>
      </c>
      <c r="B8069" s="2" t="s">
        <v>13829</v>
      </c>
      <c r="C8069" s="2" t="s">
        <v>13830</v>
      </c>
      <c r="D8069" s="2"/>
      <c r="E8069" s="2">
        <v>1</v>
      </c>
      <c r="F8069" s="9"/>
      <c r="G8069" s="8">
        <f t="shared" si="250"/>
        <v>1.2920364843750001</v>
      </c>
      <c r="H8069" s="8">
        <v>1.2305109375000001</v>
      </c>
      <c r="I8069" s="19">
        <f t="shared" si="251"/>
        <v>0</v>
      </c>
    </row>
    <row r="8070" spans="1:9" hidden="1">
      <c r="A8070" s="11" t="s">
        <v>11260</v>
      </c>
      <c r="B8070" s="2" t="s">
        <v>13831</v>
      </c>
      <c r="C8070" s="2" t="s">
        <v>13832</v>
      </c>
      <c r="D8070" s="2"/>
      <c r="E8070" s="2">
        <v>1</v>
      </c>
      <c r="F8070" s="9"/>
      <c r="G8070" s="8">
        <f t="shared" si="250"/>
        <v>1.5750968393782383</v>
      </c>
      <c r="H8070" s="8">
        <v>1.5000922279792746</v>
      </c>
      <c r="I8070" s="19">
        <f t="shared" si="251"/>
        <v>0</v>
      </c>
    </row>
    <row r="8071" spans="1:9" hidden="1">
      <c r="A8071" s="11" t="s">
        <v>11260</v>
      </c>
      <c r="B8071" s="2" t="s">
        <v>13833</v>
      </c>
      <c r="C8071" s="2" t="s">
        <v>13834</v>
      </c>
      <c r="D8071" s="2"/>
      <c r="E8071" s="2">
        <v>1</v>
      </c>
      <c r="F8071" s="9"/>
      <c r="G8071" s="8">
        <f t="shared" si="250"/>
        <v>2.5117457142857145</v>
      </c>
      <c r="H8071" s="8">
        <v>2.3921387755102042</v>
      </c>
      <c r="I8071" s="19">
        <f t="shared" si="251"/>
        <v>0</v>
      </c>
    </row>
    <row r="8072" spans="1:9" hidden="1">
      <c r="A8072" s="11" t="s">
        <v>11260</v>
      </c>
      <c r="B8072" s="2" t="s">
        <v>13835</v>
      </c>
      <c r="C8072" s="2" t="s">
        <v>13836</v>
      </c>
      <c r="D8072" s="2"/>
      <c r="E8072" s="2">
        <v>1</v>
      </c>
      <c r="F8072" s="9"/>
      <c r="G8072" s="8">
        <f t="shared" si="250"/>
        <v>9.2037572463768136</v>
      </c>
      <c r="H8072" s="8">
        <v>8.7654830917874413</v>
      </c>
      <c r="I8072" s="19">
        <f t="shared" si="251"/>
        <v>0</v>
      </c>
    </row>
    <row r="8073" spans="1:9" hidden="1">
      <c r="A8073" s="11" t="s">
        <v>11260</v>
      </c>
      <c r="B8073" s="2" t="s">
        <v>13837</v>
      </c>
      <c r="C8073" s="2" t="s">
        <v>13838</v>
      </c>
      <c r="D8073" s="2"/>
      <c r="E8073" s="2">
        <v>1</v>
      </c>
      <c r="F8073" s="9"/>
      <c r="G8073" s="8">
        <f t="shared" si="250"/>
        <v>0.924111676300578</v>
      </c>
      <c r="H8073" s="8">
        <v>0.88010635838150286</v>
      </c>
      <c r="I8073" s="19">
        <f t="shared" si="251"/>
        <v>0</v>
      </c>
    </row>
    <row r="8074" spans="1:9" hidden="1">
      <c r="A8074" s="11" t="s">
        <v>11260</v>
      </c>
      <c r="B8074" s="2" t="s">
        <v>13839</v>
      </c>
      <c r="C8074" s="2" t="s">
        <v>13840</v>
      </c>
      <c r="D8074" s="2"/>
      <c r="E8074" s="2">
        <v>1</v>
      </c>
      <c r="F8074" s="9"/>
      <c r="G8074" s="8">
        <f t="shared" si="250"/>
        <v>0.79414054054054051</v>
      </c>
      <c r="H8074" s="8">
        <v>0.75632432432432428</v>
      </c>
      <c r="I8074" s="19">
        <f t="shared" si="251"/>
        <v>0</v>
      </c>
    </row>
    <row r="8075" spans="1:9" hidden="1">
      <c r="A8075" s="11" t="s">
        <v>11260</v>
      </c>
      <c r="B8075" s="2" t="s">
        <v>13841</v>
      </c>
      <c r="C8075" s="2" t="s">
        <v>13842</v>
      </c>
      <c r="D8075" s="2"/>
      <c r="E8075" s="2">
        <v>1</v>
      </c>
      <c r="F8075" s="9"/>
      <c r="G8075" s="8">
        <f t="shared" si="250"/>
        <v>1.3546519411764706</v>
      </c>
      <c r="H8075" s="8">
        <v>1.290144705882353</v>
      </c>
      <c r="I8075" s="19">
        <f t="shared" si="251"/>
        <v>0</v>
      </c>
    </row>
    <row r="8076" spans="1:9" hidden="1">
      <c r="A8076" s="11" t="s">
        <v>11260</v>
      </c>
      <c r="B8076" s="2" t="s">
        <v>13843</v>
      </c>
      <c r="C8076" s="2" t="s">
        <v>13844</v>
      </c>
      <c r="D8076" s="2"/>
      <c r="E8076" s="2">
        <v>1</v>
      </c>
      <c r="F8076" s="9"/>
      <c r="G8076" s="8">
        <f t="shared" si="250"/>
        <v>11.410795803402646</v>
      </c>
      <c r="H8076" s="8">
        <v>10.867424574669187</v>
      </c>
      <c r="I8076" s="19">
        <f t="shared" si="251"/>
        <v>0</v>
      </c>
    </row>
    <row r="8077" spans="1:9" hidden="1">
      <c r="A8077" s="11" t="s">
        <v>11260</v>
      </c>
      <c r="B8077" s="2" t="s">
        <v>13845</v>
      </c>
      <c r="C8077" s="2" t="s">
        <v>13846</v>
      </c>
      <c r="D8077" s="2"/>
      <c r="E8077" s="2">
        <v>1</v>
      </c>
      <c r="F8077" s="9"/>
      <c r="G8077" s="8">
        <f t="shared" si="250"/>
        <v>10.992253100189036</v>
      </c>
      <c r="H8077" s="8">
        <v>10.468812476370511</v>
      </c>
      <c r="I8077" s="19">
        <f t="shared" si="251"/>
        <v>0</v>
      </c>
    </row>
    <row r="8078" spans="1:9" hidden="1">
      <c r="A8078" s="11" t="s">
        <v>11260</v>
      </c>
      <c r="B8078" s="2" t="s">
        <v>13847</v>
      </c>
      <c r="C8078" s="2" t="s">
        <v>13848</v>
      </c>
      <c r="D8078" s="2"/>
      <c r="E8078" s="2">
        <v>1</v>
      </c>
      <c r="F8078" s="9"/>
      <c r="G8078" s="8">
        <f t="shared" si="250"/>
        <v>3.1622063819095478</v>
      </c>
      <c r="H8078" s="8">
        <v>3.0116251256281408</v>
      </c>
      <c r="I8078" s="19">
        <f t="shared" si="251"/>
        <v>0</v>
      </c>
    </row>
    <row r="8079" spans="1:9" hidden="1">
      <c r="A8079" s="11" t="s">
        <v>11260</v>
      </c>
      <c r="B8079" s="2" t="s">
        <v>13849</v>
      </c>
      <c r="C8079" s="2" t="s">
        <v>13607</v>
      </c>
      <c r="D8079" s="2"/>
      <c r="E8079" s="2">
        <v>1</v>
      </c>
      <c r="F8079" s="9"/>
      <c r="G8079" s="8">
        <f t="shared" si="250"/>
        <v>3.2842229411764712</v>
      </c>
      <c r="H8079" s="8">
        <v>3.1278313725490201</v>
      </c>
      <c r="I8079" s="19">
        <f t="shared" si="251"/>
        <v>0</v>
      </c>
    </row>
    <row r="8080" spans="1:9" hidden="1">
      <c r="A8080" s="11" t="s">
        <v>11260</v>
      </c>
      <c r="B8080" s="2" t="s">
        <v>13850</v>
      </c>
      <c r="C8080" s="2" t="s">
        <v>13851</v>
      </c>
      <c r="D8080" s="2"/>
      <c r="E8080" s="2">
        <v>1</v>
      </c>
      <c r="F8080" s="9"/>
      <c r="G8080" s="8">
        <f t="shared" si="250"/>
        <v>3.2871922048997777</v>
      </c>
      <c r="H8080" s="8">
        <v>3.1306592427616931</v>
      </c>
      <c r="I8080" s="19">
        <f t="shared" si="251"/>
        <v>0</v>
      </c>
    </row>
    <row r="8081" spans="1:9" hidden="1">
      <c r="A8081" s="11" t="s">
        <v>11260</v>
      </c>
      <c r="B8081" s="2" t="s">
        <v>13852</v>
      </c>
      <c r="C8081" s="2" t="s">
        <v>13848</v>
      </c>
      <c r="D8081" s="2"/>
      <c r="E8081" s="2">
        <v>1</v>
      </c>
      <c r="F8081" s="9"/>
      <c r="G8081" s="8">
        <f t="shared" si="250"/>
        <v>3.0384899999999995</v>
      </c>
      <c r="H8081" s="8">
        <v>2.8937999999999997</v>
      </c>
      <c r="I8081" s="19">
        <f t="shared" si="251"/>
        <v>0</v>
      </c>
    </row>
    <row r="8082" spans="1:9" hidden="1">
      <c r="A8082" s="11" t="s">
        <v>11260</v>
      </c>
      <c r="B8082" s="2" t="s">
        <v>13853</v>
      </c>
      <c r="C8082" s="2" t="s">
        <v>13854</v>
      </c>
      <c r="D8082" s="2"/>
      <c r="E8082" s="2">
        <v>1</v>
      </c>
      <c r="F8082" s="9"/>
      <c r="G8082" s="8">
        <f t="shared" si="250"/>
        <v>7.74648</v>
      </c>
      <c r="H8082" s="8">
        <v>7.3776000000000002</v>
      </c>
      <c r="I8082" s="19">
        <f t="shared" si="251"/>
        <v>0</v>
      </c>
    </row>
    <row r="8083" spans="1:9" hidden="1">
      <c r="A8083" s="11" t="s">
        <v>11260</v>
      </c>
      <c r="B8083" s="2" t="s">
        <v>13855</v>
      </c>
      <c r="C8083" s="2" t="s">
        <v>13856</v>
      </c>
      <c r="D8083" s="2"/>
      <c r="E8083" s="2">
        <v>1</v>
      </c>
      <c r="F8083" s="9"/>
      <c r="G8083" s="8">
        <f t="shared" si="250"/>
        <v>8.345168000000001</v>
      </c>
      <c r="H8083" s="8">
        <v>7.947779047619048</v>
      </c>
      <c r="I8083" s="19">
        <f t="shared" si="251"/>
        <v>0</v>
      </c>
    </row>
    <row r="8084" spans="1:9" hidden="1">
      <c r="A8084" s="11" t="s">
        <v>11260</v>
      </c>
      <c r="B8084" s="2" t="s">
        <v>13857</v>
      </c>
      <c r="C8084" s="2" t="s">
        <v>13858</v>
      </c>
      <c r="D8084" s="2"/>
      <c r="E8084" s="2">
        <v>1</v>
      </c>
      <c r="F8084" s="9"/>
      <c r="G8084" s="8">
        <f t="shared" si="250"/>
        <v>8.5815509581395375</v>
      </c>
      <c r="H8084" s="8">
        <v>8.1729056744186064</v>
      </c>
      <c r="I8084" s="19">
        <f t="shared" si="251"/>
        <v>0</v>
      </c>
    </row>
    <row r="8085" spans="1:9" hidden="1">
      <c r="A8085" s="11" t="s">
        <v>11260</v>
      </c>
      <c r="B8085" s="2" t="s">
        <v>13859</v>
      </c>
      <c r="C8085" s="2" t="s">
        <v>13858</v>
      </c>
      <c r="D8085" s="2"/>
      <c r="E8085" s="2">
        <v>1</v>
      </c>
      <c r="F8085" s="9"/>
      <c r="G8085" s="8">
        <f t="shared" si="250"/>
        <v>8.5817978571428579</v>
      </c>
      <c r="H8085" s="8">
        <v>8.1731408163265318</v>
      </c>
      <c r="I8085" s="19">
        <f t="shared" si="251"/>
        <v>0</v>
      </c>
    </row>
    <row r="8086" spans="1:9" hidden="1">
      <c r="A8086" s="11" t="s">
        <v>11260</v>
      </c>
      <c r="B8086" s="2" t="s">
        <v>13860</v>
      </c>
      <c r="C8086" s="2" t="s">
        <v>13861</v>
      </c>
      <c r="D8086" s="2"/>
      <c r="E8086" s="2">
        <v>1</v>
      </c>
      <c r="F8086" s="9"/>
      <c r="G8086" s="8">
        <f t="shared" ref="G8086:G8150" si="252">H8086+(H8086*5%)</f>
        <v>8.3402187967644075</v>
      </c>
      <c r="H8086" s="8">
        <v>7.9430655207280072</v>
      </c>
      <c r="I8086" s="19">
        <f t="shared" ref="I8086:I8150" si="253">G8086*F8086</f>
        <v>0</v>
      </c>
    </row>
    <row r="8087" spans="1:9" hidden="1">
      <c r="A8087" s="11" t="s">
        <v>11260</v>
      </c>
      <c r="B8087" s="2" t="s">
        <v>13862</v>
      </c>
      <c r="C8087" s="2" t="s">
        <v>13863</v>
      </c>
      <c r="D8087" s="2"/>
      <c r="E8087" s="2">
        <v>1</v>
      </c>
      <c r="F8087" s="9"/>
      <c r="G8087" s="8">
        <f t="shared" si="252"/>
        <v>3.813591844660194</v>
      </c>
      <c r="H8087" s="8">
        <v>3.6319922330097087</v>
      </c>
      <c r="I8087" s="19">
        <f t="shared" si="253"/>
        <v>0</v>
      </c>
    </row>
    <row r="8088" spans="1:9" hidden="1">
      <c r="A8088" s="11" t="s">
        <v>11260</v>
      </c>
      <c r="B8088" s="2" t="s">
        <v>13864</v>
      </c>
      <c r="C8088" s="2" t="s">
        <v>13865</v>
      </c>
      <c r="D8088" s="2"/>
      <c r="E8088" s="2">
        <v>1</v>
      </c>
      <c r="F8088" s="9"/>
      <c r="G8088" s="8">
        <f t="shared" si="252"/>
        <v>3.9576883460076053</v>
      </c>
      <c r="H8088" s="8">
        <v>3.7692269961977192</v>
      </c>
      <c r="I8088" s="19">
        <f t="shared" si="253"/>
        <v>0</v>
      </c>
    </row>
    <row r="8089" spans="1:9" hidden="1">
      <c r="A8089" s="11" t="s">
        <v>11260</v>
      </c>
      <c r="B8089" s="2" t="s">
        <v>13866</v>
      </c>
      <c r="C8089" s="2" t="s">
        <v>13867</v>
      </c>
      <c r="D8089" s="2"/>
      <c r="E8089" s="2">
        <v>1</v>
      </c>
      <c r="F8089" s="9"/>
      <c r="G8089" s="8">
        <f t="shared" si="252"/>
        <v>3.9576883460076053</v>
      </c>
      <c r="H8089" s="8">
        <v>3.7692269961977192</v>
      </c>
      <c r="I8089" s="19">
        <f t="shared" si="253"/>
        <v>0</v>
      </c>
    </row>
    <row r="8090" spans="1:9" hidden="1">
      <c r="A8090" s="11" t="s">
        <v>11260</v>
      </c>
      <c r="B8090" s="2" t="s">
        <v>13868</v>
      </c>
      <c r="C8090" s="2" t="s">
        <v>13869</v>
      </c>
      <c r="D8090" s="2"/>
      <c r="E8090" s="2">
        <v>1</v>
      </c>
      <c r="F8090" s="9"/>
      <c r="G8090" s="8">
        <f t="shared" si="252"/>
        <v>3.700805987525988</v>
      </c>
      <c r="H8090" s="8">
        <v>3.5245771309771312</v>
      </c>
      <c r="I8090" s="19">
        <f t="shared" si="253"/>
        <v>0</v>
      </c>
    </row>
    <row r="8091" spans="1:9">
      <c r="A8091" s="11" t="s">
        <v>11260</v>
      </c>
      <c r="B8091" s="2" t="s">
        <v>13870</v>
      </c>
      <c r="C8091" s="2" t="s">
        <v>13871</v>
      </c>
      <c r="D8091" s="2"/>
      <c r="E8091" s="2">
        <v>1</v>
      </c>
      <c r="F8091" s="9">
        <v>22</v>
      </c>
      <c r="G8091" s="8">
        <f t="shared" si="252"/>
        <v>1.36528</v>
      </c>
      <c r="H8091" s="8">
        <v>1.3002666666666667</v>
      </c>
      <c r="I8091" s="19">
        <f t="shared" si="253"/>
        <v>30.036160000000002</v>
      </c>
    </row>
    <row r="8092" spans="1:9" hidden="1">
      <c r="A8092" s="11" t="s">
        <v>11260</v>
      </c>
      <c r="B8092" s="2" t="s">
        <v>13872</v>
      </c>
      <c r="C8092" s="2" t="s">
        <v>13873</v>
      </c>
      <c r="D8092" s="2"/>
      <c r="E8092" s="2">
        <v>1</v>
      </c>
      <c r="F8092" s="9"/>
      <c r="G8092" s="8">
        <f t="shared" si="252"/>
        <v>2.5834166129032257</v>
      </c>
      <c r="H8092" s="8">
        <v>2.4603967741935482</v>
      </c>
      <c r="I8092" s="19">
        <f t="shared" si="253"/>
        <v>0</v>
      </c>
    </row>
    <row r="8093" spans="1:9" hidden="1">
      <c r="A8093" s="11" t="s">
        <v>11260</v>
      </c>
      <c r="B8093" s="2" t="s">
        <v>13874</v>
      </c>
      <c r="C8093" s="2" t="s">
        <v>13875</v>
      </c>
      <c r="D8093" s="2"/>
      <c r="E8093" s="2">
        <v>1</v>
      </c>
      <c r="F8093" s="9"/>
      <c r="G8093" s="8">
        <f t="shared" si="252"/>
        <v>1.3546299650349654</v>
      </c>
      <c r="H8093" s="8">
        <v>1.2901237762237765</v>
      </c>
      <c r="I8093" s="19">
        <f t="shared" si="253"/>
        <v>0</v>
      </c>
    </row>
    <row r="8094" spans="1:9" hidden="1">
      <c r="A8094" s="11" t="s">
        <v>11260</v>
      </c>
      <c r="B8094" s="2" t="s">
        <v>13876</v>
      </c>
      <c r="C8094" s="2" t="s">
        <v>13877</v>
      </c>
      <c r="D8094" s="2"/>
      <c r="E8094" s="2">
        <v>1</v>
      </c>
      <c r="F8094" s="9"/>
      <c r="G8094" s="8">
        <f t="shared" si="252"/>
        <v>1.3630814814814813</v>
      </c>
      <c r="H8094" s="8">
        <v>1.2981728395061727</v>
      </c>
      <c r="I8094" s="19">
        <f t="shared" si="253"/>
        <v>0</v>
      </c>
    </row>
    <row r="8095" spans="1:9" hidden="1">
      <c r="A8095" s="11" t="s">
        <v>11260</v>
      </c>
      <c r="B8095" s="2" t="s">
        <v>13878</v>
      </c>
      <c r="C8095" s="2" t="s">
        <v>13879</v>
      </c>
      <c r="D8095" s="2"/>
      <c r="E8095" s="2">
        <v>1</v>
      </c>
      <c r="F8095" s="9"/>
      <c r="G8095" s="8">
        <f t="shared" si="252"/>
        <v>1.3142817692307693</v>
      </c>
      <c r="H8095" s="8">
        <v>1.2516969230769233</v>
      </c>
      <c r="I8095" s="19">
        <f t="shared" si="253"/>
        <v>0</v>
      </c>
    </row>
    <row r="8096" spans="1:9" hidden="1">
      <c r="A8096" s="11" t="s">
        <v>11260</v>
      </c>
      <c r="B8096" s="2" t="s">
        <v>13880</v>
      </c>
      <c r="C8096" s="2" t="s">
        <v>13881</v>
      </c>
      <c r="D8096" s="2"/>
      <c r="E8096" s="2">
        <v>1</v>
      </c>
      <c r="F8096" s="9"/>
      <c r="G8096" s="8">
        <f t="shared" si="252"/>
        <v>5.9143890078328987</v>
      </c>
      <c r="H8096" s="8">
        <v>5.6327514360313318</v>
      </c>
      <c r="I8096" s="19">
        <f t="shared" si="253"/>
        <v>0</v>
      </c>
    </row>
    <row r="8097" spans="1:9" hidden="1">
      <c r="A8097" s="11" t="s">
        <v>11260</v>
      </c>
      <c r="B8097" s="2" t="s">
        <v>13882</v>
      </c>
      <c r="C8097" s="2" t="s">
        <v>13883</v>
      </c>
      <c r="D8097" s="2"/>
      <c r="E8097" s="2">
        <v>1</v>
      </c>
      <c r="F8097" s="9"/>
      <c r="G8097" s="8">
        <f t="shared" si="252"/>
        <v>1.5617563313609466</v>
      </c>
      <c r="H8097" s="8">
        <v>1.4873869822485206</v>
      </c>
      <c r="I8097" s="19">
        <f t="shared" si="253"/>
        <v>0</v>
      </c>
    </row>
    <row r="8098" spans="1:9" hidden="1">
      <c r="A8098" s="11" t="s">
        <v>11260</v>
      </c>
      <c r="B8098" s="2" t="s">
        <v>13884</v>
      </c>
      <c r="C8098" s="2" t="s">
        <v>13885</v>
      </c>
      <c r="D8098" s="2"/>
      <c r="E8098" s="2">
        <v>1</v>
      </c>
      <c r="F8098" s="9"/>
      <c r="G8098" s="8">
        <f t="shared" si="252"/>
        <v>2.2078285714285717</v>
      </c>
      <c r="H8098" s="8">
        <v>2.1026938775510207</v>
      </c>
      <c r="I8098" s="19">
        <f t="shared" si="253"/>
        <v>0</v>
      </c>
    </row>
    <row r="8099" spans="1:9" hidden="1">
      <c r="A8099" s="11" t="s">
        <v>11260</v>
      </c>
      <c r="B8099" s="2" t="s">
        <v>13886</v>
      </c>
      <c r="C8099" s="2" t="s">
        <v>13887</v>
      </c>
      <c r="D8099" s="2"/>
      <c r="E8099" s="2">
        <v>1</v>
      </c>
      <c r="F8099" s="9"/>
      <c r="G8099" s="8">
        <f t="shared" si="252"/>
        <v>2.0604969000000004</v>
      </c>
      <c r="H8099" s="8">
        <v>1.9623780000000002</v>
      </c>
      <c r="I8099" s="19">
        <f t="shared" si="253"/>
        <v>0</v>
      </c>
    </row>
    <row r="8100" spans="1:9">
      <c r="A8100" s="11" t="s">
        <v>11260</v>
      </c>
      <c r="B8100" s="2" t="s">
        <v>13888</v>
      </c>
      <c r="C8100" s="2" t="s">
        <v>13889</v>
      </c>
      <c r="D8100" s="2"/>
      <c r="E8100" s="2">
        <v>1</v>
      </c>
      <c r="F8100" s="9">
        <v>288</v>
      </c>
      <c r="G8100" s="8">
        <f t="shared" si="252"/>
        <v>0.92400000000000004</v>
      </c>
      <c r="H8100" s="8">
        <v>0.88</v>
      </c>
      <c r="I8100" s="19">
        <f t="shared" si="253"/>
        <v>266.11200000000002</v>
      </c>
    </row>
    <row r="8101" spans="1:9">
      <c r="A8101" s="11" t="s">
        <v>11260</v>
      </c>
      <c r="B8101" s="2" t="s">
        <v>13890</v>
      </c>
      <c r="C8101" s="2" t="s">
        <v>13891</v>
      </c>
      <c r="D8101" s="2"/>
      <c r="E8101" s="2">
        <v>1</v>
      </c>
      <c r="F8101" s="9">
        <v>506</v>
      </c>
      <c r="G8101" s="8">
        <f t="shared" si="252"/>
        <v>0.96074507812499998</v>
      </c>
      <c r="H8101" s="8">
        <v>0.91499531249999999</v>
      </c>
      <c r="I8101" s="19">
        <f t="shared" si="253"/>
        <v>486.13700953124999</v>
      </c>
    </row>
    <row r="8102" spans="1:9">
      <c r="A8102" s="11" t="s">
        <v>11260</v>
      </c>
      <c r="B8102" s="2" t="s">
        <v>13892</v>
      </c>
      <c r="C8102" s="2" t="s">
        <v>13893</v>
      </c>
      <c r="D8102" s="2"/>
      <c r="E8102" s="2">
        <v>1</v>
      </c>
      <c r="F8102" s="9">
        <v>400</v>
      </c>
      <c r="G8102" s="8">
        <f t="shared" si="252"/>
        <v>1.0163185074626866</v>
      </c>
      <c r="H8102" s="8">
        <v>0.96792238805970154</v>
      </c>
      <c r="I8102" s="19">
        <f t="shared" si="253"/>
        <v>406.52740298507462</v>
      </c>
    </row>
    <row r="8103" spans="1:9" hidden="1">
      <c r="A8103" s="11" t="s">
        <v>11260</v>
      </c>
      <c r="B8103" s="2" t="s">
        <v>13894</v>
      </c>
      <c r="C8103" s="2" t="s">
        <v>13895</v>
      </c>
      <c r="D8103" s="2"/>
      <c r="E8103" s="2">
        <v>1</v>
      </c>
      <c r="F8103" s="9"/>
      <c r="G8103" s="8">
        <f t="shared" si="252"/>
        <v>0.77174999999999994</v>
      </c>
      <c r="H8103" s="8">
        <v>0.73499999999999999</v>
      </c>
      <c r="I8103" s="19">
        <f t="shared" si="253"/>
        <v>0</v>
      </c>
    </row>
    <row r="8104" spans="1:9" hidden="1">
      <c r="A8104" s="11" t="s">
        <v>11260</v>
      </c>
      <c r="B8104" s="2" t="s">
        <v>13896</v>
      </c>
      <c r="C8104" s="2" t="s">
        <v>13897</v>
      </c>
      <c r="D8104" s="2"/>
      <c r="E8104" s="2">
        <v>1</v>
      </c>
      <c r="F8104" s="9"/>
      <c r="G8104" s="8">
        <f t="shared" si="252"/>
        <v>1.951425</v>
      </c>
      <c r="H8104" s="8">
        <v>1.8585</v>
      </c>
      <c r="I8104" s="19">
        <f t="shared" si="253"/>
        <v>0</v>
      </c>
    </row>
    <row r="8105" spans="1:9" hidden="1">
      <c r="A8105" s="11" t="s">
        <v>11260</v>
      </c>
      <c r="B8105" s="2" t="s">
        <v>13898</v>
      </c>
      <c r="C8105" s="2" t="s">
        <v>13899</v>
      </c>
      <c r="D8105" s="2"/>
      <c r="E8105" s="2">
        <v>1</v>
      </c>
      <c r="F8105" s="9"/>
      <c r="G8105" s="8">
        <f t="shared" si="252"/>
        <v>11.20387598253275</v>
      </c>
      <c r="H8105" s="8">
        <v>10.67035807860262</v>
      </c>
      <c r="I8105" s="19">
        <f t="shared" si="253"/>
        <v>0</v>
      </c>
    </row>
    <row r="8106" spans="1:9">
      <c r="A8106" s="11" t="s">
        <v>11260</v>
      </c>
      <c r="B8106" s="2" t="s">
        <v>13900</v>
      </c>
      <c r="C8106" s="2" t="s">
        <v>13901</v>
      </c>
      <c r="D8106" s="2"/>
      <c r="E8106" s="2">
        <v>1</v>
      </c>
      <c r="F8106" s="9">
        <v>323</v>
      </c>
      <c r="G8106" s="8">
        <f t="shared" si="252"/>
        <v>2.2476624161073828</v>
      </c>
      <c r="H8106" s="8">
        <v>2.1406308724832219</v>
      </c>
      <c r="I8106" s="19">
        <f t="shared" si="253"/>
        <v>725.99496040268468</v>
      </c>
    </row>
    <row r="8107" spans="1:9">
      <c r="A8107" s="11" t="s">
        <v>11260</v>
      </c>
      <c r="B8107" s="2" t="s">
        <v>13902</v>
      </c>
      <c r="C8107" s="2" t="s">
        <v>13851</v>
      </c>
      <c r="D8107" s="2"/>
      <c r="E8107" s="2">
        <v>1</v>
      </c>
      <c r="F8107" s="9">
        <v>110</v>
      </c>
      <c r="G8107" s="8">
        <f t="shared" si="252"/>
        <v>2.3808147096774195</v>
      </c>
      <c r="H8107" s="8">
        <v>2.2674425806451612</v>
      </c>
      <c r="I8107" s="19">
        <f t="shared" si="253"/>
        <v>261.88961806451613</v>
      </c>
    </row>
    <row r="8108" spans="1:9">
      <c r="A8108" s="11" t="s">
        <v>11260</v>
      </c>
      <c r="B8108" s="2" t="s">
        <v>13903</v>
      </c>
      <c r="C8108" s="2" t="s">
        <v>13851</v>
      </c>
      <c r="D8108" s="2"/>
      <c r="E8108" s="2">
        <v>1</v>
      </c>
      <c r="F8108" s="9">
        <f>120+316</f>
        <v>436</v>
      </c>
      <c r="G8108" s="8">
        <f t="shared" si="252"/>
        <v>2.365679914529915</v>
      </c>
      <c r="H8108" s="8">
        <v>2.2530284900284903</v>
      </c>
      <c r="I8108" s="19">
        <f t="shared" si="253"/>
        <v>1031.4364427350429</v>
      </c>
    </row>
    <row r="8109" spans="1:9" hidden="1">
      <c r="A8109" s="11" t="s">
        <v>11260</v>
      </c>
      <c r="B8109" s="2" t="s">
        <v>13904</v>
      </c>
      <c r="C8109" s="2" t="s">
        <v>13905</v>
      </c>
      <c r="D8109" s="2"/>
      <c r="E8109" s="2">
        <v>1</v>
      </c>
      <c r="F8109" s="9"/>
      <c r="G8109" s="8">
        <f t="shared" si="252"/>
        <v>2.1790712686567164</v>
      </c>
      <c r="H8109" s="8">
        <v>2.0753059701492536</v>
      </c>
      <c r="I8109" s="19">
        <f t="shared" si="253"/>
        <v>0</v>
      </c>
    </row>
    <row r="8110" spans="1:9" hidden="1">
      <c r="A8110" s="11" t="s">
        <v>11260</v>
      </c>
      <c r="B8110" s="2" t="s">
        <v>13906</v>
      </c>
      <c r="C8110" s="2" t="s">
        <v>13607</v>
      </c>
      <c r="D8110" s="2"/>
      <c r="E8110" s="2">
        <v>1</v>
      </c>
      <c r="F8110" s="9"/>
      <c r="G8110" s="8">
        <f t="shared" si="252"/>
        <v>3.1821313490364029</v>
      </c>
      <c r="H8110" s="8">
        <v>3.0306012847965742</v>
      </c>
      <c r="I8110" s="19">
        <f t="shared" si="253"/>
        <v>0</v>
      </c>
    </row>
    <row r="8111" spans="1:9" hidden="1">
      <c r="A8111" s="11" t="s">
        <v>11260</v>
      </c>
      <c r="B8111" s="2" t="s">
        <v>13907</v>
      </c>
      <c r="C8111" s="2" t="s">
        <v>13908</v>
      </c>
      <c r="D8111" s="2"/>
      <c r="E8111" s="2">
        <v>1</v>
      </c>
      <c r="F8111" s="9"/>
      <c r="G8111" s="8">
        <f t="shared" si="252"/>
        <v>3.3474492559899125</v>
      </c>
      <c r="H8111" s="8">
        <v>3.1880469104665834</v>
      </c>
      <c r="I8111" s="19">
        <f t="shared" si="253"/>
        <v>0</v>
      </c>
    </row>
    <row r="8112" spans="1:9" hidden="1">
      <c r="A8112" s="11" t="s">
        <v>11260</v>
      </c>
      <c r="B8112" s="2" t="s">
        <v>13909</v>
      </c>
      <c r="C8112" s="2" t="s">
        <v>13910</v>
      </c>
      <c r="D8112" s="2"/>
      <c r="E8112" s="2">
        <v>1</v>
      </c>
      <c r="F8112" s="9"/>
      <c r="G8112" s="8">
        <f t="shared" si="252"/>
        <v>4.4433722950819696</v>
      </c>
      <c r="H8112" s="8">
        <v>4.231783138173304</v>
      </c>
      <c r="I8112" s="19">
        <f t="shared" si="253"/>
        <v>0</v>
      </c>
    </row>
    <row r="8113" spans="1:9" hidden="1">
      <c r="A8113" s="11" t="s">
        <v>11260</v>
      </c>
      <c r="B8113" s="2" t="s">
        <v>13911</v>
      </c>
      <c r="C8113" s="2" t="s">
        <v>13912</v>
      </c>
      <c r="D8113" s="2"/>
      <c r="E8113" s="2">
        <v>1</v>
      </c>
      <c r="F8113" s="9"/>
      <c r="G8113" s="8">
        <f t="shared" si="252"/>
        <v>0.64024868852459016</v>
      </c>
      <c r="H8113" s="8">
        <v>0.60976065573770488</v>
      </c>
      <c r="I8113" s="19">
        <f t="shared" si="253"/>
        <v>0</v>
      </c>
    </row>
    <row r="8114" spans="1:9" hidden="1">
      <c r="A8114" s="11" t="s">
        <v>11260</v>
      </c>
      <c r="B8114" s="2" t="s">
        <v>13913</v>
      </c>
      <c r="C8114" s="2" t="s">
        <v>13914</v>
      </c>
      <c r="D8114" s="2"/>
      <c r="E8114" s="2">
        <v>1</v>
      </c>
      <c r="F8114" s="9"/>
      <c r="G8114" s="8">
        <f t="shared" si="252"/>
        <v>1.23543</v>
      </c>
      <c r="H8114" s="8">
        <v>1.1766000000000001</v>
      </c>
      <c r="I8114" s="19">
        <f t="shared" si="253"/>
        <v>0</v>
      </c>
    </row>
    <row r="8115" spans="1:9">
      <c r="A8115" s="11" t="s">
        <v>11260</v>
      </c>
      <c r="B8115" s="2" t="s">
        <v>13915</v>
      </c>
      <c r="C8115" s="2" t="s">
        <v>13916</v>
      </c>
      <c r="D8115" s="2"/>
      <c r="E8115" s="2">
        <v>1</v>
      </c>
      <c r="F8115" s="9">
        <v>2562</v>
      </c>
      <c r="G8115" s="8">
        <f t="shared" si="252"/>
        <v>0.78070915662650597</v>
      </c>
      <c r="H8115" s="8">
        <v>0.74353253012048193</v>
      </c>
      <c r="I8115" s="19">
        <f t="shared" si="253"/>
        <v>2000.1768592771084</v>
      </c>
    </row>
    <row r="8116" spans="1:9">
      <c r="A8116" s="11" t="s">
        <v>11260</v>
      </c>
      <c r="B8116" s="2" t="s">
        <v>13917</v>
      </c>
      <c r="C8116" s="2" t="s">
        <v>13918</v>
      </c>
      <c r="D8116" s="2"/>
      <c r="E8116" s="2">
        <v>1</v>
      </c>
      <c r="F8116" s="9">
        <v>400</v>
      </c>
      <c r="G8116" s="8">
        <f t="shared" si="252"/>
        <v>1.3486852702702703</v>
      </c>
      <c r="H8116" s="8">
        <v>1.2844621621621621</v>
      </c>
      <c r="I8116" s="19">
        <f t="shared" si="253"/>
        <v>539.47410810810811</v>
      </c>
    </row>
    <row r="8117" spans="1:9">
      <c r="A8117" s="11" t="s">
        <v>11260</v>
      </c>
      <c r="B8117" s="2" t="s">
        <v>13919</v>
      </c>
      <c r="C8117" s="2" t="s">
        <v>13920</v>
      </c>
      <c r="D8117" s="2"/>
      <c r="E8117" s="2">
        <v>1</v>
      </c>
      <c r="F8117" s="9">
        <v>100</v>
      </c>
      <c r="G8117" s="8">
        <f t="shared" si="252"/>
        <v>0.97818787500000004</v>
      </c>
      <c r="H8117" s="8">
        <v>0.93160750000000003</v>
      </c>
      <c r="I8117" s="19">
        <f t="shared" si="253"/>
        <v>97.818787499999999</v>
      </c>
    </row>
    <row r="8118" spans="1:9" hidden="1">
      <c r="A8118" s="11" t="s">
        <v>11260</v>
      </c>
      <c r="B8118" s="2" t="s">
        <v>13921</v>
      </c>
      <c r="C8118" s="2" t="s">
        <v>13922</v>
      </c>
      <c r="D8118" s="2"/>
      <c r="E8118" s="2">
        <v>1</v>
      </c>
      <c r="F8118" s="9"/>
      <c r="G8118" s="8">
        <f t="shared" si="252"/>
        <v>0.96954666666666678</v>
      </c>
      <c r="H8118" s="8">
        <v>0.92337777777777785</v>
      </c>
      <c r="I8118" s="19">
        <f t="shared" si="253"/>
        <v>0</v>
      </c>
    </row>
    <row r="8119" spans="1:9" hidden="1">
      <c r="A8119" s="11" t="s">
        <v>11260</v>
      </c>
      <c r="B8119" s="2" t="s">
        <v>13923</v>
      </c>
      <c r="C8119" s="2" t="s">
        <v>13924</v>
      </c>
      <c r="D8119" s="2"/>
      <c r="E8119" s="2">
        <v>1</v>
      </c>
      <c r="F8119" s="9"/>
      <c r="G8119" s="8">
        <f t="shared" si="252"/>
        <v>2.8563041158536588</v>
      </c>
      <c r="H8119" s="8">
        <v>2.7202896341463418</v>
      </c>
      <c r="I8119" s="19">
        <f t="shared" si="253"/>
        <v>0</v>
      </c>
    </row>
    <row r="8120" spans="1:9" hidden="1">
      <c r="A8120" s="11" t="s">
        <v>11260</v>
      </c>
      <c r="B8120" s="2" t="s">
        <v>13925</v>
      </c>
      <c r="C8120" s="2" t="s">
        <v>13926</v>
      </c>
      <c r="D8120" s="2"/>
      <c r="E8120" s="2">
        <v>1</v>
      </c>
      <c r="F8120" s="9"/>
      <c r="G8120" s="8">
        <f t="shared" si="252"/>
        <v>0.83460160000000017</v>
      </c>
      <c r="H8120" s="8">
        <v>0.79485866666666682</v>
      </c>
      <c r="I8120" s="19">
        <f t="shared" si="253"/>
        <v>0</v>
      </c>
    </row>
    <row r="8121" spans="1:9" hidden="1">
      <c r="A8121" s="11" t="s">
        <v>11260</v>
      </c>
      <c r="B8121" s="2" t="s">
        <v>13927</v>
      </c>
      <c r="C8121" s="2" t="s">
        <v>13928</v>
      </c>
      <c r="D8121" s="2"/>
      <c r="E8121" s="2">
        <v>1</v>
      </c>
      <c r="F8121" s="9"/>
      <c r="G8121" s="8">
        <f t="shared" si="252"/>
        <v>7.1075904458598744</v>
      </c>
      <c r="H8121" s="8">
        <v>6.769133757961785</v>
      </c>
      <c r="I8121" s="19">
        <f t="shared" si="253"/>
        <v>0</v>
      </c>
    </row>
    <row r="8122" spans="1:9" hidden="1">
      <c r="A8122" s="11" t="s">
        <v>11260</v>
      </c>
      <c r="B8122" s="2" t="s">
        <v>13929</v>
      </c>
      <c r="C8122" s="2" t="s">
        <v>13930</v>
      </c>
      <c r="D8122" s="2"/>
      <c r="E8122" s="2">
        <v>1</v>
      </c>
      <c r="F8122" s="9"/>
      <c r="G8122" s="8">
        <f t="shared" si="252"/>
        <v>14.376656647398843</v>
      </c>
      <c r="H8122" s="8">
        <v>13.692053949903659</v>
      </c>
      <c r="I8122" s="19">
        <f t="shared" si="253"/>
        <v>0</v>
      </c>
    </row>
    <row r="8123" spans="1:9" hidden="1">
      <c r="A8123" s="11" t="s">
        <v>11260</v>
      </c>
      <c r="B8123" s="2" t="s">
        <v>13931</v>
      </c>
      <c r="C8123" s="2" t="s">
        <v>13932</v>
      </c>
      <c r="D8123" s="2"/>
      <c r="E8123" s="2">
        <v>1</v>
      </c>
      <c r="F8123" s="9"/>
      <c r="G8123" s="8">
        <f t="shared" si="252"/>
        <v>21.555968474067722</v>
      </c>
      <c r="H8123" s="8">
        <v>20.529493784826403</v>
      </c>
      <c r="I8123" s="19">
        <f t="shared" si="253"/>
        <v>0</v>
      </c>
    </row>
    <row r="8124" spans="1:9" hidden="1">
      <c r="A8124" s="11" t="s">
        <v>11260</v>
      </c>
      <c r="B8124" s="2" t="s">
        <v>13933</v>
      </c>
      <c r="C8124" s="2" t="s">
        <v>13934</v>
      </c>
      <c r="D8124" s="2"/>
      <c r="E8124" s="2">
        <v>1</v>
      </c>
      <c r="F8124" s="9"/>
      <c r="G8124" s="8">
        <f t="shared" si="252"/>
        <v>32.371683209382155</v>
      </c>
      <c r="H8124" s="8">
        <v>30.830174485125859</v>
      </c>
      <c r="I8124" s="19">
        <f t="shared" si="253"/>
        <v>0</v>
      </c>
    </row>
    <row r="8125" spans="1:9" hidden="1">
      <c r="A8125" s="11" t="s">
        <v>11260</v>
      </c>
      <c r="B8125" s="2" t="s">
        <v>13935</v>
      </c>
      <c r="C8125" s="2" t="s">
        <v>13936</v>
      </c>
      <c r="D8125" s="2"/>
      <c r="E8125" s="2">
        <v>1</v>
      </c>
      <c r="F8125" s="9"/>
      <c r="G8125" s="8">
        <f t="shared" si="252"/>
        <v>43.231698544752092</v>
      </c>
      <c r="H8125" s="8">
        <v>41.173046233097232</v>
      </c>
      <c r="I8125" s="19">
        <f t="shared" si="253"/>
        <v>0</v>
      </c>
    </row>
    <row r="8126" spans="1:9" hidden="1">
      <c r="A8126" s="11" t="s">
        <v>11260</v>
      </c>
      <c r="B8126" s="2" t="s">
        <v>13937</v>
      </c>
      <c r="C8126" s="2" t="s">
        <v>13938</v>
      </c>
      <c r="D8126" s="2"/>
      <c r="E8126" s="2">
        <v>1</v>
      </c>
      <c r="F8126" s="9"/>
      <c r="G8126" s="8">
        <f t="shared" si="252"/>
        <v>43.712856186345832</v>
      </c>
      <c r="H8126" s="8">
        <v>41.631291606043646</v>
      </c>
      <c r="I8126" s="19">
        <f t="shared" si="253"/>
        <v>0</v>
      </c>
    </row>
    <row r="8127" spans="1:9" hidden="1">
      <c r="A8127" s="11" t="s">
        <v>11260</v>
      </c>
      <c r="B8127" s="2" t="s">
        <v>13939</v>
      </c>
      <c r="C8127" s="2" t="s">
        <v>13940</v>
      </c>
      <c r="D8127" s="2"/>
      <c r="E8127" s="2">
        <v>1</v>
      </c>
      <c r="F8127" s="9"/>
      <c r="G8127" s="8">
        <f t="shared" si="252"/>
        <v>1.8580776136363637</v>
      </c>
      <c r="H8127" s="8">
        <v>1.7695977272727272</v>
      </c>
      <c r="I8127" s="19">
        <f t="shared" si="253"/>
        <v>0</v>
      </c>
    </row>
    <row r="8128" spans="1:9" hidden="1">
      <c r="A8128" s="11" t="s">
        <v>11260</v>
      </c>
      <c r="B8128" s="2" t="s">
        <v>13941</v>
      </c>
      <c r="C8128" s="2" t="s">
        <v>13942</v>
      </c>
      <c r="D8128" s="2"/>
      <c r="E8128" s="2">
        <v>1</v>
      </c>
      <c r="F8128" s="9"/>
      <c r="G8128" s="8">
        <f t="shared" si="252"/>
        <v>2.2235266666666664</v>
      </c>
      <c r="H8128" s="8">
        <v>2.1176444444444442</v>
      </c>
      <c r="I8128" s="19">
        <f t="shared" si="253"/>
        <v>0</v>
      </c>
    </row>
    <row r="8129" spans="1:9" hidden="1">
      <c r="A8129" s="11" t="s">
        <v>11260</v>
      </c>
      <c r="B8129" s="2" t="s">
        <v>13943</v>
      </c>
      <c r="C8129" s="2" t="s">
        <v>13944</v>
      </c>
      <c r="D8129" s="2"/>
      <c r="E8129" s="2">
        <v>1</v>
      </c>
      <c r="F8129" s="9"/>
      <c r="G8129" s="8">
        <f t="shared" si="252"/>
        <v>2.8263970522388053</v>
      </c>
      <c r="H8129" s="8">
        <v>2.69180671641791</v>
      </c>
      <c r="I8129" s="19">
        <f t="shared" si="253"/>
        <v>0</v>
      </c>
    </row>
    <row r="8130" spans="1:9" hidden="1">
      <c r="A8130" s="11" t="s">
        <v>11260</v>
      </c>
      <c r="B8130" s="2" t="s">
        <v>13945</v>
      </c>
      <c r="C8130" s="2" t="s">
        <v>13946</v>
      </c>
      <c r="D8130" s="2"/>
      <c r="E8130" s="2">
        <v>1</v>
      </c>
      <c r="F8130" s="9"/>
      <c r="G8130" s="8">
        <f t="shared" si="252"/>
        <v>7.1619833030853011</v>
      </c>
      <c r="H8130" s="8">
        <v>6.820936479128858</v>
      </c>
      <c r="I8130" s="19">
        <f t="shared" si="253"/>
        <v>0</v>
      </c>
    </row>
    <row r="8131" spans="1:9" hidden="1">
      <c r="A8131" s="11" t="s">
        <v>11260</v>
      </c>
      <c r="B8131" s="2" t="s">
        <v>13947</v>
      </c>
      <c r="C8131" s="2" t="s">
        <v>13948</v>
      </c>
      <c r="D8131" s="2" t="s">
        <v>812</v>
      </c>
      <c r="E8131" s="2">
        <v>1</v>
      </c>
      <c r="F8131" s="9"/>
      <c r="G8131" s="8">
        <f t="shared" si="252"/>
        <v>201.30600000000001</v>
      </c>
      <c r="H8131" s="8">
        <v>191.72</v>
      </c>
      <c r="I8131" s="19">
        <f t="shared" si="253"/>
        <v>0</v>
      </c>
    </row>
    <row r="8132" spans="1:9" hidden="1">
      <c r="A8132" s="11" t="s">
        <v>11260</v>
      </c>
      <c r="B8132" s="2" t="s">
        <v>13949</v>
      </c>
      <c r="C8132" s="2" t="s">
        <v>13950</v>
      </c>
      <c r="D8132" s="2" t="s">
        <v>812</v>
      </c>
      <c r="E8132" s="2">
        <v>1</v>
      </c>
      <c r="F8132" s="9"/>
      <c r="G8132" s="8">
        <f t="shared" si="252"/>
        <v>54.621000000000002</v>
      </c>
      <c r="H8132" s="8">
        <v>52.02</v>
      </c>
      <c r="I8132" s="19">
        <f t="shared" si="253"/>
        <v>0</v>
      </c>
    </row>
    <row r="8133" spans="1:9">
      <c r="A8133" s="11" t="s">
        <v>11260</v>
      </c>
      <c r="B8133" s="2" t="s">
        <v>13951</v>
      </c>
      <c r="C8133" s="2" t="s">
        <v>13952</v>
      </c>
      <c r="D8133" s="2" t="s">
        <v>812</v>
      </c>
      <c r="E8133" s="2">
        <v>1</v>
      </c>
      <c r="F8133" s="9">
        <v>2.5</v>
      </c>
      <c r="G8133" s="8">
        <f t="shared" si="252"/>
        <v>181.54500000000002</v>
      </c>
      <c r="H8133" s="8">
        <v>172.9</v>
      </c>
      <c r="I8133" s="19">
        <f t="shared" si="253"/>
        <v>453.86250000000007</v>
      </c>
    </row>
    <row r="8134" spans="1:9">
      <c r="A8134" s="11" t="s">
        <v>11260</v>
      </c>
      <c r="B8134" s="2" t="s">
        <v>13953</v>
      </c>
      <c r="C8134" s="2" t="s">
        <v>13954</v>
      </c>
      <c r="D8134" s="2" t="s">
        <v>812</v>
      </c>
      <c r="E8134" s="2">
        <v>1</v>
      </c>
      <c r="F8134" s="9">
        <v>1</v>
      </c>
      <c r="G8134" s="8">
        <f t="shared" si="252"/>
        <v>53.938499999999998</v>
      </c>
      <c r="H8134" s="8">
        <v>51.37</v>
      </c>
      <c r="I8134" s="19">
        <f t="shared" si="253"/>
        <v>53.938499999999998</v>
      </c>
    </row>
    <row r="8135" spans="1:9" hidden="1">
      <c r="A8135" s="11" t="s">
        <v>11260</v>
      </c>
      <c r="B8135" s="2" t="s">
        <v>13955</v>
      </c>
      <c r="C8135" s="2" t="s">
        <v>13956</v>
      </c>
      <c r="D8135" s="2" t="s">
        <v>812</v>
      </c>
      <c r="E8135" s="2">
        <v>1</v>
      </c>
      <c r="F8135" s="9"/>
      <c r="G8135" s="8">
        <f t="shared" si="252"/>
        <v>109.03200000000001</v>
      </c>
      <c r="H8135" s="8">
        <v>103.84</v>
      </c>
      <c r="I8135" s="19">
        <f t="shared" si="253"/>
        <v>0</v>
      </c>
    </row>
    <row r="8136" spans="1:9" hidden="1">
      <c r="A8136" s="11" t="s">
        <v>11260</v>
      </c>
      <c r="B8136" s="2" t="s">
        <v>13957</v>
      </c>
      <c r="C8136" s="2" t="s">
        <v>13958</v>
      </c>
      <c r="D8136" s="2" t="s">
        <v>812</v>
      </c>
      <c r="E8136" s="2">
        <v>1</v>
      </c>
      <c r="F8136" s="9"/>
      <c r="G8136" s="8">
        <f t="shared" si="252"/>
        <v>253.3125</v>
      </c>
      <c r="H8136" s="8">
        <v>241.25</v>
      </c>
      <c r="I8136" s="19">
        <f t="shared" si="253"/>
        <v>0</v>
      </c>
    </row>
    <row r="8137" spans="1:9" hidden="1">
      <c r="A8137" s="11" t="s">
        <v>11260</v>
      </c>
      <c r="B8137" s="2" t="s">
        <v>13959</v>
      </c>
      <c r="C8137" s="2" t="s">
        <v>13960</v>
      </c>
      <c r="D8137" s="2" t="s">
        <v>812</v>
      </c>
      <c r="E8137" s="2">
        <v>1</v>
      </c>
      <c r="F8137" s="9"/>
      <c r="G8137" s="8">
        <f t="shared" si="252"/>
        <v>69.971999999999994</v>
      </c>
      <c r="H8137" s="8">
        <v>66.64</v>
      </c>
      <c r="I8137" s="19">
        <f t="shared" si="253"/>
        <v>0</v>
      </c>
    </row>
    <row r="8138" spans="1:9">
      <c r="A8138" s="11" t="s">
        <v>11260</v>
      </c>
      <c r="B8138" s="2" t="s">
        <v>13961</v>
      </c>
      <c r="C8138" s="2" t="s">
        <v>13962</v>
      </c>
      <c r="D8138" s="2" t="s">
        <v>812</v>
      </c>
      <c r="E8138" s="2">
        <v>1</v>
      </c>
      <c r="F8138" s="9">
        <v>1.5</v>
      </c>
      <c r="G8138" s="8">
        <f t="shared" si="252"/>
        <v>235.74600000000001</v>
      </c>
      <c r="H8138" s="8">
        <v>224.52</v>
      </c>
      <c r="I8138" s="19">
        <f t="shared" si="253"/>
        <v>353.61900000000003</v>
      </c>
    </row>
    <row r="8139" spans="1:9" hidden="1">
      <c r="A8139" s="11" t="s">
        <v>11260</v>
      </c>
      <c r="B8139" s="2" t="s">
        <v>13963</v>
      </c>
      <c r="C8139" s="2" t="s">
        <v>13964</v>
      </c>
      <c r="D8139" s="2" t="s">
        <v>812</v>
      </c>
      <c r="E8139" s="2">
        <v>1</v>
      </c>
      <c r="F8139" s="9"/>
      <c r="G8139" s="8">
        <f t="shared" si="252"/>
        <v>67.2</v>
      </c>
      <c r="H8139" s="8">
        <v>64</v>
      </c>
      <c r="I8139" s="19">
        <f t="shared" si="253"/>
        <v>0</v>
      </c>
    </row>
    <row r="8140" spans="1:9" hidden="1">
      <c r="A8140" s="11" t="s">
        <v>11260</v>
      </c>
      <c r="B8140" s="2" t="s">
        <v>13965</v>
      </c>
      <c r="C8140" s="2" t="s">
        <v>13966</v>
      </c>
      <c r="D8140" s="2" t="s">
        <v>812</v>
      </c>
      <c r="E8140" s="2">
        <v>1</v>
      </c>
      <c r="F8140" s="9"/>
      <c r="G8140" s="8">
        <f t="shared" si="252"/>
        <v>156.72299999999998</v>
      </c>
      <c r="H8140" s="8">
        <v>149.26</v>
      </c>
      <c r="I8140" s="19">
        <f t="shared" si="253"/>
        <v>0</v>
      </c>
    </row>
    <row r="8141" spans="1:9" hidden="1">
      <c r="A8141" s="11" t="s">
        <v>11260</v>
      </c>
      <c r="B8141" s="2" t="s">
        <v>13967</v>
      </c>
      <c r="C8141" s="2" t="s">
        <v>13968</v>
      </c>
      <c r="D8141" s="2" t="s">
        <v>812</v>
      </c>
      <c r="E8141" s="2">
        <v>1</v>
      </c>
      <c r="F8141" s="9"/>
      <c r="G8141" s="8">
        <f t="shared" si="252"/>
        <v>340.10550000000001</v>
      </c>
      <c r="H8141" s="8">
        <v>323.91000000000003</v>
      </c>
      <c r="I8141" s="19">
        <f t="shared" si="253"/>
        <v>0</v>
      </c>
    </row>
    <row r="8142" spans="1:9" hidden="1">
      <c r="A8142" s="11" t="s">
        <v>11260</v>
      </c>
      <c r="B8142" s="2" t="s">
        <v>13969</v>
      </c>
      <c r="C8142" s="2" t="s">
        <v>13970</v>
      </c>
      <c r="D8142" s="2" t="s">
        <v>812</v>
      </c>
      <c r="E8142" s="2">
        <v>1</v>
      </c>
      <c r="F8142" s="9"/>
      <c r="G8142" s="8">
        <f t="shared" si="252"/>
        <v>92.116500000000002</v>
      </c>
      <c r="H8142" s="8">
        <v>87.73</v>
      </c>
      <c r="I8142" s="19">
        <f t="shared" si="253"/>
        <v>0</v>
      </c>
    </row>
    <row r="8143" spans="1:9" hidden="1">
      <c r="A8143" s="11" t="s">
        <v>11260</v>
      </c>
      <c r="B8143" s="2" t="s">
        <v>13971</v>
      </c>
      <c r="C8143" s="2" t="s">
        <v>13972</v>
      </c>
      <c r="D8143" s="2" t="s">
        <v>812</v>
      </c>
      <c r="E8143" s="2">
        <v>1</v>
      </c>
      <c r="F8143" s="9"/>
      <c r="G8143" s="8">
        <f t="shared" si="252"/>
        <v>547.827</v>
      </c>
      <c r="H8143" s="8">
        <v>521.74</v>
      </c>
      <c r="I8143" s="19">
        <f t="shared" si="253"/>
        <v>0</v>
      </c>
    </row>
    <row r="8144" spans="1:9">
      <c r="A8144" s="11" t="s">
        <v>11260</v>
      </c>
      <c r="B8144" s="2" t="s">
        <v>13973</v>
      </c>
      <c r="C8144" s="2" t="s">
        <v>13974</v>
      </c>
      <c r="D8144" s="2" t="s">
        <v>812</v>
      </c>
      <c r="E8144" s="2">
        <v>1</v>
      </c>
      <c r="F8144" s="9">
        <v>2.2000000000000002</v>
      </c>
      <c r="G8144" s="8">
        <f t="shared" si="252"/>
        <v>299.77499999999998</v>
      </c>
      <c r="H8144" s="8">
        <v>285.5</v>
      </c>
      <c r="I8144" s="19">
        <f t="shared" si="253"/>
        <v>659.505</v>
      </c>
    </row>
    <row r="8145" spans="1:9" hidden="1">
      <c r="A8145" s="11" t="s">
        <v>11260</v>
      </c>
      <c r="B8145" s="2" t="s">
        <v>13975</v>
      </c>
      <c r="C8145" s="2" t="s">
        <v>13976</v>
      </c>
      <c r="D8145" s="2" t="s">
        <v>812</v>
      </c>
      <c r="E8145" s="2">
        <v>1</v>
      </c>
      <c r="F8145" s="9"/>
      <c r="G8145" s="8">
        <f t="shared" si="252"/>
        <v>85.679999999999993</v>
      </c>
      <c r="H8145" s="8">
        <v>81.599999999999994</v>
      </c>
      <c r="I8145" s="19">
        <f t="shared" si="253"/>
        <v>0</v>
      </c>
    </row>
    <row r="8146" spans="1:9" hidden="1">
      <c r="A8146" s="11" t="s">
        <v>11260</v>
      </c>
      <c r="B8146" s="2" t="s">
        <v>13977</v>
      </c>
      <c r="C8146" s="2" t="s">
        <v>13978</v>
      </c>
      <c r="D8146" s="2" t="s">
        <v>812</v>
      </c>
      <c r="E8146" s="2">
        <v>1</v>
      </c>
      <c r="F8146" s="9"/>
      <c r="G8146" s="8">
        <f t="shared" si="252"/>
        <v>226.60050000000001</v>
      </c>
      <c r="H8146" s="8">
        <v>215.81</v>
      </c>
      <c r="I8146" s="19">
        <f t="shared" si="253"/>
        <v>0</v>
      </c>
    </row>
    <row r="8147" spans="1:9" hidden="1">
      <c r="A8147" s="11" t="s">
        <v>11260</v>
      </c>
      <c r="B8147" s="2" t="s">
        <v>13979</v>
      </c>
      <c r="C8147" s="2" t="s">
        <v>13980</v>
      </c>
      <c r="D8147" s="2"/>
      <c r="E8147" s="2">
        <v>1</v>
      </c>
      <c r="F8147" s="9"/>
      <c r="G8147" s="8">
        <f t="shared" si="252"/>
        <v>58.642499999999998</v>
      </c>
      <c r="H8147" s="8">
        <v>55.85</v>
      </c>
      <c r="I8147" s="19">
        <f t="shared" si="253"/>
        <v>0</v>
      </c>
    </row>
    <row r="8148" spans="1:9" hidden="1">
      <c r="A8148" s="11" t="s">
        <v>11260</v>
      </c>
      <c r="B8148" s="2" t="s">
        <v>13981</v>
      </c>
      <c r="C8148" s="2" t="s">
        <v>13982</v>
      </c>
      <c r="D8148" s="2" t="s">
        <v>812</v>
      </c>
      <c r="E8148" s="2">
        <v>1</v>
      </c>
      <c r="F8148" s="9"/>
      <c r="G8148" s="8">
        <f t="shared" si="252"/>
        <v>122.7345</v>
      </c>
      <c r="H8148" s="8">
        <v>116.89</v>
      </c>
      <c r="I8148" s="19">
        <f t="shared" si="253"/>
        <v>0</v>
      </c>
    </row>
    <row r="8149" spans="1:9">
      <c r="A8149" s="11" t="s">
        <v>11260</v>
      </c>
      <c r="B8149" s="2" t="s">
        <v>13983</v>
      </c>
      <c r="C8149" s="2" t="s">
        <v>13984</v>
      </c>
      <c r="D8149" s="2" t="s">
        <v>812</v>
      </c>
      <c r="E8149" s="2">
        <v>1</v>
      </c>
      <c r="F8149" s="9">
        <f>250/1000</f>
        <v>0.25</v>
      </c>
      <c r="G8149" s="8">
        <f t="shared" si="252"/>
        <v>415.56899999999996</v>
      </c>
      <c r="H8149" s="8">
        <v>395.78</v>
      </c>
      <c r="I8149" s="19">
        <f t="shared" si="253"/>
        <v>103.89224999999999</v>
      </c>
    </row>
    <row r="8150" spans="1:9" hidden="1">
      <c r="A8150" s="11" t="s">
        <v>11260</v>
      </c>
      <c r="B8150" s="2" t="s">
        <v>13985</v>
      </c>
      <c r="C8150" s="2" t="s">
        <v>13986</v>
      </c>
      <c r="D8150" s="2" t="s">
        <v>812</v>
      </c>
      <c r="E8150" s="2">
        <v>1</v>
      </c>
      <c r="F8150" s="9"/>
      <c r="G8150" s="8">
        <f t="shared" si="252"/>
        <v>109.96650000000001</v>
      </c>
      <c r="H8150" s="8">
        <v>104.73</v>
      </c>
      <c r="I8150" s="19">
        <f t="shared" si="253"/>
        <v>0</v>
      </c>
    </row>
    <row r="8151" spans="1:9" hidden="1">
      <c r="A8151" s="11" t="s">
        <v>11260</v>
      </c>
      <c r="B8151" s="2" t="s">
        <v>13987</v>
      </c>
      <c r="C8151" s="2" t="s">
        <v>13988</v>
      </c>
      <c r="D8151" s="2" t="s">
        <v>812</v>
      </c>
      <c r="E8151" s="2">
        <v>1</v>
      </c>
      <c r="F8151" s="9"/>
      <c r="G8151" s="8">
        <f t="shared" ref="G8151:G8215" si="254">H8151+(H8151*5%)</f>
        <v>322.14</v>
      </c>
      <c r="H8151" s="8">
        <v>306.8</v>
      </c>
      <c r="I8151" s="19">
        <f t="shared" ref="I8151:I8215" si="255">G8151*F8151</f>
        <v>0</v>
      </c>
    </row>
    <row r="8152" spans="1:9">
      <c r="A8152" s="11" t="s">
        <v>11260</v>
      </c>
      <c r="B8152" s="2" t="s">
        <v>13989</v>
      </c>
      <c r="C8152" s="2" t="s">
        <v>13990</v>
      </c>
      <c r="D8152" s="2"/>
      <c r="E8152" s="2">
        <v>1</v>
      </c>
      <c r="F8152" s="9">
        <v>75</v>
      </c>
      <c r="G8152" s="8">
        <f t="shared" si="254"/>
        <v>0.27300000000000002</v>
      </c>
      <c r="H8152" s="8">
        <v>0.26</v>
      </c>
      <c r="I8152" s="19">
        <f t="shared" si="255"/>
        <v>20.475000000000001</v>
      </c>
    </row>
    <row r="8153" spans="1:9">
      <c r="A8153" s="11" t="s">
        <v>11260</v>
      </c>
      <c r="B8153" s="2" t="s">
        <v>13991</v>
      </c>
      <c r="C8153" s="2" t="s">
        <v>13992</v>
      </c>
      <c r="D8153" s="2"/>
      <c r="E8153" s="2">
        <v>1</v>
      </c>
      <c r="F8153" s="9">
        <v>821</v>
      </c>
      <c r="G8153" s="8">
        <f t="shared" si="254"/>
        <v>0.189</v>
      </c>
      <c r="H8153" s="8">
        <v>0.18</v>
      </c>
      <c r="I8153" s="19">
        <f t="shared" si="255"/>
        <v>155.16900000000001</v>
      </c>
    </row>
    <row r="8154" spans="1:9" hidden="1">
      <c r="A8154" s="11" t="s">
        <v>11260</v>
      </c>
      <c r="B8154" s="2" t="s">
        <v>13993</v>
      </c>
      <c r="C8154" s="2" t="s">
        <v>13994</v>
      </c>
      <c r="D8154" s="2"/>
      <c r="E8154" s="2">
        <v>1</v>
      </c>
      <c r="F8154" s="9"/>
      <c r="G8154" s="8">
        <f t="shared" si="254"/>
        <v>30.163035000000001</v>
      </c>
      <c r="H8154" s="8">
        <v>28.726700000000001</v>
      </c>
      <c r="I8154" s="19">
        <f t="shared" si="255"/>
        <v>0</v>
      </c>
    </row>
    <row r="8155" spans="1:9">
      <c r="A8155" s="11" t="s">
        <v>11260</v>
      </c>
      <c r="B8155" s="2" t="s">
        <v>13995</v>
      </c>
      <c r="C8155" s="2" t="s">
        <v>13994</v>
      </c>
      <c r="D8155" s="2"/>
      <c r="E8155" s="2">
        <v>1</v>
      </c>
      <c r="F8155" s="9">
        <v>105</v>
      </c>
      <c r="G8155" s="8">
        <f t="shared" si="254"/>
        <v>29.858762281656492</v>
      </c>
      <c r="H8155" s="8">
        <v>28.436916458720468</v>
      </c>
      <c r="I8155" s="19">
        <f t="shared" si="255"/>
        <v>3135.1700395739317</v>
      </c>
    </row>
    <row r="8156" spans="1:9" hidden="1">
      <c r="A8156" s="11" t="s">
        <v>11260</v>
      </c>
      <c r="B8156" s="2" t="s">
        <v>13996</v>
      </c>
      <c r="C8156" s="2" t="s">
        <v>13997</v>
      </c>
      <c r="D8156" s="2"/>
      <c r="E8156" s="2">
        <v>1</v>
      </c>
      <c r="F8156" s="9"/>
      <c r="G8156" s="8">
        <f t="shared" si="254"/>
        <v>11.780746335078534</v>
      </c>
      <c r="H8156" s="8">
        <v>11.219758414360509</v>
      </c>
      <c r="I8156" s="19">
        <f t="shared" si="255"/>
        <v>0</v>
      </c>
    </row>
    <row r="8157" spans="1:9" hidden="1">
      <c r="A8157" s="11" t="s">
        <v>11260</v>
      </c>
      <c r="B8157" s="2" t="s">
        <v>13998</v>
      </c>
      <c r="C8157" s="2" t="s">
        <v>13999</v>
      </c>
      <c r="D8157" s="2"/>
      <c r="E8157" s="2">
        <v>1</v>
      </c>
      <c r="F8157" s="9"/>
      <c r="G8157" s="8">
        <f t="shared" si="254"/>
        <v>21.708190544858663</v>
      </c>
      <c r="H8157" s="8">
        <v>20.67446718557968</v>
      </c>
      <c r="I8157" s="19">
        <f t="shared" si="255"/>
        <v>0</v>
      </c>
    </row>
    <row r="8158" spans="1:9">
      <c r="A8158" s="11" t="s">
        <v>11260</v>
      </c>
      <c r="B8158" s="2" t="s">
        <v>14000</v>
      </c>
      <c r="C8158" s="2" t="s">
        <v>14001</v>
      </c>
      <c r="D8158" s="2"/>
      <c r="E8158" s="2">
        <v>1</v>
      </c>
      <c r="F8158" s="9">
        <f>(50*4)+23</f>
        <v>223</v>
      </c>
      <c r="G8158" s="8">
        <f t="shared" si="254"/>
        <v>23.632194823705927</v>
      </c>
      <c r="H8158" s="8">
        <v>22.506852213053264</v>
      </c>
      <c r="I8158" s="19">
        <f t="shared" si="255"/>
        <v>5269.979445686422</v>
      </c>
    </row>
    <row r="8159" spans="1:9" hidden="1">
      <c r="A8159" s="11" t="s">
        <v>11260</v>
      </c>
      <c r="B8159" s="2" t="s">
        <v>14002</v>
      </c>
      <c r="C8159" s="2" t="s">
        <v>14003</v>
      </c>
      <c r="D8159" s="2"/>
      <c r="E8159" s="2">
        <v>1</v>
      </c>
      <c r="F8159" s="9"/>
      <c r="G8159" s="8">
        <f t="shared" si="254"/>
        <v>35.503375853780668</v>
      </c>
      <c r="H8159" s="8">
        <v>33.81273890836254</v>
      </c>
      <c r="I8159" s="19">
        <f t="shared" si="255"/>
        <v>0</v>
      </c>
    </row>
    <row r="8160" spans="1:9" hidden="1">
      <c r="A8160" s="11" t="s">
        <v>11260</v>
      </c>
      <c r="B8160" s="2" t="s">
        <v>14004</v>
      </c>
      <c r="C8160" s="2" t="s">
        <v>14005</v>
      </c>
      <c r="D8160" s="2"/>
      <c r="E8160" s="2">
        <v>1</v>
      </c>
      <c r="F8160" s="9"/>
      <c r="G8160" s="8">
        <f t="shared" si="254"/>
        <v>47.412065358150031</v>
      </c>
      <c r="H8160" s="8">
        <v>45.154347960142886</v>
      </c>
      <c r="I8160" s="19">
        <f t="shared" si="255"/>
        <v>0</v>
      </c>
    </row>
    <row r="8161" spans="1:9">
      <c r="A8161" s="11" t="s">
        <v>11260</v>
      </c>
      <c r="B8161" s="2" t="s">
        <v>14006</v>
      </c>
      <c r="C8161" s="2" t="s">
        <v>14007</v>
      </c>
      <c r="D8161" s="2"/>
      <c r="E8161" s="2">
        <v>1</v>
      </c>
      <c r="F8161" s="9">
        <v>1553</v>
      </c>
      <c r="G8161" s="8">
        <f t="shared" si="254"/>
        <v>9.4500000000000001E-2</v>
      </c>
      <c r="H8161" s="8">
        <v>0.09</v>
      </c>
      <c r="I8161" s="19">
        <f t="shared" si="255"/>
        <v>146.7585</v>
      </c>
    </row>
    <row r="8162" spans="1:9">
      <c r="A8162" s="11" t="s">
        <v>11260</v>
      </c>
      <c r="B8162" s="2" t="s">
        <v>14008</v>
      </c>
      <c r="C8162" s="2" t="s">
        <v>14009</v>
      </c>
      <c r="D8162" s="2"/>
      <c r="E8162" s="2">
        <v>1</v>
      </c>
      <c r="F8162" s="9">
        <v>1835</v>
      </c>
      <c r="G8162" s="8">
        <f t="shared" si="254"/>
        <v>7.350000000000001E-2</v>
      </c>
      <c r="H8162" s="8">
        <v>7.0000000000000007E-2</v>
      </c>
      <c r="I8162" s="19">
        <f t="shared" si="255"/>
        <v>134.87250000000003</v>
      </c>
    </row>
    <row r="8163" spans="1:9" hidden="1">
      <c r="A8163" s="11" t="s">
        <v>11260</v>
      </c>
      <c r="B8163" s="2" t="s">
        <v>14010</v>
      </c>
      <c r="C8163" s="2" t="s">
        <v>14011</v>
      </c>
      <c r="D8163" s="2"/>
      <c r="E8163" s="2">
        <v>1</v>
      </c>
      <c r="F8163" s="9"/>
      <c r="G8163" s="8">
        <f t="shared" si="254"/>
        <v>443.55275999999998</v>
      </c>
      <c r="H8163" s="8">
        <v>422.43119999999999</v>
      </c>
      <c r="I8163" s="19">
        <f t="shared" si="255"/>
        <v>0</v>
      </c>
    </row>
    <row r="8164" spans="1:9">
      <c r="A8164" s="11" t="s">
        <v>11260</v>
      </c>
      <c r="B8164" s="2" t="s">
        <v>14012</v>
      </c>
      <c r="C8164" s="2" t="s">
        <v>14013</v>
      </c>
      <c r="D8164" s="2"/>
      <c r="E8164" s="2">
        <v>1</v>
      </c>
      <c r="F8164" s="9">
        <v>16</v>
      </c>
      <c r="G8164" s="8">
        <f t="shared" si="254"/>
        <v>0.28350000000000003</v>
      </c>
      <c r="H8164" s="8">
        <v>0.27</v>
      </c>
      <c r="I8164" s="19">
        <f t="shared" si="255"/>
        <v>4.5360000000000005</v>
      </c>
    </row>
    <row r="8165" spans="1:9" hidden="1">
      <c r="A8165" s="11" t="s">
        <v>11260</v>
      </c>
      <c r="B8165" s="2" t="s">
        <v>14014</v>
      </c>
      <c r="C8165" s="2" t="s">
        <v>14015</v>
      </c>
      <c r="D8165" s="2"/>
      <c r="E8165" s="2">
        <v>1</v>
      </c>
      <c r="F8165" s="9"/>
      <c r="G8165" s="8">
        <f t="shared" si="254"/>
        <v>144.37835999999999</v>
      </c>
      <c r="H8165" s="8">
        <v>137.50319999999999</v>
      </c>
      <c r="I8165" s="19">
        <f t="shared" si="255"/>
        <v>0</v>
      </c>
    </row>
    <row r="8166" spans="1:9" hidden="1">
      <c r="A8166" s="11" t="s">
        <v>11260</v>
      </c>
      <c r="B8166" s="2" t="s">
        <v>14016</v>
      </c>
      <c r="C8166" s="2" t="s">
        <v>14017</v>
      </c>
      <c r="D8166" s="2"/>
      <c r="E8166" s="2">
        <v>1</v>
      </c>
      <c r="F8166" s="9"/>
      <c r="G8166" s="8">
        <f t="shared" si="254"/>
        <v>7.350000000000001E-2</v>
      </c>
      <c r="H8166" s="8">
        <v>7.0000000000000007E-2</v>
      </c>
      <c r="I8166" s="19">
        <f t="shared" si="255"/>
        <v>0</v>
      </c>
    </row>
    <row r="8167" spans="1:9">
      <c r="A8167" s="11" t="s">
        <v>11260</v>
      </c>
      <c r="B8167" s="2" t="s">
        <v>14018</v>
      </c>
      <c r="C8167" s="2" t="s">
        <v>14019</v>
      </c>
      <c r="D8167" s="2"/>
      <c r="E8167" s="2">
        <v>1</v>
      </c>
      <c r="F8167" s="9">
        <v>1100</v>
      </c>
      <c r="G8167" s="8">
        <f t="shared" si="254"/>
        <v>7.350000000000001E-2</v>
      </c>
      <c r="H8167" s="8">
        <v>7.0000000000000007E-2</v>
      </c>
      <c r="I8167" s="19">
        <f t="shared" si="255"/>
        <v>80.850000000000009</v>
      </c>
    </row>
    <row r="8168" spans="1:9">
      <c r="A8168" s="11" t="s">
        <v>11260</v>
      </c>
      <c r="B8168" s="2" t="s">
        <v>14020</v>
      </c>
      <c r="C8168" s="2" t="s">
        <v>14021</v>
      </c>
      <c r="D8168" s="2"/>
      <c r="E8168" s="2">
        <v>1</v>
      </c>
      <c r="F8168" s="9">
        <v>563</v>
      </c>
      <c r="G8168" s="8">
        <f t="shared" si="254"/>
        <v>6.3E-2</v>
      </c>
      <c r="H8168" s="8">
        <v>0.06</v>
      </c>
      <c r="I8168" s="19">
        <f t="shared" si="255"/>
        <v>35.469000000000001</v>
      </c>
    </row>
    <row r="8169" spans="1:9" hidden="1">
      <c r="A8169" s="11" t="s">
        <v>11260</v>
      </c>
      <c r="B8169" s="2" t="s">
        <v>14022</v>
      </c>
      <c r="C8169" s="2" t="s">
        <v>14023</v>
      </c>
      <c r="D8169" s="2"/>
      <c r="E8169" s="2">
        <v>1</v>
      </c>
      <c r="F8169" s="9"/>
      <c r="G8169" s="8">
        <f t="shared" si="254"/>
        <v>0.252</v>
      </c>
      <c r="H8169" s="8">
        <v>0.24</v>
      </c>
      <c r="I8169" s="19">
        <f t="shared" si="255"/>
        <v>0</v>
      </c>
    </row>
    <row r="8170" spans="1:9">
      <c r="A8170" s="11" t="s">
        <v>11260</v>
      </c>
      <c r="B8170" s="2" t="s">
        <v>14024</v>
      </c>
      <c r="C8170" s="2" t="s">
        <v>14025</v>
      </c>
      <c r="D8170" s="2"/>
      <c r="E8170" s="2">
        <v>1</v>
      </c>
      <c r="F8170" s="9">
        <v>566</v>
      </c>
      <c r="G8170" s="8">
        <f t="shared" si="254"/>
        <v>0.17850000000000002</v>
      </c>
      <c r="H8170" s="8">
        <v>0.17</v>
      </c>
      <c r="I8170" s="19">
        <f t="shared" si="255"/>
        <v>101.03100000000001</v>
      </c>
    </row>
    <row r="8171" spans="1:9">
      <c r="A8171" s="11" t="s">
        <v>11260</v>
      </c>
      <c r="B8171" s="5">
        <v>519</v>
      </c>
      <c r="C8171" s="2" t="s">
        <v>14026</v>
      </c>
      <c r="D8171" s="2"/>
      <c r="E8171" s="2">
        <v>1</v>
      </c>
      <c r="F8171" s="9">
        <v>593</v>
      </c>
      <c r="G8171" s="8">
        <f>H8171+(H8171*5%)</f>
        <v>0.17850000000000002</v>
      </c>
      <c r="H8171" s="8">
        <v>0.17</v>
      </c>
      <c r="I8171" s="19">
        <f>G8171*F8171</f>
        <v>105.85050000000001</v>
      </c>
    </row>
    <row r="8172" spans="1:9">
      <c r="A8172" s="11" t="s">
        <v>11260</v>
      </c>
      <c r="B8172" s="2" t="s">
        <v>14027</v>
      </c>
      <c r="C8172" s="2" t="s">
        <v>14028</v>
      </c>
      <c r="D8172" s="2"/>
      <c r="E8172" s="2">
        <v>1</v>
      </c>
      <c r="F8172" s="9">
        <v>4251</v>
      </c>
      <c r="G8172" s="8">
        <f t="shared" si="254"/>
        <v>0.16800000000000001</v>
      </c>
      <c r="H8172" s="8">
        <v>0.16</v>
      </c>
      <c r="I8172" s="19">
        <f t="shared" si="255"/>
        <v>714.16800000000001</v>
      </c>
    </row>
    <row r="8173" spans="1:9" hidden="1">
      <c r="A8173" s="11" t="s">
        <v>11260</v>
      </c>
      <c r="B8173" s="2" t="s">
        <v>14029</v>
      </c>
      <c r="C8173" s="2" t="s">
        <v>14030</v>
      </c>
      <c r="D8173" s="2"/>
      <c r="E8173" s="2">
        <v>1</v>
      </c>
      <c r="F8173" s="9"/>
      <c r="G8173" s="8">
        <f t="shared" si="254"/>
        <v>37.274370000000005</v>
      </c>
      <c r="H8173" s="8">
        <v>35.499400000000001</v>
      </c>
      <c r="I8173" s="19">
        <f t="shared" si="255"/>
        <v>0</v>
      </c>
    </row>
    <row r="8174" spans="1:9" hidden="1">
      <c r="A8174" s="11" t="s">
        <v>11260</v>
      </c>
      <c r="B8174" s="2" t="s">
        <v>14031</v>
      </c>
      <c r="C8174" s="2" t="s">
        <v>14032</v>
      </c>
      <c r="D8174" s="2"/>
      <c r="E8174" s="2">
        <v>1</v>
      </c>
      <c r="F8174" s="9"/>
      <c r="G8174" s="8">
        <f t="shared" si="254"/>
        <v>159.4425</v>
      </c>
      <c r="H8174" s="8">
        <v>151.85</v>
      </c>
      <c r="I8174" s="19">
        <f t="shared" si="255"/>
        <v>0</v>
      </c>
    </row>
    <row r="8175" spans="1:9" hidden="1">
      <c r="A8175" s="11" t="s">
        <v>11260</v>
      </c>
      <c r="B8175" s="2" t="s">
        <v>14033</v>
      </c>
      <c r="C8175" s="2" t="s">
        <v>14034</v>
      </c>
      <c r="D8175" s="2"/>
      <c r="E8175" s="2">
        <v>1</v>
      </c>
      <c r="F8175" s="9"/>
      <c r="G8175" s="8">
        <f t="shared" si="254"/>
        <v>469.20741000000004</v>
      </c>
      <c r="H8175" s="8">
        <v>446.86420000000004</v>
      </c>
      <c r="I8175" s="19">
        <f t="shared" si="255"/>
        <v>0</v>
      </c>
    </row>
    <row r="8176" spans="1:9" hidden="1">
      <c r="A8176" s="11" t="s">
        <v>11260</v>
      </c>
      <c r="B8176" s="2" t="s">
        <v>14035</v>
      </c>
      <c r="C8176" s="2" t="s">
        <v>14036</v>
      </c>
      <c r="D8176" s="2"/>
      <c r="E8176" s="2">
        <v>1</v>
      </c>
      <c r="F8176" s="9"/>
      <c r="G8176" s="8">
        <f t="shared" si="254"/>
        <v>4.4408700000000003</v>
      </c>
      <c r="H8176" s="8">
        <v>4.2294</v>
      </c>
      <c r="I8176" s="19">
        <f t="shared" si="255"/>
        <v>0</v>
      </c>
    </row>
    <row r="8177" spans="1:9" hidden="1">
      <c r="A8177" s="11" t="s">
        <v>11260</v>
      </c>
      <c r="B8177" s="2" t="s">
        <v>14037</v>
      </c>
      <c r="C8177" s="2" t="s">
        <v>14038</v>
      </c>
      <c r="D8177" s="2"/>
      <c r="E8177" s="2">
        <v>1</v>
      </c>
      <c r="F8177" s="9"/>
      <c r="G8177" s="8">
        <f t="shared" si="254"/>
        <v>1.4697914893617023</v>
      </c>
      <c r="H8177" s="8">
        <v>1.3998014184397165</v>
      </c>
      <c r="I8177" s="19">
        <f t="shared" si="255"/>
        <v>0</v>
      </c>
    </row>
    <row r="8178" spans="1:9" hidden="1">
      <c r="A8178" s="11" t="s">
        <v>11260</v>
      </c>
      <c r="B8178" s="2" t="s">
        <v>14039</v>
      </c>
      <c r="C8178" s="2" t="s">
        <v>14040</v>
      </c>
      <c r="D8178" s="2"/>
      <c r="E8178" s="2">
        <v>1</v>
      </c>
      <c r="F8178" s="9"/>
      <c r="G8178" s="8">
        <f t="shared" si="254"/>
        <v>4.2961799999999997</v>
      </c>
      <c r="H8178" s="8">
        <v>4.0915999999999997</v>
      </c>
      <c r="I8178" s="19">
        <f t="shared" si="255"/>
        <v>0</v>
      </c>
    </row>
    <row r="8179" spans="1:9" hidden="1">
      <c r="A8179" s="11" t="s">
        <v>11260</v>
      </c>
      <c r="B8179" s="2" t="s">
        <v>14041</v>
      </c>
      <c r="C8179" s="2" t="s">
        <v>14042</v>
      </c>
      <c r="D8179" s="2"/>
      <c r="E8179" s="2">
        <v>1</v>
      </c>
      <c r="F8179" s="9"/>
      <c r="G8179" s="8">
        <f t="shared" si="254"/>
        <v>2.5413500000000004</v>
      </c>
      <c r="H8179" s="8">
        <v>2.4203333333333337</v>
      </c>
      <c r="I8179" s="19">
        <f t="shared" si="255"/>
        <v>0</v>
      </c>
    </row>
    <row r="8180" spans="1:9" hidden="1">
      <c r="A8180" s="11" t="s">
        <v>11260</v>
      </c>
      <c r="B8180" s="2" t="s">
        <v>14043</v>
      </c>
      <c r="C8180" s="2" t="s">
        <v>14044</v>
      </c>
      <c r="D8180" s="2"/>
      <c r="E8180" s="2">
        <v>1</v>
      </c>
      <c r="F8180" s="9"/>
      <c r="G8180" s="8">
        <f t="shared" si="254"/>
        <v>4.1168331707317067</v>
      </c>
      <c r="H8180" s="8">
        <v>3.9207934959349591</v>
      </c>
      <c r="I8180" s="19">
        <f t="shared" si="255"/>
        <v>0</v>
      </c>
    </row>
    <row r="8181" spans="1:9" hidden="1">
      <c r="A8181" s="11" t="s">
        <v>11260</v>
      </c>
      <c r="B8181" s="2" t="s">
        <v>14045</v>
      </c>
      <c r="C8181" s="2" t="s">
        <v>14046</v>
      </c>
      <c r="D8181" s="2"/>
      <c r="E8181" s="2">
        <v>1</v>
      </c>
      <c r="F8181" s="9"/>
      <c r="G8181" s="8">
        <f t="shared" si="254"/>
        <v>8.0930927064220199</v>
      </c>
      <c r="H8181" s="8">
        <v>7.7077073394495432</v>
      </c>
      <c r="I8181" s="19">
        <f t="shared" si="255"/>
        <v>0</v>
      </c>
    </row>
    <row r="8182" spans="1:9">
      <c r="A8182" s="11" t="s">
        <v>11260</v>
      </c>
      <c r="B8182" s="2" t="s">
        <v>14047</v>
      </c>
      <c r="C8182" s="2" t="s">
        <v>14048</v>
      </c>
      <c r="D8182" s="2"/>
      <c r="E8182" s="2">
        <v>1</v>
      </c>
      <c r="F8182" s="9">
        <v>41</v>
      </c>
      <c r="G8182" s="8">
        <f t="shared" si="254"/>
        <v>5.3744089051094903</v>
      </c>
      <c r="H8182" s="8">
        <v>5.1184846715328476</v>
      </c>
      <c r="I8182" s="19">
        <f t="shared" si="255"/>
        <v>220.35076510948909</v>
      </c>
    </row>
    <row r="8183" spans="1:9">
      <c r="A8183" s="11" t="s">
        <v>11260</v>
      </c>
      <c r="B8183" s="2" t="s">
        <v>14049</v>
      </c>
      <c r="C8183" s="2" t="s">
        <v>14050</v>
      </c>
      <c r="D8183" s="2"/>
      <c r="E8183" s="2">
        <v>1</v>
      </c>
      <c r="F8183" s="9">
        <v>3</v>
      </c>
      <c r="G8183" s="8">
        <f t="shared" si="254"/>
        <v>6.474349411764706</v>
      </c>
      <c r="H8183" s="8">
        <v>6.1660470588235299</v>
      </c>
      <c r="I8183" s="19">
        <f t="shared" si="255"/>
        <v>19.423048235294118</v>
      </c>
    </row>
    <row r="8184" spans="1:9" hidden="1">
      <c r="A8184" s="11" t="s">
        <v>11260</v>
      </c>
      <c r="B8184" s="2" t="s">
        <v>14051</v>
      </c>
      <c r="C8184" s="2" t="s">
        <v>14052</v>
      </c>
      <c r="D8184" s="2"/>
      <c r="E8184" s="2">
        <v>1</v>
      </c>
      <c r="F8184" s="9"/>
      <c r="G8184" s="8">
        <f t="shared" si="254"/>
        <v>5.5780058426966299</v>
      </c>
      <c r="H8184" s="8">
        <v>5.312386516853933</v>
      </c>
      <c r="I8184" s="19">
        <f t="shared" si="255"/>
        <v>0</v>
      </c>
    </row>
    <row r="8185" spans="1:9" hidden="1">
      <c r="A8185" s="11" t="s">
        <v>11260</v>
      </c>
      <c r="B8185" s="2" t="s">
        <v>14053</v>
      </c>
      <c r="C8185" s="2" t="s">
        <v>14054</v>
      </c>
      <c r="D8185" s="2"/>
      <c r="E8185" s="2">
        <v>1</v>
      </c>
      <c r="F8185" s="9"/>
      <c r="G8185" s="8">
        <f t="shared" si="254"/>
        <v>11.2875</v>
      </c>
      <c r="H8185" s="8">
        <v>10.75</v>
      </c>
      <c r="I8185" s="19">
        <f t="shared" si="255"/>
        <v>0</v>
      </c>
    </row>
    <row r="8186" spans="1:9" hidden="1">
      <c r="A8186" s="11" t="s">
        <v>11260</v>
      </c>
      <c r="B8186" s="2" t="s">
        <v>14055</v>
      </c>
      <c r="C8186" s="2" t="s">
        <v>14056</v>
      </c>
      <c r="D8186" s="2"/>
      <c r="E8186" s="2">
        <v>1</v>
      </c>
      <c r="F8186" s="9"/>
      <c r="G8186" s="8">
        <f t="shared" si="254"/>
        <v>1.0017</v>
      </c>
      <c r="H8186" s="8">
        <v>0.95400000000000007</v>
      </c>
      <c r="I8186" s="19">
        <f t="shared" si="255"/>
        <v>0</v>
      </c>
    </row>
    <row r="8187" spans="1:9" hidden="1">
      <c r="A8187" s="11" t="s">
        <v>11260</v>
      </c>
      <c r="B8187" s="2" t="s">
        <v>14057</v>
      </c>
      <c r="C8187" s="2" t="s">
        <v>14058</v>
      </c>
      <c r="D8187" s="2"/>
      <c r="E8187" s="2">
        <v>1</v>
      </c>
      <c r="F8187" s="9"/>
      <c r="G8187" s="8">
        <f t="shared" si="254"/>
        <v>0.42294000000000004</v>
      </c>
      <c r="H8187" s="8">
        <v>0.40280000000000005</v>
      </c>
      <c r="I8187" s="19">
        <f t="shared" si="255"/>
        <v>0</v>
      </c>
    </row>
    <row r="8188" spans="1:9" hidden="1">
      <c r="A8188" s="11" t="s">
        <v>11260</v>
      </c>
      <c r="B8188" s="2" t="s">
        <v>14059</v>
      </c>
      <c r="C8188" s="2" t="s">
        <v>14060</v>
      </c>
      <c r="D8188" s="2"/>
      <c r="E8188" s="2">
        <v>1</v>
      </c>
      <c r="F8188" s="9"/>
      <c r="G8188" s="8">
        <f t="shared" si="254"/>
        <v>10.595276086956524</v>
      </c>
      <c r="H8188" s="8">
        <v>10.090739130434784</v>
      </c>
      <c r="I8188" s="19">
        <f t="shared" si="255"/>
        <v>0</v>
      </c>
    </row>
    <row r="8189" spans="1:9" hidden="1">
      <c r="A8189" s="11" t="s">
        <v>11260</v>
      </c>
      <c r="B8189" s="2" t="s">
        <v>14061</v>
      </c>
      <c r="C8189" s="2" t="s">
        <v>14062</v>
      </c>
      <c r="D8189" s="2"/>
      <c r="E8189" s="2">
        <v>1</v>
      </c>
      <c r="F8189" s="9"/>
      <c r="G8189" s="8">
        <f t="shared" si="254"/>
        <v>4.0735800000000006</v>
      </c>
      <c r="H8189" s="8">
        <v>3.8796000000000004</v>
      </c>
      <c r="I8189" s="19">
        <f t="shared" si="255"/>
        <v>0</v>
      </c>
    </row>
    <row r="8190" spans="1:9" hidden="1">
      <c r="A8190" s="11" t="s">
        <v>11260</v>
      </c>
      <c r="B8190" s="2" t="s">
        <v>14063</v>
      </c>
      <c r="C8190" s="2" t="s">
        <v>14064</v>
      </c>
      <c r="D8190" s="2"/>
      <c r="E8190" s="2">
        <v>1</v>
      </c>
      <c r="F8190" s="9"/>
      <c r="G8190" s="8">
        <f t="shared" si="254"/>
        <v>12.213347413793102</v>
      </c>
      <c r="H8190" s="8">
        <v>11.631759441707716</v>
      </c>
      <c r="I8190" s="19">
        <f t="shared" si="255"/>
        <v>0</v>
      </c>
    </row>
    <row r="8191" spans="1:9" hidden="1">
      <c r="A8191" s="11" t="s">
        <v>11260</v>
      </c>
      <c r="B8191" s="2" t="s">
        <v>14065</v>
      </c>
      <c r="C8191" s="2" t="s">
        <v>14066</v>
      </c>
      <c r="D8191" s="2"/>
      <c r="E8191" s="2">
        <v>1</v>
      </c>
      <c r="F8191" s="9"/>
      <c r="G8191" s="8">
        <f t="shared" si="254"/>
        <v>12.213347413793102</v>
      </c>
      <c r="H8191" s="8">
        <v>11.631759441707716</v>
      </c>
      <c r="I8191" s="19">
        <f t="shared" si="255"/>
        <v>0</v>
      </c>
    </row>
    <row r="8192" spans="1:9" hidden="1">
      <c r="A8192" s="11" t="s">
        <v>11260</v>
      </c>
      <c r="B8192" s="2" t="s">
        <v>14067</v>
      </c>
      <c r="C8192" s="2" t="s">
        <v>14068</v>
      </c>
      <c r="D8192" s="2"/>
      <c r="E8192" s="2">
        <v>1</v>
      </c>
      <c r="F8192" s="9"/>
      <c r="G8192" s="8">
        <f t="shared" si="254"/>
        <v>11.008020265486726</v>
      </c>
      <c r="H8192" s="8">
        <v>10.483828824273072</v>
      </c>
      <c r="I8192" s="19">
        <f t="shared" si="255"/>
        <v>0</v>
      </c>
    </row>
    <row r="8193" spans="1:9" hidden="1">
      <c r="A8193" s="11" t="s">
        <v>11260</v>
      </c>
      <c r="B8193" s="2" t="s">
        <v>14069</v>
      </c>
      <c r="C8193" s="2" t="s">
        <v>14068</v>
      </c>
      <c r="D8193" s="2"/>
      <c r="E8193" s="2">
        <v>1</v>
      </c>
      <c r="F8193" s="9"/>
      <c r="G8193" s="8">
        <f t="shared" si="254"/>
        <v>12.033947286129379</v>
      </c>
      <c r="H8193" s="8">
        <v>11.460902177266075</v>
      </c>
      <c r="I8193" s="19">
        <f t="shared" si="255"/>
        <v>0</v>
      </c>
    </row>
    <row r="8194" spans="1:9" hidden="1">
      <c r="A8194" s="11" t="s">
        <v>11260</v>
      </c>
      <c r="B8194" s="2" t="s">
        <v>14070</v>
      </c>
      <c r="C8194" s="2" t="s">
        <v>14071</v>
      </c>
      <c r="D8194" s="2"/>
      <c r="E8194" s="2">
        <v>1</v>
      </c>
      <c r="F8194" s="9"/>
      <c r="G8194" s="8">
        <f t="shared" si="254"/>
        <v>10.61802</v>
      </c>
      <c r="H8194" s="8">
        <v>10.112399999999999</v>
      </c>
      <c r="I8194" s="19">
        <f t="shared" si="255"/>
        <v>0</v>
      </c>
    </row>
    <row r="8195" spans="1:9" hidden="1">
      <c r="A8195" s="11" t="s">
        <v>11260</v>
      </c>
      <c r="B8195" s="2" t="s">
        <v>14072</v>
      </c>
      <c r="C8195" s="2" t="s">
        <v>14073</v>
      </c>
      <c r="D8195" s="2"/>
      <c r="E8195" s="2">
        <v>1</v>
      </c>
      <c r="F8195" s="9"/>
      <c r="G8195" s="8">
        <f t="shared" si="254"/>
        <v>10.61802</v>
      </c>
      <c r="H8195" s="8">
        <v>10.112399999999999</v>
      </c>
      <c r="I8195" s="19">
        <f t="shared" si="255"/>
        <v>0</v>
      </c>
    </row>
    <row r="8196" spans="1:9" hidden="1">
      <c r="A8196" s="11" t="s">
        <v>11260</v>
      </c>
      <c r="B8196" s="2" t="s">
        <v>14074</v>
      </c>
      <c r="C8196" s="2" t="s">
        <v>14075</v>
      </c>
      <c r="D8196" s="2"/>
      <c r="E8196" s="2">
        <v>1</v>
      </c>
      <c r="F8196" s="9"/>
      <c r="G8196" s="8">
        <f t="shared" si="254"/>
        <v>3.2054399999999998</v>
      </c>
      <c r="H8196" s="8">
        <v>3.0528</v>
      </c>
      <c r="I8196" s="19">
        <f t="shared" si="255"/>
        <v>0</v>
      </c>
    </row>
    <row r="8197" spans="1:9" hidden="1">
      <c r="A8197" s="11" t="s">
        <v>11260</v>
      </c>
      <c r="B8197" s="2" t="s">
        <v>14076</v>
      </c>
      <c r="C8197" s="2" t="s">
        <v>14077</v>
      </c>
      <c r="D8197" s="2"/>
      <c r="E8197" s="2">
        <v>1</v>
      </c>
      <c r="F8197" s="9"/>
      <c r="G8197" s="8">
        <f t="shared" si="254"/>
        <v>3.2054399999999998</v>
      </c>
      <c r="H8197" s="8">
        <v>3.0528</v>
      </c>
      <c r="I8197" s="19">
        <f t="shared" si="255"/>
        <v>0</v>
      </c>
    </row>
    <row r="8198" spans="1:9">
      <c r="A8198" s="11" t="s">
        <v>11260</v>
      </c>
      <c r="B8198" s="2" t="s">
        <v>14078</v>
      </c>
      <c r="C8198" s="2" t="s">
        <v>14079</v>
      </c>
      <c r="D8198" s="2"/>
      <c r="E8198" s="2">
        <v>1</v>
      </c>
      <c r="F8198" s="9">
        <v>10</v>
      </c>
      <c r="G8198" s="8">
        <f t="shared" si="254"/>
        <v>4.418610000000001</v>
      </c>
      <c r="H8198" s="8">
        <v>4.2082000000000006</v>
      </c>
      <c r="I8198" s="19">
        <f t="shared" si="255"/>
        <v>44.18610000000001</v>
      </c>
    </row>
    <row r="8199" spans="1:9">
      <c r="A8199" s="11" t="s">
        <v>11260</v>
      </c>
      <c r="B8199" s="2" t="s">
        <v>14080</v>
      </c>
      <c r="C8199" s="2" t="s">
        <v>14081</v>
      </c>
      <c r="D8199" s="2"/>
      <c r="E8199" s="2">
        <v>1</v>
      </c>
      <c r="F8199" s="9">
        <v>8</v>
      </c>
      <c r="G8199" s="8">
        <f t="shared" si="254"/>
        <v>4.418610000000001</v>
      </c>
      <c r="H8199" s="8">
        <v>4.2082000000000006</v>
      </c>
      <c r="I8199" s="19">
        <f t="shared" si="255"/>
        <v>35.348880000000008</v>
      </c>
    </row>
    <row r="8200" spans="1:9" hidden="1">
      <c r="A8200" s="11" t="s">
        <v>11260</v>
      </c>
      <c r="B8200" s="2" t="s">
        <v>14082</v>
      </c>
      <c r="C8200" s="2" t="s">
        <v>14083</v>
      </c>
      <c r="D8200" s="2"/>
      <c r="E8200" s="2">
        <v>1</v>
      </c>
      <c r="F8200" s="9"/>
      <c r="G8200" s="8">
        <f t="shared" si="254"/>
        <v>4.8972000000000007</v>
      </c>
      <c r="H8200" s="8">
        <v>4.6640000000000006</v>
      </c>
      <c r="I8200" s="19">
        <f t="shared" si="255"/>
        <v>0</v>
      </c>
    </row>
    <row r="8201" spans="1:9" hidden="1">
      <c r="A8201" s="11" t="s">
        <v>11260</v>
      </c>
      <c r="B8201" s="2" t="s">
        <v>14084</v>
      </c>
      <c r="C8201" s="2" t="s">
        <v>14085</v>
      </c>
      <c r="D8201" s="2"/>
      <c r="E8201" s="2">
        <v>1</v>
      </c>
      <c r="F8201" s="9"/>
      <c r="G8201" s="8">
        <f t="shared" si="254"/>
        <v>4.5187799999999996</v>
      </c>
      <c r="H8201" s="8">
        <v>4.3035999999999994</v>
      </c>
      <c r="I8201" s="19">
        <f t="shared" si="255"/>
        <v>0</v>
      </c>
    </row>
    <row r="8202" spans="1:9" hidden="1">
      <c r="A8202" s="11" t="s">
        <v>11260</v>
      </c>
      <c r="B8202" s="2" t="s">
        <v>14086</v>
      </c>
      <c r="C8202" s="2" t="s">
        <v>14087</v>
      </c>
      <c r="D8202" s="2"/>
      <c r="E8202" s="2">
        <v>1</v>
      </c>
      <c r="F8202" s="9"/>
      <c r="G8202" s="8">
        <f t="shared" si="254"/>
        <v>44.164752127071829</v>
      </c>
      <c r="H8202" s="8">
        <v>42.061668692449359</v>
      </c>
      <c r="I8202" s="19">
        <f t="shared" si="255"/>
        <v>0</v>
      </c>
    </row>
    <row r="8203" spans="1:9" hidden="1">
      <c r="A8203" s="11" t="s">
        <v>11260</v>
      </c>
      <c r="B8203" s="2" t="s">
        <v>14088</v>
      </c>
      <c r="C8203" s="2" t="s">
        <v>14089</v>
      </c>
      <c r="D8203" s="2"/>
      <c r="E8203" s="2">
        <v>1</v>
      </c>
      <c r="F8203" s="9"/>
      <c r="G8203" s="8">
        <f t="shared" si="254"/>
        <v>82.800364855857126</v>
      </c>
      <c r="H8203" s="8">
        <v>78.857490338911546</v>
      </c>
      <c r="I8203" s="19">
        <f t="shared" si="255"/>
        <v>0</v>
      </c>
    </row>
    <row r="8204" spans="1:9" hidden="1">
      <c r="A8204" s="11" t="s">
        <v>11260</v>
      </c>
      <c r="B8204" s="2" t="s">
        <v>14090</v>
      </c>
      <c r="C8204" s="2" t="s">
        <v>14091</v>
      </c>
      <c r="D8204" s="2"/>
      <c r="E8204" s="2">
        <v>1</v>
      </c>
      <c r="F8204" s="9"/>
      <c r="G8204" s="8">
        <f t="shared" si="254"/>
        <v>40.432912525723694</v>
      </c>
      <c r="H8204" s="8">
        <v>38.507535738784469</v>
      </c>
      <c r="I8204" s="19">
        <f t="shared" si="255"/>
        <v>0</v>
      </c>
    </row>
    <row r="8205" spans="1:9" hidden="1">
      <c r="A8205" s="11" t="s">
        <v>11260</v>
      </c>
      <c r="B8205" s="2" t="s">
        <v>14092</v>
      </c>
      <c r="C8205" s="2" t="s">
        <v>14093</v>
      </c>
      <c r="D8205" s="2"/>
      <c r="E8205" s="2">
        <v>1</v>
      </c>
      <c r="F8205" s="9"/>
      <c r="G8205" s="8">
        <f t="shared" si="254"/>
        <v>40.432912525723694</v>
      </c>
      <c r="H8205" s="8">
        <v>38.507535738784469</v>
      </c>
      <c r="I8205" s="19">
        <f t="shared" si="255"/>
        <v>0</v>
      </c>
    </row>
    <row r="8206" spans="1:9" hidden="1">
      <c r="A8206" s="11" t="s">
        <v>11260</v>
      </c>
      <c r="B8206" s="2" t="s">
        <v>14094</v>
      </c>
      <c r="C8206" s="2" t="s">
        <v>14095</v>
      </c>
      <c r="D8206" s="2"/>
      <c r="E8206" s="2">
        <v>1</v>
      </c>
      <c r="F8206" s="9"/>
      <c r="G8206" s="8">
        <f t="shared" si="254"/>
        <v>25.019270934699108</v>
      </c>
      <c r="H8206" s="8">
        <v>23.827877080665818</v>
      </c>
      <c r="I8206" s="19">
        <f t="shared" si="255"/>
        <v>0</v>
      </c>
    </row>
    <row r="8207" spans="1:9" hidden="1">
      <c r="A8207" s="11" t="s">
        <v>11260</v>
      </c>
      <c r="B8207" s="2" t="s">
        <v>14096</v>
      </c>
      <c r="C8207" s="2" t="s">
        <v>14097</v>
      </c>
      <c r="D8207" s="2"/>
      <c r="E8207" s="2">
        <v>1</v>
      </c>
      <c r="F8207" s="9"/>
      <c r="G8207" s="8">
        <f t="shared" si="254"/>
        <v>125.7116805</v>
      </c>
      <c r="H8207" s="8">
        <v>119.72541</v>
      </c>
      <c r="I8207" s="19">
        <f t="shared" si="255"/>
        <v>0</v>
      </c>
    </row>
    <row r="8208" spans="1:9" hidden="1">
      <c r="A8208" s="11" t="s">
        <v>11260</v>
      </c>
      <c r="B8208" s="2" t="s">
        <v>14098</v>
      </c>
      <c r="C8208" s="2" t="s">
        <v>14099</v>
      </c>
      <c r="D8208" s="2"/>
      <c r="E8208" s="2">
        <v>1</v>
      </c>
      <c r="F8208" s="9"/>
      <c r="G8208" s="8">
        <f t="shared" si="254"/>
        <v>25.603560307298341</v>
      </c>
      <c r="H8208" s="8">
        <v>24.384343149807943</v>
      </c>
      <c r="I8208" s="19">
        <f t="shared" si="255"/>
        <v>0</v>
      </c>
    </row>
    <row r="8209" spans="1:9" hidden="1">
      <c r="A8209" s="11" t="s">
        <v>11260</v>
      </c>
      <c r="B8209" s="2" t="s">
        <v>14100</v>
      </c>
      <c r="C8209" s="2" t="s">
        <v>14101</v>
      </c>
      <c r="D8209" s="2"/>
      <c r="E8209" s="2">
        <v>1</v>
      </c>
      <c r="F8209" s="9"/>
      <c r="G8209" s="8">
        <f t="shared" si="254"/>
        <v>149.0836437569975</v>
      </c>
      <c r="H8209" s="8">
        <v>141.98442262571191</v>
      </c>
      <c r="I8209" s="19">
        <f t="shared" si="255"/>
        <v>0</v>
      </c>
    </row>
    <row r="8210" spans="1:9" hidden="1">
      <c r="A8210" s="11" t="s">
        <v>11260</v>
      </c>
      <c r="B8210" s="2" t="s">
        <v>14102</v>
      </c>
      <c r="C8210" s="2" t="s">
        <v>14103</v>
      </c>
      <c r="D8210" s="2"/>
      <c r="E8210" s="2">
        <v>1</v>
      </c>
      <c r="F8210" s="9"/>
      <c r="G8210" s="8">
        <f t="shared" si="254"/>
        <v>32.961864597732188</v>
      </c>
      <c r="H8210" s="8">
        <v>31.392251997840177</v>
      </c>
      <c r="I8210" s="19">
        <f t="shared" si="255"/>
        <v>0</v>
      </c>
    </row>
    <row r="8211" spans="1:9" hidden="1">
      <c r="A8211" s="11" t="s">
        <v>11260</v>
      </c>
      <c r="B8211" s="2" t="s">
        <v>14104</v>
      </c>
      <c r="C8211" s="2" t="s">
        <v>14105</v>
      </c>
      <c r="D8211" s="2"/>
      <c r="E8211" s="2">
        <v>1</v>
      </c>
      <c r="F8211" s="9"/>
      <c r="G8211" s="8">
        <f t="shared" si="254"/>
        <v>32.961864597732188</v>
      </c>
      <c r="H8211" s="8">
        <v>31.392251997840177</v>
      </c>
      <c r="I8211" s="19">
        <f t="shared" si="255"/>
        <v>0</v>
      </c>
    </row>
    <row r="8212" spans="1:9" hidden="1">
      <c r="A8212" s="11" t="s">
        <v>11260</v>
      </c>
      <c r="B8212" s="2" t="s">
        <v>14106</v>
      </c>
      <c r="C8212" s="2" t="s">
        <v>14107</v>
      </c>
      <c r="D8212" s="2"/>
      <c r="E8212" s="2">
        <v>1</v>
      </c>
      <c r="F8212" s="9"/>
      <c r="G8212" s="8">
        <f t="shared" si="254"/>
        <v>169.51821046515707</v>
      </c>
      <c r="H8212" s="8">
        <v>161.44591472872102</v>
      </c>
      <c r="I8212" s="19">
        <f t="shared" si="255"/>
        <v>0</v>
      </c>
    </row>
    <row r="8213" spans="1:9" hidden="1">
      <c r="A8213" s="11" t="s">
        <v>11260</v>
      </c>
      <c r="B8213" s="2" t="s">
        <v>14108</v>
      </c>
      <c r="C8213" s="2" t="s">
        <v>14109</v>
      </c>
      <c r="D8213" s="2"/>
      <c r="E8213" s="2">
        <v>1</v>
      </c>
      <c r="F8213" s="9"/>
      <c r="G8213" s="8">
        <f t="shared" si="254"/>
        <v>169.51821046515707</v>
      </c>
      <c r="H8213" s="8">
        <v>161.44591472872102</v>
      </c>
      <c r="I8213" s="19">
        <f t="shared" si="255"/>
        <v>0</v>
      </c>
    </row>
    <row r="8214" spans="1:9" hidden="1">
      <c r="A8214" s="11" t="s">
        <v>11260</v>
      </c>
      <c r="B8214" s="2" t="s">
        <v>14110</v>
      </c>
      <c r="C8214" s="2" t="s">
        <v>14111</v>
      </c>
      <c r="D8214" s="2"/>
      <c r="E8214" s="2">
        <v>1</v>
      </c>
      <c r="F8214" s="9"/>
      <c r="G8214" s="8">
        <f t="shared" si="254"/>
        <v>339.02571429161867</v>
      </c>
      <c r="H8214" s="8">
        <v>322.88163265868445</v>
      </c>
      <c r="I8214" s="19">
        <f t="shared" si="255"/>
        <v>0</v>
      </c>
    </row>
    <row r="8215" spans="1:9" hidden="1">
      <c r="A8215" s="11" t="s">
        <v>11260</v>
      </c>
      <c r="B8215" s="2" t="s">
        <v>14112</v>
      </c>
      <c r="C8215" s="2" t="s">
        <v>14113</v>
      </c>
      <c r="D8215" s="2"/>
      <c r="E8215" s="2">
        <v>1</v>
      </c>
      <c r="F8215" s="9"/>
      <c r="G8215" s="8">
        <f t="shared" si="254"/>
        <v>161.15632564400585</v>
      </c>
      <c r="H8215" s="8">
        <v>153.48221489905319</v>
      </c>
      <c r="I8215" s="19">
        <f t="shared" si="255"/>
        <v>0</v>
      </c>
    </row>
    <row r="8216" spans="1:9" hidden="1">
      <c r="A8216" s="11" t="s">
        <v>11260</v>
      </c>
      <c r="B8216" s="2" t="s">
        <v>14114</v>
      </c>
      <c r="C8216" s="2" t="s">
        <v>14115</v>
      </c>
      <c r="D8216" s="2"/>
      <c r="E8216" s="2">
        <v>1</v>
      </c>
      <c r="F8216" s="9"/>
      <c r="G8216" s="8">
        <f t="shared" ref="G8216:G8279" si="256">H8216+(H8216*5%)</f>
        <v>169.51821046515707</v>
      </c>
      <c r="H8216" s="8">
        <v>161.44591472872102</v>
      </c>
      <c r="I8216" s="19">
        <f t="shared" ref="I8216:I8279" si="257">G8216*F8216</f>
        <v>0</v>
      </c>
    </row>
    <row r="8217" spans="1:9" hidden="1">
      <c r="A8217" s="11" t="s">
        <v>11260</v>
      </c>
      <c r="B8217" s="2" t="s">
        <v>14116</v>
      </c>
      <c r="C8217" s="2" t="s">
        <v>14117</v>
      </c>
      <c r="D8217" s="2"/>
      <c r="E8217" s="2">
        <v>1</v>
      </c>
      <c r="F8217" s="9"/>
      <c r="G8217" s="8">
        <f t="shared" si="256"/>
        <v>168.30836029257051</v>
      </c>
      <c r="H8217" s="8">
        <v>160.29367646911479</v>
      </c>
      <c r="I8217" s="19">
        <f t="shared" si="257"/>
        <v>0</v>
      </c>
    </row>
    <row r="8218" spans="1:9" hidden="1">
      <c r="A8218" s="11" t="s">
        <v>11260</v>
      </c>
      <c r="B8218" s="2" t="s">
        <v>14118</v>
      </c>
      <c r="C8218" s="2" t="s">
        <v>14119</v>
      </c>
      <c r="D8218" s="2"/>
      <c r="E8218" s="2">
        <v>1</v>
      </c>
      <c r="F8218" s="9"/>
      <c r="G8218" s="8">
        <f t="shared" si="256"/>
        <v>235.54650000000001</v>
      </c>
      <c r="H8218" s="8">
        <v>224.33</v>
      </c>
      <c r="I8218" s="19">
        <f t="shared" si="257"/>
        <v>0</v>
      </c>
    </row>
    <row r="8219" spans="1:9" hidden="1">
      <c r="A8219" s="11" t="s">
        <v>11260</v>
      </c>
      <c r="B8219" s="2" t="s">
        <v>14120</v>
      </c>
      <c r="C8219" s="2" t="s">
        <v>14121</v>
      </c>
      <c r="D8219" s="2"/>
      <c r="E8219" s="2">
        <v>1</v>
      </c>
      <c r="F8219" s="9"/>
      <c r="G8219" s="8">
        <f t="shared" si="256"/>
        <v>235.54650000000001</v>
      </c>
      <c r="H8219" s="8">
        <v>224.33</v>
      </c>
      <c r="I8219" s="19">
        <f t="shared" si="257"/>
        <v>0</v>
      </c>
    </row>
    <row r="8220" spans="1:9" hidden="1">
      <c r="A8220" s="11" t="s">
        <v>11260</v>
      </c>
      <c r="B8220" s="2" t="s">
        <v>14122</v>
      </c>
      <c r="C8220" s="2" t="s">
        <v>14123</v>
      </c>
      <c r="D8220" s="2"/>
      <c r="E8220" s="2">
        <v>1</v>
      </c>
      <c r="F8220" s="9"/>
      <c r="G8220" s="8">
        <f t="shared" si="256"/>
        <v>235.54650000000001</v>
      </c>
      <c r="H8220" s="8">
        <v>224.33</v>
      </c>
      <c r="I8220" s="19">
        <f t="shared" si="257"/>
        <v>0</v>
      </c>
    </row>
    <row r="8221" spans="1:9" hidden="1">
      <c r="A8221" s="11" t="s">
        <v>11260</v>
      </c>
      <c r="B8221" s="2" t="s">
        <v>14124</v>
      </c>
      <c r="C8221" s="2" t="s">
        <v>14125</v>
      </c>
      <c r="D8221" s="2"/>
      <c r="E8221" s="2">
        <v>1</v>
      </c>
      <c r="F8221" s="9"/>
      <c r="G8221" s="8">
        <f t="shared" si="256"/>
        <v>235.54650000000001</v>
      </c>
      <c r="H8221" s="8">
        <v>224.33</v>
      </c>
      <c r="I8221" s="19">
        <f t="shared" si="257"/>
        <v>0</v>
      </c>
    </row>
    <row r="8222" spans="1:9" hidden="1">
      <c r="A8222" s="11" t="s">
        <v>11260</v>
      </c>
      <c r="B8222" s="2" t="s">
        <v>14126</v>
      </c>
      <c r="C8222" s="2" t="s">
        <v>14127</v>
      </c>
      <c r="D8222" s="2"/>
      <c r="E8222" s="2">
        <v>1</v>
      </c>
      <c r="F8222" s="9"/>
      <c r="G8222" s="8">
        <f t="shared" si="256"/>
        <v>235.54650000000001</v>
      </c>
      <c r="H8222" s="8">
        <v>224.33</v>
      </c>
      <c r="I8222" s="19">
        <f t="shared" si="257"/>
        <v>0</v>
      </c>
    </row>
    <row r="8223" spans="1:9" hidden="1">
      <c r="A8223" s="11" t="s">
        <v>11260</v>
      </c>
      <c r="B8223" s="2" t="s">
        <v>14128</v>
      </c>
      <c r="C8223" s="2" t="s">
        <v>14129</v>
      </c>
      <c r="D8223" s="2"/>
      <c r="E8223" s="2">
        <v>1</v>
      </c>
      <c r="F8223" s="9"/>
      <c r="G8223" s="8">
        <f t="shared" si="256"/>
        <v>235.54650000000001</v>
      </c>
      <c r="H8223" s="8">
        <v>224.33</v>
      </c>
      <c r="I8223" s="19">
        <f t="shared" si="257"/>
        <v>0</v>
      </c>
    </row>
    <row r="8224" spans="1:9" hidden="1">
      <c r="A8224" s="11" t="s">
        <v>11260</v>
      </c>
      <c r="B8224" s="2" t="s">
        <v>14130</v>
      </c>
      <c r="C8224" s="2" t="s">
        <v>14131</v>
      </c>
      <c r="D8224" s="2"/>
      <c r="E8224" s="2">
        <v>1</v>
      </c>
      <c r="F8224" s="9"/>
      <c r="G8224" s="8">
        <f t="shared" si="256"/>
        <v>5.7742890046656301</v>
      </c>
      <c r="H8224" s="8">
        <v>5.4993228615863146</v>
      </c>
      <c r="I8224" s="19">
        <f t="shared" si="257"/>
        <v>0</v>
      </c>
    </row>
    <row r="8225" spans="1:9" hidden="1">
      <c r="A8225" s="11" t="s">
        <v>11260</v>
      </c>
      <c r="B8225" s="2" t="s">
        <v>14132</v>
      </c>
      <c r="C8225" s="2" t="s">
        <v>14133</v>
      </c>
      <c r="D8225" s="2"/>
      <c r="E8225" s="2">
        <v>1</v>
      </c>
      <c r="F8225" s="9"/>
      <c r="G8225" s="8">
        <f t="shared" si="256"/>
        <v>5.7742890046656301</v>
      </c>
      <c r="H8225" s="8">
        <v>5.4993228615863146</v>
      </c>
      <c r="I8225" s="19">
        <f t="shared" si="257"/>
        <v>0</v>
      </c>
    </row>
    <row r="8226" spans="1:9" hidden="1">
      <c r="A8226" s="11" t="s">
        <v>11260</v>
      </c>
      <c r="B8226" s="2" t="s">
        <v>14134</v>
      </c>
      <c r="C8226" s="2" t="s">
        <v>14135</v>
      </c>
      <c r="D8226" s="2"/>
      <c r="E8226" s="2">
        <v>1</v>
      </c>
      <c r="F8226" s="9"/>
      <c r="G8226" s="8">
        <f t="shared" si="256"/>
        <v>21.435836827835519</v>
      </c>
      <c r="H8226" s="8">
        <v>20.415082693176686</v>
      </c>
      <c r="I8226" s="19">
        <f t="shared" si="257"/>
        <v>0</v>
      </c>
    </row>
    <row r="8227" spans="1:9" hidden="1">
      <c r="A8227" s="11" t="s">
        <v>11260</v>
      </c>
      <c r="B8227" s="2" t="s">
        <v>14136</v>
      </c>
      <c r="C8227" s="2" t="s">
        <v>14137</v>
      </c>
      <c r="D8227" s="2"/>
      <c r="E8227" s="2">
        <v>1</v>
      </c>
      <c r="F8227" s="9"/>
      <c r="G8227" s="8">
        <f t="shared" si="256"/>
        <v>21.435836827835519</v>
      </c>
      <c r="H8227" s="8">
        <v>20.415082693176686</v>
      </c>
      <c r="I8227" s="19">
        <f t="shared" si="257"/>
        <v>0</v>
      </c>
    </row>
    <row r="8228" spans="1:9" hidden="1">
      <c r="A8228" s="11" t="s">
        <v>11260</v>
      </c>
      <c r="B8228" s="2" t="s">
        <v>14138</v>
      </c>
      <c r="C8228" s="2" t="s">
        <v>14139</v>
      </c>
      <c r="D8228" s="2"/>
      <c r="E8228" s="2">
        <v>1</v>
      </c>
      <c r="F8228" s="9"/>
      <c r="G8228" s="8">
        <f t="shared" si="256"/>
        <v>6.9193342550335561</v>
      </c>
      <c r="H8228" s="8">
        <v>6.5898421476510061</v>
      </c>
      <c r="I8228" s="19">
        <f t="shared" si="257"/>
        <v>0</v>
      </c>
    </row>
    <row r="8229" spans="1:9" hidden="1">
      <c r="A8229" s="11" t="s">
        <v>11260</v>
      </c>
      <c r="B8229" s="2" t="s">
        <v>14140</v>
      </c>
      <c r="C8229" s="2" t="s">
        <v>14141</v>
      </c>
      <c r="D8229" s="2"/>
      <c r="E8229" s="2">
        <v>1</v>
      </c>
      <c r="F8229" s="9"/>
      <c r="G8229" s="8">
        <f t="shared" si="256"/>
        <v>6.9193342550335561</v>
      </c>
      <c r="H8229" s="8">
        <v>6.5898421476510061</v>
      </c>
      <c r="I8229" s="19">
        <f t="shared" si="257"/>
        <v>0</v>
      </c>
    </row>
    <row r="8230" spans="1:9" hidden="1">
      <c r="A8230" s="11" t="s">
        <v>11260</v>
      </c>
      <c r="B8230" s="2" t="s">
        <v>14142</v>
      </c>
      <c r="C8230" s="2" t="s">
        <v>14143</v>
      </c>
      <c r="D8230" s="2"/>
      <c r="E8230" s="2">
        <v>1</v>
      </c>
      <c r="F8230" s="9"/>
      <c r="G8230" s="8">
        <f t="shared" si="256"/>
        <v>15.214710000000002</v>
      </c>
      <c r="H8230" s="8">
        <v>14.490200000000002</v>
      </c>
      <c r="I8230" s="19">
        <f t="shared" si="257"/>
        <v>0</v>
      </c>
    </row>
    <row r="8231" spans="1:9" hidden="1">
      <c r="A8231" s="11" t="s">
        <v>11260</v>
      </c>
      <c r="B8231" s="2" t="s">
        <v>14144</v>
      </c>
      <c r="C8231" s="2" t="s">
        <v>14143</v>
      </c>
      <c r="D8231" s="2"/>
      <c r="E8231" s="2">
        <v>1</v>
      </c>
      <c r="F8231" s="9"/>
      <c r="G8231" s="8">
        <f t="shared" si="256"/>
        <v>15.169916938174683</v>
      </c>
      <c r="H8231" s="8">
        <v>14.447539941118746</v>
      </c>
      <c r="I8231" s="19">
        <f t="shared" si="257"/>
        <v>0</v>
      </c>
    </row>
    <row r="8232" spans="1:9" hidden="1">
      <c r="A8232" s="11" t="s">
        <v>11260</v>
      </c>
      <c r="B8232" s="2" t="s">
        <v>14145</v>
      </c>
      <c r="C8232" s="2" t="s">
        <v>14146</v>
      </c>
      <c r="D8232" s="2"/>
      <c r="E8232" s="2">
        <v>1</v>
      </c>
      <c r="F8232" s="9"/>
      <c r="G8232" s="8">
        <f t="shared" si="256"/>
        <v>1.0462199999999999</v>
      </c>
      <c r="H8232" s="8">
        <v>0.99639999999999995</v>
      </c>
      <c r="I8232" s="19">
        <f t="shared" si="257"/>
        <v>0</v>
      </c>
    </row>
    <row r="8233" spans="1:9" hidden="1">
      <c r="A8233" s="11" t="s">
        <v>11260</v>
      </c>
      <c r="B8233" s="2" t="s">
        <v>14147</v>
      </c>
      <c r="C8233" s="2" t="s">
        <v>14148</v>
      </c>
      <c r="D8233" s="2"/>
      <c r="E8233" s="2">
        <v>1</v>
      </c>
      <c r="F8233" s="9"/>
      <c r="G8233" s="8">
        <f t="shared" si="256"/>
        <v>9.2349734593262145</v>
      </c>
      <c r="H8233" s="8">
        <v>8.7952128184059184</v>
      </c>
      <c r="I8233" s="19">
        <f t="shared" si="257"/>
        <v>0</v>
      </c>
    </row>
    <row r="8234" spans="1:9" hidden="1">
      <c r="A8234" s="11" t="s">
        <v>11260</v>
      </c>
      <c r="B8234" s="2" t="s">
        <v>14149</v>
      </c>
      <c r="C8234" s="2" t="s">
        <v>14148</v>
      </c>
      <c r="D8234" s="2"/>
      <c r="E8234" s="2">
        <v>1</v>
      </c>
      <c r="F8234" s="9"/>
      <c r="G8234" s="8">
        <f t="shared" si="256"/>
        <v>9.2349734593262145</v>
      </c>
      <c r="H8234" s="8">
        <v>8.7952128184059184</v>
      </c>
      <c r="I8234" s="19">
        <f t="shared" si="257"/>
        <v>0</v>
      </c>
    </row>
    <row r="8235" spans="1:9" hidden="1">
      <c r="A8235" s="11" t="s">
        <v>11260</v>
      </c>
      <c r="B8235" s="2" t="s">
        <v>14150</v>
      </c>
      <c r="C8235" s="2" t="s">
        <v>14151</v>
      </c>
      <c r="D8235" s="2"/>
      <c r="E8235" s="2">
        <v>1</v>
      </c>
      <c r="F8235" s="9"/>
      <c r="G8235" s="8">
        <f t="shared" si="256"/>
        <v>8.5289023880597021</v>
      </c>
      <c r="H8235" s="8">
        <v>8.1227641791044789</v>
      </c>
      <c r="I8235" s="19">
        <f t="shared" si="257"/>
        <v>0</v>
      </c>
    </row>
    <row r="8236" spans="1:9" hidden="1">
      <c r="A8236" s="11" t="s">
        <v>11260</v>
      </c>
      <c r="B8236" s="2" t="s">
        <v>14152</v>
      </c>
      <c r="C8236" s="2" t="s">
        <v>14151</v>
      </c>
      <c r="D8236" s="2"/>
      <c r="E8236" s="2">
        <v>1</v>
      </c>
      <c r="F8236" s="9"/>
      <c r="G8236" s="8">
        <f t="shared" si="256"/>
        <v>8.5289023880597021</v>
      </c>
      <c r="H8236" s="8">
        <v>8.1227641791044789</v>
      </c>
      <c r="I8236" s="19">
        <f t="shared" si="257"/>
        <v>0</v>
      </c>
    </row>
    <row r="8237" spans="1:9" hidden="1">
      <c r="A8237" s="11" t="s">
        <v>11260</v>
      </c>
      <c r="B8237" s="2" t="s">
        <v>14153</v>
      </c>
      <c r="C8237" s="2" t="s">
        <v>14154</v>
      </c>
      <c r="D8237" s="2"/>
      <c r="E8237" s="2">
        <v>1</v>
      </c>
      <c r="F8237" s="9"/>
      <c r="G8237" s="8">
        <f t="shared" si="256"/>
        <v>3.1401250955414017</v>
      </c>
      <c r="H8237" s="8">
        <v>2.9905953290870491</v>
      </c>
      <c r="I8237" s="19">
        <f t="shared" si="257"/>
        <v>0</v>
      </c>
    </row>
    <row r="8238" spans="1:9">
      <c r="A8238" s="11" t="s">
        <v>11260</v>
      </c>
      <c r="B8238" s="2" t="s">
        <v>14155</v>
      </c>
      <c r="C8238" s="2" t="s">
        <v>14156</v>
      </c>
      <c r="D8238" s="2"/>
      <c r="E8238" s="2">
        <v>1</v>
      </c>
      <c r="F8238" s="9">
        <v>317</v>
      </c>
      <c r="G8238" s="8">
        <f t="shared" si="256"/>
        <v>2.9445768648648651</v>
      </c>
      <c r="H8238" s="8">
        <v>2.8043589189189193</v>
      </c>
      <c r="I8238" s="19">
        <f t="shared" si="257"/>
        <v>933.43086616216226</v>
      </c>
    </row>
    <row r="8239" spans="1:9">
      <c r="A8239" s="11" t="s">
        <v>11260</v>
      </c>
      <c r="B8239" s="2" t="s">
        <v>14157</v>
      </c>
      <c r="C8239" s="2" t="s">
        <v>14158</v>
      </c>
      <c r="D8239" s="2"/>
      <c r="E8239" s="2">
        <v>1</v>
      </c>
      <c r="F8239" s="9">
        <f>(2*80)+43</f>
        <v>203</v>
      </c>
      <c r="G8239" s="8">
        <f t="shared" si="256"/>
        <v>3.5232154441913446</v>
      </c>
      <c r="H8239" s="8">
        <v>3.3554432801822331</v>
      </c>
      <c r="I8239" s="19">
        <f t="shared" si="257"/>
        <v>715.21273517084296</v>
      </c>
    </row>
    <row r="8240" spans="1:9">
      <c r="A8240" s="11" t="s">
        <v>11260</v>
      </c>
      <c r="B8240" s="2" t="s">
        <v>14159</v>
      </c>
      <c r="C8240" s="2" t="s">
        <v>14160</v>
      </c>
      <c r="D8240" s="2"/>
      <c r="E8240" s="2">
        <v>1</v>
      </c>
      <c r="F8240" s="9">
        <v>3</v>
      </c>
      <c r="G8240" s="8">
        <f t="shared" si="256"/>
        <v>2.7583136538461543</v>
      </c>
      <c r="H8240" s="8">
        <v>2.6269653846153851</v>
      </c>
      <c r="I8240" s="19">
        <f t="shared" si="257"/>
        <v>8.2749409615384621</v>
      </c>
    </row>
    <row r="8241" spans="1:9" hidden="1">
      <c r="A8241" s="11" t="s">
        <v>11260</v>
      </c>
      <c r="B8241" s="2" t="s">
        <v>14161</v>
      </c>
      <c r="C8241" s="2" t="s">
        <v>14162</v>
      </c>
      <c r="D8241" s="2"/>
      <c r="E8241" s="2">
        <v>1</v>
      </c>
      <c r="F8241" s="9"/>
      <c r="G8241" s="8">
        <f t="shared" si="256"/>
        <v>1.407</v>
      </c>
      <c r="H8241" s="8">
        <v>1.34</v>
      </c>
      <c r="I8241" s="19">
        <f t="shared" si="257"/>
        <v>0</v>
      </c>
    </row>
    <row r="8242" spans="1:9" hidden="1">
      <c r="A8242" s="11" t="s">
        <v>11260</v>
      </c>
      <c r="B8242" s="2" t="s">
        <v>14163</v>
      </c>
      <c r="C8242" s="2" t="s">
        <v>14164</v>
      </c>
      <c r="D8242" s="2"/>
      <c r="E8242" s="2">
        <v>1</v>
      </c>
      <c r="F8242" s="9"/>
      <c r="G8242" s="8">
        <f t="shared" si="256"/>
        <v>0.76515692307692318</v>
      </c>
      <c r="H8242" s="8">
        <v>0.72872087912087924</v>
      </c>
      <c r="I8242" s="19">
        <f t="shared" si="257"/>
        <v>0</v>
      </c>
    </row>
    <row r="8243" spans="1:9" hidden="1">
      <c r="A8243" s="11" t="s">
        <v>11260</v>
      </c>
      <c r="B8243" s="2" t="s">
        <v>14165</v>
      </c>
      <c r="C8243" s="2" t="s">
        <v>14166</v>
      </c>
      <c r="D8243" s="2"/>
      <c r="E8243" s="2">
        <v>1</v>
      </c>
      <c r="F8243" s="9"/>
      <c r="G8243" s="8">
        <f t="shared" si="256"/>
        <v>0.78673823529411757</v>
      </c>
      <c r="H8243" s="8">
        <v>0.74927450980392152</v>
      </c>
      <c r="I8243" s="19">
        <f t="shared" si="257"/>
        <v>0</v>
      </c>
    </row>
    <row r="8244" spans="1:9">
      <c r="A8244" s="11" t="s">
        <v>11260</v>
      </c>
      <c r="B8244" s="2" t="s">
        <v>14167</v>
      </c>
      <c r="C8244" s="2" t="s">
        <v>14168</v>
      </c>
      <c r="D8244" s="2"/>
      <c r="E8244" s="2">
        <v>1</v>
      </c>
      <c r="F8244" s="9">
        <v>28</v>
      </c>
      <c r="G8244" s="8">
        <f t="shared" si="256"/>
        <v>0.56254891304347832</v>
      </c>
      <c r="H8244" s="8">
        <v>0.5357608695652174</v>
      </c>
      <c r="I8244" s="19">
        <f t="shared" si="257"/>
        <v>15.751369565217393</v>
      </c>
    </row>
    <row r="8245" spans="1:9" hidden="1">
      <c r="A8245" s="11" t="s">
        <v>11260</v>
      </c>
      <c r="B8245" s="2" t="s">
        <v>14169</v>
      </c>
      <c r="C8245" s="2" t="s">
        <v>14170</v>
      </c>
      <c r="D8245" s="2"/>
      <c r="E8245" s="2">
        <v>1</v>
      </c>
      <c r="F8245" s="9"/>
      <c r="G8245" s="8">
        <f t="shared" si="256"/>
        <v>1.4960377659574471</v>
      </c>
      <c r="H8245" s="8">
        <v>1.4247978723404258</v>
      </c>
      <c r="I8245" s="19">
        <f t="shared" si="257"/>
        <v>0</v>
      </c>
    </row>
    <row r="8246" spans="1:9">
      <c r="A8246" s="11" t="s">
        <v>11260</v>
      </c>
      <c r="B8246" s="2" t="s">
        <v>14171</v>
      </c>
      <c r="C8246" s="2" t="s">
        <v>14172</v>
      </c>
      <c r="D8246" s="2"/>
      <c r="E8246" s="2">
        <v>1</v>
      </c>
      <c r="F8246" s="9">
        <v>2987</v>
      </c>
      <c r="G8246" s="8">
        <f t="shared" si="256"/>
        <v>0.55136307692307684</v>
      </c>
      <c r="H8246" s="8">
        <v>0.52510769230769228</v>
      </c>
      <c r="I8246" s="19">
        <f t="shared" si="257"/>
        <v>1646.9215107692305</v>
      </c>
    </row>
    <row r="8247" spans="1:9">
      <c r="A8247" s="11" t="s">
        <v>11260</v>
      </c>
      <c r="B8247" s="2" t="s">
        <v>14173</v>
      </c>
      <c r="C8247" s="2" t="s">
        <v>14174</v>
      </c>
      <c r="D8247" s="2"/>
      <c r="E8247" s="2">
        <v>1</v>
      </c>
      <c r="F8247" s="9">
        <v>230</v>
      </c>
      <c r="G8247" s="8">
        <f t="shared" si="256"/>
        <v>0.56433802816901402</v>
      </c>
      <c r="H8247" s="8">
        <v>0.53746478873239434</v>
      </c>
      <c r="I8247" s="19">
        <f t="shared" si="257"/>
        <v>129.79774647887322</v>
      </c>
    </row>
    <row r="8248" spans="1:9" hidden="1">
      <c r="A8248" s="11" t="s">
        <v>11260</v>
      </c>
      <c r="B8248" s="2" t="s">
        <v>14175</v>
      </c>
      <c r="C8248" s="2" t="s">
        <v>14176</v>
      </c>
      <c r="D8248" s="2"/>
      <c r="E8248" s="2">
        <v>1</v>
      </c>
      <c r="F8248" s="9"/>
      <c r="G8248" s="8">
        <f t="shared" si="256"/>
        <v>5.4815564406779673</v>
      </c>
      <c r="H8248" s="8">
        <v>5.2205299435028261</v>
      </c>
      <c r="I8248" s="19">
        <f t="shared" si="257"/>
        <v>0</v>
      </c>
    </row>
    <row r="8249" spans="1:9">
      <c r="A8249" s="11" t="s">
        <v>11260</v>
      </c>
      <c r="B8249" s="2" t="s">
        <v>14177</v>
      </c>
      <c r="C8249" s="2" t="s">
        <v>14178</v>
      </c>
      <c r="D8249" s="2"/>
      <c r="E8249" s="2">
        <v>1</v>
      </c>
      <c r="F8249" s="9">
        <v>690</v>
      </c>
      <c r="G8249" s="8">
        <f t="shared" si="256"/>
        <v>1.3297567499999998</v>
      </c>
      <c r="H8249" s="8">
        <v>1.2664349999999998</v>
      </c>
      <c r="I8249" s="19">
        <f t="shared" si="257"/>
        <v>917.53215749999993</v>
      </c>
    </row>
    <row r="8250" spans="1:9" hidden="1">
      <c r="A8250" s="11" t="s">
        <v>11260</v>
      </c>
      <c r="B8250" s="2" t="s">
        <v>14179</v>
      </c>
      <c r="C8250" s="2" t="s">
        <v>14180</v>
      </c>
      <c r="D8250" s="2"/>
      <c r="E8250" s="2">
        <v>1</v>
      </c>
      <c r="F8250" s="9"/>
      <c r="G8250" s="8">
        <f t="shared" si="256"/>
        <v>7.0515409186046503</v>
      </c>
      <c r="H8250" s="8">
        <v>6.7157532558139525</v>
      </c>
      <c r="I8250" s="19">
        <f t="shared" si="257"/>
        <v>0</v>
      </c>
    </row>
    <row r="8251" spans="1:9">
      <c r="A8251" s="11" t="s">
        <v>11260</v>
      </c>
      <c r="B8251" s="2" t="s">
        <v>14181</v>
      </c>
      <c r="C8251" s="2" t="s">
        <v>14182</v>
      </c>
      <c r="D8251" s="2"/>
      <c r="E8251" s="2">
        <v>1</v>
      </c>
      <c r="F8251" s="9">
        <v>109</v>
      </c>
      <c r="G8251" s="8">
        <f t="shared" si="256"/>
        <v>1.165788</v>
      </c>
      <c r="H8251" s="8">
        <v>1.1102742857142858</v>
      </c>
      <c r="I8251" s="19">
        <f t="shared" si="257"/>
        <v>127.070892</v>
      </c>
    </row>
    <row r="8252" spans="1:9" hidden="1">
      <c r="A8252" s="11" t="s">
        <v>11260</v>
      </c>
      <c r="B8252" s="2" t="s">
        <v>14183</v>
      </c>
      <c r="C8252" s="2" t="s">
        <v>14184</v>
      </c>
      <c r="D8252" s="2"/>
      <c r="E8252" s="2">
        <v>1</v>
      </c>
      <c r="F8252" s="9"/>
      <c r="G8252" s="8">
        <f t="shared" si="256"/>
        <v>7.1566162190812728</v>
      </c>
      <c r="H8252" s="8">
        <v>6.8158249705535932</v>
      </c>
      <c r="I8252" s="19">
        <f t="shared" si="257"/>
        <v>0</v>
      </c>
    </row>
    <row r="8253" spans="1:9">
      <c r="A8253" s="11" t="s">
        <v>11260</v>
      </c>
      <c r="B8253" s="2" t="s">
        <v>14185</v>
      </c>
      <c r="C8253" s="2" t="s">
        <v>14186</v>
      </c>
      <c r="D8253" s="2"/>
      <c r="E8253" s="2">
        <v>1</v>
      </c>
      <c r="F8253" s="9">
        <v>386</v>
      </c>
      <c r="G8253" s="8">
        <f t="shared" si="256"/>
        <v>0.96600000000000008</v>
      </c>
      <c r="H8253" s="8">
        <v>0.92</v>
      </c>
      <c r="I8253" s="19">
        <f t="shared" si="257"/>
        <v>372.87600000000003</v>
      </c>
    </row>
    <row r="8254" spans="1:9">
      <c r="A8254" s="11" t="s">
        <v>11260</v>
      </c>
      <c r="B8254" s="2" t="s">
        <v>14187</v>
      </c>
      <c r="C8254" s="2" t="s">
        <v>14188</v>
      </c>
      <c r="D8254" s="2"/>
      <c r="E8254" s="2">
        <v>1</v>
      </c>
      <c r="F8254" s="9">
        <v>353</v>
      </c>
      <c r="G8254" s="8">
        <f t="shared" si="256"/>
        <v>1.4804999999999999</v>
      </c>
      <c r="H8254" s="8">
        <v>1.41</v>
      </c>
      <c r="I8254" s="19">
        <f t="shared" si="257"/>
        <v>522.61649999999997</v>
      </c>
    </row>
    <row r="8255" spans="1:9" hidden="1">
      <c r="A8255" s="11" t="s">
        <v>11260</v>
      </c>
      <c r="B8255" s="2" t="s">
        <v>14189</v>
      </c>
      <c r="C8255" s="2" t="s">
        <v>14190</v>
      </c>
      <c r="D8255" s="2"/>
      <c r="E8255" s="2">
        <v>1</v>
      </c>
      <c r="F8255" s="9"/>
      <c r="G8255" s="8">
        <f t="shared" si="256"/>
        <v>7.5339773195876294</v>
      </c>
      <c r="H8255" s="8">
        <v>7.1752164948453609</v>
      </c>
      <c r="I8255" s="19">
        <f t="shared" si="257"/>
        <v>0</v>
      </c>
    </row>
    <row r="8256" spans="1:9">
      <c r="A8256" s="11" t="s">
        <v>11260</v>
      </c>
      <c r="B8256" s="2" t="s">
        <v>14191</v>
      </c>
      <c r="C8256" s="2" t="s">
        <v>14192</v>
      </c>
      <c r="D8256" s="2"/>
      <c r="E8256" s="2">
        <v>1</v>
      </c>
      <c r="F8256" s="9">
        <v>90</v>
      </c>
      <c r="G8256" s="8">
        <f t="shared" si="256"/>
        <v>6.6691105490196083</v>
      </c>
      <c r="H8256" s="8">
        <v>6.3515338562091506</v>
      </c>
      <c r="I8256" s="19">
        <f t="shared" si="257"/>
        <v>600.21994941176479</v>
      </c>
    </row>
    <row r="8257" spans="1:9">
      <c r="A8257" s="11" t="s">
        <v>11260</v>
      </c>
      <c r="B8257" s="2" t="s">
        <v>14193</v>
      </c>
      <c r="C8257" s="2" t="s">
        <v>14194</v>
      </c>
      <c r="D8257" s="2"/>
      <c r="E8257" s="2">
        <v>1</v>
      </c>
      <c r="F8257" s="9">
        <v>4</v>
      </c>
      <c r="G8257" s="8">
        <f t="shared" si="256"/>
        <v>5.5062404624277459</v>
      </c>
      <c r="H8257" s="8">
        <v>5.2440385356454726</v>
      </c>
      <c r="I8257" s="19">
        <f t="shared" si="257"/>
        <v>22.024961849710984</v>
      </c>
    </row>
    <row r="8258" spans="1:9" hidden="1">
      <c r="A8258" s="11" t="s">
        <v>11260</v>
      </c>
      <c r="B8258" s="2" t="s">
        <v>14195</v>
      </c>
      <c r="C8258" s="2" t="s">
        <v>14196</v>
      </c>
      <c r="D8258" s="2"/>
      <c r="E8258" s="2">
        <v>1</v>
      </c>
      <c r="F8258" s="9"/>
      <c r="G8258" s="8">
        <f t="shared" si="256"/>
        <v>1.449444</v>
      </c>
      <c r="H8258" s="8">
        <v>1.3804228571428572</v>
      </c>
      <c r="I8258" s="19">
        <f t="shared" si="257"/>
        <v>0</v>
      </c>
    </row>
    <row r="8259" spans="1:9">
      <c r="A8259" s="11" t="s">
        <v>11260</v>
      </c>
      <c r="B8259" s="2" t="s">
        <v>14197</v>
      </c>
      <c r="C8259" s="2" t="s">
        <v>14198</v>
      </c>
      <c r="D8259" s="2"/>
      <c r="E8259" s="2">
        <v>1</v>
      </c>
      <c r="F8259" s="9">
        <v>646</v>
      </c>
      <c r="G8259" s="8">
        <f t="shared" si="256"/>
        <v>0.30051</v>
      </c>
      <c r="H8259" s="8">
        <v>0.28620000000000001</v>
      </c>
      <c r="I8259" s="19">
        <f t="shared" si="257"/>
        <v>194.12945999999999</v>
      </c>
    </row>
    <row r="8260" spans="1:9" hidden="1">
      <c r="A8260" s="11" t="s">
        <v>11260</v>
      </c>
      <c r="B8260" s="2" t="s">
        <v>14199</v>
      </c>
      <c r="C8260" s="2" t="s">
        <v>14200</v>
      </c>
      <c r="D8260" s="2"/>
      <c r="E8260" s="2">
        <v>1</v>
      </c>
      <c r="F8260" s="9"/>
      <c r="G8260" s="8">
        <f t="shared" si="256"/>
        <v>1.2630707284768214</v>
      </c>
      <c r="H8260" s="8">
        <v>1.2029245033112586</v>
      </c>
      <c r="I8260" s="19">
        <f t="shared" si="257"/>
        <v>0</v>
      </c>
    </row>
    <row r="8261" spans="1:9">
      <c r="A8261" s="11" t="s">
        <v>11260</v>
      </c>
      <c r="B8261" s="2" t="s">
        <v>14201</v>
      </c>
      <c r="C8261" s="2" t="s">
        <v>14202</v>
      </c>
      <c r="D8261" s="2"/>
      <c r="E8261" s="2">
        <v>1</v>
      </c>
      <c r="F8261" s="9">
        <v>16</v>
      </c>
      <c r="G8261" s="8">
        <f t="shared" si="256"/>
        <v>1.8305340540540538</v>
      </c>
      <c r="H8261" s="8">
        <v>1.7433657657657655</v>
      </c>
      <c r="I8261" s="19">
        <f t="shared" si="257"/>
        <v>29.288544864864861</v>
      </c>
    </row>
    <row r="8262" spans="1:9" hidden="1">
      <c r="A8262" s="11" t="s">
        <v>11260</v>
      </c>
      <c r="B8262" s="2" t="s">
        <v>14203</v>
      </c>
      <c r="C8262" s="2" t="s">
        <v>14204</v>
      </c>
      <c r="D8262" s="2"/>
      <c r="E8262" s="2">
        <v>1</v>
      </c>
      <c r="F8262" s="9"/>
      <c r="G8262" s="8">
        <f t="shared" si="256"/>
        <v>17.75235</v>
      </c>
      <c r="H8262" s="8">
        <v>16.907</v>
      </c>
      <c r="I8262" s="19">
        <f t="shared" si="257"/>
        <v>0</v>
      </c>
    </row>
    <row r="8263" spans="1:9" hidden="1">
      <c r="A8263" s="11" t="s">
        <v>11260</v>
      </c>
      <c r="B8263" s="2" t="s">
        <v>14205</v>
      </c>
      <c r="C8263" s="2" t="s">
        <v>14206</v>
      </c>
      <c r="D8263" s="2"/>
      <c r="E8263" s="2">
        <v>1</v>
      </c>
      <c r="F8263" s="9"/>
      <c r="G8263" s="8">
        <f t="shared" si="256"/>
        <v>0.44182124999999989</v>
      </c>
      <c r="H8263" s="8">
        <v>0.42078214285714277</v>
      </c>
      <c r="I8263" s="19">
        <f t="shared" si="257"/>
        <v>0</v>
      </c>
    </row>
    <row r="8264" spans="1:9" hidden="1">
      <c r="A8264" s="11" t="s">
        <v>11260</v>
      </c>
      <c r="B8264" s="2" t="s">
        <v>14207</v>
      </c>
      <c r="C8264" s="2" t="s">
        <v>14208</v>
      </c>
      <c r="D8264" s="2"/>
      <c r="E8264" s="2">
        <v>1</v>
      </c>
      <c r="F8264" s="9"/>
      <c r="G8264" s="8">
        <f t="shared" si="256"/>
        <v>20.16</v>
      </c>
      <c r="H8264" s="8">
        <v>19.2</v>
      </c>
      <c r="I8264" s="19">
        <f t="shared" si="257"/>
        <v>0</v>
      </c>
    </row>
    <row r="8265" spans="1:9" hidden="1">
      <c r="A8265" s="11" t="s">
        <v>11260</v>
      </c>
      <c r="B8265" s="2" t="s">
        <v>14209</v>
      </c>
      <c r="C8265" s="2" t="s">
        <v>14210</v>
      </c>
      <c r="D8265" s="2"/>
      <c r="E8265" s="2">
        <v>1</v>
      </c>
      <c r="F8265" s="9"/>
      <c r="G8265" s="8">
        <f t="shared" si="256"/>
        <v>6.5520000000000005</v>
      </c>
      <c r="H8265" s="8">
        <v>6.24</v>
      </c>
      <c r="I8265" s="19">
        <f t="shared" si="257"/>
        <v>0</v>
      </c>
    </row>
    <row r="8266" spans="1:9" hidden="1">
      <c r="A8266" s="11" t="s">
        <v>11260</v>
      </c>
      <c r="B8266" s="2" t="s">
        <v>14211</v>
      </c>
      <c r="C8266" s="2" t="s">
        <v>14212</v>
      </c>
      <c r="D8266" s="2"/>
      <c r="E8266" s="2">
        <v>1</v>
      </c>
      <c r="F8266" s="9"/>
      <c r="G8266" s="8">
        <f t="shared" si="256"/>
        <v>24.096449999999997</v>
      </c>
      <c r="H8266" s="8">
        <v>22.948999999999998</v>
      </c>
      <c r="I8266" s="19">
        <f t="shared" si="257"/>
        <v>0</v>
      </c>
    </row>
    <row r="8267" spans="1:9" hidden="1">
      <c r="A8267" s="11" t="s">
        <v>11260</v>
      </c>
      <c r="B8267" s="2" t="s">
        <v>14213</v>
      </c>
      <c r="C8267" s="2" t="s">
        <v>14214</v>
      </c>
      <c r="D8267" s="2"/>
      <c r="E8267" s="2">
        <v>1</v>
      </c>
      <c r="F8267" s="9"/>
      <c r="G8267" s="8">
        <f t="shared" si="256"/>
        <v>24.096449999999997</v>
      </c>
      <c r="H8267" s="8">
        <v>22.948999999999998</v>
      </c>
      <c r="I8267" s="19">
        <f t="shared" si="257"/>
        <v>0</v>
      </c>
    </row>
    <row r="8268" spans="1:9" hidden="1">
      <c r="A8268" s="11" t="s">
        <v>11260</v>
      </c>
      <c r="B8268" s="2" t="s">
        <v>14215</v>
      </c>
      <c r="C8268" s="2" t="s">
        <v>14216</v>
      </c>
      <c r="D8268" s="2"/>
      <c r="E8268" s="2">
        <v>1</v>
      </c>
      <c r="F8268" s="9"/>
      <c r="G8268" s="8">
        <f t="shared" si="256"/>
        <v>7.8979077583892607</v>
      </c>
      <c r="H8268" s="8">
        <v>7.5218169127516772</v>
      </c>
      <c r="I8268" s="19">
        <f t="shared" si="257"/>
        <v>0</v>
      </c>
    </row>
    <row r="8269" spans="1:9" hidden="1">
      <c r="A8269" s="11" t="s">
        <v>11260</v>
      </c>
      <c r="B8269" s="2" t="s">
        <v>14217</v>
      </c>
      <c r="C8269" s="2" t="s">
        <v>14218</v>
      </c>
      <c r="D8269" s="2"/>
      <c r="E8269" s="2">
        <v>1</v>
      </c>
      <c r="F8269" s="9"/>
      <c r="G8269" s="8">
        <f t="shared" si="256"/>
        <v>5.8394860363636356</v>
      </c>
      <c r="H8269" s="8">
        <v>5.5614152727272721</v>
      </c>
      <c r="I8269" s="19">
        <f t="shared" si="257"/>
        <v>0</v>
      </c>
    </row>
    <row r="8270" spans="1:9" hidden="1">
      <c r="A8270" s="11" t="s">
        <v>11260</v>
      </c>
      <c r="B8270" s="2" t="s">
        <v>14219</v>
      </c>
      <c r="C8270" s="2" t="s">
        <v>14220</v>
      </c>
      <c r="D8270" s="2"/>
      <c r="E8270" s="2">
        <v>1</v>
      </c>
      <c r="F8270" s="9"/>
      <c r="G8270" s="8">
        <f t="shared" si="256"/>
        <v>4.7225446153846162</v>
      </c>
      <c r="H8270" s="8">
        <v>4.4976615384615393</v>
      </c>
      <c r="I8270" s="19">
        <f t="shared" si="257"/>
        <v>0</v>
      </c>
    </row>
    <row r="8271" spans="1:9" hidden="1">
      <c r="A8271" s="11" t="s">
        <v>11260</v>
      </c>
      <c r="B8271" s="2" t="s">
        <v>14221</v>
      </c>
      <c r="C8271" s="2" t="s">
        <v>14222</v>
      </c>
      <c r="D8271" s="2"/>
      <c r="E8271" s="2">
        <v>1</v>
      </c>
      <c r="F8271" s="9"/>
      <c r="G8271" s="8">
        <f t="shared" si="256"/>
        <v>3.8564656619144606</v>
      </c>
      <c r="H8271" s="8">
        <v>3.6728244399185339</v>
      </c>
      <c r="I8271" s="19">
        <f t="shared" si="257"/>
        <v>0</v>
      </c>
    </row>
    <row r="8272" spans="1:9" hidden="1">
      <c r="A8272" s="11" t="s">
        <v>11260</v>
      </c>
      <c r="B8272" s="2" t="s">
        <v>14223</v>
      </c>
      <c r="C8272" s="2" t="s">
        <v>14224</v>
      </c>
      <c r="D8272" s="2"/>
      <c r="E8272" s="2">
        <v>1</v>
      </c>
      <c r="F8272" s="9"/>
      <c r="G8272" s="8">
        <f t="shared" si="256"/>
        <v>4.519730121951218</v>
      </c>
      <c r="H8272" s="8">
        <v>4.3045048780487791</v>
      </c>
      <c r="I8272" s="19">
        <f t="shared" si="257"/>
        <v>0</v>
      </c>
    </row>
    <row r="8273" spans="1:9">
      <c r="A8273" s="11" t="s">
        <v>11260</v>
      </c>
      <c r="B8273" s="2" t="s">
        <v>14225</v>
      </c>
      <c r="C8273" s="2" t="s">
        <v>14226</v>
      </c>
      <c r="D8273" s="2"/>
      <c r="E8273" s="2">
        <v>1</v>
      </c>
      <c r="F8273" s="9">
        <v>264</v>
      </c>
      <c r="G8273" s="8">
        <f t="shared" si="256"/>
        <v>3.6348457649667401</v>
      </c>
      <c r="H8273" s="8">
        <v>3.4617578713968955</v>
      </c>
      <c r="I8273" s="19">
        <f t="shared" si="257"/>
        <v>959.59928195121938</v>
      </c>
    </row>
    <row r="8274" spans="1:9">
      <c r="A8274" s="11" t="s">
        <v>11260</v>
      </c>
      <c r="B8274" s="2" t="s">
        <v>14227</v>
      </c>
      <c r="C8274" s="2" t="s">
        <v>14228</v>
      </c>
      <c r="D8274" s="2"/>
      <c r="E8274" s="2">
        <v>1</v>
      </c>
      <c r="F8274" s="9">
        <v>35</v>
      </c>
      <c r="G8274" s="8">
        <f t="shared" si="256"/>
        <v>4.5954415779467679</v>
      </c>
      <c r="H8274" s="8">
        <v>4.3766110266159695</v>
      </c>
      <c r="I8274" s="19">
        <f t="shared" si="257"/>
        <v>160.84045522813688</v>
      </c>
    </row>
    <row r="8275" spans="1:9">
      <c r="A8275" s="11" t="s">
        <v>11260</v>
      </c>
      <c r="B8275" s="2" t="s">
        <v>14229</v>
      </c>
      <c r="C8275" s="2" t="s">
        <v>14230</v>
      </c>
      <c r="D8275" s="2"/>
      <c r="E8275" s="2">
        <v>1</v>
      </c>
      <c r="F8275" s="9">
        <v>3</v>
      </c>
      <c r="G8275" s="8">
        <f t="shared" si="256"/>
        <v>7.3012800000000002</v>
      </c>
      <c r="H8275" s="8">
        <v>6.9535999999999998</v>
      </c>
      <c r="I8275" s="19">
        <f t="shared" si="257"/>
        <v>21.903840000000002</v>
      </c>
    </row>
    <row r="8276" spans="1:9" hidden="1">
      <c r="A8276" s="11" t="s">
        <v>11260</v>
      </c>
      <c r="B8276" s="2" t="s">
        <v>14231</v>
      </c>
      <c r="C8276" s="2" t="s">
        <v>14232</v>
      </c>
      <c r="D8276" s="2"/>
      <c r="E8276" s="2">
        <v>1</v>
      </c>
      <c r="F8276" s="9"/>
      <c r="G8276" s="8">
        <f t="shared" si="256"/>
        <v>4.0126212828947363</v>
      </c>
      <c r="H8276" s="8">
        <v>3.821544078947368</v>
      </c>
      <c r="I8276" s="19">
        <f t="shared" si="257"/>
        <v>0</v>
      </c>
    </row>
    <row r="8277" spans="1:9" hidden="1">
      <c r="A8277" s="11" t="s">
        <v>11260</v>
      </c>
      <c r="B8277" s="2" t="s">
        <v>14233</v>
      </c>
      <c r="C8277" s="2" t="s">
        <v>14234</v>
      </c>
      <c r="D8277" s="2"/>
      <c r="E8277" s="2">
        <v>1</v>
      </c>
      <c r="F8277" s="9"/>
      <c r="G8277" s="8">
        <f t="shared" si="256"/>
        <v>23.397978236184706</v>
      </c>
      <c r="H8277" s="8">
        <v>22.283788796366387</v>
      </c>
      <c r="I8277" s="19">
        <f t="shared" si="257"/>
        <v>0</v>
      </c>
    </row>
    <row r="8278" spans="1:9" hidden="1">
      <c r="A8278" s="11" t="s">
        <v>11260</v>
      </c>
      <c r="B8278" s="2" t="s">
        <v>14235</v>
      </c>
      <c r="C8278" s="2" t="s">
        <v>14236</v>
      </c>
      <c r="D8278" s="2"/>
      <c r="E8278" s="2">
        <v>1</v>
      </c>
      <c r="F8278" s="9"/>
      <c r="G8278" s="8">
        <f t="shared" si="256"/>
        <v>25.131134128895184</v>
      </c>
      <c r="H8278" s="8">
        <v>23.934413456090653</v>
      </c>
      <c r="I8278" s="19">
        <f t="shared" si="257"/>
        <v>0</v>
      </c>
    </row>
    <row r="8279" spans="1:9" hidden="1">
      <c r="A8279" s="11" t="s">
        <v>11260</v>
      </c>
      <c r="B8279" s="2" t="s">
        <v>14237</v>
      </c>
      <c r="C8279" s="2" t="s">
        <v>14238</v>
      </c>
      <c r="D8279" s="2"/>
      <c r="E8279" s="2">
        <v>1</v>
      </c>
      <c r="F8279" s="9"/>
      <c r="G8279" s="8">
        <f t="shared" si="256"/>
        <v>26.864657419515432</v>
      </c>
      <c r="H8279" s="8">
        <v>25.585388018586126</v>
      </c>
      <c r="I8279" s="19">
        <f t="shared" si="257"/>
        <v>0</v>
      </c>
    </row>
    <row r="8280" spans="1:9" hidden="1">
      <c r="A8280" s="11" t="s">
        <v>11260</v>
      </c>
      <c r="B8280" s="2" t="s">
        <v>14239</v>
      </c>
      <c r="C8280" s="2" t="s">
        <v>14240</v>
      </c>
      <c r="D8280" s="2"/>
      <c r="E8280" s="2">
        <v>1</v>
      </c>
      <c r="F8280" s="9"/>
      <c r="G8280" s="8">
        <f t="shared" ref="G8280:G8343" si="258">H8280+(H8280*5%)</f>
        <v>28.557044653341656</v>
      </c>
      <c r="H8280" s="8">
        <v>27.197185384134912</v>
      </c>
      <c r="I8280" s="19">
        <f t="shared" ref="I8280:I8343" si="259">G8280*F8280</f>
        <v>0</v>
      </c>
    </row>
    <row r="8281" spans="1:9" hidden="1">
      <c r="A8281" s="11" t="s">
        <v>11260</v>
      </c>
      <c r="B8281" s="2" t="s">
        <v>14241</v>
      </c>
      <c r="C8281" s="2" t="s">
        <v>14242</v>
      </c>
      <c r="D8281" s="2"/>
      <c r="E8281" s="2">
        <v>1</v>
      </c>
      <c r="F8281" s="9"/>
      <c r="G8281" s="8">
        <f t="shared" si="258"/>
        <v>30.196015648584911</v>
      </c>
      <c r="H8281" s="8">
        <v>28.758110141509437</v>
      </c>
      <c r="I8281" s="19">
        <f t="shared" si="259"/>
        <v>0</v>
      </c>
    </row>
    <row r="8282" spans="1:9" hidden="1">
      <c r="A8282" s="11" t="s">
        <v>11260</v>
      </c>
      <c r="B8282" s="2" t="s">
        <v>14243</v>
      </c>
      <c r="C8282" s="2" t="s">
        <v>14244</v>
      </c>
      <c r="D8282" s="2"/>
      <c r="E8282" s="2">
        <v>1</v>
      </c>
      <c r="F8282" s="9"/>
      <c r="G8282" s="8">
        <f t="shared" si="258"/>
        <v>31.927635583543246</v>
      </c>
      <c r="H8282" s="8">
        <v>30.407271984326901</v>
      </c>
      <c r="I8282" s="19">
        <f t="shared" si="259"/>
        <v>0</v>
      </c>
    </row>
    <row r="8283" spans="1:9" hidden="1">
      <c r="A8283" s="11" t="s">
        <v>11260</v>
      </c>
      <c r="B8283" s="2" t="s">
        <v>14245</v>
      </c>
      <c r="C8283" s="2" t="s">
        <v>14246</v>
      </c>
      <c r="D8283" s="2"/>
      <c r="E8283" s="2">
        <v>1</v>
      </c>
      <c r="F8283" s="9"/>
      <c r="G8283" s="8">
        <f t="shared" si="258"/>
        <v>33.534377734520326</v>
      </c>
      <c r="H8283" s="8">
        <v>31.937502604305074</v>
      </c>
      <c r="I8283" s="19">
        <f t="shared" si="259"/>
        <v>0</v>
      </c>
    </row>
    <row r="8284" spans="1:9" hidden="1">
      <c r="A8284" s="11" t="s">
        <v>11260</v>
      </c>
      <c r="B8284" s="2" t="s">
        <v>14247</v>
      </c>
      <c r="C8284" s="2" t="s">
        <v>14248</v>
      </c>
      <c r="D8284" s="2"/>
      <c r="E8284" s="2">
        <v>1</v>
      </c>
      <c r="F8284" s="9"/>
      <c r="G8284" s="8">
        <f t="shared" si="258"/>
        <v>36.854942263945901</v>
      </c>
      <c r="H8284" s="8">
        <v>35.099945013281811</v>
      </c>
      <c r="I8284" s="19">
        <f t="shared" si="259"/>
        <v>0</v>
      </c>
    </row>
    <row r="8285" spans="1:9" hidden="1">
      <c r="A8285" s="11" t="s">
        <v>11260</v>
      </c>
      <c r="B8285" s="2" t="s">
        <v>14249</v>
      </c>
      <c r="C8285" s="2" t="s">
        <v>14250</v>
      </c>
      <c r="D8285" s="2"/>
      <c r="E8285" s="2">
        <v>1</v>
      </c>
      <c r="F8285" s="9"/>
      <c r="G8285" s="8">
        <f t="shared" si="258"/>
        <v>40.255779523387282</v>
      </c>
      <c r="H8285" s="8">
        <v>38.33883764132122</v>
      </c>
      <c r="I8285" s="19">
        <f t="shared" si="259"/>
        <v>0</v>
      </c>
    </row>
    <row r="8286" spans="1:9" hidden="1">
      <c r="A8286" s="11" t="s">
        <v>11260</v>
      </c>
      <c r="B8286" s="2" t="s">
        <v>14251</v>
      </c>
      <c r="C8286" s="2" t="s">
        <v>14252</v>
      </c>
      <c r="D8286" s="2"/>
      <c r="E8286" s="2">
        <v>1</v>
      </c>
      <c r="F8286" s="9"/>
      <c r="G8286" s="8">
        <f t="shared" si="258"/>
        <v>43.60854820858895</v>
      </c>
      <c r="H8286" s="8">
        <v>41.53195067484662</v>
      </c>
      <c r="I8286" s="19">
        <f t="shared" si="259"/>
        <v>0</v>
      </c>
    </row>
    <row r="8287" spans="1:9" hidden="1">
      <c r="A8287" s="11" t="s">
        <v>11260</v>
      </c>
      <c r="B8287" s="2" t="s">
        <v>14253</v>
      </c>
      <c r="C8287" s="2" t="s">
        <v>14254</v>
      </c>
      <c r="D8287" s="2"/>
      <c r="E8287" s="2">
        <v>1</v>
      </c>
      <c r="F8287" s="9"/>
      <c r="G8287" s="8">
        <f t="shared" si="258"/>
        <v>54.603741861793267</v>
      </c>
      <c r="H8287" s="8">
        <v>52.003563677898349</v>
      </c>
      <c r="I8287" s="19">
        <f t="shared" si="259"/>
        <v>0</v>
      </c>
    </row>
    <row r="8288" spans="1:9" hidden="1">
      <c r="A8288" s="11" t="s">
        <v>11260</v>
      </c>
      <c r="B8288" s="2" t="s">
        <v>14255</v>
      </c>
      <c r="C8288" s="2" t="s">
        <v>14256</v>
      </c>
      <c r="D8288" s="2"/>
      <c r="E8288" s="2">
        <v>1</v>
      </c>
      <c r="F8288" s="9"/>
      <c r="G8288" s="8">
        <f t="shared" si="258"/>
        <v>158.36615506817373</v>
      </c>
      <c r="H8288" s="8">
        <v>150.82490958873689</v>
      </c>
      <c r="I8288" s="19">
        <f t="shared" si="259"/>
        <v>0</v>
      </c>
    </row>
    <row r="8289" spans="1:9" hidden="1">
      <c r="A8289" s="11" t="s">
        <v>11260</v>
      </c>
      <c r="B8289" s="2" t="s">
        <v>14257</v>
      </c>
      <c r="C8289" s="2" t="s">
        <v>14258</v>
      </c>
      <c r="D8289" s="2"/>
      <c r="E8289" s="2">
        <v>1</v>
      </c>
      <c r="F8289" s="9"/>
      <c r="G8289" s="8">
        <f t="shared" si="258"/>
        <v>59.086640623568911</v>
      </c>
      <c r="H8289" s="8">
        <v>56.272991070065629</v>
      </c>
      <c r="I8289" s="19">
        <f t="shared" si="259"/>
        <v>0</v>
      </c>
    </row>
    <row r="8290" spans="1:9" hidden="1">
      <c r="A8290" s="11" t="s">
        <v>11260</v>
      </c>
      <c r="B8290" s="2" t="s">
        <v>14259</v>
      </c>
      <c r="C8290" s="2" t="s">
        <v>14260</v>
      </c>
      <c r="D8290" s="2"/>
      <c r="E8290" s="2">
        <v>1</v>
      </c>
      <c r="F8290" s="9"/>
      <c r="G8290" s="8">
        <f t="shared" si="258"/>
        <v>70.910277046582664</v>
      </c>
      <c r="H8290" s="8">
        <v>67.533597187221588</v>
      </c>
      <c r="I8290" s="19">
        <f t="shared" si="259"/>
        <v>0</v>
      </c>
    </row>
    <row r="8291" spans="1:9" hidden="1">
      <c r="A8291" s="11" t="s">
        <v>11260</v>
      </c>
      <c r="B8291" s="2" t="s">
        <v>14261</v>
      </c>
      <c r="C8291" s="2" t="s">
        <v>14262</v>
      </c>
      <c r="D8291" s="2"/>
      <c r="E8291" s="2">
        <v>1</v>
      </c>
      <c r="F8291" s="9"/>
      <c r="G8291" s="8">
        <f t="shared" si="258"/>
        <v>1.1117157692307693</v>
      </c>
      <c r="H8291" s="8">
        <v>1.0587769230769231</v>
      </c>
      <c r="I8291" s="19">
        <f t="shared" si="259"/>
        <v>0</v>
      </c>
    </row>
    <row r="8292" spans="1:9" hidden="1">
      <c r="A8292" s="11" t="s">
        <v>11260</v>
      </c>
      <c r="B8292" s="2" t="s">
        <v>14263</v>
      </c>
      <c r="C8292" s="2" t="s">
        <v>14264</v>
      </c>
      <c r="D8292" s="2"/>
      <c r="E8292" s="2">
        <v>1</v>
      </c>
      <c r="F8292" s="9"/>
      <c r="G8292" s="8">
        <f t="shared" si="258"/>
        <v>24.876204152219874</v>
      </c>
      <c r="H8292" s="8">
        <v>23.691623002114166</v>
      </c>
      <c r="I8292" s="19">
        <f t="shared" si="259"/>
        <v>0</v>
      </c>
    </row>
    <row r="8293" spans="1:9" hidden="1">
      <c r="A8293" s="11" t="s">
        <v>11260</v>
      </c>
      <c r="B8293" s="2" t="s">
        <v>14265</v>
      </c>
      <c r="C8293" s="2" t="s">
        <v>14266</v>
      </c>
      <c r="D8293" s="2"/>
      <c r="E8293" s="2">
        <v>1</v>
      </c>
      <c r="F8293" s="9"/>
      <c r="G8293" s="8">
        <f t="shared" si="258"/>
        <v>2.3632404382470118</v>
      </c>
      <c r="H8293" s="8">
        <v>2.2507051792828685</v>
      </c>
      <c r="I8293" s="19">
        <f t="shared" si="259"/>
        <v>0</v>
      </c>
    </row>
    <row r="8294" spans="1:9" hidden="1">
      <c r="A8294" s="11" t="s">
        <v>11260</v>
      </c>
      <c r="B8294" s="2" t="s">
        <v>14267</v>
      </c>
      <c r="C8294" s="2" t="s">
        <v>14268</v>
      </c>
      <c r="D8294" s="2"/>
      <c r="E8294" s="2">
        <v>1</v>
      </c>
      <c r="F8294" s="9"/>
      <c r="G8294" s="8">
        <f t="shared" si="258"/>
        <v>1.0920193103448277</v>
      </c>
      <c r="H8294" s="8">
        <v>1.0400183908045979</v>
      </c>
      <c r="I8294" s="19">
        <f t="shared" si="259"/>
        <v>0</v>
      </c>
    </row>
    <row r="8295" spans="1:9" hidden="1">
      <c r="A8295" s="11" t="s">
        <v>11260</v>
      </c>
      <c r="B8295" s="2" t="s">
        <v>14269</v>
      </c>
      <c r="C8295" s="2" t="s">
        <v>14270</v>
      </c>
      <c r="D8295" s="2"/>
      <c r="E8295" s="2">
        <v>1</v>
      </c>
      <c r="F8295" s="9"/>
      <c r="G8295" s="8">
        <f t="shared" si="258"/>
        <v>31.046030116009284</v>
      </c>
      <c r="H8295" s="8">
        <v>29.567647729532652</v>
      </c>
      <c r="I8295" s="19">
        <f t="shared" si="259"/>
        <v>0</v>
      </c>
    </row>
    <row r="8296" spans="1:9" hidden="1">
      <c r="A8296" s="11" t="s">
        <v>11260</v>
      </c>
      <c r="B8296" s="2" t="s">
        <v>14271</v>
      </c>
      <c r="C8296" s="2" t="s">
        <v>14272</v>
      </c>
      <c r="D8296" s="2"/>
      <c r="E8296" s="2">
        <v>1</v>
      </c>
      <c r="F8296" s="9"/>
      <c r="G8296" s="8">
        <f t="shared" si="258"/>
        <v>58.189813572129538</v>
      </c>
      <c r="H8296" s="8">
        <v>55.418870068694801</v>
      </c>
      <c r="I8296" s="19">
        <f t="shared" si="259"/>
        <v>0</v>
      </c>
    </row>
    <row r="8297" spans="1:9" hidden="1">
      <c r="A8297" s="11" t="s">
        <v>11260</v>
      </c>
      <c r="B8297" s="2" t="s">
        <v>14273</v>
      </c>
      <c r="C8297" s="2" t="s">
        <v>14274</v>
      </c>
      <c r="D8297" s="2"/>
      <c r="E8297" s="2">
        <v>1</v>
      </c>
      <c r="F8297" s="9"/>
      <c r="G8297" s="8">
        <f t="shared" si="258"/>
        <v>100.34105143917866</v>
      </c>
      <c r="H8297" s="8">
        <v>95.562906132551106</v>
      </c>
      <c r="I8297" s="19">
        <f t="shared" si="259"/>
        <v>0</v>
      </c>
    </row>
    <row r="8298" spans="1:9" hidden="1">
      <c r="A8298" s="11" t="s">
        <v>11260</v>
      </c>
      <c r="B8298" s="2" t="s">
        <v>14275</v>
      </c>
      <c r="C8298" s="2" t="s">
        <v>14276</v>
      </c>
      <c r="D8298" s="2"/>
      <c r="E8298" s="2">
        <v>1</v>
      </c>
      <c r="F8298" s="9"/>
      <c r="G8298" s="8">
        <f t="shared" si="258"/>
        <v>209.70783119358185</v>
      </c>
      <c r="H8298" s="8">
        <v>199.72174399388749</v>
      </c>
      <c r="I8298" s="19">
        <f t="shared" si="259"/>
        <v>0</v>
      </c>
    </row>
    <row r="8299" spans="1:9" hidden="1">
      <c r="A8299" s="11" t="s">
        <v>11260</v>
      </c>
      <c r="B8299" s="2" t="s">
        <v>14277</v>
      </c>
      <c r="C8299" s="2" t="s">
        <v>14278</v>
      </c>
      <c r="D8299" s="2"/>
      <c r="E8299" s="2">
        <v>1</v>
      </c>
      <c r="F8299" s="9"/>
      <c r="G8299" s="8">
        <f t="shared" si="258"/>
        <v>2.5706232558139543</v>
      </c>
      <c r="H8299" s="8">
        <v>2.4482126245847184</v>
      </c>
      <c r="I8299" s="19">
        <f t="shared" si="259"/>
        <v>0</v>
      </c>
    </row>
    <row r="8300" spans="1:9" hidden="1">
      <c r="A8300" s="11" t="s">
        <v>11260</v>
      </c>
      <c r="B8300" s="2" t="s">
        <v>14279</v>
      </c>
      <c r="C8300" s="2" t="s">
        <v>14280</v>
      </c>
      <c r="D8300" s="2"/>
      <c r="E8300" s="2">
        <v>1</v>
      </c>
      <c r="F8300" s="9"/>
      <c r="G8300" s="8">
        <f t="shared" si="258"/>
        <v>2.5706232558139543</v>
      </c>
      <c r="H8300" s="8">
        <v>2.4482126245847184</v>
      </c>
      <c r="I8300" s="19">
        <f t="shared" si="259"/>
        <v>0</v>
      </c>
    </row>
    <row r="8301" spans="1:9">
      <c r="A8301" s="11" t="s">
        <v>11260</v>
      </c>
      <c r="B8301" s="2" t="s">
        <v>14281</v>
      </c>
      <c r="C8301" s="2" t="s">
        <v>14282</v>
      </c>
      <c r="D8301" s="2"/>
      <c r="E8301" s="2">
        <v>1</v>
      </c>
      <c r="F8301" s="9">
        <v>263</v>
      </c>
      <c r="G8301" s="8">
        <f t="shared" si="258"/>
        <v>3.4152122033898311</v>
      </c>
      <c r="H8301" s="8">
        <v>3.2525830508474582</v>
      </c>
      <c r="I8301" s="19">
        <f t="shared" si="259"/>
        <v>898.20080949152555</v>
      </c>
    </row>
    <row r="8302" spans="1:9">
      <c r="A8302" s="11" t="s">
        <v>11260</v>
      </c>
      <c r="B8302" s="2" t="s">
        <v>14283</v>
      </c>
      <c r="C8302" s="2" t="s">
        <v>14284</v>
      </c>
      <c r="D8302" s="2"/>
      <c r="E8302" s="2">
        <v>1</v>
      </c>
      <c r="F8302" s="9">
        <v>263</v>
      </c>
      <c r="G8302" s="8">
        <f t="shared" si="258"/>
        <v>3.4152122033898311</v>
      </c>
      <c r="H8302" s="8">
        <v>3.2525830508474582</v>
      </c>
      <c r="I8302" s="19">
        <f t="shared" si="259"/>
        <v>898.20080949152555</v>
      </c>
    </row>
    <row r="8303" spans="1:9" hidden="1">
      <c r="A8303" s="11" t="s">
        <v>11260</v>
      </c>
      <c r="B8303" s="2" t="s">
        <v>14285</v>
      </c>
      <c r="C8303" s="2" t="s">
        <v>14286</v>
      </c>
      <c r="D8303" s="2"/>
      <c r="E8303" s="2">
        <v>1</v>
      </c>
      <c r="F8303" s="9"/>
      <c r="G8303" s="8">
        <f t="shared" si="258"/>
        <v>2.7968736000000005</v>
      </c>
      <c r="H8303" s="8">
        <v>2.6636891428571432</v>
      </c>
      <c r="I8303" s="19">
        <f t="shared" si="259"/>
        <v>0</v>
      </c>
    </row>
    <row r="8304" spans="1:9" hidden="1">
      <c r="A8304" s="11" t="s">
        <v>11260</v>
      </c>
      <c r="B8304" s="2" t="s">
        <v>14287</v>
      </c>
      <c r="C8304" s="2" t="s">
        <v>14288</v>
      </c>
      <c r="D8304" s="2"/>
      <c r="E8304" s="2">
        <v>1</v>
      </c>
      <c r="F8304" s="9"/>
      <c r="G8304" s="8">
        <f t="shared" si="258"/>
        <v>3.8617919999999994</v>
      </c>
      <c r="H8304" s="8">
        <v>3.6778971428571423</v>
      </c>
      <c r="I8304" s="19">
        <f t="shared" si="259"/>
        <v>0</v>
      </c>
    </row>
    <row r="8305" spans="1:9">
      <c r="A8305" s="11" t="s">
        <v>11260</v>
      </c>
      <c r="B8305" s="2" t="s">
        <v>14289</v>
      </c>
      <c r="C8305" s="2" t="s">
        <v>14290</v>
      </c>
      <c r="D8305" s="2"/>
      <c r="E8305" s="2">
        <v>1</v>
      </c>
      <c r="F8305" s="9">
        <v>263</v>
      </c>
      <c r="G8305" s="8">
        <f t="shared" si="258"/>
        <v>3.7371203285420949</v>
      </c>
      <c r="H8305" s="8">
        <v>3.559162217659138</v>
      </c>
      <c r="I8305" s="19">
        <f t="shared" si="259"/>
        <v>982.862646406571</v>
      </c>
    </row>
    <row r="8306" spans="1:9">
      <c r="A8306" s="11" t="s">
        <v>11260</v>
      </c>
      <c r="B8306" s="2" t="s">
        <v>14291</v>
      </c>
      <c r="C8306" s="2" t="s">
        <v>14292</v>
      </c>
      <c r="D8306" s="2"/>
      <c r="E8306" s="2">
        <v>1</v>
      </c>
      <c r="F8306" s="9">
        <v>263</v>
      </c>
      <c r="G8306" s="8">
        <f t="shared" si="258"/>
        <v>3.7371203285420949</v>
      </c>
      <c r="H8306" s="8">
        <v>3.559162217659138</v>
      </c>
      <c r="I8306" s="19">
        <f t="shared" si="259"/>
        <v>982.862646406571</v>
      </c>
    </row>
    <row r="8307" spans="1:9" hidden="1">
      <c r="A8307" s="11" t="s">
        <v>11260</v>
      </c>
      <c r="B8307" s="2" t="s">
        <v>14293</v>
      </c>
      <c r="C8307" s="2" t="s">
        <v>14294</v>
      </c>
      <c r="D8307" s="2"/>
      <c r="E8307" s="2">
        <v>1</v>
      </c>
      <c r="F8307" s="9"/>
      <c r="G8307" s="8">
        <f t="shared" si="258"/>
        <v>0.94542471910112358</v>
      </c>
      <c r="H8307" s="8">
        <v>0.90040449438202241</v>
      </c>
      <c r="I8307" s="19">
        <f t="shared" si="259"/>
        <v>0</v>
      </c>
    </row>
    <row r="8308" spans="1:9" hidden="1">
      <c r="A8308" s="11" t="s">
        <v>11260</v>
      </c>
      <c r="B8308" s="2" t="s">
        <v>14295</v>
      </c>
      <c r="C8308" s="2" t="s">
        <v>14296</v>
      </c>
      <c r="D8308" s="2"/>
      <c r="E8308" s="2">
        <v>1</v>
      </c>
      <c r="F8308" s="9"/>
      <c r="G8308" s="8">
        <f t="shared" si="258"/>
        <v>10.4055</v>
      </c>
      <c r="H8308" s="8">
        <v>9.91</v>
      </c>
      <c r="I8308" s="19">
        <f t="shared" si="259"/>
        <v>0</v>
      </c>
    </row>
    <row r="8309" spans="1:9" hidden="1">
      <c r="A8309" s="11" t="s">
        <v>11260</v>
      </c>
      <c r="B8309" s="2" t="s">
        <v>14297</v>
      </c>
      <c r="C8309" s="2" t="s">
        <v>14298</v>
      </c>
      <c r="D8309" s="2"/>
      <c r="E8309" s="2">
        <v>1</v>
      </c>
      <c r="F8309" s="9"/>
      <c r="G8309" s="8">
        <f t="shared" si="258"/>
        <v>14.980980000000002</v>
      </c>
      <c r="H8309" s="8">
        <v>14.267600000000002</v>
      </c>
      <c r="I8309" s="19">
        <f t="shared" si="259"/>
        <v>0</v>
      </c>
    </row>
    <row r="8310" spans="1:9" hidden="1">
      <c r="A8310" s="11" t="s">
        <v>11260</v>
      </c>
      <c r="B8310" s="2" t="s">
        <v>14299</v>
      </c>
      <c r="C8310" s="2" t="s">
        <v>14300</v>
      </c>
      <c r="D8310" s="2"/>
      <c r="E8310" s="2">
        <v>1</v>
      </c>
      <c r="F8310" s="9"/>
      <c r="G8310" s="8">
        <f t="shared" si="258"/>
        <v>11.591999999999999</v>
      </c>
      <c r="H8310" s="8">
        <v>11.04</v>
      </c>
      <c r="I8310" s="19">
        <f t="shared" si="259"/>
        <v>0</v>
      </c>
    </row>
    <row r="8311" spans="1:9" hidden="1">
      <c r="A8311" s="11" t="s">
        <v>11260</v>
      </c>
      <c r="B8311" s="2" t="s">
        <v>14301</v>
      </c>
      <c r="C8311" s="2" t="s">
        <v>14302</v>
      </c>
      <c r="D8311" s="2"/>
      <c r="E8311" s="2">
        <v>1</v>
      </c>
      <c r="F8311" s="9"/>
      <c r="G8311" s="8">
        <f t="shared" si="258"/>
        <v>21.341003470332858</v>
      </c>
      <c r="H8311" s="8">
        <v>20.324765209840816</v>
      </c>
      <c r="I8311" s="19">
        <f t="shared" si="259"/>
        <v>0</v>
      </c>
    </row>
    <row r="8312" spans="1:9" hidden="1">
      <c r="A8312" s="11" t="s">
        <v>11260</v>
      </c>
      <c r="B8312" s="2" t="s">
        <v>14303</v>
      </c>
      <c r="C8312" s="2" t="s">
        <v>14304</v>
      </c>
      <c r="D8312" s="2"/>
      <c r="E8312" s="2">
        <v>1</v>
      </c>
      <c r="F8312" s="9"/>
      <c r="G8312" s="8">
        <f t="shared" si="258"/>
        <v>2.6417020858895706</v>
      </c>
      <c r="H8312" s="8">
        <v>2.5159067484662576</v>
      </c>
      <c r="I8312" s="19">
        <f t="shared" si="259"/>
        <v>0</v>
      </c>
    </row>
    <row r="8313" spans="1:9" hidden="1">
      <c r="A8313" s="11" t="s">
        <v>11260</v>
      </c>
      <c r="B8313" s="2" t="s">
        <v>14305</v>
      </c>
      <c r="C8313" s="2" t="s">
        <v>14306</v>
      </c>
      <c r="D8313" s="2"/>
      <c r="E8313" s="2">
        <v>1</v>
      </c>
      <c r="F8313" s="9"/>
      <c r="G8313" s="8">
        <f t="shared" si="258"/>
        <v>17.814528845348491</v>
      </c>
      <c r="H8313" s="8">
        <v>16.966217947950945</v>
      </c>
      <c r="I8313" s="19">
        <f t="shared" si="259"/>
        <v>0</v>
      </c>
    </row>
    <row r="8314" spans="1:9">
      <c r="A8314" s="11" t="s">
        <v>11260</v>
      </c>
      <c r="B8314" s="2" t="s">
        <v>14307</v>
      </c>
      <c r="C8314" s="2" t="s">
        <v>14308</v>
      </c>
      <c r="D8314" s="2"/>
      <c r="E8314" s="2">
        <v>1</v>
      </c>
      <c r="F8314" s="9">
        <v>95</v>
      </c>
      <c r="G8314" s="8">
        <f t="shared" si="258"/>
        <v>6.6787685677749371</v>
      </c>
      <c r="H8314" s="8">
        <v>6.3607319693094642</v>
      </c>
      <c r="I8314" s="19">
        <f t="shared" si="259"/>
        <v>634.48301393861902</v>
      </c>
    </row>
    <row r="8315" spans="1:9" hidden="1">
      <c r="A8315" s="11" t="s">
        <v>11260</v>
      </c>
      <c r="B8315" s="2" t="s">
        <v>14309</v>
      </c>
      <c r="C8315" s="2" t="s">
        <v>14310</v>
      </c>
      <c r="D8315" s="2"/>
      <c r="E8315" s="2">
        <v>1</v>
      </c>
      <c r="F8315" s="9"/>
      <c r="G8315" s="8">
        <f t="shared" si="258"/>
        <v>10.995205225707727</v>
      </c>
      <c r="H8315" s="8">
        <v>10.47162402448355</v>
      </c>
      <c r="I8315" s="19">
        <f t="shared" si="259"/>
        <v>0</v>
      </c>
    </row>
    <row r="8316" spans="1:9" hidden="1">
      <c r="A8316" s="11" t="s">
        <v>11260</v>
      </c>
      <c r="B8316" s="2" t="s">
        <v>14311</v>
      </c>
      <c r="C8316" s="2" t="s">
        <v>14310</v>
      </c>
      <c r="D8316" s="2"/>
      <c r="E8316" s="2">
        <v>1</v>
      </c>
      <c r="F8316" s="9"/>
      <c r="G8316" s="8">
        <f t="shared" si="258"/>
        <v>4.4749414285714293</v>
      </c>
      <c r="H8316" s="8">
        <v>4.2618489795918375</v>
      </c>
      <c r="I8316" s="19">
        <f t="shared" si="259"/>
        <v>0</v>
      </c>
    </row>
    <row r="8317" spans="1:9" hidden="1">
      <c r="A8317" s="11" t="s">
        <v>11260</v>
      </c>
      <c r="B8317" s="2" t="s">
        <v>14312</v>
      </c>
      <c r="C8317" s="2" t="s">
        <v>14313</v>
      </c>
      <c r="D8317" s="2"/>
      <c r="E8317" s="2">
        <v>1</v>
      </c>
      <c r="F8317" s="9"/>
      <c r="G8317" s="8">
        <f t="shared" si="258"/>
        <v>8.5979200533333344</v>
      </c>
      <c r="H8317" s="8">
        <v>8.1884952888888893</v>
      </c>
      <c r="I8317" s="19">
        <f t="shared" si="259"/>
        <v>0</v>
      </c>
    </row>
    <row r="8318" spans="1:9" hidden="1">
      <c r="A8318" s="11" t="s">
        <v>11260</v>
      </c>
      <c r="B8318" s="2" t="s">
        <v>14314</v>
      </c>
      <c r="C8318" s="2" t="s">
        <v>14315</v>
      </c>
      <c r="D8318" s="2"/>
      <c r="E8318" s="2">
        <v>1</v>
      </c>
      <c r="F8318" s="9"/>
      <c r="G8318" s="8">
        <f t="shared" si="258"/>
        <v>8.4742172675521825</v>
      </c>
      <c r="H8318" s="8">
        <v>8.0706831119544589</v>
      </c>
      <c r="I8318" s="19">
        <f t="shared" si="259"/>
        <v>0</v>
      </c>
    </row>
    <row r="8319" spans="1:9">
      <c r="A8319" s="11" t="s">
        <v>11260</v>
      </c>
      <c r="B8319" s="2" t="s">
        <v>14316</v>
      </c>
      <c r="C8319" s="2" t="s">
        <v>14317</v>
      </c>
      <c r="D8319" s="2"/>
      <c r="E8319" s="2">
        <v>1</v>
      </c>
      <c r="F8319" s="9">
        <v>540</v>
      </c>
      <c r="G8319" s="8">
        <f t="shared" si="258"/>
        <v>0.65100000000000002</v>
      </c>
      <c r="H8319" s="8">
        <v>0.62</v>
      </c>
      <c r="I8319" s="19">
        <f t="shared" si="259"/>
        <v>351.54</v>
      </c>
    </row>
    <row r="8320" spans="1:9">
      <c r="A8320" s="11" t="s">
        <v>11260</v>
      </c>
      <c r="B8320" s="2" t="s">
        <v>14318</v>
      </c>
      <c r="C8320" s="2" t="s">
        <v>14319</v>
      </c>
      <c r="D8320" s="2"/>
      <c r="E8320" s="2">
        <v>1</v>
      </c>
      <c r="F8320" s="9">
        <v>8</v>
      </c>
      <c r="G8320" s="8">
        <f t="shared" si="258"/>
        <v>74.365765021834079</v>
      </c>
      <c r="H8320" s="8">
        <v>70.824538116032457</v>
      </c>
      <c r="I8320" s="19">
        <f t="shared" si="259"/>
        <v>594.92612017467263</v>
      </c>
    </row>
    <row r="8321" spans="1:9" hidden="1">
      <c r="A8321" s="11" t="s">
        <v>11260</v>
      </c>
      <c r="B8321" s="2" t="s">
        <v>14320</v>
      </c>
      <c r="C8321" s="2" t="s">
        <v>14321</v>
      </c>
      <c r="D8321" s="2"/>
      <c r="E8321" s="2">
        <v>1</v>
      </c>
      <c r="F8321" s="9"/>
      <c r="G8321" s="8">
        <f t="shared" si="258"/>
        <v>70.039114927344784</v>
      </c>
      <c r="H8321" s="8">
        <v>66.703918978423602</v>
      </c>
      <c r="I8321" s="19">
        <f t="shared" si="259"/>
        <v>0</v>
      </c>
    </row>
    <row r="8322" spans="1:9" hidden="1">
      <c r="A8322" s="11" t="s">
        <v>11260</v>
      </c>
      <c r="B8322" s="2" t="s">
        <v>14322</v>
      </c>
      <c r="C8322" s="2" t="s">
        <v>14323</v>
      </c>
      <c r="D8322" s="2"/>
      <c r="E8322" s="2">
        <v>1</v>
      </c>
      <c r="F8322" s="9"/>
      <c r="G8322" s="8">
        <f t="shared" si="258"/>
        <v>48.486850776560274</v>
      </c>
      <c r="H8322" s="8">
        <v>46.177953120533594</v>
      </c>
      <c r="I8322" s="19">
        <f t="shared" si="259"/>
        <v>0</v>
      </c>
    </row>
    <row r="8323" spans="1:9" hidden="1">
      <c r="A8323" s="11" t="s">
        <v>11260</v>
      </c>
      <c r="B8323" s="2" t="s">
        <v>14324</v>
      </c>
      <c r="C8323" s="2" t="s">
        <v>14325</v>
      </c>
      <c r="D8323" s="2"/>
      <c r="E8323" s="2">
        <v>1</v>
      </c>
      <c r="F8323" s="9"/>
      <c r="G8323" s="8">
        <f t="shared" si="258"/>
        <v>2.4495878698224853</v>
      </c>
      <c r="H8323" s="8">
        <v>2.3329408284023669</v>
      </c>
      <c r="I8323" s="19">
        <f t="shared" si="259"/>
        <v>0</v>
      </c>
    </row>
    <row r="8324" spans="1:9" hidden="1">
      <c r="A8324" s="11" t="s">
        <v>11260</v>
      </c>
      <c r="B8324" s="2" t="s">
        <v>14326</v>
      </c>
      <c r="C8324" s="2" t="s">
        <v>14327</v>
      </c>
      <c r="D8324" s="2"/>
      <c r="E8324" s="2">
        <v>1</v>
      </c>
      <c r="F8324" s="9"/>
      <c r="G8324" s="8">
        <f t="shared" si="258"/>
        <v>1.4420700000000002</v>
      </c>
      <c r="H8324" s="8">
        <v>1.3734000000000002</v>
      </c>
      <c r="I8324" s="19">
        <f t="shared" si="259"/>
        <v>0</v>
      </c>
    </row>
    <row r="8325" spans="1:9" hidden="1">
      <c r="A8325" s="11" t="s">
        <v>11260</v>
      </c>
      <c r="B8325" s="2" t="s">
        <v>14328</v>
      </c>
      <c r="C8325" s="2" t="s">
        <v>14329</v>
      </c>
      <c r="D8325" s="2"/>
      <c r="E8325" s="2">
        <v>1</v>
      </c>
      <c r="F8325" s="9"/>
      <c r="G8325" s="8">
        <f t="shared" si="258"/>
        <v>43.311638569636138</v>
      </c>
      <c r="H8325" s="8">
        <v>41.249179590129657</v>
      </c>
      <c r="I8325" s="19">
        <f t="shared" si="259"/>
        <v>0</v>
      </c>
    </row>
    <row r="8326" spans="1:9" hidden="1">
      <c r="A8326" s="11" t="s">
        <v>11260</v>
      </c>
      <c r="B8326" s="2" t="s">
        <v>14330</v>
      </c>
      <c r="C8326" s="2" t="s">
        <v>14331</v>
      </c>
      <c r="D8326" s="2"/>
      <c r="E8326" s="2">
        <v>1</v>
      </c>
      <c r="F8326" s="9"/>
      <c r="G8326" s="8">
        <f t="shared" si="258"/>
        <v>46.194860319222776</v>
      </c>
      <c r="H8326" s="8">
        <v>43.995105065926452</v>
      </c>
      <c r="I8326" s="19">
        <f t="shared" si="259"/>
        <v>0</v>
      </c>
    </row>
    <row r="8327" spans="1:9" hidden="1">
      <c r="A8327" s="11" t="s">
        <v>11260</v>
      </c>
      <c r="B8327" s="2" t="s">
        <v>14332</v>
      </c>
      <c r="C8327" s="2" t="s">
        <v>14333</v>
      </c>
      <c r="D8327" s="2"/>
      <c r="E8327" s="2">
        <v>1</v>
      </c>
      <c r="F8327" s="9"/>
      <c r="G8327" s="8">
        <f t="shared" si="258"/>
        <v>33.856312476207265</v>
      </c>
      <c r="H8327" s="8">
        <v>32.244107120197398</v>
      </c>
      <c r="I8327" s="19">
        <f t="shared" si="259"/>
        <v>0</v>
      </c>
    </row>
    <row r="8328" spans="1:9" hidden="1">
      <c r="A8328" s="11" t="s">
        <v>11260</v>
      </c>
      <c r="B8328" s="2" t="s">
        <v>14334</v>
      </c>
      <c r="C8328" s="2" t="s">
        <v>14335</v>
      </c>
      <c r="D8328" s="2"/>
      <c r="E8328" s="2">
        <v>1</v>
      </c>
      <c r="F8328" s="9"/>
      <c r="G8328" s="8">
        <f t="shared" si="258"/>
        <v>17.065840476467173</v>
      </c>
      <c r="H8328" s="8">
        <v>16.253181406159211</v>
      </c>
      <c r="I8328" s="19">
        <f t="shared" si="259"/>
        <v>0</v>
      </c>
    </row>
    <row r="8329" spans="1:9" hidden="1">
      <c r="A8329" s="11" t="s">
        <v>11260</v>
      </c>
      <c r="B8329" s="2" t="s">
        <v>14336</v>
      </c>
      <c r="C8329" s="2" t="s">
        <v>14337</v>
      </c>
      <c r="D8329" s="2"/>
      <c r="E8329" s="2">
        <v>1</v>
      </c>
      <c r="F8329" s="9"/>
      <c r="G8329" s="8">
        <f t="shared" si="258"/>
        <v>8.2554193298969079</v>
      </c>
      <c r="H8329" s="8">
        <v>7.8623041237113416</v>
      </c>
      <c r="I8329" s="19">
        <f t="shared" si="259"/>
        <v>0</v>
      </c>
    </row>
    <row r="8330" spans="1:9" hidden="1">
      <c r="A8330" s="11" t="s">
        <v>11260</v>
      </c>
      <c r="B8330" s="2" t="s">
        <v>14338</v>
      </c>
      <c r="C8330" s="2" t="s">
        <v>14339</v>
      </c>
      <c r="D8330" s="2"/>
      <c r="E8330" s="2">
        <v>1</v>
      </c>
      <c r="F8330" s="9"/>
      <c r="G8330" s="8">
        <f t="shared" si="258"/>
        <v>4.6335618449197851</v>
      </c>
      <c r="H8330" s="8">
        <v>4.4129160427807479</v>
      </c>
      <c r="I8330" s="19">
        <f t="shared" si="259"/>
        <v>0</v>
      </c>
    </row>
    <row r="8331" spans="1:9">
      <c r="A8331" s="11" t="s">
        <v>11260</v>
      </c>
      <c r="B8331" s="2" t="s">
        <v>14340</v>
      </c>
      <c r="C8331" s="2" t="s">
        <v>14341</v>
      </c>
      <c r="D8331" s="2"/>
      <c r="E8331" s="2">
        <v>1</v>
      </c>
      <c r="F8331" s="9">
        <v>212</v>
      </c>
      <c r="G8331" s="8">
        <f t="shared" si="258"/>
        <v>1.6664083333333335</v>
      </c>
      <c r="H8331" s="8">
        <v>1.5870555555555557</v>
      </c>
      <c r="I8331" s="19">
        <f t="shared" si="259"/>
        <v>353.27856666666668</v>
      </c>
    </row>
    <row r="8332" spans="1:9">
      <c r="A8332" s="11" t="s">
        <v>11260</v>
      </c>
      <c r="B8332" s="2" t="s">
        <v>14342</v>
      </c>
      <c r="C8332" s="2" t="s">
        <v>14343</v>
      </c>
      <c r="D8332" s="2"/>
      <c r="E8332" s="2">
        <v>1</v>
      </c>
      <c r="F8332" s="9">
        <v>312</v>
      </c>
      <c r="G8332" s="8">
        <f t="shared" si="258"/>
        <v>1.6664083333333335</v>
      </c>
      <c r="H8332" s="8">
        <v>1.5870555555555557</v>
      </c>
      <c r="I8332" s="19">
        <f t="shared" si="259"/>
        <v>519.9194</v>
      </c>
    </row>
    <row r="8333" spans="1:9" hidden="1">
      <c r="A8333" s="11" t="s">
        <v>11260</v>
      </c>
      <c r="B8333" s="2" t="s">
        <v>14344</v>
      </c>
      <c r="C8333" s="2" t="s">
        <v>14345</v>
      </c>
      <c r="D8333" s="2"/>
      <c r="E8333" s="2">
        <v>1</v>
      </c>
      <c r="F8333" s="9"/>
      <c r="G8333" s="8">
        <f t="shared" si="258"/>
        <v>1.3724950276243093</v>
      </c>
      <c r="H8333" s="8">
        <v>1.3071381215469613</v>
      </c>
      <c r="I8333" s="19">
        <f t="shared" si="259"/>
        <v>0</v>
      </c>
    </row>
    <row r="8334" spans="1:9" hidden="1">
      <c r="A8334" s="11" t="s">
        <v>11260</v>
      </c>
      <c r="B8334" s="2" t="s">
        <v>14346</v>
      </c>
      <c r="C8334" s="2" t="s">
        <v>14347</v>
      </c>
      <c r="D8334" s="2"/>
      <c r="E8334" s="2">
        <v>1</v>
      </c>
      <c r="F8334" s="9"/>
      <c r="G8334" s="8">
        <f t="shared" si="258"/>
        <v>0.18921000000000002</v>
      </c>
      <c r="H8334" s="8">
        <v>0.18020000000000003</v>
      </c>
      <c r="I8334" s="19">
        <f t="shared" si="259"/>
        <v>0</v>
      </c>
    </row>
    <row r="8335" spans="1:9" hidden="1">
      <c r="A8335" s="11" t="s">
        <v>11260</v>
      </c>
      <c r="B8335" s="2" t="s">
        <v>14348</v>
      </c>
      <c r="C8335" s="2" t="s">
        <v>14349</v>
      </c>
      <c r="D8335" s="2"/>
      <c r="E8335" s="2">
        <v>1</v>
      </c>
      <c r="F8335" s="9"/>
      <c r="G8335" s="8">
        <f t="shared" si="258"/>
        <v>9.6609090079716591</v>
      </c>
      <c r="H8335" s="8">
        <v>9.2008657218777703</v>
      </c>
      <c r="I8335" s="19">
        <f t="shared" si="259"/>
        <v>0</v>
      </c>
    </row>
    <row r="8336" spans="1:9" hidden="1">
      <c r="A8336" s="11" t="s">
        <v>11260</v>
      </c>
      <c r="B8336" s="2" t="s">
        <v>14350</v>
      </c>
      <c r="C8336" s="2" t="s">
        <v>14351</v>
      </c>
      <c r="D8336" s="2"/>
      <c r="E8336" s="2">
        <v>1</v>
      </c>
      <c r="F8336" s="9"/>
      <c r="G8336" s="8">
        <f t="shared" si="258"/>
        <v>4.0168699999999999</v>
      </c>
      <c r="H8336" s="8">
        <v>3.8255904761904764</v>
      </c>
      <c r="I8336" s="19">
        <f t="shared" si="259"/>
        <v>0</v>
      </c>
    </row>
    <row r="8337" spans="1:9" hidden="1">
      <c r="A8337" s="11" t="s">
        <v>11260</v>
      </c>
      <c r="B8337" s="2" t="s">
        <v>5340</v>
      </c>
      <c r="C8337" s="2" t="s">
        <v>14352</v>
      </c>
      <c r="D8337" s="2"/>
      <c r="E8337" s="2">
        <v>1</v>
      </c>
      <c r="F8337" s="9"/>
      <c r="G8337" s="8">
        <f t="shared" si="258"/>
        <v>6.1319999999999997</v>
      </c>
      <c r="H8337" s="8">
        <v>5.84</v>
      </c>
      <c r="I8337" s="19">
        <f t="shared" si="259"/>
        <v>0</v>
      </c>
    </row>
    <row r="8338" spans="1:9" hidden="1">
      <c r="A8338" s="11" t="s">
        <v>11260</v>
      </c>
      <c r="B8338" s="2" t="s">
        <v>14353</v>
      </c>
      <c r="C8338" s="2" t="s">
        <v>14354</v>
      </c>
      <c r="D8338" s="2"/>
      <c r="E8338" s="2">
        <v>1</v>
      </c>
      <c r="F8338" s="9"/>
      <c r="G8338" s="8">
        <f t="shared" si="258"/>
        <v>11.612156244411327</v>
      </c>
      <c r="H8338" s="8">
        <v>11.059196423248883</v>
      </c>
      <c r="I8338" s="19">
        <f t="shared" si="259"/>
        <v>0</v>
      </c>
    </row>
    <row r="8339" spans="1:9" hidden="1">
      <c r="A8339" s="11" t="s">
        <v>11260</v>
      </c>
      <c r="B8339" s="2" t="s">
        <v>14355</v>
      </c>
      <c r="C8339" s="2" t="s">
        <v>14356</v>
      </c>
      <c r="D8339" s="2"/>
      <c r="E8339" s="2">
        <v>1</v>
      </c>
      <c r="F8339" s="9"/>
      <c r="G8339" s="8">
        <f t="shared" si="258"/>
        <v>99.897007216187461</v>
      </c>
      <c r="H8339" s="8">
        <v>95.140006872559482</v>
      </c>
      <c r="I8339" s="19">
        <f t="shared" si="259"/>
        <v>0</v>
      </c>
    </row>
    <row r="8340" spans="1:9">
      <c r="A8340" s="11" t="s">
        <v>11260</v>
      </c>
      <c r="B8340" s="2" t="s">
        <v>14357</v>
      </c>
      <c r="C8340" s="2" t="s">
        <v>14358</v>
      </c>
      <c r="D8340" s="2"/>
      <c r="E8340" s="2">
        <v>1</v>
      </c>
      <c r="F8340" s="9">
        <v>31</v>
      </c>
      <c r="G8340" s="8">
        <f t="shared" si="258"/>
        <v>87.440990333903358</v>
      </c>
      <c r="H8340" s="8">
        <v>83.277133651336527</v>
      </c>
      <c r="I8340" s="19">
        <f t="shared" si="259"/>
        <v>2710.6707003510041</v>
      </c>
    </row>
    <row r="8341" spans="1:9" hidden="1">
      <c r="A8341" s="11" t="s">
        <v>11260</v>
      </c>
      <c r="B8341" s="2" t="s">
        <v>14359</v>
      </c>
      <c r="C8341" s="2" t="s">
        <v>14360</v>
      </c>
      <c r="D8341" s="2"/>
      <c r="E8341" s="2">
        <v>1</v>
      </c>
      <c r="F8341" s="9"/>
      <c r="G8341" s="8">
        <f t="shared" si="258"/>
        <v>111.10824440734557</v>
      </c>
      <c r="H8341" s="8">
        <v>105.8173756260434</v>
      </c>
      <c r="I8341" s="19">
        <f t="shared" si="259"/>
        <v>0</v>
      </c>
    </row>
    <row r="8342" spans="1:9" hidden="1">
      <c r="A8342" s="11" t="s">
        <v>11260</v>
      </c>
      <c r="B8342" s="2" t="s">
        <v>14361</v>
      </c>
      <c r="C8342" s="2" t="s">
        <v>14362</v>
      </c>
      <c r="D8342" s="2"/>
      <c r="E8342" s="2">
        <v>1</v>
      </c>
      <c r="F8342" s="9"/>
      <c r="G8342" s="8">
        <f t="shared" si="258"/>
        <v>89.928443291945925</v>
      </c>
      <c r="H8342" s="8">
        <v>85.646136468519927</v>
      </c>
      <c r="I8342" s="19">
        <f t="shared" si="259"/>
        <v>0</v>
      </c>
    </row>
    <row r="8343" spans="1:9" hidden="1">
      <c r="A8343" s="11" t="s">
        <v>11260</v>
      </c>
      <c r="B8343" s="2" t="s">
        <v>14363</v>
      </c>
      <c r="C8343" s="2" t="s">
        <v>14364</v>
      </c>
      <c r="D8343" s="2"/>
      <c r="E8343" s="2">
        <v>1</v>
      </c>
      <c r="F8343" s="9"/>
      <c r="G8343" s="8">
        <f t="shared" si="258"/>
        <v>110.44768748127977</v>
      </c>
      <c r="H8343" s="8">
        <v>105.18827379169502</v>
      </c>
      <c r="I8343" s="19">
        <f t="shared" si="259"/>
        <v>0</v>
      </c>
    </row>
    <row r="8344" spans="1:9" hidden="1">
      <c r="A8344" s="11" t="s">
        <v>11260</v>
      </c>
      <c r="B8344" s="2" t="s">
        <v>14365</v>
      </c>
      <c r="C8344" s="2" t="s">
        <v>14366</v>
      </c>
      <c r="D8344" s="2"/>
      <c r="E8344" s="2">
        <v>1</v>
      </c>
      <c r="F8344" s="9"/>
      <c r="G8344" s="8">
        <f t="shared" ref="G8344:G8407" si="260">H8344+(H8344*5%)</f>
        <v>91.490356153090204</v>
      </c>
      <c r="H8344" s="8">
        <v>87.133672526752576</v>
      </c>
      <c r="I8344" s="19">
        <f t="shared" ref="I8344:I8407" si="261">G8344*F8344</f>
        <v>0</v>
      </c>
    </row>
    <row r="8345" spans="1:9" hidden="1">
      <c r="A8345" s="11" t="s">
        <v>11260</v>
      </c>
      <c r="B8345" s="2" t="s">
        <v>14367</v>
      </c>
      <c r="C8345" s="2" t="s">
        <v>14368</v>
      </c>
      <c r="D8345" s="2"/>
      <c r="E8345" s="2">
        <v>1</v>
      </c>
      <c r="F8345" s="9"/>
      <c r="G8345" s="8">
        <f t="shared" si="260"/>
        <v>146.52455537190082</v>
      </c>
      <c r="H8345" s="8">
        <v>139.5471955922865</v>
      </c>
      <c r="I8345" s="19">
        <f t="shared" si="261"/>
        <v>0</v>
      </c>
    </row>
    <row r="8346" spans="1:9" hidden="1">
      <c r="A8346" s="11" t="s">
        <v>11260</v>
      </c>
      <c r="B8346" s="2" t="s">
        <v>14369</v>
      </c>
      <c r="C8346" s="2" t="s">
        <v>14370</v>
      </c>
      <c r="D8346" s="2"/>
      <c r="E8346" s="2">
        <v>1</v>
      </c>
      <c r="F8346" s="9"/>
      <c r="G8346" s="8">
        <f t="shared" si="260"/>
        <v>125.68070031499526</v>
      </c>
      <c r="H8346" s="8">
        <v>119.69590506190025</v>
      </c>
      <c r="I8346" s="19">
        <f t="shared" si="261"/>
        <v>0</v>
      </c>
    </row>
    <row r="8347" spans="1:9" hidden="1">
      <c r="A8347" s="11" t="s">
        <v>11260</v>
      </c>
      <c r="B8347" s="2" t="s">
        <v>14371</v>
      </c>
      <c r="C8347" s="2" t="s">
        <v>14372</v>
      </c>
      <c r="D8347" s="2"/>
      <c r="E8347" s="2">
        <v>1</v>
      </c>
      <c r="F8347" s="9"/>
      <c r="G8347" s="8">
        <f t="shared" si="260"/>
        <v>139.63974563257747</v>
      </c>
      <c r="H8347" s="8">
        <v>132.99023393578807</v>
      </c>
      <c r="I8347" s="19">
        <f t="shared" si="261"/>
        <v>0</v>
      </c>
    </row>
    <row r="8348" spans="1:9" hidden="1">
      <c r="A8348" s="11" t="s">
        <v>11260</v>
      </c>
      <c r="B8348" s="2" t="s">
        <v>14373</v>
      </c>
      <c r="C8348" s="2" t="s">
        <v>14374</v>
      </c>
      <c r="D8348" s="2"/>
      <c r="E8348" s="2">
        <v>1</v>
      </c>
      <c r="F8348" s="9"/>
      <c r="G8348" s="8">
        <f t="shared" si="260"/>
        <v>118.97871845430384</v>
      </c>
      <c r="H8348" s="8">
        <v>113.31306519457509</v>
      </c>
      <c r="I8348" s="19">
        <f t="shared" si="261"/>
        <v>0</v>
      </c>
    </row>
    <row r="8349" spans="1:9" hidden="1">
      <c r="A8349" s="11" t="s">
        <v>11260</v>
      </c>
      <c r="B8349" s="2" t="s">
        <v>14375</v>
      </c>
      <c r="C8349" s="2" t="s">
        <v>14376</v>
      </c>
      <c r="D8349" s="2"/>
      <c r="E8349" s="2">
        <v>1</v>
      </c>
      <c r="F8349" s="9"/>
      <c r="G8349" s="8">
        <f t="shared" si="260"/>
        <v>68.763842241653407</v>
      </c>
      <c r="H8349" s="8">
        <v>65.489373563479433</v>
      </c>
      <c r="I8349" s="19">
        <f t="shared" si="261"/>
        <v>0</v>
      </c>
    </row>
    <row r="8350" spans="1:9" hidden="1">
      <c r="A8350" s="11" t="s">
        <v>11260</v>
      </c>
      <c r="B8350" s="2" t="s">
        <v>14377</v>
      </c>
      <c r="C8350" s="2" t="s">
        <v>14378</v>
      </c>
      <c r="D8350" s="2"/>
      <c r="E8350" s="2">
        <v>1</v>
      </c>
      <c r="F8350" s="9"/>
      <c r="G8350" s="8">
        <f t="shared" si="260"/>
        <v>27.272414532924969</v>
      </c>
      <c r="H8350" s="8">
        <v>25.973728126595208</v>
      </c>
      <c r="I8350" s="19">
        <f t="shared" si="261"/>
        <v>0</v>
      </c>
    </row>
    <row r="8351" spans="1:9">
      <c r="A8351" s="11" t="s">
        <v>11260</v>
      </c>
      <c r="B8351" s="2" t="s">
        <v>14379</v>
      </c>
      <c r="C8351" s="2" t="s">
        <v>14380</v>
      </c>
      <c r="D8351" s="2"/>
      <c r="E8351" s="2">
        <v>1</v>
      </c>
      <c r="F8351" s="9">
        <v>30</v>
      </c>
      <c r="G8351" s="8">
        <f t="shared" si="260"/>
        <v>26.743639796156089</v>
      </c>
      <c r="H8351" s="8">
        <v>25.470133139196275</v>
      </c>
      <c r="I8351" s="19">
        <f t="shared" si="261"/>
        <v>802.3091938846826</v>
      </c>
    </row>
    <row r="8352" spans="1:9" hidden="1">
      <c r="A8352" s="11" t="s">
        <v>11260</v>
      </c>
      <c r="B8352" s="2" t="s">
        <v>14381</v>
      </c>
      <c r="C8352" s="2" t="s">
        <v>14382</v>
      </c>
      <c r="D8352" s="2"/>
      <c r="E8352" s="2">
        <v>1</v>
      </c>
      <c r="F8352" s="9"/>
      <c r="G8352" s="8">
        <f t="shared" si="260"/>
        <v>15.782340000000001</v>
      </c>
      <c r="H8352" s="8">
        <v>15.030800000000001</v>
      </c>
      <c r="I8352" s="19">
        <f t="shared" si="261"/>
        <v>0</v>
      </c>
    </row>
    <row r="8353" spans="1:9">
      <c r="A8353" s="11" t="s">
        <v>11260</v>
      </c>
      <c r="B8353" s="2" t="s">
        <v>14383</v>
      </c>
      <c r="C8353" s="2" t="s">
        <v>14384</v>
      </c>
      <c r="D8353" s="2"/>
      <c r="E8353" s="2">
        <v>1</v>
      </c>
      <c r="F8353" s="9">
        <v>12</v>
      </c>
      <c r="G8353" s="8">
        <f t="shared" si="260"/>
        <v>14.437376666666665</v>
      </c>
      <c r="H8353" s="8">
        <v>13.749882539682538</v>
      </c>
      <c r="I8353" s="19">
        <f t="shared" si="261"/>
        <v>173.24851999999998</v>
      </c>
    </row>
    <row r="8354" spans="1:9" hidden="1">
      <c r="A8354" s="11" t="s">
        <v>11260</v>
      </c>
      <c r="B8354" s="2" t="s">
        <v>14385</v>
      </c>
      <c r="C8354" s="2" t="s">
        <v>14386</v>
      </c>
      <c r="D8354" s="2"/>
      <c r="E8354" s="2">
        <v>1</v>
      </c>
      <c r="F8354" s="9"/>
      <c r="G8354" s="8">
        <f t="shared" si="260"/>
        <v>19.763113445121956</v>
      </c>
      <c r="H8354" s="8">
        <v>18.822012804878053</v>
      </c>
      <c r="I8354" s="19">
        <f t="shared" si="261"/>
        <v>0</v>
      </c>
    </row>
    <row r="8355" spans="1:9" hidden="1">
      <c r="A8355" s="11" t="s">
        <v>11260</v>
      </c>
      <c r="B8355" s="2" t="s">
        <v>14387</v>
      </c>
      <c r="C8355" s="2" t="s">
        <v>14388</v>
      </c>
      <c r="D8355" s="2"/>
      <c r="E8355" s="2">
        <v>1</v>
      </c>
      <c r="F8355" s="9"/>
      <c r="G8355" s="8">
        <f t="shared" si="260"/>
        <v>19.763113445121956</v>
      </c>
      <c r="H8355" s="8">
        <v>18.822012804878053</v>
      </c>
      <c r="I8355" s="19">
        <f t="shared" si="261"/>
        <v>0</v>
      </c>
    </row>
    <row r="8356" spans="1:9" hidden="1">
      <c r="A8356" s="11" t="s">
        <v>11260</v>
      </c>
      <c r="B8356" s="2" t="s">
        <v>14389</v>
      </c>
      <c r="C8356" s="2" t="s">
        <v>14390</v>
      </c>
      <c r="D8356" s="2"/>
      <c r="E8356" s="2">
        <v>1</v>
      </c>
      <c r="F8356" s="9"/>
      <c r="G8356" s="8">
        <f t="shared" si="260"/>
        <v>7.759309655172415</v>
      </c>
      <c r="H8356" s="8">
        <v>7.3898187192118234</v>
      </c>
      <c r="I8356" s="19">
        <f t="shared" si="261"/>
        <v>0</v>
      </c>
    </row>
    <row r="8357" spans="1:9" hidden="1">
      <c r="A8357" s="11" t="s">
        <v>11260</v>
      </c>
      <c r="B8357" s="2" t="s">
        <v>14391</v>
      </c>
      <c r="C8357" s="2" t="s">
        <v>14392</v>
      </c>
      <c r="D8357" s="2"/>
      <c r="E8357" s="2">
        <v>1</v>
      </c>
      <c r="F8357" s="9"/>
      <c r="G8357" s="8">
        <f t="shared" si="260"/>
        <v>7.759309655172415</v>
      </c>
      <c r="H8357" s="8">
        <v>7.3898187192118234</v>
      </c>
      <c r="I8357" s="19">
        <f t="shared" si="261"/>
        <v>0</v>
      </c>
    </row>
    <row r="8358" spans="1:9" hidden="1">
      <c r="A8358" s="11" t="s">
        <v>11260</v>
      </c>
      <c r="B8358" s="2" t="s">
        <v>14393</v>
      </c>
      <c r="C8358" s="2" t="s">
        <v>14394</v>
      </c>
      <c r="D8358" s="2"/>
      <c r="E8358" s="2">
        <v>1</v>
      </c>
      <c r="F8358" s="9"/>
      <c r="G8358" s="8">
        <f t="shared" si="260"/>
        <v>64.382986003005257</v>
      </c>
      <c r="H8358" s="8">
        <v>61.317129526671671</v>
      </c>
      <c r="I8358" s="19">
        <f t="shared" si="261"/>
        <v>0</v>
      </c>
    </row>
    <row r="8359" spans="1:9">
      <c r="A8359" s="11" t="s">
        <v>11260</v>
      </c>
      <c r="B8359" s="2" t="s">
        <v>14395</v>
      </c>
      <c r="C8359" s="2" t="s">
        <v>14396</v>
      </c>
      <c r="D8359" s="2"/>
      <c r="E8359" s="2">
        <v>1</v>
      </c>
      <c r="F8359" s="9">
        <v>9</v>
      </c>
      <c r="G8359" s="8">
        <f t="shared" si="260"/>
        <v>58.697950569675726</v>
      </c>
      <c r="H8359" s="8">
        <v>55.902810066357837</v>
      </c>
      <c r="I8359" s="19">
        <f t="shared" si="261"/>
        <v>528.28155512708156</v>
      </c>
    </row>
    <row r="8360" spans="1:9" hidden="1">
      <c r="A8360" s="11" t="s">
        <v>11260</v>
      </c>
      <c r="B8360" s="2" t="s">
        <v>14397</v>
      </c>
      <c r="C8360" s="2" t="s">
        <v>14398</v>
      </c>
      <c r="D8360" s="2"/>
      <c r="E8360" s="2">
        <v>1</v>
      </c>
      <c r="F8360" s="9"/>
      <c r="G8360" s="8">
        <f t="shared" si="260"/>
        <v>22.916603193277311</v>
      </c>
      <c r="H8360" s="8">
        <v>21.825336374549821</v>
      </c>
      <c r="I8360" s="19">
        <f t="shared" si="261"/>
        <v>0</v>
      </c>
    </row>
    <row r="8361" spans="1:9">
      <c r="A8361" s="11" t="s">
        <v>11260</v>
      </c>
      <c r="B8361" s="2" t="s">
        <v>14399</v>
      </c>
      <c r="C8361" s="2" t="s">
        <v>14400</v>
      </c>
      <c r="D8361" s="2"/>
      <c r="E8361" s="2">
        <v>1</v>
      </c>
      <c r="F8361" s="9">
        <v>8</v>
      </c>
      <c r="G8361" s="8">
        <f t="shared" si="260"/>
        <v>21.185534117647062</v>
      </c>
      <c r="H8361" s="8">
        <v>20.176699159663869</v>
      </c>
      <c r="I8361" s="19">
        <f t="shared" si="261"/>
        <v>169.4842729411765</v>
      </c>
    </row>
    <row r="8362" spans="1:9" hidden="1">
      <c r="A8362" s="11" t="s">
        <v>11260</v>
      </c>
      <c r="B8362" s="2" t="s">
        <v>14401</v>
      </c>
      <c r="C8362" s="2" t="s">
        <v>14402</v>
      </c>
      <c r="D8362" s="2"/>
      <c r="E8362" s="2">
        <v>1</v>
      </c>
      <c r="F8362" s="9"/>
      <c r="G8362" s="8">
        <f t="shared" si="260"/>
        <v>1.1053808053691274</v>
      </c>
      <c r="H8362" s="8">
        <v>1.0527436241610737</v>
      </c>
      <c r="I8362" s="19">
        <f t="shared" si="261"/>
        <v>0</v>
      </c>
    </row>
    <row r="8363" spans="1:9" hidden="1">
      <c r="A8363" s="11" t="s">
        <v>11260</v>
      </c>
      <c r="B8363" s="2" t="s">
        <v>14403</v>
      </c>
      <c r="C8363" s="2" t="s">
        <v>14404</v>
      </c>
      <c r="D8363" s="2"/>
      <c r="E8363" s="2">
        <v>1</v>
      </c>
      <c r="F8363" s="9"/>
      <c r="G8363" s="8">
        <f t="shared" si="260"/>
        <v>0.97498800000000019</v>
      </c>
      <c r="H8363" s="8">
        <v>0.92856000000000016</v>
      </c>
      <c r="I8363" s="19">
        <f t="shared" si="261"/>
        <v>0</v>
      </c>
    </row>
    <row r="8364" spans="1:9" hidden="1">
      <c r="A8364" s="11" t="s">
        <v>11260</v>
      </c>
      <c r="B8364" s="2" t="s">
        <v>14405</v>
      </c>
      <c r="C8364" s="2" t="s">
        <v>14406</v>
      </c>
      <c r="D8364" s="2"/>
      <c r="E8364" s="2">
        <v>1</v>
      </c>
      <c r="F8364" s="9"/>
      <c r="G8364" s="8">
        <f t="shared" si="260"/>
        <v>8.6992384931506876</v>
      </c>
      <c r="H8364" s="8">
        <v>8.2849890410958924</v>
      </c>
      <c r="I8364" s="19">
        <f t="shared" si="261"/>
        <v>0</v>
      </c>
    </row>
    <row r="8365" spans="1:9" hidden="1">
      <c r="A8365" s="11" t="s">
        <v>11260</v>
      </c>
      <c r="B8365" s="2" t="s">
        <v>14407</v>
      </c>
      <c r="C8365" s="2" t="s">
        <v>14408</v>
      </c>
      <c r="D8365" s="2"/>
      <c r="E8365" s="2">
        <v>1</v>
      </c>
      <c r="F8365" s="9"/>
      <c r="G8365" s="8">
        <f t="shared" si="260"/>
        <v>11.424461591382904</v>
      </c>
      <c r="H8365" s="8">
        <v>10.880439610840861</v>
      </c>
      <c r="I8365" s="19">
        <f t="shared" si="261"/>
        <v>0</v>
      </c>
    </row>
    <row r="8366" spans="1:9" hidden="1">
      <c r="A8366" s="11" t="s">
        <v>11260</v>
      </c>
      <c r="B8366" s="2" t="s">
        <v>14409</v>
      </c>
      <c r="C8366" s="2" t="s">
        <v>14410</v>
      </c>
      <c r="D8366" s="2"/>
      <c r="E8366" s="2">
        <v>1</v>
      </c>
      <c r="F8366" s="9"/>
      <c r="G8366" s="8">
        <f t="shared" si="260"/>
        <v>11.424461591382904</v>
      </c>
      <c r="H8366" s="8">
        <v>10.880439610840861</v>
      </c>
      <c r="I8366" s="19">
        <f t="shared" si="261"/>
        <v>0</v>
      </c>
    </row>
    <row r="8367" spans="1:9" hidden="1">
      <c r="A8367" s="11" t="s">
        <v>11260</v>
      </c>
      <c r="B8367" s="2" t="s">
        <v>14411</v>
      </c>
      <c r="C8367" s="2" t="s">
        <v>14412</v>
      </c>
      <c r="D8367" s="2"/>
      <c r="E8367" s="2">
        <v>1</v>
      </c>
      <c r="F8367" s="9"/>
      <c r="G8367" s="8">
        <f t="shared" si="260"/>
        <v>11.349258429561202</v>
      </c>
      <c r="H8367" s="8">
        <v>10.808817551963049</v>
      </c>
      <c r="I8367" s="19">
        <f t="shared" si="261"/>
        <v>0</v>
      </c>
    </row>
    <row r="8368" spans="1:9" hidden="1">
      <c r="A8368" s="11" t="s">
        <v>11260</v>
      </c>
      <c r="B8368" s="2" t="s">
        <v>14413</v>
      </c>
      <c r="C8368" s="2" t="s">
        <v>14414</v>
      </c>
      <c r="D8368" s="2"/>
      <c r="E8368" s="2">
        <v>1</v>
      </c>
      <c r="F8368" s="9"/>
      <c r="G8368" s="8">
        <f t="shared" si="260"/>
        <v>11.349258429561202</v>
      </c>
      <c r="H8368" s="8">
        <v>10.808817551963049</v>
      </c>
      <c r="I8368" s="19">
        <f t="shared" si="261"/>
        <v>0</v>
      </c>
    </row>
    <row r="8369" spans="1:9" hidden="1">
      <c r="A8369" s="11" t="s">
        <v>11260</v>
      </c>
      <c r="B8369" s="2" t="s">
        <v>14415</v>
      </c>
      <c r="C8369" s="2" t="s">
        <v>14416</v>
      </c>
      <c r="D8369" s="2"/>
      <c r="E8369" s="2">
        <v>1</v>
      </c>
      <c r="F8369" s="9"/>
      <c r="G8369" s="8">
        <f t="shared" si="260"/>
        <v>0.50085000000000002</v>
      </c>
      <c r="H8369" s="8">
        <v>0.47700000000000004</v>
      </c>
      <c r="I8369" s="19">
        <f t="shared" si="261"/>
        <v>0</v>
      </c>
    </row>
    <row r="8370" spans="1:9" hidden="1">
      <c r="A8370" s="11" t="s">
        <v>11260</v>
      </c>
      <c r="B8370" s="2" t="s">
        <v>14417</v>
      </c>
      <c r="C8370" s="2" t="s">
        <v>14418</v>
      </c>
      <c r="D8370" s="2"/>
      <c r="E8370" s="2">
        <v>1</v>
      </c>
      <c r="F8370" s="9"/>
      <c r="G8370" s="8">
        <f t="shared" si="260"/>
        <v>8.3793000000000006</v>
      </c>
      <c r="H8370" s="8">
        <v>7.9802857142857144</v>
      </c>
      <c r="I8370" s="19">
        <f t="shared" si="261"/>
        <v>0</v>
      </c>
    </row>
    <row r="8371" spans="1:9" hidden="1">
      <c r="A8371" s="11" t="s">
        <v>11260</v>
      </c>
      <c r="B8371" s="2" t="s">
        <v>14419</v>
      </c>
      <c r="C8371" s="2" t="s">
        <v>14420</v>
      </c>
      <c r="D8371" s="2">
        <v>5</v>
      </c>
      <c r="E8371" s="2">
        <v>1</v>
      </c>
      <c r="F8371" s="9"/>
      <c r="G8371" s="8">
        <f t="shared" si="260"/>
        <v>25.170888727351166</v>
      </c>
      <c r="H8371" s="8">
        <v>23.972274978429681</v>
      </c>
      <c r="I8371" s="19">
        <f t="shared" si="261"/>
        <v>0</v>
      </c>
    </row>
    <row r="8372" spans="1:9" hidden="1">
      <c r="A8372" s="11" t="s">
        <v>11260</v>
      </c>
      <c r="B8372" s="2" t="s">
        <v>14421</v>
      </c>
      <c r="C8372" s="2" t="s">
        <v>14422</v>
      </c>
      <c r="D8372" s="2">
        <v>5</v>
      </c>
      <c r="E8372" s="2">
        <v>1</v>
      </c>
      <c r="F8372" s="9"/>
      <c r="G8372" s="8">
        <f t="shared" si="260"/>
        <v>25.170888727351166</v>
      </c>
      <c r="H8372" s="8">
        <v>23.972274978429681</v>
      </c>
      <c r="I8372" s="19">
        <f t="shared" si="261"/>
        <v>0</v>
      </c>
    </row>
    <row r="8373" spans="1:9" hidden="1">
      <c r="A8373" s="11" t="s">
        <v>11260</v>
      </c>
      <c r="B8373" s="2" t="s">
        <v>14423</v>
      </c>
      <c r="C8373" s="2" t="s">
        <v>14424</v>
      </c>
      <c r="D8373" s="2"/>
      <c r="E8373" s="2">
        <v>1</v>
      </c>
      <c r="F8373" s="9"/>
      <c r="G8373" s="8">
        <f t="shared" si="260"/>
        <v>15.971550000000001</v>
      </c>
      <c r="H8373" s="8">
        <v>15.211</v>
      </c>
      <c r="I8373" s="19">
        <f t="shared" si="261"/>
        <v>0</v>
      </c>
    </row>
    <row r="8374" spans="1:9" hidden="1">
      <c r="A8374" s="11" t="s">
        <v>11260</v>
      </c>
      <c r="B8374" s="2" t="s">
        <v>14425</v>
      </c>
      <c r="C8374" s="2" t="s">
        <v>14426</v>
      </c>
      <c r="D8374" s="2"/>
      <c r="E8374" s="2">
        <v>1</v>
      </c>
      <c r="F8374" s="9"/>
      <c r="G8374" s="8">
        <f t="shared" si="260"/>
        <v>11.095870594405595</v>
      </c>
      <c r="H8374" s="8">
        <v>10.567495804195804</v>
      </c>
      <c r="I8374" s="19">
        <f t="shared" si="261"/>
        <v>0</v>
      </c>
    </row>
    <row r="8375" spans="1:9" hidden="1">
      <c r="A8375" s="11" t="s">
        <v>11260</v>
      </c>
      <c r="B8375" s="2" t="s">
        <v>14427</v>
      </c>
      <c r="C8375" s="2" t="s">
        <v>14428</v>
      </c>
      <c r="D8375" s="2"/>
      <c r="E8375" s="2">
        <v>1</v>
      </c>
      <c r="F8375" s="9"/>
      <c r="G8375" s="8">
        <f t="shared" si="260"/>
        <v>11.095870594405595</v>
      </c>
      <c r="H8375" s="8">
        <v>10.567495804195804</v>
      </c>
      <c r="I8375" s="19">
        <f t="shared" si="261"/>
        <v>0</v>
      </c>
    </row>
    <row r="8376" spans="1:9" hidden="1">
      <c r="A8376" s="11" t="s">
        <v>11260</v>
      </c>
      <c r="B8376" s="2" t="s">
        <v>14429</v>
      </c>
      <c r="C8376" s="2" t="s">
        <v>14426</v>
      </c>
      <c r="D8376" s="2"/>
      <c r="E8376" s="2">
        <v>1</v>
      </c>
      <c r="F8376" s="9"/>
      <c r="G8376" s="8">
        <f t="shared" si="260"/>
        <v>10.827745172651936</v>
      </c>
      <c r="H8376" s="8">
        <v>10.31213825966851</v>
      </c>
      <c r="I8376" s="19">
        <f t="shared" si="261"/>
        <v>0</v>
      </c>
    </row>
    <row r="8377" spans="1:9" hidden="1">
      <c r="A8377" s="11" t="s">
        <v>11260</v>
      </c>
      <c r="B8377" s="2" t="s">
        <v>14430</v>
      </c>
      <c r="C8377" s="2" t="s">
        <v>14428</v>
      </c>
      <c r="D8377" s="2"/>
      <c r="E8377" s="2">
        <v>1</v>
      </c>
      <c r="F8377" s="9"/>
      <c r="G8377" s="8">
        <f t="shared" si="260"/>
        <v>10.83522806496199</v>
      </c>
      <c r="H8377" s="8">
        <v>10.319264823773324</v>
      </c>
      <c r="I8377" s="19">
        <f t="shared" si="261"/>
        <v>0</v>
      </c>
    </row>
    <row r="8378" spans="1:9">
      <c r="A8378" s="11" t="s">
        <v>11260</v>
      </c>
      <c r="B8378" s="2" t="s">
        <v>14431</v>
      </c>
      <c r="C8378" s="2" t="s">
        <v>14426</v>
      </c>
      <c r="D8378" s="2"/>
      <c r="E8378" s="2">
        <v>1</v>
      </c>
      <c r="F8378" s="9">
        <v>96</v>
      </c>
      <c r="G8378" s="8">
        <f t="shared" si="260"/>
        <v>10.832206342657344</v>
      </c>
      <c r="H8378" s="8">
        <v>10.316386993006994</v>
      </c>
      <c r="I8378" s="19">
        <f t="shared" si="261"/>
        <v>1039.891808895105</v>
      </c>
    </row>
    <row r="8379" spans="1:9">
      <c r="A8379" s="11" t="s">
        <v>11260</v>
      </c>
      <c r="B8379" s="2" t="s">
        <v>14432</v>
      </c>
      <c r="C8379" s="2" t="s">
        <v>14428</v>
      </c>
      <c r="D8379" s="2"/>
      <c r="E8379" s="2">
        <v>1</v>
      </c>
      <c r="F8379" s="9">
        <v>96</v>
      </c>
      <c r="G8379" s="8">
        <f t="shared" si="260"/>
        <v>10.824636666666667</v>
      </c>
      <c r="H8379" s="8">
        <v>10.309177777777778</v>
      </c>
      <c r="I8379" s="19">
        <f t="shared" si="261"/>
        <v>1039.1651200000001</v>
      </c>
    </row>
    <row r="8380" spans="1:9" hidden="1">
      <c r="A8380" s="11" t="s">
        <v>11260</v>
      </c>
      <c r="B8380" s="2" t="s">
        <v>14433</v>
      </c>
      <c r="C8380" s="2" t="s">
        <v>14426</v>
      </c>
      <c r="D8380" s="2"/>
      <c r="E8380" s="2">
        <v>1</v>
      </c>
      <c r="F8380" s="9"/>
      <c r="G8380" s="8">
        <f t="shared" si="260"/>
        <v>10.828235373443983</v>
      </c>
      <c r="H8380" s="8">
        <v>10.312605117565697</v>
      </c>
      <c r="I8380" s="19">
        <f t="shared" si="261"/>
        <v>0</v>
      </c>
    </row>
    <row r="8381" spans="1:9" hidden="1">
      <c r="A8381" s="11" t="s">
        <v>11260</v>
      </c>
      <c r="B8381" s="2" t="s">
        <v>14434</v>
      </c>
      <c r="C8381" s="2" t="s">
        <v>14428</v>
      </c>
      <c r="D8381" s="2"/>
      <c r="E8381" s="2">
        <v>1</v>
      </c>
      <c r="F8381" s="9"/>
      <c r="G8381" s="8">
        <f t="shared" si="260"/>
        <v>10.82075214236351</v>
      </c>
      <c r="H8381" s="8">
        <v>10.305478230822391</v>
      </c>
      <c r="I8381" s="19">
        <f t="shared" si="261"/>
        <v>0</v>
      </c>
    </row>
    <row r="8382" spans="1:9" hidden="1">
      <c r="A8382" s="11" t="s">
        <v>11260</v>
      </c>
      <c r="B8382" s="2" t="s">
        <v>14435</v>
      </c>
      <c r="C8382" s="2" t="s">
        <v>14436</v>
      </c>
      <c r="D8382" s="2"/>
      <c r="E8382" s="2">
        <v>1</v>
      </c>
      <c r="F8382" s="9"/>
      <c r="G8382" s="8">
        <f t="shared" si="260"/>
        <v>0.61215000000000008</v>
      </c>
      <c r="H8382" s="8">
        <v>0.58300000000000007</v>
      </c>
      <c r="I8382" s="19">
        <f t="shared" si="261"/>
        <v>0</v>
      </c>
    </row>
    <row r="8383" spans="1:9" hidden="1">
      <c r="A8383" s="11" t="s">
        <v>11260</v>
      </c>
      <c r="B8383" s="2" t="s">
        <v>14437</v>
      </c>
      <c r="C8383" s="2" t="s">
        <v>14438</v>
      </c>
      <c r="D8383" s="2"/>
      <c r="E8383" s="2">
        <v>1</v>
      </c>
      <c r="F8383" s="9"/>
      <c r="G8383" s="8">
        <f t="shared" si="260"/>
        <v>26.132562347675876</v>
      </c>
      <c r="H8383" s="8">
        <v>24.888154616834168</v>
      </c>
      <c r="I8383" s="19">
        <f t="shared" si="261"/>
        <v>0</v>
      </c>
    </row>
    <row r="8384" spans="1:9" hidden="1">
      <c r="A8384" s="11" t="s">
        <v>11260</v>
      </c>
      <c r="B8384" s="2" t="s">
        <v>14439</v>
      </c>
      <c r="C8384" s="2" t="s">
        <v>14440</v>
      </c>
      <c r="D8384" s="2"/>
      <c r="E8384" s="2">
        <v>1</v>
      </c>
      <c r="F8384" s="9"/>
      <c r="G8384" s="8">
        <f t="shared" si="260"/>
        <v>29.656625066309257</v>
      </c>
      <c r="H8384" s="8">
        <v>28.244404825056435</v>
      </c>
      <c r="I8384" s="19">
        <f t="shared" si="261"/>
        <v>0</v>
      </c>
    </row>
    <row r="8385" spans="1:9" hidden="1">
      <c r="A8385" s="11" t="s">
        <v>11260</v>
      </c>
      <c r="B8385" s="2" t="s">
        <v>14441</v>
      </c>
      <c r="C8385" s="2" t="s">
        <v>14442</v>
      </c>
      <c r="D8385" s="2"/>
      <c r="E8385" s="2">
        <v>1</v>
      </c>
      <c r="F8385" s="9"/>
      <c r="G8385" s="8">
        <f t="shared" si="260"/>
        <v>33.138727511503063</v>
      </c>
      <c r="H8385" s="8">
        <v>31.560692868098158</v>
      </c>
      <c r="I8385" s="19">
        <f t="shared" si="261"/>
        <v>0</v>
      </c>
    </row>
    <row r="8386" spans="1:9" hidden="1">
      <c r="A8386" s="11" t="s">
        <v>11260</v>
      </c>
      <c r="B8386" s="2" t="s">
        <v>14443</v>
      </c>
      <c r="C8386" s="2" t="s">
        <v>14444</v>
      </c>
      <c r="D8386" s="2"/>
      <c r="E8386" s="2">
        <v>1</v>
      </c>
      <c r="F8386" s="9"/>
      <c r="G8386" s="8">
        <f t="shared" si="260"/>
        <v>36.667898348924233</v>
      </c>
      <c r="H8386" s="8">
        <v>34.921807951356413</v>
      </c>
      <c r="I8386" s="19">
        <f t="shared" si="261"/>
        <v>0</v>
      </c>
    </row>
    <row r="8387" spans="1:9" hidden="1">
      <c r="A8387" s="11" t="s">
        <v>11260</v>
      </c>
      <c r="B8387" s="2" t="s">
        <v>14445</v>
      </c>
      <c r="C8387" s="2" t="s">
        <v>14446</v>
      </c>
      <c r="D8387" s="2"/>
      <c r="E8387" s="2">
        <v>1</v>
      </c>
      <c r="F8387" s="9"/>
      <c r="G8387" s="8">
        <f t="shared" si="260"/>
        <v>40.153926409648932</v>
      </c>
      <c r="H8387" s="8">
        <v>38.241834675856126</v>
      </c>
      <c r="I8387" s="19">
        <f t="shared" si="261"/>
        <v>0</v>
      </c>
    </row>
    <row r="8388" spans="1:9" hidden="1">
      <c r="A8388" s="11" t="s">
        <v>11260</v>
      </c>
      <c r="B8388" s="2" t="s">
        <v>14447</v>
      </c>
      <c r="C8388" s="2" t="s">
        <v>14448</v>
      </c>
      <c r="D8388" s="2"/>
      <c r="E8388" s="2">
        <v>1</v>
      </c>
      <c r="F8388" s="9"/>
      <c r="G8388" s="8">
        <f t="shared" si="260"/>
        <v>43.702196043165465</v>
      </c>
      <c r="H8388" s="8">
        <v>41.621139088729016</v>
      </c>
      <c r="I8388" s="19">
        <f t="shared" si="261"/>
        <v>0</v>
      </c>
    </row>
    <row r="8389" spans="1:9" hidden="1">
      <c r="A8389" s="11" t="s">
        <v>11260</v>
      </c>
      <c r="B8389" s="2" t="s">
        <v>14449</v>
      </c>
      <c r="C8389" s="2" t="s">
        <v>14450</v>
      </c>
      <c r="D8389" s="2"/>
      <c r="E8389" s="2">
        <v>1</v>
      </c>
      <c r="F8389" s="9"/>
      <c r="G8389" s="8">
        <f t="shared" si="260"/>
        <v>47.199487082479976</v>
      </c>
      <c r="H8389" s="8">
        <v>44.951892459504741</v>
      </c>
      <c r="I8389" s="19">
        <f t="shared" si="261"/>
        <v>0</v>
      </c>
    </row>
    <row r="8390" spans="1:9" hidden="1">
      <c r="A8390" s="11" t="s">
        <v>11260</v>
      </c>
      <c r="B8390" s="2" t="s">
        <v>14451</v>
      </c>
      <c r="C8390" s="2" t="s">
        <v>14452</v>
      </c>
      <c r="D8390" s="2"/>
      <c r="E8390" s="2">
        <v>1</v>
      </c>
      <c r="F8390" s="9"/>
      <c r="G8390" s="8">
        <f t="shared" si="260"/>
        <v>50.750636545708304</v>
      </c>
      <c r="H8390" s="8">
        <v>48.33393956734124</v>
      </c>
      <c r="I8390" s="19">
        <f t="shared" si="261"/>
        <v>0</v>
      </c>
    </row>
    <row r="8391" spans="1:9" hidden="1">
      <c r="A8391" s="11" t="s">
        <v>11260</v>
      </c>
      <c r="B8391" s="2" t="s">
        <v>14453</v>
      </c>
      <c r="C8391" s="2" t="s">
        <v>14454</v>
      </c>
      <c r="D8391" s="2"/>
      <c r="E8391" s="2">
        <v>1</v>
      </c>
      <c r="F8391" s="9"/>
      <c r="G8391" s="8">
        <f t="shared" si="260"/>
        <v>3.5069999999999997</v>
      </c>
      <c r="H8391" s="8">
        <v>3.34</v>
      </c>
      <c r="I8391" s="19">
        <f t="shared" si="261"/>
        <v>0</v>
      </c>
    </row>
    <row r="8392" spans="1:9" hidden="1">
      <c r="A8392" s="11" t="s">
        <v>11260</v>
      </c>
      <c r="B8392" s="2" t="s">
        <v>14455</v>
      </c>
      <c r="C8392" s="2" t="s">
        <v>14456</v>
      </c>
      <c r="D8392" s="2"/>
      <c r="E8392" s="2">
        <v>1</v>
      </c>
      <c r="F8392" s="9"/>
      <c r="G8392" s="8">
        <f t="shared" si="260"/>
        <v>3.3501300000000001</v>
      </c>
      <c r="H8392" s="8">
        <v>3.1905999999999999</v>
      </c>
      <c r="I8392" s="19">
        <f t="shared" si="261"/>
        <v>0</v>
      </c>
    </row>
    <row r="8393" spans="1:9" hidden="1">
      <c r="A8393" s="11" t="s">
        <v>11260</v>
      </c>
      <c r="B8393" s="2" t="s">
        <v>14457</v>
      </c>
      <c r="C8393" s="2" t="s">
        <v>14458</v>
      </c>
      <c r="D8393" s="2"/>
      <c r="E8393" s="2">
        <v>1</v>
      </c>
      <c r="F8393" s="9"/>
      <c r="G8393" s="8">
        <f t="shared" si="260"/>
        <v>5.2533599999999998</v>
      </c>
      <c r="H8393" s="8">
        <v>5.0031999999999996</v>
      </c>
      <c r="I8393" s="19">
        <f t="shared" si="261"/>
        <v>0</v>
      </c>
    </row>
    <row r="8394" spans="1:9" hidden="1">
      <c r="A8394" s="11" t="s">
        <v>11260</v>
      </c>
      <c r="B8394" s="2" t="s">
        <v>14459</v>
      </c>
      <c r="C8394" s="2" t="s">
        <v>14460</v>
      </c>
      <c r="D8394" s="2"/>
      <c r="E8394" s="2">
        <v>1</v>
      </c>
      <c r="F8394" s="9"/>
      <c r="G8394" s="8">
        <f t="shared" si="260"/>
        <v>28.403697697095438</v>
      </c>
      <c r="H8394" s="8">
        <v>27.051140663900419</v>
      </c>
      <c r="I8394" s="19">
        <f t="shared" si="261"/>
        <v>0</v>
      </c>
    </row>
    <row r="8395" spans="1:9" hidden="1">
      <c r="A8395" s="11" t="s">
        <v>11260</v>
      </c>
      <c r="B8395" s="2" t="s">
        <v>14461</v>
      </c>
      <c r="C8395" s="2" t="s">
        <v>14462</v>
      </c>
      <c r="D8395" s="2"/>
      <c r="E8395" s="2">
        <v>1</v>
      </c>
      <c r="F8395" s="9"/>
      <c r="G8395" s="8">
        <f t="shared" si="260"/>
        <v>41.92647016339096</v>
      </c>
      <c r="H8395" s="8">
        <v>39.929971584181864</v>
      </c>
      <c r="I8395" s="19">
        <f t="shared" si="261"/>
        <v>0</v>
      </c>
    </row>
    <row r="8396" spans="1:9" hidden="1">
      <c r="A8396" s="11" t="s">
        <v>11260</v>
      </c>
      <c r="B8396" s="2" t="s">
        <v>14463</v>
      </c>
      <c r="C8396" s="2" t="s">
        <v>14464</v>
      </c>
      <c r="D8396" s="2"/>
      <c r="E8396" s="2">
        <v>1</v>
      </c>
      <c r="F8396" s="9"/>
      <c r="G8396" s="8">
        <f t="shared" si="260"/>
        <v>110.00269131134566</v>
      </c>
      <c r="H8396" s="8">
        <v>104.76446791556729</v>
      </c>
      <c r="I8396" s="19">
        <f t="shared" si="261"/>
        <v>0</v>
      </c>
    </row>
    <row r="8397" spans="1:9" hidden="1">
      <c r="A8397" s="11" t="s">
        <v>11260</v>
      </c>
      <c r="B8397" s="2" t="s">
        <v>14465</v>
      </c>
      <c r="C8397" s="2" t="s">
        <v>14466</v>
      </c>
      <c r="D8397" s="2"/>
      <c r="E8397" s="2">
        <v>1</v>
      </c>
      <c r="F8397" s="9"/>
      <c r="G8397" s="8">
        <f t="shared" si="260"/>
        <v>81.054398421959959</v>
      </c>
      <c r="H8397" s="8">
        <v>77.19466516377139</v>
      </c>
      <c r="I8397" s="19">
        <f t="shared" si="261"/>
        <v>0</v>
      </c>
    </row>
    <row r="8398" spans="1:9" hidden="1">
      <c r="A8398" s="11" t="s">
        <v>11260</v>
      </c>
      <c r="B8398" s="2" t="s">
        <v>14467</v>
      </c>
      <c r="C8398" s="2" t="s">
        <v>14468</v>
      </c>
      <c r="D8398" s="2"/>
      <c r="E8398" s="2">
        <v>1</v>
      </c>
      <c r="F8398" s="9"/>
      <c r="G8398" s="8">
        <f t="shared" si="260"/>
        <v>72.266903353927617</v>
      </c>
      <c r="H8398" s="8">
        <v>68.825622241835831</v>
      </c>
      <c r="I8398" s="19">
        <f t="shared" si="261"/>
        <v>0</v>
      </c>
    </row>
    <row r="8399" spans="1:9" hidden="1">
      <c r="A8399" s="11" t="s">
        <v>11260</v>
      </c>
      <c r="B8399" s="2" t="s">
        <v>14469</v>
      </c>
      <c r="C8399" s="2" t="s">
        <v>14470</v>
      </c>
      <c r="D8399" s="2"/>
      <c r="E8399" s="2">
        <v>1</v>
      </c>
      <c r="F8399" s="9"/>
      <c r="G8399" s="8">
        <f t="shared" si="260"/>
        <v>14.323769458834414</v>
      </c>
      <c r="H8399" s="8">
        <v>13.641685198889919</v>
      </c>
      <c r="I8399" s="19">
        <f t="shared" si="261"/>
        <v>0</v>
      </c>
    </row>
    <row r="8400" spans="1:9" hidden="1">
      <c r="A8400" s="11" t="s">
        <v>11260</v>
      </c>
      <c r="B8400" s="2" t="s">
        <v>14471</v>
      </c>
      <c r="C8400" s="2" t="s">
        <v>14472</v>
      </c>
      <c r="D8400" s="2"/>
      <c r="E8400" s="2">
        <v>1</v>
      </c>
      <c r="F8400" s="9"/>
      <c r="G8400" s="8">
        <f t="shared" si="260"/>
        <v>19.771779619565223</v>
      </c>
      <c r="H8400" s="8">
        <v>18.83026630434783</v>
      </c>
      <c r="I8400" s="19">
        <f t="shared" si="261"/>
        <v>0</v>
      </c>
    </row>
    <row r="8401" spans="1:9" hidden="1">
      <c r="A8401" s="11" t="s">
        <v>11260</v>
      </c>
      <c r="B8401" s="2" t="s">
        <v>14473</v>
      </c>
      <c r="C8401" s="2" t="s">
        <v>14474</v>
      </c>
      <c r="D8401" s="2"/>
      <c r="E8401" s="2">
        <v>1</v>
      </c>
      <c r="F8401" s="9"/>
      <c r="G8401" s="8">
        <f t="shared" si="260"/>
        <v>49.930255989180836</v>
      </c>
      <c r="H8401" s="8">
        <v>47.552624751600796</v>
      </c>
      <c r="I8401" s="19">
        <f t="shared" si="261"/>
        <v>0</v>
      </c>
    </row>
    <row r="8402" spans="1:9" hidden="1">
      <c r="A8402" s="11" t="s">
        <v>11260</v>
      </c>
      <c r="B8402" s="2" t="s">
        <v>14475</v>
      </c>
      <c r="C8402" s="2" t="s">
        <v>14476</v>
      </c>
      <c r="D8402" s="2"/>
      <c r="E8402" s="2">
        <v>1</v>
      </c>
      <c r="F8402" s="9"/>
      <c r="G8402" s="8">
        <f t="shared" si="260"/>
        <v>39.876610283787571</v>
      </c>
      <c r="H8402" s="8">
        <v>37.977724079797689</v>
      </c>
      <c r="I8402" s="19">
        <f t="shared" si="261"/>
        <v>0</v>
      </c>
    </row>
    <row r="8403" spans="1:9" hidden="1">
      <c r="A8403" s="11" t="s">
        <v>11260</v>
      </c>
      <c r="B8403" s="2" t="s">
        <v>14477</v>
      </c>
      <c r="C8403" s="2" t="s">
        <v>14478</v>
      </c>
      <c r="D8403" s="2"/>
      <c r="E8403" s="2">
        <v>1</v>
      </c>
      <c r="F8403" s="9"/>
      <c r="G8403" s="8">
        <f t="shared" si="260"/>
        <v>39.876610283787571</v>
      </c>
      <c r="H8403" s="8">
        <v>37.977724079797689</v>
      </c>
      <c r="I8403" s="19">
        <f t="shared" si="261"/>
        <v>0</v>
      </c>
    </row>
    <row r="8404" spans="1:9">
      <c r="A8404" s="11" t="s">
        <v>11260</v>
      </c>
      <c r="B8404" s="2" t="s">
        <v>14479</v>
      </c>
      <c r="C8404" s="2" t="s">
        <v>14480</v>
      </c>
      <c r="D8404" s="2"/>
      <c r="E8404" s="2">
        <v>1</v>
      </c>
      <c r="F8404" s="9">
        <v>77</v>
      </c>
      <c r="G8404" s="8">
        <f t="shared" si="260"/>
        <v>18.099740074257429</v>
      </c>
      <c r="H8404" s="8">
        <v>17.23784768976898</v>
      </c>
      <c r="I8404" s="19">
        <f t="shared" si="261"/>
        <v>1393.6799857178221</v>
      </c>
    </row>
    <row r="8405" spans="1:9" hidden="1">
      <c r="A8405" s="11" t="s">
        <v>11260</v>
      </c>
      <c r="B8405" s="2" t="s">
        <v>14481</v>
      </c>
      <c r="C8405" s="2" t="s">
        <v>14482</v>
      </c>
      <c r="D8405" s="2"/>
      <c r="E8405" s="2">
        <v>1</v>
      </c>
      <c r="F8405" s="9"/>
      <c r="G8405" s="8">
        <f t="shared" si="260"/>
        <v>40.894465533980579</v>
      </c>
      <c r="H8405" s="8">
        <v>38.94711003236246</v>
      </c>
      <c r="I8405" s="19">
        <f t="shared" si="261"/>
        <v>0</v>
      </c>
    </row>
    <row r="8406" spans="1:9" hidden="1">
      <c r="A8406" s="11" t="s">
        <v>11260</v>
      </c>
      <c r="B8406" s="2" t="s">
        <v>14483</v>
      </c>
      <c r="C8406" s="2" t="s">
        <v>14484</v>
      </c>
      <c r="D8406" s="2"/>
      <c r="E8406" s="2">
        <v>1</v>
      </c>
      <c r="F8406" s="9"/>
      <c r="G8406" s="8">
        <f t="shared" si="260"/>
        <v>40.894465533980579</v>
      </c>
      <c r="H8406" s="8">
        <v>38.94711003236246</v>
      </c>
      <c r="I8406" s="19">
        <f t="shared" si="261"/>
        <v>0</v>
      </c>
    </row>
    <row r="8407" spans="1:9" hidden="1">
      <c r="A8407" s="11" t="s">
        <v>11260</v>
      </c>
      <c r="B8407" s="2" t="s">
        <v>14485</v>
      </c>
      <c r="C8407" s="2" t="s">
        <v>14486</v>
      </c>
      <c r="D8407" s="2"/>
      <c r="E8407" s="2">
        <v>1</v>
      </c>
      <c r="F8407" s="9"/>
      <c r="G8407" s="8">
        <f t="shared" si="260"/>
        <v>40.187382465611222</v>
      </c>
      <c r="H8407" s="8">
        <v>38.2736975862964</v>
      </c>
      <c r="I8407" s="19">
        <f t="shared" si="261"/>
        <v>0</v>
      </c>
    </row>
    <row r="8408" spans="1:9" hidden="1">
      <c r="A8408" s="11" t="s">
        <v>11260</v>
      </c>
      <c r="B8408" s="2" t="s">
        <v>14487</v>
      </c>
      <c r="C8408" s="2" t="s">
        <v>14488</v>
      </c>
      <c r="D8408" s="2"/>
      <c r="E8408" s="2">
        <v>1</v>
      </c>
      <c r="F8408" s="9"/>
      <c r="G8408" s="8">
        <f t="shared" ref="G8408:G8471" si="262">H8408+(H8408*5%)</f>
        <v>40.187382465611222</v>
      </c>
      <c r="H8408" s="8">
        <v>38.2736975862964</v>
      </c>
      <c r="I8408" s="19">
        <f t="shared" ref="I8408:I8471" si="263">G8408*F8408</f>
        <v>0</v>
      </c>
    </row>
    <row r="8409" spans="1:9">
      <c r="A8409" s="11" t="s">
        <v>11260</v>
      </c>
      <c r="B8409" s="2" t="s">
        <v>14489</v>
      </c>
      <c r="C8409" s="2" t="s">
        <v>14490</v>
      </c>
      <c r="D8409" s="2"/>
      <c r="E8409" s="2">
        <v>1</v>
      </c>
      <c r="F8409" s="9">
        <v>76</v>
      </c>
      <c r="G8409" s="8">
        <f t="shared" si="262"/>
        <v>18.099740074257429</v>
      </c>
      <c r="H8409" s="8">
        <v>17.23784768976898</v>
      </c>
      <c r="I8409" s="19">
        <f t="shared" si="263"/>
        <v>1375.5802456435647</v>
      </c>
    </row>
    <row r="8410" spans="1:9" hidden="1">
      <c r="A8410" s="11" t="s">
        <v>11260</v>
      </c>
      <c r="B8410" s="2" t="s">
        <v>14491</v>
      </c>
      <c r="C8410" s="2" t="s">
        <v>14492</v>
      </c>
      <c r="D8410" s="2"/>
      <c r="E8410" s="2">
        <v>1</v>
      </c>
      <c r="F8410" s="9"/>
      <c r="G8410" s="8">
        <f t="shared" si="262"/>
        <v>36.623131360806404</v>
      </c>
      <c r="H8410" s="8">
        <v>34.879172724577529</v>
      </c>
      <c r="I8410" s="19">
        <f t="shared" si="263"/>
        <v>0</v>
      </c>
    </row>
    <row r="8411" spans="1:9" hidden="1">
      <c r="A8411" s="11" t="s">
        <v>11260</v>
      </c>
      <c r="B8411" s="2" t="s">
        <v>14493</v>
      </c>
      <c r="C8411" s="2" t="s">
        <v>14494</v>
      </c>
      <c r="D8411" s="2"/>
      <c r="E8411" s="2">
        <v>1</v>
      </c>
      <c r="F8411" s="9"/>
      <c r="G8411" s="8">
        <f t="shared" si="262"/>
        <v>36.623131360806404</v>
      </c>
      <c r="H8411" s="8">
        <v>34.879172724577529</v>
      </c>
      <c r="I8411" s="19">
        <f t="shared" si="263"/>
        <v>0</v>
      </c>
    </row>
    <row r="8412" spans="1:9" hidden="1">
      <c r="A8412" s="11" t="s">
        <v>11260</v>
      </c>
      <c r="B8412" s="2" t="s">
        <v>14495</v>
      </c>
      <c r="C8412" s="2" t="s">
        <v>14496</v>
      </c>
      <c r="D8412" s="2"/>
      <c r="E8412" s="2">
        <v>1</v>
      </c>
      <c r="F8412" s="9"/>
      <c r="G8412" s="8">
        <f t="shared" si="262"/>
        <v>36.623131360806404</v>
      </c>
      <c r="H8412" s="8">
        <v>34.879172724577529</v>
      </c>
      <c r="I8412" s="19">
        <f t="shared" si="263"/>
        <v>0</v>
      </c>
    </row>
    <row r="8413" spans="1:9" hidden="1">
      <c r="A8413" s="11" t="s">
        <v>11260</v>
      </c>
      <c r="B8413" s="2" t="s">
        <v>14497</v>
      </c>
      <c r="C8413" s="2" t="s">
        <v>14498</v>
      </c>
      <c r="D8413" s="2"/>
      <c r="E8413" s="2">
        <v>1</v>
      </c>
      <c r="F8413" s="9"/>
      <c r="G8413" s="8">
        <f t="shared" si="262"/>
        <v>36.623131360806404</v>
      </c>
      <c r="H8413" s="8">
        <v>34.879172724577529</v>
      </c>
      <c r="I8413" s="19">
        <f t="shared" si="263"/>
        <v>0</v>
      </c>
    </row>
    <row r="8414" spans="1:9" hidden="1">
      <c r="A8414" s="11" t="s">
        <v>11260</v>
      </c>
      <c r="B8414" s="2" t="s">
        <v>14499</v>
      </c>
      <c r="C8414" s="2" t="s">
        <v>14500</v>
      </c>
      <c r="D8414" s="2"/>
      <c r="E8414" s="2">
        <v>1</v>
      </c>
      <c r="F8414" s="9"/>
      <c r="G8414" s="8">
        <f t="shared" si="262"/>
        <v>2.6489400000000001</v>
      </c>
      <c r="H8414" s="8">
        <v>2.5228000000000002</v>
      </c>
      <c r="I8414" s="19">
        <f t="shared" si="263"/>
        <v>0</v>
      </c>
    </row>
    <row r="8415" spans="1:9" hidden="1">
      <c r="A8415" s="11" t="s">
        <v>11260</v>
      </c>
      <c r="B8415" s="2" t="s">
        <v>14501</v>
      </c>
      <c r="C8415" s="2" t="s">
        <v>14502</v>
      </c>
      <c r="D8415" s="2"/>
      <c r="E8415" s="2">
        <v>1</v>
      </c>
      <c r="F8415" s="9"/>
      <c r="G8415" s="8">
        <f t="shared" si="262"/>
        <v>42.391922624699916</v>
      </c>
      <c r="H8415" s="8">
        <v>40.373259642571348</v>
      </c>
      <c r="I8415" s="19">
        <f t="shared" si="263"/>
        <v>0</v>
      </c>
    </row>
    <row r="8416" spans="1:9" hidden="1">
      <c r="A8416" s="11" t="s">
        <v>11260</v>
      </c>
      <c r="B8416" s="2" t="s">
        <v>14503</v>
      </c>
      <c r="C8416" s="2" t="s">
        <v>14504</v>
      </c>
      <c r="D8416" s="2"/>
      <c r="E8416" s="2">
        <v>1</v>
      </c>
      <c r="F8416" s="9"/>
      <c r="G8416" s="8">
        <f t="shared" si="262"/>
        <v>47.582636440677966</v>
      </c>
      <c r="H8416" s="8">
        <v>45.31679661016949</v>
      </c>
      <c r="I8416" s="19">
        <f t="shared" si="263"/>
        <v>0</v>
      </c>
    </row>
    <row r="8417" spans="1:9" hidden="1">
      <c r="A8417" s="11" t="s">
        <v>11260</v>
      </c>
      <c r="B8417" s="2" t="s">
        <v>14505</v>
      </c>
      <c r="C8417" s="2" t="s">
        <v>14506</v>
      </c>
      <c r="D8417" s="2"/>
      <c r="E8417" s="2">
        <v>1</v>
      </c>
      <c r="F8417" s="9"/>
      <c r="G8417" s="8">
        <f t="shared" si="262"/>
        <v>42.4494578074153</v>
      </c>
      <c r="H8417" s="8">
        <v>40.428055054681238</v>
      </c>
      <c r="I8417" s="19">
        <f t="shared" si="263"/>
        <v>0</v>
      </c>
    </row>
    <row r="8418" spans="1:9" hidden="1">
      <c r="A8418" s="11" t="s">
        <v>11260</v>
      </c>
      <c r="B8418" s="2" t="s">
        <v>14507</v>
      </c>
      <c r="C8418" s="2" t="s">
        <v>14508</v>
      </c>
      <c r="D8418" s="2"/>
      <c r="E8418" s="2">
        <v>1</v>
      </c>
      <c r="F8418" s="9"/>
      <c r="G8418" s="8">
        <f t="shared" si="262"/>
        <v>47.559621864406779</v>
      </c>
      <c r="H8418" s="8">
        <v>45.294877966101694</v>
      </c>
      <c r="I8418" s="19">
        <f t="shared" si="263"/>
        <v>0</v>
      </c>
    </row>
    <row r="8419" spans="1:9" hidden="1">
      <c r="A8419" s="11" t="s">
        <v>11260</v>
      </c>
      <c r="B8419" s="2" t="s">
        <v>14509</v>
      </c>
      <c r="C8419" s="2" t="s">
        <v>14510</v>
      </c>
      <c r="D8419" s="2"/>
      <c r="E8419" s="2">
        <v>1</v>
      </c>
      <c r="F8419" s="9"/>
      <c r="G8419" s="8">
        <f t="shared" si="262"/>
        <v>11.011713980028533</v>
      </c>
      <c r="H8419" s="8">
        <v>10.487346647646222</v>
      </c>
      <c r="I8419" s="19">
        <f t="shared" si="263"/>
        <v>0</v>
      </c>
    </row>
    <row r="8420" spans="1:9">
      <c r="A8420" s="11" t="s">
        <v>11260</v>
      </c>
      <c r="B8420" s="2" t="s">
        <v>14511</v>
      </c>
      <c r="C8420" s="2" t="s">
        <v>14512</v>
      </c>
      <c r="D8420" s="2"/>
      <c r="E8420" s="2">
        <v>1</v>
      </c>
      <c r="F8420" s="9">
        <v>7</v>
      </c>
      <c r="G8420" s="8">
        <f t="shared" si="262"/>
        <v>38.744999999999997</v>
      </c>
      <c r="H8420" s="8">
        <v>36.9</v>
      </c>
      <c r="I8420" s="19">
        <f t="shared" si="263"/>
        <v>271.21499999999997</v>
      </c>
    </row>
    <row r="8421" spans="1:9" hidden="1">
      <c r="A8421" s="11" t="s">
        <v>11260</v>
      </c>
      <c r="B8421" s="2" t="s">
        <v>14513</v>
      </c>
      <c r="C8421" s="2" t="s">
        <v>14514</v>
      </c>
      <c r="D8421" s="2"/>
      <c r="E8421" s="2">
        <v>1</v>
      </c>
      <c r="F8421" s="9"/>
      <c r="G8421" s="8">
        <f t="shared" si="262"/>
        <v>18.28853775</v>
      </c>
      <c r="H8421" s="8">
        <v>17.417655</v>
      </c>
      <c r="I8421" s="19">
        <f t="shared" si="263"/>
        <v>0</v>
      </c>
    </row>
    <row r="8422" spans="1:9" hidden="1">
      <c r="A8422" s="11" t="s">
        <v>11260</v>
      </c>
      <c r="B8422" s="2" t="s">
        <v>14515</v>
      </c>
      <c r="C8422" s="2" t="s">
        <v>14516</v>
      </c>
      <c r="D8422" s="2"/>
      <c r="E8422" s="2">
        <v>1</v>
      </c>
      <c r="F8422" s="9"/>
      <c r="G8422" s="8">
        <f t="shared" si="262"/>
        <v>47.45923801959114</v>
      </c>
      <c r="H8422" s="8">
        <v>45.199274304372516</v>
      </c>
      <c r="I8422" s="19">
        <f t="shared" si="263"/>
        <v>0</v>
      </c>
    </row>
    <row r="8423" spans="1:9" hidden="1">
      <c r="A8423" s="11" t="s">
        <v>11260</v>
      </c>
      <c r="B8423" s="2" t="s">
        <v>14517</v>
      </c>
      <c r="C8423" s="2" t="s">
        <v>14518</v>
      </c>
      <c r="D8423" s="2"/>
      <c r="E8423" s="2">
        <v>1</v>
      </c>
      <c r="F8423" s="9"/>
      <c r="G8423" s="8">
        <f t="shared" si="262"/>
        <v>18.353369999999998</v>
      </c>
      <c r="H8423" s="8">
        <v>17.479399999999998</v>
      </c>
      <c r="I8423" s="19">
        <f t="shared" si="263"/>
        <v>0</v>
      </c>
    </row>
    <row r="8424" spans="1:9" hidden="1">
      <c r="A8424" s="11" t="s">
        <v>11260</v>
      </c>
      <c r="B8424" s="2" t="s">
        <v>14519</v>
      </c>
      <c r="C8424" s="2" t="s">
        <v>14520</v>
      </c>
      <c r="D8424" s="2"/>
      <c r="E8424" s="2">
        <v>1</v>
      </c>
      <c r="F8424" s="9"/>
      <c r="G8424" s="8">
        <f t="shared" si="262"/>
        <v>28.930404182135845</v>
      </c>
      <c r="H8424" s="8">
        <v>27.552765887748425</v>
      </c>
      <c r="I8424" s="19">
        <f t="shared" si="263"/>
        <v>0</v>
      </c>
    </row>
    <row r="8425" spans="1:9" hidden="1">
      <c r="A8425" s="11" t="s">
        <v>11260</v>
      </c>
      <c r="B8425" s="2" t="s">
        <v>14521</v>
      </c>
      <c r="C8425" s="2" t="s">
        <v>14522</v>
      </c>
      <c r="D8425" s="2"/>
      <c r="E8425" s="2">
        <v>1</v>
      </c>
      <c r="F8425" s="9"/>
      <c r="G8425" s="8">
        <f t="shared" si="262"/>
        <v>0.90876902439024387</v>
      </c>
      <c r="H8425" s="8">
        <v>0.86549430894308943</v>
      </c>
      <c r="I8425" s="19">
        <f t="shared" si="263"/>
        <v>0</v>
      </c>
    </row>
    <row r="8426" spans="1:9" hidden="1">
      <c r="A8426" s="11" t="s">
        <v>11260</v>
      </c>
      <c r="B8426" s="2" t="s">
        <v>14523</v>
      </c>
      <c r="C8426" s="2" t="s">
        <v>14524</v>
      </c>
      <c r="D8426" s="2"/>
      <c r="E8426" s="2">
        <v>1</v>
      </c>
      <c r="F8426" s="9"/>
      <c r="G8426" s="8">
        <f t="shared" si="262"/>
        <v>1.2700868292682927</v>
      </c>
      <c r="H8426" s="8">
        <v>1.2096065040650408</v>
      </c>
      <c r="I8426" s="19">
        <f t="shared" si="263"/>
        <v>0</v>
      </c>
    </row>
    <row r="8427" spans="1:9" hidden="1">
      <c r="A8427" s="11" t="s">
        <v>11260</v>
      </c>
      <c r="B8427" s="2" t="s">
        <v>14525</v>
      </c>
      <c r="C8427" s="2" t="s">
        <v>14526</v>
      </c>
      <c r="D8427" s="2"/>
      <c r="E8427" s="2">
        <v>1</v>
      </c>
      <c r="F8427" s="9"/>
      <c r="G8427" s="8">
        <f t="shared" si="262"/>
        <v>9.1806447115384628</v>
      </c>
      <c r="H8427" s="8">
        <v>8.7434711538461549</v>
      </c>
      <c r="I8427" s="19">
        <f t="shared" si="263"/>
        <v>0</v>
      </c>
    </row>
    <row r="8428" spans="1:9" hidden="1">
      <c r="A8428" s="11" t="s">
        <v>11260</v>
      </c>
      <c r="B8428" s="2" t="s">
        <v>14527</v>
      </c>
      <c r="C8428" s="2" t="s">
        <v>14528</v>
      </c>
      <c r="D8428" s="2"/>
      <c r="E8428" s="2">
        <v>1</v>
      </c>
      <c r="F8428" s="9"/>
      <c r="G8428" s="8">
        <f t="shared" si="262"/>
        <v>9.1806447115384628</v>
      </c>
      <c r="H8428" s="8">
        <v>8.7434711538461549</v>
      </c>
      <c r="I8428" s="19">
        <f t="shared" si="263"/>
        <v>0</v>
      </c>
    </row>
    <row r="8429" spans="1:9" hidden="1">
      <c r="A8429" s="11" t="s">
        <v>11260</v>
      </c>
      <c r="B8429" s="2" t="s">
        <v>14529</v>
      </c>
      <c r="C8429" s="2" t="s">
        <v>14530</v>
      </c>
      <c r="D8429" s="2"/>
      <c r="E8429" s="2">
        <v>1</v>
      </c>
      <c r="F8429" s="9"/>
      <c r="G8429" s="8">
        <f t="shared" si="262"/>
        <v>32.423999999999999</v>
      </c>
      <c r="H8429" s="8">
        <v>30.88</v>
      </c>
      <c r="I8429" s="19">
        <f t="shared" si="263"/>
        <v>0</v>
      </c>
    </row>
    <row r="8430" spans="1:9" hidden="1">
      <c r="A8430" s="11" t="s">
        <v>11260</v>
      </c>
      <c r="B8430" s="2" t="s">
        <v>14531</v>
      </c>
      <c r="C8430" s="2" t="s">
        <v>14532</v>
      </c>
      <c r="D8430" s="2"/>
      <c r="E8430" s="2">
        <v>1</v>
      </c>
      <c r="F8430" s="9"/>
      <c r="G8430" s="8">
        <f t="shared" si="262"/>
        <v>62.843344231738044</v>
      </c>
      <c r="H8430" s="8">
        <v>59.850804030226712</v>
      </c>
      <c r="I8430" s="19">
        <f t="shared" si="263"/>
        <v>0</v>
      </c>
    </row>
    <row r="8431" spans="1:9">
      <c r="A8431" s="11" t="s">
        <v>11260</v>
      </c>
      <c r="B8431" s="2" t="s">
        <v>14533</v>
      </c>
      <c r="C8431" s="2" t="s">
        <v>14534</v>
      </c>
      <c r="D8431" s="2"/>
      <c r="E8431" s="2">
        <v>1</v>
      </c>
      <c r="F8431" s="9">
        <v>24</v>
      </c>
      <c r="G8431" s="8">
        <f t="shared" si="262"/>
        <v>36.730174862213929</v>
      </c>
      <c r="H8431" s="8">
        <v>34.981118916394216</v>
      </c>
      <c r="I8431" s="19">
        <f t="shared" si="263"/>
        <v>881.52419669313429</v>
      </c>
    </row>
    <row r="8432" spans="1:9" hidden="1">
      <c r="A8432" s="11" t="s">
        <v>11260</v>
      </c>
      <c r="B8432" s="2" t="s">
        <v>14535</v>
      </c>
      <c r="C8432" s="2" t="s">
        <v>14536</v>
      </c>
      <c r="D8432" s="2"/>
      <c r="E8432" s="2">
        <v>1</v>
      </c>
      <c r="F8432" s="9"/>
      <c r="G8432" s="8">
        <f t="shared" si="262"/>
        <v>51.642823909090914</v>
      </c>
      <c r="H8432" s="8">
        <v>49.183641818181826</v>
      </c>
      <c r="I8432" s="19">
        <f t="shared" si="263"/>
        <v>0</v>
      </c>
    </row>
    <row r="8433" spans="1:9">
      <c r="A8433" s="11" t="s">
        <v>11260</v>
      </c>
      <c r="B8433" s="2" t="s">
        <v>14537</v>
      </c>
      <c r="C8433" s="2" t="s">
        <v>14538</v>
      </c>
      <c r="D8433" s="2"/>
      <c r="E8433" s="2">
        <v>1</v>
      </c>
      <c r="F8433" s="9">
        <v>9</v>
      </c>
      <c r="G8433" s="8">
        <f t="shared" si="262"/>
        <v>8.6814</v>
      </c>
      <c r="H8433" s="8">
        <v>8.2680000000000007</v>
      </c>
      <c r="I8433" s="19">
        <f t="shared" si="263"/>
        <v>78.132599999999996</v>
      </c>
    </row>
    <row r="8434" spans="1:9" hidden="1">
      <c r="A8434" s="11" t="s">
        <v>11260</v>
      </c>
      <c r="B8434" s="2" t="s">
        <v>14539</v>
      </c>
      <c r="C8434" s="2" t="s">
        <v>14540</v>
      </c>
      <c r="D8434" s="2"/>
      <c r="E8434" s="2">
        <v>1</v>
      </c>
      <c r="F8434" s="9"/>
      <c r="G8434" s="8">
        <f t="shared" si="262"/>
        <v>16.609158206106869</v>
      </c>
      <c r="H8434" s="8">
        <v>15.81824591057797</v>
      </c>
      <c r="I8434" s="19">
        <f t="shared" si="263"/>
        <v>0</v>
      </c>
    </row>
    <row r="8435" spans="1:9" hidden="1">
      <c r="A8435" s="11" t="s">
        <v>11260</v>
      </c>
      <c r="B8435" s="2" t="s">
        <v>14541</v>
      </c>
      <c r="C8435" s="2" t="s">
        <v>14542</v>
      </c>
      <c r="D8435" s="2"/>
      <c r="E8435" s="2">
        <v>1</v>
      </c>
      <c r="F8435" s="9"/>
      <c r="G8435" s="8">
        <f t="shared" si="262"/>
        <v>38.013622406914905</v>
      </c>
      <c r="H8435" s="8">
        <v>36.203449911347526</v>
      </c>
      <c r="I8435" s="19">
        <f t="shared" si="263"/>
        <v>0</v>
      </c>
    </row>
    <row r="8436" spans="1:9" hidden="1">
      <c r="A8436" s="11" t="s">
        <v>11260</v>
      </c>
      <c r="B8436" s="2" t="s">
        <v>14543</v>
      </c>
      <c r="C8436" s="2" t="s">
        <v>14544</v>
      </c>
      <c r="D8436" s="2"/>
      <c r="E8436" s="2">
        <v>1</v>
      </c>
      <c r="F8436" s="9"/>
      <c r="G8436" s="8">
        <f t="shared" si="262"/>
        <v>27.696424953959486</v>
      </c>
      <c r="H8436" s="8">
        <v>26.377547575199511</v>
      </c>
      <c r="I8436" s="19">
        <f t="shared" si="263"/>
        <v>0</v>
      </c>
    </row>
    <row r="8437" spans="1:9" hidden="1">
      <c r="A8437" s="11" t="s">
        <v>11260</v>
      </c>
      <c r="B8437" s="2" t="s">
        <v>14545</v>
      </c>
      <c r="C8437" s="2" t="s">
        <v>14546</v>
      </c>
      <c r="D8437" s="2"/>
      <c r="E8437" s="2">
        <v>1</v>
      </c>
      <c r="F8437" s="9"/>
      <c r="G8437" s="8">
        <f t="shared" si="262"/>
        <v>36.818087647831803</v>
      </c>
      <c r="H8437" s="8">
        <v>35.064845378887433</v>
      </c>
      <c r="I8437" s="19">
        <f t="shared" si="263"/>
        <v>0</v>
      </c>
    </row>
    <row r="8438" spans="1:9" hidden="1">
      <c r="A8438" s="11" t="s">
        <v>11260</v>
      </c>
      <c r="B8438" s="2" t="s">
        <v>14547</v>
      </c>
      <c r="C8438" s="2" t="s">
        <v>14548</v>
      </c>
      <c r="D8438" s="2"/>
      <c r="E8438" s="2">
        <v>1</v>
      </c>
      <c r="F8438" s="9"/>
      <c r="G8438" s="8">
        <f t="shared" si="262"/>
        <v>39.756213552081263</v>
      </c>
      <c r="H8438" s="8">
        <v>37.863060525791681</v>
      </c>
      <c r="I8438" s="19">
        <f t="shared" si="263"/>
        <v>0</v>
      </c>
    </row>
    <row r="8439" spans="1:9">
      <c r="A8439" s="11" t="s">
        <v>11260</v>
      </c>
      <c r="B8439" s="2" t="s">
        <v>14549</v>
      </c>
      <c r="C8439" s="2" t="s">
        <v>14550</v>
      </c>
      <c r="D8439" s="2"/>
      <c r="E8439" s="2">
        <v>1</v>
      </c>
      <c r="F8439" s="9">
        <v>57</v>
      </c>
      <c r="G8439" s="8">
        <f t="shared" si="262"/>
        <v>43.679284216438354</v>
      </c>
      <c r="H8439" s="8">
        <v>41.599318301369863</v>
      </c>
      <c r="I8439" s="19">
        <f t="shared" si="263"/>
        <v>2489.719200336986</v>
      </c>
    </row>
    <row r="8440" spans="1:9" hidden="1">
      <c r="A8440" s="11" t="s">
        <v>11260</v>
      </c>
      <c r="B8440" s="2" t="s">
        <v>14551</v>
      </c>
      <c r="C8440" s="2" t="s">
        <v>14552</v>
      </c>
      <c r="D8440" s="2"/>
      <c r="E8440" s="2">
        <v>1</v>
      </c>
      <c r="F8440" s="9"/>
      <c r="G8440" s="8">
        <f t="shared" si="262"/>
        <v>47.283865740303547</v>
      </c>
      <c r="H8440" s="8">
        <v>45.032253086003379</v>
      </c>
      <c r="I8440" s="19">
        <f t="shared" si="263"/>
        <v>0</v>
      </c>
    </row>
    <row r="8441" spans="1:9" hidden="1">
      <c r="A8441" s="11" t="s">
        <v>11260</v>
      </c>
      <c r="B8441" s="2" t="s">
        <v>14553</v>
      </c>
      <c r="C8441" s="2" t="s">
        <v>14554</v>
      </c>
      <c r="D8441" s="2"/>
      <c r="E8441" s="2">
        <v>1</v>
      </c>
      <c r="F8441" s="9"/>
      <c r="G8441" s="8">
        <f t="shared" si="262"/>
        <v>48.314041150059666</v>
      </c>
      <c r="H8441" s="8">
        <v>46.013372523866352</v>
      </c>
      <c r="I8441" s="19">
        <f t="shared" si="263"/>
        <v>0</v>
      </c>
    </row>
    <row r="8442" spans="1:9" hidden="1">
      <c r="A8442" s="11" t="s">
        <v>11260</v>
      </c>
      <c r="B8442" s="2" t="s">
        <v>14555</v>
      </c>
      <c r="C8442" s="2" t="s">
        <v>14556</v>
      </c>
      <c r="D8442" s="2"/>
      <c r="E8442" s="2">
        <v>1</v>
      </c>
      <c r="F8442" s="9"/>
      <c r="G8442" s="8">
        <f t="shared" si="262"/>
        <v>71.111608591766071</v>
      </c>
      <c r="H8442" s="8">
        <v>67.725341515967685</v>
      </c>
      <c r="I8442" s="19">
        <f t="shared" si="263"/>
        <v>0</v>
      </c>
    </row>
    <row r="8443" spans="1:9" hidden="1">
      <c r="A8443" s="11" t="s">
        <v>11260</v>
      </c>
      <c r="B8443" s="2" t="s">
        <v>14557</v>
      </c>
      <c r="C8443" s="2" t="s">
        <v>14558</v>
      </c>
      <c r="D8443" s="2"/>
      <c r="E8443" s="2">
        <v>1</v>
      </c>
      <c r="F8443" s="9"/>
      <c r="G8443" s="8">
        <f t="shared" si="262"/>
        <v>0.74571000000000009</v>
      </c>
      <c r="H8443" s="8">
        <v>0.71020000000000005</v>
      </c>
      <c r="I8443" s="19">
        <f t="shared" si="263"/>
        <v>0</v>
      </c>
    </row>
    <row r="8444" spans="1:9" hidden="1">
      <c r="A8444" s="11" t="s">
        <v>11260</v>
      </c>
      <c r="B8444" s="2" t="s">
        <v>14559</v>
      </c>
      <c r="C8444" s="2" t="s">
        <v>14560</v>
      </c>
      <c r="D8444" s="2"/>
      <c r="E8444" s="2">
        <v>1</v>
      </c>
      <c r="F8444" s="9"/>
      <c r="G8444" s="8">
        <f t="shared" si="262"/>
        <v>14.502833357475428</v>
      </c>
      <c r="H8444" s="8">
        <v>13.812222245214693</v>
      </c>
      <c r="I8444" s="19">
        <f t="shared" si="263"/>
        <v>0</v>
      </c>
    </row>
    <row r="8445" spans="1:9" hidden="1">
      <c r="A8445" s="11" t="s">
        <v>11260</v>
      </c>
      <c r="B8445" s="2" t="s">
        <v>14561</v>
      </c>
      <c r="C8445" s="2" t="s">
        <v>14562</v>
      </c>
      <c r="D8445" s="2"/>
      <c r="E8445" s="2">
        <v>1</v>
      </c>
      <c r="F8445" s="9"/>
      <c r="G8445" s="8">
        <f t="shared" si="262"/>
        <v>15.425071107011069</v>
      </c>
      <c r="H8445" s="8">
        <v>14.690543911439114</v>
      </c>
      <c r="I8445" s="19">
        <f t="shared" si="263"/>
        <v>0</v>
      </c>
    </row>
    <row r="8446" spans="1:9">
      <c r="A8446" s="11" t="s">
        <v>11260</v>
      </c>
      <c r="B8446" s="2" t="s">
        <v>14563</v>
      </c>
      <c r="C8446" s="2" t="s">
        <v>14564</v>
      </c>
      <c r="D8446" s="2"/>
      <c r="E8446" s="2">
        <v>1</v>
      </c>
      <c r="F8446" s="9">
        <v>4</v>
      </c>
      <c r="G8446" s="8">
        <f t="shared" si="262"/>
        <v>195.55310190980748</v>
      </c>
      <c r="H8446" s="8">
        <v>186.2410494379119</v>
      </c>
      <c r="I8446" s="19">
        <f t="shared" si="263"/>
        <v>782.21240763922992</v>
      </c>
    </row>
    <row r="8447" spans="1:9">
      <c r="A8447" s="11" t="s">
        <v>11260</v>
      </c>
      <c r="B8447" s="2" t="s">
        <v>14565</v>
      </c>
      <c r="C8447" s="2" t="s">
        <v>14566</v>
      </c>
      <c r="D8447" s="2"/>
      <c r="E8447" s="2">
        <v>1</v>
      </c>
      <c r="F8447" s="9">
        <v>10</v>
      </c>
      <c r="G8447" s="8">
        <f t="shared" si="262"/>
        <v>260.72739567787579</v>
      </c>
      <c r="H8447" s="8">
        <v>248.31180540750077</v>
      </c>
      <c r="I8447" s="19">
        <f t="shared" si="263"/>
        <v>2607.273956778758</v>
      </c>
    </row>
    <row r="8448" spans="1:9" hidden="1">
      <c r="A8448" s="11" t="s">
        <v>11260</v>
      </c>
      <c r="B8448" s="2" t="s">
        <v>14567</v>
      </c>
      <c r="C8448" s="2" t="s">
        <v>14568</v>
      </c>
      <c r="D8448" s="2"/>
      <c r="E8448" s="2">
        <v>1</v>
      </c>
      <c r="F8448" s="9"/>
      <c r="G8448" s="8">
        <f t="shared" si="262"/>
        <v>80.167500000000004</v>
      </c>
      <c r="H8448" s="8">
        <v>76.350000000000009</v>
      </c>
      <c r="I8448" s="19">
        <f t="shared" si="263"/>
        <v>0</v>
      </c>
    </row>
    <row r="8449" spans="1:9" hidden="1">
      <c r="A8449" s="11" t="s">
        <v>11260</v>
      </c>
      <c r="B8449" s="2" t="s">
        <v>14569</v>
      </c>
      <c r="C8449" s="2" t="s">
        <v>14570</v>
      </c>
      <c r="D8449" s="2"/>
      <c r="E8449" s="2">
        <v>1</v>
      </c>
      <c r="F8449" s="9"/>
      <c r="G8449" s="8">
        <f t="shared" si="262"/>
        <v>106.88536795295089</v>
      </c>
      <c r="H8449" s="8">
        <v>101.79558852661989</v>
      </c>
      <c r="I8449" s="19">
        <f t="shared" si="263"/>
        <v>0</v>
      </c>
    </row>
    <row r="8450" spans="1:9" hidden="1">
      <c r="A8450" s="11" t="s">
        <v>11260</v>
      </c>
      <c r="B8450" s="2" t="s">
        <v>14571</v>
      </c>
      <c r="C8450" s="2" t="s">
        <v>14572</v>
      </c>
      <c r="D8450" s="2"/>
      <c r="E8450" s="2">
        <v>1</v>
      </c>
      <c r="F8450" s="9"/>
      <c r="G8450" s="8">
        <f t="shared" si="262"/>
        <v>5.3646600000000007</v>
      </c>
      <c r="H8450" s="8">
        <v>5.1092000000000004</v>
      </c>
      <c r="I8450" s="19">
        <f t="shared" si="263"/>
        <v>0</v>
      </c>
    </row>
    <row r="8451" spans="1:9" hidden="1">
      <c r="A8451" s="11" t="s">
        <v>11260</v>
      </c>
      <c r="B8451" s="2" t="s">
        <v>14573</v>
      </c>
      <c r="C8451" s="2" t="s">
        <v>14574</v>
      </c>
      <c r="D8451" s="2"/>
      <c r="E8451" s="2">
        <v>1</v>
      </c>
      <c r="F8451" s="9"/>
      <c r="G8451" s="8">
        <f t="shared" si="262"/>
        <v>0.50085000000000002</v>
      </c>
      <c r="H8451" s="8">
        <v>0.47700000000000004</v>
      </c>
      <c r="I8451" s="19">
        <f t="shared" si="263"/>
        <v>0</v>
      </c>
    </row>
    <row r="8452" spans="1:9">
      <c r="A8452" s="11" t="s">
        <v>11260</v>
      </c>
      <c r="B8452" s="2" t="s">
        <v>14575</v>
      </c>
      <c r="C8452" s="2" t="s">
        <v>14576</v>
      </c>
      <c r="D8452" s="2"/>
      <c r="E8452" s="2">
        <v>1</v>
      </c>
      <c r="F8452" s="9">
        <v>666</v>
      </c>
      <c r="G8452" s="8">
        <f t="shared" si="262"/>
        <v>0.67893000000000003</v>
      </c>
      <c r="H8452" s="8">
        <v>0.64660000000000006</v>
      </c>
      <c r="I8452" s="19">
        <f t="shared" si="263"/>
        <v>452.16738000000004</v>
      </c>
    </row>
    <row r="8453" spans="1:9" hidden="1">
      <c r="A8453" s="11" t="s">
        <v>11260</v>
      </c>
      <c r="B8453" s="2" t="s">
        <v>14577</v>
      </c>
      <c r="C8453" s="2" t="s">
        <v>14578</v>
      </c>
      <c r="D8453" s="2"/>
      <c r="E8453" s="2">
        <v>1</v>
      </c>
      <c r="F8453" s="9"/>
      <c r="G8453" s="8">
        <f t="shared" si="262"/>
        <v>0.97944000000000009</v>
      </c>
      <c r="H8453" s="8">
        <v>0.93280000000000007</v>
      </c>
      <c r="I8453" s="19">
        <f t="shared" si="263"/>
        <v>0</v>
      </c>
    </row>
    <row r="8454" spans="1:9" hidden="1">
      <c r="A8454" s="11" t="s">
        <v>11260</v>
      </c>
      <c r="B8454" s="2" t="s">
        <v>14579</v>
      </c>
      <c r="C8454" s="2" t="s">
        <v>14580</v>
      </c>
      <c r="D8454" s="2"/>
      <c r="E8454" s="2">
        <v>1</v>
      </c>
      <c r="F8454" s="9"/>
      <c r="G8454" s="8">
        <f t="shared" si="262"/>
        <v>0.62328000000000017</v>
      </c>
      <c r="H8454" s="8">
        <v>0.59360000000000013</v>
      </c>
      <c r="I8454" s="19">
        <f t="shared" si="263"/>
        <v>0</v>
      </c>
    </row>
    <row r="8455" spans="1:9" hidden="1">
      <c r="A8455" s="11" t="s">
        <v>11260</v>
      </c>
      <c r="B8455" s="2" t="s">
        <v>14581</v>
      </c>
      <c r="C8455" s="2" t="s">
        <v>14582</v>
      </c>
      <c r="D8455" s="2"/>
      <c r="E8455" s="2">
        <v>1</v>
      </c>
      <c r="F8455" s="9"/>
      <c r="G8455" s="8">
        <f t="shared" si="262"/>
        <v>9.9120040320000005</v>
      </c>
      <c r="H8455" s="8">
        <v>9.440003840000001</v>
      </c>
      <c r="I8455" s="19">
        <f t="shared" si="263"/>
        <v>0</v>
      </c>
    </row>
    <row r="8456" spans="1:9" hidden="1">
      <c r="A8456" s="11" t="s">
        <v>11260</v>
      </c>
      <c r="B8456" s="2" t="s">
        <v>14583</v>
      </c>
      <c r="C8456" s="2" t="s">
        <v>14584</v>
      </c>
      <c r="D8456" s="2"/>
      <c r="E8456" s="2">
        <v>1</v>
      </c>
      <c r="F8456" s="9"/>
      <c r="G8456" s="8">
        <f t="shared" si="262"/>
        <v>10.418671782178217</v>
      </c>
      <c r="H8456" s="8">
        <v>9.9225445544554454</v>
      </c>
      <c r="I8456" s="19">
        <f t="shared" si="263"/>
        <v>0</v>
      </c>
    </row>
    <row r="8457" spans="1:9" hidden="1">
      <c r="A8457" s="11" t="s">
        <v>11260</v>
      </c>
      <c r="B8457" s="2" t="s">
        <v>14585</v>
      </c>
      <c r="C8457" s="2" t="s">
        <v>14586</v>
      </c>
      <c r="D8457" s="2"/>
      <c r="E8457" s="2">
        <v>1</v>
      </c>
      <c r="F8457" s="9"/>
      <c r="G8457" s="8">
        <f t="shared" si="262"/>
        <v>10.259898802973977</v>
      </c>
      <c r="H8457" s="8">
        <v>9.7713321933085489</v>
      </c>
      <c r="I8457" s="19">
        <f t="shared" si="263"/>
        <v>0</v>
      </c>
    </row>
    <row r="8458" spans="1:9" hidden="1">
      <c r="A8458" s="11" t="s">
        <v>11260</v>
      </c>
      <c r="B8458" s="2" t="s">
        <v>14587</v>
      </c>
      <c r="C8458" s="2" t="s">
        <v>14588</v>
      </c>
      <c r="D8458" s="2"/>
      <c r="E8458" s="2">
        <v>1</v>
      </c>
      <c r="F8458" s="9"/>
      <c r="G8458" s="8">
        <f t="shared" si="262"/>
        <v>13.381763644970412</v>
      </c>
      <c r="H8458" s="8">
        <v>12.744536804733727</v>
      </c>
      <c r="I8458" s="19">
        <f t="shared" si="263"/>
        <v>0</v>
      </c>
    </row>
    <row r="8459" spans="1:9" hidden="1">
      <c r="A8459" s="11" t="s">
        <v>11260</v>
      </c>
      <c r="B8459" s="2" t="s">
        <v>14589</v>
      </c>
      <c r="C8459" s="2" t="s">
        <v>14590</v>
      </c>
      <c r="D8459" s="2"/>
      <c r="E8459" s="2">
        <v>1</v>
      </c>
      <c r="F8459" s="9"/>
      <c r="G8459" s="8">
        <f t="shared" si="262"/>
        <v>17.967557796386068</v>
      </c>
      <c r="H8459" s="8">
        <v>17.11195980608197</v>
      </c>
      <c r="I8459" s="19">
        <f t="shared" si="263"/>
        <v>0</v>
      </c>
    </row>
    <row r="8460" spans="1:9" hidden="1">
      <c r="A8460" s="11" t="s">
        <v>11260</v>
      </c>
      <c r="B8460" s="2" t="s">
        <v>14591</v>
      </c>
      <c r="C8460" s="2" t="s">
        <v>14592</v>
      </c>
      <c r="D8460" s="2"/>
      <c r="E8460" s="2">
        <v>1</v>
      </c>
      <c r="F8460" s="9"/>
      <c r="G8460" s="8">
        <f t="shared" si="262"/>
        <v>20.104866419265697</v>
      </c>
      <c r="H8460" s="8">
        <v>19.147491827872091</v>
      </c>
      <c r="I8460" s="19">
        <f t="shared" si="263"/>
        <v>0</v>
      </c>
    </row>
    <row r="8461" spans="1:9" hidden="1">
      <c r="A8461" s="11" t="s">
        <v>11260</v>
      </c>
      <c r="B8461" s="2" t="s">
        <v>14593</v>
      </c>
      <c r="C8461" s="2" t="s">
        <v>14594</v>
      </c>
      <c r="D8461" s="2"/>
      <c r="E8461" s="2">
        <v>1</v>
      </c>
      <c r="F8461" s="9"/>
      <c r="G8461" s="8">
        <f t="shared" si="262"/>
        <v>21.430705882352942</v>
      </c>
      <c r="H8461" s="8">
        <v>20.410196078431373</v>
      </c>
      <c r="I8461" s="19">
        <f t="shared" si="263"/>
        <v>0</v>
      </c>
    </row>
    <row r="8462" spans="1:9" hidden="1">
      <c r="A8462" s="11" t="s">
        <v>11260</v>
      </c>
      <c r="B8462" s="2" t="s">
        <v>14595</v>
      </c>
      <c r="C8462" s="2" t="s">
        <v>14596</v>
      </c>
      <c r="D8462" s="2"/>
      <c r="E8462" s="2">
        <v>1</v>
      </c>
      <c r="F8462" s="9"/>
      <c r="G8462" s="8">
        <f t="shared" si="262"/>
        <v>26.008575863539448</v>
      </c>
      <c r="H8462" s="8">
        <v>24.770072250989951</v>
      </c>
      <c r="I8462" s="19">
        <f t="shared" si="263"/>
        <v>0</v>
      </c>
    </row>
    <row r="8463" spans="1:9" hidden="1">
      <c r="A8463" s="11" t="s">
        <v>11260</v>
      </c>
      <c r="B8463" s="2" t="s">
        <v>14597</v>
      </c>
      <c r="C8463" s="2" t="s">
        <v>14598</v>
      </c>
      <c r="D8463" s="2"/>
      <c r="E8463" s="2">
        <v>1</v>
      </c>
      <c r="F8463" s="9"/>
      <c r="G8463" s="8">
        <f t="shared" si="262"/>
        <v>0.18921000000000002</v>
      </c>
      <c r="H8463" s="8">
        <v>0.18020000000000003</v>
      </c>
      <c r="I8463" s="19">
        <f t="shared" si="263"/>
        <v>0</v>
      </c>
    </row>
    <row r="8464" spans="1:9" hidden="1">
      <c r="A8464" s="11" t="s">
        <v>11260</v>
      </c>
      <c r="B8464" s="2" t="s">
        <v>14599</v>
      </c>
      <c r="C8464" s="2" t="s">
        <v>14600</v>
      </c>
      <c r="D8464" s="2"/>
      <c r="E8464" s="2">
        <v>1</v>
      </c>
      <c r="F8464" s="9"/>
      <c r="G8464" s="8">
        <f t="shared" si="262"/>
        <v>34.948008488672215</v>
      </c>
      <c r="H8464" s="8">
        <v>33.283817608259255</v>
      </c>
      <c r="I8464" s="19">
        <f t="shared" si="263"/>
        <v>0</v>
      </c>
    </row>
    <row r="8465" spans="1:9" hidden="1">
      <c r="A8465" s="11" t="s">
        <v>11260</v>
      </c>
      <c r="B8465" s="2" t="s">
        <v>14601</v>
      </c>
      <c r="C8465" s="2" t="s">
        <v>14602</v>
      </c>
      <c r="D8465" s="2"/>
      <c r="E8465" s="2">
        <v>1</v>
      </c>
      <c r="F8465" s="9"/>
      <c r="G8465" s="8">
        <f t="shared" si="262"/>
        <v>31.804753314637235</v>
      </c>
      <c r="H8465" s="8">
        <v>30.290241252035461</v>
      </c>
      <c r="I8465" s="19">
        <f t="shared" si="263"/>
        <v>0</v>
      </c>
    </row>
    <row r="8466" spans="1:9" hidden="1">
      <c r="A8466" s="11" t="s">
        <v>11260</v>
      </c>
      <c r="B8466" s="2" t="s">
        <v>14603</v>
      </c>
      <c r="C8466" s="2" t="s">
        <v>14604</v>
      </c>
      <c r="D8466" s="2"/>
      <c r="E8466" s="2">
        <v>1</v>
      </c>
      <c r="F8466" s="9"/>
      <c r="G8466" s="8">
        <f t="shared" si="262"/>
        <v>35.328055193747957</v>
      </c>
      <c r="H8466" s="8">
        <v>33.645766851188533</v>
      </c>
      <c r="I8466" s="19">
        <f t="shared" si="263"/>
        <v>0</v>
      </c>
    </row>
    <row r="8467" spans="1:9" hidden="1">
      <c r="A8467" s="11" t="s">
        <v>11260</v>
      </c>
      <c r="B8467" s="2" t="s">
        <v>14605</v>
      </c>
      <c r="C8467" s="2" t="s">
        <v>14606</v>
      </c>
      <c r="D8467" s="2"/>
      <c r="E8467" s="2">
        <v>1</v>
      </c>
      <c r="F8467" s="9"/>
      <c r="G8467" s="8">
        <f t="shared" si="262"/>
        <v>53.640906025751079</v>
      </c>
      <c r="H8467" s="8">
        <v>51.086577167381982</v>
      </c>
      <c r="I8467" s="19">
        <f t="shared" si="263"/>
        <v>0</v>
      </c>
    </row>
    <row r="8468" spans="1:9" hidden="1">
      <c r="A8468" s="11" t="s">
        <v>11260</v>
      </c>
      <c r="B8468" s="2" t="s">
        <v>14607</v>
      </c>
      <c r="C8468" s="2" t="s">
        <v>14608</v>
      </c>
      <c r="D8468" s="2"/>
      <c r="E8468" s="2">
        <v>1</v>
      </c>
      <c r="F8468" s="9"/>
      <c r="G8468" s="8">
        <f t="shared" si="262"/>
        <v>64.899978850374737</v>
      </c>
      <c r="H8468" s="8">
        <v>61.809503667023556</v>
      </c>
      <c r="I8468" s="19">
        <f t="shared" si="263"/>
        <v>0</v>
      </c>
    </row>
    <row r="8469" spans="1:9" hidden="1">
      <c r="A8469" s="11" t="s">
        <v>11260</v>
      </c>
      <c r="B8469" s="2" t="s">
        <v>14609</v>
      </c>
      <c r="C8469" s="2" t="s">
        <v>14610</v>
      </c>
      <c r="D8469" s="2"/>
      <c r="E8469" s="2">
        <v>1</v>
      </c>
      <c r="F8469" s="9"/>
      <c r="G8469" s="8">
        <f t="shared" si="262"/>
        <v>63.075977950530032</v>
      </c>
      <c r="H8469" s="8">
        <v>60.072359952885748</v>
      </c>
      <c r="I8469" s="19">
        <f t="shared" si="263"/>
        <v>0</v>
      </c>
    </row>
    <row r="8470" spans="1:9" hidden="1">
      <c r="A8470" s="11" t="s">
        <v>11260</v>
      </c>
      <c r="B8470" s="2" t="s">
        <v>14611</v>
      </c>
      <c r="C8470" s="2" t="s">
        <v>14612</v>
      </c>
      <c r="D8470" s="2"/>
      <c r="E8470" s="2">
        <v>1</v>
      </c>
      <c r="F8470" s="9"/>
      <c r="G8470" s="8">
        <f t="shared" si="262"/>
        <v>72.08766051797447</v>
      </c>
      <c r="H8470" s="8">
        <v>68.654914779023301</v>
      </c>
      <c r="I8470" s="19">
        <f t="shared" si="263"/>
        <v>0</v>
      </c>
    </row>
    <row r="8471" spans="1:9" hidden="1">
      <c r="A8471" s="11" t="s">
        <v>11260</v>
      </c>
      <c r="B8471" s="2" t="s">
        <v>14613</v>
      </c>
      <c r="C8471" s="2" t="s">
        <v>14614</v>
      </c>
      <c r="D8471" s="2"/>
      <c r="E8471" s="2">
        <v>1</v>
      </c>
      <c r="F8471" s="9"/>
      <c r="G8471" s="8">
        <f t="shared" si="262"/>
        <v>81.094918186397976</v>
      </c>
      <c r="H8471" s="8">
        <v>77.233255415617123</v>
      </c>
      <c r="I8471" s="19">
        <f t="shared" si="263"/>
        <v>0</v>
      </c>
    </row>
    <row r="8472" spans="1:9" hidden="1">
      <c r="A8472" s="11" t="s">
        <v>11260</v>
      </c>
      <c r="B8472" s="2" t="s">
        <v>14615</v>
      </c>
      <c r="C8472" s="2" t="s">
        <v>14616</v>
      </c>
      <c r="D8472" s="2"/>
      <c r="E8472" s="2">
        <v>1</v>
      </c>
      <c r="F8472" s="9"/>
      <c r="G8472" s="8">
        <f t="shared" ref="G8472:G8535" si="264">H8472+(H8472*5%)</f>
        <v>90.126795974025981</v>
      </c>
      <c r="H8472" s="8">
        <v>85.835043784786649</v>
      </c>
      <c r="I8472" s="19">
        <f t="shared" ref="I8472:I8535" si="265">G8472*F8472</f>
        <v>0</v>
      </c>
    </row>
    <row r="8473" spans="1:9" hidden="1">
      <c r="A8473" s="11" t="s">
        <v>11260</v>
      </c>
      <c r="B8473" s="2" t="s">
        <v>14617</v>
      </c>
      <c r="C8473" s="2" t="s">
        <v>14618</v>
      </c>
      <c r="D8473" s="2"/>
      <c r="E8473" s="2">
        <v>1</v>
      </c>
      <c r="F8473" s="9"/>
      <c r="G8473" s="8">
        <f t="shared" si="264"/>
        <v>99.127570312060726</v>
      </c>
      <c r="H8473" s="8">
        <v>94.407209821010213</v>
      </c>
      <c r="I8473" s="19">
        <f t="shared" si="265"/>
        <v>0</v>
      </c>
    </row>
    <row r="8474" spans="1:9" hidden="1">
      <c r="A8474" s="11" t="s">
        <v>11260</v>
      </c>
      <c r="B8474" s="2" t="s">
        <v>14619</v>
      </c>
      <c r="C8474" s="2" t="s">
        <v>14620</v>
      </c>
      <c r="D8474" s="2"/>
      <c r="E8474" s="2">
        <v>1</v>
      </c>
      <c r="F8474" s="9"/>
      <c r="G8474" s="8">
        <f t="shared" si="264"/>
        <v>108.12391915063553</v>
      </c>
      <c r="H8474" s="8">
        <v>102.97516109584336</v>
      </c>
      <c r="I8474" s="19">
        <f t="shared" si="265"/>
        <v>0</v>
      </c>
    </row>
    <row r="8475" spans="1:9" hidden="1">
      <c r="A8475" s="11" t="s">
        <v>11260</v>
      </c>
      <c r="B8475" s="2" t="s">
        <v>14621</v>
      </c>
      <c r="C8475" s="2" t="s">
        <v>14622</v>
      </c>
      <c r="D8475" s="2"/>
      <c r="E8475" s="2">
        <v>1</v>
      </c>
      <c r="F8475" s="9"/>
      <c r="G8475" s="8">
        <f t="shared" si="264"/>
        <v>24.509716316342615</v>
      </c>
      <c r="H8475" s="8">
        <v>23.342586967945348</v>
      </c>
      <c r="I8475" s="19">
        <f t="shared" si="265"/>
        <v>0</v>
      </c>
    </row>
    <row r="8476" spans="1:9" hidden="1">
      <c r="A8476" s="11" t="s">
        <v>11260</v>
      </c>
      <c r="B8476" s="2" t="s">
        <v>14623</v>
      </c>
      <c r="C8476" s="2" t="s">
        <v>14624</v>
      </c>
      <c r="D8476" s="2"/>
      <c r="E8476" s="2">
        <v>1</v>
      </c>
      <c r="F8476" s="9"/>
      <c r="G8476" s="8">
        <f t="shared" si="264"/>
        <v>28.010203200000003</v>
      </c>
      <c r="H8476" s="8">
        <v>26.676384000000002</v>
      </c>
      <c r="I8476" s="19">
        <f t="shared" si="265"/>
        <v>0</v>
      </c>
    </row>
    <row r="8477" spans="1:9" hidden="1">
      <c r="A8477" s="11" t="s">
        <v>11260</v>
      </c>
      <c r="B8477" s="2" t="s">
        <v>14625</v>
      </c>
      <c r="C8477" s="2" t="s">
        <v>14626</v>
      </c>
      <c r="D8477" s="2"/>
      <c r="E8477" s="2">
        <v>1</v>
      </c>
      <c r="F8477" s="9"/>
      <c r="G8477" s="8">
        <f t="shared" si="264"/>
        <v>31.807339269349846</v>
      </c>
      <c r="H8477" s="8">
        <v>30.292704066047474</v>
      </c>
      <c r="I8477" s="19">
        <f t="shared" si="265"/>
        <v>0</v>
      </c>
    </row>
    <row r="8478" spans="1:9" hidden="1">
      <c r="A8478" s="11" t="s">
        <v>11260</v>
      </c>
      <c r="B8478" s="2" t="s">
        <v>14627</v>
      </c>
      <c r="C8478" s="2" t="s">
        <v>14628</v>
      </c>
      <c r="D8478" s="2"/>
      <c r="E8478" s="2">
        <v>1</v>
      </c>
      <c r="F8478" s="9"/>
      <c r="G8478" s="8">
        <f t="shared" si="264"/>
        <v>35.011177215888189</v>
      </c>
      <c r="H8478" s="8">
        <v>33.343978300845897</v>
      </c>
      <c r="I8478" s="19">
        <f t="shared" si="265"/>
        <v>0</v>
      </c>
    </row>
    <row r="8479" spans="1:9" hidden="1">
      <c r="A8479" s="11" t="s">
        <v>11260</v>
      </c>
      <c r="B8479" s="2" t="s">
        <v>14629</v>
      </c>
      <c r="C8479" s="2" t="s">
        <v>14630</v>
      </c>
      <c r="D8479" s="2"/>
      <c r="E8479" s="2">
        <v>1</v>
      </c>
      <c r="F8479" s="9"/>
      <c r="G8479" s="8">
        <f t="shared" si="264"/>
        <v>38.50075757271815</v>
      </c>
      <c r="H8479" s="8">
        <v>36.667388164493474</v>
      </c>
      <c r="I8479" s="19">
        <f t="shared" si="265"/>
        <v>0</v>
      </c>
    </row>
    <row r="8480" spans="1:9" hidden="1">
      <c r="A8480" s="11" t="s">
        <v>11260</v>
      </c>
      <c r="B8480" s="2" t="s">
        <v>14631</v>
      </c>
      <c r="C8480" s="2" t="s">
        <v>14632</v>
      </c>
      <c r="D8480" s="2"/>
      <c r="E8480" s="2">
        <v>1</v>
      </c>
      <c r="F8480" s="9"/>
      <c r="G8480" s="8">
        <f t="shared" si="264"/>
        <v>42.007681816091953</v>
      </c>
      <c r="H8480" s="8">
        <v>40.007316015325671</v>
      </c>
      <c r="I8480" s="19">
        <f t="shared" si="265"/>
        <v>0</v>
      </c>
    </row>
    <row r="8481" spans="1:9" hidden="1">
      <c r="A8481" s="11" t="s">
        <v>11260</v>
      </c>
      <c r="B8481" s="2" t="s">
        <v>14633</v>
      </c>
      <c r="C8481" s="2" t="s">
        <v>14634</v>
      </c>
      <c r="D8481" s="2"/>
      <c r="E8481" s="2">
        <v>1</v>
      </c>
      <c r="F8481" s="9"/>
      <c r="G8481" s="8">
        <f t="shared" si="264"/>
        <v>49.008656047550247</v>
      </c>
      <c r="H8481" s="8">
        <v>46.674910521476427</v>
      </c>
      <c r="I8481" s="19">
        <f t="shared" si="265"/>
        <v>0</v>
      </c>
    </row>
    <row r="8482" spans="1:9" hidden="1">
      <c r="A8482" s="11" t="s">
        <v>11260</v>
      </c>
      <c r="B8482" s="2" t="s">
        <v>14635</v>
      </c>
      <c r="C8482" s="2" t="s">
        <v>14636</v>
      </c>
      <c r="D8482" s="2"/>
      <c r="E8482" s="2">
        <v>1</v>
      </c>
      <c r="F8482" s="9"/>
      <c r="G8482" s="8">
        <f t="shared" si="264"/>
        <v>56.005159579310344</v>
      </c>
      <c r="H8482" s="8">
        <v>53.338247218390805</v>
      </c>
      <c r="I8482" s="19">
        <f t="shared" si="265"/>
        <v>0</v>
      </c>
    </row>
    <row r="8483" spans="1:9" hidden="1">
      <c r="A8483" s="11" t="s">
        <v>11260</v>
      </c>
      <c r="B8483" s="2" t="s">
        <v>14637</v>
      </c>
      <c r="C8483" s="2" t="s">
        <v>14638</v>
      </c>
      <c r="D8483" s="2"/>
      <c r="E8483" s="2">
        <v>1</v>
      </c>
      <c r="F8483" s="9"/>
      <c r="G8483" s="8">
        <f t="shared" si="264"/>
        <v>63.01047322435636</v>
      </c>
      <c r="H8483" s="8">
        <v>60.009974499387013</v>
      </c>
      <c r="I8483" s="19">
        <f t="shared" si="265"/>
        <v>0</v>
      </c>
    </row>
    <row r="8484" spans="1:9" hidden="1">
      <c r="A8484" s="11" t="s">
        <v>11260</v>
      </c>
      <c r="B8484" s="2" t="s">
        <v>14639</v>
      </c>
      <c r="C8484" s="2" t="s">
        <v>14640</v>
      </c>
      <c r="D8484" s="2"/>
      <c r="E8484" s="2">
        <v>1</v>
      </c>
      <c r="F8484" s="9"/>
      <c r="G8484" s="8">
        <f t="shared" si="264"/>
        <v>70.033261340566384</v>
      </c>
      <c r="H8484" s="8">
        <v>66.698344133872752</v>
      </c>
      <c r="I8484" s="19">
        <f t="shared" si="265"/>
        <v>0</v>
      </c>
    </row>
    <row r="8485" spans="1:9" hidden="1">
      <c r="A8485" s="11" t="s">
        <v>11260</v>
      </c>
      <c r="B8485" s="2" t="s">
        <v>14641</v>
      </c>
      <c r="C8485" s="2" t="s">
        <v>14642</v>
      </c>
      <c r="D8485" s="2"/>
      <c r="E8485" s="2">
        <v>1</v>
      </c>
      <c r="F8485" s="9"/>
      <c r="G8485" s="8">
        <f t="shared" si="264"/>
        <v>77.05158235225278</v>
      </c>
      <c r="H8485" s="8">
        <v>73.382459383097881</v>
      </c>
      <c r="I8485" s="19">
        <f t="shared" si="265"/>
        <v>0</v>
      </c>
    </row>
    <row r="8486" spans="1:9" hidden="1">
      <c r="A8486" s="11" t="s">
        <v>11260</v>
      </c>
      <c r="B8486" s="2" t="s">
        <v>14643</v>
      </c>
      <c r="C8486" s="2" t="s">
        <v>14644</v>
      </c>
      <c r="D8486" s="2"/>
      <c r="E8486" s="2">
        <v>1</v>
      </c>
      <c r="F8486" s="9"/>
      <c r="G8486" s="8">
        <f t="shared" si="264"/>
        <v>84.030741000689616</v>
      </c>
      <c r="H8486" s="8">
        <v>80.029277143513923</v>
      </c>
      <c r="I8486" s="19">
        <f t="shared" si="265"/>
        <v>0</v>
      </c>
    </row>
    <row r="8487" spans="1:9" hidden="1">
      <c r="A8487" s="11" t="s">
        <v>11260</v>
      </c>
      <c r="B8487" s="2" t="s">
        <v>14645</v>
      </c>
      <c r="C8487" s="2" t="s">
        <v>14646</v>
      </c>
      <c r="D8487" s="2"/>
      <c r="E8487" s="2">
        <v>1</v>
      </c>
      <c r="F8487" s="9"/>
      <c r="G8487" s="8">
        <f t="shared" si="264"/>
        <v>0.18921000000000002</v>
      </c>
      <c r="H8487" s="8">
        <v>0.18020000000000003</v>
      </c>
      <c r="I8487" s="19">
        <f t="shared" si="265"/>
        <v>0</v>
      </c>
    </row>
    <row r="8488" spans="1:9" hidden="1">
      <c r="A8488" s="11" t="s">
        <v>11260</v>
      </c>
      <c r="B8488" s="2" t="s">
        <v>14647</v>
      </c>
      <c r="C8488" s="2" t="s">
        <v>14648</v>
      </c>
      <c r="D8488" s="2"/>
      <c r="E8488" s="2">
        <v>1</v>
      </c>
      <c r="F8488" s="9"/>
      <c r="G8488" s="8">
        <f t="shared" si="264"/>
        <v>12.5311132186342</v>
      </c>
      <c r="H8488" s="8">
        <v>11.93439354155638</v>
      </c>
      <c r="I8488" s="19">
        <f t="shared" si="265"/>
        <v>0</v>
      </c>
    </row>
    <row r="8489" spans="1:9" hidden="1">
      <c r="A8489" s="11" t="s">
        <v>11260</v>
      </c>
      <c r="B8489" s="2" t="s">
        <v>14649</v>
      </c>
      <c r="C8489" s="2" t="s">
        <v>14650</v>
      </c>
      <c r="D8489" s="2"/>
      <c r="E8489" s="2">
        <v>1</v>
      </c>
      <c r="F8489" s="9"/>
      <c r="G8489" s="8">
        <f t="shared" si="264"/>
        <v>15.951432698544698</v>
      </c>
      <c r="H8489" s="8">
        <v>15.191840665280665</v>
      </c>
      <c r="I8489" s="19">
        <f t="shared" si="265"/>
        <v>0</v>
      </c>
    </row>
    <row r="8490" spans="1:9">
      <c r="A8490" s="11" t="s">
        <v>11260</v>
      </c>
      <c r="B8490" s="2" t="s">
        <v>14651</v>
      </c>
      <c r="C8490" s="2" t="s">
        <v>14652</v>
      </c>
      <c r="D8490" s="2"/>
      <c r="E8490" s="2">
        <v>1</v>
      </c>
      <c r="F8490" s="9">
        <v>48</v>
      </c>
      <c r="G8490" s="8">
        <f t="shared" si="264"/>
        <v>27.315104512372635</v>
      </c>
      <c r="H8490" s="8">
        <v>26.0143852498787</v>
      </c>
      <c r="I8490" s="19">
        <f t="shared" si="265"/>
        <v>1311.1250165938864</v>
      </c>
    </row>
    <row r="8491" spans="1:9" hidden="1">
      <c r="A8491" s="11" t="s">
        <v>11260</v>
      </c>
      <c r="B8491" s="2" t="s">
        <v>14653</v>
      </c>
      <c r="C8491" s="2" t="s">
        <v>14654</v>
      </c>
      <c r="D8491" s="2"/>
      <c r="E8491" s="2">
        <v>1</v>
      </c>
      <c r="F8491" s="9"/>
      <c r="G8491" s="8">
        <f t="shared" si="264"/>
        <v>30.642025268732841</v>
      </c>
      <c r="H8491" s="8">
        <v>29.182881208316992</v>
      </c>
      <c r="I8491" s="19">
        <f t="shared" si="265"/>
        <v>0</v>
      </c>
    </row>
    <row r="8492" spans="1:9" hidden="1">
      <c r="A8492" s="11" t="s">
        <v>11260</v>
      </c>
      <c r="B8492" s="2" t="s">
        <v>14655</v>
      </c>
      <c r="C8492" s="2" t="s">
        <v>14656</v>
      </c>
      <c r="D8492" s="2"/>
      <c r="E8492" s="2">
        <v>1</v>
      </c>
      <c r="F8492" s="9"/>
      <c r="G8492" s="8">
        <f t="shared" si="264"/>
        <v>35.918012894957286</v>
      </c>
      <c r="H8492" s="8">
        <v>34.207631328530752</v>
      </c>
      <c r="I8492" s="19">
        <f t="shared" si="265"/>
        <v>0</v>
      </c>
    </row>
    <row r="8493" spans="1:9">
      <c r="A8493" s="11" t="s">
        <v>11260</v>
      </c>
      <c r="B8493" s="2" t="s">
        <v>14657</v>
      </c>
      <c r="C8493" s="2" t="s">
        <v>14658</v>
      </c>
      <c r="D8493" s="2"/>
      <c r="E8493" s="2">
        <v>1</v>
      </c>
      <c r="F8493" s="9">
        <v>52</v>
      </c>
      <c r="G8493" s="8">
        <f t="shared" si="264"/>
        <v>12.869046516971281</v>
      </c>
      <c r="H8493" s="8">
        <v>12.256234778067887</v>
      </c>
      <c r="I8493" s="19">
        <f t="shared" si="265"/>
        <v>669.19041888250661</v>
      </c>
    </row>
    <row r="8494" spans="1:9" hidden="1">
      <c r="A8494" s="11" t="s">
        <v>11260</v>
      </c>
      <c r="B8494" s="2" t="s">
        <v>14659</v>
      </c>
      <c r="C8494" s="2" t="s">
        <v>14660</v>
      </c>
      <c r="D8494" s="2"/>
      <c r="E8494" s="2">
        <v>1</v>
      </c>
      <c r="F8494" s="9"/>
      <c r="G8494" s="8">
        <f t="shared" si="264"/>
        <v>24.861806293263864</v>
      </c>
      <c r="H8494" s="8">
        <v>23.677910755489396</v>
      </c>
      <c r="I8494" s="19">
        <f t="shared" si="265"/>
        <v>0</v>
      </c>
    </row>
    <row r="8495" spans="1:9" hidden="1">
      <c r="A8495" s="11" t="s">
        <v>11260</v>
      </c>
      <c r="B8495" s="2" t="s">
        <v>14661</v>
      </c>
      <c r="C8495" s="2" t="s">
        <v>14662</v>
      </c>
      <c r="D8495" s="2"/>
      <c r="E8495" s="2">
        <v>1</v>
      </c>
      <c r="F8495" s="9"/>
      <c r="G8495" s="8">
        <f t="shared" si="264"/>
        <v>11.801891911764708</v>
      </c>
      <c r="H8495" s="8">
        <v>11.239897058823532</v>
      </c>
      <c r="I8495" s="19">
        <f t="shared" si="265"/>
        <v>0</v>
      </c>
    </row>
    <row r="8496" spans="1:9" hidden="1">
      <c r="A8496" s="11" t="s">
        <v>11260</v>
      </c>
      <c r="B8496" s="2" t="s">
        <v>14663</v>
      </c>
      <c r="C8496" s="2" t="s">
        <v>14664</v>
      </c>
      <c r="D8496" s="2"/>
      <c r="E8496" s="2">
        <v>1</v>
      </c>
      <c r="F8496" s="9"/>
      <c r="G8496" s="8">
        <f t="shared" si="264"/>
        <v>0.18921000000000002</v>
      </c>
      <c r="H8496" s="8">
        <v>0.18020000000000003</v>
      </c>
      <c r="I8496" s="19">
        <f t="shared" si="265"/>
        <v>0</v>
      </c>
    </row>
    <row r="8497" spans="1:9" hidden="1">
      <c r="A8497" s="11" t="s">
        <v>11260</v>
      </c>
      <c r="B8497" s="2" t="s">
        <v>14665</v>
      </c>
      <c r="C8497" s="2" t="s">
        <v>14666</v>
      </c>
      <c r="D8497" s="2"/>
      <c r="E8497" s="2">
        <v>1</v>
      </c>
      <c r="F8497" s="9"/>
      <c r="G8497" s="8">
        <f t="shared" si="264"/>
        <v>13.991449615384614</v>
      </c>
      <c r="H8497" s="8">
        <v>13.325190109890109</v>
      </c>
      <c r="I8497" s="19">
        <f t="shared" si="265"/>
        <v>0</v>
      </c>
    </row>
    <row r="8498" spans="1:9" hidden="1">
      <c r="A8498" s="11" t="s">
        <v>11260</v>
      </c>
      <c r="B8498" s="2" t="s">
        <v>14667</v>
      </c>
      <c r="C8498" s="2" t="s">
        <v>14668</v>
      </c>
      <c r="D8498" s="2"/>
      <c r="E8498" s="2">
        <v>1</v>
      </c>
      <c r="F8498" s="9"/>
      <c r="G8498" s="8">
        <f t="shared" si="264"/>
        <v>15.564526405282706</v>
      </c>
      <c r="H8498" s="8">
        <v>14.823358481221625</v>
      </c>
      <c r="I8498" s="19">
        <f t="shared" si="265"/>
        <v>0</v>
      </c>
    </row>
    <row r="8499" spans="1:9" hidden="1">
      <c r="A8499" s="11" t="s">
        <v>11260</v>
      </c>
      <c r="B8499" s="2" t="s">
        <v>14669</v>
      </c>
      <c r="C8499" s="2" t="s">
        <v>14670</v>
      </c>
      <c r="D8499" s="2"/>
      <c r="E8499" s="2">
        <v>1</v>
      </c>
      <c r="F8499" s="9"/>
      <c r="G8499" s="8">
        <f t="shared" si="264"/>
        <v>16.637154894083274</v>
      </c>
      <c r="H8499" s="8">
        <v>15.844909422936452</v>
      </c>
      <c r="I8499" s="19">
        <f t="shared" si="265"/>
        <v>0</v>
      </c>
    </row>
    <row r="8500" spans="1:9" hidden="1">
      <c r="A8500" s="11" t="s">
        <v>11260</v>
      </c>
      <c r="B8500" s="2" t="s">
        <v>14671</v>
      </c>
      <c r="C8500" s="2" t="s">
        <v>14672</v>
      </c>
      <c r="D8500" s="2"/>
      <c r="E8500" s="2">
        <v>1</v>
      </c>
      <c r="F8500" s="9"/>
      <c r="G8500" s="8">
        <f t="shared" si="264"/>
        <v>18.576222173017509</v>
      </c>
      <c r="H8500" s="8">
        <v>17.69164016477858</v>
      </c>
      <c r="I8500" s="19">
        <f t="shared" si="265"/>
        <v>0</v>
      </c>
    </row>
    <row r="8501" spans="1:9" hidden="1">
      <c r="A8501" s="11" t="s">
        <v>11260</v>
      </c>
      <c r="B8501" s="2" t="s">
        <v>14673</v>
      </c>
      <c r="C8501" s="2" t="s">
        <v>14674</v>
      </c>
      <c r="D8501" s="2"/>
      <c r="E8501" s="2">
        <v>1</v>
      </c>
      <c r="F8501" s="9"/>
      <c r="G8501" s="8">
        <f t="shared" si="264"/>
        <v>20.187721866074259</v>
      </c>
      <c r="H8501" s="8">
        <v>19.226401777213582</v>
      </c>
      <c r="I8501" s="19">
        <f t="shared" si="265"/>
        <v>0</v>
      </c>
    </row>
    <row r="8502" spans="1:9" hidden="1">
      <c r="A8502" s="11" t="s">
        <v>11260</v>
      </c>
      <c r="B8502" s="2" t="s">
        <v>14675</v>
      </c>
      <c r="C8502" s="2" t="s">
        <v>14676</v>
      </c>
      <c r="D8502" s="2"/>
      <c r="E8502" s="2">
        <v>1</v>
      </c>
      <c r="F8502" s="9"/>
      <c r="G8502" s="8">
        <f t="shared" si="264"/>
        <v>21.732941492185201</v>
      </c>
      <c r="H8502" s="8">
        <v>20.698039516366858</v>
      </c>
      <c r="I8502" s="19">
        <f t="shared" si="265"/>
        <v>0</v>
      </c>
    </row>
    <row r="8503" spans="1:9" hidden="1">
      <c r="A8503" s="11" t="s">
        <v>11260</v>
      </c>
      <c r="B8503" s="2" t="s">
        <v>14677</v>
      </c>
      <c r="C8503" s="2" t="s">
        <v>14678</v>
      </c>
      <c r="D8503" s="2"/>
      <c r="E8503" s="2">
        <v>1</v>
      </c>
      <c r="F8503" s="9"/>
      <c r="G8503" s="8">
        <f t="shared" si="264"/>
        <v>24.840955516619427</v>
      </c>
      <c r="H8503" s="8">
        <v>23.658052872970885</v>
      </c>
      <c r="I8503" s="19">
        <f t="shared" si="265"/>
        <v>0</v>
      </c>
    </row>
    <row r="8504" spans="1:9" hidden="1">
      <c r="A8504" s="11" t="s">
        <v>11260</v>
      </c>
      <c r="B8504" s="2" t="s">
        <v>14679</v>
      </c>
      <c r="C8504" s="2" t="s">
        <v>14680</v>
      </c>
      <c r="D8504" s="2"/>
      <c r="E8504" s="2">
        <v>1</v>
      </c>
      <c r="F8504" s="9"/>
      <c r="G8504" s="8">
        <f t="shared" si="264"/>
        <v>26.354199903053804</v>
      </c>
      <c r="H8504" s="8">
        <v>25.099238002908386</v>
      </c>
      <c r="I8504" s="19">
        <f t="shared" si="265"/>
        <v>0</v>
      </c>
    </row>
    <row r="8505" spans="1:9" hidden="1">
      <c r="A8505" s="11" t="s">
        <v>11260</v>
      </c>
      <c r="B8505" s="2" t="s">
        <v>14681</v>
      </c>
      <c r="C8505" s="2" t="s">
        <v>14682</v>
      </c>
      <c r="D8505" s="2"/>
      <c r="E8505" s="2">
        <v>1</v>
      </c>
      <c r="F8505" s="9"/>
      <c r="G8505" s="8">
        <f t="shared" si="264"/>
        <v>27.942103627608343</v>
      </c>
      <c r="H8505" s="8">
        <v>26.611527264388897</v>
      </c>
      <c r="I8505" s="19">
        <f t="shared" si="265"/>
        <v>0</v>
      </c>
    </row>
    <row r="8506" spans="1:9" hidden="1">
      <c r="A8506" s="11" t="s">
        <v>11260</v>
      </c>
      <c r="B8506" s="2" t="s">
        <v>14683</v>
      </c>
      <c r="C8506" s="2" t="s">
        <v>14684</v>
      </c>
      <c r="D8506" s="2"/>
      <c r="E8506" s="2">
        <v>1</v>
      </c>
      <c r="F8506" s="9"/>
      <c r="G8506" s="8">
        <f t="shared" si="264"/>
        <v>31.088570990712071</v>
      </c>
      <c r="H8506" s="8">
        <v>29.608162848297212</v>
      </c>
      <c r="I8506" s="19">
        <f t="shared" si="265"/>
        <v>0</v>
      </c>
    </row>
    <row r="8507" spans="1:9" hidden="1">
      <c r="A8507" s="11" t="s">
        <v>11260</v>
      </c>
      <c r="B8507" s="2" t="s">
        <v>14685</v>
      </c>
      <c r="C8507" s="2" t="s">
        <v>14686</v>
      </c>
      <c r="D8507" s="2"/>
      <c r="E8507" s="2">
        <v>1</v>
      </c>
      <c r="F8507" s="9"/>
      <c r="G8507" s="8">
        <f t="shared" si="264"/>
        <v>34.144861147786948</v>
      </c>
      <c r="H8507" s="8">
        <v>32.51891537884471</v>
      </c>
      <c r="I8507" s="19">
        <f t="shared" si="265"/>
        <v>0</v>
      </c>
    </row>
    <row r="8508" spans="1:9">
      <c r="A8508" s="11" t="s">
        <v>11260</v>
      </c>
      <c r="B8508" s="2" t="s">
        <v>14687</v>
      </c>
      <c r="C8508" s="2" t="s">
        <v>14688</v>
      </c>
      <c r="D8508" s="2"/>
      <c r="E8508" s="2">
        <v>1</v>
      </c>
      <c r="F8508" s="9">
        <v>95</v>
      </c>
      <c r="G8508" s="8">
        <f t="shared" si="264"/>
        <v>37.252882332531776</v>
      </c>
      <c r="H8508" s="8">
        <v>35.478935554792166</v>
      </c>
      <c r="I8508" s="19">
        <f t="shared" si="265"/>
        <v>3539.0238215905188</v>
      </c>
    </row>
    <row r="8509" spans="1:9" hidden="1">
      <c r="A8509" s="11" t="s">
        <v>11260</v>
      </c>
      <c r="B8509" s="2" t="s">
        <v>14689</v>
      </c>
      <c r="C8509" s="2" t="s">
        <v>14690</v>
      </c>
      <c r="D8509" s="2"/>
      <c r="E8509" s="2">
        <v>1</v>
      </c>
      <c r="F8509" s="9"/>
      <c r="G8509" s="8">
        <f t="shared" si="264"/>
        <v>43.449129730446316</v>
      </c>
      <c r="H8509" s="8">
        <v>41.380123552806012</v>
      </c>
      <c r="I8509" s="19">
        <f t="shared" si="265"/>
        <v>0</v>
      </c>
    </row>
    <row r="8510" spans="1:9" hidden="1">
      <c r="A8510" s="11" t="s">
        <v>11260</v>
      </c>
      <c r="B8510" s="2" t="s">
        <v>14691</v>
      </c>
      <c r="C8510" s="2" t="s">
        <v>14692</v>
      </c>
      <c r="D8510" s="2"/>
      <c r="E8510" s="2">
        <v>1</v>
      </c>
      <c r="F8510" s="9"/>
      <c r="G8510" s="8">
        <f t="shared" si="264"/>
        <v>52.028173067419708</v>
      </c>
      <c r="H8510" s="8">
        <v>49.550641016590198</v>
      </c>
      <c r="I8510" s="19">
        <f t="shared" si="265"/>
        <v>0</v>
      </c>
    </row>
    <row r="8511" spans="1:9" hidden="1">
      <c r="A8511" s="11" t="s">
        <v>11260</v>
      </c>
      <c r="B8511" s="2" t="s">
        <v>14693</v>
      </c>
      <c r="C8511" s="2" t="s">
        <v>14694</v>
      </c>
      <c r="D8511" s="2"/>
      <c r="E8511" s="2">
        <v>1</v>
      </c>
      <c r="F8511" s="9"/>
      <c r="G8511" s="8">
        <f t="shared" si="264"/>
        <v>11.809524359912217</v>
      </c>
      <c r="H8511" s="8">
        <v>11.247166057059255</v>
      </c>
      <c r="I8511" s="19">
        <f t="shared" si="265"/>
        <v>0</v>
      </c>
    </row>
    <row r="8512" spans="1:9" hidden="1">
      <c r="A8512" s="11" t="s">
        <v>11260</v>
      </c>
      <c r="B8512" s="2" t="s">
        <v>14695</v>
      </c>
      <c r="C8512" s="2" t="s">
        <v>14696</v>
      </c>
      <c r="D8512" s="2"/>
      <c r="E8512" s="2">
        <v>1</v>
      </c>
      <c r="F8512" s="9"/>
      <c r="G8512" s="8">
        <f t="shared" si="264"/>
        <v>12.022733162705668</v>
      </c>
      <c r="H8512" s="8">
        <v>11.450222059719684</v>
      </c>
      <c r="I8512" s="19">
        <f t="shared" si="265"/>
        <v>0</v>
      </c>
    </row>
    <row r="8513" spans="1:9" hidden="1">
      <c r="A8513" s="11" t="s">
        <v>11260</v>
      </c>
      <c r="B8513" s="2" t="s">
        <v>14697</v>
      </c>
      <c r="C8513" s="2" t="s">
        <v>14698</v>
      </c>
      <c r="D8513" s="2"/>
      <c r="E8513" s="2">
        <v>1</v>
      </c>
      <c r="F8513" s="9"/>
      <c r="G8513" s="8">
        <f t="shared" si="264"/>
        <v>11.801295115143056</v>
      </c>
      <c r="H8513" s="8">
        <v>11.239328681088624</v>
      </c>
      <c r="I8513" s="19">
        <f t="shared" si="265"/>
        <v>0</v>
      </c>
    </row>
    <row r="8514" spans="1:9" hidden="1">
      <c r="A8514" s="11" t="s">
        <v>11260</v>
      </c>
      <c r="B8514" s="2" t="s">
        <v>14699</v>
      </c>
      <c r="C8514" s="2" t="s">
        <v>14700</v>
      </c>
      <c r="D8514" s="2"/>
      <c r="E8514" s="2">
        <v>1</v>
      </c>
      <c r="F8514" s="9"/>
      <c r="G8514" s="8">
        <f t="shared" si="264"/>
        <v>14.395887413793107</v>
      </c>
      <c r="H8514" s="8">
        <v>13.710368965517244</v>
      </c>
      <c r="I8514" s="19">
        <f t="shared" si="265"/>
        <v>0</v>
      </c>
    </row>
    <row r="8515" spans="1:9" hidden="1">
      <c r="A8515" s="11" t="s">
        <v>11260</v>
      </c>
      <c r="B8515" s="2" t="s">
        <v>14701</v>
      </c>
      <c r="C8515" s="2" t="s">
        <v>14702</v>
      </c>
      <c r="D8515" s="2"/>
      <c r="E8515" s="2">
        <v>1</v>
      </c>
      <c r="F8515" s="9"/>
      <c r="G8515" s="8">
        <f t="shared" si="264"/>
        <v>11.363757663628833</v>
      </c>
      <c r="H8515" s="8">
        <v>10.822626346313175</v>
      </c>
      <c r="I8515" s="19">
        <f t="shared" si="265"/>
        <v>0</v>
      </c>
    </row>
    <row r="8516" spans="1:9">
      <c r="A8516" s="11" t="s">
        <v>11260</v>
      </c>
      <c r="B8516" s="2" t="s">
        <v>14703</v>
      </c>
      <c r="C8516" s="2" t="s">
        <v>14704</v>
      </c>
      <c r="D8516" s="2"/>
      <c r="E8516" s="2">
        <v>1</v>
      </c>
      <c r="F8516" s="9">
        <v>200</v>
      </c>
      <c r="G8516" s="8">
        <f t="shared" si="264"/>
        <v>3.8336489999999999</v>
      </c>
      <c r="H8516" s="8">
        <v>3.6510942857142856</v>
      </c>
      <c r="I8516" s="19">
        <f t="shared" si="265"/>
        <v>766.72979999999995</v>
      </c>
    </row>
    <row r="8517" spans="1:9" hidden="1">
      <c r="A8517" s="11" t="s">
        <v>11260</v>
      </c>
      <c r="B8517" s="2" t="s">
        <v>14705</v>
      </c>
      <c r="C8517" s="2" t="s">
        <v>14706</v>
      </c>
      <c r="D8517" s="2"/>
      <c r="E8517" s="2">
        <v>1</v>
      </c>
      <c r="F8517" s="9"/>
      <c r="G8517" s="8">
        <f t="shared" si="264"/>
        <v>21.494406160118608</v>
      </c>
      <c r="H8517" s="8">
        <v>20.470863009636769</v>
      </c>
      <c r="I8517" s="19">
        <f t="shared" si="265"/>
        <v>0</v>
      </c>
    </row>
    <row r="8518" spans="1:9">
      <c r="A8518" s="11" t="s">
        <v>11260</v>
      </c>
      <c r="B8518" s="2" t="s">
        <v>14707</v>
      </c>
      <c r="C8518" s="2" t="s">
        <v>14708</v>
      </c>
      <c r="D8518" s="2"/>
      <c r="E8518" s="2">
        <v>1</v>
      </c>
      <c r="F8518" s="9">
        <v>106</v>
      </c>
      <c r="G8518" s="8">
        <f t="shared" si="264"/>
        <v>11.254663089171975</v>
      </c>
      <c r="H8518" s="8">
        <v>10.718726751592358</v>
      </c>
      <c r="I8518" s="19">
        <f t="shared" si="265"/>
        <v>1192.9942874522294</v>
      </c>
    </row>
    <row r="8519" spans="1:9" hidden="1">
      <c r="A8519" s="11" t="s">
        <v>11260</v>
      </c>
      <c r="B8519" s="2" t="s">
        <v>14709</v>
      </c>
      <c r="C8519" s="2" t="s">
        <v>14710</v>
      </c>
      <c r="D8519" s="2"/>
      <c r="E8519" s="2">
        <v>1</v>
      </c>
      <c r="F8519" s="9"/>
      <c r="G8519" s="8">
        <f t="shared" si="264"/>
        <v>7.7597826369863023</v>
      </c>
      <c r="H8519" s="8">
        <v>7.3902691780821925</v>
      </c>
      <c r="I8519" s="19">
        <f t="shared" si="265"/>
        <v>0</v>
      </c>
    </row>
    <row r="8520" spans="1:9" hidden="1">
      <c r="A8520" s="11" t="s">
        <v>11260</v>
      </c>
      <c r="B8520" s="2" t="s">
        <v>14711</v>
      </c>
      <c r="C8520" s="2" t="s">
        <v>14712</v>
      </c>
      <c r="D8520" s="2"/>
      <c r="E8520" s="2">
        <v>1</v>
      </c>
      <c r="F8520" s="9"/>
      <c r="G8520" s="8">
        <f t="shared" si="264"/>
        <v>9.2359728210116732</v>
      </c>
      <c r="H8520" s="8">
        <v>8.7961645914396893</v>
      </c>
      <c r="I8520" s="19">
        <f t="shared" si="265"/>
        <v>0</v>
      </c>
    </row>
    <row r="8521" spans="1:9" hidden="1">
      <c r="A8521" s="11" t="s">
        <v>11260</v>
      </c>
      <c r="B8521" s="2" t="s">
        <v>14713</v>
      </c>
      <c r="C8521" s="2" t="s">
        <v>14714</v>
      </c>
      <c r="D8521" s="2"/>
      <c r="E8521" s="2">
        <v>1</v>
      </c>
      <c r="F8521" s="9"/>
      <c r="G8521" s="8">
        <f t="shared" si="264"/>
        <v>7.8689100000000014</v>
      </c>
      <c r="H8521" s="8">
        <v>7.4942000000000011</v>
      </c>
      <c r="I8521" s="19">
        <f t="shared" si="265"/>
        <v>0</v>
      </c>
    </row>
    <row r="8522" spans="1:9" hidden="1">
      <c r="A8522" s="11" t="s">
        <v>11260</v>
      </c>
      <c r="B8522" s="2" t="s">
        <v>14715</v>
      </c>
      <c r="C8522" s="2" t="s">
        <v>14716</v>
      </c>
      <c r="D8522" s="2"/>
      <c r="E8522" s="2">
        <v>1</v>
      </c>
      <c r="F8522" s="9"/>
      <c r="G8522" s="8">
        <f t="shared" si="264"/>
        <v>0.63440999999999992</v>
      </c>
      <c r="H8522" s="8">
        <v>0.60419999999999996</v>
      </c>
      <c r="I8522" s="19">
        <f t="shared" si="265"/>
        <v>0</v>
      </c>
    </row>
    <row r="8523" spans="1:9">
      <c r="A8523" s="11" t="s">
        <v>11260</v>
      </c>
      <c r="B8523" s="2" t="s">
        <v>14717</v>
      </c>
      <c r="C8523" s="2" t="s">
        <v>14718</v>
      </c>
      <c r="D8523" s="2"/>
      <c r="E8523" s="2">
        <v>1</v>
      </c>
      <c r="F8523" s="9">
        <v>2380</v>
      </c>
      <c r="G8523" s="8">
        <f t="shared" si="264"/>
        <v>1.113</v>
      </c>
      <c r="H8523" s="8">
        <v>1.06</v>
      </c>
      <c r="I8523" s="19">
        <f t="shared" si="265"/>
        <v>2648.94</v>
      </c>
    </row>
    <row r="8524" spans="1:9" hidden="1">
      <c r="A8524" s="11" t="s">
        <v>11260</v>
      </c>
      <c r="B8524" s="2" t="s">
        <v>14719</v>
      </c>
      <c r="C8524" s="2" t="s">
        <v>14720</v>
      </c>
      <c r="D8524" s="2"/>
      <c r="E8524" s="2">
        <v>1</v>
      </c>
      <c r="F8524" s="9"/>
      <c r="G8524" s="8">
        <f t="shared" si="264"/>
        <v>1.1352600000000002</v>
      </c>
      <c r="H8524" s="8">
        <v>1.0812000000000002</v>
      </c>
      <c r="I8524" s="19">
        <f t="shared" si="265"/>
        <v>0</v>
      </c>
    </row>
    <row r="8525" spans="1:9" hidden="1">
      <c r="A8525" s="11" t="s">
        <v>11260</v>
      </c>
      <c r="B8525" s="2" t="s">
        <v>14721</v>
      </c>
      <c r="C8525" s="2" t="s">
        <v>14722</v>
      </c>
      <c r="D8525" s="2"/>
      <c r="E8525" s="2">
        <v>1</v>
      </c>
      <c r="F8525" s="9"/>
      <c r="G8525" s="8">
        <f t="shared" si="264"/>
        <v>7.1670272614107882</v>
      </c>
      <c r="H8525" s="8">
        <v>6.8257402489626555</v>
      </c>
      <c r="I8525" s="19">
        <f t="shared" si="265"/>
        <v>0</v>
      </c>
    </row>
    <row r="8526" spans="1:9" hidden="1">
      <c r="A8526" s="11" t="s">
        <v>11260</v>
      </c>
      <c r="B8526" s="2" t="s">
        <v>14723</v>
      </c>
      <c r="C8526" s="2" t="s">
        <v>14724</v>
      </c>
      <c r="D8526" s="2"/>
      <c r="E8526" s="2">
        <v>1</v>
      </c>
      <c r="F8526" s="9"/>
      <c r="G8526" s="8">
        <f t="shared" si="264"/>
        <v>7.1670272614107882</v>
      </c>
      <c r="H8526" s="8">
        <v>6.8257402489626555</v>
      </c>
      <c r="I8526" s="19">
        <f t="shared" si="265"/>
        <v>0</v>
      </c>
    </row>
    <row r="8527" spans="1:9" hidden="1">
      <c r="A8527" s="11" t="s">
        <v>11260</v>
      </c>
      <c r="B8527" s="2" t="s">
        <v>14725</v>
      </c>
      <c r="C8527" s="2" t="s">
        <v>14726</v>
      </c>
      <c r="D8527" s="2"/>
      <c r="E8527" s="2">
        <v>1</v>
      </c>
      <c r="F8527" s="9"/>
      <c r="G8527" s="8">
        <f t="shared" si="264"/>
        <v>5.2870453491620122</v>
      </c>
      <c r="H8527" s="8">
        <v>5.0352812849162021</v>
      </c>
      <c r="I8527" s="19">
        <f t="shared" si="265"/>
        <v>0</v>
      </c>
    </row>
    <row r="8528" spans="1:9" hidden="1">
      <c r="A8528" s="11" t="s">
        <v>11260</v>
      </c>
      <c r="B8528" s="2" t="s">
        <v>14727</v>
      </c>
      <c r="C8528" s="2" t="s">
        <v>14728</v>
      </c>
      <c r="D8528" s="2"/>
      <c r="E8528" s="2">
        <v>1</v>
      </c>
      <c r="F8528" s="9"/>
      <c r="G8528" s="8">
        <f t="shared" si="264"/>
        <v>5.2870453491620122</v>
      </c>
      <c r="H8528" s="8">
        <v>5.0352812849162021</v>
      </c>
      <c r="I8528" s="19">
        <f t="shared" si="265"/>
        <v>0</v>
      </c>
    </row>
    <row r="8529" spans="1:9" hidden="1">
      <c r="A8529" s="11" t="s">
        <v>11260</v>
      </c>
      <c r="B8529" s="2" t="s">
        <v>14729</v>
      </c>
      <c r="C8529" s="2" t="s">
        <v>14730</v>
      </c>
      <c r="D8529" s="2"/>
      <c r="E8529" s="2">
        <v>1</v>
      </c>
      <c r="F8529" s="9"/>
      <c r="G8529" s="8">
        <f t="shared" si="264"/>
        <v>16.201499999999999</v>
      </c>
      <c r="H8529" s="8">
        <v>15.43</v>
      </c>
      <c r="I8529" s="19">
        <f t="shared" si="265"/>
        <v>0</v>
      </c>
    </row>
    <row r="8530" spans="1:9" hidden="1">
      <c r="A8530" s="11" t="s">
        <v>11260</v>
      </c>
      <c r="B8530" s="2" t="s">
        <v>14731</v>
      </c>
      <c r="C8530" s="2" t="s">
        <v>14732</v>
      </c>
      <c r="D8530" s="2"/>
      <c r="E8530" s="2">
        <v>1</v>
      </c>
      <c r="F8530" s="9"/>
      <c r="G8530" s="8">
        <f t="shared" si="264"/>
        <v>17.1402</v>
      </c>
      <c r="H8530" s="8">
        <v>16.324000000000002</v>
      </c>
      <c r="I8530" s="19">
        <f t="shared" si="265"/>
        <v>0</v>
      </c>
    </row>
    <row r="8531" spans="1:9">
      <c r="A8531" s="11" t="s">
        <v>11260</v>
      </c>
      <c r="B8531" s="2" t="s">
        <v>14733</v>
      </c>
      <c r="C8531" s="2" t="s">
        <v>14734</v>
      </c>
      <c r="D8531" s="2"/>
      <c r="E8531" s="2">
        <v>1</v>
      </c>
      <c r="F8531" s="9">
        <v>122</v>
      </c>
      <c r="G8531" s="8">
        <f t="shared" si="264"/>
        <v>10.71819</v>
      </c>
      <c r="H8531" s="8">
        <v>10.207800000000001</v>
      </c>
      <c r="I8531" s="19">
        <f t="shared" si="265"/>
        <v>1307.6191799999999</v>
      </c>
    </row>
    <row r="8532" spans="1:9" hidden="1">
      <c r="A8532" s="11" t="s">
        <v>11260</v>
      </c>
      <c r="B8532" s="2" t="s">
        <v>14735</v>
      </c>
      <c r="C8532" s="2" t="s">
        <v>14736</v>
      </c>
      <c r="D8532" s="2"/>
      <c r="E8532" s="2">
        <v>1</v>
      </c>
      <c r="F8532" s="9"/>
      <c r="G8532" s="8">
        <f t="shared" si="264"/>
        <v>18.868499999999997</v>
      </c>
      <c r="H8532" s="8">
        <v>17.97</v>
      </c>
      <c r="I8532" s="19">
        <f t="shared" si="265"/>
        <v>0</v>
      </c>
    </row>
    <row r="8533" spans="1:9" hidden="1">
      <c r="A8533" s="11" t="s">
        <v>11260</v>
      </c>
      <c r="B8533" s="2" t="s">
        <v>14737</v>
      </c>
      <c r="C8533" s="2" t="s">
        <v>14738</v>
      </c>
      <c r="D8533" s="2"/>
      <c r="E8533" s="2">
        <v>1</v>
      </c>
      <c r="F8533" s="9"/>
      <c r="G8533" s="8">
        <f t="shared" si="264"/>
        <v>19.95609</v>
      </c>
      <c r="H8533" s="8">
        <v>19.005800000000001</v>
      </c>
      <c r="I8533" s="19">
        <f t="shared" si="265"/>
        <v>0</v>
      </c>
    </row>
    <row r="8534" spans="1:9">
      <c r="A8534" s="11" t="s">
        <v>11260</v>
      </c>
      <c r="B8534" s="2" t="s">
        <v>14739</v>
      </c>
      <c r="C8534" s="2" t="s">
        <v>14740</v>
      </c>
      <c r="D8534" s="2"/>
      <c r="E8534" s="2">
        <v>1</v>
      </c>
      <c r="F8534" s="9">
        <v>7</v>
      </c>
      <c r="G8534" s="8">
        <f t="shared" si="264"/>
        <v>12.944190000000003</v>
      </c>
      <c r="H8534" s="8">
        <v>12.327800000000002</v>
      </c>
      <c r="I8534" s="19">
        <f t="shared" si="265"/>
        <v>90.609330000000014</v>
      </c>
    </row>
    <row r="8535" spans="1:9">
      <c r="A8535" s="11" t="s">
        <v>11260</v>
      </c>
      <c r="B8535" s="2" t="s">
        <v>14741</v>
      </c>
      <c r="C8535" s="2" t="s">
        <v>14742</v>
      </c>
      <c r="D8535" s="2"/>
      <c r="E8535" s="2">
        <v>1</v>
      </c>
      <c r="F8535" s="9">
        <v>32</v>
      </c>
      <c r="G8535" s="8">
        <f t="shared" si="264"/>
        <v>17.885910000000003</v>
      </c>
      <c r="H8535" s="8">
        <v>17.034200000000002</v>
      </c>
      <c r="I8535" s="19">
        <f t="shared" si="265"/>
        <v>572.34912000000008</v>
      </c>
    </row>
    <row r="8536" spans="1:9" hidden="1">
      <c r="A8536" s="11" t="s">
        <v>11260</v>
      </c>
      <c r="B8536" s="2" t="s">
        <v>14743</v>
      </c>
      <c r="C8536" s="2" t="s">
        <v>14744</v>
      </c>
      <c r="D8536" s="2"/>
      <c r="E8536" s="2">
        <v>1</v>
      </c>
      <c r="F8536" s="9"/>
      <c r="G8536" s="8">
        <f t="shared" ref="G8536:G8599" si="266">H8536+(H8536*5%)</f>
        <v>1.5582</v>
      </c>
      <c r="H8536" s="8">
        <v>1.484</v>
      </c>
      <c r="I8536" s="19">
        <f t="shared" ref="I8536:I8599" si="267">G8536*F8536</f>
        <v>0</v>
      </c>
    </row>
    <row r="8537" spans="1:9" hidden="1">
      <c r="A8537" s="11" t="s">
        <v>11260</v>
      </c>
      <c r="B8537" s="2" t="s">
        <v>14745</v>
      </c>
      <c r="C8537" s="2" t="s">
        <v>14746</v>
      </c>
      <c r="D8537" s="2"/>
      <c r="E8537" s="2">
        <v>1</v>
      </c>
      <c r="F8537" s="9"/>
      <c r="G8537" s="8">
        <f t="shared" si="266"/>
        <v>96.596766764533172</v>
      </c>
      <c r="H8537" s="8">
        <v>91.996920728126824</v>
      </c>
      <c r="I8537" s="19">
        <f t="shared" si="267"/>
        <v>0</v>
      </c>
    </row>
    <row r="8538" spans="1:9" hidden="1">
      <c r="A8538" s="11" t="s">
        <v>11260</v>
      </c>
      <c r="B8538" s="2" t="s">
        <v>14747</v>
      </c>
      <c r="C8538" s="2" t="s">
        <v>14748</v>
      </c>
      <c r="D8538" s="2"/>
      <c r="E8538" s="2">
        <v>1</v>
      </c>
      <c r="F8538" s="9"/>
      <c r="G8538" s="8">
        <f t="shared" si="266"/>
        <v>113.81467134831462</v>
      </c>
      <c r="H8538" s="8">
        <v>108.39492509363296</v>
      </c>
      <c r="I8538" s="19">
        <f t="shared" si="267"/>
        <v>0</v>
      </c>
    </row>
    <row r="8539" spans="1:9" hidden="1">
      <c r="A8539" s="11" t="s">
        <v>11260</v>
      </c>
      <c r="B8539" s="2" t="s">
        <v>14749</v>
      </c>
      <c r="C8539" s="2" t="s">
        <v>14750</v>
      </c>
      <c r="D8539" s="2"/>
      <c r="E8539" s="2">
        <v>1</v>
      </c>
      <c r="F8539" s="9"/>
      <c r="G8539" s="8">
        <f t="shared" si="266"/>
        <v>62.987872606635072</v>
      </c>
      <c r="H8539" s="8">
        <v>59.988450101557213</v>
      </c>
      <c r="I8539" s="19">
        <f t="shared" si="267"/>
        <v>0</v>
      </c>
    </row>
    <row r="8540" spans="1:9" hidden="1">
      <c r="A8540" s="11" t="s">
        <v>11260</v>
      </c>
      <c r="B8540" s="2" t="s">
        <v>14751</v>
      </c>
      <c r="C8540" s="2" t="s">
        <v>14752</v>
      </c>
      <c r="D8540" s="2"/>
      <c r="E8540" s="2">
        <v>1</v>
      </c>
      <c r="F8540" s="9"/>
      <c r="G8540" s="8">
        <f t="shared" si="266"/>
        <v>114.18617654930114</v>
      </c>
      <c r="H8540" s="8">
        <v>108.74873957076299</v>
      </c>
      <c r="I8540" s="19">
        <f t="shared" si="267"/>
        <v>0</v>
      </c>
    </row>
    <row r="8541" spans="1:9" hidden="1">
      <c r="A8541" s="11" t="s">
        <v>11260</v>
      </c>
      <c r="B8541" s="2" t="s">
        <v>14753</v>
      </c>
      <c r="C8541" s="2" t="s">
        <v>14754</v>
      </c>
      <c r="D8541" s="2" t="s">
        <v>812</v>
      </c>
      <c r="E8541" s="2">
        <v>1</v>
      </c>
      <c r="F8541" s="9"/>
      <c r="G8541" s="8">
        <f t="shared" si="266"/>
        <v>39.396000000000001</v>
      </c>
      <c r="H8541" s="8">
        <v>37.520000000000003</v>
      </c>
      <c r="I8541" s="19">
        <f t="shared" si="267"/>
        <v>0</v>
      </c>
    </row>
    <row r="8542" spans="1:9" hidden="1">
      <c r="A8542" s="11" t="s">
        <v>11260</v>
      </c>
      <c r="B8542" s="2" t="s">
        <v>14755</v>
      </c>
      <c r="C8542" s="2" t="s">
        <v>14756</v>
      </c>
      <c r="D8542" s="2"/>
      <c r="E8542" s="2">
        <v>1</v>
      </c>
      <c r="F8542" s="9"/>
      <c r="G8542" s="8">
        <f t="shared" si="266"/>
        <v>82.773810000000012</v>
      </c>
      <c r="H8542" s="8">
        <v>78.832200000000014</v>
      </c>
      <c r="I8542" s="19">
        <f t="shared" si="267"/>
        <v>0</v>
      </c>
    </row>
    <row r="8543" spans="1:9" hidden="1">
      <c r="A8543" s="11" t="s">
        <v>11260</v>
      </c>
      <c r="B8543" s="2" t="s">
        <v>14757</v>
      </c>
      <c r="C8543" s="2" t="s">
        <v>14758</v>
      </c>
      <c r="D8543" s="2"/>
      <c r="E8543" s="2">
        <v>1</v>
      </c>
      <c r="F8543" s="9"/>
      <c r="G8543" s="8">
        <f t="shared" si="266"/>
        <v>54.635476168136606</v>
      </c>
      <c r="H8543" s="8">
        <v>52.033786826796771</v>
      </c>
      <c r="I8543" s="19">
        <f t="shared" si="267"/>
        <v>0</v>
      </c>
    </row>
    <row r="8544" spans="1:9">
      <c r="A8544" s="11" t="s">
        <v>11260</v>
      </c>
      <c r="B8544" s="2" t="s">
        <v>14759</v>
      </c>
      <c r="C8544" s="2" t="s">
        <v>14760</v>
      </c>
      <c r="D8544" s="2"/>
      <c r="E8544" s="2">
        <v>1</v>
      </c>
      <c r="F8544" s="9">
        <v>3</v>
      </c>
      <c r="G8544" s="8">
        <f t="shared" si="266"/>
        <v>59.5339147067521</v>
      </c>
      <c r="H8544" s="8">
        <v>56.698966387382953</v>
      </c>
      <c r="I8544" s="19">
        <f t="shared" si="267"/>
        <v>178.60174412025628</v>
      </c>
    </row>
    <row r="8545" spans="1:9" hidden="1">
      <c r="A8545" s="11" t="s">
        <v>11260</v>
      </c>
      <c r="B8545" s="2" t="s">
        <v>14761</v>
      </c>
      <c r="C8545" s="2" t="s">
        <v>14762</v>
      </c>
      <c r="D8545" s="2"/>
      <c r="E8545" s="2">
        <v>1</v>
      </c>
      <c r="F8545" s="9"/>
      <c r="G8545" s="8">
        <f t="shared" si="266"/>
        <v>46.846170000000008</v>
      </c>
      <c r="H8545" s="8">
        <v>44.615400000000008</v>
      </c>
      <c r="I8545" s="19">
        <f t="shared" si="267"/>
        <v>0</v>
      </c>
    </row>
    <row r="8546" spans="1:9" hidden="1">
      <c r="A8546" s="11" t="s">
        <v>11260</v>
      </c>
      <c r="B8546" s="2" t="s">
        <v>14763</v>
      </c>
      <c r="C8546" s="2" t="s">
        <v>14764</v>
      </c>
      <c r="D8546" s="2"/>
      <c r="E8546" s="2">
        <v>1</v>
      </c>
      <c r="F8546" s="9"/>
      <c r="G8546" s="8">
        <f t="shared" si="266"/>
        <v>12.78837</v>
      </c>
      <c r="H8546" s="8">
        <v>12.179400000000001</v>
      </c>
      <c r="I8546" s="19">
        <f t="shared" si="267"/>
        <v>0</v>
      </c>
    </row>
    <row r="8547" spans="1:9" hidden="1">
      <c r="A8547" s="11" t="s">
        <v>11260</v>
      </c>
      <c r="B8547" s="2" t="s">
        <v>14765</v>
      </c>
      <c r="C8547" s="2" t="s">
        <v>14766</v>
      </c>
      <c r="D8547" s="2"/>
      <c r="E8547" s="2">
        <v>1</v>
      </c>
      <c r="F8547" s="9"/>
      <c r="G8547" s="8">
        <f t="shared" si="266"/>
        <v>41.080829999999999</v>
      </c>
      <c r="H8547" s="8">
        <v>39.124600000000001</v>
      </c>
      <c r="I8547" s="19">
        <f t="shared" si="267"/>
        <v>0</v>
      </c>
    </row>
    <row r="8548" spans="1:9" hidden="1">
      <c r="A8548" s="11" t="s">
        <v>11260</v>
      </c>
      <c r="B8548" s="2" t="s">
        <v>14767</v>
      </c>
      <c r="C8548" s="2" t="s">
        <v>14768</v>
      </c>
      <c r="D8548" s="2"/>
      <c r="E8548" s="2">
        <v>1</v>
      </c>
      <c r="F8548" s="9"/>
      <c r="G8548" s="8">
        <f t="shared" si="266"/>
        <v>48.927480000000003</v>
      </c>
      <c r="H8548" s="8">
        <v>46.5976</v>
      </c>
      <c r="I8548" s="19">
        <f t="shared" si="267"/>
        <v>0</v>
      </c>
    </row>
    <row r="8549" spans="1:9" hidden="1">
      <c r="A8549" s="11" t="s">
        <v>11260</v>
      </c>
      <c r="B8549" s="2" t="s">
        <v>14769</v>
      </c>
      <c r="C8549" s="2" t="s">
        <v>14770</v>
      </c>
      <c r="D8549" s="2"/>
      <c r="E8549" s="2">
        <v>1</v>
      </c>
      <c r="F8549" s="9"/>
      <c r="G8549" s="8">
        <f t="shared" si="266"/>
        <v>178.10226000000003</v>
      </c>
      <c r="H8549" s="8">
        <v>169.62120000000002</v>
      </c>
      <c r="I8549" s="19">
        <f t="shared" si="267"/>
        <v>0</v>
      </c>
    </row>
    <row r="8550" spans="1:9" hidden="1">
      <c r="A8550" s="11" t="s">
        <v>11260</v>
      </c>
      <c r="B8550" s="2" t="s">
        <v>14771</v>
      </c>
      <c r="C8550" s="2" t="s">
        <v>14772</v>
      </c>
      <c r="D8550" s="2"/>
      <c r="E8550" s="2">
        <v>1</v>
      </c>
      <c r="F8550" s="9"/>
      <c r="G8550" s="8">
        <f t="shared" si="266"/>
        <v>22.059660000000001</v>
      </c>
      <c r="H8550" s="8">
        <v>21.0092</v>
      </c>
      <c r="I8550" s="19">
        <f t="shared" si="267"/>
        <v>0</v>
      </c>
    </row>
    <row r="8551" spans="1:9" hidden="1">
      <c r="A8551" s="11" t="s">
        <v>11260</v>
      </c>
      <c r="B8551" s="2" t="s">
        <v>14773</v>
      </c>
      <c r="C8551" s="2" t="s">
        <v>14774</v>
      </c>
      <c r="D8551" s="2"/>
      <c r="E8551" s="2">
        <v>1</v>
      </c>
      <c r="F8551" s="9"/>
      <c r="G8551" s="8">
        <f t="shared" si="266"/>
        <v>15.75</v>
      </c>
      <c r="H8551" s="8">
        <v>15</v>
      </c>
      <c r="I8551" s="19">
        <f t="shared" si="267"/>
        <v>0</v>
      </c>
    </row>
    <row r="8552" spans="1:9" hidden="1">
      <c r="A8552" s="11" t="s">
        <v>11260</v>
      </c>
      <c r="B8552" s="2" t="s">
        <v>696</v>
      </c>
      <c r="C8552" s="2" t="s">
        <v>14775</v>
      </c>
      <c r="D8552" s="2"/>
      <c r="E8552" s="2">
        <v>1</v>
      </c>
      <c r="F8552" s="9"/>
      <c r="G8552" s="8">
        <f t="shared" si="266"/>
        <v>79.074149606299216</v>
      </c>
      <c r="H8552" s="8">
        <v>75.308713910761156</v>
      </c>
      <c r="I8552" s="19">
        <f t="shared" si="267"/>
        <v>0</v>
      </c>
    </row>
    <row r="8553" spans="1:9" hidden="1">
      <c r="A8553" s="11" t="s">
        <v>11260</v>
      </c>
      <c r="B8553" s="2" t="s">
        <v>698</v>
      </c>
      <c r="C8553" s="2" t="s">
        <v>14776</v>
      </c>
      <c r="D8553" s="2"/>
      <c r="E8553" s="2">
        <v>1</v>
      </c>
      <c r="F8553" s="9"/>
      <c r="G8553" s="8">
        <f t="shared" si="266"/>
        <v>82.753596078253779</v>
      </c>
      <c r="H8553" s="8">
        <v>78.812948645955984</v>
      </c>
      <c r="I8553" s="19">
        <f t="shared" si="267"/>
        <v>0</v>
      </c>
    </row>
    <row r="8554" spans="1:9" hidden="1">
      <c r="A8554" s="11" t="s">
        <v>11260</v>
      </c>
      <c r="B8554" s="2" t="s">
        <v>700</v>
      </c>
      <c r="C8554" s="2" t="s">
        <v>14777</v>
      </c>
      <c r="D8554" s="2"/>
      <c r="E8554" s="2">
        <v>1</v>
      </c>
      <c r="F8554" s="9"/>
      <c r="G8554" s="8">
        <f t="shared" si="266"/>
        <v>88.487078662613982</v>
      </c>
      <c r="H8554" s="8">
        <v>84.27340825010856</v>
      </c>
      <c r="I8554" s="19">
        <f t="shared" si="267"/>
        <v>0</v>
      </c>
    </row>
    <row r="8555" spans="1:9" hidden="1">
      <c r="A8555" s="11" t="s">
        <v>11260</v>
      </c>
      <c r="B8555" s="2" t="s">
        <v>14778</v>
      </c>
      <c r="C8555" s="2" t="s">
        <v>14779</v>
      </c>
      <c r="D8555" s="2"/>
      <c r="E8555" s="2">
        <v>1</v>
      </c>
      <c r="F8555" s="9"/>
      <c r="G8555" s="8">
        <f t="shared" si="266"/>
        <v>0.6207718309859156</v>
      </c>
      <c r="H8555" s="8">
        <v>0.59121126760563392</v>
      </c>
      <c r="I8555" s="19">
        <f t="shared" si="267"/>
        <v>0</v>
      </c>
    </row>
    <row r="8556" spans="1:9" hidden="1">
      <c r="A8556" s="11" t="s">
        <v>11260</v>
      </c>
      <c r="B8556" s="2" t="s">
        <v>14780</v>
      </c>
      <c r="C8556" s="2" t="s">
        <v>14781</v>
      </c>
      <c r="D8556" s="2"/>
      <c r="E8556" s="2">
        <v>1</v>
      </c>
      <c r="F8556" s="9"/>
      <c r="G8556" s="8">
        <f t="shared" si="266"/>
        <v>0.7436488888888888</v>
      </c>
      <c r="H8556" s="8">
        <v>0.708237037037037</v>
      </c>
      <c r="I8556" s="19">
        <f t="shared" si="267"/>
        <v>0</v>
      </c>
    </row>
    <row r="8557" spans="1:9" hidden="1">
      <c r="A8557" s="11" t="s">
        <v>11260</v>
      </c>
      <c r="B8557" s="2" t="s">
        <v>14782</v>
      </c>
      <c r="C8557" s="2" t="s">
        <v>14783</v>
      </c>
      <c r="D8557" s="2"/>
      <c r="E8557" s="2">
        <v>1</v>
      </c>
      <c r="F8557" s="9"/>
      <c r="G8557" s="8">
        <f t="shared" si="266"/>
        <v>0.90227200000000007</v>
      </c>
      <c r="H8557" s="8">
        <v>0.85930666666666677</v>
      </c>
      <c r="I8557" s="19">
        <f t="shared" si="267"/>
        <v>0</v>
      </c>
    </row>
    <row r="8558" spans="1:9" hidden="1">
      <c r="A8558" s="11" t="s">
        <v>11260</v>
      </c>
      <c r="B8558" s="2" t="s">
        <v>14784</v>
      </c>
      <c r="C8558" s="2" t="s">
        <v>14785</v>
      </c>
      <c r="D8558" s="2"/>
      <c r="E8558" s="2">
        <v>1</v>
      </c>
      <c r="F8558" s="9"/>
      <c r="G8558" s="8">
        <f t="shared" si="266"/>
        <v>3.2341108800000002</v>
      </c>
      <c r="H8558" s="8">
        <v>3.0801056</v>
      </c>
      <c r="I8558" s="19">
        <f t="shared" si="267"/>
        <v>0</v>
      </c>
    </row>
    <row r="8559" spans="1:9" hidden="1">
      <c r="A8559" s="11" t="s">
        <v>11260</v>
      </c>
      <c r="B8559" s="2" t="s">
        <v>14786</v>
      </c>
      <c r="C8559" s="2" t="s">
        <v>14787</v>
      </c>
      <c r="D8559" s="2"/>
      <c r="E8559" s="2">
        <v>1</v>
      </c>
      <c r="F8559" s="9"/>
      <c r="G8559" s="8">
        <f t="shared" si="266"/>
        <v>7.188660096153848</v>
      </c>
      <c r="H8559" s="8">
        <v>6.8463429487179503</v>
      </c>
      <c r="I8559" s="19">
        <f t="shared" si="267"/>
        <v>0</v>
      </c>
    </row>
    <row r="8560" spans="1:9" hidden="1">
      <c r="A8560" s="11" t="s">
        <v>11260</v>
      </c>
      <c r="B8560" s="2" t="s">
        <v>14788</v>
      </c>
      <c r="C8560" s="2" t="s">
        <v>14789</v>
      </c>
      <c r="D8560" s="2"/>
      <c r="E8560" s="2">
        <v>1</v>
      </c>
      <c r="F8560" s="9"/>
      <c r="G8560" s="8">
        <f t="shared" si="266"/>
        <v>4.7897873161764704</v>
      </c>
      <c r="H8560" s="8">
        <v>4.5617022058823524</v>
      </c>
      <c r="I8560" s="19">
        <f t="shared" si="267"/>
        <v>0</v>
      </c>
    </row>
    <row r="8561" spans="1:9" hidden="1">
      <c r="A8561" s="11" t="s">
        <v>11260</v>
      </c>
      <c r="B8561" s="2" t="s">
        <v>14790</v>
      </c>
      <c r="C8561" s="2" t="s">
        <v>14787</v>
      </c>
      <c r="D8561" s="2"/>
      <c r="E8561" s="2">
        <v>1</v>
      </c>
      <c r="F8561" s="9"/>
      <c r="G8561" s="8">
        <f t="shared" si="266"/>
        <v>6.208422541966427</v>
      </c>
      <c r="H8561" s="8">
        <v>5.9127833733013588</v>
      </c>
      <c r="I8561" s="19">
        <f t="shared" si="267"/>
        <v>0</v>
      </c>
    </row>
    <row r="8562" spans="1:9" hidden="1">
      <c r="A8562" s="11" t="s">
        <v>11260</v>
      </c>
      <c r="B8562" s="2" t="s">
        <v>14791</v>
      </c>
      <c r="C8562" s="2" t="s">
        <v>14792</v>
      </c>
      <c r="D8562" s="2"/>
      <c r="E8562" s="2">
        <v>1</v>
      </c>
      <c r="F8562" s="9"/>
      <c r="G8562" s="8">
        <f t="shared" si="266"/>
        <v>5.796785944841675</v>
      </c>
      <c r="H8562" s="8">
        <v>5.5207485188968333</v>
      </c>
      <c r="I8562" s="19">
        <f t="shared" si="267"/>
        <v>0</v>
      </c>
    </row>
    <row r="8563" spans="1:9" hidden="1">
      <c r="A8563" s="11" t="s">
        <v>11260</v>
      </c>
      <c r="B8563" s="2" t="s">
        <v>14793</v>
      </c>
      <c r="C8563" s="2" t="s">
        <v>14794</v>
      </c>
      <c r="D8563" s="2"/>
      <c r="E8563" s="2">
        <v>1</v>
      </c>
      <c r="F8563" s="9"/>
      <c r="G8563" s="8">
        <f t="shared" si="266"/>
        <v>85.212176877448243</v>
      </c>
      <c r="H8563" s="8">
        <v>81.154454168998328</v>
      </c>
      <c r="I8563" s="19">
        <f t="shared" si="267"/>
        <v>0</v>
      </c>
    </row>
    <row r="8564" spans="1:9" hidden="1">
      <c r="A8564" s="11" t="s">
        <v>11260</v>
      </c>
      <c r="B8564" s="2" t="s">
        <v>14795</v>
      </c>
      <c r="C8564" s="2" t="s">
        <v>14796</v>
      </c>
      <c r="D8564" s="2"/>
      <c r="E8564" s="2">
        <v>1</v>
      </c>
      <c r="F8564" s="9"/>
      <c r="G8564" s="8">
        <f t="shared" si="266"/>
        <v>102.18311647442874</v>
      </c>
      <c r="H8564" s="8">
        <v>97.317253785170237</v>
      </c>
      <c r="I8564" s="19">
        <f t="shared" si="267"/>
        <v>0</v>
      </c>
    </row>
    <row r="8565" spans="1:9" hidden="1">
      <c r="A8565" s="11" t="s">
        <v>11260</v>
      </c>
      <c r="B8565" s="2" t="s">
        <v>14797</v>
      </c>
      <c r="C8565" s="2" t="s">
        <v>14798</v>
      </c>
      <c r="D8565" s="2"/>
      <c r="E8565" s="2">
        <v>1</v>
      </c>
      <c r="F8565" s="9"/>
      <c r="G8565" s="8">
        <f t="shared" si="266"/>
        <v>119.24148003197655</v>
      </c>
      <c r="H8565" s="8">
        <v>113.56331431616815</v>
      </c>
      <c r="I8565" s="19">
        <f t="shared" si="267"/>
        <v>0</v>
      </c>
    </row>
    <row r="8566" spans="1:9" hidden="1">
      <c r="A8566" s="11" t="s">
        <v>11260</v>
      </c>
      <c r="B8566" s="2" t="s">
        <v>14799</v>
      </c>
      <c r="C8566" s="2" t="s">
        <v>14800</v>
      </c>
      <c r="D8566" s="2"/>
      <c r="E8566" s="2">
        <v>1</v>
      </c>
      <c r="F8566" s="9"/>
      <c r="G8566" s="8">
        <f t="shared" si="266"/>
        <v>73.749807678683865</v>
      </c>
      <c r="H8566" s="8">
        <v>70.237912074937014</v>
      </c>
      <c r="I8566" s="19">
        <f t="shared" si="267"/>
        <v>0</v>
      </c>
    </row>
    <row r="8567" spans="1:9" hidden="1">
      <c r="A8567" s="11" t="s">
        <v>11260</v>
      </c>
      <c r="B8567" s="2" t="s">
        <v>14801</v>
      </c>
      <c r="C8567" s="2" t="s">
        <v>14802</v>
      </c>
      <c r="D8567" s="2"/>
      <c r="E8567" s="2">
        <v>1</v>
      </c>
      <c r="F8567" s="9"/>
      <c r="G8567" s="8">
        <f t="shared" si="266"/>
        <v>145.28365499591257</v>
      </c>
      <c r="H8567" s="8">
        <v>138.36538571039293</v>
      </c>
      <c r="I8567" s="19">
        <f t="shared" si="267"/>
        <v>0</v>
      </c>
    </row>
    <row r="8568" spans="1:9" hidden="1">
      <c r="A8568" s="11" t="s">
        <v>11260</v>
      </c>
      <c r="B8568" s="2" t="s">
        <v>14803</v>
      </c>
      <c r="C8568" s="2" t="s">
        <v>14804</v>
      </c>
      <c r="D8568" s="2"/>
      <c r="E8568" s="2">
        <v>1</v>
      </c>
      <c r="F8568" s="9"/>
      <c r="G8568" s="8">
        <f t="shared" si="266"/>
        <v>141.73791099215248</v>
      </c>
      <c r="H8568" s="8">
        <v>134.98848665919283</v>
      </c>
      <c r="I8568" s="19">
        <f t="shared" si="267"/>
        <v>0</v>
      </c>
    </row>
    <row r="8569" spans="1:9" hidden="1">
      <c r="A8569" s="11" t="s">
        <v>11260</v>
      </c>
      <c r="B8569" s="2" t="s">
        <v>14805</v>
      </c>
      <c r="C8569" s="2" t="s">
        <v>14806</v>
      </c>
      <c r="D8569" s="2"/>
      <c r="E8569" s="2">
        <v>1</v>
      </c>
      <c r="F8569" s="9"/>
      <c r="G8569" s="8">
        <f t="shared" si="266"/>
        <v>236.22772031960994</v>
      </c>
      <c r="H8569" s="8">
        <v>224.97878125677138</v>
      </c>
      <c r="I8569" s="19">
        <f t="shared" si="267"/>
        <v>0</v>
      </c>
    </row>
    <row r="8570" spans="1:9" hidden="1">
      <c r="A8570" s="11" t="s">
        <v>11260</v>
      </c>
      <c r="B8570" s="2" t="s">
        <v>14807</v>
      </c>
      <c r="C8570" s="2" t="s">
        <v>14808</v>
      </c>
      <c r="D8570" s="2"/>
      <c r="E8570" s="2">
        <v>1</v>
      </c>
      <c r="F8570" s="9"/>
      <c r="G8570" s="8">
        <f t="shared" si="266"/>
        <v>78.444240000000008</v>
      </c>
      <c r="H8570" s="8">
        <v>74.708800000000011</v>
      </c>
      <c r="I8570" s="19">
        <f t="shared" si="267"/>
        <v>0</v>
      </c>
    </row>
    <row r="8571" spans="1:9" hidden="1">
      <c r="A8571" s="11" t="s">
        <v>11260</v>
      </c>
      <c r="B8571" s="2" t="s">
        <v>14809</v>
      </c>
      <c r="C8571" s="2" t="s">
        <v>14810</v>
      </c>
      <c r="D8571" s="2"/>
      <c r="E8571" s="2">
        <v>1</v>
      </c>
      <c r="F8571" s="9"/>
      <c r="G8571" s="8">
        <f t="shared" si="266"/>
        <v>0.95176540540540522</v>
      </c>
      <c r="H8571" s="8">
        <v>0.9064432432432431</v>
      </c>
      <c r="I8571" s="19">
        <f t="shared" si="267"/>
        <v>0</v>
      </c>
    </row>
    <row r="8572" spans="1:9" hidden="1">
      <c r="A8572" s="11" t="s">
        <v>11260</v>
      </c>
      <c r="B8572" s="2" t="s">
        <v>14811</v>
      </c>
      <c r="C8572" s="2" t="s">
        <v>14812</v>
      </c>
      <c r="D8572" s="2"/>
      <c r="E8572" s="2">
        <v>1</v>
      </c>
      <c r="F8572" s="9"/>
      <c r="G8572" s="8">
        <f t="shared" si="266"/>
        <v>0.90487804878048794</v>
      </c>
      <c r="H8572" s="8">
        <v>0.861788617886179</v>
      </c>
      <c r="I8572" s="19">
        <f t="shared" si="267"/>
        <v>0</v>
      </c>
    </row>
    <row r="8573" spans="1:9" hidden="1">
      <c r="A8573" s="11" t="s">
        <v>11260</v>
      </c>
      <c r="B8573" s="2" t="s">
        <v>14813</v>
      </c>
      <c r="C8573" s="2" t="s">
        <v>14814</v>
      </c>
      <c r="D8573" s="2"/>
      <c r="E8573" s="2">
        <v>1</v>
      </c>
      <c r="F8573" s="9"/>
      <c r="G8573" s="8">
        <f t="shared" si="266"/>
        <v>3.1310747438752786</v>
      </c>
      <c r="H8573" s="8">
        <v>2.9819759465478843</v>
      </c>
      <c r="I8573" s="19">
        <f t="shared" si="267"/>
        <v>0</v>
      </c>
    </row>
    <row r="8574" spans="1:9" hidden="1">
      <c r="A8574" s="11" t="s">
        <v>11260</v>
      </c>
      <c r="B8574" s="2" t="s">
        <v>14815</v>
      </c>
      <c r="C8574" s="2" t="s">
        <v>14816</v>
      </c>
      <c r="D8574" s="2"/>
      <c r="E8574" s="2">
        <v>1</v>
      </c>
      <c r="F8574" s="9"/>
      <c r="G8574" s="8">
        <f t="shared" si="266"/>
        <v>0.97558730769230761</v>
      </c>
      <c r="H8574" s="8">
        <v>0.9291307692307692</v>
      </c>
      <c r="I8574" s="19">
        <f t="shared" si="267"/>
        <v>0</v>
      </c>
    </row>
    <row r="8575" spans="1:9" hidden="1">
      <c r="A8575" s="11" t="s">
        <v>11260</v>
      </c>
      <c r="B8575" s="2" t="s">
        <v>14817</v>
      </c>
      <c r="C8575" s="2" t="s">
        <v>14818</v>
      </c>
      <c r="D8575" s="2"/>
      <c r="E8575" s="2">
        <v>1</v>
      </c>
      <c r="F8575" s="9"/>
      <c r="G8575" s="8">
        <f t="shared" si="266"/>
        <v>1.0625671874999998</v>
      </c>
      <c r="H8575" s="8">
        <v>1.0119687499999999</v>
      </c>
      <c r="I8575" s="19">
        <f t="shared" si="267"/>
        <v>0</v>
      </c>
    </row>
    <row r="8576" spans="1:9" hidden="1">
      <c r="A8576" s="11" t="s">
        <v>11260</v>
      </c>
      <c r="B8576" s="2" t="s">
        <v>14819</v>
      </c>
      <c r="C8576" s="2" t="s">
        <v>14820</v>
      </c>
      <c r="D8576" s="2"/>
      <c r="E8576" s="2">
        <v>1</v>
      </c>
      <c r="F8576" s="9"/>
      <c r="G8576" s="8">
        <f t="shared" si="266"/>
        <v>5.8145862385321108</v>
      </c>
      <c r="H8576" s="8">
        <v>5.5377011795543911</v>
      </c>
      <c r="I8576" s="19">
        <f t="shared" si="267"/>
        <v>0</v>
      </c>
    </row>
    <row r="8577" spans="1:9" hidden="1">
      <c r="A8577" s="11" t="s">
        <v>11260</v>
      </c>
      <c r="B8577" s="2" t="s">
        <v>14821</v>
      </c>
      <c r="C8577" s="2" t="s">
        <v>14822</v>
      </c>
      <c r="D8577" s="2"/>
      <c r="E8577" s="2">
        <v>1</v>
      </c>
      <c r="F8577" s="9"/>
      <c r="G8577" s="8">
        <f t="shared" si="266"/>
        <v>1.2869459999999997</v>
      </c>
      <c r="H8577" s="8">
        <v>1.2256628571428569</v>
      </c>
      <c r="I8577" s="19">
        <f t="shared" si="267"/>
        <v>0</v>
      </c>
    </row>
    <row r="8578" spans="1:9" hidden="1">
      <c r="A8578" s="11" t="s">
        <v>11260</v>
      </c>
      <c r="B8578" s="2" t="s">
        <v>14823</v>
      </c>
      <c r="C8578" s="2" t="s">
        <v>14824</v>
      </c>
      <c r="D8578" s="2"/>
      <c r="E8578" s="2">
        <v>1</v>
      </c>
      <c r="F8578" s="9"/>
      <c r="G8578" s="8">
        <f t="shared" si="266"/>
        <v>1.3781265671641791</v>
      </c>
      <c r="H8578" s="8">
        <v>1.3125014925373135</v>
      </c>
      <c r="I8578" s="19">
        <f t="shared" si="267"/>
        <v>0</v>
      </c>
    </row>
    <row r="8579" spans="1:9" hidden="1">
      <c r="A8579" s="11" t="s">
        <v>11260</v>
      </c>
      <c r="B8579" s="2" t="s">
        <v>14825</v>
      </c>
      <c r="C8579" s="2" t="s">
        <v>14826</v>
      </c>
      <c r="D8579" s="2"/>
      <c r="E8579" s="2">
        <v>1</v>
      </c>
      <c r="F8579" s="9"/>
      <c r="G8579" s="8">
        <f t="shared" si="266"/>
        <v>1.2066836423841061</v>
      </c>
      <c r="H8579" s="8">
        <v>1.1492225165562915</v>
      </c>
      <c r="I8579" s="19">
        <f t="shared" si="267"/>
        <v>0</v>
      </c>
    </row>
    <row r="8580" spans="1:9" hidden="1">
      <c r="A8580" s="11" t="s">
        <v>11260</v>
      </c>
      <c r="B8580" s="2" t="s">
        <v>14827</v>
      </c>
      <c r="C8580" s="2" t="s">
        <v>14828</v>
      </c>
      <c r="D8580" s="2"/>
      <c r="E8580" s="2">
        <v>1</v>
      </c>
      <c r="F8580" s="9"/>
      <c r="G8580" s="8">
        <f t="shared" si="266"/>
        <v>1.45482889380531</v>
      </c>
      <c r="H8580" s="8">
        <v>1.3855513274336286</v>
      </c>
      <c r="I8580" s="19">
        <f t="shared" si="267"/>
        <v>0</v>
      </c>
    </row>
    <row r="8581" spans="1:9" hidden="1">
      <c r="A8581" s="11" t="s">
        <v>11260</v>
      </c>
      <c r="B8581" s="2" t="s">
        <v>14829</v>
      </c>
      <c r="C8581" s="2" t="s">
        <v>14830</v>
      </c>
      <c r="D8581" s="2"/>
      <c r="E8581" s="2">
        <v>1</v>
      </c>
      <c r="F8581" s="9"/>
      <c r="G8581" s="8">
        <f t="shared" si="266"/>
        <v>3.5130449860205037</v>
      </c>
      <c r="H8581" s="8">
        <v>3.3457571295433368</v>
      </c>
      <c r="I8581" s="19">
        <f t="shared" si="267"/>
        <v>0</v>
      </c>
    </row>
    <row r="8582" spans="1:9" hidden="1">
      <c r="A8582" s="11" t="s">
        <v>11260</v>
      </c>
      <c r="B8582" s="2" t="s">
        <v>14831</v>
      </c>
      <c r="C8582" s="2" t="s">
        <v>14832</v>
      </c>
      <c r="D8582" s="2"/>
      <c r="E8582" s="2">
        <v>1</v>
      </c>
      <c r="F8582" s="9"/>
      <c r="G8582" s="8">
        <f t="shared" si="266"/>
        <v>1.2312770149253733</v>
      </c>
      <c r="H8582" s="8">
        <v>1.1726447761194032</v>
      </c>
      <c r="I8582" s="19">
        <f t="shared" si="267"/>
        <v>0</v>
      </c>
    </row>
    <row r="8583" spans="1:9" hidden="1">
      <c r="A8583" s="11" t="s">
        <v>11260</v>
      </c>
      <c r="B8583" s="2" t="s">
        <v>14833</v>
      </c>
      <c r="C8583" s="2" t="s">
        <v>14834</v>
      </c>
      <c r="D8583" s="2"/>
      <c r="E8583" s="2">
        <v>1</v>
      </c>
      <c r="F8583" s="9"/>
      <c r="G8583" s="8">
        <f t="shared" si="266"/>
        <v>1.5443588461538464</v>
      </c>
      <c r="H8583" s="8">
        <v>1.4708179487179489</v>
      </c>
      <c r="I8583" s="19">
        <f t="shared" si="267"/>
        <v>0</v>
      </c>
    </row>
    <row r="8584" spans="1:9" hidden="1">
      <c r="A8584" s="11" t="s">
        <v>11260</v>
      </c>
      <c r="B8584" s="2" t="s">
        <v>14835</v>
      </c>
      <c r="C8584" s="2" t="s">
        <v>14836</v>
      </c>
      <c r="D8584" s="2"/>
      <c r="E8584" s="2">
        <v>1</v>
      </c>
      <c r="F8584" s="9"/>
      <c r="G8584" s="8">
        <f t="shared" si="266"/>
        <v>1.562574797687861</v>
      </c>
      <c r="H8584" s="8">
        <v>1.488166473988439</v>
      </c>
      <c r="I8584" s="19">
        <f t="shared" si="267"/>
        <v>0</v>
      </c>
    </row>
    <row r="8585" spans="1:9" hidden="1">
      <c r="A8585" s="11" t="s">
        <v>11260</v>
      </c>
      <c r="B8585" s="2" t="s">
        <v>14837</v>
      </c>
      <c r="C8585" s="2" t="s">
        <v>14838</v>
      </c>
      <c r="D8585" s="2"/>
      <c r="E8585" s="2">
        <v>1</v>
      </c>
      <c r="F8585" s="9"/>
      <c r="G8585" s="8">
        <f t="shared" si="266"/>
        <v>1.53172572815534</v>
      </c>
      <c r="H8585" s="8">
        <v>1.4587864077669905</v>
      </c>
      <c r="I8585" s="19">
        <f t="shared" si="267"/>
        <v>0</v>
      </c>
    </row>
    <row r="8586" spans="1:9" hidden="1">
      <c r="A8586" s="11" t="s">
        <v>11260</v>
      </c>
      <c r="B8586" s="2" t="s">
        <v>14839</v>
      </c>
      <c r="C8586" s="2" t="s">
        <v>14840</v>
      </c>
      <c r="D8586" s="2"/>
      <c r="E8586" s="2">
        <v>1</v>
      </c>
      <c r="F8586" s="9"/>
      <c r="G8586" s="8">
        <f t="shared" si="266"/>
        <v>1.6860095000000002</v>
      </c>
      <c r="H8586" s="8">
        <v>1.6057233333333334</v>
      </c>
      <c r="I8586" s="19">
        <f t="shared" si="267"/>
        <v>0</v>
      </c>
    </row>
    <row r="8587" spans="1:9" hidden="1">
      <c r="A8587" s="11" t="s">
        <v>11260</v>
      </c>
      <c r="B8587" s="2" t="s">
        <v>14841</v>
      </c>
      <c r="C8587" s="2" t="s">
        <v>14842</v>
      </c>
      <c r="D8587" s="2"/>
      <c r="E8587" s="2">
        <v>1</v>
      </c>
      <c r="F8587" s="9"/>
      <c r="G8587" s="8">
        <f t="shared" si="266"/>
        <v>1.7171364</v>
      </c>
      <c r="H8587" s="8">
        <v>1.6353679999999999</v>
      </c>
      <c r="I8587" s="19">
        <f t="shared" si="267"/>
        <v>0</v>
      </c>
    </row>
    <row r="8588" spans="1:9" hidden="1">
      <c r="A8588" s="11" t="s">
        <v>11260</v>
      </c>
      <c r="B8588" s="2" t="s">
        <v>14843</v>
      </c>
      <c r="C8588" s="2" t="s">
        <v>14844</v>
      </c>
      <c r="D8588" s="2"/>
      <c r="E8588" s="2">
        <v>1</v>
      </c>
      <c r="F8588" s="9"/>
      <c r="G8588" s="8">
        <f t="shared" si="266"/>
        <v>7.1502868703427716</v>
      </c>
      <c r="H8588" s="8">
        <v>6.8097970193740682</v>
      </c>
      <c r="I8588" s="19">
        <f t="shared" si="267"/>
        <v>0</v>
      </c>
    </row>
    <row r="8589" spans="1:9" hidden="1">
      <c r="A8589" s="11" t="s">
        <v>11260</v>
      </c>
      <c r="B8589" s="2" t="s">
        <v>14845</v>
      </c>
      <c r="C8589" s="2" t="s">
        <v>14846</v>
      </c>
      <c r="D8589" s="2"/>
      <c r="E8589" s="2">
        <v>1</v>
      </c>
      <c r="F8589" s="9"/>
      <c r="G8589" s="8">
        <f t="shared" si="266"/>
        <v>2.3636888709677417</v>
      </c>
      <c r="H8589" s="8">
        <v>2.2511322580645161</v>
      </c>
      <c r="I8589" s="19">
        <f t="shared" si="267"/>
        <v>0</v>
      </c>
    </row>
    <row r="8590" spans="1:9" hidden="1">
      <c r="A8590" s="11" t="s">
        <v>11260</v>
      </c>
      <c r="B8590" s="2" t="s">
        <v>14847</v>
      </c>
      <c r="C8590" s="2" t="s">
        <v>14848</v>
      </c>
      <c r="D8590" s="2"/>
      <c r="E8590" s="2">
        <v>1</v>
      </c>
      <c r="F8590" s="9"/>
      <c r="G8590" s="8">
        <f t="shared" si="266"/>
        <v>79.223340000000022</v>
      </c>
      <c r="H8590" s="8">
        <v>75.450800000000015</v>
      </c>
      <c r="I8590" s="19">
        <f t="shared" si="267"/>
        <v>0</v>
      </c>
    </row>
    <row r="8591" spans="1:9" hidden="1">
      <c r="A8591" s="11" t="s">
        <v>11260</v>
      </c>
      <c r="B8591" s="2" t="s">
        <v>14849</v>
      </c>
      <c r="C8591" s="2" t="s">
        <v>14850</v>
      </c>
      <c r="D8591" s="2"/>
      <c r="E8591" s="2">
        <v>1</v>
      </c>
      <c r="F8591" s="9"/>
      <c r="G8591" s="8">
        <f t="shared" si="266"/>
        <v>50.363250000000001</v>
      </c>
      <c r="H8591" s="8">
        <v>47.965000000000003</v>
      </c>
      <c r="I8591" s="19">
        <f t="shared" si="267"/>
        <v>0</v>
      </c>
    </row>
    <row r="8592" spans="1:9" hidden="1">
      <c r="A8592" s="11" t="s">
        <v>11260</v>
      </c>
      <c r="B8592" s="2" t="s">
        <v>14851</v>
      </c>
      <c r="C8592" s="2" t="s">
        <v>14852</v>
      </c>
      <c r="D8592" s="2"/>
      <c r="E8592" s="2">
        <v>1</v>
      </c>
      <c r="F8592" s="9"/>
      <c r="G8592" s="8">
        <f t="shared" si="266"/>
        <v>75.261060000000015</v>
      </c>
      <c r="H8592" s="8">
        <v>71.677200000000013</v>
      </c>
      <c r="I8592" s="19">
        <f t="shared" si="267"/>
        <v>0</v>
      </c>
    </row>
    <row r="8593" spans="1:9" hidden="1">
      <c r="A8593" s="11" t="s">
        <v>11260</v>
      </c>
      <c r="B8593" s="2" t="s">
        <v>14853</v>
      </c>
      <c r="C8593" s="2" t="s">
        <v>14854</v>
      </c>
      <c r="D8593" s="2"/>
      <c r="E8593" s="2">
        <v>1</v>
      </c>
      <c r="F8593" s="9"/>
      <c r="G8593" s="8">
        <f t="shared" si="266"/>
        <v>0.77700000000000002</v>
      </c>
      <c r="H8593" s="8">
        <v>0.74</v>
      </c>
      <c r="I8593" s="19">
        <f t="shared" si="267"/>
        <v>0</v>
      </c>
    </row>
    <row r="8594" spans="1:9" hidden="1">
      <c r="A8594" s="11" t="s">
        <v>11260</v>
      </c>
      <c r="B8594" s="2" t="s">
        <v>14855</v>
      </c>
      <c r="C8594" s="2" t="s">
        <v>14856</v>
      </c>
      <c r="D8594" s="2"/>
      <c r="E8594" s="2">
        <v>1</v>
      </c>
      <c r="F8594" s="9"/>
      <c r="G8594" s="8">
        <f t="shared" si="266"/>
        <v>1.0122442105263159</v>
      </c>
      <c r="H8594" s="8">
        <v>0.96404210526315803</v>
      </c>
      <c r="I8594" s="19">
        <f t="shared" si="267"/>
        <v>0</v>
      </c>
    </row>
    <row r="8595" spans="1:9" hidden="1">
      <c r="A8595" s="11" t="s">
        <v>11260</v>
      </c>
      <c r="B8595" s="2" t="s">
        <v>14857</v>
      </c>
      <c r="C8595" s="2" t="s">
        <v>14858</v>
      </c>
      <c r="D8595" s="2"/>
      <c r="E8595" s="2">
        <v>1</v>
      </c>
      <c r="F8595" s="9"/>
      <c r="G8595" s="8">
        <f t="shared" si="266"/>
        <v>1.113</v>
      </c>
      <c r="H8595" s="8">
        <v>1.06</v>
      </c>
      <c r="I8595" s="19">
        <f t="shared" si="267"/>
        <v>0</v>
      </c>
    </row>
    <row r="8596" spans="1:9" hidden="1">
      <c r="A8596" s="11" t="s">
        <v>11260</v>
      </c>
      <c r="B8596" s="2" t="s">
        <v>14859</v>
      </c>
      <c r="C8596" s="2" t="s">
        <v>14860</v>
      </c>
      <c r="D8596" s="2"/>
      <c r="E8596" s="2">
        <v>1</v>
      </c>
      <c r="F8596" s="9"/>
      <c r="G8596" s="8">
        <f t="shared" si="266"/>
        <v>1.113</v>
      </c>
      <c r="H8596" s="8">
        <v>1.06</v>
      </c>
      <c r="I8596" s="19">
        <f t="shared" si="267"/>
        <v>0</v>
      </c>
    </row>
    <row r="8597" spans="1:9" hidden="1">
      <c r="A8597" s="11" t="s">
        <v>11260</v>
      </c>
      <c r="B8597" s="2" t="s">
        <v>664</v>
      </c>
      <c r="C8597" s="2" t="s">
        <v>14861</v>
      </c>
      <c r="D8597" s="2"/>
      <c r="E8597" s="2">
        <v>1</v>
      </c>
      <c r="F8597" s="9"/>
      <c r="G8597" s="8">
        <f t="shared" si="266"/>
        <v>84.242970000000014</v>
      </c>
      <c r="H8597" s="8">
        <v>80.231400000000008</v>
      </c>
      <c r="I8597" s="19">
        <f t="shared" si="267"/>
        <v>0</v>
      </c>
    </row>
    <row r="8598" spans="1:9" hidden="1">
      <c r="A8598" s="11" t="s">
        <v>11260</v>
      </c>
      <c r="B8598" s="2" t="s">
        <v>14862</v>
      </c>
      <c r="C8598" s="2" t="s">
        <v>14863</v>
      </c>
      <c r="D8598" s="2"/>
      <c r="E8598" s="2">
        <v>1</v>
      </c>
      <c r="F8598" s="9"/>
      <c r="G8598" s="8">
        <f t="shared" si="266"/>
        <v>0.24486000000000002</v>
      </c>
      <c r="H8598" s="8">
        <v>0.23320000000000002</v>
      </c>
      <c r="I8598" s="19">
        <f t="shared" si="267"/>
        <v>0</v>
      </c>
    </row>
    <row r="8599" spans="1:9" hidden="1">
      <c r="A8599" s="11" t="s">
        <v>11260</v>
      </c>
      <c r="B8599" s="2" t="s">
        <v>14864</v>
      </c>
      <c r="C8599" s="2" t="s">
        <v>14865</v>
      </c>
      <c r="D8599" s="2"/>
      <c r="E8599" s="2">
        <v>1</v>
      </c>
      <c r="F8599" s="9"/>
      <c r="G8599" s="8">
        <f t="shared" si="266"/>
        <v>67.280850000000015</v>
      </c>
      <c r="H8599" s="8">
        <v>64.077000000000012</v>
      </c>
      <c r="I8599" s="19">
        <f t="shared" si="267"/>
        <v>0</v>
      </c>
    </row>
    <row r="8600" spans="1:9" hidden="1">
      <c r="A8600" s="11" t="s">
        <v>11260</v>
      </c>
      <c r="B8600" s="2" t="s">
        <v>14866</v>
      </c>
      <c r="C8600" s="2" t="s">
        <v>14867</v>
      </c>
      <c r="D8600" s="2"/>
      <c r="E8600" s="2">
        <v>1</v>
      </c>
      <c r="F8600" s="9"/>
      <c r="G8600" s="8">
        <f t="shared" ref="G8600:G8663" si="268">H8600+(H8600*5%)</f>
        <v>1.1655000000000002</v>
      </c>
      <c r="H8600" s="8">
        <v>1.1100000000000001</v>
      </c>
      <c r="I8600" s="19">
        <f t="shared" ref="I8600:I8663" si="269">G8600*F8600</f>
        <v>0</v>
      </c>
    </row>
    <row r="8601" spans="1:9" hidden="1">
      <c r="A8601" s="11" t="s">
        <v>11260</v>
      </c>
      <c r="B8601" s="2" t="s">
        <v>14868</v>
      </c>
      <c r="C8601" s="2" t="s">
        <v>14869</v>
      </c>
      <c r="D8601" s="2"/>
      <c r="E8601" s="2">
        <v>1</v>
      </c>
      <c r="F8601" s="9"/>
      <c r="G8601" s="8">
        <f t="shared" si="268"/>
        <v>2.2108272645739904</v>
      </c>
      <c r="H8601" s="8">
        <v>2.1055497757847528</v>
      </c>
      <c r="I8601" s="19">
        <f t="shared" si="269"/>
        <v>0</v>
      </c>
    </row>
    <row r="8602" spans="1:9" hidden="1">
      <c r="A8602" s="11" t="s">
        <v>11260</v>
      </c>
      <c r="B8602" s="2" t="s">
        <v>14870</v>
      </c>
      <c r="C8602" s="2" t="s">
        <v>14871</v>
      </c>
      <c r="D8602" s="2"/>
      <c r="E8602" s="2">
        <v>1</v>
      </c>
      <c r="F8602" s="9"/>
      <c r="G8602" s="8">
        <f t="shared" si="268"/>
        <v>2.5436870078740159</v>
      </c>
      <c r="H8602" s="8">
        <v>2.4225590551181102</v>
      </c>
      <c r="I8602" s="19">
        <f t="shared" si="269"/>
        <v>0</v>
      </c>
    </row>
    <row r="8603" spans="1:9" hidden="1">
      <c r="A8603" s="11" t="s">
        <v>11260</v>
      </c>
      <c r="B8603" s="2" t="s">
        <v>14872</v>
      </c>
      <c r="C8603" s="2" t="s">
        <v>14873</v>
      </c>
      <c r="D8603" s="2"/>
      <c r="E8603" s="2">
        <v>1</v>
      </c>
      <c r="F8603" s="9"/>
      <c r="G8603" s="8">
        <f t="shared" si="268"/>
        <v>2.8583406030150753</v>
      </c>
      <c r="H8603" s="8">
        <v>2.7222291457286429</v>
      </c>
      <c r="I8603" s="19">
        <f t="shared" si="269"/>
        <v>0</v>
      </c>
    </row>
    <row r="8604" spans="1:9" hidden="1">
      <c r="A8604" s="11" t="s">
        <v>11260</v>
      </c>
      <c r="B8604" s="2" t="s">
        <v>14874</v>
      </c>
      <c r="C8604" s="2" t="s">
        <v>14875</v>
      </c>
      <c r="D8604" s="2"/>
      <c r="E8604" s="2">
        <v>1</v>
      </c>
      <c r="F8604" s="9"/>
      <c r="G8604" s="8">
        <f t="shared" si="268"/>
        <v>6.4857114893617025</v>
      </c>
      <c r="H8604" s="8">
        <v>6.1768680851063831</v>
      </c>
      <c r="I8604" s="19">
        <f t="shared" si="269"/>
        <v>0</v>
      </c>
    </row>
    <row r="8605" spans="1:9" hidden="1">
      <c r="A8605" s="11" t="s">
        <v>11260</v>
      </c>
      <c r="B8605" s="2" t="s">
        <v>14876</v>
      </c>
      <c r="C8605" s="2" t="s">
        <v>14877</v>
      </c>
      <c r="D8605" s="2"/>
      <c r="E8605" s="2">
        <v>1</v>
      </c>
      <c r="F8605" s="9"/>
      <c r="G8605" s="8">
        <f t="shared" si="268"/>
        <v>2.9237044483985763</v>
      </c>
      <c r="H8605" s="8">
        <v>2.7844804270462631</v>
      </c>
      <c r="I8605" s="19">
        <f t="shared" si="269"/>
        <v>0</v>
      </c>
    </row>
    <row r="8606" spans="1:9" hidden="1">
      <c r="A8606" s="11" t="s">
        <v>11260</v>
      </c>
      <c r="B8606" s="2" t="s">
        <v>14878</v>
      </c>
      <c r="C8606" s="2" t="s">
        <v>14879</v>
      </c>
      <c r="D8606" s="2"/>
      <c r="E8606" s="2">
        <v>1</v>
      </c>
      <c r="F8606" s="9"/>
      <c r="G8606" s="8">
        <f t="shared" si="268"/>
        <v>1.1613754901960787</v>
      </c>
      <c r="H8606" s="8">
        <v>1.1060718954248367</v>
      </c>
      <c r="I8606" s="19">
        <f t="shared" si="269"/>
        <v>0</v>
      </c>
    </row>
    <row r="8607" spans="1:9" hidden="1">
      <c r="A8607" s="11" t="s">
        <v>11260</v>
      </c>
      <c r="B8607" s="2" t="s">
        <v>14880</v>
      </c>
      <c r="C8607" s="2" t="s">
        <v>14881</v>
      </c>
      <c r="D8607" s="2"/>
      <c r="E8607" s="2">
        <v>1</v>
      </c>
      <c r="F8607" s="9"/>
      <c r="G8607" s="8">
        <f t="shared" si="268"/>
        <v>1.0148802631578948</v>
      </c>
      <c r="H8607" s="8">
        <v>0.96655263157894733</v>
      </c>
      <c r="I8607" s="19">
        <f t="shared" si="269"/>
        <v>0</v>
      </c>
    </row>
    <row r="8608" spans="1:9" hidden="1">
      <c r="A8608" s="11" t="s">
        <v>11260</v>
      </c>
      <c r="B8608" s="2" t="s">
        <v>14882</v>
      </c>
      <c r="C8608" s="2" t="s">
        <v>14883</v>
      </c>
      <c r="D8608" s="2"/>
      <c r="E8608" s="2">
        <v>1</v>
      </c>
      <c r="F8608" s="9"/>
      <c r="G8608" s="8">
        <f t="shared" si="268"/>
        <v>0.87105934426229514</v>
      </c>
      <c r="H8608" s="8">
        <v>0.8295803278688525</v>
      </c>
      <c r="I8608" s="19">
        <f t="shared" si="269"/>
        <v>0</v>
      </c>
    </row>
    <row r="8609" spans="1:9" hidden="1">
      <c r="A8609" s="11" t="s">
        <v>11260</v>
      </c>
      <c r="B8609" s="2" t="s">
        <v>14884</v>
      </c>
      <c r="C8609" s="2" t="s">
        <v>14883</v>
      </c>
      <c r="D8609" s="2"/>
      <c r="E8609" s="2">
        <v>1</v>
      </c>
      <c r="F8609" s="9"/>
      <c r="G8609" s="8">
        <f t="shared" si="268"/>
        <v>0.58702799999999999</v>
      </c>
      <c r="H8609" s="8">
        <v>0.55907428571428575</v>
      </c>
      <c r="I8609" s="19">
        <f t="shared" si="269"/>
        <v>0</v>
      </c>
    </row>
    <row r="8610" spans="1:9" hidden="1">
      <c r="A8610" s="11" t="s">
        <v>11260</v>
      </c>
      <c r="B8610" s="2" t="s">
        <v>14885</v>
      </c>
      <c r="C8610" s="2" t="s">
        <v>14886</v>
      </c>
      <c r="D8610" s="2"/>
      <c r="E8610" s="2">
        <v>1</v>
      </c>
      <c r="F8610" s="9"/>
      <c r="G8610" s="8">
        <f t="shared" si="268"/>
        <v>0.47487999999999997</v>
      </c>
      <c r="H8610" s="8">
        <v>0.45226666666666665</v>
      </c>
      <c r="I8610" s="19">
        <f t="shared" si="269"/>
        <v>0</v>
      </c>
    </row>
    <row r="8611" spans="1:9" hidden="1">
      <c r="A8611" s="11" t="s">
        <v>11260</v>
      </c>
      <c r="B8611" s="2" t="s">
        <v>14887</v>
      </c>
      <c r="C8611" s="2" t="s">
        <v>14888</v>
      </c>
      <c r="D8611" s="2"/>
      <c r="E8611" s="2">
        <v>1</v>
      </c>
      <c r="F8611" s="9"/>
      <c r="G8611" s="8">
        <f t="shared" si="268"/>
        <v>0.9886778838184932</v>
      </c>
      <c r="H8611" s="8">
        <v>0.94159798458904109</v>
      </c>
      <c r="I8611" s="19">
        <f t="shared" si="269"/>
        <v>0</v>
      </c>
    </row>
    <row r="8612" spans="1:9" hidden="1">
      <c r="A8612" s="11" t="s">
        <v>11260</v>
      </c>
      <c r="B8612" s="2" t="s">
        <v>14889</v>
      </c>
      <c r="C8612" s="2" t="s">
        <v>14890</v>
      </c>
      <c r="D8612" s="2"/>
      <c r="E8612" s="2">
        <v>1</v>
      </c>
      <c r="F8612" s="9"/>
      <c r="G8612" s="8">
        <f t="shared" si="268"/>
        <v>1.5704639999999996</v>
      </c>
      <c r="H8612" s="8">
        <v>1.4956799999999997</v>
      </c>
      <c r="I8612" s="19">
        <f t="shared" si="269"/>
        <v>0</v>
      </c>
    </row>
    <row r="8613" spans="1:9" hidden="1">
      <c r="A8613" s="11" t="s">
        <v>11260</v>
      </c>
      <c r="B8613" s="2" t="s">
        <v>14891</v>
      </c>
      <c r="C8613" s="2" t="s">
        <v>14892</v>
      </c>
      <c r="D8613" s="2"/>
      <c r="E8613" s="2">
        <v>1</v>
      </c>
      <c r="F8613" s="9"/>
      <c r="G8613" s="8">
        <f t="shared" si="268"/>
        <v>2.5190346268656714</v>
      </c>
      <c r="H8613" s="8">
        <v>2.3990805970149252</v>
      </c>
      <c r="I8613" s="19">
        <f t="shared" si="269"/>
        <v>0</v>
      </c>
    </row>
    <row r="8614" spans="1:9" hidden="1">
      <c r="A8614" s="11" t="s">
        <v>11260</v>
      </c>
      <c r="B8614" s="2" t="s">
        <v>14893</v>
      </c>
      <c r="C8614" s="2" t="s">
        <v>14894</v>
      </c>
      <c r="D8614" s="2"/>
      <c r="E8614" s="2">
        <v>1</v>
      </c>
      <c r="F8614" s="9"/>
      <c r="G8614" s="8">
        <f t="shared" si="268"/>
        <v>1.3994223776223775</v>
      </c>
      <c r="H8614" s="8">
        <v>1.3327832167832168</v>
      </c>
      <c r="I8614" s="19">
        <f t="shared" si="269"/>
        <v>0</v>
      </c>
    </row>
    <row r="8615" spans="1:9" hidden="1">
      <c r="A8615" s="11" t="s">
        <v>11260</v>
      </c>
      <c r="B8615" s="2" t="s">
        <v>14895</v>
      </c>
      <c r="C8615" s="2" t="s">
        <v>14896</v>
      </c>
      <c r="D8615" s="2"/>
      <c r="E8615" s="2">
        <v>1</v>
      </c>
      <c r="F8615" s="9"/>
      <c r="G8615" s="8">
        <f t="shared" si="268"/>
        <v>3.9894275963020029</v>
      </c>
      <c r="H8615" s="8">
        <v>3.7994548536209551</v>
      </c>
      <c r="I8615" s="19">
        <f t="shared" si="269"/>
        <v>0</v>
      </c>
    </row>
    <row r="8616" spans="1:9" hidden="1">
      <c r="A8616" s="11" t="s">
        <v>11260</v>
      </c>
      <c r="B8616" s="2" t="s">
        <v>14897</v>
      </c>
      <c r="C8616" s="2" t="s">
        <v>14460</v>
      </c>
      <c r="D8616" s="2"/>
      <c r="E8616" s="2">
        <v>1</v>
      </c>
      <c r="F8616" s="9"/>
      <c r="G8616" s="8">
        <f t="shared" si="268"/>
        <v>1.3279963366336633</v>
      </c>
      <c r="H8616" s="8">
        <v>1.2647584158415841</v>
      </c>
      <c r="I8616" s="19">
        <f t="shared" si="269"/>
        <v>0</v>
      </c>
    </row>
    <row r="8617" spans="1:9">
      <c r="A8617" s="11" t="s">
        <v>11260</v>
      </c>
      <c r="B8617" s="2" t="s">
        <v>14898</v>
      </c>
      <c r="C8617" s="2" t="s">
        <v>14899</v>
      </c>
      <c r="D8617" s="2"/>
      <c r="E8617" s="2">
        <v>1</v>
      </c>
      <c r="F8617" s="9">
        <v>315</v>
      </c>
      <c r="G8617" s="8">
        <f t="shared" si="268"/>
        <v>1.0291659677419356</v>
      </c>
      <c r="H8617" s="8">
        <v>0.98015806451612919</v>
      </c>
      <c r="I8617" s="19">
        <f t="shared" si="269"/>
        <v>324.18727983870969</v>
      </c>
    </row>
    <row r="8618" spans="1:9" hidden="1">
      <c r="A8618" s="11" t="s">
        <v>11260</v>
      </c>
      <c r="B8618" s="2" t="s">
        <v>14900</v>
      </c>
      <c r="C8618" s="2" t="s">
        <v>14901</v>
      </c>
      <c r="D8618" s="2"/>
      <c r="E8618" s="2">
        <v>1</v>
      </c>
      <c r="F8618" s="9"/>
      <c r="G8618" s="8">
        <f t="shared" si="268"/>
        <v>1.0455454545454548</v>
      </c>
      <c r="H8618" s="8">
        <v>0.99575757575757595</v>
      </c>
      <c r="I8618" s="19">
        <f t="shared" si="269"/>
        <v>0</v>
      </c>
    </row>
    <row r="8619" spans="1:9" hidden="1">
      <c r="A8619" s="11" t="s">
        <v>11260</v>
      </c>
      <c r="B8619" s="2" t="s">
        <v>14902</v>
      </c>
      <c r="C8619" s="2" t="s">
        <v>14903</v>
      </c>
      <c r="D8619" s="2"/>
      <c r="E8619" s="2">
        <v>1</v>
      </c>
      <c r="F8619" s="9"/>
      <c r="G8619" s="8">
        <f t="shared" si="268"/>
        <v>2.6687068799999998</v>
      </c>
      <c r="H8619" s="8">
        <v>2.5416255999999997</v>
      </c>
      <c r="I8619" s="19">
        <f t="shared" si="269"/>
        <v>0</v>
      </c>
    </row>
    <row r="8620" spans="1:9" hidden="1">
      <c r="A8620" s="11" t="s">
        <v>11260</v>
      </c>
      <c r="B8620" s="2" t="s">
        <v>14904</v>
      </c>
      <c r="C8620" s="2" t="s">
        <v>14905</v>
      </c>
      <c r="D8620" s="2"/>
      <c r="E8620" s="2">
        <v>1</v>
      </c>
      <c r="F8620" s="9"/>
      <c r="G8620" s="8">
        <f t="shared" si="268"/>
        <v>1.5265523961661347</v>
      </c>
      <c r="H8620" s="8">
        <v>1.4538594249201282</v>
      </c>
      <c r="I8620" s="19">
        <f t="shared" si="269"/>
        <v>0</v>
      </c>
    </row>
    <row r="8621" spans="1:9" hidden="1">
      <c r="A8621" s="11" t="s">
        <v>11260</v>
      </c>
      <c r="B8621" s="2" t="s">
        <v>14906</v>
      </c>
      <c r="C8621" s="2" t="s">
        <v>14907</v>
      </c>
      <c r="D8621" s="2"/>
      <c r="E8621" s="2">
        <v>1</v>
      </c>
      <c r="F8621" s="9"/>
      <c r="G8621" s="8">
        <f t="shared" si="268"/>
        <v>1.7918492579559364</v>
      </c>
      <c r="H8621" s="8">
        <v>1.7065231028151775</v>
      </c>
      <c r="I8621" s="19">
        <f t="shared" si="269"/>
        <v>0</v>
      </c>
    </row>
    <row r="8622" spans="1:9" hidden="1">
      <c r="A8622" s="11" t="s">
        <v>11260</v>
      </c>
      <c r="B8622" s="2" t="s">
        <v>14908</v>
      </c>
      <c r="C8622" s="2" t="s">
        <v>14905</v>
      </c>
      <c r="D8622" s="2"/>
      <c r="E8622" s="2">
        <v>1</v>
      </c>
      <c r="F8622" s="9"/>
      <c r="G8622" s="8">
        <f t="shared" si="268"/>
        <v>6.141216</v>
      </c>
      <c r="H8622" s="8">
        <v>5.8487771428571431</v>
      </c>
      <c r="I8622" s="19">
        <f t="shared" si="269"/>
        <v>0</v>
      </c>
    </row>
    <row r="8623" spans="1:9" hidden="1">
      <c r="A8623" s="11" t="s">
        <v>11260</v>
      </c>
      <c r="B8623" s="2" t="s">
        <v>14909</v>
      </c>
      <c r="C8623" s="2" t="s">
        <v>14910</v>
      </c>
      <c r="D8623" s="2"/>
      <c r="E8623" s="2">
        <v>1</v>
      </c>
      <c r="F8623" s="9"/>
      <c r="G8623" s="8">
        <f t="shared" si="268"/>
        <v>2.1620856741573036</v>
      </c>
      <c r="H8623" s="8">
        <v>2.0591292134831463</v>
      </c>
      <c r="I8623" s="19">
        <f t="shared" si="269"/>
        <v>0</v>
      </c>
    </row>
    <row r="8624" spans="1:9" hidden="1">
      <c r="A8624" s="11" t="s">
        <v>11260</v>
      </c>
      <c r="B8624" s="2" t="s">
        <v>14911</v>
      </c>
      <c r="C8624" s="2" t="s">
        <v>14912</v>
      </c>
      <c r="D8624" s="2"/>
      <c r="E8624" s="2">
        <v>1</v>
      </c>
      <c r="F8624" s="9"/>
      <c r="G8624" s="8">
        <f t="shared" si="268"/>
        <v>14.404699406417899</v>
      </c>
      <c r="H8624" s="8">
        <v>13.718761339445619</v>
      </c>
      <c r="I8624" s="19">
        <f t="shared" si="269"/>
        <v>0</v>
      </c>
    </row>
    <row r="8625" spans="1:9" hidden="1">
      <c r="A8625" s="11" t="s">
        <v>11260</v>
      </c>
      <c r="B8625" s="2" t="s">
        <v>14913</v>
      </c>
      <c r="C8625" s="2" t="s">
        <v>14914</v>
      </c>
      <c r="D8625" s="2"/>
      <c r="E8625" s="2">
        <v>1</v>
      </c>
      <c r="F8625" s="9"/>
      <c r="G8625" s="8">
        <f t="shared" si="268"/>
        <v>2.7408885278514594</v>
      </c>
      <c r="H8625" s="8">
        <v>2.6103700265251994</v>
      </c>
      <c r="I8625" s="19">
        <f t="shared" si="269"/>
        <v>0</v>
      </c>
    </row>
    <row r="8626" spans="1:9" hidden="1">
      <c r="A8626" s="11" t="s">
        <v>11260</v>
      </c>
      <c r="B8626" s="2" t="s">
        <v>14915</v>
      </c>
      <c r="C8626" s="2" t="s">
        <v>14916</v>
      </c>
      <c r="D8626" s="2"/>
      <c r="E8626" s="2">
        <v>1</v>
      </c>
      <c r="F8626" s="9"/>
      <c r="G8626" s="8">
        <f t="shared" si="268"/>
        <v>5.0190000000000001</v>
      </c>
      <c r="H8626" s="8">
        <v>4.78</v>
      </c>
      <c r="I8626" s="19">
        <f t="shared" si="269"/>
        <v>0</v>
      </c>
    </row>
    <row r="8627" spans="1:9" hidden="1">
      <c r="A8627" s="11" t="s">
        <v>11260</v>
      </c>
      <c r="B8627" s="2" t="s">
        <v>14917</v>
      </c>
      <c r="C8627" s="2" t="s">
        <v>14918</v>
      </c>
      <c r="D8627" s="2"/>
      <c r="E8627" s="2">
        <v>1</v>
      </c>
      <c r="F8627" s="9"/>
      <c r="G8627" s="8">
        <f t="shared" si="268"/>
        <v>1.4246399999999999</v>
      </c>
      <c r="H8627" s="8">
        <v>1.3568</v>
      </c>
      <c r="I8627" s="19">
        <f t="shared" si="269"/>
        <v>0</v>
      </c>
    </row>
    <row r="8628" spans="1:9" hidden="1">
      <c r="A8628" s="11" t="s">
        <v>11260</v>
      </c>
      <c r="B8628" s="2" t="s">
        <v>14919</v>
      </c>
      <c r="C8628" s="2" t="s">
        <v>14920</v>
      </c>
      <c r="D8628" s="2"/>
      <c r="E8628" s="2">
        <v>1</v>
      </c>
      <c r="F8628" s="9"/>
      <c r="G8628" s="8">
        <f t="shared" si="268"/>
        <v>1.5359399999999999</v>
      </c>
      <c r="H8628" s="8">
        <v>1.4627999999999999</v>
      </c>
      <c r="I8628" s="19">
        <f t="shared" si="269"/>
        <v>0</v>
      </c>
    </row>
    <row r="8629" spans="1:9">
      <c r="A8629" s="11" t="s">
        <v>11260</v>
      </c>
      <c r="B8629" s="2" t="s">
        <v>14921</v>
      </c>
      <c r="C8629" s="2" t="s">
        <v>14922</v>
      </c>
      <c r="D8629" s="2"/>
      <c r="E8629" s="2">
        <v>1</v>
      </c>
      <c r="F8629" s="9">
        <v>5.5</v>
      </c>
      <c r="G8629" s="8">
        <f t="shared" si="268"/>
        <v>182.3000509487913</v>
      </c>
      <c r="H8629" s="8">
        <v>173.619096141706</v>
      </c>
      <c r="I8629" s="19">
        <f t="shared" si="269"/>
        <v>1002.6502802183521</v>
      </c>
    </row>
    <row r="8630" spans="1:9" hidden="1">
      <c r="A8630" s="11" t="s">
        <v>11260</v>
      </c>
      <c r="B8630" s="2" t="s">
        <v>14923</v>
      </c>
      <c r="C8630" s="2" t="s">
        <v>14924</v>
      </c>
      <c r="D8630" s="2"/>
      <c r="E8630" s="2">
        <v>1</v>
      </c>
      <c r="F8630" s="9"/>
      <c r="G8630" s="8">
        <f t="shared" si="268"/>
        <v>1.0808241818181819</v>
      </c>
      <c r="H8630" s="8">
        <v>1.0293563636363636</v>
      </c>
      <c r="I8630" s="19">
        <f t="shared" si="269"/>
        <v>0</v>
      </c>
    </row>
    <row r="8631" spans="1:9" hidden="1">
      <c r="A8631" s="11" t="s">
        <v>11260</v>
      </c>
      <c r="B8631" s="2" t="s">
        <v>14925</v>
      </c>
      <c r="C8631" s="2" t="s">
        <v>14926</v>
      </c>
      <c r="D8631" s="2"/>
      <c r="E8631" s="2">
        <v>1</v>
      </c>
      <c r="F8631" s="9"/>
      <c r="G8631" s="8">
        <f t="shared" si="268"/>
        <v>7.4237100000000007</v>
      </c>
      <c r="H8631" s="8">
        <v>7.0702000000000007</v>
      </c>
      <c r="I8631" s="19">
        <f t="shared" si="269"/>
        <v>0</v>
      </c>
    </row>
    <row r="8632" spans="1:9" hidden="1">
      <c r="A8632" s="11" t="s">
        <v>11260</v>
      </c>
      <c r="B8632" s="2" t="s">
        <v>14927</v>
      </c>
      <c r="C8632" s="2" t="s">
        <v>14928</v>
      </c>
      <c r="D8632" s="2"/>
      <c r="E8632" s="2">
        <v>1</v>
      </c>
      <c r="F8632" s="9"/>
      <c r="G8632" s="8">
        <f t="shared" si="268"/>
        <v>0.32277</v>
      </c>
      <c r="H8632" s="8">
        <v>0.30740000000000001</v>
      </c>
      <c r="I8632" s="19">
        <f t="shared" si="269"/>
        <v>0</v>
      </c>
    </row>
    <row r="8633" spans="1:9" hidden="1">
      <c r="A8633" s="11" t="s">
        <v>11260</v>
      </c>
      <c r="B8633" s="2" t="s">
        <v>14929</v>
      </c>
      <c r="C8633" s="2" t="s">
        <v>14930</v>
      </c>
      <c r="D8633" s="2"/>
      <c r="E8633" s="2">
        <v>1</v>
      </c>
      <c r="F8633" s="9"/>
      <c r="G8633" s="8">
        <f t="shared" si="268"/>
        <v>1.6917600000000002</v>
      </c>
      <c r="H8633" s="8">
        <v>1.6112000000000002</v>
      </c>
      <c r="I8633" s="19">
        <f t="shared" si="269"/>
        <v>0</v>
      </c>
    </row>
    <row r="8634" spans="1:9" hidden="1">
      <c r="A8634" s="11" t="s">
        <v>11260</v>
      </c>
      <c r="B8634" s="2" t="s">
        <v>14931</v>
      </c>
      <c r="C8634" s="2" t="s">
        <v>14932</v>
      </c>
      <c r="D8634" s="2"/>
      <c r="E8634" s="2">
        <v>1</v>
      </c>
      <c r="F8634" s="9"/>
      <c r="G8634" s="8">
        <f t="shared" si="268"/>
        <v>2.0145300000000002</v>
      </c>
      <c r="H8634" s="8">
        <v>1.9186000000000001</v>
      </c>
      <c r="I8634" s="19">
        <f t="shared" si="269"/>
        <v>0</v>
      </c>
    </row>
    <row r="8635" spans="1:9" hidden="1">
      <c r="A8635" s="11" t="s">
        <v>11260</v>
      </c>
      <c r="B8635" s="2" t="s">
        <v>14933</v>
      </c>
      <c r="C8635" s="2" t="s">
        <v>14934</v>
      </c>
      <c r="D8635" s="2"/>
      <c r="E8635" s="2">
        <v>1</v>
      </c>
      <c r="F8635" s="9"/>
      <c r="G8635" s="8">
        <f t="shared" si="268"/>
        <v>49.380668486634391</v>
      </c>
      <c r="H8635" s="8">
        <v>47.029208082508944</v>
      </c>
      <c r="I8635" s="19">
        <f t="shared" si="269"/>
        <v>0</v>
      </c>
    </row>
    <row r="8636" spans="1:9" hidden="1">
      <c r="A8636" s="11" t="s">
        <v>11260</v>
      </c>
      <c r="B8636" s="2" t="s">
        <v>14935</v>
      </c>
      <c r="C8636" s="2" t="s">
        <v>14936</v>
      </c>
      <c r="D8636" s="2"/>
      <c r="E8636" s="2">
        <v>1</v>
      </c>
      <c r="F8636" s="9"/>
      <c r="G8636" s="8">
        <f t="shared" si="268"/>
        <v>19.599701320139193</v>
      </c>
      <c r="H8636" s="8">
        <v>18.666382209656373</v>
      </c>
      <c r="I8636" s="19">
        <f t="shared" si="269"/>
        <v>0</v>
      </c>
    </row>
    <row r="8637" spans="1:9" hidden="1">
      <c r="A8637" s="11" t="s">
        <v>11260</v>
      </c>
      <c r="B8637" s="2" t="s">
        <v>14937</v>
      </c>
      <c r="C8637" s="2" t="s">
        <v>14938</v>
      </c>
      <c r="D8637" s="2"/>
      <c r="E8637" s="2">
        <v>1</v>
      </c>
      <c r="F8637" s="9"/>
      <c r="G8637" s="8">
        <f t="shared" si="268"/>
        <v>20.812912998359312</v>
      </c>
      <c r="H8637" s="8">
        <v>19.821821903199346</v>
      </c>
      <c r="I8637" s="19">
        <f t="shared" si="269"/>
        <v>0</v>
      </c>
    </row>
    <row r="8638" spans="1:9" hidden="1">
      <c r="A8638" s="11" t="s">
        <v>11260</v>
      </c>
      <c r="B8638" s="2" t="s">
        <v>14939</v>
      </c>
      <c r="C8638" s="2" t="s">
        <v>14940</v>
      </c>
      <c r="D8638" s="2"/>
      <c r="E8638" s="2">
        <v>1</v>
      </c>
      <c r="F8638" s="9"/>
      <c r="G8638" s="8">
        <f t="shared" si="268"/>
        <v>21.99846453488372</v>
      </c>
      <c r="H8638" s="8">
        <v>20.950918604651161</v>
      </c>
      <c r="I8638" s="19">
        <f t="shared" si="269"/>
        <v>0</v>
      </c>
    </row>
    <row r="8639" spans="1:9" hidden="1">
      <c r="A8639" s="11" t="s">
        <v>11260</v>
      </c>
      <c r="B8639" s="2" t="s">
        <v>14941</v>
      </c>
      <c r="C8639" s="2" t="s">
        <v>14942</v>
      </c>
      <c r="D8639" s="2"/>
      <c r="E8639" s="2">
        <v>1</v>
      </c>
      <c r="F8639" s="9"/>
      <c r="G8639" s="8">
        <f t="shared" si="268"/>
        <v>23.0079830859375</v>
      </c>
      <c r="H8639" s="8">
        <v>21.912364843750002</v>
      </c>
      <c r="I8639" s="19">
        <f t="shared" si="269"/>
        <v>0</v>
      </c>
    </row>
    <row r="8640" spans="1:9" hidden="1">
      <c r="A8640" s="11" t="s">
        <v>11260</v>
      </c>
      <c r="B8640" s="2" t="s">
        <v>14943</v>
      </c>
      <c r="C8640" s="2" t="s">
        <v>14944</v>
      </c>
      <c r="D8640" s="2"/>
      <c r="E8640" s="2">
        <v>1</v>
      </c>
      <c r="F8640" s="9"/>
      <c r="G8640" s="8">
        <f t="shared" si="268"/>
        <v>24.420769503149057</v>
      </c>
      <c r="H8640" s="8">
        <v>23.257875717284815</v>
      </c>
      <c r="I8640" s="19">
        <f t="shared" si="269"/>
        <v>0</v>
      </c>
    </row>
    <row r="8641" spans="1:9" hidden="1">
      <c r="A8641" s="11" t="s">
        <v>11260</v>
      </c>
      <c r="B8641" s="2" t="s">
        <v>14945</v>
      </c>
      <c r="C8641" s="2" t="s">
        <v>14946</v>
      </c>
      <c r="D8641" s="2"/>
      <c r="E8641" s="2">
        <v>1</v>
      </c>
      <c r="F8641" s="9"/>
      <c r="G8641" s="8">
        <f t="shared" si="268"/>
        <v>24.403638054830289</v>
      </c>
      <c r="H8641" s="8">
        <v>23.241560052219324</v>
      </c>
      <c r="I8641" s="19">
        <f t="shared" si="269"/>
        <v>0</v>
      </c>
    </row>
    <row r="8642" spans="1:9" hidden="1">
      <c r="A8642" s="11" t="s">
        <v>11260</v>
      </c>
      <c r="B8642" s="2" t="s">
        <v>14947</v>
      </c>
      <c r="C8642" s="2" t="s">
        <v>14948</v>
      </c>
      <c r="D8642" s="2"/>
      <c r="E8642" s="2">
        <v>1</v>
      </c>
      <c r="F8642" s="9"/>
      <c r="G8642" s="8">
        <f t="shared" si="268"/>
        <v>48.914840429994754</v>
      </c>
      <c r="H8642" s="8">
        <v>46.585562314280722</v>
      </c>
      <c r="I8642" s="19">
        <f t="shared" si="269"/>
        <v>0</v>
      </c>
    </row>
    <row r="8643" spans="1:9" hidden="1">
      <c r="A8643" s="11" t="s">
        <v>11260</v>
      </c>
      <c r="B8643" s="2" t="s">
        <v>14949</v>
      </c>
      <c r="C8643" s="2" t="s">
        <v>14950</v>
      </c>
      <c r="D8643" s="2"/>
      <c r="E8643" s="2">
        <v>1</v>
      </c>
      <c r="F8643" s="9"/>
      <c r="G8643" s="8">
        <f t="shared" si="268"/>
        <v>22.665661228832953</v>
      </c>
      <c r="H8643" s="8">
        <v>21.586344027459955</v>
      </c>
      <c r="I8643" s="19">
        <f t="shared" si="269"/>
        <v>0</v>
      </c>
    </row>
    <row r="8644" spans="1:9" hidden="1">
      <c r="A8644" s="11" t="s">
        <v>11260</v>
      </c>
      <c r="B8644" s="2" t="s">
        <v>14951</v>
      </c>
      <c r="C8644" s="2" t="s">
        <v>14952</v>
      </c>
      <c r="D8644" s="2"/>
      <c r="E8644" s="2">
        <v>1</v>
      </c>
      <c r="F8644" s="9"/>
      <c r="G8644" s="8">
        <f t="shared" si="268"/>
        <v>24.048950324254218</v>
      </c>
      <c r="H8644" s="8">
        <v>22.903762213575444</v>
      </c>
      <c r="I8644" s="19">
        <f t="shared" si="269"/>
        <v>0</v>
      </c>
    </row>
    <row r="8645" spans="1:9" hidden="1">
      <c r="A8645" s="11" t="s">
        <v>11260</v>
      </c>
      <c r="B8645" s="2" t="s">
        <v>14953</v>
      </c>
      <c r="C8645" s="2" t="s">
        <v>14954</v>
      </c>
      <c r="D8645" s="2"/>
      <c r="E8645" s="2">
        <v>1</v>
      </c>
      <c r="F8645" s="9"/>
      <c r="G8645" s="8">
        <f t="shared" si="268"/>
        <v>25.423408761749087</v>
      </c>
      <c r="H8645" s="8">
        <v>24.212770249284844</v>
      </c>
      <c r="I8645" s="19">
        <f t="shared" si="269"/>
        <v>0</v>
      </c>
    </row>
    <row r="8646" spans="1:9" hidden="1">
      <c r="A8646" s="11" t="s">
        <v>11260</v>
      </c>
      <c r="B8646" s="2" t="s">
        <v>14955</v>
      </c>
      <c r="C8646" s="2" t="s">
        <v>14956</v>
      </c>
      <c r="D8646" s="2"/>
      <c r="E8646" s="2">
        <v>1</v>
      </c>
      <c r="F8646" s="9"/>
      <c r="G8646" s="8">
        <f t="shared" si="268"/>
        <v>26.797246808840637</v>
      </c>
      <c r="H8646" s="8">
        <v>25.521187436991081</v>
      </c>
      <c r="I8646" s="19">
        <f t="shared" si="269"/>
        <v>0</v>
      </c>
    </row>
    <row r="8647" spans="1:9" hidden="1">
      <c r="A8647" s="11" t="s">
        <v>11260</v>
      </c>
      <c r="B8647" s="2" t="s">
        <v>14957</v>
      </c>
      <c r="C8647" s="2" t="s">
        <v>14958</v>
      </c>
      <c r="D8647" s="2"/>
      <c r="E8647" s="2">
        <v>1</v>
      </c>
      <c r="F8647" s="9"/>
      <c r="G8647" s="8">
        <f t="shared" si="268"/>
        <v>28.170772322878225</v>
      </c>
      <c r="H8647" s="8">
        <v>26.829306974169739</v>
      </c>
      <c r="I8647" s="19">
        <f t="shared" si="269"/>
        <v>0</v>
      </c>
    </row>
    <row r="8648" spans="1:9" hidden="1">
      <c r="A8648" s="11" t="s">
        <v>11260</v>
      </c>
      <c r="B8648" s="2" t="s">
        <v>14959</v>
      </c>
      <c r="C8648" s="2" t="s">
        <v>14960</v>
      </c>
      <c r="D8648" s="2"/>
      <c r="E8648" s="2">
        <v>1</v>
      </c>
      <c r="F8648" s="9"/>
      <c r="G8648" s="8">
        <f t="shared" si="268"/>
        <v>30.918131533804235</v>
      </c>
      <c r="H8648" s="8">
        <v>29.445839556004035</v>
      </c>
      <c r="I8648" s="19">
        <f t="shared" si="269"/>
        <v>0</v>
      </c>
    </row>
    <row r="8649" spans="1:9" hidden="1">
      <c r="A8649" s="11" t="s">
        <v>11260</v>
      </c>
      <c r="B8649" s="2" t="s">
        <v>14961</v>
      </c>
      <c r="C8649" s="2" t="s">
        <v>14962</v>
      </c>
      <c r="D8649" s="2"/>
      <c r="E8649" s="2">
        <v>1</v>
      </c>
      <c r="F8649" s="9"/>
      <c r="G8649" s="8">
        <f t="shared" si="268"/>
        <v>33.676827831995055</v>
      </c>
      <c r="H8649" s="8">
        <v>32.073169363804816</v>
      </c>
      <c r="I8649" s="19">
        <f t="shared" si="269"/>
        <v>0</v>
      </c>
    </row>
    <row r="8650" spans="1:9" hidden="1">
      <c r="A8650" s="11" t="s">
        <v>11260</v>
      </c>
      <c r="B8650" s="2" t="s">
        <v>14963</v>
      </c>
      <c r="C8650" s="2" t="s">
        <v>14964</v>
      </c>
      <c r="D8650" s="2"/>
      <c r="E8650" s="2">
        <v>1</v>
      </c>
      <c r="F8650" s="9"/>
      <c r="G8650" s="8">
        <f t="shared" si="268"/>
        <v>21.983678073654392</v>
      </c>
      <c r="H8650" s="8">
        <v>20.936836260623231</v>
      </c>
      <c r="I8650" s="19">
        <f t="shared" si="269"/>
        <v>0</v>
      </c>
    </row>
    <row r="8651" spans="1:9" hidden="1">
      <c r="A8651" s="11" t="s">
        <v>11260</v>
      </c>
      <c r="B8651" s="2" t="s">
        <v>14965</v>
      </c>
      <c r="C8651" s="2" t="s">
        <v>14966</v>
      </c>
      <c r="D8651" s="2"/>
      <c r="E8651" s="2">
        <v>1</v>
      </c>
      <c r="F8651" s="9"/>
      <c r="G8651" s="8">
        <f t="shared" si="268"/>
        <v>23.32372451159679</v>
      </c>
      <c r="H8651" s="8">
        <v>22.213070963425515</v>
      </c>
      <c r="I8651" s="19">
        <f t="shared" si="269"/>
        <v>0</v>
      </c>
    </row>
    <row r="8652" spans="1:9" hidden="1">
      <c r="A8652" s="11" t="s">
        <v>11260</v>
      </c>
      <c r="B8652" s="2" t="s">
        <v>14967</v>
      </c>
      <c r="C8652" s="2" t="s">
        <v>14968</v>
      </c>
      <c r="D8652" s="2"/>
      <c r="E8652" s="2">
        <v>1</v>
      </c>
      <c r="F8652" s="9"/>
      <c r="G8652" s="8">
        <f t="shared" si="268"/>
        <v>24.654935438448568</v>
      </c>
      <c r="H8652" s="8">
        <v>23.480890893760542</v>
      </c>
      <c r="I8652" s="19">
        <f t="shared" si="269"/>
        <v>0</v>
      </c>
    </row>
    <row r="8653" spans="1:9" hidden="1">
      <c r="A8653" s="11" t="s">
        <v>11260</v>
      </c>
      <c r="B8653" s="2" t="s">
        <v>14969</v>
      </c>
      <c r="C8653" s="2" t="s">
        <v>14970</v>
      </c>
      <c r="D8653" s="2"/>
      <c r="E8653" s="2">
        <v>1</v>
      </c>
      <c r="F8653" s="9"/>
      <c r="G8653" s="8">
        <f t="shared" si="268"/>
        <v>25.985524949999999</v>
      </c>
      <c r="H8653" s="8">
        <v>24.748118999999999</v>
      </c>
      <c r="I8653" s="19">
        <f t="shared" si="269"/>
        <v>0</v>
      </c>
    </row>
    <row r="8654" spans="1:9" hidden="1">
      <c r="A8654" s="11" t="s">
        <v>11260</v>
      </c>
      <c r="B8654" s="2" t="s">
        <v>14971</v>
      </c>
      <c r="C8654" s="2" t="s">
        <v>14972</v>
      </c>
      <c r="D8654" s="2"/>
      <c r="E8654" s="2">
        <v>1</v>
      </c>
      <c r="F8654" s="9"/>
      <c r="G8654" s="8">
        <f t="shared" si="268"/>
        <v>27.315799961933763</v>
      </c>
      <c r="H8654" s="8">
        <v>26.015047582794061</v>
      </c>
      <c r="I8654" s="19">
        <f t="shared" si="269"/>
        <v>0</v>
      </c>
    </row>
    <row r="8655" spans="1:9" hidden="1">
      <c r="A8655" s="11" t="s">
        <v>11260</v>
      </c>
      <c r="B8655" s="2" t="s">
        <v>14973</v>
      </c>
      <c r="C8655" s="2" t="s">
        <v>14974</v>
      </c>
      <c r="D8655" s="2"/>
      <c r="E8655" s="2">
        <v>1</v>
      </c>
      <c r="F8655" s="9"/>
      <c r="G8655" s="8">
        <f t="shared" si="268"/>
        <v>29.997562872266577</v>
      </c>
      <c r="H8655" s="8">
        <v>28.56910749739674</v>
      </c>
      <c r="I8655" s="19">
        <f t="shared" si="269"/>
        <v>0</v>
      </c>
    </row>
    <row r="8656" spans="1:9" hidden="1">
      <c r="A8656" s="11" t="s">
        <v>11260</v>
      </c>
      <c r="B8656" s="2" t="s">
        <v>14975</v>
      </c>
      <c r="C8656" s="2" t="s">
        <v>14976</v>
      </c>
      <c r="D8656" s="2"/>
      <c r="E8656" s="2">
        <v>1</v>
      </c>
      <c r="F8656" s="9"/>
      <c r="G8656" s="8">
        <f t="shared" si="268"/>
        <v>32.669767958891015</v>
      </c>
      <c r="H8656" s="8">
        <v>31.114064722753344</v>
      </c>
      <c r="I8656" s="19">
        <f t="shared" si="269"/>
        <v>0</v>
      </c>
    </row>
    <row r="8657" spans="1:9" hidden="1">
      <c r="A8657" s="11" t="s">
        <v>11260</v>
      </c>
      <c r="B8657" s="2" t="s">
        <v>14977</v>
      </c>
      <c r="C8657" s="2" t="s">
        <v>14978</v>
      </c>
      <c r="D8657" s="2"/>
      <c r="E8657" s="2">
        <v>1</v>
      </c>
      <c r="F8657" s="9"/>
      <c r="G8657" s="8">
        <f t="shared" si="268"/>
        <v>17.249925000000001</v>
      </c>
      <c r="H8657" s="8">
        <v>16.4285</v>
      </c>
      <c r="I8657" s="19">
        <f t="shared" si="269"/>
        <v>0</v>
      </c>
    </row>
    <row r="8658" spans="1:9" hidden="1">
      <c r="A8658" s="11" t="s">
        <v>11260</v>
      </c>
      <c r="B8658" s="2" t="s">
        <v>14979</v>
      </c>
      <c r="C8658" s="2" t="s">
        <v>14980</v>
      </c>
      <c r="D8658" s="2"/>
      <c r="E8658" s="2">
        <v>1</v>
      </c>
      <c r="F8658" s="9"/>
      <c r="G8658" s="8">
        <f t="shared" si="268"/>
        <v>28.746269999999999</v>
      </c>
      <c r="H8658" s="8">
        <v>27.377399999999998</v>
      </c>
      <c r="I8658" s="19">
        <f t="shared" si="269"/>
        <v>0</v>
      </c>
    </row>
    <row r="8659" spans="1:9" hidden="1">
      <c r="A8659" s="11" t="s">
        <v>11260</v>
      </c>
      <c r="B8659" s="2" t="s">
        <v>14981</v>
      </c>
      <c r="C8659" s="2" t="s">
        <v>14982</v>
      </c>
      <c r="D8659" s="2"/>
      <c r="E8659" s="2">
        <v>1</v>
      </c>
      <c r="F8659" s="9"/>
      <c r="G8659" s="8">
        <f t="shared" si="268"/>
        <v>12.734914900990098</v>
      </c>
      <c r="H8659" s="8">
        <v>12.128490381895332</v>
      </c>
      <c r="I8659" s="19">
        <f t="shared" si="269"/>
        <v>0</v>
      </c>
    </row>
    <row r="8660" spans="1:9" hidden="1">
      <c r="A8660" s="11" t="s">
        <v>11260</v>
      </c>
      <c r="B8660" s="2" t="s">
        <v>14983</v>
      </c>
      <c r="C8660" s="2" t="s">
        <v>14984</v>
      </c>
      <c r="D8660" s="2"/>
      <c r="E8660" s="2">
        <v>1</v>
      </c>
      <c r="F8660" s="9"/>
      <c r="G8660" s="8">
        <f t="shared" si="268"/>
        <v>13.035929480968861</v>
      </c>
      <c r="H8660" s="8">
        <v>12.415170934256057</v>
      </c>
      <c r="I8660" s="19">
        <f t="shared" si="269"/>
        <v>0</v>
      </c>
    </row>
    <row r="8661" spans="1:9" hidden="1">
      <c r="A8661" s="11" t="s">
        <v>11260</v>
      </c>
      <c r="B8661" s="2" t="s">
        <v>14985</v>
      </c>
      <c r="C8661" s="2" t="s">
        <v>14986</v>
      </c>
      <c r="D8661" s="2"/>
      <c r="E8661" s="2">
        <v>1</v>
      </c>
      <c r="F8661" s="9"/>
      <c r="G8661" s="8">
        <f t="shared" si="268"/>
        <v>13.457689859154929</v>
      </c>
      <c r="H8661" s="8">
        <v>12.816847484909456</v>
      </c>
      <c r="I8661" s="19">
        <f t="shared" si="269"/>
        <v>0</v>
      </c>
    </row>
    <row r="8662" spans="1:9" hidden="1">
      <c r="A8662" s="11" t="s">
        <v>11260</v>
      </c>
      <c r="B8662" s="2" t="s">
        <v>14987</v>
      </c>
      <c r="C8662" s="2" t="s">
        <v>14988</v>
      </c>
      <c r="D8662" s="2"/>
      <c r="E8662" s="2">
        <v>1</v>
      </c>
      <c r="F8662" s="9"/>
      <c r="G8662" s="8">
        <f t="shared" si="268"/>
        <v>13.609044844061048</v>
      </c>
      <c r="H8662" s="8">
        <v>12.960995089581949</v>
      </c>
      <c r="I8662" s="19">
        <f t="shared" si="269"/>
        <v>0</v>
      </c>
    </row>
    <row r="8663" spans="1:9" hidden="1">
      <c r="A8663" s="11" t="s">
        <v>11260</v>
      </c>
      <c r="B8663" s="2" t="s">
        <v>14989</v>
      </c>
      <c r="C8663" s="2" t="s">
        <v>14990</v>
      </c>
      <c r="D8663" s="2"/>
      <c r="E8663" s="2">
        <v>1</v>
      </c>
      <c r="F8663" s="9"/>
      <c r="G8663" s="8">
        <f t="shared" si="268"/>
        <v>11.869484216867471</v>
      </c>
      <c r="H8663" s="8">
        <v>11.304270682730925</v>
      </c>
      <c r="I8663" s="19">
        <f t="shared" si="269"/>
        <v>0</v>
      </c>
    </row>
    <row r="8664" spans="1:9" hidden="1">
      <c r="A8664" s="11" t="s">
        <v>11260</v>
      </c>
      <c r="B8664" s="2" t="s">
        <v>14991</v>
      </c>
      <c r="C8664" s="2" t="s">
        <v>14992</v>
      </c>
      <c r="D8664" s="2"/>
      <c r="E8664" s="2">
        <v>1</v>
      </c>
      <c r="F8664" s="9"/>
      <c r="G8664" s="8">
        <f t="shared" ref="G8664:G8727" si="270">H8664+(H8664*5%)</f>
        <v>13.879540650195061</v>
      </c>
      <c r="H8664" s="8">
        <v>13.218610143042914</v>
      </c>
      <c r="I8664" s="19">
        <f t="shared" ref="I8664:I8727" si="271">G8664*F8664</f>
        <v>0</v>
      </c>
    </row>
    <row r="8665" spans="1:9" hidden="1">
      <c r="A8665" s="11" t="s">
        <v>11260</v>
      </c>
      <c r="B8665" s="2" t="s">
        <v>14993</v>
      </c>
      <c r="C8665" s="2" t="s">
        <v>14994</v>
      </c>
      <c r="D8665" s="2"/>
      <c r="E8665" s="2">
        <v>1</v>
      </c>
      <c r="F8665" s="9"/>
      <c r="G8665" s="8">
        <f t="shared" si="270"/>
        <v>14.135418137317229</v>
      </c>
      <c r="H8665" s="8">
        <v>13.46230298792117</v>
      </c>
      <c r="I8665" s="19">
        <f t="shared" si="271"/>
        <v>0</v>
      </c>
    </row>
    <row r="8666" spans="1:9" hidden="1">
      <c r="A8666" s="11" t="s">
        <v>11260</v>
      </c>
      <c r="B8666" s="2" t="s">
        <v>14995</v>
      </c>
      <c r="C8666" s="2" t="s">
        <v>14996</v>
      </c>
      <c r="D8666" s="2"/>
      <c r="E8666" s="2">
        <v>1</v>
      </c>
      <c r="F8666" s="9"/>
      <c r="G8666" s="8">
        <f t="shared" si="270"/>
        <v>14.879552290909093</v>
      </c>
      <c r="H8666" s="8">
        <v>14.171002181818183</v>
      </c>
      <c r="I8666" s="19">
        <f t="shared" si="271"/>
        <v>0</v>
      </c>
    </row>
    <row r="8667" spans="1:9" hidden="1">
      <c r="A8667" s="11" t="s">
        <v>11260</v>
      </c>
      <c r="B8667" s="2" t="s">
        <v>14997</v>
      </c>
      <c r="C8667" s="2" t="s">
        <v>14998</v>
      </c>
      <c r="D8667" s="2"/>
      <c r="E8667" s="2">
        <v>1</v>
      </c>
      <c r="F8667" s="9"/>
      <c r="G8667" s="8">
        <f t="shared" si="270"/>
        <v>15.61709852002322</v>
      </c>
      <c r="H8667" s="8">
        <v>14.873427161926875</v>
      </c>
      <c r="I8667" s="19">
        <f t="shared" si="271"/>
        <v>0</v>
      </c>
    </row>
    <row r="8668" spans="1:9" hidden="1">
      <c r="A8668" s="11" t="s">
        <v>11260</v>
      </c>
      <c r="B8668" s="2" t="s">
        <v>14999</v>
      </c>
      <c r="C8668" s="2" t="s">
        <v>15000</v>
      </c>
      <c r="D8668" s="2"/>
      <c r="E8668" s="2">
        <v>1</v>
      </c>
      <c r="F8668" s="9"/>
      <c r="G8668" s="8">
        <f t="shared" si="270"/>
        <v>17.022523129973475</v>
      </c>
      <c r="H8668" s="8">
        <v>16.211926790450928</v>
      </c>
      <c r="I8668" s="19">
        <f t="shared" si="271"/>
        <v>0</v>
      </c>
    </row>
    <row r="8669" spans="1:9" hidden="1">
      <c r="A8669" s="11" t="s">
        <v>11260</v>
      </c>
      <c r="B8669" s="2" t="s">
        <v>15001</v>
      </c>
      <c r="C8669" s="2" t="s">
        <v>15002</v>
      </c>
      <c r="D8669" s="2"/>
      <c r="E8669" s="2">
        <v>1</v>
      </c>
      <c r="F8669" s="9"/>
      <c r="G8669" s="8">
        <f t="shared" si="270"/>
        <v>18.515264064341849</v>
      </c>
      <c r="H8669" s="8">
        <v>17.633584823182712</v>
      </c>
      <c r="I8669" s="19">
        <f t="shared" si="271"/>
        <v>0</v>
      </c>
    </row>
    <row r="8670" spans="1:9" hidden="1">
      <c r="A8670" s="11" t="s">
        <v>11260</v>
      </c>
      <c r="B8670" s="2" t="s">
        <v>15003</v>
      </c>
      <c r="C8670" s="2" t="s">
        <v>15004</v>
      </c>
      <c r="D8670" s="2"/>
      <c r="E8670" s="2">
        <v>1</v>
      </c>
      <c r="F8670" s="9"/>
      <c r="G8670" s="8">
        <f t="shared" si="270"/>
        <v>19.862980272479561</v>
      </c>
      <c r="H8670" s="8">
        <v>18.917124069028155</v>
      </c>
      <c r="I8670" s="19">
        <f t="shared" si="271"/>
        <v>0</v>
      </c>
    </row>
    <row r="8671" spans="1:9" hidden="1">
      <c r="A8671" s="11" t="s">
        <v>11260</v>
      </c>
      <c r="B8671" s="2" t="s">
        <v>15005</v>
      </c>
      <c r="C8671" s="2" t="s">
        <v>15006</v>
      </c>
      <c r="D8671" s="2"/>
      <c r="E8671" s="2">
        <v>1</v>
      </c>
      <c r="F8671" s="9"/>
      <c r="G8671" s="8">
        <f t="shared" si="270"/>
        <v>21.280923238419039</v>
      </c>
      <c r="H8671" s="8">
        <v>20.267545941351464</v>
      </c>
      <c r="I8671" s="19">
        <f t="shared" si="271"/>
        <v>0</v>
      </c>
    </row>
    <row r="8672" spans="1:9" hidden="1">
      <c r="A8672" s="11" t="s">
        <v>11260</v>
      </c>
      <c r="B8672" s="2" t="s">
        <v>15007</v>
      </c>
      <c r="C8672" s="2" t="s">
        <v>15008</v>
      </c>
      <c r="D8672" s="2"/>
      <c r="E8672" s="2">
        <v>1</v>
      </c>
      <c r="F8672" s="9"/>
      <c r="G8672" s="8">
        <f t="shared" si="270"/>
        <v>22.691963225806454</v>
      </c>
      <c r="H8672" s="8">
        <v>21.611393548387099</v>
      </c>
      <c r="I8672" s="19">
        <f t="shared" si="271"/>
        <v>0</v>
      </c>
    </row>
    <row r="8673" spans="1:9" hidden="1">
      <c r="A8673" s="11" t="s">
        <v>11260</v>
      </c>
      <c r="B8673" s="2" t="s">
        <v>15009</v>
      </c>
      <c r="C8673" s="2" t="s">
        <v>15010</v>
      </c>
      <c r="D8673" s="2"/>
      <c r="E8673" s="2">
        <v>1</v>
      </c>
      <c r="F8673" s="9"/>
      <c r="G8673" s="8">
        <f t="shared" si="270"/>
        <v>24.139274718679669</v>
      </c>
      <c r="H8673" s="8">
        <v>22.989785446361591</v>
      </c>
      <c r="I8673" s="19">
        <f t="shared" si="271"/>
        <v>0</v>
      </c>
    </row>
    <row r="8674" spans="1:9" hidden="1">
      <c r="A8674" s="11" t="s">
        <v>11260</v>
      </c>
      <c r="B8674" s="2" t="s">
        <v>15011</v>
      </c>
      <c r="C8674" s="2" t="s">
        <v>15012</v>
      </c>
      <c r="D8674" s="2"/>
      <c r="E8674" s="2">
        <v>1</v>
      </c>
      <c r="F8674" s="9"/>
      <c r="G8674" s="8">
        <f t="shared" si="270"/>
        <v>25.570152662889519</v>
      </c>
      <c r="H8674" s="8">
        <v>24.352526345609068</v>
      </c>
      <c r="I8674" s="19">
        <f t="shared" si="271"/>
        <v>0</v>
      </c>
    </row>
    <row r="8675" spans="1:9" hidden="1">
      <c r="A8675" s="11" t="s">
        <v>11260</v>
      </c>
      <c r="B8675" s="2" t="s">
        <v>15013</v>
      </c>
      <c r="C8675" s="2" t="s">
        <v>15014</v>
      </c>
      <c r="D8675" s="2"/>
      <c r="E8675" s="2">
        <v>1</v>
      </c>
      <c r="F8675" s="9"/>
      <c r="G8675" s="8">
        <f t="shared" si="270"/>
        <v>26.976211369587112</v>
      </c>
      <c r="H8675" s="8">
        <v>25.691629875797251</v>
      </c>
      <c r="I8675" s="19">
        <f t="shared" si="271"/>
        <v>0</v>
      </c>
    </row>
    <row r="8676" spans="1:9" hidden="1">
      <c r="A8676" s="11" t="s">
        <v>11260</v>
      </c>
      <c r="B8676" s="2" t="s">
        <v>15015</v>
      </c>
      <c r="C8676" s="2" t="s">
        <v>15016</v>
      </c>
      <c r="D8676" s="2"/>
      <c r="E8676" s="2">
        <v>1</v>
      </c>
      <c r="F8676" s="9"/>
      <c r="G8676" s="8">
        <f t="shared" si="270"/>
        <v>28.426865390625</v>
      </c>
      <c r="H8676" s="8">
        <v>27.073205133928571</v>
      </c>
      <c r="I8676" s="19">
        <f t="shared" si="271"/>
        <v>0</v>
      </c>
    </row>
    <row r="8677" spans="1:9">
      <c r="A8677" s="11" t="s">
        <v>11260</v>
      </c>
      <c r="B8677" s="2" t="s">
        <v>15017</v>
      </c>
      <c r="C8677" s="2" t="s">
        <v>15018</v>
      </c>
      <c r="D8677" s="2"/>
      <c r="E8677" s="2">
        <v>1</v>
      </c>
      <c r="F8677" s="9">
        <f>100+131</f>
        <v>231</v>
      </c>
      <c r="G8677" s="8">
        <f t="shared" si="270"/>
        <v>31.2852394114236</v>
      </c>
      <c r="H8677" s="8">
        <v>29.795466106117715</v>
      </c>
      <c r="I8677" s="19">
        <f t="shared" si="271"/>
        <v>7226.8903040388514</v>
      </c>
    </row>
    <row r="8678" spans="1:9" hidden="1">
      <c r="A8678" s="11" t="s">
        <v>11260</v>
      </c>
      <c r="B8678" s="2" t="s">
        <v>15019</v>
      </c>
      <c r="C8678" s="2" t="s">
        <v>15020</v>
      </c>
      <c r="D8678" s="2"/>
      <c r="E8678" s="2">
        <v>1</v>
      </c>
      <c r="F8678" s="9"/>
      <c r="G8678" s="8">
        <f t="shared" si="270"/>
        <v>11.687469834024897</v>
      </c>
      <c r="H8678" s="8">
        <v>11.130923651452283</v>
      </c>
      <c r="I8678" s="19">
        <f t="shared" si="271"/>
        <v>0</v>
      </c>
    </row>
    <row r="8679" spans="1:9" hidden="1">
      <c r="A8679" s="11" t="s">
        <v>11260</v>
      </c>
      <c r="B8679" s="2" t="s">
        <v>15021</v>
      </c>
      <c r="C8679" s="2" t="s">
        <v>15022</v>
      </c>
      <c r="D8679" s="2"/>
      <c r="E8679" s="2">
        <v>1</v>
      </c>
      <c r="F8679" s="9"/>
      <c r="G8679" s="8">
        <f t="shared" si="270"/>
        <v>11.74229040395713</v>
      </c>
      <c r="H8679" s="8">
        <v>11.183133718054409</v>
      </c>
      <c r="I8679" s="19">
        <f t="shared" si="271"/>
        <v>0</v>
      </c>
    </row>
    <row r="8680" spans="1:9" hidden="1">
      <c r="A8680" s="11" t="s">
        <v>11260</v>
      </c>
      <c r="B8680" s="2" t="s">
        <v>15023</v>
      </c>
      <c r="C8680" s="2" t="s">
        <v>15024</v>
      </c>
      <c r="D8680" s="2"/>
      <c r="E8680" s="2">
        <v>1</v>
      </c>
      <c r="F8680" s="9"/>
      <c r="G8680" s="8">
        <f t="shared" si="270"/>
        <v>12.155130787589499</v>
      </c>
      <c r="H8680" s="8">
        <v>11.576315035799523</v>
      </c>
      <c r="I8680" s="19">
        <f t="shared" si="271"/>
        <v>0</v>
      </c>
    </row>
    <row r="8681" spans="1:9" hidden="1">
      <c r="A8681" s="11" t="s">
        <v>11260</v>
      </c>
      <c r="B8681" s="2" t="s">
        <v>15025</v>
      </c>
      <c r="C8681" s="2" t="s">
        <v>15026</v>
      </c>
      <c r="D8681" s="2"/>
      <c r="E8681" s="2">
        <v>1</v>
      </c>
      <c r="F8681" s="9"/>
      <c r="G8681" s="8">
        <f t="shared" si="270"/>
        <v>12.198290816812055</v>
      </c>
      <c r="H8681" s="8">
        <v>11.61741982553529</v>
      </c>
      <c r="I8681" s="19">
        <f t="shared" si="271"/>
        <v>0</v>
      </c>
    </row>
    <row r="8682" spans="1:9" hidden="1">
      <c r="A8682" s="11" t="s">
        <v>11260</v>
      </c>
      <c r="B8682" s="2" t="s">
        <v>15027</v>
      </c>
      <c r="C8682" s="2" t="s">
        <v>15028</v>
      </c>
      <c r="D8682" s="2"/>
      <c r="E8682" s="2">
        <v>1</v>
      </c>
      <c r="F8682" s="9"/>
      <c r="G8682" s="8">
        <f t="shared" si="270"/>
        <v>13.93381194402985</v>
      </c>
      <c r="H8682" s="8">
        <v>13.270297089552239</v>
      </c>
      <c r="I8682" s="19">
        <f t="shared" si="271"/>
        <v>0</v>
      </c>
    </row>
    <row r="8683" spans="1:9" hidden="1">
      <c r="A8683" s="11" t="s">
        <v>11260</v>
      </c>
      <c r="B8683" s="2" t="s">
        <v>15029</v>
      </c>
      <c r="C8683" s="2" t="s">
        <v>15030</v>
      </c>
      <c r="D8683" s="2"/>
      <c r="E8683" s="2">
        <v>1</v>
      </c>
      <c r="F8683" s="9"/>
      <c r="G8683" s="8">
        <f t="shared" si="270"/>
        <v>14.018663278008299</v>
      </c>
      <c r="H8683" s="8">
        <v>13.351107883817427</v>
      </c>
      <c r="I8683" s="19">
        <f t="shared" si="271"/>
        <v>0</v>
      </c>
    </row>
    <row r="8684" spans="1:9" hidden="1">
      <c r="A8684" s="11" t="s">
        <v>11260</v>
      </c>
      <c r="B8684" s="2" t="s">
        <v>15031</v>
      </c>
      <c r="C8684" s="2" t="s">
        <v>15032</v>
      </c>
      <c r="D8684" s="2"/>
      <c r="E8684" s="2">
        <v>1</v>
      </c>
      <c r="F8684" s="9"/>
      <c r="G8684" s="8">
        <f t="shared" si="270"/>
        <v>14.072328827586208</v>
      </c>
      <c r="H8684" s="8">
        <v>13.402217931034484</v>
      </c>
      <c r="I8684" s="19">
        <f t="shared" si="271"/>
        <v>0</v>
      </c>
    </row>
    <row r="8685" spans="1:9" hidden="1">
      <c r="A8685" s="11" t="s">
        <v>11260</v>
      </c>
      <c r="B8685" s="2" t="s">
        <v>15033</v>
      </c>
      <c r="C8685" s="2" t="s">
        <v>15034</v>
      </c>
      <c r="D8685" s="2"/>
      <c r="E8685" s="2">
        <v>1</v>
      </c>
      <c r="F8685" s="9"/>
      <c r="G8685" s="8">
        <f t="shared" si="270"/>
        <v>18.584895882352939</v>
      </c>
      <c r="H8685" s="8">
        <v>17.699900840336131</v>
      </c>
      <c r="I8685" s="19">
        <f t="shared" si="271"/>
        <v>0</v>
      </c>
    </row>
    <row r="8686" spans="1:9" hidden="1">
      <c r="A8686" s="11" t="s">
        <v>11260</v>
      </c>
      <c r="B8686" s="2" t="s">
        <v>15035</v>
      </c>
      <c r="C8686" s="2" t="s">
        <v>15036</v>
      </c>
      <c r="D8686" s="2"/>
      <c r="E8686" s="2">
        <v>1</v>
      </c>
      <c r="F8686" s="9"/>
      <c r="G8686" s="8">
        <f t="shared" si="270"/>
        <v>23.247104153225809</v>
      </c>
      <c r="H8686" s="8">
        <v>22.140099193548391</v>
      </c>
      <c r="I8686" s="19">
        <f t="shared" si="271"/>
        <v>0</v>
      </c>
    </row>
    <row r="8687" spans="1:9" hidden="1">
      <c r="A8687" s="11" t="s">
        <v>11260</v>
      </c>
      <c r="B8687" s="2" t="s">
        <v>15037</v>
      </c>
      <c r="C8687" s="2" t="s">
        <v>15038</v>
      </c>
      <c r="D8687" s="2"/>
      <c r="E8687" s="2">
        <v>1</v>
      </c>
      <c r="F8687" s="9"/>
      <c r="G8687" s="8">
        <f t="shared" si="270"/>
        <v>23.331485051975054</v>
      </c>
      <c r="H8687" s="8">
        <v>22.220461954261957</v>
      </c>
      <c r="I8687" s="19">
        <f t="shared" si="271"/>
        <v>0</v>
      </c>
    </row>
    <row r="8688" spans="1:9" hidden="1">
      <c r="A8688" s="11" t="s">
        <v>11260</v>
      </c>
      <c r="B8688" s="2" t="s">
        <v>15039</v>
      </c>
      <c r="C8688" s="2" t="s">
        <v>15040</v>
      </c>
      <c r="D8688" s="2"/>
      <c r="E8688" s="2">
        <v>1</v>
      </c>
      <c r="F8688" s="9"/>
      <c r="G8688" s="8">
        <f t="shared" si="270"/>
        <v>23.385150143212954</v>
      </c>
      <c r="H8688" s="8">
        <v>22.271571564964717</v>
      </c>
      <c r="I8688" s="19">
        <f t="shared" si="271"/>
        <v>0</v>
      </c>
    </row>
    <row r="8689" spans="1:9" hidden="1">
      <c r="A8689" s="11" t="s">
        <v>11260</v>
      </c>
      <c r="B8689" s="2" t="s">
        <v>15041</v>
      </c>
      <c r="C8689" s="2" t="s">
        <v>15042</v>
      </c>
      <c r="D8689" s="2"/>
      <c r="E8689" s="2">
        <v>1</v>
      </c>
      <c r="F8689" s="9"/>
      <c r="G8689" s="8">
        <f t="shared" si="270"/>
        <v>30.225023868801657</v>
      </c>
      <c r="H8689" s="8">
        <v>28.785737017906339</v>
      </c>
      <c r="I8689" s="19">
        <f t="shared" si="271"/>
        <v>0</v>
      </c>
    </row>
    <row r="8690" spans="1:9" hidden="1">
      <c r="A8690" s="11" t="s">
        <v>11260</v>
      </c>
      <c r="B8690" s="2" t="s">
        <v>15043</v>
      </c>
      <c r="C8690" s="2" t="s">
        <v>15044</v>
      </c>
      <c r="D8690" s="2"/>
      <c r="E8690" s="2">
        <v>1</v>
      </c>
      <c r="F8690" s="9"/>
      <c r="G8690" s="8">
        <f t="shared" si="270"/>
        <v>11.648394895644206</v>
      </c>
      <c r="H8690" s="8">
        <v>11.093709424423054</v>
      </c>
      <c r="I8690" s="19">
        <f t="shared" si="271"/>
        <v>0</v>
      </c>
    </row>
    <row r="8691" spans="1:9" hidden="1">
      <c r="A8691" s="11" t="s">
        <v>11260</v>
      </c>
      <c r="B8691" s="2" t="s">
        <v>15045</v>
      </c>
      <c r="C8691" s="2" t="s">
        <v>15046</v>
      </c>
      <c r="D8691" s="2"/>
      <c r="E8691" s="2">
        <v>1</v>
      </c>
      <c r="F8691" s="9"/>
      <c r="G8691" s="8">
        <f t="shared" si="270"/>
        <v>12.036976650289606</v>
      </c>
      <c r="H8691" s="8">
        <v>11.463787285990101</v>
      </c>
      <c r="I8691" s="19">
        <f t="shared" si="271"/>
        <v>0</v>
      </c>
    </row>
    <row r="8692" spans="1:9" hidden="1">
      <c r="A8692" s="11" t="s">
        <v>11260</v>
      </c>
      <c r="B8692" s="2" t="s">
        <v>15047</v>
      </c>
      <c r="C8692" s="2" t="s">
        <v>15048</v>
      </c>
      <c r="D8692" s="2"/>
      <c r="E8692" s="2">
        <v>1</v>
      </c>
      <c r="F8692" s="9"/>
      <c r="G8692" s="8">
        <f t="shared" si="270"/>
        <v>12.42762384256039</v>
      </c>
      <c r="H8692" s="8">
        <v>11.835832231009896</v>
      </c>
      <c r="I8692" s="19">
        <f t="shared" si="271"/>
        <v>0</v>
      </c>
    </row>
    <row r="8693" spans="1:9" hidden="1">
      <c r="A8693" s="11" t="s">
        <v>11260</v>
      </c>
      <c r="B8693" s="2" t="s">
        <v>15049</v>
      </c>
      <c r="C8693" s="2" t="s">
        <v>15050</v>
      </c>
      <c r="D8693" s="2"/>
      <c r="E8693" s="2">
        <v>1</v>
      </c>
      <c r="F8693" s="9"/>
      <c r="G8693" s="8">
        <f t="shared" si="270"/>
        <v>12.555281988753446</v>
      </c>
      <c r="H8693" s="8">
        <v>11.957411417860424</v>
      </c>
      <c r="I8693" s="19">
        <f t="shared" si="271"/>
        <v>0</v>
      </c>
    </row>
    <row r="8694" spans="1:9" hidden="1">
      <c r="A8694" s="11" t="s">
        <v>11260</v>
      </c>
      <c r="B8694" s="2" t="s">
        <v>15051</v>
      </c>
      <c r="C8694" s="2" t="s">
        <v>15052</v>
      </c>
      <c r="D8694" s="2"/>
      <c r="E8694" s="2">
        <v>1</v>
      </c>
      <c r="F8694" s="9"/>
      <c r="G8694" s="8">
        <f t="shared" si="270"/>
        <v>12.751853414264099</v>
      </c>
      <c r="H8694" s="8">
        <v>12.144622299299142</v>
      </c>
      <c r="I8694" s="19">
        <f t="shared" si="271"/>
        <v>0</v>
      </c>
    </row>
    <row r="8695" spans="1:9" hidden="1">
      <c r="A8695" s="11" t="s">
        <v>11260</v>
      </c>
      <c r="B8695" s="2" t="s">
        <v>15053</v>
      </c>
      <c r="C8695" s="2" t="s">
        <v>15054</v>
      </c>
      <c r="D8695" s="2"/>
      <c r="E8695" s="2">
        <v>1</v>
      </c>
      <c r="F8695" s="9"/>
      <c r="G8695" s="8">
        <f t="shared" si="270"/>
        <v>13.455116319762912</v>
      </c>
      <c r="H8695" s="8">
        <v>12.814396495012296</v>
      </c>
      <c r="I8695" s="19">
        <f t="shared" si="271"/>
        <v>0</v>
      </c>
    </row>
    <row r="8696" spans="1:9" hidden="1">
      <c r="A8696" s="11" t="s">
        <v>11260</v>
      </c>
      <c r="B8696" s="2" t="s">
        <v>15055</v>
      </c>
      <c r="C8696" s="2" t="s">
        <v>15056</v>
      </c>
      <c r="D8696" s="2"/>
      <c r="E8696" s="2">
        <v>1</v>
      </c>
      <c r="F8696" s="9"/>
      <c r="G8696" s="8">
        <f t="shared" si="270"/>
        <v>14.401050680602291</v>
      </c>
      <c r="H8696" s="8">
        <v>13.715286362478372</v>
      </c>
      <c r="I8696" s="19">
        <f t="shared" si="271"/>
        <v>0</v>
      </c>
    </row>
    <row r="8697" spans="1:9" hidden="1">
      <c r="A8697" s="11" t="s">
        <v>11260</v>
      </c>
      <c r="B8697" s="2" t="s">
        <v>15057</v>
      </c>
      <c r="C8697" s="2" t="s">
        <v>15058</v>
      </c>
      <c r="D8697" s="2"/>
      <c r="E8697" s="2">
        <v>1</v>
      </c>
      <c r="F8697" s="9"/>
      <c r="G8697" s="8">
        <f t="shared" si="270"/>
        <v>15.343340393835618</v>
      </c>
      <c r="H8697" s="8">
        <v>14.612705136986303</v>
      </c>
      <c r="I8697" s="19">
        <f t="shared" si="271"/>
        <v>0</v>
      </c>
    </row>
    <row r="8698" spans="1:9" hidden="1">
      <c r="A8698" s="11" t="s">
        <v>11260</v>
      </c>
      <c r="B8698" s="2" t="s">
        <v>15059</v>
      </c>
      <c r="C8698" s="2" t="s">
        <v>15060</v>
      </c>
      <c r="D8698" s="2"/>
      <c r="E8698" s="2">
        <v>1</v>
      </c>
      <c r="F8698" s="9"/>
      <c r="G8698" s="8">
        <f t="shared" si="270"/>
        <v>17.204281732277412</v>
      </c>
      <c r="H8698" s="8">
        <v>16.385030221216581</v>
      </c>
      <c r="I8698" s="19">
        <f t="shared" si="271"/>
        <v>0</v>
      </c>
    </row>
    <row r="8699" spans="1:9" hidden="1">
      <c r="A8699" s="11" t="s">
        <v>11260</v>
      </c>
      <c r="B8699" s="2" t="s">
        <v>15061</v>
      </c>
      <c r="C8699" s="2" t="s">
        <v>15062</v>
      </c>
      <c r="D8699" s="2"/>
      <c r="E8699" s="2">
        <v>1</v>
      </c>
      <c r="F8699" s="9"/>
      <c r="G8699" s="8">
        <f t="shared" si="270"/>
        <v>21.070929628409385</v>
      </c>
      <c r="H8699" s="8">
        <v>20.067552027056557</v>
      </c>
      <c r="I8699" s="19">
        <f t="shared" si="271"/>
        <v>0</v>
      </c>
    </row>
    <row r="8700" spans="1:9" hidden="1">
      <c r="A8700" s="11" t="s">
        <v>11260</v>
      </c>
      <c r="B8700" s="2" t="s">
        <v>15063</v>
      </c>
      <c r="C8700" s="2" t="s">
        <v>15064</v>
      </c>
      <c r="D8700" s="2"/>
      <c r="E8700" s="2">
        <v>1</v>
      </c>
      <c r="F8700" s="9"/>
      <c r="G8700" s="8">
        <f t="shared" si="270"/>
        <v>21.52359920986337</v>
      </c>
      <c r="H8700" s="8">
        <v>20.498665914155591</v>
      </c>
      <c r="I8700" s="19">
        <f t="shared" si="271"/>
        <v>0</v>
      </c>
    </row>
    <row r="8701" spans="1:9" hidden="1">
      <c r="A8701" s="11" t="s">
        <v>11260</v>
      </c>
      <c r="B8701" s="2" t="s">
        <v>15065</v>
      </c>
      <c r="C8701" s="2" t="s">
        <v>15066</v>
      </c>
      <c r="D8701" s="2"/>
      <c r="E8701" s="2">
        <v>1</v>
      </c>
      <c r="F8701" s="9"/>
      <c r="G8701" s="8">
        <f t="shared" si="270"/>
        <v>24.9346082368663</v>
      </c>
      <c r="H8701" s="8">
        <v>23.747245939872666</v>
      </c>
      <c r="I8701" s="19">
        <f t="shared" si="271"/>
        <v>0</v>
      </c>
    </row>
    <row r="8702" spans="1:9" hidden="1">
      <c r="A8702" s="11" t="s">
        <v>11260</v>
      </c>
      <c r="B8702" s="2" t="s">
        <v>15067</v>
      </c>
      <c r="C8702" s="2" t="s">
        <v>15068</v>
      </c>
      <c r="D8702" s="2"/>
      <c r="E8702" s="2">
        <v>1</v>
      </c>
      <c r="F8702" s="9"/>
      <c r="G8702" s="8">
        <f t="shared" si="270"/>
        <v>28.41206423313011</v>
      </c>
      <c r="H8702" s="8">
        <v>27.059108793457249</v>
      </c>
      <c r="I8702" s="19">
        <f t="shared" si="271"/>
        <v>0</v>
      </c>
    </row>
    <row r="8703" spans="1:9" hidden="1">
      <c r="A8703" s="11" t="s">
        <v>11260</v>
      </c>
      <c r="B8703" s="2" t="s">
        <v>15069</v>
      </c>
      <c r="C8703" s="2" t="s">
        <v>15070</v>
      </c>
      <c r="D8703" s="2"/>
      <c r="E8703" s="2">
        <v>1</v>
      </c>
      <c r="F8703" s="9"/>
      <c r="G8703" s="8">
        <f t="shared" si="270"/>
        <v>12.120371357490537</v>
      </c>
      <c r="H8703" s="8">
        <v>11.543210816657654</v>
      </c>
      <c r="I8703" s="19">
        <f t="shared" si="271"/>
        <v>0</v>
      </c>
    </row>
    <row r="8704" spans="1:9" hidden="1">
      <c r="A8704" s="11" t="s">
        <v>11260</v>
      </c>
      <c r="B8704" s="2" t="s">
        <v>15071</v>
      </c>
      <c r="C8704" s="2" t="s">
        <v>15072</v>
      </c>
      <c r="D8704" s="2"/>
      <c r="E8704" s="2">
        <v>1</v>
      </c>
      <c r="F8704" s="9"/>
      <c r="G8704" s="8">
        <f t="shared" si="270"/>
        <v>20.108295989650713</v>
      </c>
      <c r="H8704" s="8">
        <v>19.150758085381632</v>
      </c>
      <c r="I8704" s="19">
        <f t="shared" si="271"/>
        <v>0</v>
      </c>
    </row>
    <row r="8705" spans="1:9" hidden="1">
      <c r="A8705" s="11" t="s">
        <v>11260</v>
      </c>
      <c r="B8705" s="2" t="s">
        <v>15073</v>
      </c>
      <c r="C8705" s="2" t="s">
        <v>15074</v>
      </c>
      <c r="D8705" s="2"/>
      <c r="E8705" s="2">
        <v>1</v>
      </c>
      <c r="F8705" s="9"/>
      <c r="G8705" s="8">
        <f t="shared" si="270"/>
        <v>118.73484000000001</v>
      </c>
      <c r="H8705" s="8">
        <v>113.08080000000001</v>
      </c>
      <c r="I8705" s="19">
        <f t="shared" si="271"/>
        <v>0</v>
      </c>
    </row>
    <row r="8706" spans="1:9" hidden="1">
      <c r="A8706" s="11" t="s">
        <v>11260</v>
      </c>
      <c r="B8706" s="2" t="s">
        <v>15075</v>
      </c>
      <c r="C8706" s="2" t="s">
        <v>15076</v>
      </c>
      <c r="D8706" s="2"/>
      <c r="E8706" s="2">
        <v>1</v>
      </c>
      <c r="F8706" s="9"/>
      <c r="G8706" s="8">
        <f t="shared" si="270"/>
        <v>81.293520000000015</v>
      </c>
      <c r="H8706" s="8">
        <v>77.42240000000001</v>
      </c>
      <c r="I8706" s="19">
        <f t="shared" si="271"/>
        <v>0</v>
      </c>
    </row>
    <row r="8707" spans="1:9" hidden="1">
      <c r="A8707" s="11" t="s">
        <v>11260</v>
      </c>
      <c r="B8707" s="2" t="s">
        <v>15077</v>
      </c>
      <c r="C8707" s="2" t="s">
        <v>15078</v>
      </c>
      <c r="D8707" s="2"/>
      <c r="E8707" s="2">
        <v>1</v>
      </c>
      <c r="F8707" s="9"/>
      <c r="G8707" s="8">
        <f t="shared" si="270"/>
        <v>23.985150000000004</v>
      </c>
      <c r="H8707" s="8">
        <v>22.843000000000004</v>
      </c>
      <c r="I8707" s="19">
        <f t="shared" si="271"/>
        <v>0</v>
      </c>
    </row>
    <row r="8708" spans="1:9" hidden="1">
      <c r="A8708" s="11" t="s">
        <v>11260</v>
      </c>
      <c r="B8708" s="2" t="s">
        <v>15079</v>
      </c>
      <c r="C8708" s="2" t="s">
        <v>15080</v>
      </c>
      <c r="D8708" s="2"/>
      <c r="E8708" s="2">
        <v>1</v>
      </c>
      <c r="F8708" s="9"/>
      <c r="G8708" s="8">
        <f t="shared" si="270"/>
        <v>46.419193137852261</v>
      </c>
      <c r="H8708" s="8">
        <v>44.208755369383105</v>
      </c>
      <c r="I8708" s="19">
        <f t="shared" si="271"/>
        <v>0</v>
      </c>
    </row>
    <row r="8709" spans="1:9" hidden="1">
      <c r="A8709" s="11" t="s">
        <v>11260</v>
      </c>
      <c r="B8709" s="2" t="s">
        <v>15081</v>
      </c>
      <c r="C8709" s="2" t="s">
        <v>15082</v>
      </c>
      <c r="D8709" s="2"/>
      <c r="E8709" s="2">
        <v>1</v>
      </c>
      <c r="F8709" s="9"/>
      <c r="G8709" s="8">
        <f t="shared" si="270"/>
        <v>65.557661755031617</v>
      </c>
      <c r="H8709" s="8">
        <v>62.435868338125353</v>
      </c>
      <c r="I8709" s="19">
        <f t="shared" si="271"/>
        <v>0</v>
      </c>
    </row>
    <row r="8710" spans="1:9" hidden="1">
      <c r="A8710" s="11" t="s">
        <v>11260</v>
      </c>
      <c r="B8710" s="2" t="s">
        <v>15083</v>
      </c>
      <c r="C8710" s="2" t="s">
        <v>15084</v>
      </c>
      <c r="D8710" s="2"/>
      <c r="E8710" s="2">
        <v>1</v>
      </c>
      <c r="F8710" s="9"/>
      <c r="G8710" s="8">
        <f t="shared" si="270"/>
        <v>94.755736582278487</v>
      </c>
      <c r="H8710" s="8">
        <v>90.243558649789037</v>
      </c>
      <c r="I8710" s="19">
        <f t="shared" si="271"/>
        <v>0</v>
      </c>
    </row>
    <row r="8711" spans="1:9" hidden="1">
      <c r="A8711" s="11" t="s">
        <v>11260</v>
      </c>
      <c r="B8711" s="2" t="s">
        <v>15085</v>
      </c>
      <c r="C8711" s="2" t="s">
        <v>15086</v>
      </c>
      <c r="D8711" s="2"/>
      <c r="E8711" s="2">
        <v>1</v>
      </c>
      <c r="F8711" s="9"/>
      <c r="G8711" s="8">
        <f t="shared" si="270"/>
        <v>156.34164000000001</v>
      </c>
      <c r="H8711" s="8">
        <v>148.89680000000001</v>
      </c>
      <c r="I8711" s="19">
        <f t="shared" si="271"/>
        <v>0</v>
      </c>
    </row>
    <row r="8712" spans="1:9" hidden="1">
      <c r="A8712" s="11" t="s">
        <v>11260</v>
      </c>
      <c r="B8712" s="2" t="s">
        <v>15087</v>
      </c>
      <c r="C8712" s="2" t="s">
        <v>15088</v>
      </c>
      <c r="D8712" s="2"/>
      <c r="E8712" s="2">
        <v>1</v>
      </c>
      <c r="F8712" s="9"/>
      <c r="G8712" s="8">
        <f t="shared" si="270"/>
        <v>30.369127584269666</v>
      </c>
      <c r="H8712" s="8">
        <v>28.922978651685398</v>
      </c>
      <c r="I8712" s="19">
        <f t="shared" si="271"/>
        <v>0</v>
      </c>
    </row>
    <row r="8713" spans="1:9" hidden="1">
      <c r="A8713" s="11" t="s">
        <v>11260</v>
      </c>
      <c r="B8713" s="2" t="s">
        <v>15089</v>
      </c>
      <c r="C8713" s="2" t="s">
        <v>15090</v>
      </c>
      <c r="D8713" s="2"/>
      <c r="E8713" s="2">
        <v>1</v>
      </c>
      <c r="F8713" s="9"/>
      <c r="G8713" s="8">
        <f t="shared" si="270"/>
        <v>22.476983137254905</v>
      </c>
      <c r="H8713" s="8">
        <v>21.406650606909434</v>
      </c>
      <c r="I8713" s="19">
        <f t="shared" si="271"/>
        <v>0</v>
      </c>
    </row>
    <row r="8714" spans="1:9" hidden="1">
      <c r="A8714" s="11" t="s">
        <v>11260</v>
      </c>
      <c r="B8714" s="2" t="s">
        <v>15091</v>
      </c>
      <c r="C8714" s="2" t="s">
        <v>15092</v>
      </c>
      <c r="D8714" s="2"/>
      <c r="E8714" s="2">
        <v>1</v>
      </c>
      <c r="F8714" s="9"/>
      <c r="G8714" s="8">
        <f t="shared" si="270"/>
        <v>24.920754511742892</v>
      </c>
      <c r="H8714" s="8">
        <v>23.73405191594561</v>
      </c>
      <c r="I8714" s="19">
        <f t="shared" si="271"/>
        <v>0</v>
      </c>
    </row>
    <row r="8715" spans="1:9" hidden="1">
      <c r="A8715" s="11" t="s">
        <v>11260</v>
      </c>
      <c r="B8715" s="2" t="s">
        <v>15093</v>
      </c>
      <c r="C8715" s="2" t="s">
        <v>15094</v>
      </c>
      <c r="D8715" s="2"/>
      <c r="E8715" s="2">
        <v>1</v>
      </c>
      <c r="F8715" s="9"/>
      <c r="G8715" s="8">
        <f t="shared" si="270"/>
        <v>25.734017267964074</v>
      </c>
      <c r="H8715" s="8">
        <v>24.5085878742515</v>
      </c>
      <c r="I8715" s="19">
        <f t="shared" si="271"/>
        <v>0</v>
      </c>
    </row>
    <row r="8716" spans="1:9" hidden="1">
      <c r="A8716" s="11" t="s">
        <v>11260</v>
      </c>
      <c r="B8716" s="2" t="s">
        <v>15095</v>
      </c>
      <c r="C8716" s="2" t="s">
        <v>15090</v>
      </c>
      <c r="D8716" s="2"/>
      <c r="E8716" s="2">
        <v>1</v>
      </c>
      <c r="F8716" s="9"/>
      <c r="G8716" s="8">
        <f t="shared" si="270"/>
        <v>25.59054559824369</v>
      </c>
      <c r="H8716" s="8">
        <v>24.371948188803515</v>
      </c>
      <c r="I8716" s="19">
        <f t="shared" si="271"/>
        <v>0</v>
      </c>
    </row>
    <row r="8717" spans="1:9" hidden="1">
      <c r="A8717" s="11" t="s">
        <v>11260</v>
      </c>
      <c r="B8717" s="2" t="s">
        <v>15096</v>
      </c>
      <c r="C8717" s="2" t="s">
        <v>15090</v>
      </c>
      <c r="D8717" s="2"/>
      <c r="E8717" s="2">
        <v>1</v>
      </c>
      <c r="F8717" s="9"/>
      <c r="G8717" s="8">
        <f t="shared" si="270"/>
        <v>27.864699574468091</v>
      </c>
      <c r="H8717" s="8">
        <v>26.537809118541038</v>
      </c>
      <c r="I8717" s="19">
        <f t="shared" si="271"/>
        <v>0</v>
      </c>
    </row>
    <row r="8718" spans="1:9" hidden="1">
      <c r="A8718" s="11" t="s">
        <v>11260</v>
      </c>
      <c r="B8718" s="2" t="s">
        <v>15097</v>
      </c>
      <c r="C8718" s="2" t="s">
        <v>15098</v>
      </c>
      <c r="D8718" s="2"/>
      <c r="E8718" s="2">
        <v>1</v>
      </c>
      <c r="F8718" s="9"/>
      <c r="G8718" s="8">
        <f t="shared" si="270"/>
        <v>30.700622589163238</v>
      </c>
      <c r="H8718" s="8">
        <v>29.238688180155464</v>
      </c>
      <c r="I8718" s="19">
        <f t="shared" si="271"/>
        <v>0</v>
      </c>
    </row>
    <row r="8719" spans="1:9" hidden="1">
      <c r="A8719" s="11" t="s">
        <v>11260</v>
      </c>
      <c r="B8719" s="2" t="s">
        <v>15099</v>
      </c>
      <c r="C8719" s="2" t="s">
        <v>15100</v>
      </c>
      <c r="D8719" s="2"/>
      <c r="E8719" s="2">
        <v>1</v>
      </c>
      <c r="F8719" s="9"/>
      <c r="G8719" s="8">
        <f t="shared" si="270"/>
        <v>39.330277704970946</v>
      </c>
      <c r="H8719" s="8">
        <v>37.457407338067569</v>
      </c>
      <c r="I8719" s="19">
        <f t="shared" si="271"/>
        <v>0</v>
      </c>
    </row>
    <row r="8720" spans="1:9" hidden="1">
      <c r="A8720" s="11" t="s">
        <v>11260</v>
      </c>
      <c r="B8720" s="2" t="s">
        <v>15101</v>
      </c>
      <c r="C8720" s="2" t="s">
        <v>15098</v>
      </c>
      <c r="D8720" s="2"/>
      <c r="E8720" s="2">
        <v>1</v>
      </c>
      <c r="F8720" s="9"/>
      <c r="G8720" s="8">
        <f t="shared" si="270"/>
        <v>39.330277704970946</v>
      </c>
      <c r="H8720" s="8">
        <v>37.457407338067569</v>
      </c>
      <c r="I8720" s="19">
        <f t="shared" si="271"/>
        <v>0</v>
      </c>
    </row>
    <row r="8721" spans="1:9" hidden="1">
      <c r="A8721" s="11" t="s">
        <v>11260</v>
      </c>
      <c r="B8721" s="2" t="s">
        <v>15102</v>
      </c>
      <c r="C8721" s="2" t="s">
        <v>15103</v>
      </c>
      <c r="D8721" s="2"/>
      <c r="E8721" s="2">
        <v>1</v>
      </c>
      <c r="F8721" s="9"/>
      <c r="G8721" s="8">
        <f t="shared" si="270"/>
        <v>42.140366210082341</v>
      </c>
      <c r="H8721" s="8">
        <v>40.133682104840325</v>
      </c>
      <c r="I8721" s="19">
        <f t="shared" si="271"/>
        <v>0</v>
      </c>
    </row>
    <row r="8722" spans="1:9" hidden="1">
      <c r="A8722" s="11" t="s">
        <v>11260</v>
      </c>
      <c r="B8722" s="2" t="s">
        <v>15104</v>
      </c>
      <c r="C8722" s="2" t="s">
        <v>15105</v>
      </c>
      <c r="D8722" s="2"/>
      <c r="E8722" s="2">
        <v>1</v>
      </c>
      <c r="F8722" s="9"/>
      <c r="G8722" s="8">
        <f t="shared" si="270"/>
        <v>44.971459994347086</v>
      </c>
      <c r="H8722" s="8">
        <v>42.829961899378176</v>
      </c>
      <c r="I8722" s="19">
        <f t="shared" si="271"/>
        <v>0</v>
      </c>
    </row>
    <row r="8723" spans="1:9" hidden="1">
      <c r="A8723" s="11" t="s">
        <v>11260</v>
      </c>
      <c r="B8723" s="2" t="s">
        <v>15106</v>
      </c>
      <c r="C8723" s="2" t="s">
        <v>15090</v>
      </c>
      <c r="D8723" s="2"/>
      <c r="E8723" s="2">
        <v>1</v>
      </c>
      <c r="F8723" s="9"/>
      <c r="G8723" s="8">
        <f t="shared" si="270"/>
        <v>44.982175138496316</v>
      </c>
      <c r="H8723" s="8">
        <v>42.840166798567921</v>
      </c>
      <c r="I8723" s="19">
        <f t="shared" si="271"/>
        <v>0</v>
      </c>
    </row>
    <row r="8724" spans="1:9" hidden="1">
      <c r="A8724" s="11" t="s">
        <v>11260</v>
      </c>
      <c r="B8724" s="2" t="s">
        <v>15107</v>
      </c>
      <c r="C8724" s="2" t="s">
        <v>15108</v>
      </c>
      <c r="D8724" s="2"/>
      <c r="E8724" s="2">
        <v>1</v>
      </c>
      <c r="F8724" s="9"/>
      <c r="G8724" s="8">
        <f t="shared" si="270"/>
        <v>47.790023306136924</v>
      </c>
      <c r="H8724" s="8">
        <v>45.514307910606597</v>
      </c>
      <c r="I8724" s="19">
        <f t="shared" si="271"/>
        <v>0</v>
      </c>
    </row>
    <row r="8725" spans="1:9">
      <c r="A8725" s="11" t="s">
        <v>11260</v>
      </c>
      <c r="B8725" s="2" t="s">
        <v>15109</v>
      </c>
      <c r="C8725" s="2" t="s">
        <v>15110</v>
      </c>
      <c r="D8725" s="2"/>
      <c r="E8725" s="2">
        <v>1</v>
      </c>
      <c r="F8725" s="9">
        <v>101</v>
      </c>
      <c r="G8725" s="8">
        <f t="shared" si="270"/>
        <v>50.597950326633168</v>
      </c>
      <c r="H8725" s="8">
        <v>48.188524120603013</v>
      </c>
      <c r="I8725" s="19">
        <f t="shared" si="271"/>
        <v>5110.3929829899498</v>
      </c>
    </row>
    <row r="8726" spans="1:9">
      <c r="A8726" s="11" t="s">
        <v>11260</v>
      </c>
      <c r="B8726" s="2" t="s">
        <v>15111</v>
      </c>
      <c r="C8726" s="2" t="s">
        <v>15090</v>
      </c>
      <c r="D8726" s="2"/>
      <c r="E8726" s="2">
        <v>1</v>
      </c>
      <c r="F8726" s="9">
        <v>92</v>
      </c>
      <c r="G8726" s="8">
        <f t="shared" si="270"/>
        <v>46.040201714677636</v>
      </c>
      <c r="H8726" s="8">
        <v>43.847811156835846</v>
      </c>
      <c r="I8726" s="19">
        <f t="shared" si="271"/>
        <v>4235.6985577503428</v>
      </c>
    </row>
    <row r="8727" spans="1:9" hidden="1">
      <c r="A8727" s="11" t="s">
        <v>11260</v>
      </c>
      <c r="B8727" s="2" t="s">
        <v>15112</v>
      </c>
      <c r="C8727" s="2" t="s">
        <v>15113</v>
      </c>
      <c r="D8727" s="2"/>
      <c r="E8727" s="2">
        <v>1</v>
      </c>
      <c r="F8727" s="9"/>
      <c r="G8727" s="8">
        <f t="shared" si="270"/>
        <v>56.260602208144796</v>
      </c>
      <c r="H8727" s="8">
        <v>53.581525912518856</v>
      </c>
      <c r="I8727" s="19">
        <f t="shared" si="271"/>
        <v>0</v>
      </c>
    </row>
    <row r="8728" spans="1:9" hidden="1">
      <c r="A8728" s="11" t="s">
        <v>11260</v>
      </c>
      <c r="B8728" s="2" t="s">
        <v>15114</v>
      </c>
      <c r="C8728" s="2" t="s">
        <v>15090</v>
      </c>
      <c r="D8728" s="2"/>
      <c r="E8728" s="2">
        <v>1</v>
      </c>
      <c r="F8728" s="9"/>
      <c r="G8728" s="8">
        <f t="shared" ref="G8728:G8791" si="272">H8728+(H8728*5%)</f>
        <v>51.197868645533141</v>
      </c>
      <c r="H8728" s="8">
        <v>48.759874900507754</v>
      </c>
      <c r="I8728" s="19">
        <f t="shared" ref="I8728:I8791" si="273">G8728*F8728</f>
        <v>0</v>
      </c>
    </row>
    <row r="8729" spans="1:9" hidden="1">
      <c r="A8729" s="11" t="s">
        <v>11260</v>
      </c>
      <c r="B8729" s="2" t="s">
        <v>15115</v>
      </c>
      <c r="C8729" s="2" t="s">
        <v>15116</v>
      </c>
      <c r="D8729" s="2"/>
      <c r="E8729" s="2">
        <v>1</v>
      </c>
      <c r="F8729" s="9"/>
      <c r="G8729" s="8">
        <f t="shared" si="272"/>
        <v>61.874212114356226</v>
      </c>
      <c r="H8729" s="8">
        <v>58.927821061291645</v>
      </c>
      <c r="I8729" s="19">
        <f t="shared" si="273"/>
        <v>0</v>
      </c>
    </row>
    <row r="8730" spans="1:9" hidden="1">
      <c r="A8730" s="11" t="s">
        <v>11260</v>
      </c>
      <c r="B8730" s="2" t="s">
        <v>15117</v>
      </c>
      <c r="C8730" s="2" t="s">
        <v>15098</v>
      </c>
      <c r="D8730" s="2"/>
      <c r="E8730" s="2">
        <v>1</v>
      </c>
      <c r="F8730" s="9"/>
      <c r="G8730" s="8">
        <f t="shared" si="272"/>
        <v>61.874212114356226</v>
      </c>
      <c r="H8730" s="8">
        <v>58.927821061291645</v>
      </c>
      <c r="I8730" s="19">
        <f t="shared" si="273"/>
        <v>0</v>
      </c>
    </row>
    <row r="8731" spans="1:9" hidden="1">
      <c r="A8731" s="11" t="s">
        <v>11260</v>
      </c>
      <c r="B8731" s="2" t="s">
        <v>15118</v>
      </c>
      <c r="C8731" s="2" t="s">
        <v>15119</v>
      </c>
      <c r="D8731" s="2"/>
      <c r="E8731" s="2">
        <v>1</v>
      </c>
      <c r="F8731" s="9"/>
      <c r="G8731" s="8">
        <f t="shared" si="272"/>
        <v>67.536892717842321</v>
      </c>
      <c r="H8731" s="8">
        <v>64.320850207468879</v>
      </c>
      <c r="I8731" s="19">
        <f t="shared" si="273"/>
        <v>0</v>
      </c>
    </row>
    <row r="8732" spans="1:9" hidden="1">
      <c r="A8732" s="11" t="s">
        <v>11260</v>
      </c>
      <c r="B8732" s="2" t="s">
        <v>15120</v>
      </c>
      <c r="C8732" s="2" t="s">
        <v>15090</v>
      </c>
      <c r="D8732" s="2"/>
      <c r="E8732" s="2">
        <v>1</v>
      </c>
      <c r="F8732" s="9"/>
      <c r="G8732" s="8">
        <f t="shared" si="272"/>
        <v>67.547617966804992</v>
      </c>
      <c r="H8732" s="8">
        <v>64.331064730290464</v>
      </c>
      <c r="I8732" s="19">
        <f t="shared" si="273"/>
        <v>0</v>
      </c>
    </row>
    <row r="8733" spans="1:9" hidden="1">
      <c r="A8733" s="11" t="s">
        <v>11260</v>
      </c>
      <c r="B8733" s="2" t="s">
        <v>15121</v>
      </c>
      <c r="C8733" s="2" t="s">
        <v>15122</v>
      </c>
      <c r="D8733" s="2"/>
      <c r="E8733" s="2">
        <v>1</v>
      </c>
      <c r="F8733" s="9"/>
      <c r="G8733" s="8">
        <f t="shared" si="272"/>
        <v>73.174109247910877</v>
      </c>
      <c r="H8733" s="8">
        <v>69.689627855153219</v>
      </c>
      <c r="I8733" s="19">
        <f t="shared" si="273"/>
        <v>0</v>
      </c>
    </row>
    <row r="8734" spans="1:9" hidden="1">
      <c r="A8734" s="11" t="s">
        <v>11260</v>
      </c>
      <c r="B8734" s="2" t="s">
        <v>15123</v>
      </c>
      <c r="C8734" s="2" t="s">
        <v>15124</v>
      </c>
      <c r="D8734" s="2"/>
      <c r="E8734" s="2">
        <v>1</v>
      </c>
      <c r="F8734" s="9"/>
      <c r="G8734" s="8">
        <f t="shared" si="272"/>
        <v>77.796434074074057</v>
      </c>
      <c r="H8734" s="8">
        <v>74.091841975308625</v>
      </c>
      <c r="I8734" s="19">
        <f t="shared" si="273"/>
        <v>0</v>
      </c>
    </row>
    <row r="8735" spans="1:9" hidden="1">
      <c r="A8735" s="11" t="s">
        <v>11260</v>
      </c>
      <c r="B8735" s="2" t="s">
        <v>15125</v>
      </c>
      <c r="C8735" s="2" t="s">
        <v>15122</v>
      </c>
      <c r="D8735" s="2"/>
      <c r="E8735" s="2">
        <v>1</v>
      </c>
      <c r="F8735" s="9"/>
      <c r="G8735" s="8">
        <f t="shared" si="272"/>
        <v>73.163384623955437</v>
      </c>
      <c r="H8735" s="8">
        <v>69.679413927576604</v>
      </c>
      <c r="I8735" s="19">
        <f t="shared" si="273"/>
        <v>0</v>
      </c>
    </row>
    <row r="8736" spans="1:9" hidden="1">
      <c r="A8736" s="11" t="s">
        <v>11260</v>
      </c>
      <c r="B8736" s="2" t="s">
        <v>15126</v>
      </c>
      <c r="C8736" s="2" t="s">
        <v>15127</v>
      </c>
      <c r="D8736" s="2"/>
      <c r="E8736" s="2">
        <v>1</v>
      </c>
      <c r="F8736" s="9"/>
      <c r="G8736" s="8">
        <f t="shared" si="272"/>
        <v>247.10814542399996</v>
      </c>
      <c r="H8736" s="8">
        <v>235.34109087999997</v>
      </c>
      <c r="I8736" s="19">
        <f t="shared" si="273"/>
        <v>0</v>
      </c>
    </row>
    <row r="8737" spans="1:9" hidden="1">
      <c r="A8737" s="11" t="s">
        <v>11260</v>
      </c>
      <c r="B8737" s="2" t="s">
        <v>15128</v>
      </c>
      <c r="C8737" s="2" t="s">
        <v>15129</v>
      </c>
      <c r="D8737" s="2"/>
      <c r="E8737" s="2">
        <v>1</v>
      </c>
      <c r="F8737" s="9"/>
      <c r="G8737" s="8">
        <f t="shared" si="272"/>
        <v>56.763623655008253</v>
      </c>
      <c r="H8737" s="8">
        <v>54.060593957150715</v>
      </c>
      <c r="I8737" s="19">
        <f t="shared" si="273"/>
        <v>0</v>
      </c>
    </row>
    <row r="8738" spans="1:9" hidden="1">
      <c r="A8738" s="11" t="s">
        <v>11260</v>
      </c>
      <c r="B8738" s="2" t="s">
        <v>15130</v>
      </c>
      <c r="C8738" s="2" t="s">
        <v>15131</v>
      </c>
      <c r="D8738" s="2"/>
      <c r="E8738" s="2">
        <v>1</v>
      </c>
      <c r="F8738" s="9"/>
      <c r="G8738" s="8">
        <f t="shared" si="272"/>
        <v>64.336306599612215</v>
      </c>
      <c r="H8738" s="8">
        <v>61.272672952011639</v>
      </c>
      <c r="I8738" s="19">
        <f t="shared" si="273"/>
        <v>0</v>
      </c>
    </row>
    <row r="8739" spans="1:9" hidden="1">
      <c r="A8739" s="11" t="s">
        <v>11260</v>
      </c>
      <c r="B8739" s="2" t="s">
        <v>15132</v>
      </c>
      <c r="C8739" s="2" t="s">
        <v>15133</v>
      </c>
      <c r="D8739" s="2"/>
      <c r="E8739" s="2">
        <v>1</v>
      </c>
      <c r="F8739" s="9"/>
      <c r="G8739" s="8">
        <f t="shared" si="272"/>
        <v>35.665686442976352</v>
      </c>
      <c r="H8739" s="8">
        <v>33.967320421882242</v>
      </c>
      <c r="I8739" s="19">
        <f t="shared" si="273"/>
        <v>0</v>
      </c>
    </row>
    <row r="8740" spans="1:9" hidden="1">
      <c r="A8740" s="11" t="s">
        <v>11260</v>
      </c>
      <c r="B8740" s="2" t="s">
        <v>15134</v>
      </c>
      <c r="C8740" s="2" t="s">
        <v>15135</v>
      </c>
      <c r="D8740" s="2"/>
      <c r="E8740" s="2">
        <v>1</v>
      </c>
      <c r="F8740" s="9"/>
      <c r="G8740" s="8">
        <f t="shared" si="272"/>
        <v>55.120568121520606</v>
      </c>
      <c r="H8740" s="8">
        <v>52.495779163352957</v>
      </c>
      <c r="I8740" s="19">
        <f t="shared" si="273"/>
        <v>0</v>
      </c>
    </row>
    <row r="8741" spans="1:9" hidden="1">
      <c r="A8741" s="11" t="s">
        <v>11260</v>
      </c>
      <c r="B8741" s="2" t="s">
        <v>15136</v>
      </c>
      <c r="C8741" s="2" t="s">
        <v>15137</v>
      </c>
      <c r="D8741" s="2"/>
      <c r="E8741" s="2">
        <v>1</v>
      </c>
      <c r="F8741" s="9"/>
      <c r="G8741" s="8">
        <f t="shared" si="272"/>
        <v>77.328798140579877</v>
      </c>
      <c r="H8741" s="8">
        <v>73.646474419599883</v>
      </c>
      <c r="I8741" s="19">
        <f t="shared" si="273"/>
        <v>0</v>
      </c>
    </row>
    <row r="8742" spans="1:9" hidden="1">
      <c r="A8742" s="11" t="s">
        <v>11260</v>
      </c>
      <c r="B8742" s="2" t="s">
        <v>15138</v>
      </c>
      <c r="C8742" s="2" t="s">
        <v>15139</v>
      </c>
      <c r="D8742" s="2"/>
      <c r="E8742" s="2">
        <v>1</v>
      </c>
      <c r="F8742" s="9"/>
      <c r="G8742" s="8">
        <f t="shared" si="272"/>
        <v>39.800450369027303</v>
      </c>
      <c r="H8742" s="8">
        <v>37.90519082764505</v>
      </c>
      <c r="I8742" s="19">
        <f t="shared" si="273"/>
        <v>0</v>
      </c>
    </row>
    <row r="8743" spans="1:9" hidden="1">
      <c r="A8743" s="11" t="s">
        <v>11260</v>
      </c>
      <c r="B8743" s="2" t="s">
        <v>15140</v>
      </c>
      <c r="C8743" s="2" t="s">
        <v>15141</v>
      </c>
      <c r="D8743" s="2"/>
      <c r="E8743" s="2">
        <v>1</v>
      </c>
      <c r="F8743" s="9"/>
      <c r="G8743" s="8">
        <f t="shared" si="272"/>
        <v>46.410517075471702</v>
      </c>
      <c r="H8743" s="8">
        <v>44.20049245283019</v>
      </c>
      <c r="I8743" s="19">
        <f t="shared" si="273"/>
        <v>0</v>
      </c>
    </row>
    <row r="8744" spans="1:9" hidden="1">
      <c r="A8744" s="11" t="s">
        <v>11260</v>
      </c>
      <c r="B8744" s="2" t="s">
        <v>15142</v>
      </c>
      <c r="C8744" s="2" t="s">
        <v>15143</v>
      </c>
      <c r="D8744" s="2"/>
      <c r="E8744" s="2">
        <v>1</v>
      </c>
      <c r="F8744" s="9"/>
      <c r="G8744" s="8">
        <f t="shared" si="272"/>
        <v>53.037730554663668</v>
      </c>
      <c r="H8744" s="8">
        <v>50.512124337774921</v>
      </c>
      <c r="I8744" s="19">
        <f t="shared" si="273"/>
        <v>0</v>
      </c>
    </row>
    <row r="8745" spans="1:9" hidden="1">
      <c r="A8745" s="11" t="s">
        <v>11260</v>
      </c>
      <c r="B8745" s="2" t="s">
        <v>15144</v>
      </c>
      <c r="C8745" s="2" t="s">
        <v>15145</v>
      </c>
      <c r="D8745" s="2"/>
      <c r="E8745" s="2">
        <v>1</v>
      </c>
      <c r="F8745" s="9"/>
      <c r="G8745" s="8">
        <f t="shared" si="272"/>
        <v>59.607225482073986</v>
      </c>
      <c r="H8745" s="8">
        <v>56.768786173403797</v>
      </c>
      <c r="I8745" s="19">
        <f t="shared" si="273"/>
        <v>0</v>
      </c>
    </row>
    <row r="8746" spans="1:9" hidden="1">
      <c r="A8746" s="11" t="s">
        <v>11260</v>
      </c>
      <c r="B8746" s="2" t="s">
        <v>15146</v>
      </c>
      <c r="C8746" s="2" t="s">
        <v>15147</v>
      </c>
      <c r="D8746" s="2"/>
      <c r="E8746" s="2">
        <v>1</v>
      </c>
      <c r="F8746" s="9"/>
      <c r="G8746" s="8">
        <f t="shared" si="272"/>
        <v>66.215252177045812</v>
      </c>
      <c r="H8746" s="8">
        <v>63.062144930519814</v>
      </c>
      <c r="I8746" s="19">
        <f t="shared" si="273"/>
        <v>0</v>
      </c>
    </row>
    <row r="8747" spans="1:9" hidden="1">
      <c r="A8747" s="11" t="s">
        <v>11260</v>
      </c>
      <c r="B8747" s="2" t="s">
        <v>15148</v>
      </c>
      <c r="C8747" s="2" t="s">
        <v>15149</v>
      </c>
      <c r="D8747" s="2"/>
      <c r="E8747" s="2">
        <v>1</v>
      </c>
      <c r="F8747" s="9"/>
      <c r="G8747" s="8">
        <f t="shared" si="272"/>
        <v>72.810624078624102</v>
      </c>
      <c r="H8747" s="8">
        <v>69.343451503451519</v>
      </c>
      <c r="I8747" s="19">
        <f t="shared" si="273"/>
        <v>0</v>
      </c>
    </row>
    <row r="8748" spans="1:9" hidden="1">
      <c r="A8748" s="11" t="s">
        <v>11260</v>
      </c>
      <c r="B8748" s="2" t="s">
        <v>15150</v>
      </c>
      <c r="C8748" s="2" t="s">
        <v>15151</v>
      </c>
      <c r="D8748" s="2"/>
      <c r="E8748" s="2">
        <v>1</v>
      </c>
      <c r="F8748" s="9"/>
      <c r="G8748" s="8">
        <f t="shared" si="272"/>
        <v>79.420763799098509</v>
      </c>
      <c r="H8748" s="8">
        <v>75.638822665808107</v>
      </c>
      <c r="I8748" s="19">
        <f t="shared" si="273"/>
        <v>0</v>
      </c>
    </row>
    <row r="8749" spans="1:9" hidden="1">
      <c r="A8749" s="11" t="s">
        <v>11260</v>
      </c>
      <c r="B8749" s="2" t="s">
        <v>15152</v>
      </c>
      <c r="C8749" s="2" t="s">
        <v>15153</v>
      </c>
      <c r="D8749" s="2"/>
      <c r="E8749" s="2">
        <v>1</v>
      </c>
      <c r="F8749" s="9"/>
      <c r="G8749" s="8">
        <f t="shared" si="272"/>
        <v>85.975489285714303</v>
      </c>
      <c r="H8749" s="8">
        <v>81.881418367346953</v>
      </c>
      <c r="I8749" s="19">
        <f t="shared" si="273"/>
        <v>0</v>
      </c>
    </row>
    <row r="8750" spans="1:9" hidden="1">
      <c r="A8750" s="11" t="s">
        <v>11260</v>
      </c>
      <c r="B8750" s="2" t="s">
        <v>15154</v>
      </c>
      <c r="C8750" s="2" t="s">
        <v>15155</v>
      </c>
      <c r="D8750" s="2"/>
      <c r="E8750" s="2">
        <v>1</v>
      </c>
      <c r="F8750" s="9"/>
      <c r="G8750" s="8">
        <f t="shared" si="272"/>
        <v>17.920455</v>
      </c>
      <c r="H8750" s="8">
        <v>17.0671</v>
      </c>
      <c r="I8750" s="19">
        <f t="shared" si="273"/>
        <v>0</v>
      </c>
    </row>
    <row r="8751" spans="1:9" hidden="1">
      <c r="A8751" s="11" t="s">
        <v>11260</v>
      </c>
      <c r="B8751" s="2" t="s">
        <v>15156</v>
      </c>
      <c r="C8751" s="2" t="s">
        <v>15157</v>
      </c>
      <c r="D8751" s="2"/>
      <c r="E8751" s="2">
        <v>1</v>
      </c>
      <c r="F8751" s="9"/>
      <c r="G8751" s="8">
        <f t="shared" si="272"/>
        <v>22.397865000000003</v>
      </c>
      <c r="H8751" s="8">
        <v>21.331300000000002</v>
      </c>
      <c r="I8751" s="19">
        <f t="shared" si="273"/>
        <v>0</v>
      </c>
    </row>
    <row r="8752" spans="1:9" hidden="1">
      <c r="A8752" s="11" t="s">
        <v>11260</v>
      </c>
      <c r="B8752" s="2" t="s">
        <v>15158</v>
      </c>
      <c r="C8752" s="2" t="s">
        <v>15159</v>
      </c>
      <c r="D8752" s="2"/>
      <c r="E8752" s="2">
        <v>1</v>
      </c>
      <c r="F8752" s="9"/>
      <c r="G8752" s="8">
        <f t="shared" si="272"/>
        <v>29.571283441052287</v>
      </c>
      <c r="H8752" s="8">
        <v>28.163127086716464</v>
      </c>
      <c r="I8752" s="19">
        <f t="shared" si="273"/>
        <v>0</v>
      </c>
    </row>
    <row r="8753" spans="1:9" hidden="1">
      <c r="A8753" s="11" t="s">
        <v>11260</v>
      </c>
      <c r="B8753" s="2" t="s">
        <v>15160</v>
      </c>
      <c r="C8753" s="2" t="s">
        <v>15161</v>
      </c>
      <c r="D8753" s="2"/>
      <c r="E8753" s="2">
        <v>1</v>
      </c>
      <c r="F8753" s="9"/>
      <c r="G8753" s="8">
        <f t="shared" si="272"/>
        <v>36.986023678190804</v>
      </c>
      <c r="H8753" s="8">
        <v>35.224784455419815</v>
      </c>
      <c r="I8753" s="19">
        <f t="shared" si="273"/>
        <v>0</v>
      </c>
    </row>
    <row r="8754" spans="1:9" hidden="1">
      <c r="A8754" s="11" t="s">
        <v>11260</v>
      </c>
      <c r="B8754" s="2" t="s">
        <v>15162</v>
      </c>
      <c r="C8754" s="2" t="s">
        <v>15163</v>
      </c>
      <c r="D8754" s="2"/>
      <c r="E8754" s="2">
        <v>1</v>
      </c>
      <c r="F8754" s="9"/>
      <c r="G8754" s="8">
        <f t="shared" si="272"/>
        <v>44.776946787096776</v>
      </c>
      <c r="H8754" s="8">
        <v>42.644711225806454</v>
      </c>
      <c r="I8754" s="19">
        <f t="shared" si="273"/>
        <v>0</v>
      </c>
    </row>
    <row r="8755" spans="1:9" hidden="1">
      <c r="A8755" s="11" t="s">
        <v>11260</v>
      </c>
      <c r="B8755" s="2" t="s">
        <v>15164</v>
      </c>
      <c r="C8755" s="2" t="s">
        <v>15165</v>
      </c>
      <c r="D8755" s="2"/>
      <c r="E8755" s="2">
        <v>1</v>
      </c>
      <c r="F8755" s="9"/>
      <c r="G8755" s="8">
        <f t="shared" si="272"/>
        <v>17.362104987186054</v>
      </c>
      <c r="H8755" s="8">
        <v>16.535338083034336</v>
      </c>
      <c r="I8755" s="19">
        <f t="shared" si="273"/>
        <v>0</v>
      </c>
    </row>
    <row r="8756" spans="1:9" hidden="1">
      <c r="A8756" s="11" t="s">
        <v>11260</v>
      </c>
      <c r="B8756" s="2" t="s">
        <v>15166</v>
      </c>
      <c r="C8756" s="2" t="s">
        <v>15167</v>
      </c>
      <c r="D8756" s="2"/>
      <c r="E8756" s="2">
        <v>1</v>
      </c>
      <c r="F8756" s="9"/>
      <c r="G8756" s="8">
        <f t="shared" si="272"/>
        <v>0.11130000000000001</v>
      </c>
      <c r="H8756" s="8">
        <v>0.10600000000000001</v>
      </c>
      <c r="I8756" s="19">
        <f t="shared" si="273"/>
        <v>0</v>
      </c>
    </row>
    <row r="8757" spans="1:9" hidden="1">
      <c r="A8757" s="11" t="s">
        <v>11260</v>
      </c>
      <c r="B8757" s="2" t="s">
        <v>15168</v>
      </c>
      <c r="C8757" s="2" t="s">
        <v>15169</v>
      </c>
      <c r="D8757" s="2"/>
      <c r="E8757" s="2">
        <v>1</v>
      </c>
      <c r="F8757" s="9"/>
      <c r="G8757" s="8">
        <f t="shared" si="272"/>
        <v>259.62480546713488</v>
      </c>
      <c r="H8757" s="8">
        <v>247.2617194925094</v>
      </c>
      <c r="I8757" s="19">
        <f t="shared" si="273"/>
        <v>0</v>
      </c>
    </row>
    <row r="8758" spans="1:9" hidden="1">
      <c r="A8758" s="11" t="s">
        <v>11260</v>
      </c>
      <c r="B8758" s="2" t="s">
        <v>15170</v>
      </c>
      <c r="C8758" s="2" t="s">
        <v>15171</v>
      </c>
      <c r="D8758" s="2"/>
      <c r="E8758" s="2">
        <v>1</v>
      </c>
      <c r="F8758" s="9"/>
      <c r="G8758" s="8">
        <f t="shared" si="272"/>
        <v>17.989630188679243</v>
      </c>
      <c r="H8758" s="8">
        <v>17.132981132075468</v>
      </c>
      <c r="I8758" s="19">
        <f t="shared" si="273"/>
        <v>0</v>
      </c>
    </row>
    <row r="8759" spans="1:9" hidden="1">
      <c r="A8759" s="11" t="s">
        <v>11260</v>
      </c>
      <c r="B8759" s="2" t="s">
        <v>15172</v>
      </c>
      <c r="C8759" s="2" t="s">
        <v>15173</v>
      </c>
      <c r="D8759" s="2"/>
      <c r="E8759" s="2">
        <v>1</v>
      </c>
      <c r="F8759" s="9"/>
      <c r="G8759" s="8">
        <f t="shared" si="272"/>
        <v>22.380199633413461</v>
      </c>
      <c r="H8759" s="8">
        <v>21.314475841346155</v>
      </c>
      <c r="I8759" s="19">
        <f t="shared" si="273"/>
        <v>0</v>
      </c>
    </row>
    <row r="8760" spans="1:9" hidden="1">
      <c r="A8760" s="11" t="s">
        <v>11260</v>
      </c>
      <c r="B8760" s="2" t="s">
        <v>15174</v>
      </c>
      <c r="C8760" s="2" t="s">
        <v>15175</v>
      </c>
      <c r="D8760" s="2"/>
      <c r="E8760" s="2">
        <v>1</v>
      </c>
      <c r="F8760" s="9"/>
      <c r="G8760" s="8">
        <f t="shared" si="272"/>
        <v>180.82368397058823</v>
      </c>
      <c r="H8760" s="8">
        <v>172.21303235294118</v>
      </c>
      <c r="I8760" s="19">
        <f t="shared" si="273"/>
        <v>0</v>
      </c>
    </row>
    <row r="8761" spans="1:9" hidden="1">
      <c r="A8761" s="11" t="s">
        <v>11260</v>
      </c>
      <c r="B8761" s="2" t="s">
        <v>15176</v>
      </c>
      <c r="C8761" s="2" t="s">
        <v>15171</v>
      </c>
      <c r="D8761" s="2"/>
      <c r="E8761" s="2">
        <v>1</v>
      </c>
      <c r="F8761" s="9"/>
      <c r="G8761" s="8">
        <f t="shared" si="272"/>
        <v>13.480162796386901</v>
      </c>
      <c r="H8761" s="8">
        <v>12.83825028227324</v>
      </c>
      <c r="I8761" s="19">
        <f t="shared" si="273"/>
        <v>0</v>
      </c>
    </row>
    <row r="8762" spans="1:9" hidden="1">
      <c r="A8762" s="11" t="s">
        <v>11260</v>
      </c>
      <c r="B8762" s="2" t="s">
        <v>15177</v>
      </c>
      <c r="C8762" s="2" t="s">
        <v>15173</v>
      </c>
      <c r="D8762" s="2"/>
      <c r="E8762" s="2">
        <v>1</v>
      </c>
      <c r="F8762" s="9"/>
      <c r="G8762" s="8">
        <f t="shared" si="272"/>
        <v>16.473652325581391</v>
      </c>
      <c r="H8762" s="8">
        <v>15.689192691029897</v>
      </c>
      <c r="I8762" s="19">
        <f t="shared" si="273"/>
        <v>0</v>
      </c>
    </row>
    <row r="8763" spans="1:9" hidden="1">
      <c r="A8763" s="11" t="s">
        <v>11260</v>
      </c>
      <c r="B8763" s="2" t="s">
        <v>15178</v>
      </c>
      <c r="C8763" s="2" t="s">
        <v>15179</v>
      </c>
      <c r="D8763" s="2"/>
      <c r="E8763" s="2">
        <v>1</v>
      </c>
      <c r="F8763" s="9"/>
      <c r="G8763" s="8">
        <f t="shared" si="272"/>
        <v>85.485844033812612</v>
      </c>
      <c r="H8763" s="8">
        <v>81.415089556012006</v>
      </c>
      <c r="I8763" s="19">
        <f t="shared" si="273"/>
        <v>0</v>
      </c>
    </row>
    <row r="8764" spans="1:9" hidden="1">
      <c r="A8764" s="11" t="s">
        <v>11260</v>
      </c>
      <c r="B8764" s="2" t="s">
        <v>15180</v>
      </c>
      <c r="C8764" s="2" t="s">
        <v>15181</v>
      </c>
      <c r="D8764" s="2"/>
      <c r="E8764" s="2">
        <v>1</v>
      </c>
      <c r="F8764" s="9"/>
      <c r="G8764" s="8">
        <f t="shared" si="272"/>
        <v>10.302841379310344</v>
      </c>
      <c r="H8764" s="8">
        <v>9.8122298850574712</v>
      </c>
      <c r="I8764" s="19">
        <f t="shared" si="273"/>
        <v>0</v>
      </c>
    </row>
    <row r="8765" spans="1:9" hidden="1">
      <c r="A8765" s="11" t="s">
        <v>11260</v>
      </c>
      <c r="B8765" s="2" t="s">
        <v>15182</v>
      </c>
      <c r="C8765" s="2" t="s">
        <v>15183</v>
      </c>
      <c r="D8765" s="2"/>
      <c r="E8765" s="2">
        <v>1</v>
      </c>
      <c r="F8765" s="9"/>
      <c r="G8765" s="8">
        <f t="shared" si="272"/>
        <v>11.571578006714228</v>
      </c>
      <c r="H8765" s="8">
        <v>11.020550482584978</v>
      </c>
      <c r="I8765" s="19">
        <f t="shared" si="273"/>
        <v>0</v>
      </c>
    </row>
    <row r="8766" spans="1:9" hidden="1">
      <c r="A8766" s="11" t="s">
        <v>11260</v>
      </c>
      <c r="B8766" s="2" t="s">
        <v>15184</v>
      </c>
      <c r="C8766" s="2" t="s">
        <v>15185</v>
      </c>
      <c r="D8766" s="2"/>
      <c r="E8766" s="2">
        <v>1</v>
      </c>
      <c r="F8766" s="9"/>
      <c r="G8766" s="8">
        <f t="shared" si="272"/>
        <v>132.74558830365615</v>
      </c>
      <c r="H8766" s="8">
        <v>126.42436981300587</v>
      </c>
      <c r="I8766" s="19">
        <f t="shared" si="273"/>
        <v>0</v>
      </c>
    </row>
    <row r="8767" spans="1:9" hidden="1">
      <c r="A8767" s="11" t="s">
        <v>11260</v>
      </c>
      <c r="B8767" s="2" t="s">
        <v>15186</v>
      </c>
      <c r="C8767" s="2" t="s">
        <v>15187</v>
      </c>
      <c r="D8767" s="2"/>
      <c r="E8767" s="2">
        <v>1</v>
      </c>
      <c r="F8767" s="9"/>
      <c r="G8767" s="8">
        <f t="shared" si="272"/>
        <v>123.07642240498193</v>
      </c>
      <c r="H8767" s="8">
        <v>117.21564038569707</v>
      </c>
      <c r="I8767" s="19">
        <f t="shared" si="273"/>
        <v>0</v>
      </c>
    </row>
    <row r="8768" spans="1:9" hidden="1">
      <c r="A8768" s="11" t="s">
        <v>11260</v>
      </c>
      <c r="B8768" s="2" t="s">
        <v>15188</v>
      </c>
      <c r="C8768" s="2" t="s">
        <v>15189</v>
      </c>
      <c r="D8768" s="2"/>
      <c r="E8768" s="2">
        <v>1</v>
      </c>
      <c r="F8768" s="9"/>
      <c r="G8768" s="8">
        <f t="shared" si="272"/>
        <v>135.11318904255322</v>
      </c>
      <c r="H8768" s="8">
        <v>128.67922765957448</v>
      </c>
      <c r="I8768" s="19">
        <f t="shared" si="273"/>
        <v>0</v>
      </c>
    </row>
    <row r="8769" spans="1:9" hidden="1">
      <c r="A8769" s="11" t="s">
        <v>11260</v>
      </c>
      <c r="B8769" s="2" t="s">
        <v>15190</v>
      </c>
      <c r="C8769" s="2" t="s">
        <v>15191</v>
      </c>
      <c r="D8769" s="2"/>
      <c r="E8769" s="2">
        <v>1</v>
      </c>
      <c r="F8769" s="9"/>
      <c r="G8769" s="8">
        <f t="shared" si="272"/>
        <v>129.54192214571526</v>
      </c>
      <c r="H8769" s="8">
        <v>123.37325918639549</v>
      </c>
      <c r="I8769" s="19">
        <f t="shared" si="273"/>
        <v>0</v>
      </c>
    </row>
    <row r="8770" spans="1:9" hidden="1">
      <c r="A8770" s="11" t="s">
        <v>11260</v>
      </c>
      <c r="B8770" s="2" t="s">
        <v>15192</v>
      </c>
      <c r="C8770" s="2" t="s">
        <v>15193</v>
      </c>
      <c r="D8770" s="2"/>
      <c r="E8770" s="2">
        <v>1</v>
      </c>
      <c r="F8770" s="9"/>
      <c r="G8770" s="8">
        <f t="shared" si="272"/>
        <v>105.74322892667212</v>
      </c>
      <c r="H8770" s="8">
        <v>100.70783707302107</v>
      </c>
      <c r="I8770" s="19">
        <f t="shared" si="273"/>
        <v>0</v>
      </c>
    </row>
    <row r="8771" spans="1:9" hidden="1">
      <c r="A8771" s="11" t="s">
        <v>11260</v>
      </c>
      <c r="B8771" s="2" t="s">
        <v>15194</v>
      </c>
      <c r="C8771" s="2" t="s">
        <v>15195</v>
      </c>
      <c r="D8771" s="2"/>
      <c r="E8771" s="2">
        <v>1</v>
      </c>
      <c r="F8771" s="9"/>
      <c r="G8771" s="8">
        <f t="shared" si="272"/>
        <v>136.26137072422401</v>
      </c>
      <c r="H8771" s="8">
        <v>129.77273402307048</v>
      </c>
      <c r="I8771" s="19">
        <f t="shared" si="273"/>
        <v>0</v>
      </c>
    </row>
    <row r="8772" spans="1:9" hidden="1">
      <c r="A8772" s="11" t="s">
        <v>11260</v>
      </c>
      <c r="B8772" s="2" t="s">
        <v>15196</v>
      </c>
      <c r="C8772" s="2" t="s">
        <v>15197</v>
      </c>
      <c r="D8772" s="2"/>
      <c r="E8772" s="2">
        <v>1</v>
      </c>
      <c r="F8772" s="9"/>
      <c r="G8772" s="8">
        <f t="shared" si="272"/>
        <v>101.48385345052738</v>
      </c>
      <c r="H8772" s="8">
        <v>96.65128900050226</v>
      </c>
      <c r="I8772" s="19">
        <f t="shared" si="273"/>
        <v>0</v>
      </c>
    </row>
    <row r="8773" spans="1:9" hidden="1">
      <c r="A8773" s="11" t="s">
        <v>11260</v>
      </c>
      <c r="B8773" s="2" t="s">
        <v>15198</v>
      </c>
      <c r="C8773" s="2" t="s">
        <v>15199</v>
      </c>
      <c r="D8773" s="2"/>
      <c r="E8773" s="2">
        <v>1</v>
      </c>
      <c r="F8773" s="9"/>
      <c r="G8773" s="8">
        <f t="shared" si="272"/>
        <v>106.38233500426622</v>
      </c>
      <c r="H8773" s="8">
        <v>101.3165095278726</v>
      </c>
      <c r="I8773" s="19">
        <f t="shared" si="273"/>
        <v>0</v>
      </c>
    </row>
    <row r="8774" spans="1:9" hidden="1">
      <c r="A8774" s="11" t="s">
        <v>11260</v>
      </c>
      <c r="B8774" s="2" t="s">
        <v>15200</v>
      </c>
      <c r="C8774" s="2" t="s">
        <v>15201</v>
      </c>
      <c r="D8774" s="2"/>
      <c r="E8774" s="2">
        <v>1</v>
      </c>
      <c r="F8774" s="9"/>
      <c r="G8774" s="8">
        <f t="shared" si="272"/>
        <v>110.63384049819257</v>
      </c>
      <c r="H8774" s="8">
        <v>105.36556237923102</v>
      </c>
      <c r="I8774" s="19">
        <f t="shared" si="273"/>
        <v>0</v>
      </c>
    </row>
    <row r="8775" spans="1:9" hidden="1">
      <c r="A8775" s="11" t="s">
        <v>11260</v>
      </c>
      <c r="B8775" s="2" t="s">
        <v>15202</v>
      </c>
      <c r="C8775" s="2" t="s">
        <v>15203</v>
      </c>
      <c r="D8775" s="2"/>
      <c r="E8775" s="2">
        <v>1</v>
      </c>
      <c r="F8775" s="9"/>
      <c r="G8775" s="8">
        <f t="shared" si="272"/>
        <v>115.62502375384615</v>
      </c>
      <c r="H8775" s="8">
        <v>110.11907024175824</v>
      </c>
      <c r="I8775" s="19">
        <f t="shared" si="273"/>
        <v>0</v>
      </c>
    </row>
    <row r="8776" spans="1:9" hidden="1">
      <c r="A8776" s="11" t="s">
        <v>11260</v>
      </c>
      <c r="B8776" s="2" t="s">
        <v>15204</v>
      </c>
      <c r="C8776" s="2" t="s">
        <v>15205</v>
      </c>
      <c r="D8776" s="2"/>
      <c r="E8776" s="2">
        <v>1</v>
      </c>
      <c r="F8776" s="9"/>
      <c r="G8776" s="8">
        <f t="shared" si="272"/>
        <v>111.5273248728361</v>
      </c>
      <c r="H8776" s="8">
        <v>106.21649987889153</v>
      </c>
      <c r="I8776" s="19">
        <f t="shared" si="273"/>
        <v>0</v>
      </c>
    </row>
    <row r="8777" spans="1:9" hidden="1">
      <c r="A8777" s="11" t="s">
        <v>11260</v>
      </c>
      <c r="B8777" s="2" t="s">
        <v>15206</v>
      </c>
      <c r="C8777" s="2" t="s">
        <v>15207</v>
      </c>
      <c r="D8777" s="2"/>
      <c r="E8777" s="2">
        <v>1</v>
      </c>
      <c r="F8777" s="9"/>
      <c r="G8777" s="8">
        <f t="shared" si="272"/>
        <v>132.67170693583901</v>
      </c>
      <c r="H8777" s="8">
        <v>126.35400660556097</v>
      </c>
      <c r="I8777" s="19">
        <f t="shared" si="273"/>
        <v>0</v>
      </c>
    </row>
    <row r="8778" spans="1:9" hidden="1">
      <c r="A8778" s="11" t="s">
        <v>11260</v>
      </c>
      <c r="B8778" s="2" t="s">
        <v>15208</v>
      </c>
      <c r="C8778" s="2" t="s">
        <v>15209</v>
      </c>
      <c r="D8778" s="2"/>
      <c r="E8778" s="2">
        <v>1</v>
      </c>
      <c r="F8778" s="9"/>
      <c r="G8778" s="8">
        <f t="shared" si="272"/>
        <v>123.75209658610983</v>
      </c>
      <c r="H8778" s="8">
        <v>117.85913960581888</v>
      </c>
      <c r="I8778" s="19">
        <f t="shared" si="273"/>
        <v>0</v>
      </c>
    </row>
    <row r="8779" spans="1:9" hidden="1">
      <c r="A8779" s="11" t="s">
        <v>11260</v>
      </c>
      <c r="B8779" s="2" t="s">
        <v>15210</v>
      </c>
      <c r="C8779" s="2" t="s">
        <v>15211</v>
      </c>
      <c r="D8779" s="2"/>
      <c r="E8779" s="2">
        <v>1</v>
      </c>
      <c r="F8779" s="9"/>
      <c r="G8779" s="8">
        <f t="shared" si="272"/>
        <v>110.44946868038515</v>
      </c>
      <c r="H8779" s="8">
        <v>105.18997017179538</v>
      </c>
      <c r="I8779" s="19">
        <f t="shared" si="273"/>
        <v>0</v>
      </c>
    </row>
    <row r="8780" spans="1:9">
      <c r="A8780" s="11" t="s">
        <v>11260</v>
      </c>
      <c r="B8780" s="2" t="s">
        <v>15212</v>
      </c>
      <c r="C8780" s="2" t="s">
        <v>15213</v>
      </c>
      <c r="D8780" s="2"/>
      <c r="E8780" s="2">
        <v>1</v>
      </c>
      <c r="F8780" s="9">
        <v>5</v>
      </c>
      <c r="G8780" s="8">
        <f t="shared" si="272"/>
        <v>33.955231768840299</v>
      </c>
      <c r="H8780" s="8">
        <v>32.338315970324096</v>
      </c>
      <c r="I8780" s="19">
        <f t="shared" si="273"/>
        <v>169.77615884420149</v>
      </c>
    </row>
    <row r="8781" spans="1:9" hidden="1">
      <c r="A8781" s="11" t="s">
        <v>11260</v>
      </c>
      <c r="B8781" s="2" t="s">
        <v>15214</v>
      </c>
      <c r="C8781" s="2" t="s">
        <v>15215</v>
      </c>
      <c r="D8781" s="2"/>
      <c r="E8781" s="2">
        <v>1</v>
      </c>
      <c r="F8781" s="9"/>
      <c r="G8781" s="8">
        <f t="shared" si="272"/>
        <v>1.1909100000000001</v>
      </c>
      <c r="H8781" s="8">
        <v>1.1342000000000001</v>
      </c>
      <c r="I8781" s="19">
        <f t="shared" si="273"/>
        <v>0</v>
      </c>
    </row>
    <row r="8782" spans="1:9" hidden="1">
      <c r="A8782" s="11" t="s">
        <v>11260</v>
      </c>
      <c r="B8782" s="2" t="s">
        <v>15216</v>
      </c>
      <c r="C8782" s="2" t="s">
        <v>15217</v>
      </c>
      <c r="D8782" s="2"/>
      <c r="E8782" s="2">
        <v>1</v>
      </c>
      <c r="F8782" s="9"/>
      <c r="G8782" s="8">
        <f t="shared" si="272"/>
        <v>24.213206330935254</v>
      </c>
      <c r="H8782" s="8">
        <v>23.060196505652623</v>
      </c>
      <c r="I8782" s="19">
        <f t="shared" si="273"/>
        <v>0</v>
      </c>
    </row>
    <row r="8783" spans="1:9" hidden="1">
      <c r="A8783" s="11" t="s">
        <v>11260</v>
      </c>
      <c r="B8783" s="2" t="s">
        <v>15218</v>
      </c>
      <c r="C8783" s="2" t="s">
        <v>15219</v>
      </c>
      <c r="D8783" s="2"/>
      <c r="E8783" s="2">
        <v>1</v>
      </c>
      <c r="F8783" s="9"/>
      <c r="G8783" s="8">
        <f t="shared" si="272"/>
        <v>7.2898338068181827</v>
      </c>
      <c r="H8783" s="8">
        <v>6.9426988636363642</v>
      </c>
      <c r="I8783" s="19">
        <f t="shared" si="273"/>
        <v>0</v>
      </c>
    </row>
    <row r="8784" spans="1:9" hidden="1">
      <c r="A8784" s="11" t="s">
        <v>11260</v>
      </c>
      <c r="B8784" s="2" t="s">
        <v>15220</v>
      </c>
      <c r="C8784" s="2" t="s">
        <v>15221</v>
      </c>
      <c r="D8784" s="2"/>
      <c r="E8784" s="2">
        <v>1</v>
      </c>
      <c r="F8784" s="9"/>
      <c r="G8784" s="8">
        <f t="shared" si="272"/>
        <v>11.005694978883156</v>
      </c>
      <c r="H8784" s="8">
        <v>10.481614265603005</v>
      </c>
      <c r="I8784" s="19">
        <f t="shared" si="273"/>
        <v>0</v>
      </c>
    </row>
    <row r="8785" spans="1:9" hidden="1">
      <c r="A8785" s="11" t="s">
        <v>11260</v>
      </c>
      <c r="B8785" s="2" t="s">
        <v>15222</v>
      </c>
      <c r="C8785" s="2" t="s">
        <v>15223</v>
      </c>
      <c r="D8785" s="2" t="s">
        <v>812</v>
      </c>
      <c r="E8785" s="2">
        <v>1</v>
      </c>
      <c r="F8785" s="9"/>
      <c r="G8785" s="8">
        <f t="shared" si="272"/>
        <v>278.61750000000001</v>
      </c>
      <c r="H8785" s="8">
        <v>265.35000000000002</v>
      </c>
      <c r="I8785" s="19">
        <f t="shared" si="273"/>
        <v>0</v>
      </c>
    </row>
    <row r="8786" spans="1:9" hidden="1">
      <c r="A8786" s="11" t="s">
        <v>11260</v>
      </c>
      <c r="B8786" s="2" t="s">
        <v>15224</v>
      </c>
      <c r="C8786" s="2" t="s">
        <v>15225</v>
      </c>
      <c r="D8786" s="2" t="s">
        <v>812</v>
      </c>
      <c r="E8786" s="2">
        <v>1</v>
      </c>
      <c r="F8786" s="9"/>
      <c r="G8786" s="8">
        <f t="shared" si="272"/>
        <v>43.407000000000004</v>
      </c>
      <c r="H8786" s="8">
        <v>41.34</v>
      </c>
      <c r="I8786" s="19">
        <f t="shared" si="273"/>
        <v>0</v>
      </c>
    </row>
    <row r="8787" spans="1:9" hidden="1">
      <c r="A8787" s="11" t="s">
        <v>11260</v>
      </c>
      <c r="B8787" s="2" t="s">
        <v>15226</v>
      </c>
      <c r="C8787" s="2" t="s">
        <v>15227</v>
      </c>
      <c r="D8787" s="2"/>
      <c r="E8787" s="2">
        <v>1</v>
      </c>
      <c r="F8787" s="9"/>
      <c r="G8787" s="8">
        <f t="shared" si="272"/>
        <v>131.25</v>
      </c>
      <c r="H8787" s="8">
        <v>125</v>
      </c>
      <c r="I8787" s="19">
        <f t="shared" si="273"/>
        <v>0</v>
      </c>
    </row>
    <row r="8788" spans="1:9" hidden="1">
      <c r="A8788" s="11" t="s">
        <v>11260</v>
      </c>
      <c r="B8788" s="2" t="s">
        <v>15228</v>
      </c>
      <c r="C8788" s="2" t="s">
        <v>15229</v>
      </c>
      <c r="D8788" s="2" t="s">
        <v>812</v>
      </c>
      <c r="E8788" s="2">
        <v>1</v>
      </c>
      <c r="F8788" s="9"/>
      <c r="G8788" s="8">
        <f t="shared" si="272"/>
        <v>79.673999999999992</v>
      </c>
      <c r="H8788" s="8">
        <v>75.88</v>
      </c>
      <c r="I8788" s="19">
        <f t="shared" si="273"/>
        <v>0</v>
      </c>
    </row>
    <row r="8789" spans="1:9" hidden="1">
      <c r="A8789" s="11" t="s">
        <v>11260</v>
      </c>
      <c r="B8789" s="2" t="s">
        <v>15230</v>
      </c>
      <c r="C8789" s="2" t="s">
        <v>15231</v>
      </c>
      <c r="D8789" s="2" t="s">
        <v>812</v>
      </c>
      <c r="E8789" s="2">
        <v>1</v>
      </c>
      <c r="F8789" s="9"/>
      <c r="G8789" s="8">
        <f t="shared" si="272"/>
        <v>23.73</v>
      </c>
      <c r="H8789" s="8">
        <v>22.6</v>
      </c>
      <c r="I8789" s="19">
        <f t="shared" si="273"/>
        <v>0</v>
      </c>
    </row>
    <row r="8790" spans="1:9" hidden="1">
      <c r="A8790" s="11" t="s">
        <v>11260</v>
      </c>
      <c r="B8790" s="2" t="s">
        <v>15232</v>
      </c>
      <c r="C8790" s="2" t="s">
        <v>15233</v>
      </c>
      <c r="D8790" s="2"/>
      <c r="E8790" s="2">
        <v>1</v>
      </c>
      <c r="F8790" s="9"/>
      <c r="G8790" s="8">
        <f t="shared" si="272"/>
        <v>122.4195</v>
      </c>
      <c r="H8790" s="8">
        <v>116.59</v>
      </c>
      <c r="I8790" s="19">
        <f t="shared" si="273"/>
        <v>0</v>
      </c>
    </row>
    <row r="8791" spans="1:9" hidden="1">
      <c r="A8791" s="11" t="s">
        <v>11260</v>
      </c>
      <c r="B8791" s="2" t="s">
        <v>15234</v>
      </c>
      <c r="C8791" s="2" t="s">
        <v>15235</v>
      </c>
      <c r="D8791" s="2" t="s">
        <v>812</v>
      </c>
      <c r="E8791" s="2">
        <v>1</v>
      </c>
      <c r="F8791" s="9"/>
      <c r="G8791" s="8">
        <f t="shared" si="272"/>
        <v>115.06950000000001</v>
      </c>
      <c r="H8791" s="8">
        <v>109.59</v>
      </c>
      <c r="I8791" s="19">
        <f t="shared" si="273"/>
        <v>0</v>
      </c>
    </row>
    <row r="8792" spans="1:9" hidden="1">
      <c r="A8792" s="11" t="s">
        <v>11260</v>
      </c>
      <c r="B8792" s="2" t="s">
        <v>15236</v>
      </c>
      <c r="C8792" s="2" t="s">
        <v>15237</v>
      </c>
      <c r="D8792" s="2"/>
      <c r="E8792" s="2">
        <v>1</v>
      </c>
      <c r="F8792" s="9"/>
      <c r="G8792" s="8">
        <f t="shared" ref="G8792:G8855" si="274">H8792+(H8792*5%)</f>
        <v>134.85108</v>
      </c>
      <c r="H8792" s="8">
        <v>128.42959999999999</v>
      </c>
      <c r="I8792" s="19">
        <f t="shared" ref="I8792:I8855" si="275">G8792*F8792</f>
        <v>0</v>
      </c>
    </row>
    <row r="8793" spans="1:9" hidden="1">
      <c r="A8793" s="11" t="s">
        <v>11260</v>
      </c>
      <c r="B8793" s="2" t="s">
        <v>15238</v>
      </c>
      <c r="C8793" s="2" t="s">
        <v>15239</v>
      </c>
      <c r="D8793" s="2"/>
      <c r="E8793" s="2">
        <v>1</v>
      </c>
      <c r="F8793" s="9"/>
      <c r="G8793" s="8">
        <f t="shared" si="274"/>
        <v>125.70222000000001</v>
      </c>
      <c r="H8793" s="8">
        <v>119.71640000000001</v>
      </c>
      <c r="I8793" s="19">
        <f t="shared" si="275"/>
        <v>0</v>
      </c>
    </row>
    <row r="8794" spans="1:9" hidden="1">
      <c r="A8794" s="11" t="s">
        <v>11260</v>
      </c>
      <c r="B8794" s="2" t="s">
        <v>15240</v>
      </c>
      <c r="C8794" s="2" t="s">
        <v>12506</v>
      </c>
      <c r="D8794" s="2"/>
      <c r="E8794" s="2">
        <v>1</v>
      </c>
      <c r="F8794" s="9"/>
      <c r="G8794" s="8">
        <f t="shared" si="274"/>
        <v>0.69006000000000001</v>
      </c>
      <c r="H8794" s="8">
        <v>0.65720000000000001</v>
      </c>
      <c r="I8794" s="19">
        <f t="shared" si="275"/>
        <v>0</v>
      </c>
    </row>
    <row r="8795" spans="1:9" hidden="1">
      <c r="A8795" s="11" t="s">
        <v>11260</v>
      </c>
      <c r="B8795" s="2" t="s">
        <v>15241</v>
      </c>
      <c r="C8795" s="2" t="s">
        <v>15242</v>
      </c>
      <c r="D8795" s="2"/>
      <c r="E8795" s="2">
        <v>1</v>
      </c>
      <c r="F8795" s="9"/>
      <c r="G8795" s="8">
        <f t="shared" si="274"/>
        <v>0.67461428571428561</v>
      </c>
      <c r="H8795" s="8">
        <v>0.6424897959183673</v>
      </c>
      <c r="I8795" s="19">
        <f t="shared" si="275"/>
        <v>0</v>
      </c>
    </row>
    <row r="8796" spans="1:9" hidden="1">
      <c r="A8796" s="11" t="s">
        <v>11260</v>
      </c>
      <c r="B8796" s="2" t="s">
        <v>15243</v>
      </c>
      <c r="C8796" s="2" t="s">
        <v>15244</v>
      </c>
      <c r="D8796" s="2"/>
      <c r="E8796" s="2">
        <v>1</v>
      </c>
      <c r="F8796" s="9"/>
      <c r="G8796" s="8">
        <f t="shared" si="274"/>
        <v>21.979145865384613</v>
      </c>
      <c r="H8796" s="8">
        <v>20.93251987179487</v>
      </c>
      <c r="I8796" s="19">
        <f t="shared" si="275"/>
        <v>0</v>
      </c>
    </row>
    <row r="8797" spans="1:9" hidden="1">
      <c r="A8797" s="11" t="s">
        <v>11260</v>
      </c>
      <c r="B8797" s="2" t="s">
        <v>15245</v>
      </c>
      <c r="C8797" s="2" t="s">
        <v>15246</v>
      </c>
      <c r="D8797" s="2"/>
      <c r="E8797" s="2">
        <v>1</v>
      </c>
      <c r="F8797" s="9"/>
      <c r="G8797" s="8">
        <f t="shared" si="274"/>
        <v>17.190039240269464</v>
      </c>
      <c r="H8797" s="8">
        <v>16.371465943113776</v>
      </c>
      <c r="I8797" s="19">
        <f t="shared" si="275"/>
        <v>0</v>
      </c>
    </row>
    <row r="8798" spans="1:9" hidden="1">
      <c r="A8798" s="11" t="s">
        <v>11260</v>
      </c>
      <c r="B8798" s="2" t="s">
        <v>15247</v>
      </c>
      <c r="C8798" s="2" t="s">
        <v>15248</v>
      </c>
      <c r="D8798" s="2"/>
      <c r="E8798" s="2">
        <v>1</v>
      </c>
      <c r="F8798" s="9"/>
      <c r="G8798" s="8">
        <f t="shared" si="274"/>
        <v>21.016164317343172</v>
      </c>
      <c r="H8798" s="8">
        <v>20.015394587945877</v>
      </c>
      <c r="I8798" s="19">
        <f t="shared" si="275"/>
        <v>0</v>
      </c>
    </row>
    <row r="8799" spans="1:9" hidden="1">
      <c r="A8799" s="11" t="s">
        <v>11260</v>
      </c>
      <c r="B8799" s="2" t="s">
        <v>15249</v>
      </c>
      <c r="C8799" s="2" t="s">
        <v>15250</v>
      </c>
      <c r="D8799" s="2"/>
      <c r="E8799" s="2">
        <v>1</v>
      </c>
      <c r="F8799" s="9"/>
      <c r="G8799" s="8">
        <f t="shared" si="274"/>
        <v>34.381809472490076</v>
      </c>
      <c r="H8799" s="8">
        <v>32.744580449990551</v>
      </c>
      <c r="I8799" s="19">
        <f t="shared" si="275"/>
        <v>0</v>
      </c>
    </row>
    <row r="8800" spans="1:9" hidden="1">
      <c r="A8800" s="11" t="s">
        <v>11260</v>
      </c>
      <c r="B8800" s="2" t="s">
        <v>15251</v>
      </c>
      <c r="C8800" s="2" t="s">
        <v>15252</v>
      </c>
      <c r="D8800" s="2"/>
      <c r="E8800" s="2">
        <v>1</v>
      </c>
      <c r="F8800" s="9"/>
      <c r="G8800" s="8">
        <f t="shared" si="274"/>
        <v>28.657022281059064</v>
      </c>
      <c r="H8800" s="8">
        <v>27.292402172437203</v>
      </c>
      <c r="I8800" s="19">
        <f t="shared" si="275"/>
        <v>0</v>
      </c>
    </row>
    <row r="8801" spans="1:9" hidden="1">
      <c r="A8801" s="11" t="s">
        <v>11260</v>
      </c>
      <c r="B8801" s="2" t="s">
        <v>15253</v>
      </c>
      <c r="C8801" s="2" t="s">
        <v>15254</v>
      </c>
      <c r="D8801" s="2"/>
      <c r="E8801" s="2">
        <v>1</v>
      </c>
      <c r="F8801" s="9"/>
      <c r="G8801" s="8">
        <f t="shared" si="274"/>
        <v>15.258050662251659</v>
      </c>
      <c r="H8801" s="8">
        <v>14.531476821192056</v>
      </c>
      <c r="I8801" s="19">
        <f t="shared" si="275"/>
        <v>0</v>
      </c>
    </row>
    <row r="8802" spans="1:9" hidden="1">
      <c r="A8802" s="11" t="s">
        <v>11260</v>
      </c>
      <c r="B8802" s="2" t="s">
        <v>15255</v>
      </c>
      <c r="C8802" s="2" t="s">
        <v>15256</v>
      </c>
      <c r="D8802" s="2"/>
      <c r="E8802" s="2">
        <v>1</v>
      </c>
      <c r="F8802" s="9"/>
      <c r="G8802" s="8">
        <f t="shared" si="274"/>
        <v>12.461117942811759</v>
      </c>
      <c r="H8802" s="8">
        <v>11.867731374106437</v>
      </c>
      <c r="I8802" s="19">
        <f t="shared" si="275"/>
        <v>0</v>
      </c>
    </row>
    <row r="8803" spans="1:9" hidden="1">
      <c r="A8803" s="11" t="s">
        <v>11260</v>
      </c>
      <c r="B8803" s="2" t="s">
        <v>15257</v>
      </c>
      <c r="C8803" s="2" t="s">
        <v>15258</v>
      </c>
      <c r="D8803" s="2"/>
      <c r="E8803" s="2">
        <v>1</v>
      </c>
      <c r="F8803" s="9"/>
      <c r="G8803" s="8">
        <f t="shared" si="274"/>
        <v>12.006924215246636</v>
      </c>
      <c r="H8803" s="8">
        <v>11.435165919282511</v>
      </c>
      <c r="I8803" s="19">
        <f t="shared" si="275"/>
        <v>0</v>
      </c>
    </row>
    <row r="8804" spans="1:9" hidden="1">
      <c r="A8804" s="11" t="s">
        <v>11260</v>
      </c>
      <c r="B8804" s="2" t="s">
        <v>15259</v>
      </c>
      <c r="C8804" s="2" t="s">
        <v>15260</v>
      </c>
      <c r="D8804" s="2"/>
      <c r="E8804" s="2">
        <v>1</v>
      </c>
      <c r="F8804" s="9"/>
      <c r="G8804" s="8">
        <f t="shared" si="274"/>
        <v>13.416484948939512</v>
      </c>
      <c r="H8804" s="8">
        <v>12.777604713275727</v>
      </c>
      <c r="I8804" s="19">
        <f t="shared" si="275"/>
        <v>0</v>
      </c>
    </row>
    <row r="8805" spans="1:9" hidden="1">
      <c r="A8805" s="11" t="s">
        <v>11260</v>
      </c>
      <c r="B8805" s="2" t="s">
        <v>15261</v>
      </c>
      <c r="C8805" s="2" t="s">
        <v>15262</v>
      </c>
      <c r="D8805" s="2"/>
      <c r="E8805" s="2">
        <v>1</v>
      </c>
      <c r="F8805" s="9"/>
      <c r="G8805" s="8">
        <f t="shared" si="274"/>
        <v>10.997905819295559</v>
      </c>
      <c r="H8805" s="8">
        <v>10.474196018376723</v>
      </c>
      <c r="I8805" s="19">
        <f t="shared" si="275"/>
        <v>0</v>
      </c>
    </row>
    <row r="8806" spans="1:9">
      <c r="A8806" s="11" t="s">
        <v>11260</v>
      </c>
      <c r="B8806" s="2" t="s">
        <v>15263</v>
      </c>
      <c r="C8806" s="2" t="s">
        <v>15264</v>
      </c>
      <c r="D8806" s="2"/>
      <c r="E8806" s="2">
        <v>1</v>
      </c>
      <c r="F8806" s="9">
        <v>3</v>
      </c>
      <c r="G8806" s="8">
        <f t="shared" si="274"/>
        <v>15.92609464495114</v>
      </c>
      <c r="H8806" s="8">
        <v>15.167709185667754</v>
      </c>
      <c r="I8806" s="19">
        <f t="shared" si="275"/>
        <v>47.77828393485342</v>
      </c>
    </row>
    <row r="8807" spans="1:9" hidden="1">
      <c r="A8807" s="11" t="s">
        <v>11260</v>
      </c>
      <c r="B8807" s="2" t="s">
        <v>15265</v>
      </c>
      <c r="C8807" s="2" t="s">
        <v>15266</v>
      </c>
      <c r="D8807" s="2"/>
      <c r="E8807" s="2">
        <v>1</v>
      </c>
      <c r="F8807" s="9"/>
      <c r="G8807" s="8">
        <f t="shared" si="274"/>
        <v>17.296019999999999</v>
      </c>
      <c r="H8807" s="8">
        <v>16.4724</v>
      </c>
      <c r="I8807" s="19">
        <f t="shared" si="275"/>
        <v>0</v>
      </c>
    </row>
    <row r="8808" spans="1:9" hidden="1">
      <c r="A8808" s="11" t="s">
        <v>11260</v>
      </c>
      <c r="B8808" s="2" t="s">
        <v>15267</v>
      </c>
      <c r="C8808" s="2" t="s">
        <v>15268</v>
      </c>
      <c r="D8808" s="2"/>
      <c r="E8808" s="2">
        <v>1</v>
      </c>
      <c r="F8808" s="9"/>
      <c r="G8808" s="8">
        <f t="shared" si="274"/>
        <v>0.89040000000000008</v>
      </c>
      <c r="H8808" s="8">
        <v>0.84800000000000009</v>
      </c>
      <c r="I8808" s="19">
        <f t="shared" si="275"/>
        <v>0</v>
      </c>
    </row>
    <row r="8809" spans="1:9" hidden="1">
      <c r="A8809" s="11" t="s">
        <v>11260</v>
      </c>
      <c r="B8809" s="2" t="s">
        <v>15269</v>
      </c>
      <c r="C8809" s="2" t="s">
        <v>15270</v>
      </c>
      <c r="D8809" s="2"/>
      <c r="E8809" s="2">
        <v>1</v>
      </c>
      <c r="F8809" s="9"/>
      <c r="G8809" s="8">
        <f t="shared" si="274"/>
        <v>1.254982702702703</v>
      </c>
      <c r="H8809" s="8">
        <v>1.1952216216216218</v>
      </c>
      <c r="I8809" s="19">
        <f t="shared" si="275"/>
        <v>0</v>
      </c>
    </row>
    <row r="8810" spans="1:9" hidden="1">
      <c r="A8810" s="11" t="s">
        <v>11260</v>
      </c>
      <c r="B8810" s="2" t="s">
        <v>15271</v>
      </c>
      <c r="C8810" s="2" t="s">
        <v>15272</v>
      </c>
      <c r="D8810" s="2"/>
      <c r="E8810" s="2">
        <v>1</v>
      </c>
      <c r="F8810" s="9"/>
      <c r="G8810" s="8">
        <f t="shared" si="274"/>
        <v>4.6212712299465224</v>
      </c>
      <c r="H8810" s="8">
        <v>4.4012106951871646</v>
      </c>
      <c r="I8810" s="19">
        <f t="shared" si="275"/>
        <v>0</v>
      </c>
    </row>
    <row r="8811" spans="1:9" hidden="1">
      <c r="A8811" s="11" t="s">
        <v>11260</v>
      </c>
      <c r="B8811" s="2" t="s">
        <v>15273</v>
      </c>
      <c r="C8811" s="2" t="s">
        <v>15274</v>
      </c>
      <c r="D8811" s="2"/>
      <c r="E8811" s="2">
        <v>1</v>
      </c>
      <c r="F8811" s="9"/>
      <c r="G8811" s="8">
        <f t="shared" si="274"/>
        <v>4.6212712299465224</v>
      </c>
      <c r="H8811" s="8">
        <v>4.4012106951871646</v>
      </c>
      <c r="I8811" s="19">
        <f t="shared" si="275"/>
        <v>0</v>
      </c>
    </row>
    <row r="8812" spans="1:9" hidden="1">
      <c r="A8812" s="11" t="s">
        <v>11260</v>
      </c>
      <c r="B8812" s="2" t="s">
        <v>15275</v>
      </c>
      <c r="C8812" s="2" t="s">
        <v>15276</v>
      </c>
      <c r="D8812" s="2"/>
      <c r="E8812" s="2">
        <v>1</v>
      </c>
      <c r="F8812" s="9"/>
      <c r="G8812" s="8">
        <f t="shared" si="274"/>
        <v>3.57273</v>
      </c>
      <c r="H8812" s="8">
        <v>3.4026000000000001</v>
      </c>
      <c r="I8812" s="19">
        <f t="shared" si="275"/>
        <v>0</v>
      </c>
    </row>
    <row r="8813" spans="1:9" hidden="1">
      <c r="A8813" s="11" t="s">
        <v>11260</v>
      </c>
      <c r="B8813" s="2" t="s">
        <v>15277</v>
      </c>
      <c r="C8813" s="2" t="s">
        <v>15278</v>
      </c>
      <c r="D8813" s="2"/>
      <c r="E8813" s="2">
        <v>1</v>
      </c>
      <c r="F8813" s="9"/>
      <c r="G8813" s="8">
        <f t="shared" si="274"/>
        <v>66.490620000000007</v>
      </c>
      <c r="H8813" s="8">
        <v>63.324400000000004</v>
      </c>
      <c r="I8813" s="19">
        <f t="shared" si="275"/>
        <v>0</v>
      </c>
    </row>
    <row r="8814" spans="1:9" hidden="1">
      <c r="A8814" s="11" t="s">
        <v>11260</v>
      </c>
      <c r="B8814" s="2" t="s">
        <v>15279</v>
      </c>
      <c r="C8814" s="2" t="s">
        <v>15280</v>
      </c>
      <c r="D8814" s="2"/>
      <c r="E8814" s="2">
        <v>1</v>
      </c>
      <c r="F8814" s="9"/>
      <c r="G8814" s="8">
        <f t="shared" si="274"/>
        <v>46.245150000000002</v>
      </c>
      <c r="H8814" s="8">
        <v>44.042999999999999</v>
      </c>
      <c r="I8814" s="19">
        <f t="shared" si="275"/>
        <v>0</v>
      </c>
    </row>
    <row r="8815" spans="1:9" hidden="1">
      <c r="A8815" s="11" t="s">
        <v>11260</v>
      </c>
      <c r="B8815" s="2" t="s">
        <v>15281</v>
      </c>
      <c r="C8815" s="2" t="s">
        <v>15282</v>
      </c>
      <c r="D8815" s="2"/>
      <c r="E8815" s="2">
        <v>1</v>
      </c>
      <c r="F8815" s="9"/>
      <c r="G8815" s="8">
        <f t="shared" si="274"/>
        <v>1.7324999999999999</v>
      </c>
      <c r="H8815" s="8">
        <v>1.65</v>
      </c>
      <c r="I8815" s="19">
        <f t="shared" si="275"/>
        <v>0</v>
      </c>
    </row>
    <row r="8816" spans="1:9" hidden="1">
      <c r="A8816" s="11" t="s">
        <v>11260</v>
      </c>
      <c r="B8816" s="2" t="s">
        <v>15283</v>
      </c>
      <c r="C8816" s="2" t="s">
        <v>15284</v>
      </c>
      <c r="D8816" s="2"/>
      <c r="E8816" s="2">
        <v>1</v>
      </c>
      <c r="F8816" s="9"/>
      <c r="G8816" s="8">
        <f t="shared" si="274"/>
        <v>7.1346917638626852</v>
      </c>
      <c r="H8816" s="8">
        <v>6.7949445370120811</v>
      </c>
      <c r="I8816" s="19">
        <f t="shared" si="275"/>
        <v>0</v>
      </c>
    </row>
    <row r="8817" spans="1:9" hidden="1">
      <c r="A8817" s="11" t="s">
        <v>11260</v>
      </c>
      <c r="B8817" s="2" t="s">
        <v>15285</v>
      </c>
      <c r="C8817" s="2" t="s">
        <v>15286</v>
      </c>
      <c r="D8817" s="2"/>
      <c r="E8817" s="2">
        <v>1</v>
      </c>
      <c r="F8817" s="9"/>
      <c r="G8817" s="8">
        <f t="shared" si="274"/>
        <v>7.107548660154543</v>
      </c>
      <c r="H8817" s="8">
        <v>6.7690939620519455</v>
      </c>
      <c r="I8817" s="19">
        <f t="shared" si="275"/>
        <v>0</v>
      </c>
    </row>
    <row r="8818" spans="1:9" hidden="1">
      <c r="A8818" s="11" t="s">
        <v>11260</v>
      </c>
      <c r="B8818" s="2" t="s">
        <v>15287</v>
      </c>
      <c r="C8818" s="2" t="s">
        <v>15288</v>
      </c>
      <c r="D8818" s="2"/>
      <c r="E8818" s="2">
        <v>1</v>
      </c>
      <c r="F8818" s="9"/>
      <c r="G8818" s="8">
        <f t="shared" si="274"/>
        <v>7.2649372863750283</v>
      </c>
      <c r="H8818" s="8">
        <v>6.9189878917857408</v>
      </c>
      <c r="I8818" s="19">
        <f t="shared" si="275"/>
        <v>0</v>
      </c>
    </row>
    <row r="8819" spans="1:9" hidden="1">
      <c r="A8819" s="11" t="s">
        <v>11260</v>
      </c>
      <c r="B8819" s="2" t="s">
        <v>15289</v>
      </c>
      <c r="C8819" s="2" t="s">
        <v>15290</v>
      </c>
      <c r="D8819" s="2"/>
      <c r="E8819" s="2">
        <v>1</v>
      </c>
      <c r="F8819" s="9"/>
      <c r="G8819" s="8">
        <f t="shared" si="274"/>
        <v>2.7795063829787234</v>
      </c>
      <c r="H8819" s="8">
        <v>2.647148936170213</v>
      </c>
      <c r="I8819" s="19">
        <f t="shared" si="275"/>
        <v>0</v>
      </c>
    </row>
    <row r="8820" spans="1:9" hidden="1">
      <c r="A8820" s="11" t="s">
        <v>11260</v>
      </c>
      <c r="B8820" s="2" t="s">
        <v>15291</v>
      </c>
      <c r="C8820" s="2" t="s">
        <v>15292</v>
      </c>
      <c r="D8820" s="2"/>
      <c r="E8820" s="2">
        <v>1</v>
      </c>
      <c r="F8820" s="9"/>
      <c r="G8820" s="8">
        <f t="shared" si="274"/>
        <v>2.5916496562820956</v>
      </c>
      <c r="H8820" s="8">
        <v>2.4682377678877101</v>
      </c>
      <c r="I8820" s="19">
        <f t="shared" si="275"/>
        <v>0</v>
      </c>
    </row>
    <row r="8821" spans="1:9" hidden="1">
      <c r="A8821" s="11" t="s">
        <v>11260</v>
      </c>
      <c r="B8821" s="2" t="s">
        <v>15293</v>
      </c>
      <c r="C8821" s="2" t="s">
        <v>15294</v>
      </c>
      <c r="D8821" s="2"/>
      <c r="E8821" s="2">
        <v>1</v>
      </c>
      <c r="F8821" s="9"/>
      <c r="G8821" s="8">
        <f t="shared" si="274"/>
        <v>3.0179377358490571</v>
      </c>
      <c r="H8821" s="8">
        <v>2.87422641509434</v>
      </c>
      <c r="I8821" s="19">
        <f t="shared" si="275"/>
        <v>0</v>
      </c>
    </row>
    <row r="8822" spans="1:9" hidden="1">
      <c r="A8822" s="11" t="s">
        <v>11260</v>
      </c>
      <c r="B8822" s="2" t="s">
        <v>15295</v>
      </c>
      <c r="C8822" s="2" t="s">
        <v>15296</v>
      </c>
      <c r="D8822" s="2"/>
      <c r="E8822" s="2">
        <v>1</v>
      </c>
      <c r="F8822" s="9"/>
      <c r="G8822" s="8">
        <f t="shared" si="274"/>
        <v>29.346221241830065</v>
      </c>
      <c r="H8822" s="8">
        <v>27.948782135076254</v>
      </c>
      <c r="I8822" s="19">
        <f t="shared" si="275"/>
        <v>0</v>
      </c>
    </row>
    <row r="8823" spans="1:9" hidden="1">
      <c r="A8823" s="11" t="s">
        <v>11260</v>
      </c>
      <c r="B8823" s="2" t="s">
        <v>15297</v>
      </c>
      <c r="C8823" s="2" t="s">
        <v>15298</v>
      </c>
      <c r="D8823" s="2"/>
      <c r="E8823" s="2">
        <v>1</v>
      </c>
      <c r="F8823" s="9"/>
      <c r="G8823" s="8">
        <f t="shared" si="274"/>
        <v>29.346221241830065</v>
      </c>
      <c r="H8823" s="8">
        <v>27.948782135076254</v>
      </c>
      <c r="I8823" s="19">
        <f t="shared" si="275"/>
        <v>0</v>
      </c>
    </row>
    <row r="8824" spans="1:9" hidden="1">
      <c r="A8824" s="11" t="s">
        <v>11260</v>
      </c>
      <c r="B8824" s="2" t="s">
        <v>15299</v>
      </c>
      <c r="C8824" s="2" t="s">
        <v>15300</v>
      </c>
      <c r="D8824" s="2"/>
      <c r="E8824" s="2">
        <v>1</v>
      </c>
      <c r="F8824" s="9"/>
      <c r="G8824" s="8">
        <f t="shared" si="274"/>
        <v>12.510120000000001</v>
      </c>
      <c r="H8824" s="8">
        <v>11.914400000000001</v>
      </c>
      <c r="I8824" s="19">
        <f t="shared" si="275"/>
        <v>0</v>
      </c>
    </row>
    <row r="8825" spans="1:9" hidden="1">
      <c r="A8825" s="11" t="s">
        <v>11260</v>
      </c>
      <c r="B8825" s="2" t="s">
        <v>15301</v>
      </c>
      <c r="C8825" s="2" t="s">
        <v>15302</v>
      </c>
      <c r="D8825" s="2"/>
      <c r="E8825" s="2">
        <v>1</v>
      </c>
      <c r="F8825" s="9"/>
      <c r="G8825" s="8">
        <f t="shared" si="274"/>
        <v>12.517179887133185</v>
      </c>
      <c r="H8825" s="8">
        <v>11.921123702031604</v>
      </c>
      <c r="I8825" s="19">
        <f t="shared" si="275"/>
        <v>0</v>
      </c>
    </row>
    <row r="8826" spans="1:9" hidden="1">
      <c r="A8826" s="11" t="s">
        <v>11260</v>
      </c>
      <c r="B8826" s="2" t="s">
        <v>15303</v>
      </c>
      <c r="C8826" s="2" t="s">
        <v>15304</v>
      </c>
      <c r="D8826" s="2"/>
      <c r="E8826" s="2">
        <v>1</v>
      </c>
      <c r="F8826" s="9"/>
      <c r="G8826" s="8">
        <f t="shared" si="274"/>
        <v>13.634250000000002</v>
      </c>
      <c r="H8826" s="8">
        <v>12.985000000000001</v>
      </c>
      <c r="I8826" s="19">
        <f t="shared" si="275"/>
        <v>0</v>
      </c>
    </row>
    <row r="8827" spans="1:9" hidden="1">
      <c r="A8827" s="11" t="s">
        <v>11260</v>
      </c>
      <c r="B8827" s="2" t="s">
        <v>15305</v>
      </c>
      <c r="C8827" s="2" t="s">
        <v>15304</v>
      </c>
      <c r="D8827" s="2"/>
      <c r="E8827" s="2">
        <v>1</v>
      </c>
      <c r="F8827" s="9"/>
      <c r="G8827" s="8">
        <f t="shared" si="274"/>
        <v>13.634250000000002</v>
      </c>
      <c r="H8827" s="8">
        <v>12.985000000000001</v>
      </c>
      <c r="I8827" s="19">
        <f t="shared" si="275"/>
        <v>0</v>
      </c>
    </row>
    <row r="8828" spans="1:9" hidden="1">
      <c r="A8828" s="11" t="s">
        <v>11260</v>
      </c>
      <c r="B8828" s="2" t="s">
        <v>15306</v>
      </c>
      <c r="C8828" s="2" t="s">
        <v>15307</v>
      </c>
      <c r="D8828" s="2"/>
      <c r="E8828" s="2">
        <v>1</v>
      </c>
      <c r="F8828" s="9"/>
      <c r="G8828" s="8">
        <f t="shared" si="274"/>
        <v>29.127210000000002</v>
      </c>
      <c r="H8828" s="8">
        <v>27.740200000000002</v>
      </c>
      <c r="I8828" s="19">
        <f t="shared" si="275"/>
        <v>0</v>
      </c>
    </row>
    <row r="8829" spans="1:9" hidden="1">
      <c r="A8829" s="11" t="s">
        <v>11260</v>
      </c>
      <c r="B8829" s="2" t="s">
        <v>15308</v>
      </c>
      <c r="C8829" s="2" t="s">
        <v>15309</v>
      </c>
      <c r="D8829" s="2"/>
      <c r="E8829" s="2">
        <v>1</v>
      </c>
      <c r="F8829" s="9"/>
      <c r="G8829" s="8">
        <f t="shared" si="274"/>
        <v>7.1709116652226639</v>
      </c>
      <c r="H8829" s="8">
        <v>6.829439681164442</v>
      </c>
      <c r="I8829" s="19">
        <f t="shared" si="275"/>
        <v>0</v>
      </c>
    </row>
    <row r="8830" spans="1:9" hidden="1">
      <c r="A8830" s="11" t="s">
        <v>11260</v>
      </c>
      <c r="B8830" s="2" t="s">
        <v>15310</v>
      </c>
      <c r="C8830" s="2" t="s">
        <v>15311</v>
      </c>
      <c r="D8830" s="2"/>
      <c r="E8830" s="2">
        <v>1</v>
      </c>
      <c r="F8830" s="9"/>
      <c r="G8830" s="8">
        <f t="shared" si="274"/>
        <v>10.70706</v>
      </c>
      <c r="H8830" s="8">
        <v>10.1972</v>
      </c>
      <c r="I8830" s="19">
        <f t="shared" si="275"/>
        <v>0</v>
      </c>
    </row>
    <row r="8831" spans="1:9" hidden="1">
      <c r="A8831" s="11" t="s">
        <v>11260</v>
      </c>
      <c r="B8831" s="2" t="s">
        <v>15312</v>
      </c>
      <c r="C8831" s="2" t="s">
        <v>15313</v>
      </c>
      <c r="D8831" s="2"/>
      <c r="E8831" s="2">
        <v>1</v>
      </c>
      <c r="F8831" s="9"/>
      <c r="G8831" s="8">
        <f t="shared" si="274"/>
        <v>31.976490000000002</v>
      </c>
      <c r="H8831" s="8">
        <v>30.453800000000001</v>
      </c>
      <c r="I8831" s="19">
        <f t="shared" si="275"/>
        <v>0</v>
      </c>
    </row>
    <row r="8832" spans="1:9" hidden="1">
      <c r="A8832" s="11" t="s">
        <v>11260</v>
      </c>
      <c r="B8832" s="2" t="s">
        <v>15314</v>
      </c>
      <c r="C8832" s="2" t="s">
        <v>15315</v>
      </c>
      <c r="D8832" s="2"/>
      <c r="E8832" s="2">
        <v>1</v>
      </c>
      <c r="F8832" s="9"/>
      <c r="G8832" s="8">
        <f t="shared" si="274"/>
        <v>43.858500000000006</v>
      </c>
      <c r="H8832" s="8">
        <v>41.77</v>
      </c>
      <c r="I8832" s="19">
        <f t="shared" si="275"/>
        <v>0</v>
      </c>
    </row>
    <row r="8833" spans="1:9" hidden="1">
      <c r="A8833" s="11" t="s">
        <v>11260</v>
      </c>
      <c r="B8833" s="2" t="s">
        <v>15316</v>
      </c>
      <c r="C8833" s="2" t="s">
        <v>15317</v>
      </c>
      <c r="D8833" s="2"/>
      <c r="E8833" s="2">
        <v>1</v>
      </c>
      <c r="F8833" s="9"/>
      <c r="G8833" s="8">
        <f t="shared" si="274"/>
        <v>1.4914200000000002</v>
      </c>
      <c r="H8833" s="8">
        <v>1.4204000000000001</v>
      </c>
      <c r="I8833" s="19">
        <f t="shared" si="275"/>
        <v>0</v>
      </c>
    </row>
    <row r="8834" spans="1:9" hidden="1">
      <c r="A8834" s="11" t="s">
        <v>11260</v>
      </c>
      <c r="B8834" s="2" t="s">
        <v>15318</v>
      </c>
      <c r="C8834" s="2" t="s">
        <v>15319</v>
      </c>
      <c r="D8834" s="2"/>
      <c r="E8834" s="2">
        <v>1</v>
      </c>
      <c r="F8834" s="9"/>
      <c r="G8834" s="8">
        <f t="shared" si="274"/>
        <v>23.573340000000002</v>
      </c>
      <c r="H8834" s="8">
        <v>22.450800000000001</v>
      </c>
      <c r="I8834" s="19">
        <f t="shared" si="275"/>
        <v>0</v>
      </c>
    </row>
    <row r="8835" spans="1:9" hidden="1">
      <c r="A8835" s="11" t="s">
        <v>11260</v>
      </c>
      <c r="B8835" s="2" t="s">
        <v>15320</v>
      </c>
      <c r="C8835" s="2" t="s">
        <v>15321</v>
      </c>
      <c r="D8835" s="2"/>
      <c r="E8835" s="2">
        <v>1</v>
      </c>
      <c r="F8835" s="9"/>
      <c r="G8835" s="8">
        <f t="shared" si="274"/>
        <v>19.132470000000001</v>
      </c>
      <c r="H8835" s="8">
        <v>18.221400000000003</v>
      </c>
      <c r="I8835" s="19">
        <f t="shared" si="275"/>
        <v>0</v>
      </c>
    </row>
    <row r="8836" spans="1:9" hidden="1">
      <c r="A8836" s="11" t="s">
        <v>11260</v>
      </c>
      <c r="B8836" s="2" t="s">
        <v>15322</v>
      </c>
      <c r="C8836" s="2" t="s">
        <v>15323</v>
      </c>
      <c r="D8836" s="2"/>
      <c r="E8836" s="2">
        <v>1</v>
      </c>
      <c r="F8836" s="9"/>
      <c r="G8836" s="8">
        <f t="shared" si="274"/>
        <v>255.26668618241933</v>
      </c>
      <c r="H8836" s="8">
        <v>243.11112969754222</v>
      </c>
      <c r="I8836" s="19">
        <f t="shared" si="275"/>
        <v>0</v>
      </c>
    </row>
    <row r="8837" spans="1:9" hidden="1">
      <c r="A8837" s="11" t="s">
        <v>11260</v>
      </c>
      <c r="B8837" s="2" t="s">
        <v>15324</v>
      </c>
      <c r="C8837" s="2" t="s">
        <v>15325</v>
      </c>
      <c r="D8837" s="2"/>
      <c r="E8837" s="2">
        <v>1</v>
      </c>
      <c r="F8837" s="9"/>
      <c r="G8837" s="8">
        <f t="shared" si="274"/>
        <v>78.599076387096787</v>
      </c>
      <c r="H8837" s="8">
        <v>74.856263225806458</v>
      </c>
      <c r="I8837" s="19">
        <f t="shared" si="275"/>
        <v>0</v>
      </c>
    </row>
    <row r="8838" spans="1:9" hidden="1">
      <c r="A8838" s="11" t="s">
        <v>11260</v>
      </c>
      <c r="B8838" s="2" t="s">
        <v>15326</v>
      </c>
      <c r="C8838" s="2" t="s">
        <v>15327</v>
      </c>
      <c r="D8838" s="2"/>
      <c r="E8838" s="2">
        <v>1</v>
      </c>
      <c r="F8838" s="9"/>
      <c r="G8838" s="8">
        <f t="shared" si="274"/>
        <v>2.4401194520547951</v>
      </c>
      <c r="H8838" s="8">
        <v>2.3239232876712332</v>
      </c>
      <c r="I8838" s="19">
        <f t="shared" si="275"/>
        <v>0</v>
      </c>
    </row>
    <row r="8839" spans="1:9" hidden="1">
      <c r="A8839" s="11" t="s">
        <v>11260</v>
      </c>
      <c r="B8839" s="2" t="s">
        <v>15328</v>
      </c>
      <c r="C8839" s="2" t="s">
        <v>15329</v>
      </c>
      <c r="D8839" s="2"/>
      <c r="E8839" s="2">
        <v>1</v>
      </c>
      <c r="F8839" s="9"/>
      <c r="G8839" s="8">
        <f t="shared" si="274"/>
        <v>9.5621497109826592</v>
      </c>
      <c r="H8839" s="8">
        <v>9.1068092485549137</v>
      </c>
      <c r="I8839" s="19">
        <f t="shared" si="275"/>
        <v>0</v>
      </c>
    </row>
    <row r="8840" spans="1:9" hidden="1">
      <c r="A8840" s="11" t="s">
        <v>11260</v>
      </c>
      <c r="B8840" s="2" t="s">
        <v>15330</v>
      </c>
      <c r="C8840" s="2" t="s">
        <v>15331</v>
      </c>
      <c r="D8840" s="2"/>
      <c r="E8840" s="2">
        <v>1</v>
      </c>
      <c r="F8840" s="9"/>
      <c r="G8840" s="8">
        <f t="shared" si="274"/>
        <v>218.52533850158926</v>
      </c>
      <c r="H8840" s="8">
        <v>208.11937000151357</v>
      </c>
      <c r="I8840" s="19">
        <f t="shared" si="275"/>
        <v>0</v>
      </c>
    </row>
    <row r="8841" spans="1:9" hidden="1">
      <c r="A8841" s="11" t="s">
        <v>11260</v>
      </c>
      <c r="B8841" s="2" t="s">
        <v>15332</v>
      </c>
      <c r="C8841" s="2" t="s">
        <v>15333</v>
      </c>
      <c r="D8841" s="2"/>
      <c r="E8841" s="2">
        <v>1</v>
      </c>
      <c r="F8841" s="9"/>
      <c r="G8841" s="8">
        <f t="shared" si="274"/>
        <v>218.52533850158926</v>
      </c>
      <c r="H8841" s="8">
        <v>208.11937000151357</v>
      </c>
      <c r="I8841" s="19">
        <f t="shared" si="275"/>
        <v>0</v>
      </c>
    </row>
    <row r="8842" spans="1:9">
      <c r="A8842" s="11" t="s">
        <v>11260</v>
      </c>
      <c r="B8842" s="2" t="s">
        <v>15334</v>
      </c>
      <c r="C8842" s="2" t="s">
        <v>15335</v>
      </c>
      <c r="D8842" s="2"/>
      <c r="E8842" s="2">
        <v>1</v>
      </c>
      <c r="F8842" s="9">
        <v>37</v>
      </c>
      <c r="G8842" s="8">
        <f t="shared" si="274"/>
        <v>7.0168767336152209</v>
      </c>
      <c r="H8842" s="8">
        <v>6.6827397463002107</v>
      </c>
      <c r="I8842" s="19">
        <f t="shared" si="275"/>
        <v>259.6244391437632</v>
      </c>
    </row>
    <row r="8843" spans="1:9">
      <c r="A8843" s="11" t="s">
        <v>11260</v>
      </c>
      <c r="B8843" s="2" t="s">
        <v>15336</v>
      </c>
      <c r="C8843" s="2" t="s">
        <v>15335</v>
      </c>
      <c r="D8843" s="2"/>
      <c r="E8843" s="2">
        <v>1</v>
      </c>
      <c r="F8843" s="9">
        <v>212</v>
      </c>
      <c r="G8843" s="8">
        <f t="shared" si="274"/>
        <v>6.5336558823529405</v>
      </c>
      <c r="H8843" s="8">
        <v>6.2225294117647056</v>
      </c>
      <c r="I8843" s="19">
        <f t="shared" si="275"/>
        <v>1385.1350470588234</v>
      </c>
    </row>
    <row r="8844" spans="1:9" hidden="1">
      <c r="A8844" s="11" t="s">
        <v>11260</v>
      </c>
      <c r="B8844" s="2" t="s">
        <v>15337</v>
      </c>
      <c r="C8844" s="2" t="s">
        <v>15338</v>
      </c>
      <c r="D8844" s="2"/>
      <c r="E8844" s="2">
        <v>1</v>
      </c>
      <c r="F8844" s="9"/>
      <c r="G8844" s="8">
        <f t="shared" si="274"/>
        <v>60.188545311013229</v>
      </c>
      <c r="H8844" s="8">
        <v>57.322424105726881</v>
      </c>
      <c r="I8844" s="19">
        <f t="shared" si="275"/>
        <v>0</v>
      </c>
    </row>
    <row r="8845" spans="1:9" hidden="1">
      <c r="A8845" s="11" t="s">
        <v>11260</v>
      </c>
      <c r="B8845" s="2" t="s">
        <v>15339</v>
      </c>
      <c r="C8845" s="2" t="s">
        <v>15340</v>
      </c>
      <c r="D8845" s="2"/>
      <c r="E8845" s="2">
        <v>1</v>
      </c>
      <c r="F8845" s="9"/>
      <c r="G8845" s="8">
        <f t="shared" si="274"/>
        <v>60.188545311013229</v>
      </c>
      <c r="H8845" s="8">
        <v>57.322424105726881</v>
      </c>
      <c r="I8845" s="19">
        <f t="shared" si="275"/>
        <v>0</v>
      </c>
    </row>
    <row r="8846" spans="1:9" hidden="1">
      <c r="A8846" s="11" t="s">
        <v>11260</v>
      </c>
      <c r="B8846" s="2" t="s">
        <v>15341</v>
      </c>
      <c r="C8846" s="2" t="s">
        <v>15342</v>
      </c>
      <c r="D8846" s="2"/>
      <c r="E8846" s="2">
        <v>1</v>
      </c>
      <c r="F8846" s="9"/>
      <c r="G8846" s="8">
        <f t="shared" si="274"/>
        <v>248.10725730583459</v>
      </c>
      <c r="H8846" s="8">
        <v>236.29262600555674</v>
      </c>
      <c r="I8846" s="19">
        <f t="shared" si="275"/>
        <v>0</v>
      </c>
    </row>
    <row r="8847" spans="1:9" hidden="1">
      <c r="A8847" s="11" t="s">
        <v>11260</v>
      </c>
      <c r="B8847" s="2" t="s">
        <v>15343</v>
      </c>
      <c r="C8847" s="2" t="s">
        <v>15344</v>
      </c>
      <c r="D8847" s="2"/>
      <c r="E8847" s="2">
        <v>1</v>
      </c>
      <c r="F8847" s="9"/>
      <c r="G8847" s="8">
        <f t="shared" si="274"/>
        <v>248.10725730583459</v>
      </c>
      <c r="H8847" s="8">
        <v>236.29262600555674</v>
      </c>
      <c r="I8847" s="19">
        <f t="shared" si="275"/>
        <v>0</v>
      </c>
    </row>
    <row r="8848" spans="1:9" hidden="1">
      <c r="A8848" s="11" t="s">
        <v>11260</v>
      </c>
      <c r="B8848" s="2" t="s">
        <v>15345</v>
      </c>
      <c r="C8848" s="2" t="s">
        <v>15346</v>
      </c>
      <c r="D8848" s="2"/>
      <c r="E8848" s="2">
        <v>1</v>
      </c>
      <c r="F8848" s="9"/>
      <c r="G8848" s="8">
        <f t="shared" si="274"/>
        <v>224.10833872923274</v>
      </c>
      <c r="H8848" s="8">
        <v>213.43651307545974</v>
      </c>
      <c r="I8848" s="19">
        <f t="shared" si="275"/>
        <v>0</v>
      </c>
    </row>
    <row r="8849" spans="1:9" hidden="1">
      <c r="A8849" s="11" t="s">
        <v>11260</v>
      </c>
      <c r="B8849" s="2" t="s">
        <v>15347</v>
      </c>
      <c r="C8849" s="2" t="s">
        <v>15348</v>
      </c>
      <c r="D8849" s="2"/>
      <c r="E8849" s="2">
        <v>1</v>
      </c>
      <c r="F8849" s="9"/>
      <c r="G8849" s="8">
        <f t="shared" si="274"/>
        <v>9.0024418661257588</v>
      </c>
      <c r="H8849" s="8">
        <v>8.5737541582150083</v>
      </c>
      <c r="I8849" s="19">
        <f t="shared" si="275"/>
        <v>0</v>
      </c>
    </row>
    <row r="8850" spans="1:9" hidden="1">
      <c r="A8850" s="11" t="s">
        <v>11260</v>
      </c>
      <c r="B8850" s="2" t="s">
        <v>15349</v>
      </c>
      <c r="C8850" s="2" t="s">
        <v>15350</v>
      </c>
      <c r="D8850" s="2"/>
      <c r="E8850" s="2">
        <v>1</v>
      </c>
      <c r="F8850" s="9"/>
      <c r="G8850" s="8">
        <f t="shared" si="274"/>
        <v>1.591746394092499</v>
      </c>
      <c r="H8850" s="8">
        <v>1.5159489467547609</v>
      </c>
      <c r="I8850" s="19">
        <f t="shared" si="275"/>
        <v>0</v>
      </c>
    </row>
    <row r="8851" spans="1:9" hidden="1">
      <c r="A8851" s="11" t="s">
        <v>11260</v>
      </c>
      <c r="B8851" s="2" t="s">
        <v>15351</v>
      </c>
      <c r="C8851" s="2" t="s">
        <v>15352</v>
      </c>
      <c r="D8851" s="2"/>
      <c r="E8851" s="2">
        <v>1</v>
      </c>
      <c r="F8851" s="9"/>
      <c r="G8851" s="8">
        <f t="shared" si="274"/>
        <v>2.8924234339874846</v>
      </c>
      <c r="H8851" s="8">
        <v>2.7546889847499854</v>
      </c>
      <c r="I8851" s="19">
        <f t="shared" si="275"/>
        <v>0</v>
      </c>
    </row>
    <row r="8852" spans="1:9" hidden="1">
      <c r="A8852" s="11" t="s">
        <v>11260</v>
      </c>
      <c r="B8852" s="2" t="s">
        <v>15353</v>
      </c>
      <c r="C8852" s="2" t="s">
        <v>15354</v>
      </c>
      <c r="D8852" s="2"/>
      <c r="E8852" s="2">
        <v>1</v>
      </c>
      <c r="F8852" s="9"/>
      <c r="G8852" s="8">
        <f t="shared" si="274"/>
        <v>2.8924234339874846</v>
      </c>
      <c r="H8852" s="8">
        <v>2.7546889847499854</v>
      </c>
      <c r="I8852" s="19">
        <f t="shared" si="275"/>
        <v>0</v>
      </c>
    </row>
    <row r="8853" spans="1:9">
      <c r="A8853" s="11" t="s">
        <v>11260</v>
      </c>
      <c r="B8853" s="2" t="s">
        <v>15355</v>
      </c>
      <c r="C8853" s="2" t="s">
        <v>15356</v>
      </c>
      <c r="D8853" s="2"/>
      <c r="E8853" s="2">
        <v>1</v>
      </c>
      <c r="F8853" s="9">
        <f>7*25</f>
        <v>175</v>
      </c>
      <c r="G8853" s="8">
        <f t="shared" si="274"/>
        <v>7.1273397635933815</v>
      </c>
      <c r="H8853" s="8">
        <v>6.7879426319936966</v>
      </c>
      <c r="I8853" s="19">
        <f t="shared" si="275"/>
        <v>1247.2844586288418</v>
      </c>
    </row>
    <row r="8854" spans="1:9">
      <c r="A8854" s="11" t="s">
        <v>11260</v>
      </c>
      <c r="B8854" s="2" t="s">
        <v>15357</v>
      </c>
      <c r="C8854" s="2" t="s">
        <v>15358</v>
      </c>
      <c r="D8854" s="2"/>
      <c r="E8854" s="2">
        <v>1</v>
      </c>
      <c r="F8854" s="9">
        <f>(8*15)+25+15+6</f>
        <v>166</v>
      </c>
      <c r="G8854" s="8">
        <f t="shared" si="274"/>
        <v>10.355151568894954</v>
      </c>
      <c r="H8854" s="8">
        <v>9.8620491132332884</v>
      </c>
      <c r="I8854" s="19">
        <f t="shared" si="275"/>
        <v>1718.9551604365622</v>
      </c>
    </row>
    <row r="8855" spans="1:9" hidden="1">
      <c r="A8855" s="11" t="s">
        <v>11260</v>
      </c>
      <c r="B8855" s="2" t="s">
        <v>15359</v>
      </c>
      <c r="C8855" s="2" t="s">
        <v>15360</v>
      </c>
      <c r="D8855" s="2"/>
      <c r="E8855" s="2">
        <v>1</v>
      </c>
      <c r="F8855" s="9"/>
      <c r="G8855" s="8">
        <f t="shared" si="274"/>
        <v>3.1181881499999999</v>
      </c>
      <c r="H8855" s="8">
        <v>2.969703</v>
      </c>
      <c r="I8855" s="19">
        <f t="shared" si="275"/>
        <v>0</v>
      </c>
    </row>
    <row r="8856" spans="1:9" hidden="1">
      <c r="A8856" s="11" t="s">
        <v>11260</v>
      </c>
      <c r="B8856" s="2" t="s">
        <v>15361</v>
      </c>
      <c r="C8856" s="2" t="s">
        <v>15362</v>
      </c>
      <c r="D8856" s="2"/>
      <c r="E8856" s="2">
        <v>1</v>
      </c>
      <c r="F8856" s="9"/>
      <c r="G8856" s="8">
        <f t="shared" ref="G8856:G8919" si="276">H8856+(H8856*5%)</f>
        <v>16.001453493975902</v>
      </c>
      <c r="H8856" s="8">
        <v>15.239479518072288</v>
      </c>
      <c r="I8856" s="19">
        <f t="shared" ref="I8856:I8919" si="277">G8856*F8856</f>
        <v>0</v>
      </c>
    </row>
    <row r="8857" spans="1:9">
      <c r="A8857" s="11" t="s">
        <v>11260</v>
      </c>
      <c r="B8857" s="2" t="s">
        <v>15363</v>
      </c>
      <c r="C8857" s="2" t="s">
        <v>15364</v>
      </c>
      <c r="D8857" s="2"/>
      <c r="E8857" s="2">
        <v>1</v>
      </c>
      <c r="F8857" s="9">
        <f>10*11</f>
        <v>110</v>
      </c>
      <c r="G8857" s="8">
        <f t="shared" si="276"/>
        <v>15.648804381161007</v>
      </c>
      <c r="H8857" s="8">
        <v>14.903623220153341</v>
      </c>
      <c r="I8857" s="19">
        <f t="shared" si="277"/>
        <v>1721.3684819277107</v>
      </c>
    </row>
    <row r="8858" spans="1:9" hidden="1">
      <c r="A8858" s="11" t="s">
        <v>11260</v>
      </c>
      <c r="B8858" s="2" t="s">
        <v>15365</v>
      </c>
      <c r="C8858" s="2" t="s">
        <v>15366</v>
      </c>
      <c r="D8858" s="2"/>
      <c r="E8858" s="2">
        <v>1</v>
      </c>
      <c r="F8858" s="9"/>
      <c r="G8858" s="8">
        <f t="shared" si="276"/>
        <v>18.547139277108435</v>
      </c>
      <c r="H8858" s="8">
        <v>17.663942168674701</v>
      </c>
      <c r="I8858" s="19">
        <f t="shared" si="277"/>
        <v>0</v>
      </c>
    </row>
    <row r="8859" spans="1:9" hidden="1">
      <c r="A8859" s="11" t="s">
        <v>11260</v>
      </c>
      <c r="B8859" s="2" t="s">
        <v>15367</v>
      </c>
      <c r="C8859" s="2" t="s">
        <v>15368</v>
      </c>
      <c r="D8859" s="2"/>
      <c r="E8859" s="2">
        <v>1</v>
      </c>
      <c r="F8859" s="9"/>
      <c r="G8859" s="8">
        <f t="shared" si="276"/>
        <v>7.1165057518248176</v>
      </c>
      <c r="H8859" s="8">
        <v>6.777624525547445</v>
      </c>
      <c r="I8859" s="19">
        <f t="shared" si="277"/>
        <v>0</v>
      </c>
    </row>
    <row r="8860" spans="1:9" hidden="1">
      <c r="A8860" s="11" t="s">
        <v>11260</v>
      </c>
      <c r="B8860" s="2" t="s">
        <v>15369</v>
      </c>
      <c r="C8860" s="2" t="s">
        <v>15370</v>
      </c>
      <c r="D8860" s="2"/>
      <c r="E8860" s="2">
        <v>1</v>
      </c>
      <c r="F8860" s="9"/>
      <c r="G8860" s="8">
        <f t="shared" si="276"/>
        <v>7.1165057518248176</v>
      </c>
      <c r="H8860" s="8">
        <v>6.777624525547445</v>
      </c>
      <c r="I8860" s="19">
        <f t="shared" si="277"/>
        <v>0</v>
      </c>
    </row>
    <row r="8861" spans="1:9" hidden="1">
      <c r="A8861" s="11" t="s">
        <v>11260</v>
      </c>
      <c r="B8861" s="2" t="s">
        <v>15371</v>
      </c>
      <c r="C8861" s="2" t="s">
        <v>15372</v>
      </c>
      <c r="D8861" s="2"/>
      <c r="E8861" s="2">
        <v>1</v>
      </c>
      <c r="F8861" s="9"/>
      <c r="G8861" s="8">
        <f t="shared" si="276"/>
        <v>7.1165057518248176</v>
      </c>
      <c r="H8861" s="8">
        <v>6.777624525547445</v>
      </c>
      <c r="I8861" s="19">
        <f t="shared" si="277"/>
        <v>0</v>
      </c>
    </row>
    <row r="8862" spans="1:9" hidden="1">
      <c r="A8862" s="11" t="s">
        <v>11260</v>
      </c>
      <c r="B8862" s="2" t="s">
        <v>15373</v>
      </c>
      <c r="C8862" s="2" t="s">
        <v>15374</v>
      </c>
      <c r="D8862" s="2"/>
      <c r="E8862" s="2">
        <v>1</v>
      </c>
      <c r="F8862" s="9"/>
      <c r="G8862" s="8">
        <f t="shared" si="276"/>
        <v>7.1165057518248176</v>
      </c>
      <c r="H8862" s="8">
        <v>6.777624525547445</v>
      </c>
      <c r="I8862" s="19">
        <f t="shared" si="277"/>
        <v>0</v>
      </c>
    </row>
    <row r="8863" spans="1:9">
      <c r="A8863" s="11" t="s">
        <v>11260</v>
      </c>
      <c r="B8863" s="2" t="s">
        <v>15375</v>
      </c>
      <c r="C8863" s="2" t="s">
        <v>15376</v>
      </c>
      <c r="D8863" s="2"/>
      <c r="E8863" s="2">
        <v>1</v>
      </c>
      <c r="F8863" s="9">
        <f>4*5</f>
        <v>20</v>
      </c>
      <c r="G8863" s="8">
        <f t="shared" si="276"/>
        <v>23.622491275167786</v>
      </c>
      <c r="H8863" s="8">
        <v>22.497610738255034</v>
      </c>
      <c r="I8863" s="19">
        <f t="shared" si="277"/>
        <v>472.44982550335573</v>
      </c>
    </row>
    <row r="8864" spans="1:9">
      <c r="A8864" s="11" t="s">
        <v>11260</v>
      </c>
      <c r="B8864" s="2" t="s">
        <v>15377</v>
      </c>
      <c r="C8864" s="2" t="s">
        <v>15378</v>
      </c>
      <c r="D8864" s="2"/>
      <c r="E8864" s="2">
        <v>1</v>
      </c>
      <c r="F8864" s="9">
        <f>4*5</f>
        <v>20</v>
      </c>
      <c r="G8864" s="8">
        <f t="shared" si="276"/>
        <v>26.828125762671153</v>
      </c>
      <c r="H8864" s="8">
        <v>25.550595964448718</v>
      </c>
      <c r="I8864" s="19">
        <f t="shared" si="277"/>
        <v>536.56251525342304</v>
      </c>
    </row>
    <row r="8865" spans="1:9" hidden="1">
      <c r="A8865" s="11" t="s">
        <v>11260</v>
      </c>
      <c r="B8865" s="2" t="s">
        <v>15379</v>
      </c>
      <c r="C8865" s="2" t="s">
        <v>15380</v>
      </c>
      <c r="D8865" s="2"/>
      <c r="E8865" s="2">
        <v>1</v>
      </c>
      <c r="F8865" s="9"/>
      <c r="G8865" s="8">
        <f t="shared" si="276"/>
        <v>1.783273032009892</v>
      </c>
      <c r="H8865" s="8">
        <v>1.6983552685808494</v>
      </c>
      <c r="I8865" s="19">
        <f t="shared" si="277"/>
        <v>0</v>
      </c>
    </row>
    <row r="8866" spans="1:9" hidden="1">
      <c r="A8866" s="11" t="s">
        <v>11260</v>
      </c>
      <c r="B8866" s="2" t="s">
        <v>15381</v>
      </c>
      <c r="C8866" s="2" t="s">
        <v>15382</v>
      </c>
      <c r="D8866" s="2"/>
      <c r="E8866" s="2">
        <v>1</v>
      </c>
      <c r="F8866" s="9"/>
      <c r="G8866" s="8">
        <f t="shared" si="276"/>
        <v>8.5230886829268293</v>
      </c>
      <c r="H8866" s="8">
        <v>8.117227317073171</v>
      </c>
      <c r="I8866" s="19">
        <f t="shared" si="277"/>
        <v>0</v>
      </c>
    </row>
    <row r="8867" spans="1:9" hidden="1">
      <c r="A8867" s="11" t="s">
        <v>11260</v>
      </c>
      <c r="B8867" s="2" t="s">
        <v>15383</v>
      </c>
      <c r="C8867" s="2" t="s">
        <v>15384</v>
      </c>
      <c r="D8867" s="2"/>
      <c r="E8867" s="2">
        <v>1</v>
      </c>
      <c r="F8867" s="9"/>
      <c r="G8867" s="8">
        <f t="shared" si="276"/>
        <v>8.5263269798657735</v>
      </c>
      <c r="H8867" s="8">
        <v>8.1203114093959741</v>
      </c>
      <c r="I8867" s="19">
        <f t="shared" si="277"/>
        <v>0</v>
      </c>
    </row>
    <row r="8868" spans="1:9" hidden="1">
      <c r="A8868" s="11" t="s">
        <v>11260</v>
      </c>
      <c r="B8868" s="2" t="s">
        <v>15385</v>
      </c>
      <c r="C8868" s="2" t="s">
        <v>15386</v>
      </c>
      <c r="D8868" s="2"/>
      <c r="E8868" s="2">
        <v>1</v>
      </c>
      <c r="F8868" s="9"/>
      <c r="G8868" s="8">
        <f t="shared" si="276"/>
        <v>3.1990897546012276</v>
      </c>
      <c r="H8868" s="8">
        <v>3.0467521472392645</v>
      </c>
      <c r="I8868" s="19">
        <f t="shared" si="277"/>
        <v>0</v>
      </c>
    </row>
    <row r="8869" spans="1:9" hidden="1">
      <c r="A8869" s="11" t="s">
        <v>11260</v>
      </c>
      <c r="B8869" s="2" t="s">
        <v>15387</v>
      </c>
      <c r="C8869" s="2" t="s">
        <v>15388</v>
      </c>
      <c r="D8869" s="2"/>
      <c r="E8869" s="2">
        <v>1</v>
      </c>
      <c r="F8869" s="9"/>
      <c r="G8869" s="8">
        <f t="shared" si="276"/>
        <v>3.2096513513513516</v>
      </c>
      <c r="H8869" s="8">
        <v>3.056810810810811</v>
      </c>
      <c r="I8869" s="19">
        <f t="shared" si="277"/>
        <v>0</v>
      </c>
    </row>
    <row r="8870" spans="1:9">
      <c r="A8870" s="11" t="s">
        <v>11260</v>
      </c>
      <c r="B8870" s="2" t="s">
        <v>15389</v>
      </c>
      <c r="C8870" s="2" t="s">
        <v>15390</v>
      </c>
      <c r="D8870" s="2"/>
      <c r="E8870" s="2">
        <v>1</v>
      </c>
      <c r="F8870" s="9">
        <v>4</v>
      </c>
      <c r="G8870" s="8">
        <f t="shared" si="276"/>
        <v>33.39647350742063</v>
      </c>
      <c r="H8870" s="8">
        <v>31.806165245162507</v>
      </c>
      <c r="I8870" s="19">
        <f t="shared" si="277"/>
        <v>133.58589402968252</v>
      </c>
    </row>
    <row r="8871" spans="1:9" hidden="1">
      <c r="A8871" s="11" t="s">
        <v>11260</v>
      </c>
      <c r="B8871" s="2" t="s">
        <v>15391</v>
      </c>
      <c r="C8871" s="2" t="s">
        <v>15392</v>
      </c>
      <c r="D8871" s="2"/>
      <c r="E8871" s="2">
        <v>1</v>
      </c>
      <c r="F8871" s="9"/>
      <c r="G8871" s="8">
        <f t="shared" si="276"/>
        <v>87.482438992105884</v>
      </c>
      <c r="H8871" s="8">
        <v>83.316608563910364</v>
      </c>
      <c r="I8871" s="19">
        <f t="shared" si="277"/>
        <v>0</v>
      </c>
    </row>
    <row r="8872" spans="1:9" hidden="1">
      <c r="A8872" s="11" t="s">
        <v>11260</v>
      </c>
      <c r="B8872" s="2" t="s">
        <v>15393</v>
      </c>
      <c r="C8872" s="2" t="s">
        <v>15394</v>
      </c>
      <c r="D8872" s="2"/>
      <c r="E8872" s="2">
        <v>1</v>
      </c>
      <c r="F8872" s="9"/>
      <c r="G8872" s="8">
        <f t="shared" si="276"/>
        <v>87.482438992105884</v>
      </c>
      <c r="H8872" s="8">
        <v>83.316608563910364</v>
      </c>
      <c r="I8872" s="19">
        <f t="shared" si="277"/>
        <v>0</v>
      </c>
    </row>
    <row r="8873" spans="1:9">
      <c r="A8873" s="11" t="s">
        <v>11260</v>
      </c>
      <c r="B8873" s="2" t="s">
        <v>15395</v>
      </c>
      <c r="C8873" s="2" t="s">
        <v>15396</v>
      </c>
      <c r="D8873" s="2"/>
      <c r="E8873" s="2">
        <v>1</v>
      </c>
      <c r="F8873" s="9">
        <v>3.5</v>
      </c>
      <c r="G8873" s="8">
        <f t="shared" si="276"/>
        <v>25.171921771276601</v>
      </c>
      <c r="H8873" s="8">
        <v>23.973258829787238</v>
      </c>
      <c r="I8873" s="19">
        <f t="shared" si="277"/>
        <v>88.101726199468104</v>
      </c>
    </row>
    <row r="8874" spans="1:9">
      <c r="A8874" s="11" t="s">
        <v>11260</v>
      </c>
      <c r="B8874" s="2" t="s">
        <v>15397</v>
      </c>
      <c r="C8874" s="2" t="s">
        <v>15398</v>
      </c>
      <c r="D8874" s="2"/>
      <c r="E8874" s="2">
        <v>1</v>
      </c>
      <c r="F8874" s="9">
        <v>11</v>
      </c>
      <c r="G8874" s="8">
        <f t="shared" si="276"/>
        <v>6.5671184210526308</v>
      </c>
      <c r="H8874" s="8">
        <v>6.2543984962406007</v>
      </c>
      <c r="I8874" s="19">
        <f t="shared" si="277"/>
        <v>72.238302631578932</v>
      </c>
    </row>
    <row r="8875" spans="1:9">
      <c r="A8875" s="11" t="s">
        <v>11260</v>
      </c>
      <c r="B8875" s="2" t="s">
        <v>15399</v>
      </c>
      <c r="C8875" s="2" t="s">
        <v>15400</v>
      </c>
      <c r="D8875" s="2"/>
      <c r="E8875" s="2">
        <v>1</v>
      </c>
      <c r="F8875" s="9">
        <v>225</v>
      </c>
      <c r="G8875" s="8">
        <f t="shared" si="276"/>
        <v>9.5977217555266563</v>
      </c>
      <c r="H8875" s="8">
        <v>9.1406873862158626</v>
      </c>
      <c r="I8875" s="19">
        <f t="shared" si="277"/>
        <v>2159.4873949934977</v>
      </c>
    </row>
    <row r="8876" spans="1:9">
      <c r="A8876" s="11" t="s">
        <v>11260</v>
      </c>
      <c r="B8876" s="2" t="s">
        <v>15401</v>
      </c>
      <c r="C8876" s="2" t="s">
        <v>15402</v>
      </c>
      <c r="D8876" s="2"/>
      <c r="E8876" s="2">
        <v>1</v>
      </c>
      <c r="F8876" s="9">
        <v>28</v>
      </c>
      <c r="G8876" s="8">
        <f t="shared" si="276"/>
        <v>18.918318739946383</v>
      </c>
      <c r="H8876" s="8">
        <v>18.017446418996556</v>
      </c>
      <c r="I8876" s="19">
        <f t="shared" si="277"/>
        <v>529.7129247184987</v>
      </c>
    </row>
    <row r="8877" spans="1:9" hidden="1">
      <c r="A8877" s="11" t="s">
        <v>11260</v>
      </c>
      <c r="B8877" s="2" t="s">
        <v>15403</v>
      </c>
      <c r="C8877" s="2" t="s">
        <v>15404</v>
      </c>
      <c r="D8877" s="2"/>
      <c r="E8877" s="2">
        <v>1</v>
      </c>
      <c r="F8877" s="9"/>
      <c r="G8877" s="8">
        <f t="shared" si="276"/>
        <v>76.048038592814379</v>
      </c>
      <c r="H8877" s="8">
        <v>72.426703421727979</v>
      </c>
      <c r="I8877" s="19">
        <f t="shared" si="277"/>
        <v>0</v>
      </c>
    </row>
    <row r="8878" spans="1:9" hidden="1">
      <c r="A8878" s="11" t="s">
        <v>11260</v>
      </c>
      <c r="B8878" s="2" t="s">
        <v>15405</v>
      </c>
      <c r="C8878" s="2" t="s">
        <v>15406</v>
      </c>
      <c r="D8878" s="2"/>
      <c r="E8878" s="2">
        <v>1</v>
      </c>
      <c r="F8878" s="9"/>
      <c r="G8878" s="8">
        <f t="shared" si="276"/>
        <v>75.989062256938666</v>
      </c>
      <c r="H8878" s="8">
        <v>72.370535482798729</v>
      </c>
      <c r="I8878" s="19">
        <f t="shared" si="277"/>
        <v>0</v>
      </c>
    </row>
    <row r="8879" spans="1:9" hidden="1">
      <c r="A8879" s="11" t="s">
        <v>11260</v>
      </c>
      <c r="B8879" s="2" t="s">
        <v>15407</v>
      </c>
      <c r="C8879" s="2" t="s">
        <v>15408</v>
      </c>
      <c r="D8879" s="2"/>
      <c r="E8879" s="2">
        <v>1</v>
      </c>
      <c r="F8879" s="9"/>
      <c r="G8879" s="8">
        <f t="shared" si="276"/>
        <v>25.100701965317917</v>
      </c>
      <c r="H8879" s="8">
        <v>23.905430443159922</v>
      </c>
      <c r="I8879" s="19">
        <f t="shared" si="277"/>
        <v>0</v>
      </c>
    </row>
    <row r="8880" spans="1:9">
      <c r="A8880" s="11" t="s">
        <v>11260</v>
      </c>
      <c r="B8880" s="2" t="s">
        <v>15409</v>
      </c>
      <c r="C8880" s="2" t="s">
        <v>15410</v>
      </c>
      <c r="D8880" s="2"/>
      <c r="E8880" s="2">
        <v>1</v>
      </c>
      <c r="F8880" s="9">
        <v>2</v>
      </c>
      <c r="G8880" s="8">
        <f t="shared" si="276"/>
        <v>42.646556842105269</v>
      </c>
      <c r="H8880" s="8">
        <v>40.615768421052636</v>
      </c>
      <c r="I8880" s="19">
        <f t="shared" si="277"/>
        <v>85.293113684210539</v>
      </c>
    </row>
    <row r="8881" spans="1:9" hidden="1">
      <c r="A8881" s="11" t="s">
        <v>11260</v>
      </c>
      <c r="B8881" s="2" t="s">
        <v>15411</v>
      </c>
      <c r="C8881" s="2" t="s">
        <v>15412</v>
      </c>
      <c r="D8881" s="2"/>
      <c r="E8881" s="2">
        <v>1</v>
      </c>
      <c r="F8881" s="9"/>
      <c r="G8881" s="8">
        <f t="shared" si="276"/>
        <v>42.457252157002429</v>
      </c>
      <c r="H8881" s="8">
        <v>40.435478244764219</v>
      </c>
      <c r="I8881" s="19">
        <f t="shared" si="277"/>
        <v>0</v>
      </c>
    </row>
    <row r="8882" spans="1:9" hidden="1">
      <c r="A8882" s="11" t="s">
        <v>11260</v>
      </c>
      <c r="B8882" s="2" t="s">
        <v>15413</v>
      </c>
      <c r="C8882" s="2" t="s">
        <v>15414</v>
      </c>
      <c r="D8882" s="2"/>
      <c r="E8882" s="2">
        <v>1</v>
      </c>
      <c r="F8882" s="9"/>
      <c r="G8882" s="8">
        <f t="shared" si="276"/>
        <v>244.24177301485875</v>
      </c>
      <c r="H8882" s="8">
        <v>232.61121239510356</v>
      </c>
      <c r="I8882" s="19">
        <f t="shared" si="277"/>
        <v>0</v>
      </c>
    </row>
    <row r="8883" spans="1:9" hidden="1">
      <c r="A8883" s="11" t="s">
        <v>11260</v>
      </c>
      <c r="B8883" s="2" t="s">
        <v>15415</v>
      </c>
      <c r="C8883" s="2" t="s">
        <v>15416</v>
      </c>
      <c r="D8883" s="2"/>
      <c r="E8883" s="2">
        <v>1</v>
      </c>
      <c r="F8883" s="9"/>
      <c r="G8883" s="8">
        <f t="shared" si="276"/>
        <v>253.86440649857576</v>
      </c>
      <c r="H8883" s="8">
        <v>241.77562523673882</v>
      </c>
      <c r="I8883" s="19">
        <f t="shared" si="277"/>
        <v>0</v>
      </c>
    </row>
    <row r="8884" spans="1:9" hidden="1">
      <c r="A8884" s="11" t="s">
        <v>11260</v>
      </c>
      <c r="B8884" s="2" t="s">
        <v>15417</v>
      </c>
      <c r="C8884" s="2" t="s">
        <v>15418</v>
      </c>
      <c r="D8884" s="2"/>
      <c r="E8884" s="2">
        <v>1</v>
      </c>
      <c r="F8884" s="9"/>
      <c r="G8884" s="8">
        <f t="shared" si="276"/>
        <v>25.053630000000002</v>
      </c>
      <c r="H8884" s="8">
        <v>23.860600000000002</v>
      </c>
      <c r="I8884" s="19">
        <f t="shared" si="277"/>
        <v>0</v>
      </c>
    </row>
    <row r="8885" spans="1:9" hidden="1">
      <c r="A8885" s="11" t="s">
        <v>11260</v>
      </c>
      <c r="B8885" s="2" t="s">
        <v>15419</v>
      </c>
      <c r="C8885" s="2" t="s">
        <v>15420</v>
      </c>
      <c r="D8885" s="2"/>
      <c r="E8885" s="2">
        <v>1</v>
      </c>
      <c r="F8885" s="9"/>
      <c r="G8885" s="8">
        <f t="shared" si="276"/>
        <v>835.9594211008615</v>
      </c>
      <c r="H8885" s="8">
        <v>796.15182961986807</v>
      </c>
      <c r="I8885" s="19">
        <f t="shared" si="277"/>
        <v>0</v>
      </c>
    </row>
    <row r="8886" spans="1:9" hidden="1">
      <c r="A8886" s="11" t="s">
        <v>11260</v>
      </c>
      <c r="B8886" s="2" t="s">
        <v>15421</v>
      </c>
      <c r="C8886" s="2" t="s">
        <v>15422</v>
      </c>
      <c r="D8886" s="2"/>
      <c r="E8886" s="2">
        <v>1</v>
      </c>
      <c r="F8886" s="9"/>
      <c r="G8886" s="8">
        <f t="shared" si="276"/>
        <v>456.53723891150599</v>
      </c>
      <c r="H8886" s="8">
        <v>434.79737039191048</v>
      </c>
      <c r="I8886" s="19">
        <f t="shared" si="277"/>
        <v>0</v>
      </c>
    </row>
    <row r="8887" spans="1:9" hidden="1">
      <c r="A8887" s="11" t="s">
        <v>11260</v>
      </c>
      <c r="B8887" s="2" t="s">
        <v>15423</v>
      </c>
      <c r="C8887" s="2" t="s">
        <v>15424</v>
      </c>
      <c r="D8887" s="2"/>
      <c r="E8887" s="2">
        <v>1</v>
      </c>
      <c r="F8887" s="9"/>
      <c r="G8887" s="8">
        <f t="shared" si="276"/>
        <v>531.92174920451453</v>
      </c>
      <c r="H8887" s="8">
        <v>506.59214209953763</v>
      </c>
      <c r="I8887" s="19">
        <f t="shared" si="277"/>
        <v>0</v>
      </c>
    </row>
    <row r="8888" spans="1:9" hidden="1">
      <c r="A8888" s="11" t="s">
        <v>11260</v>
      </c>
      <c r="B8888" s="2" t="s">
        <v>15425</v>
      </c>
      <c r="C8888" s="2" t="s">
        <v>15426</v>
      </c>
      <c r="D8888" s="2"/>
      <c r="E8888" s="2">
        <v>1</v>
      </c>
      <c r="F8888" s="9"/>
      <c r="G8888" s="8">
        <f t="shared" si="276"/>
        <v>361.73246912347088</v>
      </c>
      <c r="H8888" s="8">
        <v>344.50711345092463</v>
      </c>
      <c r="I8888" s="19">
        <f t="shared" si="277"/>
        <v>0</v>
      </c>
    </row>
    <row r="8889" spans="1:9" hidden="1">
      <c r="A8889" s="11" t="s">
        <v>11260</v>
      </c>
      <c r="B8889" s="2" t="s">
        <v>15427</v>
      </c>
      <c r="C8889" s="2" t="s">
        <v>15428</v>
      </c>
      <c r="D8889" s="2"/>
      <c r="E8889" s="2">
        <v>1</v>
      </c>
      <c r="F8889" s="9"/>
      <c r="G8889" s="8">
        <f t="shared" si="276"/>
        <v>71.243130000000008</v>
      </c>
      <c r="H8889" s="8">
        <v>67.850600000000014</v>
      </c>
      <c r="I8889" s="19">
        <f t="shared" si="277"/>
        <v>0</v>
      </c>
    </row>
    <row r="8890" spans="1:9" hidden="1">
      <c r="A8890" s="11" t="s">
        <v>11260</v>
      </c>
      <c r="B8890" s="2" t="s">
        <v>15429</v>
      </c>
      <c r="C8890" s="2" t="s">
        <v>15430</v>
      </c>
      <c r="D8890" s="2"/>
      <c r="E8890" s="2">
        <v>1</v>
      </c>
      <c r="F8890" s="9"/>
      <c r="G8890" s="8">
        <f t="shared" si="276"/>
        <v>72.356130000000007</v>
      </c>
      <c r="H8890" s="8">
        <v>68.910600000000002</v>
      </c>
      <c r="I8890" s="19">
        <f t="shared" si="277"/>
        <v>0</v>
      </c>
    </row>
    <row r="8891" spans="1:9" hidden="1">
      <c r="A8891" s="11" t="s">
        <v>11260</v>
      </c>
      <c r="B8891" s="2" t="s">
        <v>15431</v>
      </c>
      <c r="C8891" s="2" t="s">
        <v>15432</v>
      </c>
      <c r="D8891" s="2"/>
      <c r="E8891" s="2">
        <v>1</v>
      </c>
      <c r="F8891" s="9"/>
      <c r="G8891" s="8">
        <f t="shared" si="276"/>
        <v>1072.7427900000002</v>
      </c>
      <c r="H8891" s="8">
        <v>1021.6598000000001</v>
      </c>
      <c r="I8891" s="19">
        <f t="shared" si="277"/>
        <v>0</v>
      </c>
    </row>
    <row r="8892" spans="1:9" hidden="1">
      <c r="A8892" s="11" t="s">
        <v>11260</v>
      </c>
      <c r="B8892" s="2" t="s">
        <v>15433</v>
      </c>
      <c r="C8892" s="2" t="s">
        <v>15434</v>
      </c>
      <c r="D8892" s="2"/>
      <c r="E8892" s="2">
        <v>1</v>
      </c>
      <c r="F8892" s="9"/>
      <c r="G8892" s="8">
        <f t="shared" si="276"/>
        <v>1161.7044388798572</v>
      </c>
      <c r="H8892" s="8">
        <v>1106.3851798855783</v>
      </c>
      <c r="I8892" s="19">
        <f t="shared" si="277"/>
        <v>0</v>
      </c>
    </row>
    <row r="8893" spans="1:9" hidden="1">
      <c r="A8893" s="11" t="s">
        <v>11260</v>
      </c>
      <c r="B8893" s="2" t="s">
        <v>15435</v>
      </c>
      <c r="C8893" s="2" t="s">
        <v>15436</v>
      </c>
      <c r="D8893" s="2"/>
      <c r="E8893" s="2">
        <v>1</v>
      </c>
      <c r="F8893" s="9"/>
      <c r="G8893" s="8">
        <f t="shared" si="276"/>
        <v>326.84358000000003</v>
      </c>
      <c r="H8893" s="8">
        <v>311.27960000000002</v>
      </c>
      <c r="I8893" s="19">
        <f t="shared" si="277"/>
        <v>0</v>
      </c>
    </row>
    <row r="8894" spans="1:9" hidden="1">
      <c r="A8894" s="11" t="s">
        <v>11260</v>
      </c>
      <c r="B8894" s="2" t="s">
        <v>15437</v>
      </c>
      <c r="C8894" s="2" t="s">
        <v>15438</v>
      </c>
      <c r="D8894" s="2"/>
      <c r="E8894" s="2">
        <v>1</v>
      </c>
      <c r="F8894" s="9"/>
      <c r="G8894" s="8">
        <f t="shared" si="276"/>
        <v>488.98080000000004</v>
      </c>
      <c r="H8894" s="8">
        <v>465.69600000000003</v>
      </c>
      <c r="I8894" s="19">
        <f t="shared" si="277"/>
        <v>0</v>
      </c>
    </row>
    <row r="8895" spans="1:9" hidden="1">
      <c r="A8895" s="11" t="s">
        <v>11260</v>
      </c>
      <c r="B8895" s="2" t="s">
        <v>15439</v>
      </c>
      <c r="C8895" s="2" t="s">
        <v>15440</v>
      </c>
      <c r="D8895" s="2"/>
      <c r="E8895" s="2">
        <v>1</v>
      </c>
      <c r="F8895" s="9"/>
      <c r="G8895" s="8">
        <f t="shared" si="276"/>
        <v>52.858575000000002</v>
      </c>
      <c r="H8895" s="8">
        <v>50.341500000000003</v>
      </c>
      <c r="I8895" s="19">
        <f t="shared" si="277"/>
        <v>0</v>
      </c>
    </row>
    <row r="8896" spans="1:9" hidden="1">
      <c r="A8896" s="11" t="s">
        <v>11260</v>
      </c>
      <c r="B8896" s="2" t="s">
        <v>15441</v>
      </c>
      <c r="C8896" s="2" t="s">
        <v>15442</v>
      </c>
      <c r="D8896" s="2"/>
      <c r="E8896" s="2">
        <v>1</v>
      </c>
      <c r="F8896" s="9"/>
      <c r="G8896" s="8">
        <f t="shared" si="276"/>
        <v>277.29701999999997</v>
      </c>
      <c r="H8896" s="8">
        <v>264.0924</v>
      </c>
      <c r="I8896" s="19">
        <f t="shared" si="277"/>
        <v>0</v>
      </c>
    </row>
    <row r="8897" spans="1:9" hidden="1">
      <c r="A8897" s="11" t="s">
        <v>11260</v>
      </c>
      <c r="B8897" s="2" t="s">
        <v>15443</v>
      </c>
      <c r="C8897" s="2" t="s">
        <v>15444</v>
      </c>
      <c r="D8897" s="2"/>
      <c r="E8897" s="2">
        <v>1</v>
      </c>
      <c r="F8897" s="9"/>
      <c r="G8897" s="8">
        <f t="shared" si="276"/>
        <v>82.195049999999995</v>
      </c>
      <c r="H8897" s="8">
        <v>78.280999999999992</v>
      </c>
      <c r="I8897" s="19">
        <f t="shared" si="277"/>
        <v>0</v>
      </c>
    </row>
    <row r="8898" spans="1:9" hidden="1">
      <c r="A8898" s="11" t="s">
        <v>11260</v>
      </c>
      <c r="B8898" s="2" t="s">
        <v>15445</v>
      </c>
      <c r="C8898" s="2" t="s">
        <v>15446</v>
      </c>
      <c r="D8898" s="2"/>
      <c r="E8898" s="2">
        <v>1</v>
      </c>
      <c r="F8898" s="9"/>
      <c r="G8898" s="8">
        <f t="shared" si="276"/>
        <v>75.138630000000006</v>
      </c>
      <c r="H8898" s="8">
        <v>71.560600000000008</v>
      </c>
      <c r="I8898" s="19">
        <f t="shared" si="277"/>
        <v>0</v>
      </c>
    </row>
    <row r="8899" spans="1:9" hidden="1">
      <c r="A8899" s="11" t="s">
        <v>11260</v>
      </c>
      <c r="B8899" s="2" t="s">
        <v>15447</v>
      </c>
      <c r="C8899" s="2" t="s">
        <v>15448</v>
      </c>
      <c r="D8899" s="2"/>
      <c r="E8899" s="2">
        <v>1</v>
      </c>
      <c r="F8899" s="9"/>
      <c r="G8899" s="8">
        <f t="shared" si="276"/>
        <v>105.4011</v>
      </c>
      <c r="H8899" s="8">
        <v>100.38200000000001</v>
      </c>
      <c r="I8899" s="19">
        <f t="shared" si="277"/>
        <v>0</v>
      </c>
    </row>
    <row r="8900" spans="1:9" hidden="1">
      <c r="A8900" s="11" t="s">
        <v>11260</v>
      </c>
      <c r="B8900" s="2" t="s">
        <v>15449</v>
      </c>
      <c r="C8900" s="2" t="s">
        <v>15450</v>
      </c>
      <c r="D8900" s="2"/>
      <c r="E8900" s="2">
        <v>1</v>
      </c>
      <c r="F8900" s="9"/>
      <c r="G8900" s="8">
        <f t="shared" si="276"/>
        <v>105.4011</v>
      </c>
      <c r="H8900" s="8">
        <v>100.38200000000001</v>
      </c>
      <c r="I8900" s="19">
        <f t="shared" si="277"/>
        <v>0</v>
      </c>
    </row>
    <row r="8901" spans="1:9" hidden="1">
      <c r="A8901" s="11" t="s">
        <v>11260</v>
      </c>
      <c r="B8901" s="2" t="s">
        <v>15451</v>
      </c>
      <c r="C8901" s="2" t="s">
        <v>15452</v>
      </c>
      <c r="D8901" s="2"/>
      <c r="E8901" s="2">
        <v>1</v>
      </c>
      <c r="F8901" s="9"/>
      <c r="G8901" s="8">
        <f t="shared" si="276"/>
        <v>185.24772000000002</v>
      </c>
      <c r="H8901" s="8">
        <v>176.4264</v>
      </c>
      <c r="I8901" s="19">
        <f t="shared" si="277"/>
        <v>0</v>
      </c>
    </row>
    <row r="8902" spans="1:9" hidden="1">
      <c r="A8902" s="11" t="s">
        <v>11260</v>
      </c>
      <c r="B8902" s="2" t="s">
        <v>15453</v>
      </c>
      <c r="C8902" s="2" t="s">
        <v>15454</v>
      </c>
      <c r="D8902" s="2"/>
      <c r="E8902" s="2">
        <v>1</v>
      </c>
      <c r="F8902" s="9"/>
      <c r="G8902" s="8">
        <f t="shared" si="276"/>
        <v>1.3971688439306358</v>
      </c>
      <c r="H8902" s="8">
        <v>1.3306369942196532</v>
      </c>
      <c r="I8902" s="19">
        <f t="shared" si="277"/>
        <v>0</v>
      </c>
    </row>
    <row r="8903" spans="1:9" hidden="1">
      <c r="A8903" s="11" t="s">
        <v>11260</v>
      </c>
      <c r="B8903" s="2" t="s">
        <v>15455</v>
      </c>
      <c r="C8903" s="2" t="s">
        <v>15456</v>
      </c>
      <c r="D8903" s="2"/>
      <c r="E8903" s="2">
        <v>1</v>
      </c>
      <c r="F8903" s="9"/>
      <c r="G8903" s="8">
        <f t="shared" si="276"/>
        <v>1.7553984677419359</v>
      </c>
      <c r="H8903" s="8">
        <v>1.6718080645161293</v>
      </c>
      <c r="I8903" s="19">
        <f t="shared" si="277"/>
        <v>0</v>
      </c>
    </row>
    <row r="8904" spans="1:9" hidden="1">
      <c r="A8904" s="11" t="s">
        <v>11260</v>
      </c>
      <c r="B8904" s="2" t="s">
        <v>15457</v>
      </c>
      <c r="C8904" s="2" t="s">
        <v>15458</v>
      </c>
      <c r="D8904" s="2"/>
      <c r="E8904" s="2">
        <v>1</v>
      </c>
      <c r="F8904" s="9"/>
      <c r="G8904" s="8">
        <f t="shared" si="276"/>
        <v>2.1013011923076919</v>
      </c>
      <c r="H8904" s="8">
        <v>2.0012392307692304</v>
      </c>
      <c r="I8904" s="19">
        <f t="shared" si="277"/>
        <v>0</v>
      </c>
    </row>
    <row r="8905" spans="1:9" hidden="1">
      <c r="A8905" s="11" t="s">
        <v>11260</v>
      </c>
      <c r="B8905" s="2" t="s">
        <v>15459</v>
      </c>
      <c r="C8905" s="2" t="s">
        <v>15460</v>
      </c>
      <c r="D8905" s="2"/>
      <c r="E8905" s="2">
        <v>1</v>
      </c>
      <c r="F8905" s="9"/>
      <c r="G8905" s="8">
        <f t="shared" si="276"/>
        <v>2.6372040687679084</v>
      </c>
      <c r="H8905" s="8">
        <v>2.5116229226361031</v>
      </c>
      <c r="I8905" s="19">
        <f t="shared" si="277"/>
        <v>0</v>
      </c>
    </row>
    <row r="8906" spans="1:9" hidden="1">
      <c r="A8906" s="11" t="s">
        <v>11260</v>
      </c>
      <c r="B8906" s="2" t="s">
        <v>15461</v>
      </c>
      <c r="C8906" s="2" t="s">
        <v>15462</v>
      </c>
      <c r="D8906" s="2"/>
      <c r="E8906" s="2">
        <v>1</v>
      </c>
      <c r="F8906" s="9"/>
      <c r="G8906" s="8">
        <f t="shared" si="276"/>
        <v>1822.8338098536408</v>
      </c>
      <c r="H8906" s="8">
        <v>1736.0321998606103</v>
      </c>
      <c r="I8906" s="19">
        <f t="shared" si="277"/>
        <v>0</v>
      </c>
    </row>
    <row r="8907" spans="1:9" hidden="1">
      <c r="A8907" s="11" t="s">
        <v>11260</v>
      </c>
      <c r="B8907" s="2" t="s">
        <v>15463</v>
      </c>
      <c r="C8907" s="2" t="s">
        <v>15464</v>
      </c>
      <c r="D8907" s="2"/>
      <c r="E8907" s="2">
        <v>1</v>
      </c>
      <c r="F8907" s="9"/>
      <c r="G8907" s="8">
        <f t="shared" si="276"/>
        <v>823.62000000000012</v>
      </c>
      <c r="H8907" s="8">
        <v>784.40000000000009</v>
      </c>
      <c r="I8907" s="19">
        <f t="shared" si="277"/>
        <v>0</v>
      </c>
    </row>
    <row r="8908" spans="1:9" hidden="1">
      <c r="A8908" s="11" t="s">
        <v>11260</v>
      </c>
      <c r="B8908" s="2" t="s">
        <v>15465</v>
      </c>
      <c r="C8908" s="2" t="s">
        <v>15466</v>
      </c>
      <c r="D8908" s="2"/>
      <c r="E8908" s="2">
        <v>1</v>
      </c>
      <c r="F8908" s="9"/>
      <c r="G8908" s="8">
        <f t="shared" si="276"/>
        <v>935.29800000000012</v>
      </c>
      <c r="H8908" s="8">
        <v>890.7600000000001</v>
      </c>
      <c r="I8908" s="19">
        <f t="shared" si="277"/>
        <v>0</v>
      </c>
    </row>
    <row r="8909" spans="1:9" hidden="1">
      <c r="A8909" s="11" t="s">
        <v>11260</v>
      </c>
      <c r="B8909" s="2" t="s">
        <v>15467</v>
      </c>
      <c r="C8909" s="2" t="s">
        <v>15468</v>
      </c>
      <c r="D8909" s="2"/>
      <c r="E8909" s="2">
        <v>1</v>
      </c>
      <c r="F8909" s="9"/>
      <c r="G8909" s="8">
        <f t="shared" si="276"/>
        <v>1980.45120113596</v>
      </c>
      <c r="H8909" s="8">
        <v>1886.1440010818667</v>
      </c>
      <c r="I8909" s="19">
        <f t="shared" si="277"/>
        <v>0</v>
      </c>
    </row>
    <row r="8910" spans="1:9" hidden="1">
      <c r="A8910" s="11" t="s">
        <v>11260</v>
      </c>
      <c r="B8910" s="2" t="s">
        <v>15469</v>
      </c>
      <c r="C8910" s="2" t="s">
        <v>15470</v>
      </c>
      <c r="D8910" s="2"/>
      <c r="E8910" s="2">
        <v>1</v>
      </c>
      <c r="F8910" s="9"/>
      <c r="G8910" s="8">
        <f t="shared" si="276"/>
        <v>2109.9535799832788</v>
      </c>
      <c r="H8910" s="8">
        <v>2009.4795999840751</v>
      </c>
      <c r="I8910" s="19">
        <f t="shared" si="277"/>
        <v>0</v>
      </c>
    </row>
    <row r="8911" spans="1:9" hidden="1">
      <c r="A8911" s="11" t="s">
        <v>11260</v>
      </c>
      <c r="B8911" s="2" t="s">
        <v>15471</v>
      </c>
      <c r="C8911" s="2" t="s">
        <v>15472</v>
      </c>
      <c r="D8911" s="2"/>
      <c r="E8911" s="2">
        <v>1</v>
      </c>
      <c r="F8911" s="9"/>
      <c r="G8911" s="8">
        <f t="shared" si="276"/>
        <v>2.3286930206896557</v>
      </c>
      <c r="H8911" s="8">
        <v>2.217802876847291</v>
      </c>
      <c r="I8911" s="19">
        <f t="shared" si="277"/>
        <v>0</v>
      </c>
    </row>
    <row r="8912" spans="1:9" hidden="1">
      <c r="A8912" s="11" t="s">
        <v>11260</v>
      </c>
      <c r="B8912" s="2" t="s">
        <v>15473</v>
      </c>
      <c r="C8912" s="2" t="s">
        <v>15474</v>
      </c>
      <c r="D8912" s="2"/>
      <c r="E8912" s="2">
        <v>1</v>
      </c>
      <c r="F8912" s="9"/>
      <c r="G8912" s="8">
        <f t="shared" si="276"/>
        <v>13.77146221433906</v>
      </c>
      <c r="H8912" s="8">
        <v>13.115678299370533</v>
      </c>
      <c r="I8912" s="19">
        <f t="shared" si="277"/>
        <v>0</v>
      </c>
    </row>
    <row r="8913" spans="1:9" hidden="1">
      <c r="A8913" s="11" t="s">
        <v>11260</v>
      </c>
      <c r="B8913" s="2" t="s">
        <v>15475</v>
      </c>
      <c r="C8913" s="2" t="s">
        <v>15476</v>
      </c>
      <c r="D8913" s="2"/>
      <c r="E8913" s="2">
        <v>1</v>
      </c>
      <c r="F8913" s="9"/>
      <c r="G8913" s="8">
        <f t="shared" si="276"/>
        <v>4.5558259465664088</v>
      </c>
      <c r="H8913" s="8">
        <v>4.3388818538727705</v>
      </c>
      <c r="I8913" s="19">
        <f t="shared" si="277"/>
        <v>0</v>
      </c>
    </row>
    <row r="8914" spans="1:9" hidden="1">
      <c r="A8914" s="11" t="s">
        <v>11260</v>
      </c>
      <c r="B8914" s="2" t="s">
        <v>15477</v>
      </c>
      <c r="C8914" s="2" t="s">
        <v>15478</v>
      </c>
      <c r="D8914" s="2"/>
      <c r="E8914" s="2">
        <v>1</v>
      </c>
      <c r="F8914" s="9"/>
      <c r="G8914" s="8">
        <f t="shared" si="276"/>
        <v>4.5558259465664088</v>
      </c>
      <c r="H8914" s="8">
        <v>4.3388818538727705</v>
      </c>
      <c r="I8914" s="19">
        <f t="shared" si="277"/>
        <v>0</v>
      </c>
    </row>
    <row r="8915" spans="1:9" hidden="1">
      <c r="A8915" s="11" t="s">
        <v>11260</v>
      </c>
      <c r="B8915" s="2" t="s">
        <v>15479</v>
      </c>
      <c r="C8915" s="2" t="s">
        <v>15480</v>
      </c>
      <c r="D8915" s="2"/>
      <c r="E8915" s="2">
        <v>1</v>
      </c>
      <c r="F8915" s="9"/>
      <c r="G8915" s="8">
        <f t="shared" si="276"/>
        <v>177.30090000000004</v>
      </c>
      <c r="H8915" s="8">
        <v>168.85800000000003</v>
      </c>
      <c r="I8915" s="19">
        <f t="shared" si="277"/>
        <v>0</v>
      </c>
    </row>
    <row r="8916" spans="1:9" hidden="1">
      <c r="A8916" s="11" t="s">
        <v>11260</v>
      </c>
      <c r="B8916" s="2" t="s">
        <v>15481</v>
      </c>
      <c r="C8916" s="2" t="s">
        <v>15482</v>
      </c>
      <c r="D8916" s="2"/>
      <c r="E8916" s="2">
        <v>1</v>
      </c>
      <c r="F8916" s="9"/>
      <c r="G8916" s="8">
        <f t="shared" si="276"/>
        <v>0.13356000000000001</v>
      </c>
      <c r="H8916" s="8">
        <v>0.12720000000000001</v>
      </c>
      <c r="I8916" s="19">
        <f t="shared" si="277"/>
        <v>0</v>
      </c>
    </row>
    <row r="8917" spans="1:9" hidden="1">
      <c r="A8917" s="11" t="s">
        <v>11260</v>
      </c>
      <c r="B8917" s="2" t="s">
        <v>15483</v>
      </c>
      <c r="C8917" s="2" t="s">
        <v>15484</v>
      </c>
      <c r="D8917" s="2"/>
      <c r="E8917" s="2">
        <v>1</v>
      </c>
      <c r="F8917" s="9"/>
      <c r="G8917" s="8">
        <f t="shared" si="276"/>
        <v>0.40067999999999998</v>
      </c>
      <c r="H8917" s="8">
        <v>0.38159999999999999</v>
      </c>
      <c r="I8917" s="19">
        <f t="shared" si="277"/>
        <v>0</v>
      </c>
    </row>
    <row r="8918" spans="1:9">
      <c r="A8918" s="11" t="s">
        <v>11260</v>
      </c>
      <c r="B8918" s="2" t="s">
        <v>15485</v>
      </c>
      <c r="C8918" s="2" t="s">
        <v>15486</v>
      </c>
      <c r="D8918" s="2"/>
      <c r="E8918" s="2">
        <v>1</v>
      </c>
      <c r="F8918" s="9">
        <v>2</v>
      </c>
      <c r="G8918" s="8">
        <f t="shared" si="276"/>
        <v>16.43901</v>
      </c>
      <c r="H8918" s="8">
        <v>15.6562</v>
      </c>
      <c r="I8918" s="19">
        <f t="shared" si="277"/>
        <v>32.878019999999999</v>
      </c>
    </row>
    <row r="8919" spans="1:9">
      <c r="A8919" s="11" t="s">
        <v>11260</v>
      </c>
      <c r="B8919" s="2" t="s">
        <v>15487</v>
      </c>
      <c r="C8919" s="2" t="s">
        <v>15488</v>
      </c>
      <c r="D8919" s="2"/>
      <c r="E8919" s="2">
        <v>1</v>
      </c>
      <c r="F8919" s="9">
        <v>1</v>
      </c>
      <c r="G8919" s="8">
        <f t="shared" si="276"/>
        <v>16.43901</v>
      </c>
      <c r="H8919" s="8">
        <v>15.6562</v>
      </c>
      <c r="I8919" s="19">
        <f t="shared" si="277"/>
        <v>16.43901</v>
      </c>
    </row>
    <row r="8920" spans="1:9" hidden="1">
      <c r="A8920" s="11" t="s">
        <v>11260</v>
      </c>
      <c r="B8920" s="2" t="s">
        <v>15489</v>
      </c>
      <c r="C8920" s="2" t="s">
        <v>15490</v>
      </c>
      <c r="D8920" s="2"/>
      <c r="E8920" s="2">
        <v>1</v>
      </c>
      <c r="F8920" s="9"/>
      <c r="G8920" s="8">
        <f t="shared" ref="G8920:G8983" si="278">H8920+(H8920*5%)</f>
        <v>33.634860000000003</v>
      </c>
      <c r="H8920" s="8">
        <v>32.033200000000001</v>
      </c>
      <c r="I8920" s="19">
        <f t="shared" ref="I8920:I8983" si="279">G8920*F8920</f>
        <v>0</v>
      </c>
    </row>
    <row r="8921" spans="1:9" hidden="1">
      <c r="A8921" s="11" t="s">
        <v>11260</v>
      </c>
      <c r="B8921" s="2" t="s">
        <v>15491</v>
      </c>
      <c r="C8921" s="2" t="s">
        <v>15492</v>
      </c>
      <c r="D8921" s="2"/>
      <c r="E8921" s="2">
        <v>1</v>
      </c>
      <c r="F8921" s="9"/>
      <c r="G8921" s="8">
        <f t="shared" si="278"/>
        <v>24.664080000000002</v>
      </c>
      <c r="H8921" s="8">
        <v>23.489600000000003</v>
      </c>
      <c r="I8921" s="19">
        <f t="shared" si="279"/>
        <v>0</v>
      </c>
    </row>
    <row r="8922" spans="1:9" hidden="1">
      <c r="A8922" s="11" t="s">
        <v>11260</v>
      </c>
      <c r="B8922" s="2" t="s">
        <v>15493</v>
      </c>
      <c r="C8922" s="2" t="s">
        <v>15494</v>
      </c>
      <c r="D8922" s="2"/>
      <c r="E8922" s="2">
        <v>1</v>
      </c>
      <c r="F8922" s="9"/>
      <c r="G8922" s="8">
        <f t="shared" si="278"/>
        <v>11.205253011797362</v>
      </c>
      <c r="H8922" s="8">
        <v>10.671669535045107</v>
      </c>
      <c r="I8922" s="19">
        <f t="shared" si="279"/>
        <v>0</v>
      </c>
    </row>
    <row r="8923" spans="1:9" hidden="1">
      <c r="A8923" s="11" t="s">
        <v>11260</v>
      </c>
      <c r="B8923" s="2" t="s">
        <v>15495</v>
      </c>
      <c r="C8923" s="2" t="s">
        <v>15496</v>
      </c>
      <c r="D8923" s="2"/>
      <c r="E8923" s="2">
        <v>1</v>
      </c>
      <c r="F8923" s="9"/>
      <c r="G8923" s="8">
        <f t="shared" si="278"/>
        <v>41.419892077649529</v>
      </c>
      <c r="H8923" s="8">
        <v>39.447516264428124</v>
      </c>
      <c r="I8923" s="19">
        <f t="shared" si="279"/>
        <v>0</v>
      </c>
    </row>
    <row r="8924" spans="1:9" hidden="1">
      <c r="A8924" s="11" t="s">
        <v>11260</v>
      </c>
      <c r="B8924" s="2" t="s">
        <v>15497</v>
      </c>
      <c r="C8924" s="2" t="s">
        <v>15498</v>
      </c>
      <c r="D8924" s="2"/>
      <c r="E8924" s="2">
        <v>1</v>
      </c>
      <c r="F8924" s="9"/>
      <c r="G8924" s="8">
        <f t="shared" si="278"/>
        <v>44.347033783783793</v>
      </c>
      <c r="H8924" s="8">
        <v>42.235270270270277</v>
      </c>
      <c r="I8924" s="19">
        <f t="shared" si="279"/>
        <v>0</v>
      </c>
    </row>
    <row r="8925" spans="1:9" hidden="1">
      <c r="A8925" s="11" t="s">
        <v>11260</v>
      </c>
      <c r="B8925" s="2" t="s">
        <v>15499</v>
      </c>
      <c r="C8925" s="2" t="s">
        <v>15500</v>
      </c>
      <c r="D8925" s="2"/>
      <c r="E8925" s="2">
        <v>1</v>
      </c>
      <c r="F8925" s="9"/>
      <c r="G8925" s="8">
        <f t="shared" si="278"/>
        <v>8.6749563157894745</v>
      </c>
      <c r="H8925" s="8">
        <v>8.2618631578947372</v>
      </c>
      <c r="I8925" s="19">
        <f t="shared" si="279"/>
        <v>0</v>
      </c>
    </row>
    <row r="8926" spans="1:9" hidden="1">
      <c r="A8926" s="11" t="s">
        <v>11260</v>
      </c>
      <c r="B8926" s="2" t="s">
        <v>15501</v>
      </c>
      <c r="C8926" s="2" t="s">
        <v>15502</v>
      </c>
      <c r="D8926" s="2"/>
      <c r="E8926" s="2">
        <v>1</v>
      </c>
      <c r="F8926" s="9"/>
      <c r="G8926" s="8">
        <f t="shared" si="278"/>
        <v>6.3435804176904176</v>
      </c>
      <c r="H8926" s="8">
        <v>6.0415051597051592</v>
      </c>
      <c r="I8926" s="19">
        <f t="shared" si="279"/>
        <v>0</v>
      </c>
    </row>
    <row r="8927" spans="1:9" hidden="1">
      <c r="A8927" s="11" t="s">
        <v>11260</v>
      </c>
      <c r="B8927" s="2" t="s">
        <v>15503</v>
      </c>
      <c r="C8927" s="2" t="s">
        <v>15504</v>
      </c>
      <c r="D8927" s="2"/>
      <c r="E8927" s="2">
        <v>1</v>
      </c>
      <c r="F8927" s="9"/>
      <c r="G8927" s="8">
        <f t="shared" si="278"/>
        <v>0.61215000000000008</v>
      </c>
      <c r="H8927" s="8">
        <v>0.58300000000000007</v>
      </c>
      <c r="I8927" s="19">
        <f t="shared" si="279"/>
        <v>0</v>
      </c>
    </row>
    <row r="8928" spans="1:9" hidden="1">
      <c r="A8928" s="11" t="s">
        <v>11260</v>
      </c>
      <c r="B8928" s="2" t="s">
        <v>15505</v>
      </c>
      <c r="C8928" s="2" t="s">
        <v>15506</v>
      </c>
      <c r="D8928" s="2"/>
      <c r="E8928" s="2">
        <v>1</v>
      </c>
      <c r="F8928" s="9"/>
      <c r="G8928" s="8">
        <f t="shared" si="278"/>
        <v>2.3706900000000002</v>
      </c>
      <c r="H8928" s="8">
        <v>2.2578</v>
      </c>
      <c r="I8928" s="19">
        <f t="shared" si="279"/>
        <v>0</v>
      </c>
    </row>
    <row r="8929" spans="1:9" hidden="1">
      <c r="A8929" s="11" t="s">
        <v>11260</v>
      </c>
      <c r="B8929" s="2" t="s">
        <v>15507</v>
      </c>
      <c r="C8929" s="2" t="s">
        <v>15508</v>
      </c>
      <c r="D8929" s="2"/>
      <c r="E8929" s="2">
        <v>1</v>
      </c>
      <c r="F8929" s="9"/>
      <c r="G8929" s="8">
        <f t="shared" si="278"/>
        <v>0.61215000000000008</v>
      </c>
      <c r="H8929" s="8">
        <v>0.58300000000000007</v>
      </c>
      <c r="I8929" s="19">
        <f t="shared" si="279"/>
        <v>0</v>
      </c>
    </row>
    <row r="8930" spans="1:9" hidden="1">
      <c r="A8930" s="11" t="s">
        <v>11260</v>
      </c>
      <c r="B8930" s="2" t="s">
        <v>15509</v>
      </c>
      <c r="C8930" s="2" t="s">
        <v>15510</v>
      </c>
      <c r="D8930" s="2"/>
      <c r="E8930" s="2">
        <v>1</v>
      </c>
      <c r="F8930" s="9"/>
      <c r="G8930" s="8">
        <f t="shared" si="278"/>
        <v>5.9322900000000001</v>
      </c>
      <c r="H8930" s="8">
        <v>5.6497999999999999</v>
      </c>
      <c r="I8930" s="19">
        <f t="shared" si="279"/>
        <v>0</v>
      </c>
    </row>
    <row r="8931" spans="1:9" hidden="1">
      <c r="A8931" s="11" t="s">
        <v>11260</v>
      </c>
      <c r="B8931" s="2" t="s">
        <v>15511</v>
      </c>
      <c r="C8931" s="2" t="s">
        <v>15512</v>
      </c>
      <c r="D8931" s="2"/>
      <c r="E8931" s="2">
        <v>1</v>
      </c>
      <c r="F8931" s="9"/>
      <c r="G8931" s="8">
        <f t="shared" si="278"/>
        <v>1.113</v>
      </c>
      <c r="H8931" s="8">
        <v>1.06</v>
      </c>
      <c r="I8931" s="19">
        <f t="shared" si="279"/>
        <v>0</v>
      </c>
    </row>
    <row r="8932" spans="1:9" hidden="1">
      <c r="A8932" s="11" t="s">
        <v>11260</v>
      </c>
      <c r="B8932" s="2" t="s">
        <v>15513</v>
      </c>
      <c r="C8932" s="2" t="s">
        <v>15514</v>
      </c>
      <c r="D8932" s="2"/>
      <c r="E8932" s="2">
        <v>1</v>
      </c>
      <c r="F8932" s="9"/>
      <c r="G8932" s="8">
        <f t="shared" si="278"/>
        <v>0.58989000000000003</v>
      </c>
      <c r="H8932" s="8">
        <v>0.56180000000000008</v>
      </c>
      <c r="I8932" s="19">
        <f t="shared" si="279"/>
        <v>0</v>
      </c>
    </row>
    <row r="8933" spans="1:9" hidden="1">
      <c r="A8933" s="11" t="s">
        <v>11260</v>
      </c>
      <c r="B8933" s="2" t="s">
        <v>15515</v>
      </c>
      <c r="C8933" s="2" t="s">
        <v>15516</v>
      </c>
      <c r="D8933" s="2"/>
      <c r="E8933" s="2">
        <v>1</v>
      </c>
      <c r="F8933" s="9"/>
      <c r="G8933" s="8">
        <f t="shared" si="278"/>
        <v>333.9</v>
      </c>
      <c r="H8933" s="8">
        <v>318</v>
      </c>
      <c r="I8933" s="19">
        <f t="shared" si="279"/>
        <v>0</v>
      </c>
    </row>
    <row r="8934" spans="1:9" hidden="1">
      <c r="A8934" s="11" t="s">
        <v>11260</v>
      </c>
      <c r="B8934" s="2" t="s">
        <v>15517</v>
      </c>
      <c r="C8934" s="2" t="s">
        <v>15518</v>
      </c>
      <c r="D8934" s="2"/>
      <c r="E8934" s="2">
        <v>1</v>
      </c>
      <c r="F8934" s="9"/>
      <c r="G8934" s="8">
        <f t="shared" si="278"/>
        <v>772.29957000000002</v>
      </c>
      <c r="H8934" s="8">
        <v>735.52340000000004</v>
      </c>
      <c r="I8934" s="19">
        <f t="shared" si="279"/>
        <v>0</v>
      </c>
    </row>
    <row r="8935" spans="1:9" hidden="1">
      <c r="A8935" s="11" t="s">
        <v>11260</v>
      </c>
      <c r="B8935" s="2" t="s">
        <v>15519</v>
      </c>
      <c r="C8935" s="2" t="s">
        <v>15520</v>
      </c>
      <c r="D8935" s="2"/>
      <c r="E8935" s="2">
        <v>1</v>
      </c>
      <c r="F8935" s="9"/>
      <c r="G8935" s="8">
        <f t="shared" si="278"/>
        <v>772.29957000000002</v>
      </c>
      <c r="H8935" s="8">
        <v>735.52340000000004</v>
      </c>
      <c r="I8935" s="19">
        <f t="shared" si="279"/>
        <v>0</v>
      </c>
    </row>
    <row r="8936" spans="1:9" hidden="1">
      <c r="A8936" s="11" t="s">
        <v>11260</v>
      </c>
      <c r="B8936" s="2" t="s">
        <v>15521</v>
      </c>
      <c r="C8936" s="2" t="s">
        <v>15522</v>
      </c>
      <c r="D8936" s="2"/>
      <c r="E8936" s="2">
        <v>1</v>
      </c>
      <c r="F8936" s="9"/>
      <c r="G8936" s="8">
        <f t="shared" si="278"/>
        <v>45.287970000000001</v>
      </c>
      <c r="H8936" s="8">
        <v>43.131399999999999</v>
      </c>
      <c r="I8936" s="19">
        <f t="shared" si="279"/>
        <v>0</v>
      </c>
    </row>
    <row r="8937" spans="1:9" hidden="1">
      <c r="A8937" s="11" t="s">
        <v>11260</v>
      </c>
      <c r="B8937" s="2" t="s">
        <v>15523</v>
      </c>
      <c r="C8937" s="2" t="s">
        <v>15524</v>
      </c>
      <c r="D8937" s="2"/>
      <c r="E8937" s="2">
        <v>1</v>
      </c>
      <c r="F8937" s="9"/>
      <c r="G8937" s="8">
        <f t="shared" si="278"/>
        <v>152.72586000000001</v>
      </c>
      <c r="H8937" s="8">
        <v>145.45320000000001</v>
      </c>
      <c r="I8937" s="19">
        <f t="shared" si="279"/>
        <v>0</v>
      </c>
    </row>
    <row r="8938" spans="1:9" hidden="1">
      <c r="A8938" s="11" t="s">
        <v>11260</v>
      </c>
      <c r="B8938" s="2" t="s">
        <v>15525</v>
      </c>
      <c r="C8938" s="2" t="s">
        <v>15526</v>
      </c>
      <c r="D8938" s="2"/>
      <c r="E8938" s="2">
        <v>1</v>
      </c>
      <c r="F8938" s="9"/>
      <c r="G8938" s="8">
        <f t="shared" si="278"/>
        <v>71.786383092182035</v>
      </c>
      <c r="H8938" s="8">
        <v>68.367983897316222</v>
      </c>
      <c r="I8938" s="19">
        <f t="shared" si="279"/>
        <v>0</v>
      </c>
    </row>
    <row r="8939" spans="1:9" hidden="1">
      <c r="A8939" s="11" t="s">
        <v>11260</v>
      </c>
      <c r="B8939" s="2" t="s">
        <v>15527</v>
      </c>
      <c r="C8939" s="2" t="s">
        <v>15528</v>
      </c>
      <c r="D8939" s="2"/>
      <c r="E8939" s="2">
        <v>1</v>
      </c>
      <c r="F8939" s="9"/>
      <c r="G8939" s="8">
        <f t="shared" si="278"/>
        <v>154.82461655281136</v>
      </c>
      <c r="H8939" s="8">
        <v>147.45201576458226</v>
      </c>
      <c r="I8939" s="19">
        <f t="shared" si="279"/>
        <v>0</v>
      </c>
    </row>
    <row r="8940" spans="1:9" hidden="1">
      <c r="A8940" s="11" t="s">
        <v>11260</v>
      </c>
      <c r="B8940" s="2" t="s">
        <v>15529</v>
      </c>
      <c r="C8940" s="2" t="s">
        <v>15530</v>
      </c>
      <c r="D8940" s="2"/>
      <c r="E8940" s="2">
        <v>1</v>
      </c>
      <c r="F8940" s="9"/>
      <c r="G8940" s="8">
        <f t="shared" si="278"/>
        <v>1.23543</v>
      </c>
      <c r="H8940" s="8">
        <v>1.1766000000000001</v>
      </c>
      <c r="I8940" s="19">
        <f t="shared" si="279"/>
        <v>0</v>
      </c>
    </row>
    <row r="8941" spans="1:9" hidden="1">
      <c r="A8941" s="11" t="s">
        <v>11260</v>
      </c>
      <c r="B8941" s="2" t="s">
        <v>15531</v>
      </c>
      <c r="C8941" s="2" t="s">
        <v>15532</v>
      </c>
      <c r="D8941" s="2"/>
      <c r="E8941" s="2">
        <v>1</v>
      </c>
      <c r="F8941" s="9"/>
      <c r="G8941" s="8">
        <f t="shared" si="278"/>
        <v>17.930284117193523</v>
      </c>
      <c r="H8941" s="8">
        <v>17.076461063993833</v>
      </c>
      <c r="I8941" s="19">
        <f t="shared" si="279"/>
        <v>0</v>
      </c>
    </row>
    <row r="8942" spans="1:9" hidden="1">
      <c r="A8942" s="11" t="s">
        <v>11260</v>
      </c>
      <c r="B8942" s="2" t="s">
        <v>15533</v>
      </c>
      <c r="C8942" s="2" t="s">
        <v>15534</v>
      </c>
      <c r="D8942" s="2"/>
      <c r="E8942" s="2">
        <v>1</v>
      </c>
      <c r="F8942" s="9"/>
      <c r="G8942" s="8">
        <f t="shared" si="278"/>
        <v>23.214986977777777</v>
      </c>
      <c r="H8942" s="8">
        <v>22.109511407407407</v>
      </c>
      <c r="I8942" s="19">
        <f t="shared" si="279"/>
        <v>0</v>
      </c>
    </row>
    <row r="8943" spans="1:9" hidden="1">
      <c r="A8943" s="11" t="s">
        <v>11260</v>
      </c>
      <c r="B8943" s="2" t="s">
        <v>15535</v>
      </c>
      <c r="C8943" s="2" t="s">
        <v>15536</v>
      </c>
      <c r="D8943" s="2"/>
      <c r="E8943" s="2">
        <v>1</v>
      </c>
      <c r="F8943" s="9"/>
      <c r="G8943" s="8">
        <f t="shared" si="278"/>
        <v>231.75999000000002</v>
      </c>
      <c r="H8943" s="8">
        <v>220.72380000000001</v>
      </c>
      <c r="I8943" s="19">
        <f t="shared" si="279"/>
        <v>0</v>
      </c>
    </row>
    <row r="8944" spans="1:9" hidden="1">
      <c r="A8944" s="11" t="s">
        <v>11260</v>
      </c>
      <c r="B8944" s="2" t="s">
        <v>15537</v>
      </c>
      <c r="C8944" s="2" t="s">
        <v>15538</v>
      </c>
      <c r="D8944" s="2" t="s">
        <v>812</v>
      </c>
      <c r="E8944" s="2">
        <v>1</v>
      </c>
      <c r="F8944" s="9"/>
      <c r="G8944" s="8">
        <f t="shared" si="278"/>
        <v>221.90700000000001</v>
      </c>
      <c r="H8944" s="8">
        <v>211.34</v>
      </c>
      <c r="I8944" s="19">
        <f t="shared" si="279"/>
        <v>0</v>
      </c>
    </row>
    <row r="8945" spans="1:9">
      <c r="A8945" s="11" t="s">
        <v>11260</v>
      </c>
      <c r="B8945" s="2" t="s">
        <v>15539</v>
      </c>
      <c r="C8945" s="2" t="s">
        <v>15540</v>
      </c>
      <c r="D8945" s="2"/>
      <c r="E8945" s="2">
        <v>1</v>
      </c>
      <c r="F8945" s="9">
        <v>11</v>
      </c>
      <c r="G8945" s="8">
        <f t="shared" si="278"/>
        <v>4.7627482280431437</v>
      </c>
      <c r="H8945" s="8">
        <v>4.5359506933744225</v>
      </c>
      <c r="I8945" s="19">
        <f t="shared" si="279"/>
        <v>52.390230508474581</v>
      </c>
    </row>
    <row r="8946" spans="1:9">
      <c r="A8946" s="11" t="s">
        <v>11260</v>
      </c>
      <c r="B8946" s="2" t="s">
        <v>15541</v>
      </c>
      <c r="C8946" s="2" t="s">
        <v>15542</v>
      </c>
      <c r="D8946" s="2"/>
      <c r="E8946" s="2">
        <v>1</v>
      </c>
      <c r="F8946" s="9">
        <v>6</v>
      </c>
      <c r="G8946" s="8">
        <f t="shared" si="278"/>
        <v>4.6083827528089891</v>
      </c>
      <c r="H8946" s="8">
        <v>4.3889359550561799</v>
      </c>
      <c r="I8946" s="19">
        <f t="shared" si="279"/>
        <v>27.650296516853935</v>
      </c>
    </row>
    <row r="8947" spans="1:9" hidden="1">
      <c r="A8947" s="11" t="s">
        <v>11260</v>
      </c>
      <c r="B8947" s="2" t="s">
        <v>15543</v>
      </c>
      <c r="C8947" s="2" t="s">
        <v>15544</v>
      </c>
      <c r="D8947" s="2"/>
      <c r="E8947" s="2">
        <v>1</v>
      </c>
      <c r="F8947" s="9"/>
      <c r="G8947" s="8">
        <f t="shared" si="278"/>
        <v>5.145900175438598</v>
      </c>
      <c r="H8947" s="8">
        <v>4.9008573099415216</v>
      </c>
      <c r="I8947" s="19">
        <f t="shared" si="279"/>
        <v>0</v>
      </c>
    </row>
    <row r="8948" spans="1:9">
      <c r="A8948" s="11" t="s">
        <v>11260</v>
      </c>
      <c r="B8948" s="2" t="s">
        <v>15545</v>
      </c>
      <c r="C8948" s="2" t="s">
        <v>15546</v>
      </c>
      <c r="D8948" s="2"/>
      <c r="E8948" s="2">
        <v>1</v>
      </c>
      <c r="F8948" s="9">
        <v>5</v>
      </c>
      <c r="G8948" s="8">
        <f t="shared" si="278"/>
        <v>5.0872853932584263</v>
      </c>
      <c r="H8948" s="8">
        <v>4.8450337078651682</v>
      </c>
      <c r="I8948" s="19">
        <f t="shared" si="279"/>
        <v>25.436426966292132</v>
      </c>
    </row>
    <row r="8949" spans="1:9">
      <c r="A8949" s="11" t="s">
        <v>11260</v>
      </c>
      <c r="B8949" s="2" t="s">
        <v>15547</v>
      </c>
      <c r="C8949" s="2" t="s">
        <v>15548</v>
      </c>
      <c r="D8949" s="2"/>
      <c r="E8949" s="2">
        <v>1</v>
      </c>
      <c r="F8949" s="9">
        <v>10</v>
      </c>
      <c r="G8949" s="8">
        <f t="shared" si="278"/>
        <v>5.2308024064171112</v>
      </c>
      <c r="H8949" s="8">
        <v>4.981716577540106</v>
      </c>
      <c r="I8949" s="19">
        <f t="shared" si="279"/>
        <v>52.308024064171114</v>
      </c>
    </row>
    <row r="8950" spans="1:9">
      <c r="A8950" s="11" t="s">
        <v>11260</v>
      </c>
      <c r="B8950" s="2" t="s">
        <v>15549</v>
      </c>
      <c r="C8950" s="2" t="s">
        <v>15550</v>
      </c>
      <c r="D8950" s="2"/>
      <c r="E8950" s="2">
        <v>1</v>
      </c>
      <c r="F8950" s="9">
        <v>4</v>
      </c>
      <c r="G8950" s="8">
        <f t="shared" si="278"/>
        <v>5.403806896551723</v>
      </c>
      <c r="H8950" s="8">
        <v>5.1464827586206887</v>
      </c>
      <c r="I8950" s="19">
        <f t="shared" si="279"/>
        <v>21.615227586206892</v>
      </c>
    </row>
    <row r="8951" spans="1:9" hidden="1">
      <c r="A8951" s="11" t="s">
        <v>11260</v>
      </c>
      <c r="B8951" s="2" t="s">
        <v>15551</v>
      </c>
      <c r="C8951" s="2" t="s">
        <v>15552</v>
      </c>
      <c r="D8951" s="2"/>
      <c r="E8951" s="2">
        <v>1</v>
      </c>
      <c r="F8951" s="9"/>
      <c r="G8951" s="8">
        <f t="shared" si="278"/>
        <v>5.5811446153846154</v>
      </c>
      <c r="H8951" s="8">
        <v>5.315375824175824</v>
      </c>
      <c r="I8951" s="19">
        <f t="shared" si="279"/>
        <v>0</v>
      </c>
    </row>
    <row r="8952" spans="1:9" hidden="1">
      <c r="A8952" s="11" t="s">
        <v>11260</v>
      </c>
      <c r="B8952" s="2" t="s">
        <v>15553</v>
      </c>
      <c r="C8952" s="2" t="s">
        <v>15554</v>
      </c>
      <c r="D8952" s="2"/>
      <c r="E8952" s="2">
        <v>1</v>
      </c>
      <c r="F8952" s="9"/>
      <c r="G8952" s="8">
        <f t="shared" si="278"/>
        <v>5.9904944262295103</v>
      </c>
      <c r="H8952" s="8">
        <v>5.7052327868852482</v>
      </c>
      <c r="I8952" s="19">
        <f t="shared" si="279"/>
        <v>0</v>
      </c>
    </row>
    <row r="8953" spans="1:9" hidden="1">
      <c r="A8953" s="11" t="s">
        <v>11260</v>
      </c>
      <c r="B8953" s="2" t="s">
        <v>15555</v>
      </c>
      <c r="C8953" s="2" t="s">
        <v>15556</v>
      </c>
      <c r="D8953" s="2"/>
      <c r="E8953" s="2">
        <v>1</v>
      </c>
      <c r="F8953" s="9"/>
      <c r="G8953" s="8">
        <f t="shared" si="278"/>
        <v>5.8780222509702451</v>
      </c>
      <c r="H8953" s="8">
        <v>5.5981164294954713</v>
      </c>
      <c r="I8953" s="19">
        <f t="shared" si="279"/>
        <v>0</v>
      </c>
    </row>
    <row r="8954" spans="1:9" hidden="1">
      <c r="A8954" s="11" t="s">
        <v>11260</v>
      </c>
      <c r="B8954" s="2" t="s">
        <v>15557</v>
      </c>
      <c r="C8954" s="2" t="s">
        <v>15558</v>
      </c>
      <c r="D8954" s="2"/>
      <c r="E8954" s="2">
        <v>1</v>
      </c>
      <c r="F8954" s="9"/>
      <c r="G8954" s="8">
        <f t="shared" si="278"/>
        <v>3.1368758015267182</v>
      </c>
      <c r="H8954" s="8">
        <v>2.9875007633587791</v>
      </c>
      <c r="I8954" s="19">
        <f t="shared" si="279"/>
        <v>0</v>
      </c>
    </row>
    <row r="8955" spans="1:9" hidden="1">
      <c r="A8955" s="11" t="s">
        <v>11260</v>
      </c>
      <c r="B8955" s="2" t="s">
        <v>15559</v>
      </c>
      <c r="C8955" s="2" t="s">
        <v>15560</v>
      </c>
      <c r="D8955" s="2"/>
      <c r="E8955" s="2">
        <v>1</v>
      </c>
      <c r="F8955" s="9"/>
      <c r="G8955" s="8">
        <f t="shared" si="278"/>
        <v>6.0621075131348503</v>
      </c>
      <c r="H8955" s="8">
        <v>5.7734357267950953</v>
      </c>
      <c r="I8955" s="19">
        <f t="shared" si="279"/>
        <v>0</v>
      </c>
    </row>
    <row r="8956" spans="1:9" hidden="1">
      <c r="A8956" s="11" t="s">
        <v>11260</v>
      </c>
      <c r="B8956" s="2" t="s">
        <v>15561</v>
      </c>
      <c r="C8956" s="2" t="s">
        <v>15562</v>
      </c>
      <c r="D8956" s="2"/>
      <c r="E8956" s="2">
        <v>1</v>
      </c>
      <c r="F8956" s="9"/>
      <c r="G8956" s="8">
        <f t="shared" si="278"/>
        <v>3.1478787878787871</v>
      </c>
      <c r="H8956" s="8">
        <v>2.9979797979797973</v>
      </c>
      <c r="I8956" s="19">
        <f t="shared" si="279"/>
        <v>0</v>
      </c>
    </row>
    <row r="8957" spans="1:9" hidden="1">
      <c r="A8957" s="11" t="s">
        <v>11260</v>
      </c>
      <c r="B8957" s="2" t="s">
        <v>15563</v>
      </c>
      <c r="C8957" s="2" t="s">
        <v>15564</v>
      </c>
      <c r="D8957" s="2"/>
      <c r="E8957" s="2">
        <v>1</v>
      </c>
      <c r="F8957" s="9"/>
      <c r="G8957" s="8">
        <f t="shared" si="278"/>
        <v>3.2471312351543942</v>
      </c>
      <c r="H8957" s="8">
        <v>3.0925059382422804</v>
      </c>
      <c r="I8957" s="19">
        <f t="shared" si="279"/>
        <v>0</v>
      </c>
    </row>
    <row r="8958" spans="1:9" hidden="1">
      <c r="A8958" s="11" t="s">
        <v>11260</v>
      </c>
      <c r="B8958" s="2" t="s">
        <v>15565</v>
      </c>
      <c r="C8958" s="2" t="s">
        <v>15566</v>
      </c>
      <c r="D8958" s="2"/>
      <c r="E8958" s="2">
        <v>1</v>
      </c>
      <c r="F8958" s="9"/>
      <c r="G8958" s="8">
        <f t="shared" si="278"/>
        <v>6.1844999999999999</v>
      </c>
      <c r="H8958" s="8">
        <v>5.89</v>
      </c>
      <c r="I8958" s="19">
        <f t="shared" si="279"/>
        <v>0</v>
      </c>
    </row>
    <row r="8959" spans="1:9" hidden="1">
      <c r="A8959" s="11" t="s">
        <v>11260</v>
      </c>
      <c r="B8959" s="2" t="s">
        <v>15567</v>
      </c>
      <c r="C8959" s="2" t="s">
        <v>15568</v>
      </c>
      <c r="D8959" s="2"/>
      <c r="E8959" s="2">
        <v>1</v>
      </c>
      <c r="F8959" s="9"/>
      <c r="G8959" s="8">
        <f t="shared" si="278"/>
        <v>3.2035604304635763</v>
      </c>
      <c r="H8959" s="8">
        <v>3.0510099337748344</v>
      </c>
      <c r="I8959" s="19">
        <f t="shared" si="279"/>
        <v>0</v>
      </c>
    </row>
    <row r="8960" spans="1:9" hidden="1">
      <c r="A8960" s="11" t="s">
        <v>11260</v>
      </c>
      <c r="B8960" s="2" t="s">
        <v>15569</v>
      </c>
      <c r="C8960" s="2" t="s">
        <v>15570</v>
      </c>
      <c r="D8960" s="2"/>
      <c r="E8960" s="2">
        <v>1</v>
      </c>
      <c r="F8960" s="9"/>
      <c r="G8960" s="8">
        <f t="shared" si="278"/>
        <v>3.3293158088235297</v>
      </c>
      <c r="H8960" s="8">
        <v>3.1707769607843139</v>
      </c>
      <c r="I8960" s="19">
        <f t="shared" si="279"/>
        <v>0</v>
      </c>
    </row>
    <row r="8961" spans="1:9" hidden="1">
      <c r="A8961" s="11" t="s">
        <v>11260</v>
      </c>
      <c r="B8961" s="2" t="s">
        <v>15571</v>
      </c>
      <c r="C8961" s="2" t="s">
        <v>15572</v>
      </c>
      <c r="D8961" s="2"/>
      <c r="E8961" s="2">
        <v>1</v>
      </c>
      <c r="F8961" s="9"/>
      <c r="G8961" s="8">
        <f t="shared" si="278"/>
        <v>3.3927718124999999</v>
      </c>
      <c r="H8961" s="8">
        <v>3.2312112499999999</v>
      </c>
      <c r="I8961" s="19">
        <f t="shared" si="279"/>
        <v>0</v>
      </c>
    </row>
    <row r="8962" spans="1:9" hidden="1">
      <c r="A8962" s="11" t="s">
        <v>11260</v>
      </c>
      <c r="B8962" s="2" t="s">
        <v>15573</v>
      </c>
      <c r="C8962" s="2" t="s">
        <v>15574</v>
      </c>
      <c r="D8962" s="2"/>
      <c r="E8962" s="2">
        <v>1</v>
      </c>
      <c r="F8962" s="9"/>
      <c r="G8962" s="8">
        <f t="shared" si="278"/>
        <v>3.4373150000000003</v>
      </c>
      <c r="H8962" s="8">
        <v>3.2736333333333336</v>
      </c>
      <c r="I8962" s="19">
        <f t="shared" si="279"/>
        <v>0</v>
      </c>
    </row>
    <row r="8963" spans="1:9">
      <c r="A8963" s="11" t="s">
        <v>11260</v>
      </c>
      <c r="B8963" s="2" t="s">
        <v>15575</v>
      </c>
      <c r="C8963" s="2" t="s">
        <v>15576</v>
      </c>
      <c r="D8963" s="2"/>
      <c r="E8963" s="2">
        <v>1</v>
      </c>
      <c r="F8963" s="9">
        <v>27</v>
      </c>
      <c r="G8963" s="8">
        <f t="shared" si="278"/>
        <v>3.3965673529411764</v>
      </c>
      <c r="H8963" s="8">
        <v>3.234826050420168</v>
      </c>
      <c r="I8963" s="19">
        <f t="shared" si="279"/>
        <v>91.707318529411765</v>
      </c>
    </row>
    <row r="8964" spans="1:9" hidden="1">
      <c r="A8964" s="11" t="s">
        <v>11260</v>
      </c>
      <c r="B8964" s="2" t="s">
        <v>15577</v>
      </c>
      <c r="C8964" s="2" t="s">
        <v>15578</v>
      </c>
      <c r="D8964" s="2"/>
      <c r="E8964" s="2">
        <v>1</v>
      </c>
      <c r="F8964" s="9"/>
      <c r="G8964" s="8">
        <f t="shared" si="278"/>
        <v>6.7187280757097811</v>
      </c>
      <c r="H8964" s="8">
        <v>6.3987886435331252</v>
      </c>
      <c r="I8964" s="19">
        <f t="shared" si="279"/>
        <v>0</v>
      </c>
    </row>
    <row r="8965" spans="1:9">
      <c r="A8965" s="11" t="s">
        <v>11260</v>
      </c>
      <c r="B8965" s="2" t="s">
        <v>15579</v>
      </c>
      <c r="C8965" s="2" t="s">
        <v>15580</v>
      </c>
      <c r="D8965" s="2"/>
      <c r="E8965" s="2">
        <v>1</v>
      </c>
      <c r="F8965" s="9">
        <v>129</v>
      </c>
      <c r="G8965" s="8">
        <f t="shared" si="278"/>
        <v>3.9373228527607362</v>
      </c>
      <c r="H8965" s="8">
        <v>3.7498312883435583</v>
      </c>
      <c r="I8965" s="19">
        <f t="shared" si="279"/>
        <v>507.914648006135</v>
      </c>
    </row>
    <row r="8966" spans="1:9" hidden="1">
      <c r="A8966" s="11" t="s">
        <v>11260</v>
      </c>
      <c r="B8966" s="2" t="s">
        <v>15581</v>
      </c>
      <c r="C8966" s="2" t="s">
        <v>15582</v>
      </c>
      <c r="D8966" s="2"/>
      <c r="E8966" s="2">
        <v>1</v>
      </c>
      <c r="F8966" s="9"/>
      <c r="G8966" s="8">
        <f t="shared" si="278"/>
        <v>4.0262317488789243</v>
      </c>
      <c r="H8966" s="8">
        <v>3.834506427503737</v>
      </c>
      <c r="I8966" s="19">
        <f t="shared" si="279"/>
        <v>0</v>
      </c>
    </row>
    <row r="8967" spans="1:9">
      <c r="A8967" s="11" t="s">
        <v>11260</v>
      </c>
      <c r="B8967" s="2" t="s">
        <v>15583</v>
      </c>
      <c r="C8967" s="2" t="s">
        <v>15584</v>
      </c>
      <c r="D8967" s="2"/>
      <c r="E8967" s="2">
        <v>1</v>
      </c>
      <c r="F8967" s="9">
        <v>86</v>
      </c>
      <c r="G8967" s="8">
        <f t="shared" si="278"/>
        <v>4.1139124752475249</v>
      </c>
      <c r="H8967" s="8">
        <v>3.9180118811881193</v>
      </c>
      <c r="I8967" s="19">
        <f t="shared" si="279"/>
        <v>353.79647287128716</v>
      </c>
    </row>
    <row r="8968" spans="1:9" hidden="1">
      <c r="A8968" s="11" t="s">
        <v>11260</v>
      </c>
      <c r="B8968" s="2" t="s">
        <v>15585</v>
      </c>
      <c r="C8968" s="2" t="s">
        <v>15586</v>
      </c>
      <c r="D8968" s="2"/>
      <c r="E8968" s="2">
        <v>1</v>
      </c>
      <c r="F8968" s="9"/>
      <c r="G8968" s="8">
        <f t="shared" si="278"/>
        <v>4.1803911049723759</v>
      </c>
      <c r="H8968" s="8">
        <v>3.9813248618784529</v>
      </c>
      <c r="I8968" s="19">
        <f t="shared" si="279"/>
        <v>0</v>
      </c>
    </row>
    <row r="8969" spans="1:9" hidden="1">
      <c r="A8969" s="11" t="s">
        <v>11260</v>
      </c>
      <c r="B8969" s="2" t="s">
        <v>15587</v>
      </c>
      <c r="C8969" s="2" t="s">
        <v>15588</v>
      </c>
      <c r="D8969" s="2"/>
      <c r="E8969" s="2">
        <v>1</v>
      </c>
      <c r="F8969" s="9"/>
      <c r="G8969" s="8">
        <f t="shared" si="278"/>
        <v>7.3191363913043466</v>
      </c>
      <c r="H8969" s="8">
        <v>6.9706060869565203</v>
      </c>
      <c r="I8969" s="19">
        <f t="shared" si="279"/>
        <v>0</v>
      </c>
    </row>
    <row r="8970" spans="1:9">
      <c r="A8970" s="11" t="s">
        <v>11260</v>
      </c>
      <c r="B8970" s="2" t="s">
        <v>15589</v>
      </c>
      <c r="C8970" s="2" t="s">
        <v>15590</v>
      </c>
      <c r="D8970" s="2"/>
      <c r="E8970" s="2">
        <v>1</v>
      </c>
      <c r="F8970" s="9">
        <v>106</v>
      </c>
      <c r="G8970" s="8">
        <f t="shared" si="278"/>
        <v>4.6857758024691369</v>
      </c>
      <c r="H8970" s="8">
        <v>4.4626436213991783</v>
      </c>
      <c r="I8970" s="19">
        <f t="shared" si="279"/>
        <v>496.69223506172852</v>
      </c>
    </row>
    <row r="8971" spans="1:9" hidden="1">
      <c r="A8971" s="11" t="s">
        <v>11260</v>
      </c>
      <c r="B8971" s="2" t="s">
        <v>15591</v>
      </c>
      <c r="C8971" s="2" t="s">
        <v>15592</v>
      </c>
      <c r="D8971" s="2"/>
      <c r="E8971" s="2">
        <v>1</v>
      </c>
      <c r="F8971" s="9"/>
      <c r="G8971" s="8">
        <f t="shared" si="278"/>
        <v>5.7336846672283066</v>
      </c>
      <c r="H8971" s="8">
        <v>5.4606520640269585</v>
      </c>
      <c r="I8971" s="19">
        <f t="shared" si="279"/>
        <v>0</v>
      </c>
    </row>
    <row r="8972" spans="1:9">
      <c r="A8972" s="11" t="s">
        <v>11260</v>
      </c>
      <c r="B8972" s="2" t="s">
        <v>15593</v>
      </c>
      <c r="C8972" s="2" t="s">
        <v>15594</v>
      </c>
      <c r="D8972" s="2"/>
      <c r="E8972" s="2">
        <v>1</v>
      </c>
      <c r="F8972" s="9">
        <v>185</v>
      </c>
      <c r="G8972" s="8">
        <f t="shared" si="278"/>
        <v>4.484354651162791</v>
      </c>
      <c r="H8972" s="8">
        <v>4.2708139534883722</v>
      </c>
      <c r="I8972" s="19">
        <f t="shared" si="279"/>
        <v>829.60561046511634</v>
      </c>
    </row>
    <row r="8973" spans="1:9" hidden="1">
      <c r="A8973" s="11" t="s">
        <v>11260</v>
      </c>
      <c r="B8973" s="2" t="s">
        <v>15595</v>
      </c>
      <c r="C8973" s="2" t="s">
        <v>15596</v>
      </c>
      <c r="D8973" s="2"/>
      <c r="E8973" s="2">
        <v>1</v>
      </c>
      <c r="F8973" s="9"/>
      <c r="G8973" s="8">
        <f t="shared" si="278"/>
        <v>4.5505800000000001</v>
      </c>
      <c r="H8973" s="8">
        <v>4.3338857142857146</v>
      </c>
      <c r="I8973" s="19">
        <f t="shared" si="279"/>
        <v>0</v>
      </c>
    </row>
    <row r="8974" spans="1:9">
      <c r="A8974" s="11" t="s">
        <v>11260</v>
      </c>
      <c r="B8974" s="2" t="s">
        <v>15597</v>
      </c>
      <c r="C8974" s="2" t="s">
        <v>15598</v>
      </c>
      <c r="D8974" s="2"/>
      <c r="E8974" s="2">
        <v>1</v>
      </c>
      <c r="F8974" s="9">
        <v>150</v>
      </c>
      <c r="G8974" s="8">
        <f t="shared" si="278"/>
        <v>5.1289551116333723</v>
      </c>
      <c r="H8974" s="8">
        <v>4.8847191539365449</v>
      </c>
      <c r="I8974" s="19">
        <f t="shared" si="279"/>
        <v>769.34326674500585</v>
      </c>
    </row>
    <row r="8975" spans="1:9" hidden="1">
      <c r="A8975" s="11" t="s">
        <v>11260</v>
      </c>
      <c r="B8975" s="2" t="s">
        <v>15599</v>
      </c>
      <c r="C8975" s="2" t="s">
        <v>15600</v>
      </c>
      <c r="D8975" s="2"/>
      <c r="E8975" s="2">
        <v>1</v>
      </c>
      <c r="F8975" s="9"/>
      <c r="G8975" s="8">
        <f t="shared" si="278"/>
        <v>7.6733929999999999</v>
      </c>
      <c r="H8975" s="8">
        <v>7.3079933333333331</v>
      </c>
      <c r="I8975" s="19">
        <f t="shared" si="279"/>
        <v>0</v>
      </c>
    </row>
    <row r="8976" spans="1:9" hidden="1">
      <c r="A8976" s="11" t="s">
        <v>11260</v>
      </c>
      <c r="B8976" s="2" t="s">
        <v>15601</v>
      </c>
      <c r="C8976" s="2" t="s">
        <v>15602</v>
      </c>
      <c r="D8976" s="2"/>
      <c r="E8976" s="2">
        <v>1</v>
      </c>
      <c r="F8976" s="9"/>
      <c r="G8976" s="8">
        <f t="shared" si="278"/>
        <v>8.487488184306569</v>
      </c>
      <c r="H8976" s="8">
        <v>8.0833220802919712</v>
      </c>
      <c r="I8976" s="19">
        <f t="shared" si="279"/>
        <v>0</v>
      </c>
    </row>
    <row r="8977" spans="1:9" hidden="1">
      <c r="A8977" s="11" t="s">
        <v>11260</v>
      </c>
      <c r="B8977" s="2" t="s">
        <v>15603</v>
      </c>
      <c r="C8977" s="2" t="s">
        <v>15604</v>
      </c>
      <c r="D8977" s="2"/>
      <c r="E8977" s="2">
        <v>1</v>
      </c>
      <c r="F8977" s="9"/>
      <c r="G8977" s="8">
        <f t="shared" si="278"/>
        <v>30.477893977035492</v>
      </c>
      <c r="H8977" s="8">
        <v>29.026565692414753</v>
      </c>
      <c r="I8977" s="19">
        <f t="shared" si="279"/>
        <v>0</v>
      </c>
    </row>
    <row r="8978" spans="1:9" hidden="1">
      <c r="A8978" s="11" t="s">
        <v>11260</v>
      </c>
      <c r="B8978" s="2" t="s">
        <v>15605</v>
      </c>
      <c r="C8978" s="2" t="s">
        <v>15606</v>
      </c>
      <c r="D8978" s="2"/>
      <c r="E8978" s="2">
        <v>1</v>
      </c>
      <c r="F8978" s="9"/>
      <c r="G8978" s="8">
        <f t="shared" si="278"/>
        <v>5.1629451740657943</v>
      </c>
      <c r="H8978" s="8">
        <v>4.9170906419674232</v>
      </c>
      <c r="I8978" s="19">
        <f t="shared" si="279"/>
        <v>0</v>
      </c>
    </row>
    <row r="8979" spans="1:9" hidden="1">
      <c r="A8979" s="11" t="s">
        <v>11260</v>
      </c>
      <c r="B8979" s="2" t="s">
        <v>15607</v>
      </c>
      <c r="C8979" s="2" t="s">
        <v>15608</v>
      </c>
      <c r="D8979" s="2"/>
      <c r="E8979" s="2">
        <v>1</v>
      </c>
      <c r="F8979" s="9"/>
      <c r="G8979" s="8">
        <f t="shared" si="278"/>
        <v>5.0651610002552765</v>
      </c>
      <c r="H8979" s="8">
        <v>4.8239628573859772</v>
      </c>
      <c r="I8979" s="19">
        <f t="shared" si="279"/>
        <v>0</v>
      </c>
    </row>
    <row r="8980" spans="1:9" hidden="1">
      <c r="A8980" s="11" t="s">
        <v>11260</v>
      </c>
      <c r="B8980" s="2" t="s">
        <v>15609</v>
      </c>
      <c r="C8980" s="2" t="s">
        <v>15576</v>
      </c>
      <c r="D8980" s="2"/>
      <c r="E8980" s="2">
        <v>1</v>
      </c>
      <c r="F8980" s="9"/>
      <c r="G8980" s="8">
        <f t="shared" si="278"/>
        <v>4.8440086289976847</v>
      </c>
      <c r="H8980" s="8">
        <v>4.613341551426366</v>
      </c>
      <c r="I8980" s="19">
        <f t="shared" si="279"/>
        <v>0</v>
      </c>
    </row>
    <row r="8981" spans="1:9" hidden="1">
      <c r="A8981" s="11" t="s">
        <v>11260</v>
      </c>
      <c r="B8981" s="2" t="s">
        <v>15610</v>
      </c>
      <c r="C8981" s="2" t="s">
        <v>15580</v>
      </c>
      <c r="D8981" s="2"/>
      <c r="E8981" s="2">
        <v>1</v>
      </c>
      <c r="F8981" s="9"/>
      <c r="G8981" s="8">
        <f t="shared" si="278"/>
        <v>6.3772363869132285</v>
      </c>
      <c r="H8981" s="8">
        <v>6.0735584637268847</v>
      </c>
      <c r="I8981" s="19">
        <f t="shared" si="279"/>
        <v>0</v>
      </c>
    </row>
    <row r="8982" spans="1:9" hidden="1">
      <c r="A8982" s="11" t="s">
        <v>11260</v>
      </c>
      <c r="B8982" s="2" t="s">
        <v>15611</v>
      </c>
      <c r="C8982" s="2" t="s">
        <v>15584</v>
      </c>
      <c r="D8982" s="2"/>
      <c r="E8982" s="2">
        <v>1</v>
      </c>
      <c r="F8982" s="9"/>
      <c r="G8982" s="8">
        <f t="shared" si="278"/>
        <v>7.1252065278373662</v>
      </c>
      <c r="H8982" s="8">
        <v>6.7859109788927299</v>
      </c>
      <c r="I8982" s="19">
        <f t="shared" si="279"/>
        <v>0</v>
      </c>
    </row>
    <row r="8983" spans="1:9" hidden="1">
      <c r="A8983" s="11" t="s">
        <v>11260</v>
      </c>
      <c r="B8983" s="2" t="s">
        <v>15612</v>
      </c>
      <c r="C8983" s="2" t="s">
        <v>15613</v>
      </c>
      <c r="D8983" s="2"/>
      <c r="E8983" s="2">
        <v>1</v>
      </c>
      <c r="F8983" s="9"/>
      <c r="G8983" s="8">
        <f t="shared" si="278"/>
        <v>7.4759227941176478</v>
      </c>
      <c r="H8983" s="8">
        <v>7.1199264705882364</v>
      </c>
      <c r="I8983" s="19">
        <f t="shared" si="279"/>
        <v>0</v>
      </c>
    </row>
    <row r="8984" spans="1:9" hidden="1">
      <c r="A8984" s="11" t="s">
        <v>11260</v>
      </c>
      <c r="B8984" s="2" t="s">
        <v>15614</v>
      </c>
      <c r="C8984" s="2" t="s">
        <v>15594</v>
      </c>
      <c r="D8984" s="2"/>
      <c r="E8984" s="2">
        <v>1</v>
      </c>
      <c r="F8984" s="9"/>
      <c r="G8984" s="8">
        <f t="shared" ref="G8984:G9047" si="280">H8984+(H8984*5%)</f>
        <v>6.5981459461545136</v>
      </c>
      <c r="H8984" s="8">
        <v>6.2839485201471561</v>
      </c>
      <c r="I8984" s="19">
        <f t="shared" ref="I8984:I9047" si="281">G8984*F8984</f>
        <v>0</v>
      </c>
    </row>
    <row r="8985" spans="1:9" hidden="1">
      <c r="A8985" s="11" t="s">
        <v>11260</v>
      </c>
      <c r="B8985" s="2" t="s">
        <v>15615</v>
      </c>
      <c r="C8985" s="2" t="s">
        <v>15616</v>
      </c>
      <c r="D8985" s="2"/>
      <c r="E8985" s="2">
        <v>1</v>
      </c>
      <c r="F8985" s="9"/>
      <c r="G8985" s="8">
        <f t="shared" si="280"/>
        <v>14.107334876033057</v>
      </c>
      <c r="H8985" s="8">
        <v>13.435557024793388</v>
      </c>
      <c r="I8985" s="19">
        <f t="shared" si="281"/>
        <v>0</v>
      </c>
    </row>
    <row r="8986" spans="1:9" hidden="1">
      <c r="A8986" s="11" t="s">
        <v>11260</v>
      </c>
      <c r="B8986" s="2" t="s">
        <v>15617</v>
      </c>
      <c r="C8986" s="2" t="s">
        <v>15618</v>
      </c>
      <c r="D8986" s="2"/>
      <c r="E8986" s="2">
        <v>1</v>
      </c>
      <c r="F8986" s="9"/>
      <c r="G8986" s="8">
        <f t="shared" si="280"/>
        <v>16.540258017960234</v>
      </c>
      <c r="H8986" s="8">
        <v>15.75262668377165</v>
      </c>
      <c r="I8986" s="19">
        <f t="shared" si="281"/>
        <v>0</v>
      </c>
    </row>
    <row r="8987" spans="1:9" hidden="1">
      <c r="A8987" s="11" t="s">
        <v>11260</v>
      </c>
      <c r="B8987" s="2" t="s">
        <v>15619</v>
      </c>
      <c r="C8987" s="2" t="s">
        <v>15620</v>
      </c>
      <c r="D8987" s="2"/>
      <c r="E8987" s="2">
        <v>1</v>
      </c>
      <c r="F8987" s="9"/>
      <c r="G8987" s="8">
        <f t="shared" si="280"/>
        <v>9.3535201512287358</v>
      </c>
      <c r="H8987" s="8">
        <v>8.9081144297416532</v>
      </c>
      <c r="I8987" s="19">
        <f t="shared" si="281"/>
        <v>0</v>
      </c>
    </row>
    <row r="8988" spans="1:9" hidden="1">
      <c r="A8988" s="11" t="s">
        <v>11260</v>
      </c>
      <c r="B8988" s="2" t="s">
        <v>15621</v>
      </c>
      <c r="C8988" s="2" t="s">
        <v>15622</v>
      </c>
      <c r="D8988" s="2"/>
      <c r="E8988" s="2">
        <v>1</v>
      </c>
      <c r="F8988" s="9"/>
      <c r="G8988" s="8">
        <f t="shared" si="280"/>
        <v>38.205335476839238</v>
      </c>
      <c r="H8988" s="8">
        <v>36.386033787465941</v>
      </c>
      <c r="I8988" s="19">
        <f t="shared" si="281"/>
        <v>0</v>
      </c>
    </row>
    <row r="8989" spans="1:9" hidden="1">
      <c r="A8989" s="11" t="s">
        <v>11260</v>
      </c>
      <c r="B8989" s="2" t="s">
        <v>15623</v>
      </c>
      <c r="C8989" s="2" t="s">
        <v>15624</v>
      </c>
      <c r="D8989" s="2"/>
      <c r="E8989" s="2">
        <v>1</v>
      </c>
      <c r="F8989" s="9"/>
      <c r="G8989" s="8">
        <f t="shared" si="280"/>
        <v>38.4861054147148</v>
      </c>
      <c r="H8989" s="8">
        <v>36.65343372829981</v>
      </c>
      <c r="I8989" s="19">
        <f t="shared" si="281"/>
        <v>0</v>
      </c>
    </row>
    <row r="8990" spans="1:9" hidden="1">
      <c r="A8990" s="11" t="s">
        <v>11260</v>
      </c>
      <c r="B8990" s="2" t="s">
        <v>15625</v>
      </c>
      <c r="C8990" s="2" t="s">
        <v>15626</v>
      </c>
      <c r="D8990" s="2"/>
      <c r="E8990" s="2">
        <v>1</v>
      </c>
      <c r="F8990" s="9"/>
      <c r="G8990" s="8">
        <f t="shared" si="280"/>
        <v>12.772655844155844</v>
      </c>
      <c r="H8990" s="8">
        <v>12.164434137291281</v>
      </c>
      <c r="I8990" s="19">
        <f t="shared" si="281"/>
        <v>0</v>
      </c>
    </row>
    <row r="8991" spans="1:9" hidden="1">
      <c r="A8991" s="11" t="s">
        <v>11260</v>
      </c>
      <c r="B8991" s="2" t="s">
        <v>15627</v>
      </c>
      <c r="C8991" s="2" t="s">
        <v>15628</v>
      </c>
      <c r="D8991" s="2"/>
      <c r="E8991" s="2">
        <v>1</v>
      </c>
      <c r="F8991" s="9"/>
      <c r="G8991" s="8">
        <f t="shared" si="280"/>
        <v>14.127570882352941</v>
      </c>
      <c r="H8991" s="8">
        <v>13.454829411764706</v>
      </c>
      <c r="I8991" s="19">
        <f t="shared" si="281"/>
        <v>0</v>
      </c>
    </row>
    <row r="8992" spans="1:9" hidden="1">
      <c r="A8992" s="11" t="s">
        <v>11260</v>
      </c>
      <c r="B8992" s="2" t="s">
        <v>15629</v>
      </c>
      <c r="C8992" s="2" t="s">
        <v>15630</v>
      </c>
      <c r="D8992" s="2"/>
      <c r="E8992" s="2">
        <v>1</v>
      </c>
      <c r="F8992" s="9"/>
      <c r="G8992" s="8">
        <f t="shared" si="280"/>
        <v>10.806314010450684</v>
      </c>
      <c r="H8992" s="8">
        <v>10.291727629000652</v>
      </c>
      <c r="I8992" s="19">
        <f t="shared" si="281"/>
        <v>0</v>
      </c>
    </row>
    <row r="8993" spans="1:9" hidden="1">
      <c r="A8993" s="11" t="s">
        <v>11260</v>
      </c>
      <c r="B8993" s="2" t="s">
        <v>15631</v>
      </c>
      <c r="C8993" s="2" t="s">
        <v>15632</v>
      </c>
      <c r="D8993" s="2"/>
      <c r="E8993" s="2">
        <v>1</v>
      </c>
      <c r="F8993" s="9"/>
      <c r="G8993" s="8">
        <f t="shared" si="280"/>
        <v>13.007375449957946</v>
      </c>
      <c r="H8993" s="8">
        <v>12.387976619007567</v>
      </c>
      <c r="I8993" s="19">
        <f t="shared" si="281"/>
        <v>0</v>
      </c>
    </row>
    <row r="8994" spans="1:9" hidden="1">
      <c r="A8994" s="11" t="s">
        <v>11260</v>
      </c>
      <c r="B8994" s="2" t="s">
        <v>15633</v>
      </c>
      <c r="C8994" s="2" t="s">
        <v>15624</v>
      </c>
      <c r="D8994" s="2"/>
      <c r="E8994" s="2">
        <v>1</v>
      </c>
      <c r="F8994" s="9"/>
      <c r="G8994" s="8">
        <f t="shared" si="280"/>
        <v>48.383151530030695</v>
      </c>
      <c r="H8994" s="8">
        <v>46.079191933362566</v>
      </c>
      <c r="I8994" s="19">
        <f t="shared" si="281"/>
        <v>0</v>
      </c>
    </row>
    <row r="8995" spans="1:9" hidden="1">
      <c r="A8995" s="11" t="s">
        <v>11260</v>
      </c>
      <c r="B8995" s="2" t="s">
        <v>15634</v>
      </c>
      <c r="C8995" s="2" t="s">
        <v>15635</v>
      </c>
      <c r="D8995" s="2"/>
      <c r="E8995" s="2">
        <v>1</v>
      </c>
      <c r="F8995" s="9"/>
      <c r="G8995" s="8">
        <f t="shared" si="280"/>
        <v>58.110124032258085</v>
      </c>
      <c r="H8995" s="8">
        <v>55.34297526881722</v>
      </c>
      <c r="I8995" s="19">
        <f t="shared" si="281"/>
        <v>0</v>
      </c>
    </row>
    <row r="8996" spans="1:9" hidden="1">
      <c r="A8996" s="11" t="s">
        <v>11260</v>
      </c>
      <c r="B8996" s="2" t="s">
        <v>15636</v>
      </c>
      <c r="C8996" s="2" t="s">
        <v>15637</v>
      </c>
      <c r="D8996" s="2"/>
      <c r="E8996" s="2">
        <v>1</v>
      </c>
      <c r="F8996" s="9"/>
      <c r="G8996" s="8">
        <f t="shared" si="280"/>
        <v>17.738552134831462</v>
      </c>
      <c r="H8996" s="8">
        <v>16.893859176029963</v>
      </c>
      <c r="I8996" s="19">
        <f t="shared" si="281"/>
        <v>0</v>
      </c>
    </row>
    <row r="8997" spans="1:9" hidden="1">
      <c r="A8997" s="11" t="s">
        <v>11260</v>
      </c>
      <c r="B8997" s="2" t="s">
        <v>15638</v>
      </c>
      <c r="C8997" s="2" t="s">
        <v>15639</v>
      </c>
      <c r="D8997" s="2"/>
      <c r="E8997" s="2">
        <v>1</v>
      </c>
      <c r="F8997" s="9"/>
      <c r="G8997" s="8">
        <f t="shared" si="280"/>
        <v>11.438890016694492</v>
      </c>
      <c r="H8997" s="8">
        <v>10.894180968280468</v>
      </c>
      <c r="I8997" s="19">
        <f t="shared" si="281"/>
        <v>0</v>
      </c>
    </row>
    <row r="8998" spans="1:9" hidden="1">
      <c r="A8998" s="11" t="s">
        <v>11260</v>
      </c>
      <c r="B8998" s="2" t="s">
        <v>15640</v>
      </c>
      <c r="C8998" s="2" t="s">
        <v>15641</v>
      </c>
      <c r="D8998" s="2"/>
      <c r="E8998" s="2">
        <v>1</v>
      </c>
      <c r="F8998" s="9"/>
      <c r="G8998" s="8">
        <f t="shared" si="280"/>
        <v>14.268756031061262</v>
      </c>
      <c r="H8998" s="8">
        <v>13.589291458153582</v>
      </c>
      <c r="I8998" s="19">
        <f t="shared" si="281"/>
        <v>0</v>
      </c>
    </row>
    <row r="8999" spans="1:9" hidden="1">
      <c r="A8999" s="11" t="s">
        <v>11260</v>
      </c>
      <c r="B8999" s="2" t="s">
        <v>15642</v>
      </c>
      <c r="C8999" s="2" t="s">
        <v>15643</v>
      </c>
      <c r="D8999" s="2"/>
      <c r="E8999" s="2">
        <v>1</v>
      </c>
      <c r="F8999" s="9"/>
      <c r="G8999" s="8">
        <f t="shared" si="280"/>
        <v>18.860155069008783</v>
      </c>
      <c r="H8999" s="8">
        <v>17.962052446675031</v>
      </c>
      <c r="I8999" s="19">
        <f t="shared" si="281"/>
        <v>0</v>
      </c>
    </row>
    <row r="9000" spans="1:9" hidden="1">
      <c r="A9000" s="11" t="s">
        <v>11260</v>
      </c>
      <c r="B9000" s="2" t="s">
        <v>15644</v>
      </c>
      <c r="C9000" s="2" t="s">
        <v>15645</v>
      </c>
      <c r="D9000" s="2"/>
      <c r="E9000" s="2">
        <v>1</v>
      </c>
      <c r="F9000" s="9"/>
      <c r="G9000" s="8">
        <f t="shared" si="280"/>
        <v>83.871339169655172</v>
      </c>
      <c r="H9000" s="8">
        <v>79.877465875862072</v>
      </c>
      <c r="I9000" s="19">
        <f t="shared" si="281"/>
        <v>0</v>
      </c>
    </row>
    <row r="9001" spans="1:9" hidden="1">
      <c r="A9001" s="11" t="s">
        <v>11260</v>
      </c>
      <c r="B9001" s="2" t="s">
        <v>15646</v>
      </c>
      <c r="C9001" s="2" t="s">
        <v>15647</v>
      </c>
      <c r="D9001" s="2"/>
      <c r="E9001" s="2">
        <v>1</v>
      </c>
      <c r="F9001" s="9"/>
      <c r="G9001" s="8">
        <f t="shared" si="280"/>
        <v>12.116963631284918</v>
      </c>
      <c r="H9001" s="8">
        <v>11.539965363128493</v>
      </c>
      <c r="I9001" s="19">
        <f t="shared" si="281"/>
        <v>0</v>
      </c>
    </row>
    <row r="9002" spans="1:9" hidden="1">
      <c r="A9002" s="11" t="s">
        <v>11260</v>
      </c>
      <c r="B9002" s="2" t="s">
        <v>15648</v>
      </c>
      <c r="C9002" s="2" t="s">
        <v>9555</v>
      </c>
      <c r="D9002" s="2"/>
      <c r="E9002" s="2">
        <v>1</v>
      </c>
      <c r="F9002" s="9"/>
      <c r="G9002" s="8">
        <f t="shared" si="280"/>
        <v>1.2131700000000003</v>
      </c>
      <c r="H9002" s="8">
        <v>1.1554000000000002</v>
      </c>
      <c r="I9002" s="19">
        <f t="shared" si="281"/>
        <v>0</v>
      </c>
    </row>
    <row r="9003" spans="1:9" hidden="1">
      <c r="A9003" s="11" t="s">
        <v>11260</v>
      </c>
      <c r="B9003" s="2" t="s">
        <v>15649</v>
      </c>
      <c r="C9003" s="2" t="s">
        <v>15650</v>
      </c>
      <c r="D9003" s="2"/>
      <c r="E9003" s="2">
        <v>1</v>
      </c>
      <c r="F9003" s="9"/>
      <c r="G9003" s="8">
        <f t="shared" si="280"/>
        <v>1.0573499999999998</v>
      </c>
      <c r="H9003" s="8">
        <v>1.0069999999999999</v>
      </c>
      <c r="I9003" s="19">
        <f t="shared" si="281"/>
        <v>0</v>
      </c>
    </row>
    <row r="9004" spans="1:9" hidden="1">
      <c r="A9004" s="11" t="s">
        <v>11260</v>
      </c>
      <c r="B9004" s="2" t="s">
        <v>15651</v>
      </c>
      <c r="C9004" s="2" t="s">
        <v>15652</v>
      </c>
      <c r="D9004" s="2"/>
      <c r="E9004" s="2">
        <v>1</v>
      </c>
      <c r="F9004" s="9"/>
      <c r="G9004" s="8">
        <f t="shared" si="280"/>
        <v>1.0573499999999998</v>
      </c>
      <c r="H9004" s="8">
        <v>1.0069999999999999</v>
      </c>
      <c r="I9004" s="19">
        <f t="shared" si="281"/>
        <v>0</v>
      </c>
    </row>
    <row r="9005" spans="1:9" hidden="1">
      <c r="A9005" s="11" t="s">
        <v>11260</v>
      </c>
      <c r="B9005" s="2" t="s">
        <v>15653</v>
      </c>
      <c r="C9005" s="2" t="s">
        <v>15654</v>
      </c>
      <c r="D9005" s="2"/>
      <c r="E9005" s="2">
        <v>1</v>
      </c>
      <c r="F9005" s="9"/>
      <c r="G9005" s="8">
        <f t="shared" si="280"/>
        <v>1.0573499999999998</v>
      </c>
      <c r="H9005" s="8">
        <v>1.0069999999999999</v>
      </c>
      <c r="I9005" s="19">
        <f t="shared" si="281"/>
        <v>0</v>
      </c>
    </row>
    <row r="9006" spans="1:9" hidden="1">
      <c r="A9006" s="11" t="s">
        <v>11260</v>
      </c>
      <c r="B9006" s="2" t="s">
        <v>15655</v>
      </c>
      <c r="C9006" s="2" t="s">
        <v>15656</v>
      </c>
      <c r="D9006" s="2"/>
      <c r="E9006" s="2">
        <v>1</v>
      </c>
      <c r="F9006" s="9"/>
      <c r="G9006" s="8">
        <f t="shared" si="280"/>
        <v>0.79301250000000012</v>
      </c>
      <c r="H9006" s="8">
        <v>0.75525000000000009</v>
      </c>
      <c r="I9006" s="19">
        <f t="shared" si="281"/>
        <v>0</v>
      </c>
    </row>
    <row r="9007" spans="1:9" hidden="1">
      <c r="A9007" s="11" t="s">
        <v>11260</v>
      </c>
      <c r="B9007" s="2" t="s">
        <v>15657</v>
      </c>
      <c r="C9007" s="2" t="s">
        <v>15658</v>
      </c>
      <c r="D9007" s="2"/>
      <c r="E9007" s="2">
        <v>1</v>
      </c>
      <c r="F9007" s="9"/>
      <c r="G9007" s="8">
        <f t="shared" si="280"/>
        <v>1.0573499999999998</v>
      </c>
      <c r="H9007" s="8">
        <v>1.0069999999999999</v>
      </c>
      <c r="I9007" s="19">
        <f t="shared" si="281"/>
        <v>0</v>
      </c>
    </row>
    <row r="9008" spans="1:9" hidden="1">
      <c r="A9008" s="11" t="s">
        <v>11260</v>
      </c>
      <c r="B9008" s="2" t="s">
        <v>15659</v>
      </c>
      <c r="C9008" s="2" t="s">
        <v>15660</v>
      </c>
      <c r="D9008" s="2"/>
      <c r="E9008" s="2">
        <v>1</v>
      </c>
      <c r="F9008" s="9"/>
      <c r="G9008" s="8">
        <f t="shared" si="280"/>
        <v>1.0573499999999998</v>
      </c>
      <c r="H9008" s="8">
        <v>1.0069999999999999</v>
      </c>
      <c r="I9008" s="19">
        <f t="shared" si="281"/>
        <v>0</v>
      </c>
    </row>
    <row r="9009" spans="1:9" hidden="1">
      <c r="A9009" s="11" t="s">
        <v>11260</v>
      </c>
      <c r="B9009" s="2" t="s">
        <v>15661</v>
      </c>
      <c r="C9009" s="2" t="s">
        <v>15662</v>
      </c>
      <c r="D9009" s="2"/>
      <c r="E9009" s="2">
        <v>1</v>
      </c>
      <c r="F9009" s="9"/>
      <c r="G9009" s="8">
        <f t="shared" si="280"/>
        <v>1.0573499999999998</v>
      </c>
      <c r="H9009" s="8">
        <v>1.0069999999999999</v>
      </c>
      <c r="I9009" s="19">
        <f t="shared" si="281"/>
        <v>0</v>
      </c>
    </row>
    <row r="9010" spans="1:9" hidden="1">
      <c r="A9010" s="11" t="s">
        <v>11260</v>
      </c>
      <c r="B9010" s="2" t="s">
        <v>15663</v>
      </c>
      <c r="C9010" s="2" t="s">
        <v>15664</v>
      </c>
      <c r="D9010" s="2"/>
      <c r="E9010" s="2">
        <v>1</v>
      </c>
      <c r="F9010" s="9"/>
      <c r="G9010" s="8">
        <f t="shared" si="280"/>
        <v>1.0573499999999998</v>
      </c>
      <c r="H9010" s="8">
        <v>1.0069999999999999</v>
      </c>
      <c r="I9010" s="19">
        <f t="shared" si="281"/>
        <v>0</v>
      </c>
    </row>
    <row r="9011" spans="1:9" hidden="1">
      <c r="A9011" s="11" t="s">
        <v>11260</v>
      </c>
      <c r="B9011" s="2" t="s">
        <v>15665</v>
      </c>
      <c r="C9011" s="2" t="s">
        <v>15666</v>
      </c>
      <c r="D9011" s="2"/>
      <c r="E9011" s="2">
        <v>1</v>
      </c>
      <c r="F9011" s="9"/>
      <c r="G9011" s="8">
        <f t="shared" si="280"/>
        <v>1.0573499999999998</v>
      </c>
      <c r="H9011" s="8">
        <v>1.0069999999999999</v>
      </c>
      <c r="I9011" s="19">
        <f t="shared" si="281"/>
        <v>0</v>
      </c>
    </row>
    <row r="9012" spans="1:9" hidden="1">
      <c r="A9012" s="11" t="s">
        <v>11260</v>
      </c>
      <c r="B9012" s="2" t="s">
        <v>15667</v>
      </c>
      <c r="C9012" s="2" t="s">
        <v>15668</v>
      </c>
      <c r="D9012" s="2"/>
      <c r="E9012" s="2">
        <v>1</v>
      </c>
      <c r="F9012" s="9"/>
      <c r="G9012" s="8">
        <f t="shared" si="280"/>
        <v>1.0573499999999998</v>
      </c>
      <c r="H9012" s="8">
        <v>1.0069999999999999</v>
      </c>
      <c r="I9012" s="19">
        <f t="shared" si="281"/>
        <v>0</v>
      </c>
    </row>
    <row r="9013" spans="1:9" hidden="1">
      <c r="A9013" s="11" t="s">
        <v>11260</v>
      </c>
      <c r="B9013" s="2" t="s">
        <v>15669</v>
      </c>
      <c r="C9013" s="2" t="s">
        <v>15670</v>
      </c>
      <c r="D9013" s="2"/>
      <c r="E9013" s="2">
        <v>1</v>
      </c>
      <c r="F9013" s="9"/>
      <c r="G9013" s="8">
        <f t="shared" si="280"/>
        <v>3.1194533628318579</v>
      </c>
      <c r="H9013" s="8">
        <v>2.9709079646017695</v>
      </c>
      <c r="I9013" s="19">
        <f t="shared" si="281"/>
        <v>0</v>
      </c>
    </row>
    <row r="9014" spans="1:9" hidden="1">
      <c r="A9014" s="11" t="s">
        <v>11260</v>
      </c>
      <c r="B9014" s="2" t="s">
        <v>15671</v>
      </c>
      <c r="C9014" s="2" t="s">
        <v>15672</v>
      </c>
      <c r="D9014" s="2"/>
      <c r="E9014" s="2">
        <v>1</v>
      </c>
      <c r="F9014" s="9"/>
      <c r="G9014" s="8">
        <f t="shared" si="280"/>
        <v>3.5270315294117647</v>
      </c>
      <c r="H9014" s="8">
        <v>3.3590776470588235</v>
      </c>
      <c r="I9014" s="19">
        <f t="shared" si="281"/>
        <v>0</v>
      </c>
    </row>
    <row r="9015" spans="1:9" hidden="1">
      <c r="A9015" s="11" t="s">
        <v>11260</v>
      </c>
      <c r="B9015" s="2" t="s">
        <v>15673</v>
      </c>
      <c r="C9015" s="2" t="s">
        <v>15674</v>
      </c>
      <c r="D9015" s="2"/>
      <c r="E9015" s="2">
        <v>1</v>
      </c>
      <c r="F9015" s="9"/>
      <c r="G9015" s="8">
        <f t="shared" si="280"/>
        <v>4.1127036363636371</v>
      </c>
      <c r="H9015" s="8">
        <v>3.9168606060606064</v>
      </c>
      <c r="I9015" s="19">
        <f t="shared" si="281"/>
        <v>0</v>
      </c>
    </row>
    <row r="9016" spans="1:9" hidden="1">
      <c r="A9016" s="11" t="s">
        <v>11260</v>
      </c>
      <c r="B9016" s="2" t="s">
        <v>15675</v>
      </c>
      <c r="C9016" s="2" t="s">
        <v>15676</v>
      </c>
      <c r="D9016" s="2"/>
      <c r="E9016" s="2">
        <v>1</v>
      </c>
      <c r="F9016" s="9"/>
      <c r="G9016" s="8">
        <f t="shared" si="280"/>
        <v>4.5869365610859729</v>
      </c>
      <c r="H9016" s="8">
        <v>4.3685110105580698</v>
      </c>
      <c r="I9016" s="19">
        <f t="shared" si="281"/>
        <v>0</v>
      </c>
    </row>
    <row r="9017" spans="1:9" hidden="1">
      <c r="A9017" s="11" t="s">
        <v>11260</v>
      </c>
      <c r="B9017" s="2" t="s">
        <v>15677</v>
      </c>
      <c r="C9017" s="2" t="s">
        <v>15678</v>
      </c>
      <c r="D9017" s="2"/>
      <c r="E9017" s="2">
        <v>1</v>
      </c>
      <c r="F9017" s="9"/>
      <c r="G9017" s="8">
        <f t="shared" si="280"/>
        <v>1.9429325373134332</v>
      </c>
      <c r="H9017" s="8">
        <v>1.8504119402985078</v>
      </c>
      <c r="I9017" s="19">
        <f t="shared" si="281"/>
        <v>0</v>
      </c>
    </row>
    <row r="9018" spans="1:9" hidden="1">
      <c r="A9018" s="11" t="s">
        <v>11260</v>
      </c>
      <c r="B9018" s="2" t="s">
        <v>15679</v>
      </c>
      <c r="C9018" s="2" t="s">
        <v>15680</v>
      </c>
      <c r="D9018" s="2"/>
      <c r="E9018" s="2">
        <v>1</v>
      </c>
      <c r="F9018" s="9"/>
      <c r="G9018" s="8">
        <f t="shared" si="280"/>
        <v>3.3000695154185027</v>
      </c>
      <c r="H9018" s="8">
        <v>3.1429233480176215</v>
      </c>
      <c r="I9018" s="19">
        <f t="shared" si="281"/>
        <v>0</v>
      </c>
    </row>
    <row r="9019" spans="1:9" hidden="1">
      <c r="A9019" s="11" t="s">
        <v>11260</v>
      </c>
      <c r="B9019" s="2" t="s">
        <v>15681</v>
      </c>
      <c r="C9019" s="2" t="s">
        <v>15682</v>
      </c>
      <c r="D9019" s="2"/>
      <c r="E9019" s="2">
        <v>1</v>
      </c>
      <c r="F9019" s="9"/>
      <c r="G9019" s="8">
        <f t="shared" si="280"/>
        <v>99.84723000000001</v>
      </c>
      <c r="H9019" s="8">
        <v>95.092600000000004</v>
      </c>
      <c r="I9019" s="19">
        <f t="shared" si="281"/>
        <v>0</v>
      </c>
    </row>
    <row r="9020" spans="1:9" hidden="1">
      <c r="A9020" s="11" t="s">
        <v>11260</v>
      </c>
      <c r="B9020" s="2" t="s">
        <v>15683</v>
      </c>
      <c r="C9020" s="2" t="s">
        <v>15684</v>
      </c>
      <c r="D9020" s="2"/>
      <c r="E9020" s="2">
        <v>1</v>
      </c>
      <c r="F9020" s="9"/>
      <c r="G9020" s="8">
        <f t="shared" si="280"/>
        <v>41.514952776824451</v>
      </c>
      <c r="H9020" s="8">
        <v>39.538050263642333</v>
      </c>
      <c r="I9020" s="19">
        <f t="shared" si="281"/>
        <v>0</v>
      </c>
    </row>
    <row r="9021" spans="1:9" hidden="1">
      <c r="A9021" s="11" t="s">
        <v>11260</v>
      </c>
      <c r="B9021" s="2" t="s">
        <v>15685</v>
      </c>
      <c r="C9021" s="2" t="s">
        <v>15686</v>
      </c>
      <c r="D9021" s="2"/>
      <c r="E9021" s="2">
        <v>1</v>
      </c>
      <c r="F9021" s="9"/>
      <c r="G9021" s="8">
        <f t="shared" si="280"/>
        <v>340.18844999999999</v>
      </c>
      <c r="H9021" s="8">
        <v>323.98899999999998</v>
      </c>
      <c r="I9021" s="19">
        <f t="shared" si="281"/>
        <v>0</v>
      </c>
    </row>
    <row r="9022" spans="1:9" hidden="1">
      <c r="A9022" s="11" t="s">
        <v>11260</v>
      </c>
      <c r="B9022" s="2" t="s">
        <v>15687</v>
      </c>
      <c r="C9022" s="2" t="s">
        <v>15688</v>
      </c>
      <c r="D9022" s="2"/>
      <c r="E9022" s="2">
        <v>1</v>
      </c>
      <c r="F9022" s="9"/>
      <c r="G9022" s="8">
        <f t="shared" si="280"/>
        <v>470.88804000000005</v>
      </c>
      <c r="H9022" s="8">
        <v>448.46480000000003</v>
      </c>
      <c r="I9022" s="19">
        <f t="shared" si="281"/>
        <v>0</v>
      </c>
    </row>
    <row r="9023" spans="1:9" hidden="1">
      <c r="A9023" s="11" t="s">
        <v>11260</v>
      </c>
      <c r="B9023" s="2" t="s">
        <v>15689</v>
      </c>
      <c r="C9023" s="2" t="s">
        <v>15690</v>
      </c>
      <c r="D9023" s="2"/>
      <c r="E9023" s="2">
        <v>1</v>
      </c>
      <c r="F9023" s="9"/>
      <c r="G9023" s="8">
        <f t="shared" si="280"/>
        <v>410.69913574091896</v>
      </c>
      <c r="H9023" s="8">
        <v>391.14203403897045</v>
      </c>
      <c r="I9023" s="19">
        <f t="shared" si="281"/>
        <v>0</v>
      </c>
    </row>
    <row r="9024" spans="1:9" hidden="1">
      <c r="A9024" s="11" t="s">
        <v>11260</v>
      </c>
      <c r="B9024" s="2" t="s">
        <v>15691</v>
      </c>
      <c r="C9024" s="2" t="s">
        <v>15692</v>
      </c>
      <c r="D9024" s="2"/>
      <c r="E9024" s="2">
        <v>1</v>
      </c>
      <c r="F9024" s="9"/>
      <c r="G9024" s="8">
        <f t="shared" si="280"/>
        <v>1002.09879</v>
      </c>
      <c r="H9024" s="8">
        <v>954.37980000000005</v>
      </c>
      <c r="I9024" s="19">
        <f t="shared" si="281"/>
        <v>0</v>
      </c>
    </row>
    <row r="9025" spans="1:9" hidden="1">
      <c r="A9025" s="11" t="s">
        <v>11260</v>
      </c>
      <c r="B9025" s="2" t="s">
        <v>15693</v>
      </c>
      <c r="C9025" s="2" t="s">
        <v>15694</v>
      </c>
      <c r="D9025" s="2"/>
      <c r="E9025" s="2">
        <v>1</v>
      </c>
      <c r="F9025" s="9"/>
      <c r="G9025" s="8">
        <f t="shared" si="280"/>
        <v>186.29614970414204</v>
      </c>
      <c r="H9025" s="8">
        <v>177.42490448013527</v>
      </c>
      <c r="I9025" s="19">
        <f t="shared" si="281"/>
        <v>0</v>
      </c>
    </row>
    <row r="9026" spans="1:9" hidden="1">
      <c r="A9026" s="11" t="s">
        <v>11260</v>
      </c>
      <c r="B9026" s="2" t="s">
        <v>15695</v>
      </c>
      <c r="C9026" s="2" t="s">
        <v>15696</v>
      </c>
      <c r="D9026" s="2"/>
      <c r="E9026" s="2">
        <v>1</v>
      </c>
      <c r="F9026" s="9"/>
      <c r="G9026" s="8">
        <f t="shared" si="280"/>
        <v>230.16367006668688</v>
      </c>
      <c r="H9026" s="8">
        <v>219.20349530160655</v>
      </c>
      <c r="I9026" s="19">
        <f t="shared" si="281"/>
        <v>0</v>
      </c>
    </row>
    <row r="9027" spans="1:9" hidden="1">
      <c r="A9027" s="11" t="s">
        <v>11260</v>
      </c>
      <c r="B9027" s="2" t="s">
        <v>15697</v>
      </c>
      <c r="C9027" s="2" t="s">
        <v>15698</v>
      </c>
      <c r="D9027" s="2"/>
      <c r="E9027" s="2">
        <v>1</v>
      </c>
      <c r="F9027" s="9"/>
      <c r="G9027" s="8">
        <f t="shared" si="280"/>
        <v>317.03559118023168</v>
      </c>
      <c r="H9027" s="8">
        <v>301.93865826688733</v>
      </c>
      <c r="I9027" s="19">
        <f t="shared" si="281"/>
        <v>0</v>
      </c>
    </row>
    <row r="9028" spans="1:9" hidden="1">
      <c r="A9028" s="11" t="s">
        <v>11260</v>
      </c>
      <c r="B9028" s="2" t="s">
        <v>15699</v>
      </c>
      <c r="C9028" s="2" t="s">
        <v>15700</v>
      </c>
      <c r="D9028" s="2"/>
      <c r="E9028" s="2">
        <v>1</v>
      </c>
      <c r="F9028" s="9"/>
      <c r="G9028" s="8">
        <f t="shared" si="280"/>
        <v>255.85643999999999</v>
      </c>
      <c r="H9028" s="8">
        <v>243.6728</v>
      </c>
      <c r="I9028" s="19">
        <f t="shared" si="281"/>
        <v>0</v>
      </c>
    </row>
    <row r="9029" spans="1:9" hidden="1">
      <c r="A9029" s="11" t="s">
        <v>11260</v>
      </c>
      <c r="B9029" s="2" t="s">
        <v>15701</v>
      </c>
      <c r="C9029" s="2" t="s">
        <v>15702</v>
      </c>
      <c r="D9029" s="2"/>
      <c r="E9029" s="2">
        <v>1</v>
      </c>
      <c r="F9029" s="9"/>
      <c r="G9029" s="8">
        <f t="shared" si="280"/>
        <v>350.61725999999999</v>
      </c>
      <c r="H9029" s="8">
        <v>333.9212</v>
      </c>
      <c r="I9029" s="19">
        <f t="shared" si="281"/>
        <v>0</v>
      </c>
    </row>
    <row r="9030" spans="1:9" hidden="1">
      <c r="A9030" s="11" t="s">
        <v>11260</v>
      </c>
      <c r="B9030" s="2" t="s">
        <v>15703</v>
      </c>
      <c r="C9030" s="2" t="s">
        <v>15704</v>
      </c>
      <c r="D9030" s="2"/>
      <c r="E9030" s="2">
        <v>1</v>
      </c>
      <c r="F9030" s="9"/>
      <c r="G9030" s="8">
        <f t="shared" si="280"/>
        <v>339.68388441717792</v>
      </c>
      <c r="H9030" s="8">
        <v>323.50846134969328</v>
      </c>
      <c r="I9030" s="19">
        <f t="shared" si="281"/>
        <v>0</v>
      </c>
    </row>
    <row r="9031" spans="1:9" hidden="1">
      <c r="A9031" s="11" t="s">
        <v>11260</v>
      </c>
      <c r="B9031" s="2" t="s">
        <v>15705</v>
      </c>
      <c r="C9031" s="2" t="s">
        <v>15706</v>
      </c>
      <c r="D9031" s="2"/>
      <c r="E9031" s="2">
        <v>1</v>
      </c>
      <c r="F9031" s="9"/>
      <c r="G9031" s="8">
        <f t="shared" si="280"/>
        <v>113.17842793330283</v>
      </c>
      <c r="H9031" s="8">
        <v>107.78897898409794</v>
      </c>
      <c r="I9031" s="19">
        <f t="shared" si="281"/>
        <v>0</v>
      </c>
    </row>
    <row r="9032" spans="1:9" hidden="1">
      <c r="A9032" s="11" t="s">
        <v>11260</v>
      </c>
      <c r="B9032" s="2" t="s">
        <v>15707</v>
      </c>
      <c r="C9032" s="2" t="s">
        <v>15708</v>
      </c>
      <c r="D9032" s="2"/>
      <c r="E9032" s="2">
        <v>1</v>
      </c>
      <c r="F9032" s="9"/>
      <c r="G9032" s="8">
        <f t="shared" si="280"/>
        <v>0.39107317021276594</v>
      </c>
      <c r="H9032" s="8">
        <v>0.37245063829787234</v>
      </c>
      <c r="I9032" s="19">
        <f t="shared" si="281"/>
        <v>0</v>
      </c>
    </row>
    <row r="9033" spans="1:9" hidden="1">
      <c r="A9033" s="11" t="s">
        <v>11260</v>
      </c>
      <c r="B9033" s="2" t="s">
        <v>15709</v>
      </c>
      <c r="C9033" s="2" t="s">
        <v>15710</v>
      </c>
      <c r="D9033" s="2"/>
      <c r="E9033" s="2">
        <v>1</v>
      </c>
      <c r="F9033" s="9"/>
      <c r="G9033" s="8">
        <f t="shared" si="280"/>
        <v>0.21621600000000002</v>
      </c>
      <c r="H9033" s="8">
        <v>0.20592000000000002</v>
      </c>
      <c r="I9033" s="19">
        <f t="shared" si="281"/>
        <v>0</v>
      </c>
    </row>
    <row r="9034" spans="1:9" hidden="1">
      <c r="A9034" s="11" t="s">
        <v>11260</v>
      </c>
      <c r="B9034" s="2" t="s">
        <v>15711</v>
      </c>
      <c r="C9034" s="2" t="s">
        <v>15712</v>
      </c>
      <c r="D9034" s="2"/>
      <c r="E9034" s="2">
        <v>1</v>
      </c>
      <c r="F9034" s="9"/>
      <c r="G9034" s="8">
        <f t="shared" si="280"/>
        <v>31.442250000000001</v>
      </c>
      <c r="H9034" s="8">
        <v>29.945</v>
      </c>
      <c r="I9034" s="19">
        <f t="shared" si="281"/>
        <v>0</v>
      </c>
    </row>
    <row r="9035" spans="1:9" hidden="1">
      <c r="A9035" s="11" t="s">
        <v>11260</v>
      </c>
      <c r="B9035" s="2" t="s">
        <v>15713</v>
      </c>
      <c r="C9035" s="2" t="s">
        <v>15714</v>
      </c>
      <c r="D9035" s="2"/>
      <c r="E9035" s="2">
        <v>1</v>
      </c>
      <c r="F9035" s="9"/>
      <c r="G9035" s="8">
        <f t="shared" si="280"/>
        <v>50.930880000000002</v>
      </c>
      <c r="H9035" s="8">
        <v>48.505600000000001</v>
      </c>
      <c r="I9035" s="19">
        <f t="shared" si="281"/>
        <v>0</v>
      </c>
    </row>
    <row r="9036" spans="1:9" hidden="1">
      <c r="A9036" s="11" t="s">
        <v>11260</v>
      </c>
      <c r="B9036" s="2" t="s">
        <v>15715</v>
      </c>
      <c r="C9036" s="2" t="s">
        <v>15716</v>
      </c>
      <c r="D9036" s="2"/>
      <c r="E9036" s="2">
        <v>1</v>
      </c>
      <c r="F9036" s="9"/>
      <c r="G9036" s="8">
        <f t="shared" si="280"/>
        <v>591.65077671896483</v>
      </c>
      <c r="H9036" s="8">
        <v>563.47693020853796</v>
      </c>
      <c r="I9036" s="19">
        <f t="shared" si="281"/>
        <v>0</v>
      </c>
    </row>
    <row r="9037" spans="1:9" hidden="1">
      <c r="A9037" s="11" t="s">
        <v>11260</v>
      </c>
      <c r="B9037" s="2" t="s">
        <v>15717</v>
      </c>
      <c r="C9037" s="2" t="s">
        <v>15718</v>
      </c>
      <c r="D9037" s="2"/>
      <c r="E9037" s="2">
        <v>1</v>
      </c>
      <c r="F9037" s="9"/>
      <c r="G9037" s="8">
        <f t="shared" si="280"/>
        <v>757.49404781445116</v>
      </c>
      <c r="H9037" s="8">
        <v>721.42290268042973</v>
      </c>
      <c r="I9037" s="19">
        <f t="shared" si="281"/>
        <v>0</v>
      </c>
    </row>
    <row r="9038" spans="1:9" hidden="1">
      <c r="A9038" s="11" t="s">
        <v>11260</v>
      </c>
      <c r="B9038" s="2" t="s">
        <v>15719</v>
      </c>
      <c r="C9038" s="2" t="s">
        <v>15720</v>
      </c>
      <c r="D9038" s="2"/>
      <c r="E9038" s="2">
        <v>1</v>
      </c>
      <c r="F9038" s="9"/>
      <c r="G9038" s="8">
        <f t="shared" si="280"/>
        <v>591.66071469165581</v>
      </c>
      <c r="H9038" s="8">
        <v>563.4863949444341</v>
      </c>
      <c r="I9038" s="19">
        <f t="shared" si="281"/>
        <v>0</v>
      </c>
    </row>
    <row r="9039" spans="1:9" hidden="1">
      <c r="A9039" s="11" t="s">
        <v>11260</v>
      </c>
      <c r="B9039" s="2" t="s">
        <v>15721</v>
      </c>
      <c r="C9039" s="2" t="s">
        <v>15722</v>
      </c>
      <c r="D9039" s="2"/>
      <c r="E9039" s="2">
        <v>1</v>
      </c>
      <c r="F9039" s="9"/>
      <c r="G9039" s="8">
        <f t="shared" si="280"/>
        <v>27.467739514285714</v>
      </c>
      <c r="H9039" s="8">
        <v>26.159751918367348</v>
      </c>
      <c r="I9039" s="19">
        <f t="shared" si="281"/>
        <v>0</v>
      </c>
    </row>
    <row r="9040" spans="1:9" hidden="1">
      <c r="A9040" s="11" t="s">
        <v>11260</v>
      </c>
      <c r="B9040" s="2" t="s">
        <v>15723</v>
      </c>
      <c r="C9040" s="2" t="s">
        <v>15724</v>
      </c>
      <c r="D9040" s="2"/>
      <c r="E9040" s="2">
        <v>1</v>
      </c>
      <c r="F9040" s="9"/>
      <c r="G9040" s="8">
        <f t="shared" si="280"/>
        <v>21.313949999999998</v>
      </c>
      <c r="H9040" s="8">
        <v>20.298999999999999</v>
      </c>
      <c r="I9040" s="19">
        <f t="shared" si="281"/>
        <v>0</v>
      </c>
    </row>
    <row r="9041" spans="1:9" hidden="1">
      <c r="A9041" s="11" t="s">
        <v>11260</v>
      </c>
      <c r="B9041" s="2" t="s">
        <v>15725</v>
      </c>
      <c r="C9041" s="2" t="s">
        <v>15726</v>
      </c>
      <c r="D9041" s="2"/>
      <c r="E9041" s="2">
        <v>1</v>
      </c>
      <c r="F9041" s="9"/>
      <c r="G9041" s="8">
        <f t="shared" si="280"/>
        <v>26.077590000000004</v>
      </c>
      <c r="H9041" s="8">
        <v>24.835800000000003</v>
      </c>
      <c r="I9041" s="19">
        <f t="shared" si="281"/>
        <v>0</v>
      </c>
    </row>
    <row r="9042" spans="1:9" hidden="1">
      <c r="A9042" s="11" t="s">
        <v>11260</v>
      </c>
      <c r="B9042" s="2" t="s">
        <v>15727</v>
      </c>
      <c r="C9042" s="2" t="s">
        <v>15728</v>
      </c>
      <c r="D9042" s="2"/>
      <c r="E9042" s="2">
        <v>1</v>
      </c>
      <c r="F9042" s="9"/>
      <c r="G9042" s="8">
        <f t="shared" si="280"/>
        <v>2.34843</v>
      </c>
      <c r="H9042" s="8">
        <v>2.2366000000000001</v>
      </c>
      <c r="I9042" s="19">
        <f t="shared" si="281"/>
        <v>0</v>
      </c>
    </row>
    <row r="9043" spans="1:9" hidden="1">
      <c r="A9043" s="11" t="s">
        <v>11260</v>
      </c>
      <c r="B9043" s="2" t="s">
        <v>15729</v>
      </c>
      <c r="C9043" s="2" t="s">
        <v>15730</v>
      </c>
      <c r="D9043" s="2" t="s">
        <v>812</v>
      </c>
      <c r="E9043" s="2">
        <v>1</v>
      </c>
      <c r="F9043" s="9"/>
      <c r="G9043" s="8">
        <f t="shared" si="280"/>
        <v>53.035499999999999</v>
      </c>
      <c r="H9043" s="8">
        <v>50.51</v>
      </c>
      <c r="I9043" s="19">
        <f t="shared" si="281"/>
        <v>0</v>
      </c>
    </row>
    <row r="9044" spans="1:9" hidden="1">
      <c r="A9044" s="11" t="s">
        <v>11260</v>
      </c>
      <c r="B9044" s="2" t="s">
        <v>15731</v>
      </c>
      <c r="C9044" s="2" t="s">
        <v>15732</v>
      </c>
      <c r="D9044" s="2"/>
      <c r="E9044" s="2">
        <v>1</v>
      </c>
      <c r="F9044" s="9"/>
      <c r="G9044" s="8">
        <f t="shared" si="280"/>
        <v>59.135344939577045</v>
      </c>
      <c r="H9044" s="8">
        <v>56.319376132930522</v>
      </c>
      <c r="I9044" s="19">
        <f t="shared" si="281"/>
        <v>0</v>
      </c>
    </row>
    <row r="9045" spans="1:9" hidden="1">
      <c r="A9045" s="11" t="s">
        <v>11260</v>
      </c>
      <c r="B9045" s="2" t="s">
        <v>15733</v>
      </c>
      <c r="C9045" s="2" t="s">
        <v>15734</v>
      </c>
      <c r="D9045" s="2"/>
      <c r="E9045" s="2">
        <v>1</v>
      </c>
      <c r="F9045" s="9"/>
      <c r="G9045" s="8">
        <f t="shared" si="280"/>
        <v>45.176670000000001</v>
      </c>
      <c r="H9045" s="8">
        <v>43.025400000000005</v>
      </c>
      <c r="I9045" s="19">
        <f t="shared" si="281"/>
        <v>0</v>
      </c>
    </row>
    <row r="9046" spans="1:9" hidden="1">
      <c r="A9046" s="11" t="s">
        <v>11260</v>
      </c>
      <c r="B9046" s="2" t="s">
        <v>15735</v>
      </c>
      <c r="C9046" s="2" t="s">
        <v>15736</v>
      </c>
      <c r="D9046" s="2"/>
      <c r="E9046" s="2">
        <v>1</v>
      </c>
      <c r="F9046" s="9"/>
      <c r="G9046" s="8">
        <f t="shared" si="280"/>
        <v>8.2807200000000005</v>
      </c>
      <c r="H9046" s="8">
        <v>7.886400000000001</v>
      </c>
      <c r="I9046" s="19">
        <f t="shared" si="281"/>
        <v>0</v>
      </c>
    </row>
    <row r="9047" spans="1:9" hidden="1">
      <c r="A9047" s="11" t="s">
        <v>11260</v>
      </c>
      <c r="B9047" s="2" t="s">
        <v>15737</v>
      </c>
      <c r="C9047" s="2" t="s">
        <v>15738</v>
      </c>
      <c r="D9047" s="2"/>
      <c r="E9047" s="2">
        <v>1</v>
      </c>
      <c r="F9047" s="9"/>
      <c r="G9047" s="8">
        <f t="shared" si="280"/>
        <v>16.071719999999999</v>
      </c>
      <c r="H9047" s="8">
        <v>15.3064</v>
      </c>
      <c r="I9047" s="19">
        <f t="shared" si="281"/>
        <v>0</v>
      </c>
    </row>
    <row r="9048" spans="1:9" hidden="1">
      <c r="A9048" s="11" t="s">
        <v>11260</v>
      </c>
      <c r="B9048" s="2" t="s">
        <v>15739</v>
      </c>
      <c r="C9048" s="2" t="s">
        <v>15740</v>
      </c>
      <c r="D9048" s="2"/>
      <c r="E9048" s="2">
        <v>1</v>
      </c>
      <c r="F9048" s="9"/>
      <c r="G9048" s="8">
        <f t="shared" ref="G9048:G9111" si="282">H9048+(H9048*5%)</f>
        <v>2.1369600000000002</v>
      </c>
      <c r="H9048" s="8">
        <v>2.0352000000000001</v>
      </c>
      <c r="I9048" s="19">
        <f t="shared" ref="I9048:I9111" si="283">G9048*F9048</f>
        <v>0</v>
      </c>
    </row>
    <row r="9049" spans="1:9" hidden="1">
      <c r="A9049" s="11" t="s">
        <v>11260</v>
      </c>
      <c r="B9049" s="2" t="s">
        <v>15741</v>
      </c>
      <c r="C9049" s="2" t="s">
        <v>15742</v>
      </c>
      <c r="D9049" s="2"/>
      <c r="E9049" s="2">
        <v>1</v>
      </c>
      <c r="F9049" s="9"/>
      <c r="G9049" s="8">
        <f t="shared" si="282"/>
        <v>3.4046965295629827</v>
      </c>
      <c r="H9049" s="8">
        <v>3.2425681233933168</v>
      </c>
      <c r="I9049" s="19">
        <f t="shared" si="283"/>
        <v>0</v>
      </c>
    </row>
    <row r="9050" spans="1:9" hidden="1">
      <c r="A9050" s="11" t="s">
        <v>11260</v>
      </c>
      <c r="B9050" s="2" t="s">
        <v>15743</v>
      </c>
      <c r="C9050" s="2" t="s">
        <v>15744</v>
      </c>
      <c r="D9050" s="2"/>
      <c r="E9050" s="2">
        <v>1</v>
      </c>
      <c r="F9050" s="9"/>
      <c r="G9050" s="8">
        <f t="shared" si="282"/>
        <v>0.21413700000000002</v>
      </c>
      <c r="H9050" s="8">
        <v>0.20394000000000001</v>
      </c>
      <c r="I9050" s="19">
        <f t="shared" si="283"/>
        <v>0</v>
      </c>
    </row>
    <row r="9051" spans="1:9" hidden="1">
      <c r="A9051" s="11" t="s">
        <v>11260</v>
      </c>
      <c r="B9051" s="2" t="s">
        <v>15745</v>
      </c>
      <c r="C9051" s="2" t="s">
        <v>15746</v>
      </c>
      <c r="D9051" s="2"/>
      <c r="E9051" s="2">
        <v>1</v>
      </c>
      <c r="F9051" s="9"/>
      <c r="G9051" s="8">
        <f t="shared" si="282"/>
        <v>9.8329783561643822</v>
      </c>
      <c r="H9051" s="8">
        <v>9.3647412915851262</v>
      </c>
      <c r="I9051" s="19">
        <f t="shared" si="283"/>
        <v>0</v>
      </c>
    </row>
    <row r="9052" spans="1:9" hidden="1">
      <c r="A9052" s="11" t="s">
        <v>11260</v>
      </c>
      <c r="B9052" s="2" t="s">
        <v>15747</v>
      </c>
      <c r="C9052" s="2" t="s">
        <v>15748</v>
      </c>
      <c r="D9052" s="2"/>
      <c r="E9052" s="2">
        <v>1</v>
      </c>
      <c r="F9052" s="9"/>
      <c r="G9052" s="8">
        <f t="shared" si="282"/>
        <v>58.410240000000002</v>
      </c>
      <c r="H9052" s="8">
        <v>55.628799999999998</v>
      </c>
      <c r="I9052" s="19">
        <f t="shared" si="283"/>
        <v>0</v>
      </c>
    </row>
    <row r="9053" spans="1:9" hidden="1">
      <c r="A9053" s="11" t="s">
        <v>11260</v>
      </c>
      <c r="B9053" s="2" t="s">
        <v>15749</v>
      </c>
      <c r="C9053" s="2" t="s">
        <v>15750</v>
      </c>
      <c r="D9053" s="2"/>
      <c r="E9053" s="2">
        <v>1</v>
      </c>
      <c r="F9053" s="9"/>
      <c r="G9053" s="8">
        <f t="shared" si="282"/>
        <v>1.3022099999999999</v>
      </c>
      <c r="H9053" s="8">
        <v>1.2402</v>
      </c>
      <c r="I9053" s="19">
        <f t="shared" si="283"/>
        <v>0</v>
      </c>
    </row>
    <row r="9054" spans="1:9" hidden="1">
      <c r="A9054" s="11" t="s">
        <v>11260</v>
      </c>
      <c r="B9054" s="2" t="s">
        <v>15751</v>
      </c>
      <c r="C9054" s="2" t="s">
        <v>15752</v>
      </c>
      <c r="D9054" s="2"/>
      <c r="E9054" s="2">
        <v>1</v>
      </c>
      <c r="F9054" s="9"/>
      <c r="G9054" s="8">
        <f t="shared" si="282"/>
        <v>60.502679999999998</v>
      </c>
      <c r="H9054" s="8">
        <v>57.621600000000001</v>
      </c>
      <c r="I9054" s="19">
        <f t="shared" si="283"/>
        <v>0</v>
      </c>
    </row>
    <row r="9055" spans="1:9" hidden="1">
      <c r="A9055" s="11" t="s">
        <v>11260</v>
      </c>
      <c r="B9055" s="2" t="s">
        <v>15753</v>
      </c>
      <c r="C9055" s="2" t="s">
        <v>15754</v>
      </c>
      <c r="D9055" s="2"/>
      <c r="E9055" s="2">
        <v>1</v>
      </c>
      <c r="F9055" s="9"/>
      <c r="G9055" s="8">
        <f t="shared" si="282"/>
        <v>44.811774316406243</v>
      </c>
      <c r="H9055" s="8">
        <v>42.677880301339279</v>
      </c>
      <c r="I9055" s="19">
        <f t="shared" si="283"/>
        <v>0</v>
      </c>
    </row>
    <row r="9056" spans="1:9" hidden="1">
      <c r="A9056" s="11" t="s">
        <v>11260</v>
      </c>
      <c r="B9056" s="2" t="s">
        <v>15755</v>
      </c>
      <c r="C9056" s="2" t="s">
        <v>15756</v>
      </c>
      <c r="D9056" s="2"/>
      <c r="E9056" s="2">
        <v>1</v>
      </c>
      <c r="F9056" s="9"/>
      <c r="G9056" s="8">
        <f t="shared" si="282"/>
        <v>3.9511499999999997</v>
      </c>
      <c r="H9056" s="8">
        <v>3.7629999999999999</v>
      </c>
      <c r="I9056" s="19">
        <f t="shared" si="283"/>
        <v>0</v>
      </c>
    </row>
    <row r="9057" spans="1:9" hidden="1">
      <c r="A9057" s="11" t="s">
        <v>11260</v>
      </c>
      <c r="B9057" s="2" t="s">
        <v>15757</v>
      </c>
      <c r="C9057" s="2" t="s">
        <v>15758</v>
      </c>
      <c r="D9057" s="2"/>
      <c r="E9057" s="2">
        <v>1</v>
      </c>
      <c r="F9057" s="9"/>
      <c r="G9057" s="8">
        <f t="shared" si="282"/>
        <v>33.044970000000006</v>
      </c>
      <c r="H9057" s="8">
        <v>31.471400000000003</v>
      </c>
      <c r="I9057" s="19">
        <f t="shared" si="283"/>
        <v>0</v>
      </c>
    </row>
    <row r="9058" spans="1:9" hidden="1">
      <c r="A9058" s="11" t="s">
        <v>11260</v>
      </c>
      <c r="B9058" s="2" t="s">
        <v>15759</v>
      </c>
      <c r="C9058" s="2" t="s">
        <v>15760</v>
      </c>
      <c r="D9058" s="2"/>
      <c r="E9058" s="2">
        <v>1</v>
      </c>
      <c r="F9058" s="9"/>
      <c r="G9058" s="8">
        <f t="shared" si="282"/>
        <v>126.44793000000001</v>
      </c>
      <c r="H9058" s="8">
        <v>120.42660000000001</v>
      </c>
      <c r="I9058" s="19">
        <f t="shared" si="283"/>
        <v>0</v>
      </c>
    </row>
    <row r="9059" spans="1:9" hidden="1">
      <c r="A9059" s="11" t="s">
        <v>11260</v>
      </c>
      <c r="B9059" s="2" t="s">
        <v>15761</v>
      </c>
      <c r="C9059" s="2" t="s">
        <v>15762</v>
      </c>
      <c r="D9059" s="2"/>
      <c r="E9059" s="2">
        <v>1</v>
      </c>
      <c r="F9059" s="9"/>
      <c r="G9059" s="8">
        <f t="shared" si="282"/>
        <v>106.05880211908806</v>
      </c>
      <c r="H9059" s="8">
        <v>101.00838297056005</v>
      </c>
      <c r="I9059" s="19">
        <f t="shared" si="283"/>
        <v>0</v>
      </c>
    </row>
    <row r="9060" spans="1:9" hidden="1">
      <c r="A9060" s="11" t="s">
        <v>11260</v>
      </c>
      <c r="B9060" s="2" t="s">
        <v>15763</v>
      </c>
      <c r="C9060" s="2" t="s">
        <v>15764</v>
      </c>
      <c r="D9060" s="2"/>
      <c r="E9060" s="2">
        <v>1</v>
      </c>
      <c r="F9060" s="9"/>
      <c r="G9060" s="8">
        <f t="shared" si="282"/>
        <v>10.701670238907852</v>
      </c>
      <c r="H9060" s="8">
        <v>10.192066894197954</v>
      </c>
      <c r="I9060" s="19">
        <f t="shared" si="283"/>
        <v>0</v>
      </c>
    </row>
    <row r="9061" spans="1:9" hidden="1">
      <c r="A9061" s="11" t="s">
        <v>11260</v>
      </c>
      <c r="B9061" s="2" t="s">
        <v>15765</v>
      </c>
      <c r="C9061" s="2" t="s">
        <v>15766</v>
      </c>
      <c r="D9061" s="2"/>
      <c r="E9061" s="2">
        <v>1</v>
      </c>
      <c r="F9061" s="9"/>
      <c r="G9061" s="8">
        <f t="shared" si="282"/>
        <v>128.41983000000002</v>
      </c>
      <c r="H9061" s="8">
        <v>122.30460000000001</v>
      </c>
      <c r="I9061" s="19">
        <f t="shared" si="283"/>
        <v>0</v>
      </c>
    </row>
    <row r="9062" spans="1:9" hidden="1">
      <c r="A9062" s="11" t="s">
        <v>11260</v>
      </c>
      <c r="B9062" s="2" t="s">
        <v>15767</v>
      </c>
      <c r="C9062" s="2" t="s">
        <v>15768</v>
      </c>
      <c r="D9062" s="2"/>
      <c r="E9062" s="2">
        <v>1</v>
      </c>
      <c r="F9062" s="9"/>
      <c r="G9062" s="8">
        <f t="shared" si="282"/>
        <v>3.2165699999999999</v>
      </c>
      <c r="H9062" s="8">
        <v>3.0634000000000001</v>
      </c>
      <c r="I9062" s="19">
        <f t="shared" si="283"/>
        <v>0</v>
      </c>
    </row>
    <row r="9063" spans="1:9" hidden="1">
      <c r="A9063" s="11" t="s">
        <v>11260</v>
      </c>
      <c r="B9063" s="2" t="s">
        <v>15769</v>
      </c>
      <c r="C9063" s="2" t="s">
        <v>15770</v>
      </c>
      <c r="D9063" s="2"/>
      <c r="E9063" s="2">
        <v>1</v>
      </c>
      <c r="F9063" s="9"/>
      <c r="G9063" s="8">
        <f t="shared" si="282"/>
        <v>33.169499999999999</v>
      </c>
      <c r="H9063" s="8">
        <v>31.59</v>
      </c>
      <c r="I9063" s="19">
        <f t="shared" si="283"/>
        <v>0</v>
      </c>
    </row>
    <row r="9064" spans="1:9" hidden="1">
      <c r="A9064" s="11" t="s">
        <v>11260</v>
      </c>
      <c r="B9064" s="2" t="s">
        <v>15771</v>
      </c>
      <c r="C9064" s="2" t="s">
        <v>15772</v>
      </c>
      <c r="D9064" s="2"/>
      <c r="E9064" s="2">
        <v>1</v>
      </c>
      <c r="F9064" s="9"/>
      <c r="G9064" s="8">
        <f t="shared" si="282"/>
        <v>87.804569999999998</v>
      </c>
      <c r="H9064" s="8">
        <v>83.623400000000004</v>
      </c>
      <c r="I9064" s="19">
        <f t="shared" si="283"/>
        <v>0</v>
      </c>
    </row>
    <row r="9065" spans="1:9" hidden="1">
      <c r="A9065" s="11" t="s">
        <v>11260</v>
      </c>
      <c r="B9065" s="2" t="s">
        <v>15773</v>
      </c>
      <c r="C9065" s="2" t="s">
        <v>15774</v>
      </c>
      <c r="D9065" s="2"/>
      <c r="E9065" s="2">
        <v>1</v>
      </c>
      <c r="F9065" s="9"/>
      <c r="G9065" s="8">
        <f t="shared" si="282"/>
        <v>1.1129999999999999E-2</v>
      </c>
      <c r="H9065" s="8">
        <v>1.06E-2</v>
      </c>
      <c r="I9065" s="19">
        <f t="shared" si="283"/>
        <v>0</v>
      </c>
    </row>
    <row r="9066" spans="1:9" hidden="1">
      <c r="A9066" s="11" t="s">
        <v>11260</v>
      </c>
      <c r="B9066" s="2" t="s">
        <v>15775</v>
      </c>
      <c r="C9066" s="2" t="s">
        <v>15776</v>
      </c>
      <c r="D9066" s="2"/>
      <c r="E9066" s="2">
        <v>1</v>
      </c>
      <c r="F9066" s="9"/>
      <c r="G9066" s="8">
        <f t="shared" si="282"/>
        <v>3.2642599367088607</v>
      </c>
      <c r="H9066" s="8">
        <v>3.1088189873417722</v>
      </c>
      <c r="I9066" s="19">
        <f t="shared" si="283"/>
        <v>0</v>
      </c>
    </row>
    <row r="9067" spans="1:9" hidden="1">
      <c r="A9067" s="11" t="s">
        <v>11260</v>
      </c>
      <c r="B9067" s="2" t="s">
        <v>15777</v>
      </c>
      <c r="C9067" s="2" t="s">
        <v>15776</v>
      </c>
      <c r="D9067" s="2"/>
      <c r="E9067" s="2">
        <v>1</v>
      </c>
      <c r="F9067" s="9"/>
      <c r="G9067" s="8">
        <f t="shared" si="282"/>
        <v>3.2642599367088607</v>
      </c>
      <c r="H9067" s="8">
        <v>3.1088189873417722</v>
      </c>
      <c r="I9067" s="19">
        <f t="shared" si="283"/>
        <v>0</v>
      </c>
    </row>
    <row r="9068" spans="1:9" hidden="1">
      <c r="A9068" s="11" t="s">
        <v>11260</v>
      </c>
      <c r="B9068" s="2" t="s">
        <v>15778</v>
      </c>
      <c r="C9068" s="2" t="s">
        <v>15779</v>
      </c>
      <c r="D9068" s="2"/>
      <c r="E9068" s="2">
        <v>1</v>
      </c>
      <c r="F9068" s="9"/>
      <c r="G9068" s="8">
        <f t="shared" si="282"/>
        <v>10.023343523316063</v>
      </c>
      <c r="H9068" s="8">
        <v>9.5460414507772029</v>
      </c>
      <c r="I9068" s="19">
        <f t="shared" si="283"/>
        <v>0</v>
      </c>
    </row>
    <row r="9069" spans="1:9" hidden="1">
      <c r="A9069" s="11" t="s">
        <v>11260</v>
      </c>
      <c r="B9069" s="2" t="s">
        <v>15780</v>
      </c>
      <c r="C9069" s="2" t="s">
        <v>15781</v>
      </c>
      <c r="D9069" s="2"/>
      <c r="E9069" s="2">
        <v>1</v>
      </c>
      <c r="F9069" s="9"/>
      <c r="G9069" s="8">
        <f t="shared" si="282"/>
        <v>45.666390000000007</v>
      </c>
      <c r="H9069" s="8">
        <v>43.491800000000005</v>
      </c>
      <c r="I9069" s="19">
        <f t="shared" si="283"/>
        <v>0</v>
      </c>
    </row>
    <row r="9070" spans="1:9" hidden="1">
      <c r="A9070" s="11" t="s">
        <v>11260</v>
      </c>
      <c r="B9070" s="2" t="s">
        <v>15782</v>
      </c>
      <c r="C9070" s="2" t="s">
        <v>15783</v>
      </c>
      <c r="D9070" s="2"/>
      <c r="E9070" s="2">
        <v>1</v>
      </c>
      <c r="F9070" s="9"/>
      <c r="G9070" s="8">
        <f t="shared" si="282"/>
        <v>72.698430000000002</v>
      </c>
      <c r="H9070" s="8">
        <v>69.236599999999996</v>
      </c>
      <c r="I9070" s="19">
        <f t="shared" si="283"/>
        <v>0</v>
      </c>
    </row>
    <row r="9071" spans="1:9" hidden="1">
      <c r="A9071" s="11" t="s">
        <v>11260</v>
      </c>
      <c r="B9071" s="2" t="s">
        <v>15784</v>
      </c>
      <c r="C9071" s="2" t="s">
        <v>15785</v>
      </c>
      <c r="D9071" s="2"/>
      <c r="E9071" s="2">
        <v>1</v>
      </c>
      <c r="F9071" s="9"/>
      <c r="G9071" s="8">
        <f t="shared" si="282"/>
        <v>58.877666994712115</v>
      </c>
      <c r="H9071" s="8">
        <v>56.073968566392487</v>
      </c>
      <c r="I9071" s="19">
        <f t="shared" si="283"/>
        <v>0</v>
      </c>
    </row>
    <row r="9072" spans="1:9" hidden="1">
      <c r="A9072" s="11" t="s">
        <v>11260</v>
      </c>
      <c r="B9072" s="2" t="s">
        <v>15786</v>
      </c>
      <c r="C9072" s="2" t="s">
        <v>15787</v>
      </c>
      <c r="D9072" s="2"/>
      <c r="E9072" s="2">
        <v>1</v>
      </c>
      <c r="F9072" s="9"/>
      <c r="G9072" s="8">
        <f t="shared" si="282"/>
        <v>90.098578425355441</v>
      </c>
      <c r="H9072" s="8">
        <v>85.808169928909948</v>
      </c>
      <c r="I9072" s="19">
        <f t="shared" si="283"/>
        <v>0</v>
      </c>
    </row>
    <row r="9073" spans="1:9" hidden="1">
      <c r="A9073" s="11" t="s">
        <v>11260</v>
      </c>
      <c r="B9073" s="2" t="s">
        <v>15788</v>
      </c>
      <c r="C9073" s="2" t="s">
        <v>15787</v>
      </c>
      <c r="D9073" s="2"/>
      <c r="E9073" s="2">
        <v>1</v>
      </c>
      <c r="F9073" s="9"/>
      <c r="G9073" s="8">
        <f t="shared" si="282"/>
        <v>69.486374999999995</v>
      </c>
      <c r="H9073" s="8">
        <v>66.177499999999995</v>
      </c>
      <c r="I9073" s="19">
        <f t="shared" si="283"/>
        <v>0</v>
      </c>
    </row>
    <row r="9074" spans="1:9" hidden="1">
      <c r="A9074" s="11" t="s">
        <v>11260</v>
      </c>
      <c r="B9074" s="2" t="s">
        <v>15789</v>
      </c>
      <c r="C9074" s="2" t="s">
        <v>15787</v>
      </c>
      <c r="D9074" s="2"/>
      <c r="E9074" s="2">
        <v>1</v>
      </c>
      <c r="F9074" s="9"/>
      <c r="G9074" s="8">
        <f t="shared" si="282"/>
        <v>127.19384671482304</v>
      </c>
      <c r="H9074" s="8">
        <v>121.13699687126004</v>
      </c>
      <c r="I9074" s="19">
        <f t="shared" si="283"/>
        <v>0</v>
      </c>
    </row>
    <row r="9075" spans="1:9" hidden="1">
      <c r="A9075" s="11" t="s">
        <v>11260</v>
      </c>
      <c r="B9075" s="2" t="s">
        <v>15790</v>
      </c>
      <c r="C9075" s="2" t="s">
        <v>15791</v>
      </c>
      <c r="D9075" s="2"/>
      <c r="E9075" s="2">
        <v>1</v>
      </c>
      <c r="F9075" s="9"/>
      <c r="G9075" s="8">
        <f t="shared" si="282"/>
        <v>3.1609200000000004</v>
      </c>
      <c r="H9075" s="8">
        <v>3.0104000000000002</v>
      </c>
      <c r="I9075" s="19">
        <f t="shared" si="283"/>
        <v>0</v>
      </c>
    </row>
    <row r="9076" spans="1:9" hidden="1">
      <c r="A9076" s="11" t="s">
        <v>11260</v>
      </c>
      <c r="B9076" s="2" t="s">
        <v>15792</v>
      </c>
      <c r="C9076" s="2" t="s">
        <v>15793</v>
      </c>
      <c r="D9076" s="2"/>
      <c r="E9076" s="2">
        <v>1</v>
      </c>
      <c r="F9076" s="9"/>
      <c r="G9076" s="8">
        <f t="shared" si="282"/>
        <v>13.560172405518896</v>
      </c>
      <c r="H9076" s="8">
        <v>12.914449910017996</v>
      </c>
      <c r="I9076" s="19">
        <f t="shared" si="283"/>
        <v>0</v>
      </c>
    </row>
    <row r="9077" spans="1:9" hidden="1">
      <c r="A9077" s="11" t="s">
        <v>11260</v>
      </c>
      <c r="B9077" s="2" t="s">
        <v>15794</v>
      </c>
      <c r="C9077" s="2" t="s">
        <v>15795</v>
      </c>
      <c r="D9077" s="2"/>
      <c r="E9077" s="2">
        <v>1</v>
      </c>
      <c r="F9077" s="9"/>
      <c r="G9077" s="8">
        <f t="shared" si="282"/>
        <v>2.1146999999999996</v>
      </c>
      <c r="H9077" s="8">
        <v>2.0139999999999998</v>
      </c>
      <c r="I9077" s="19">
        <f t="shared" si="283"/>
        <v>0</v>
      </c>
    </row>
    <row r="9078" spans="1:9" hidden="1">
      <c r="A9078" s="11" t="s">
        <v>11260</v>
      </c>
      <c r="B9078" s="2" t="s">
        <v>15796</v>
      </c>
      <c r="C9078" s="2" t="s">
        <v>15797</v>
      </c>
      <c r="D9078" s="2"/>
      <c r="E9078" s="2">
        <v>1</v>
      </c>
      <c r="F9078" s="9"/>
      <c r="G9078" s="8">
        <f t="shared" si="282"/>
        <v>4.7525099999999991</v>
      </c>
      <c r="H9078" s="8">
        <v>4.5261999999999993</v>
      </c>
      <c r="I9078" s="19">
        <f t="shared" si="283"/>
        <v>0</v>
      </c>
    </row>
    <row r="9079" spans="1:9" hidden="1">
      <c r="A9079" s="11" t="s">
        <v>11260</v>
      </c>
      <c r="B9079" s="2" t="s">
        <v>15798</v>
      </c>
      <c r="C9079" s="2" t="s">
        <v>15799</v>
      </c>
      <c r="D9079" s="2"/>
      <c r="E9079" s="2">
        <v>1</v>
      </c>
      <c r="F9079" s="9"/>
      <c r="G9079" s="8">
        <f t="shared" si="282"/>
        <v>1.5582</v>
      </c>
      <c r="H9079" s="8">
        <v>1.484</v>
      </c>
      <c r="I9079" s="19">
        <f t="shared" si="283"/>
        <v>0</v>
      </c>
    </row>
    <row r="9080" spans="1:9" hidden="1">
      <c r="A9080" s="11" t="s">
        <v>11260</v>
      </c>
      <c r="B9080" s="2" t="s">
        <v>15800</v>
      </c>
      <c r="C9080" s="2" t="s">
        <v>15801</v>
      </c>
      <c r="D9080" s="2"/>
      <c r="E9080" s="2">
        <v>1</v>
      </c>
      <c r="F9080" s="9"/>
      <c r="G9080" s="8">
        <f t="shared" si="282"/>
        <v>0.66780000000000006</v>
      </c>
      <c r="H9080" s="8">
        <v>0.63600000000000001</v>
      </c>
      <c r="I9080" s="19">
        <f t="shared" si="283"/>
        <v>0</v>
      </c>
    </row>
    <row r="9081" spans="1:9" hidden="1">
      <c r="A9081" s="11" t="s">
        <v>11260</v>
      </c>
      <c r="B9081" s="2" t="s">
        <v>15802</v>
      </c>
      <c r="C9081" s="2" t="s">
        <v>15803</v>
      </c>
      <c r="D9081" s="2"/>
      <c r="E9081" s="2">
        <v>1</v>
      </c>
      <c r="F9081" s="9"/>
      <c r="G9081" s="8">
        <f t="shared" si="282"/>
        <v>1.6695000000000002</v>
      </c>
      <c r="H9081" s="8">
        <v>1.59</v>
      </c>
      <c r="I9081" s="19">
        <f t="shared" si="283"/>
        <v>0</v>
      </c>
    </row>
    <row r="9082" spans="1:9" hidden="1">
      <c r="A9082" s="11" t="s">
        <v>11260</v>
      </c>
      <c r="B9082" s="2" t="s">
        <v>15804</v>
      </c>
      <c r="C9082" s="2" t="s">
        <v>15805</v>
      </c>
      <c r="D9082" s="2"/>
      <c r="E9082" s="2">
        <v>1</v>
      </c>
      <c r="F9082" s="9"/>
      <c r="G9082" s="8">
        <f t="shared" si="282"/>
        <v>1.6806300000000001</v>
      </c>
      <c r="H9082" s="8">
        <v>1.6006</v>
      </c>
      <c r="I9082" s="19">
        <f t="shared" si="283"/>
        <v>0</v>
      </c>
    </row>
    <row r="9083" spans="1:9" hidden="1">
      <c r="A9083" s="11" t="s">
        <v>11260</v>
      </c>
      <c r="B9083" s="2" t="s">
        <v>15806</v>
      </c>
      <c r="C9083" s="2" t="s">
        <v>15807</v>
      </c>
      <c r="D9083" s="2"/>
      <c r="E9083" s="2">
        <v>1</v>
      </c>
      <c r="F9083" s="9"/>
      <c r="G9083" s="8">
        <f t="shared" si="282"/>
        <v>1.2664519148936173</v>
      </c>
      <c r="H9083" s="8">
        <v>1.2061446808510641</v>
      </c>
      <c r="I9083" s="19">
        <f t="shared" si="283"/>
        <v>0</v>
      </c>
    </row>
    <row r="9084" spans="1:9" hidden="1">
      <c r="A9084" s="11" t="s">
        <v>11260</v>
      </c>
      <c r="B9084" s="2" t="s">
        <v>15808</v>
      </c>
      <c r="C9084" s="2" t="s">
        <v>15809</v>
      </c>
      <c r="D9084" s="2"/>
      <c r="E9084" s="2">
        <v>1</v>
      </c>
      <c r="F9084" s="9"/>
      <c r="G9084" s="8">
        <f t="shared" si="282"/>
        <v>1.0654834615384614</v>
      </c>
      <c r="H9084" s="8">
        <v>1.0147461538461537</v>
      </c>
      <c r="I9084" s="19">
        <f t="shared" si="283"/>
        <v>0</v>
      </c>
    </row>
    <row r="9085" spans="1:9" hidden="1">
      <c r="A9085" s="11" t="s">
        <v>11260</v>
      </c>
      <c r="B9085" s="2" t="s">
        <v>15810</v>
      </c>
      <c r="C9085" s="2" t="s">
        <v>15811</v>
      </c>
      <c r="D9085" s="2"/>
      <c r="E9085" s="2">
        <v>1</v>
      </c>
      <c r="F9085" s="9"/>
      <c r="G9085" s="8">
        <f t="shared" si="282"/>
        <v>4.2369067836257317</v>
      </c>
      <c r="H9085" s="8">
        <v>4.0351493177387923</v>
      </c>
      <c r="I9085" s="19">
        <f t="shared" si="283"/>
        <v>0</v>
      </c>
    </row>
    <row r="9086" spans="1:9">
      <c r="A9086" s="11" t="s">
        <v>11260</v>
      </c>
      <c r="B9086" s="2" t="s">
        <v>15812</v>
      </c>
      <c r="C9086" s="2" t="s">
        <v>15813</v>
      </c>
      <c r="D9086" s="2"/>
      <c r="E9086" s="2">
        <v>1</v>
      </c>
      <c r="F9086" s="9">
        <v>2</v>
      </c>
      <c r="G9086" s="8">
        <f t="shared" si="282"/>
        <v>32.688810000000004</v>
      </c>
      <c r="H9086" s="8">
        <v>31.132200000000001</v>
      </c>
      <c r="I9086" s="19">
        <f t="shared" si="283"/>
        <v>65.377620000000007</v>
      </c>
    </row>
    <row r="9087" spans="1:9">
      <c r="A9087" s="11" t="s">
        <v>11260</v>
      </c>
      <c r="B9087" s="2" t="s">
        <v>15814</v>
      </c>
      <c r="C9087" s="2" t="s">
        <v>15815</v>
      </c>
      <c r="D9087" s="2"/>
      <c r="E9087" s="2">
        <v>1</v>
      </c>
      <c r="F9087" s="9">
        <v>2</v>
      </c>
      <c r="G9087" s="8">
        <f t="shared" si="282"/>
        <v>39.654972358974355</v>
      </c>
      <c r="H9087" s="8">
        <v>37.76664034188034</v>
      </c>
      <c r="I9087" s="19">
        <f t="shared" si="283"/>
        <v>79.30994471794871</v>
      </c>
    </row>
    <row r="9088" spans="1:9" hidden="1">
      <c r="A9088" s="11" t="s">
        <v>11260</v>
      </c>
      <c r="B9088" s="2" t="s">
        <v>15816</v>
      </c>
      <c r="C9088" s="2" t="s">
        <v>15817</v>
      </c>
      <c r="D9088" s="2"/>
      <c r="E9088" s="2">
        <v>1</v>
      </c>
      <c r="F9088" s="9"/>
      <c r="G9088" s="8">
        <f t="shared" si="282"/>
        <v>4.5741782714054935</v>
      </c>
      <c r="H9088" s="8">
        <v>4.3563602584814225</v>
      </c>
      <c r="I9088" s="19">
        <f t="shared" si="283"/>
        <v>0</v>
      </c>
    </row>
    <row r="9089" spans="1:9" hidden="1">
      <c r="A9089" s="11" t="s">
        <v>11260</v>
      </c>
      <c r="B9089" s="2" t="s">
        <v>15818</v>
      </c>
      <c r="C9089" s="2" t="s">
        <v>15819</v>
      </c>
      <c r="D9089" s="2"/>
      <c r="E9089" s="2">
        <v>1</v>
      </c>
      <c r="F9089" s="9"/>
      <c r="G9089" s="8">
        <f t="shared" si="282"/>
        <v>4.2942754010695188</v>
      </c>
      <c r="H9089" s="8">
        <v>4.0897860962566845</v>
      </c>
      <c r="I9089" s="19">
        <f t="shared" si="283"/>
        <v>0</v>
      </c>
    </row>
    <row r="9090" spans="1:9" hidden="1">
      <c r="A9090" s="11" t="s">
        <v>11260</v>
      </c>
      <c r="B9090" s="2" t="s">
        <v>15820</v>
      </c>
      <c r="C9090" s="2" t="s">
        <v>15821</v>
      </c>
      <c r="D9090" s="2"/>
      <c r="E9090" s="2">
        <v>1</v>
      </c>
      <c r="F9090" s="9"/>
      <c r="G9090" s="8">
        <f t="shared" si="282"/>
        <v>12.416647699115043</v>
      </c>
      <c r="H9090" s="8">
        <v>11.825378761061945</v>
      </c>
      <c r="I9090" s="19">
        <f t="shared" si="283"/>
        <v>0</v>
      </c>
    </row>
    <row r="9091" spans="1:9" hidden="1">
      <c r="A9091" s="11" t="s">
        <v>11260</v>
      </c>
      <c r="B9091" s="2" t="s">
        <v>15822</v>
      </c>
      <c r="C9091" s="2" t="s">
        <v>15823</v>
      </c>
      <c r="D9091" s="2"/>
      <c r="E9091" s="2">
        <v>1</v>
      </c>
      <c r="F9091" s="9"/>
      <c r="G9091" s="8">
        <f t="shared" si="282"/>
        <v>9.9344732530120492</v>
      </c>
      <c r="H9091" s="8">
        <v>9.4614030981067128</v>
      </c>
      <c r="I9091" s="19">
        <f t="shared" si="283"/>
        <v>0</v>
      </c>
    </row>
    <row r="9092" spans="1:9" hidden="1">
      <c r="A9092" s="11" t="s">
        <v>11260</v>
      </c>
      <c r="B9092" s="2" t="s">
        <v>15824</v>
      </c>
      <c r="C9092" s="2" t="s">
        <v>15825</v>
      </c>
      <c r="D9092" s="2"/>
      <c r="E9092" s="2">
        <v>1</v>
      </c>
      <c r="F9092" s="9"/>
      <c r="G9092" s="8">
        <f t="shared" si="282"/>
        <v>3.6264378523489942</v>
      </c>
      <c r="H9092" s="8">
        <v>3.4537503355704708</v>
      </c>
      <c r="I9092" s="19">
        <f t="shared" si="283"/>
        <v>0</v>
      </c>
    </row>
    <row r="9093" spans="1:9" hidden="1">
      <c r="A9093" s="11" t="s">
        <v>11260</v>
      </c>
      <c r="B9093" s="2" t="s">
        <v>15826</v>
      </c>
      <c r="C9093" s="2" t="s">
        <v>15827</v>
      </c>
      <c r="D9093" s="2"/>
      <c r="E9093" s="2">
        <v>1</v>
      </c>
      <c r="F9093" s="9"/>
      <c r="G9093" s="8">
        <f t="shared" si="282"/>
        <v>6.7225200000000003</v>
      </c>
      <c r="H9093" s="8">
        <v>6.4024000000000001</v>
      </c>
      <c r="I9093" s="19">
        <f t="shared" si="283"/>
        <v>0</v>
      </c>
    </row>
    <row r="9094" spans="1:9" hidden="1">
      <c r="A9094" s="11" t="s">
        <v>11260</v>
      </c>
      <c r="B9094" s="2" t="s">
        <v>15828</v>
      </c>
      <c r="C9094" s="2" t="s">
        <v>15829</v>
      </c>
      <c r="D9094" s="2"/>
      <c r="E9094" s="2">
        <v>1</v>
      </c>
      <c r="F9094" s="9"/>
      <c r="G9094" s="8">
        <f t="shared" si="282"/>
        <v>4.0847100000000003</v>
      </c>
      <c r="H9094" s="8">
        <v>3.8902000000000001</v>
      </c>
      <c r="I9094" s="19">
        <f t="shared" si="283"/>
        <v>0</v>
      </c>
    </row>
    <row r="9095" spans="1:9" hidden="1">
      <c r="A9095" s="11" t="s">
        <v>11260</v>
      </c>
      <c r="B9095" s="2" t="s">
        <v>15830</v>
      </c>
      <c r="C9095" s="2" t="s">
        <v>15831</v>
      </c>
      <c r="D9095" s="2"/>
      <c r="E9095" s="2">
        <v>1</v>
      </c>
      <c r="F9095" s="9"/>
      <c r="G9095" s="8">
        <f t="shared" si="282"/>
        <v>36.511892539062501</v>
      </c>
      <c r="H9095" s="8">
        <v>34.773230989583332</v>
      </c>
      <c r="I9095" s="19">
        <f t="shared" si="283"/>
        <v>0</v>
      </c>
    </row>
    <row r="9096" spans="1:9" hidden="1">
      <c r="A9096" s="11" t="s">
        <v>11260</v>
      </c>
      <c r="B9096" s="2" t="s">
        <v>15832</v>
      </c>
      <c r="C9096" s="2" t="s">
        <v>15833</v>
      </c>
      <c r="D9096" s="2"/>
      <c r="E9096" s="2">
        <v>1</v>
      </c>
      <c r="F9096" s="9"/>
      <c r="G9096" s="8">
        <f t="shared" si="282"/>
        <v>11.979114827586208</v>
      </c>
      <c r="H9096" s="8">
        <v>11.408680788177341</v>
      </c>
      <c r="I9096" s="19">
        <f t="shared" si="283"/>
        <v>0</v>
      </c>
    </row>
    <row r="9097" spans="1:9" hidden="1">
      <c r="A9097" s="11" t="s">
        <v>11260</v>
      </c>
      <c r="B9097" s="2" t="s">
        <v>15834</v>
      </c>
      <c r="C9097" s="2" t="s">
        <v>15835</v>
      </c>
      <c r="D9097" s="2"/>
      <c r="E9097" s="2">
        <v>1</v>
      </c>
      <c r="F9097" s="9"/>
      <c r="G9097" s="8">
        <f t="shared" si="282"/>
        <v>11.733069668246447</v>
      </c>
      <c r="H9097" s="8">
        <v>11.174352064996617</v>
      </c>
      <c r="I9097" s="19">
        <f t="shared" si="283"/>
        <v>0</v>
      </c>
    </row>
    <row r="9098" spans="1:9">
      <c r="A9098" s="11" t="s">
        <v>11260</v>
      </c>
      <c r="B9098" s="2" t="s">
        <v>15836</v>
      </c>
      <c r="C9098" s="2" t="s">
        <v>15837</v>
      </c>
      <c r="D9098" s="2"/>
      <c r="E9098" s="2">
        <v>1</v>
      </c>
      <c r="F9098" s="9">
        <v>20</v>
      </c>
      <c r="G9098" s="8">
        <f t="shared" si="282"/>
        <v>36.641944007029885</v>
      </c>
      <c r="H9098" s="8">
        <v>34.897089530504651</v>
      </c>
      <c r="I9098" s="19">
        <f t="shared" si="283"/>
        <v>732.83888014059767</v>
      </c>
    </row>
    <row r="9099" spans="1:9">
      <c r="A9099" s="11" t="s">
        <v>11260</v>
      </c>
      <c r="B9099" s="2" t="s">
        <v>15838</v>
      </c>
      <c r="C9099" s="2" t="s">
        <v>15837</v>
      </c>
      <c r="D9099" s="2"/>
      <c r="E9099" s="2">
        <v>1</v>
      </c>
      <c r="F9099" s="9">
        <v>4</v>
      </c>
      <c r="G9099" s="8">
        <f t="shared" si="282"/>
        <v>63.183001850649354</v>
      </c>
      <c r="H9099" s="8">
        <v>60.174287476808907</v>
      </c>
      <c r="I9099" s="19">
        <f t="shared" si="283"/>
        <v>252.73200740259742</v>
      </c>
    </row>
    <row r="9100" spans="1:9" hidden="1">
      <c r="A9100" s="11" t="s">
        <v>11260</v>
      </c>
      <c r="B9100" s="2" t="s">
        <v>15839</v>
      </c>
      <c r="C9100" s="2" t="s">
        <v>15840</v>
      </c>
      <c r="D9100" s="2"/>
      <c r="E9100" s="2">
        <v>1</v>
      </c>
      <c r="F9100" s="9"/>
      <c r="G9100" s="8">
        <f t="shared" si="282"/>
        <v>77.707797387640454</v>
      </c>
      <c r="H9100" s="8">
        <v>74.007426083467095</v>
      </c>
      <c r="I9100" s="19">
        <f t="shared" si="283"/>
        <v>0</v>
      </c>
    </row>
    <row r="9101" spans="1:9" hidden="1">
      <c r="A9101" s="11" t="s">
        <v>11260</v>
      </c>
      <c r="B9101" s="2" t="s">
        <v>15841</v>
      </c>
      <c r="C9101" s="2" t="s">
        <v>15842</v>
      </c>
      <c r="D9101" s="2"/>
      <c r="E9101" s="2">
        <v>1</v>
      </c>
      <c r="F9101" s="9"/>
      <c r="G9101" s="8">
        <f t="shared" si="282"/>
        <v>83.836354338633285</v>
      </c>
      <c r="H9101" s="8">
        <v>79.844146989174561</v>
      </c>
      <c r="I9101" s="19">
        <f t="shared" si="283"/>
        <v>0</v>
      </c>
    </row>
    <row r="9102" spans="1:9" hidden="1">
      <c r="A9102" s="11" t="s">
        <v>11260</v>
      </c>
      <c r="B9102" s="2" t="s">
        <v>15843</v>
      </c>
      <c r="C9102" s="2" t="s">
        <v>15844</v>
      </c>
      <c r="D9102" s="2"/>
      <c r="E9102" s="2">
        <v>1</v>
      </c>
      <c r="F9102" s="9"/>
      <c r="G9102" s="8">
        <f t="shared" si="282"/>
        <v>87.039021784537496</v>
      </c>
      <c r="H9102" s="8">
        <v>82.894306461464282</v>
      </c>
      <c r="I9102" s="19">
        <f t="shared" si="283"/>
        <v>0</v>
      </c>
    </row>
    <row r="9103" spans="1:9" hidden="1">
      <c r="A9103" s="11" t="s">
        <v>11260</v>
      </c>
      <c r="B9103" s="2" t="s">
        <v>15845</v>
      </c>
      <c r="C9103" s="2" t="s">
        <v>15846</v>
      </c>
      <c r="D9103" s="2"/>
      <c r="E9103" s="2">
        <v>1</v>
      </c>
      <c r="F9103" s="9"/>
      <c r="G9103" s="8">
        <f t="shared" si="282"/>
        <v>4.2961799999999997</v>
      </c>
      <c r="H9103" s="8">
        <v>4.0915999999999997</v>
      </c>
      <c r="I9103" s="19">
        <f t="shared" si="283"/>
        <v>0</v>
      </c>
    </row>
    <row r="9104" spans="1:9" hidden="1">
      <c r="A9104" s="11" t="s">
        <v>11260</v>
      </c>
      <c r="B9104" s="2" t="s">
        <v>15847</v>
      </c>
      <c r="C9104" s="2" t="s">
        <v>15848</v>
      </c>
      <c r="D9104" s="2"/>
      <c r="E9104" s="2">
        <v>1</v>
      </c>
      <c r="F9104" s="9"/>
      <c r="G9104" s="8">
        <f t="shared" si="282"/>
        <v>4.2961799999999997</v>
      </c>
      <c r="H9104" s="8">
        <v>4.0915999999999997</v>
      </c>
      <c r="I9104" s="19">
        <f t="shared" si="283"/>
        <v>0</v>
      </c>
    </row>
    <row r="9105" spans="1:9" hidden="1">
      <c r="A9105" s="11" t="s">
        <v>11260</v>
      </c>
      <c r="B9105" s="2" t="s">
        <v>15849</v>
      </c>
      <c r="C9105" s="2" t="s">
        <v>15850</v>
      </c>
      <c r="D9105" s="2"/>
      <c r="E9105" s="2">
        <v>1</v>
      </c>
      <c r="F9105" s="9"/>
      <c r="G9105" s="8">
        <f t="shared" si="282"/>
        <v>9.2267700000000001</v>
      </c>
      <c r="H9105" s="8">
        <v>8.7873999999999999</v>
      </c>
      <c r="I9105" s="19">
        <f t="shared" si="283"/>
        <v>0</v>
      </c>
    </row>
    <row r="9106" spans="1:9" hidden="1">
      <c r="A9106" s="11" t="s">
        <v>11260</v>
      </c>
      <c r="B9106" s="2" t="s">
        <v>15851</v>
      </c>
      <c r="C9106" s="2" t="s">
        <v>15852</v>
      </c>
      <c r="D9106" s="2"/>
      <c r="E9106" s="2">
        <v>1</v>
      </c>
      <c r="F9106" s="9"/>
      <c r="G9106" s="8">
        <f t="shared" si="282"/>
        <v>7.1232000000000006</v>
      </c>
      <c r="H9106" s="8">
        <v>6.7840000000000007</v>
      </c>
      <c r="I9106" s="19">
        <f t="shared" si="283"/>
        <v>0</v>
      </c>
    </row>
    <row r="9107" spans="1:9" hidden="1">
      <c r="A9107" s="11" t="s">
        <v>11260</v>
      </c>
      <c r="B9107" s="2" t="s">
        <v>15853</v>
      </c>
      <c r="C9107" s="2" t="s">
        <v>15854</v>
      </c>
      <c r="D9107" s="2"/>
      <c r="E9107" s="2">
        <v>1</v>
      </c>
      <c r="F9107" s="9"/>
      <c r="G9107" s="8">
        <f t="shared" si="282"/>
        <v>7.1232000000000006</v>
      </c>
      <c r="H9107" s="8">
        <v>6.7840000000000007</v>
      </c>
      <c r="I9107" s="19">
        <f t="shared" si="283"/>
        <v>0</v>
      </c>
    </row>
    <row r="9108" spans="1:9" hidden="1">
      <c r="A9108" s="11" t="s">
        <v>11260</v>
      </c>
      <c r="B9108" s="2" t="s">
        <v>15855</v>
      </c>
      <c r="C9108" s="2" t="s">
        <v>15856</v>
      </c>
      <c r="D9108" s="2"/>
      <c r="E9108" s="2">
        <v>1</v>
      </c>
      <c r="F9108" s="9"/>
      <c r="G9108" s="8">
        <f t="shared" si="282"/>
        <v>9.2272808852459018</v>
      </c>
      <c r="H9108" s="8">
        <v>8.7878865573770497</v>
      </c>
      <c r="I9108" s="19">
        <f t="shared" si="283"/>
        <v>0</v>
      </c>
    </row>
    <row r="9109" spans="1:9" hidden="1">
      <c r="A9109" s="11" t="s">
        <v>11260</v>
      </c>
      <c r="B9109" s="2" t="s">
        <v>15857</v>
      </c>
      <c r="C9109" s="2" t="s">
        <v>15858</v>
      </c>
      <c r="D9109" s="2"/>
      <c r="E9109" s="2">
        <v>1</v>
      </c>
      <c r="F9109" s="9"/>
      <c r="G9109" s="8">
        <f t="shared" si="282"/>
        <v>14.190750000000001</v>
      </c>
      <c r="H9109" s="8">
        <v>13.515000000000001</v>
      </c>
      <c r="I9109" s="19">
        <f t="shared" si="283"/>
        <v>0</v>
      </c>
    </row>
    <row r="9110" spans="1:9" hidden="1">
      <c r="A9110" s="11" t="s">
        <v>11260</v>
      </c>
      <c r="B9110" s="2" t="s">
        <v>15859</v>
      </c>
      <c r="C9110" s="2" t="s">
        <v>15860</v>
      </c>
      <c r="D9110" s="2"/>
      <c r="E9110" s="2">
        <v>1</v>
      </c>
      <c r="F9110" s="9"/>
      <c r="G9110" s="8">
        <f t="shared" si="282"/>
        <v>14.190750000000001</v>
      </c>
      <c r="H9110" s="8">
        <v>13.515000000000001</v>
      </c>
      <c r="I9110" s="19">
        <f t="shared" si="283"/>
        <v>0</v>
      </c>
    </row>
    <row r="9111" spans="1:9" hidden="1">
      <c r="A9111" s="11" t="s">
        <v>11260</v>
      </c>
      <c r="B9111" s="2" t="s">
        <v>15861</v>
      </c>
      <c r="C9111" s="2" t="s">
        <v>15862</v>
      </c>
      <c r="D9111" s="2"/>
      <c r="E9111" s="2">
        <v>1</v>
      </c>
      <c r="F9111" s="9"/>
      <c r="G9111" s="8">
        <f t="shared" si="282"/>
        <v>1.9143600000000003</v>
      </c>
      <c r="H9111" s="8">
        <v>1.8232000000000002</v>
      </c>
      <c r="I9111" s="19">
        <f t="shared" si="283"/>
        <v>0</v>
      </c>
    </row>
    <row r="9112" spans="1:9" hidden="1">
      <c r="A9112" s="11" t="s">
        <v>11260</v>
      </c>
      <c r="B9112" s="2" t="s">
        <v>15863</v>
      </c>
      <c r="C9112" s="2" t="s">
        <v>15864</v>
      </c>
      <c r="D9112" s="2"/>
      <c r="E9112" s="2">
        <v>1</v>
      </c>
      <c r="F9112" s="9"/>
      <c r="G9112" s="8">
        <f t="shared" ref="G9112:G9175" si="284">H9112+(H9112*5%)</f>
        <v>1.1241300000000001</v>
      </c>
      <c r="H9112" s="8">
        <v>1.0706</v>
      </c>
      <c r="I9112" s="19">
        <f t="shared" ref="I9112:I9175" si="285">G9112*F9112</f>
        <v>0</v>
      </c>
    </row>
    <row r="9113" spans="1:9" hidden="1">
      <c r="A9113" s="11" t="s">
        <v>11260</v>
      </c>
      <c r="B9113" s="2" t="s">
        <v>15865</v>
      </c>
      <c r="C9113" s="2" t="s">
        <v>15866</v>
      </c>
      <c r="D9113" s="2"/>
      <c r="E9113" s="2">
        <v>1</v>
      </c>
      <c r="F9113" s="9"/>
      <c r="G9113" s="8">
        <f t="shared" si="284"/>
        <v>102.46718933227346</v>
      </c>
      <c r="H9113" s="8">
        <v>97.587799364069966</v>
      </c>
      <c r="I9113" s="19">
        <f t="shared" si="285"/>
        <v>0</v>
      </c>
    </row>
    <row r="9114" spans="1:9" hidden="1">
      <c r="A9114" s="11" t="s">
        <v>11260</v>
      </c>
      <c r="B9114" s="2" t="s">
        <v>15867</v>
      </c>
      <c r="C9114" s="2" t="s">
        <v>15868</v>
      </c>
      <c r="D9114" s="2"/>
      <c r="E9114" s="2">
        <v>1</v>
      </c>
      <c r="F9114" s="9"/>
      <c r="G9114" s="8">
        <f t="shared" si="284"/>
        <v>138.04891551153835</v>
      </c>
      <c r="H9114" s="8">
        <v>131.47515763003653</v>
      </c>
      <c r="I9114" s="19">
        <f t="shared" si="285"/>
        <v>0</v>
      </c>
    </row>
    <row r="9115" spans="1:9" hidden="1">
      <c r="A9115" s="11" t="s">
        <v>11260</v>
      </c>
      <c r="B9115" s="2" t="s">
        <v>15869</v>
      </c>
      <c r="C9115" s="2" t="s">
        <v>15868</v>
      </c>
      <c r="D9115" s="2"/>
      <c r="E9115" s="2">
        <v>1</v>
      </c>
      <c r="F9115" s="9"/>
      <c r="G9115" s="8">
        <f t="shared" si="284"/>
        <v>138.12281310504363</v>
      </c>
      <c r="H9115" s="8">
        <v>131.54553629051776</v>
      </c>
      <c r="I9115" s="19">
        <f t="shared" si="285"/>
        <v>0</v>
      </c>
    </row>
    <row r="9116" spans="1:9" hidden="1">
      <c r="A9116" s="11" t="s">
        <v>11260</v>
      </c>
      <c r="B9116" s="2" t="s">
        <v>15870</v>
      </c>
      <c r="C9116" s="2" t="s">
        <v>15871</v>
      </c>
      <c r="D9116" s="2"/>
      <c r="E9116" s="2">
        <v>1</v>
      </c>
      <c r="F9116" s="9"/>
      <c r="G9116" s="8">
        <f t="shared" si="284"/>
        <v>104.46450578557243</v>
      </c>
      <c r="H9116" s="8">
        <v>99.490005510068983</v>
      </c>
      <c r="I9116" s="19">
        <f t="shared" si="285"/>
        <v>0</v>
      </c>
    </row>
    <row r="9117" spans="1:9" hidden="1">
      <c r="A9117" s="11" t="s">
        <v>11260</v>
      </c>
      <c r="B9117" s="2" t="s">
        <v>15872</v>
      </c>
      <c r="C9117" s="2" t="s">
        <v>15873</v>
      </c>
      <c r="D9117" s="2"/>
      <c r="E9117" s="2">
        <v>1</v>
      </c>
      <c r="F9117" s="9"/>
      <c r="G9117" s="8">
        <f t="shared" si="284"/>
        <v>135.79621813209155</v>
      </c>
      <c r="H9117" s="8">
        <v>129.3297315543729</v>
      </c>
      <c r="I9117" s="19">
        <f t="shared" si="285"/>
        <v>0</v>
      </c>
    </row>
    <row r="9118" spans="1:9" hidden="1">
      <c r="A9118" s="11" t="s">
        <v>11260</v>
      </c>
      <c r="B9118" s="2" t="s">
        <v>15874</v>
      </c>
      <c r="C9118" s="2" t="s">
        <v>15873</v>
      </c>
      <c r="D9118" s="2"/>
      <c r="E9118" s="2">
        <v>1</v>
      </c>
      <c r="F9118" s="9"/>
      <c r="G9118" s="8">
        <f t="shared" si="284"/>
        <v>151.63440344169584</v>
      </c>
      <c r="H9118" s="8">
        <v>144.41371756351984</v>
      </c>
      <c r="I9118" s="19">
        <f t="shared" si="285"/>
        <v>0</v>
      </c>
    </row>
    <row r="9119" spans="1:9" hidden="1">
      <c r="A9119" s="11" t="s">
        <v>11260</v>
      </c>
      <c r="B9119" s="2" t="s">
        <v>15875</v>
      </c>
      <c r="C9119" s="2" t="s">
        <v>15876</v>
      </c>
      <c r="D9119" s="2"/>
      <c r="E9119" s="2">
        <v>1</v>
      </c>
      <c r="F9119" s="9"/>
      <c r="G9119" s="8">
        <f t="shared" si="284"/>
        <v>106.4369891477382</v>
      </c>
      <c r="H9119" s="8">
        <v>101.368561093084</v>
      </c>
      <c r="I9119" s="19">
        <f t="shared" si="285"/>
        <v>0</v>
      </c>
    </row>
    <row r="9120" spans="1:9" hidden="1">
      <c r="A9120" s="11" t="s">
        <v>11260</v>
      </c>
      <c r="B9120" s="2" t="s">
        <v>15877</v>
      </c>
      <c r="C9120" s="2" t="s">
        <v>15878</v>
      </c>
      <c r="D9120" s="2"/>
      <c r="E9120" s="2">
        <v>1</v>
      </c>
      <c r="F9120" s="9"/>
      <c r="G9120" s="8">
        <f t="shared" si="284"/>
        <v>139.88747223047332</v>
      </c>
      <c r="H9120" s="8">
        <v>133.22616402902221</v>
      </c>
      <c r="I9120" s="19">
        <f t="shared" si="285"/>
        <v>0</v>
      </c>
    </row>
    <row r="9121" spans="1:9" hidden="1">
      <c r="A9121" s="11" t="s">
        <v>11260</v>
      </c>
      <c r="B9121" s="2" t="s">
        <v>15879</v>
      </c>
      <c r="C9121" s="2" t="s">
        <v>15878</v>
      </c>
      <c r="D9121" s="2"/>
      <c r="E9121" s="2">
        <v>1</v>
      </c>
      <c r="F9121" s="9"/>
      <c r="G9121" s="8">
        <f t="shared" si="284"/>
        <v>156.41035862857953</v>
      </c>
      <c r="H9121" s="8">
        <v>148.96224631293288</v>
      </c>
      <c r="I9121" s="19">
        <f t="shared" si="285"/>
        <v>0</v>
      </c>
    </row>
    <row r="9122" spans="1:9" hidden="1">
      <c r="A9122" s="11" t="s">
        <v>11260</v>
      </c>
      <c r="B9122" s="2" t="s">
        <v>15880</v>
      </c>
      <c r="C9122" s="2" t="s">
        <v>15881</v>
      </c>
      <c r="D9122" s="2"/>
      <c r="E9122" s="2">
        <v>1</v>
      </c>
      <c r="F9122" s="9"/>
      <c r="G9122" s="8">
        <f t="shared" si="284"/>
        <v>108.42487112398611</v>
      </c>
      <c r="H9122" s="8">
        <v>103.26178202284392</v>
      </c>
      <c r="I9122" s="19">
        <f t="shared" si="285"/>
        <v>0</v>
      </c>
    </row>
    <row r="9123" spans="1:9" hidden="1">
      <c r="A9123" s="11" t="s">
        <v>11260</v>
      </c>
      <c r="B9123" s="2" t="s">
        <v>15882</v>
      </c>
      <c r="C9123" s="2" t="s">
        <v>15883</v>
      </c>
      <c r="D9123" s="2"/>
      <c r="E9123" s="2">
        <v>1</v>
      </c>
      <c r="F9123" s="9"/>
      <c r="G9123" s="8">
        <f t="shared" si="284"/>
        <v>144.02538262078096</v>
      </c>
      <c r="H9123" s="8">
        <v>137.16703106741045</v>
      </c>
      <c r="I9123" s="19">
        <f t="shared" si="285"/>
        <v>0</v>
      </c>
    </row>
    <row r="9124" spans="1:9" hidden="1">
      <c r="A9124" s="11" t="s">
        <v>11260</v>
      </c>
      <c r="B9124" s="2" t="s">
        <v>15884</v>
      </c>
      <c r="C9124" s="2" t="s">
        <v>15883</v>
      </c>
      <c r="D9124" s="2"/>
      <c r="E9124" s="2">
        <v>1</v>
      </c>
      <c r="F9124" s="9"/>
      <c r="G9124" s="8">
        <f t="shared" si="284"/>
        <v>161.23938026405622</v>
      </c>
      <c r="H9124" s="8">
        <v>153.56131453719641</v>
      </c>
      <c r="I9124" s="19">
        <f t="shared" si="285"/>
        <v>0</v>
      </c>
    </row>
    <row r="9125" spans="1:9" hidden="1">
      <c r="A9125" s="11" t="s">
        <v>11260</v>
      </c>
      <c r="B9125" s="2" t="s">
        <v>15885</v>
      </c>
      <c r="C9125" s="2" t="s">
        <v>15886</v>
      </c>
      <c r="D9125" s="2"/>
      <c r="E9125" s="2">
        <v>1</v>
      </c>
      <c r="F9125" s="9"/>
      <c r="G9125" s="8">
        <f t="shared" si="284"/>
        <v>110.43457609513646</v>
      </c>
      <c r="H9125" s="8">
        <v>105.17578675727282</v>
      </c>
      <c r="I9125" s="19">
        <f t="shared" si="285"/>
        <v>0</v>
      </c>
    </row>
    <row r="9126" spans="1:9" hidden="1">
      <c r="A9126" s="11" t="s">
        <v>11260</v>
      </c>
      <c r="B9126" s="2" t="s">
        <v>15887</v>
      </c>
      <c r="C9126" s="2" t="s">
        <v>15888</v>
      </c>
      <c r="D9126" s="2"/>
      <c r="E9126" s="2">
        <v>1</v>
      </c>
      <c r="F9126" s="9"/>
      <c r="G9126" s="8">
        <f t="shared" si="284"/>
        <v>148.17010349111203</v>
      </c>
      <c r="H9126" s="8">
        <v>141.11438427724954</v>
      </c>
      <c r="I9126" s="19">
        <f t="shared" si="285"/>
        <v>0</v>
      </c>
    </row>
    <row r="9127" spans="1:9" hidden="1">
      <c r="A9127" s="11" t="s">
        <v>11260</v>
      </c>
      <c r="B9127" s="2" t="s">
        <v>15889</v>
      </c>
      <c r="C9127" s="2" t="s">
        <v>15888</v>
      </c>
      <c r="D9127" s="2"/>
      <c r="E9127" s="2">
        <v>1</v>
      </c>
      <c r="F9127" s="9"/>
      <c r="G9127" s="8">
        <f t="shared" si="284"/>
        <v>149.66878499999999</v>
      </c>
      <c r="H9127" s="8">
        <v>142.54169999999999</v>
      </c>
      <c r="I9127" s="19">
        <f t="shared" si="285"/>
        <v>0</v>
      </c>
    </row>
    <row r="9128" spans="1:9" hidden="1">
      <c r="A9128" s="11" t="s">
        <v>11260</v>
      </c>
      <c r="B9128" s="2" t="s">
        <v>15890</v>
      </c>
      <c r="C9128" s="2" t="s">
        <v>15891</v>
      </c>
      <c r="D9128" s="2"/>
      <c r="E9128" s="2">
        <v>1</v>
      </c>
      <c r="F9128" s="9"/>
      <c r="G9128" s="8">
        <f t="shared" si="284"/>
        <v>114.36488337643542</v>
      </c>
      <c r="H9128" s="8">
        <v>108.91893654898611</v>
      </c>
      <c r="I9128" s="19">
        <f t="shared" si="285"/>
        <v>0</v>
      </c>
    </row>
    <row r="9129" spans="1:9" hidden="1">
      <c r="A9129" s="11" t="s">
        <v>11260</v>
      </c>
      <c r="B9129" s="2" t="s">
        <v>15892</v>
      </c>
      <c r="C9129" s="2" t="s">
        <v>15893</v>
      </c>
      <c r="D9129" s="2"/>
      <c r="E9129" s="2">
        <v>1</v>
      </c>
      <c r="F9129" s="9"/>
      <c r="G9129" s="8">
        <f t="shared" si="284"/>
        <v>158.34615140401084</v>
      </c>
      <c r="H9129" s="8">
        <v>150.80585848001033</v>
      </c>
      <c r="I9129" s="19">
        <f t="shared" si="285"/>
        <v>0</v>
      </c>
    </row>
    <row r="9130" spans="1:9" hidden="1">
      <c r="A9130" s="11" t="s">
        <v>11260</v>
      </c>
      <c r="B9130" s="2" t="s">
        <v>15894</v>
      </c>
      <c r="C9130" s="2" t="s">
        <v>15893</v>
      </c>
      <c r="D9130" s="2"/>
      <c r="E9130" s="2">
        <v>1</v>
      </c>
      <c r="F9130" s="9"/>
      <c r="G9130" s="8">
        <f t="shared" si="284"/>
        <v>158.34615140401084</v>
      </c>
      <c r="H9130" s="8">
        <v>150.80585848001033</v>
      </c>
      <c r="I9130" s="19">
        <f t="shared" si="285"/>
        <v>0</v>
      </c>
    </row>
    <row r="9131" spans="1:9" hidden="1">
      <c r="A9131" s="11" t="s">
        <v>11260</v>
      </c>
      <c r="B9131" s="2" t="s">
        <v>15895</v>
      </c>
      <c r="C9131" s="2" t="s">
        <v>15893</v>
      </c>
      <c r="D9131" s="2"/>
      <c r="E9131" s="2">
        <v>1</v>
      </c>
      <c r="F9131" s="9"/>
      <c r="G9131" s="8">
        <f t="shared" si="284"/>
        <v>164.65247822131451</v>
      </c>
      <c r="H9131" s="8">
        <v>156.81188402029954</v>
      </c>
      <c r="I9131" s="19">
        <f t="shared" si="285"/>
        <v>0</v>
      </c>
    </row>
    <row r="9132" spans="1:9" hidden="1">
      <c r="A9132" s="11" t="s">
        <v>11260</v>
      </c>
      <c r="B9132" s="2" t="s">
        <v>15896</v>
      </c>
      <c r="C9132" s="2" t="s">
        <v>15893</v>
      </c>
      <c r="D9132" s="2"/>
      <c r="E9132" s="2">
        <v>1</v>
      </c>
      <c r="F9132" s="9"/>
      <c r="G9132" s="8">
        <f t="shared" si="284"/>
        <v>183.92782940729134</v>
      </c>
      <c r="H9132" s="8">
        <v>175.16936134027748</v>
      </c>
      <c r="I9132" s="19">
        <f t="shared" si="285"/>
        <v>0</v>
      </c>
    </row>
    <row r="9133" spans="1:9" hidden="1">
      <c r="A9133" s="11" t="s">
        <v>11260</v>
      </c>
      <c r="B9133" s="2" t="s">
        <v>15897</v>
      </c>
      <c r="C9133" s="2" t="s">
        <v>15898</v>
      </c>
      <c r="D9133" s="2"/>
      <c r="E9133" s="2">
        <v>1</v>
      </c>
      <c r="F9133" s="9"/>
      <c r="G9133" s="8">
        <f t="shared" si="284"/>
        <v>81.427499999999995</v>
      </c>
      <c r="H9133" s="8">
        <v>77.55</v>
      </c>
      <c r="I9133" s="19">
        <f t="shared" si="285"/>
        <v>0</v>
      </c>
    </row>
    <row r="9134" spans="1:9" hidden="1">
      <c r="A9134" s="11" t="s">
        <v>11260</v>
      </c>
      <c r="B9134" s="2" t="s">
        <v>15899</v>
      </c>
      <c r="C9134" s="2" t="s">
        <v>15900</v>
      </c>
      <c r="D9134" s="2"/>
      <c r="E9134" s="2">
        <v>1</v>
      </c>
      <c r="F9134" s="9"/>
      <c r="G9134" s="8">
        <f t="shared" si="284"/>
        <v>86.518292104040881</v>
      </c>
      <c r="H9134" s="8">
        <v>82.398373432419888</v>
      </c>
      <c r="I9134" s="19">
        <f t="shared" si="285"/>
        <v>0</v>
      </c>
    </row>
    <row r="9135" spans="1:9" hidden="1">
      <c r="A9135" s="11" t="s">
        <v>11260</v>
      </c>
      <c r="B9135" s="2" t="s">
        <v>15901</v>
      </c>
      <c r="C9135" s="2" t="s">
        <v>15902</v>
      </c>
      <c r="D9135" s="2"/>
      <c r="E9135" s="2">
        <v>1</v>
      </c>
      <c r="F9135" s="9"/>
      <c r="G9135" s="8">
        <f t="shared" si="284"/>
        <v>91.601587888876381</v>
      </c>
      <c r="H9135" s="8">
        <v>87.239607513215603</v>
      </c>
      <c r="I9135" s="19">
        <f t="shared" si="285"/>
        <v>0</v>
      </c>
    </row>
    <row r="9136" spans="1:9" hidden="1">
      <c r="A9136" s="11" t="s">
        <v>11260</v>
      </c>
      <c r="B9136" s="2" t="s">
        <v>15903</v>
      </c>
      <c r="C9136" s="2" t="s">
        <v>15904</v>
      </c>
      <c r="D9136" s="2"/>
      <c r="E9136" s="2">
        <v>1</v>
      </c>
      <c r="F9136" s="9"/>
      <c r="G9136" s="8">
        <f t="shared" si="284"/>
        <v>96.69355035955914</v>
      </c>
      <c r="H9136" s="8">
        <v>92.089095580532515</v>
      </c>
      <c r="I9136" s="19">
        <f t="shared" si="285"/>
        <v>0</v>
      </c>
    </row>
    <row r="9137" spans="1:9" hidden="1">
      <c r="A9137" s="11" t="s">
        <v>11260</v>
      </c>
      <c r="B9137" s="2" t="s">
        <v>15905</v>
      </c>
      <c r="C9137" s="2" t="s">
        <v>15906</v>
      </c>
      <c r="D9137" s="2"/>
      <c r="E9137" s="2">
        <v>1</v>
      </c>
      <c r="F9137" s="9"/>
      <c r="G9137" s="8">
        <f t="shared" si="284"/>
        <v>101.78613730691811</v>
      </c>
      <c r="H9137" s="8">
        <v>96.939178387541048</v>
      </c>
      <c r="I9137" s="19">
        <f t="shared" si="285"/>
        <v>0</v>
      </c>
    </row>
    <row r="9138" spans="1:9" hidden="1">
      <c r="A9138" s="11" t="s">
        <v>11260</v>
      </c>
      <c r="B9138" s="2" t="s">
        <v>15907</v>
      </c>
      <c r="C9138" s="2" t="s">
        <v>15908</v>
      </c>
      <c r="D9138" s="2"/>
      <c r="E9138" s="2">
        <v>1</v>
      </c>
      <c r="F9138" s="9"/>
      <c r="G9138" s="8">
        <f t="shared" si="284"/>
        <v>111.96204160942337</v>
      </c>
      <c r="H9138" s="8">
        <v>106.63051581849844</v>
      </c>
      <c r="I9138" s="19">
        <f t="shared" si="285"/>
        <v>0</v>
      </c>
    </row>
    <row r="9139" spans="1:9" hidden="1">
      <c r="A9139" s="11" t="s">
        <v>11260</v>
      </c>
      <c r="B9139" s="2" t="s">
        <v>15909</v>
      </c>
      <c r="C9139" s="2" t="s">
        <v>15910</v>
      </c>
      <c r="D9139" s="2"/>
      <c r="E9139" s="2">
        <v>1</v>
      </c>
      <c r="F9139" s="9"/>
      <c r="G9139" s="8">
        <f t="shared" si="284"/>
        <v>122.13611221609702</v>
      </c>
      <c r="H9139" s="8">
        <v>116.32010687247335</v>
      </c>
      <c r="I9139" s="19">
        <f t="shared" si="285"/>
        <v>0</v>
      </c>
    </row>
    <row r="9140" spans="1:9" hidden="1">
      <c r="A9140" s="11" t="s">
        <v>11260</v>
      </c>
      <c r="B9140" s="2" t="s">
        <v>15911</v>
      </c>
      <c r="C9140" s="2" t="s">
        <v>15912</v>
      </c>
      <c r="D9140" s="2"/>
      <c r="E9140" s="2">
        <v>1</v>
      </c>
      <c r="F9140" s="9"/>
      <c r="G9140" s="8">
        <f t="shared" si="284"/>
        <v>81.427403977004715</v>
      </c>
      <c r="H9140" s="8">
        <v>77.549908549528297</v>
      </c>
      <c r="I9140" s="19">
        <f t="shared" si="285"/>
        <v>0</v>
      </c>
    </row>
    <row r="9141" spans="1:9" hidden="1">
      <c r="A9141" s="11" t="s">
        <v>11260</v>
      </c>
      <c r="B9141" s="2" t="s">
        <v>15913</v>
      </c>
      <c r="C9141" s="2" t="s">
        <v>15914</v>
      </c>
      <c r="D9141" s="2"/>
      <c r="E9141" s="2">
        <v>1</v>
      </c>
      <c r="F9141" s="9"/>
      <c r="G9141" s="8">
        <f t="shared" si="284"/>
        <v>86.518219956566469</v>
      </c>
      <c r="H9141" s="8">
        <v>82.3983047205395</v>
      </c>
      <c r="I9141" s="19">
        <f t="shared" si="285"/>
        <v>0</v>
      </c>
    </row>
    <row r="9142" spans="1:9" hidden="1">
      <c r="A9142" s="11" t="s">
        <v>11260</v>
      </c>
      <c r="B9142" s="2" t="s">
        <v>15915</v>
      </c>
      <c r="C9142" s="2" t="s">
        <v>15916</v>
      </c>
      <c r="D9142" s="2"/>
      <c r="E9142" s="2">
        <v>1</v>
      </c>
      <c r="F9142" s="9"/>
      <c r="G9142" s="8">
        <f t="shared" si="284"/>
        <v>91.601492678334068</v>
      </c>
      <c r="H9142" s="8">
        <v>87.239516836508642</v>
      </c>
      <c r="I9142" s="19">
        <f t="shared" si="285"/>
        <v>0</v>
      </c>
    </row>
    <row r="9143" spans="1:9" hidden="1">
      <c r="A9143" s="11" t="s">
        <v>11260</v>
      </c>
      <c r="B9143" s="2" t="s">
        <v>15917</v>
      </c>
      <c r="C9143" s="2" t="s">
        <v>15918</v>
      </c>
      <c r="D9143" s="2"/>
      <c r="E9143" s="2">
        <v>1</v>
      </c>
      <c r="F9143" s="9"/>
      <c r="G9143" s="8">
        <f t="shared" si="284"/>
        <v>96.693772348419714</v>
      </c>
      <c r="H9143" s="8">
        <v>92.089306998494962</v>
      </c>
      <c r="I9143" s="19">
        <f t="shared" si="285"/>
        <v>0</v>
      </c>
    </row>
    <row r="9144" spans="1:9" hidden="1">
      <c r="A9144" s="11" t="s">
        <v>11260</v>
      </c>
      <c r="B9144" s="2" t="s">
        <v>15919</v>
      </c>
      <c r="C9144" s="2" t="s">
        <v>15920</v>
      </c>
      <c r="D9144" s="2"/>
      <c r="E9144" s="2">
        <v>1</v>
      </c>
      <c r="F9144" s="9"/>
      <c r="G9144" s="8">
        <f t="shared" si="284"/>
        <v>101.78604335526315</v>
      </c>
      <c r="H9144" s="8">
        <v>96.939088909774426</v>
      </c>
      <c r="I9144" s="19">
        <f t="shared" si="285"/>
        <v>0</v>
      </c>
    </row>
    <row r="9145" spans="1:9" hidden="1">
      <c r="A9145" s="11" t="s">
        <v>11260</v>
      </c>
      <c r="B9145" s="2" t="s">
        <v>15921</v>
      </c>
      <c r="C9145" s="2" t="s">
        <v>15922</v>
      </c>
      <c r="D9145" s="2"/>
      <c r="E9145" s="2">
        <v>1</v>
      </c>
      <c r="F9145" s="9"/>
      <c r="G9145" s="8">
        <f t="shared" si="284"/>
        <v>111.96192761959325</v>
      </c>
      <c r="H9145" s="8">
        <v>106.63040725675548</v>
      </c>
      <c r="I9145" s="19">
        <f t="shared" si="285"/>
        <v>0</v>
      </c>
    </row>
    <row r="9146" spans="1:9" hidden="1">
      <c r="A9146" s="11" t="s">
        <v>11260</v>
      </c>
      <c r="B9146" s="2" t="s">
        <v>15923</v>
      </c>
      <c r="C9146" s="2" t="s">
        <v>15924</v>
      </c>
      <c r="D9146" s="2"/>
      <c r="E9146" s="2">
        <v>1</v>
      </c>
      <c r="F9146" s="9"/>
      <c r="G9146" s="8">
        <f t="shared" si="284"/>
        <v>122.13600000000001</v>
      </c>
      <c r="H9146" s="8">
        <v>116.32000000000001</v>
      </c>
      <c r="I9146" s="19">
        <f t="shared" si="285"/>
        <v>0</v>
      </c>
    </row>
    <row r="9147" spans="1:9" hidden="1">
      <c r="A9147" s="11" t="s">
        <v>11260</v>
      </c>
      <c r="B9147" s="2" t="s">
        <v>15925</v>
      </c>
      <c r="C9147" s="2" t="s">
        <v>15926</v>
      </c>
      <c r="D9147" s="2"/>
      <c r="E9147" s="2">
        <v>1</v>
      </c>
      <c r="F9147" s="9"/>
      <c r="G9147" s="8">
        <f t="shared" si="284"/>
        <v>92.102163903074995</v>
      </c>
      <c r="H9147" s="8">
        <v>87.716346574357132</v>
      </c>
      <c r="I9147" s="19">
        <f t="shared" si="285"/>
        <v>0</v>
      </c>
    </row>
    <row r="9148" spans="1:9" hidden="1">
      <c r="A9148" s="11" t="s">
        <v>11260</v>
      </c>
      <c r="B9148" s="2" t="s">
        <v>15927</v>
      </c>
      <c r="C9148" s="2" t="s">
        <v>15928</v>
      </c>
      <c r="D9148" s="2"/>
      <c r="E9148" s="2">
        <v>1</v>
      </c>
      <c r="F9148" s="9"/>
      <c r="G9148" s="8">
        <f t="shared" si="284"/>
        <v>93.076991558603495</v>
      </c>
      <c r="H9148" s="8">
        <v>88.644753865336668</v>
      </c>
      <c r="I9148" s="19">
        <f t="shared" si="285"/>
        <v>0</v>
      </c>
    </row>
    <row r="9149" spans="1:9" hidden="1">
      <c r="A9149" s="11" t="s">
        <v>11260</v>
      </c>
      <c r="B9149" s="2" t="s">
        <v>15929</v>
      </c>
      <c r="C9149" s="2" t="s">
        <v>15930</v>
      </c>
      <c r="D9149" s="2"/>
      <c r="E9149" s="2">
        <v>1</v>
      </c>
      <c r="F9149" s="9"/>
      <c r="G9149" s="8">
        <f t="shared" si="284"/>
        <v>131.11428318857142</v>
      </c>
      <c r="H9149" s="8">
        <v>124.87074589387754</v>
      </c>
      <c r="I9149" s="19">
        <f t="shared" si="285"/>
        <v>0</v>
      </c>
    </row>
    <row r="9150" spans="1:9" hidden="1">
      <c r="A9150" s="11" t="s">
        <v>11260</v>
      </c>
      <c r="B9150" s="2" t="s">
        <v>15931</v>
      </c>
      <c r="C9150" s="2" t="s">
        <v>15930</v>
      </c>
      <c r="D9150" s="2"/>
      <c r="E9150" s="2">
        <v>1</v>
      </c>
      <c r="F9150" s="9"/>
      <c r="G9150" s="8">
        <f t="shared" si="284"/>
        <v>131.11428318857142</v>
      </c>
      <c r="H9150" s="8">
        <v>124.87074589387754</v>
      </c>
      <c r="I9150" s="19">
        <f t="shared" si="285"/>
        <v>0</v>
      </c>
    </row>
    <row r="9151" spans="1:9" hidden="1">
      <c r="A9151" s="11" t="s">
        <v>11260</v>
      </c>
      <c r="B9151" s="2" t="s">
        <v>15932</v>
      </c>
      <c r="C9151" s="2" t="s">
        <v>15933</v>
      </c>
      <c r="D9151" s="2"/>
      <c r="E9151" s="2">
        <v>1</v>
      </c>
      <c r="F9151" s="9"/>
      <c r="G9151" s="8">
        <f t="shared" si="284"/>
        <v>94.881765447175738</v>
      </c>
      <c r="H9151" s="8">
        <v>90.363586140167371</v>
      </c>
      <c r="I9151" s="19">
        <f t="shared" si="285"/>
        <v>0</v>
      </c>
    </row>
    <row r="9152" spans="1:9" hidden="1">
      <c r="A9152" s="11" t="s">
        <v>11260</v>
      </c>
      <c r="B9152" s="2" t="s">
        <v>15934</v>
      </c>
      <c r="C9152" s="2" t="s">
        <v>15935</v>
      </c>
      <c r="D9152" s="2"/>
      <c r="E9152" s="2">
        <v>1</v>
      </c>
      <c r="F9152" s="9"/>
      <c r="G9152" s="8">
        <f t="shared" si="284"/>
        <v>135.33112173913042</v>
      </c>
      <c r="H9152" s="8">
        <v>128.88678260869565</v>
      </c>
      <c r="I9152" s="19">
        <f t="shared" si="285"/>
        <v>0</v>
      </c>
    </row>
    <row r="9153" spans="1:9" hidden="1">
      <c r="A9153" s="11" t="s">
        <v>11260</v>
      </c>
      <c r="B9153" s="2" t="s">
        <v>15936</v>
      </c>
      <c r="C9153" s="2" t="s">
        <v>15935</v>
      </c>
      <c r="D9153" s="2"/>
      <c r="E9153" s="2">
        <v>1</v>
      </c>
      <c r="F9153" s="9"/>
      <c r="G9153" s="8">
        <f t="shared" si="284"/>
        <v>135.33112173913042</v>
      </c>
      <c r="H9153" s="8">
        <v>128.88678260869565</v>
      </c>
      <c r="I9153" s="19">
        <f t="shared" si="285"/>
        <v>0</v>
      </c>
    </row>
    <row r="9154" spans="1:9" hidden="1">
      <c r="A9154" s="11" t="s">
        <v>11260</v>
      </c>
      <c r="B9154" s="2" t="s">
        <v>15937</v>
      </c>
      <c r="C9154" s="2" t="s">
        <v>15938</v>
      </c>
      <c r="D9154" s="2"/>
      <c r="E9154" s="2">
        <v>1</v>
      </c>
      <c r="F9154" s="9"/>
      <c r="G9154" s="8">
        <f t="shared" si="284"/>
        <v>96.631817551150888</v>
      </c>
      <c r="H9154" s="8">
        <v>92.030302429667515</v>
      </c>
      <c r="I9154" s="19">
        <f t="shared" si="285"/>
        <v>0</v>
      </c>
    </row>
    <row r="9155" spans="1:9" hidden="1">
      <c r="A9155" s="11" t="s">
        <v>11260</v>
      </c>
      <c r="B9155" s="2" t="s">
        <v>15939</v>
      </c>
      <c r="C9155" s="2" t="s">
        <v>15940</v>
      </c>
      <c r="D9155" s="2"/>
      <c r="E9155" s="2">
        <v>1</v>
      </c>
      <c r="F9155" s="9"/>
      <c r="G9155" s="8">
        <f t="shared" si="284"/>
        <v>139.50236119760481</v>
      </c>
      <c r="H9155" s="8">
        <v>132.85939161676649</v>
      </c>
      <c r="I9155" s="19">
        <f t="shared" si="285"/>
        <v>0</v>
      </c>
    </row>
    <row r="9156" spans="1:9" hidden="1">
      <c r="A9156" s="11" t="s">
        <v>11260</v>
      </c>
      <c r="B9156" s="2" t="s">
        <v>15941</v>
      </c>
      <c r="C9156" s="2" t="s">
        <v>15940</v>
      </c>
      <c r="D9156" s="2"/>
      <c r="E9156" s="2">
        <v>1</v>
      </c>
      <c r="F9156" s="9"/>
      <c r="G9156" s="8">
        <f t="shared" si="284"/>
        <v>139.50236119760481</v>
      </c>
      <c r="H9156" s="8">
        <v>132.85939161676649</v>
      </c>
      <c r="I9156" s="19">
        <f t="shared" si="285"/>
        <v>0</v>
      </c>
    </row>
    <row r="9157" spans="1:9" hidden="1">
      <c r="A9157" s="11" t="s">
        <v>11260</v>
      </c>
      <c r="B9157" s="2" t="s">
        <v>15942</v>
      </c>
      <c r="C9157" s="2" t="s">
        <v>15943</v>
      </c>
      <c r="D9157" s="2"/>
      <c r="E9157" s="2">
        <v>1</v>
      </c>
      <c r="F9157" s="9"/>
      <c r="G9157" s="8">
        <f t="shared" si="284"/>
        <v>98.469571471962624</v>
      </c>
      <c r="H9157" s="8">
        <v>93.780544259012018</v>
      </c>
      <c r="I9157" s="19">
        <f t="shared" si="285"/>
        <v>0</v>
      </c>
    </row>
    <row r="9158" spans="1:9" hidden="1">
      <c r="A9158" s="11" t="s">
        <v>11260</v>
      </c>
      <c r="B9158" s="2" t="s">
        <v>15944</v>
      </c>
      <c r="C9158" s="2" t="s">
        <v>15945</v>
      </c>
      <c r="D9158" s="2"/>
      <c r="E9158" s="2">
        <v>1</v>
      </c>
      <c r="F9158" s="9"/>
      <c r="G9158" s="8">
        <f t="shared" si="284"/>
        <v>143.73055788521739</v>
      </c>
      <c r="H9158" s="8">
        <v>136.88624560496893</v>
      </c>
      <c r="I9158" s="19">
        <f t="shared" si="285"/>
        <v>0</v>
      </c>
    </row>
    <row r="9159" spans="1:9" hidden="1">
      <c r="A9159" s="11" t="s">
        <v>11260</v>
      </c>
      <c r="B9159" s="2" t="s">
        <v>15946</v>
      </c>
      <c r="C9159" s="2" t="s">
        <v>15945</v>
      </c>
      <c r="D9159" s="2"/>
      <c r="E9159" s="2">
        <v>1</v>
      </c>
      <c r="F9159" s="9"/>
      <c r="G9159" s="8">
        <f t="shared" si="284"/>
        <v>143.73055788521739</v>
      </c>
      <c r="H9159" s="8">
        <v>136.88624560496893</v>
      </c>
      <c r="I9159" s="19">
        <f t="shared" si="285"/>
        <v>0</v>
      </c>
    </row>
    <row r="9160" spans="1:9" hidden="1">
      <c r="A9160" s="11" t="s">
        <v>11260</v>
      </c>
      <c r="B9160" s="2" t="s">
        <v>15947</v>
      </c>
      <c r="C9160" s="2" t="s">
        <v>15948</v>
      </c>
      <c r="D9160" s="2"/>
      <c r="E9160" s="2">
        <v>1</v>
      </c>
      <c r="F9160" s="9"/>
      <c r="G9160" s="8">
        <f t="shared" si="284"/>
        <v>100.30491671188103</v>
      </c>
      <c r="H9160" s="8">
        <v>95.528492106553372</v>
      </c>
      <c r="I9160" s="19">
        <f t="shared" si="285"/>
        <v>0</v>
      </c>
    </row>
    <row r="9161" spans="1:9" hidden="1">
      <c r="A9161" s="11" t="s">
        <v>11260</v>
      </c>
      <c r="B9161" s="2" t="s">
        <v>15949</v>
      </c>
      <c r="C9161" s="2" t="s">
        <v>15950</v>
      </c>
      <c r="D9161" s="2"/>
      <c r="E9161" s="2">
        <v>1</v>
      </c>
      <c r="F9161" s="9"/>
      <c r="G9161" s="8">
        <f t="shared" si="284"/>
        <v>138.38443011627908</v>
      </c>
      <c r="H9161" s="8">
        <v>131.79469534883722</v>
      </c>
      <c r="I9161" s="19">
        <f t="shared" si="285"/>
        <v>0</v>
      </c>
    </row>
    <row r="9162" spans="1:9" hidden="1">
      <c r="A9162" s="11" t="s">
        <v>11260</v>
      </c>
      <c r="B9162" s="2" t="s">
        <v>15951</v>
      </c>
      <c r="C9162" s="2" t="s">
        <v>15950</v>
      </c>
      <c r="D9162" s="2"/>
      <c r="E9162" s="2">
        <v>1</v>
      </c>
      <c r="F9162" s="9"/>
      <c r="G9162" s="8">
        <f t="shared" si="284"/>
        <v>147.95882603925261</v>
      </c>
      <c r="H9162" s="8">
        <v>140.91316765643106</v>
      </c>
      <c r="I9162" s="19">
        <f t="shared" si="285"/>
        <v>0</v>
      </c>
    </row>
    <row r="9163" spans="1:9" hidden="1">
      <c r="A9163" s="11" t="s">
        <v>11260</v>
      </c>
      <c r="B9163" s="2" t="s">
        <v>15952</v>
      </c>
      <c r="C9163" s="2" t="s">
        <v>15953</v>
      </c>
      <c r="D9163" s="2"/>
      <c r="E9163" s="2">
        <v>1</v>
      </c>
      <c r="F9163" s="9"/>
      <c r="G9163" s="8">
        <f t="shared" si="284"/>
        <v>103.92455650741351</v>
      </c>
      <c r="H9163" s="8">
        <v>98.975768102298588</v>
      </c>
      <c r="I9163" s="19">
        <f t="shared" si="285"/>
        <v>0</v>
      </c>
    </row>
    <row r="9164" spans="1:9" hidden="1">
      <c r="A9164" s="11" t="s">
        <v>11260</v>
      </c>
      <c r="B9164" s="2" t="s">
        <v>15954</v>
      </c>
      <c r="C9164" s="2" t="s">
        <v>15955</v>
      </c>
      <c r="D9164" s="2"/>
      <c r="E9164" s="2">
        <v>1</v>
      </c>
      <c r="F9164" s="9"/>
      <c r="G9164" s="8">
        <f t="shared" si="284"/>
        <v>158.37710961529385</v>
      </c>
      <c r="H9164" s="8">
        <v>150.83534249075603</v>
      </c>
      <c r="I9164" s="19">
        <f t="shared" si="285"/>
        <v>0</v>
      </c>
    </row>
    <row r="9165" spans="1:9" hidden="1">
      <c r="A9165" s="11" t="s">
        <v>11260</v>
      </c>
      <c r="B9165" s="2" t="s">
        <v>15956</v>
      </c>
      <c r="C9165" s="2" t="s">
        <v>15955</v>
      </c>
      <c r="D9165" s="2"/>
      <c r="E9165" s="2">
        <v>1</v>
      </c>
      <c r="F9165" s="9"/>
      <c r="G9165" s="8">
        <f t="shared" si="284"/>
        <v>158.37710961529385</v>
      </c>
      <c r="H9165" s="8">
        <v>150.83534249075603</v>
      </c>
      <c r="I9165" s="19">
        <f t="shared" si="285"/>
        <v>0</v>
      </c>
    </row>
    <row r="9166" spans="1:9" hidden="1">
      <c r="A9166" s="11" t="s">
        <v>11260</v>
      </c>
      <c r="B9166" s="2" t="s">
        <v>15957</v>
      </c>
      <c r="C9166" s="2" t="s">
        <v>15958</v>
      </c>
      <c r="D9166" s="2"/>
      <c r="E9166" s="2">
        <v>1</v>
      </c>
      <c r="F9166" s="9"/>
      <c r="G9166" s="8">
        <f t="shared" si="284"/>
        <v>112.8193701283019</v>
      </c>
      <c r="H9166" s="8">
        <v>107.44701916981133</v>
      </c>
      <c r="I9166" s="19">
        <f t="shared" si="285"/>
        <v>0</v>
      </c>
    </row>
    <row r="9167" spans="1:9" hidden="1">
      <c r="A9167" s="11" t="s">
        <v>11260</v>
      </c>
      <c r="B9167" s="2" t="s">
        <v>15959</v>
      </c>
      <c r="C9167" s="2" t="s">
        <v>15960</v>
      </c>
      <c r="D9167" s="2"/>
      <c r="E9167" s="2">
        <v>1</v>
      </c>
      <c r="F9167" s="9"/>
      <c r="G9167" s="8">
        <f t="shared" si="284"/>
        <v>164.74976663007641</v>
      </c>
      <c r="H9167" s="8">
        <v>156.90453964769182</v>
      </c>
      <c r="I9167" s="19">
        <f t="shared" si="285"/>
        <v>0</v>
      </c>
    </row>
    <row r="9168" spans="1:9" hidden="1">
      <c r="A9168" s="11" t="s">
        <v>11260</v>
      </c>
      <c r="B9168" s="2" t="s">
        <v>15961</v>
      </c>
      <c r="C9168" s="2" t="s">
        <v>15960</v>
      </c>
      <c r="D9168" s="2"/>
      <c r="E9168" s="2">
        <v>1</v>
      </c>
      <c r="F9168" s="9"/>
      <c r="G9168" s="8">
        <f t="shared" si="284"/>
        <v>164.74976663007641</v>
      </c>
      <c r="H9168" s="8">
        <v>156.90453964769182</v>
      </c>
      <c r="I9168" s="19">
        <f t="shared" si="285"/>
        <v>0</v>
      </c>
    </row>
    <row r="9169" spans="1:9">
      <c r="A9169" s="11" t="s">
        <v>11260</v>
      </c>
      <c r="B9169" s="2" t="s">
        <v>15962</v>
      </c>
      <c r="C9169" s="2" t="s">
        <v>15963</v>
      </c>
      <c r="D9169" s="2"/>
      <c r="E9169" s="2">
        <v>1</v>
      </c>
      <c r="F9169" s="9">
        <v>76</v>
      </c>
      <c r="G9169" s="8">
        <f t="shared" si="284"/>
        <v>80.478873394477702</v>
      </c>
      <c r="H9169" s="8">
        <v>76.64654608997877</v>
      </c>
      <c r="I9169" s="19">
        <f t="shared" si="285"/>
        <v>6116.3943779803058</v>
      </c>
    </row>
    <row r="9170" spans="1:9">
      <c r="A9170" s="11" t="s">
        <v>11260</v>
      </c>
      <c r="B9170" s="2" t="s">
        <v>15964</v>
      </c>
      <c r="C9170" s="2" t="s">
        <v>15965</v>
      </c>
      <c r="D9170" s="2"/>
      <c r="E9170" s="2">
        <v>1</v>
      </c>
      <c r="F9170" s="9">
        <v>227</v>
      </c>
      <c r="G9170" s="8">
        <f t="shared" si="284"/>
        <v>85.730883096965698</v>
      </c>
      <c r="H9170" s="8">
        <v>81.648460092348287</v>
      </c>
      <c r="I9170" s="19">
        <f t="shared" si="285"/>
        <v>19460.910463011212</v>
      </c>
    </row>
    <row r="9171" spans="1:9">
      <c r="A9171" s="11" t="s">
        <v>11260</v>
      </c>
      <c r="B9171" s="2" t="s">
        <v>15966</v>
      </c>
      <c r="C9171" s="2" t="s">
        <v>15967</v>
      </c>
      <c r="D9171" s="2"/>
      <c r="E9171" s="2">
        <v>1</v>
      </c>
      <c r="F9171" s="9">
        <f>50+40</f>
        <v>90</v>
      </c>
      <c r="G9171" s="8">
        <f t="shared" si="284"/>
        <v>90.223048301086081</v>
      </c>
      <c r="H9171" s="8">
        <v>85.926712667701025</v>
      </c>
      <c r="I9171" s="19">
        <f t="shared" si="285"/>
        <v>8120.0743470977477</v>
      </c>
    </row>
    <row r="9172" spans="1:9">
      <c r="A9172" s="11" t="s">
        <v>11260</v>
      </c>
      <c r="B9172" s="2" t="s">
        <v>15968</v>
      </c>
      <c r="C9172" s="2" t="s">
        <v>15969</v>
      </c>
      <c r="D9172" s="2"/>
      <c r="E9172" s="2">
        <v>1</v>
      </c>
      <c r="F9172" s="9">
        <f>2*100+32</f>
        <v>232</v>
      </c>
      <c r="G9172" s="8">
        <f t="shared" si="284"/>
        <v>95.414064239207988</v>
      </c>
      <c r="H9172" s="8">
        <v>90.870537370674271</v>
      </c>
      <c r="I9172" s="19">
        <f t="shared" si="285"/>
        <v>22136.062903496255</v>
      </c>
    </row>
    <row r="9173" spans="1:9">
      <c r="A9173" s="11" t="s">
        <v>11260</v>
      </c>
      <c r="B9173" s="2" t="s">
        <v>15970</v>
      </c>
      <c r="C9173" s="2" t="s">
        <v>15971</v>
      </c>
      <c r="D9173" s="2"/>
      <c r="E9173" s="2">
        <v>1</v>
      </c>
      <c r="F9173" s="9">
        <f>50+22</f>
        <v>72</v>
      </c>
      <c r="G9173" s="8">
        <f t="shared" si="284"/>
        <v>100.59001128205128</v>
      </c>
      <c r="H9173" s="8">
        <v>95.800010744810749</v>
      </c>
      <c r="I9173" s="19">
        <f t="shared" si="285"/>
        <v>7242.4808123076918</v>
      </c>
    </row>
    <row r="9174" spans="1:9" hidden="1">
      <c r="A9174" s="11" t="s">
        <v>11260</v>
      </c>
      <c r="B9174" s="2" t="s">
        <v>15972</v>
      </c>
      <c r="C9174" s="2" t="s">
        <v>15973</v>
      </c>
      <c r="D9174" s="2"/>
      <c r="E9174" s="2">
        <v>1</v>
      </c>
      <c r="F9174" s="9"/>
      <c r="G9174" s="8">
        <f t="shared" si="284"/>
        <v>111.0373230581551</v>
      </c>
      <c r="H9174" s="8">
        <v>105.74983148395724</v>
      </c>
      <c r="I9174" s="19">
        <f t="shared" si="285"/>
        <v>0</v>
      </c>
    </row>
    <row r="9175" spans="1:9" hidden="1">
      <c r="A9175" s="11" t="s">
        <v>11260</v>
      </c>
      <c r="B9175" s="2" t="s">
        <v>15974</v>
      </c>
      <c r="C9175" s="2" t="s">
        <v>15975</v>
      </c>
      <c r="D9175" s="2"/>
      <c r="E9175" s="2">
        <v>1</v>
      </c>
      <c r="F9175" s="9"/>
      <c r="G9175" s="8">
        <f t="shared" si="284"/>
        <v>121.81129353922671</v>
      </c>
      <c r="H9175" s="8">
        <v>116.01075575164448</v>
      </c>
      <c r="I9175" s="19">
        <f t="shared" si="285"/>
        <v>0</v>
      </c>
    </row>
    <row r="9176" spans="1:9" hidden="1">
      <c r="A9176" s="11" t="s">
        <v>11260</v>
      </c>
      <c r="B9176" s="2" t="s">
        <v>15976</v>
      </c>
      <c r="C9176" s="2" t="s">
        <v>15977</v>
      </c>
      <c r="D9176" s="2"/>
      <c r="E9176" s="2">
        <v>1</v>
      </c>
      <c r="F9176" s="9"/>
      <c r="G9176" s="8">
        <f t="shared" ref="G9176:G9239" si="286">H9176+(H9176*5%)</f>
        <v>49.922147489706084</v>
      </c>
      <c r="H9176" s="8">
        <v>47.544902371148652</v>
      </c>
      <c r="I9176" s="19">
        <f t="shared" ref="I9176:I9239" si="287">G9176*F9176</f>
        <v>0</v>
      </c>
    </row>
    <row r="9177" spans="1:9" hidden="1">
      <c r="A9177" s="11" t="s">
        <v>11260</v>
      </c>
      <c r="B9177" s="2" t="s">
        <v>15978</v>
      </c>
      <c r="C9177" s="2" t="s">
        <v>15979</v>
      </c>
      <c r="D9177" s="2"/>
      <c r="E9177" s="2">
        <v>1</v>
      </c>
      <c r="F9177" s="9"/>
      <c r="G9177" s="8">
        <f t="shared" si="286"/>
        <v>52.611318043237254</v>
      </c>
      <c r="H9177" s="8">
        <v>50.10601718403548</v>
      </c>
      <c r="I9177" s="19">
        <f t="shared" si="287"/>
        <v>0</v>
      </c>
    </row>
    <row r="9178" spans="1:9" hidden="1">
      <c r="A9178" s="11" t="s">
        <v>11260</v>
      </c>
      <c r="B9178" s="2" t="s">
        <v>15980</v>
      </c>
      <c r="C9178" s="2" t="s">
        <v>15981</v>
      </c>
      <c r="D9178" s="2"/>
      <c r="E9178" s="2">
        <v>1</v>
      </c>
      <c r="F9178" s="9"/>
      <c r="G9178" s="8">
        <f t="shared" si="286"/>
        <v>56.03789195736956</v>
      </c>
      <c r="H9178" s="8">
        <v>53.36942091178053</v>
      </c>
      <c r="I9178" s="19">
        <f t="shared" si="287"/>
        <v>0</v>
      </c>
    </row>
    <row r="9179" spans="1:9" hidden="1">
      <c r="A9179" s="11" t="s">
        <v>11260</v>
      </c>
      <c r="B9179" s="2" t="s">
        <v>15982</v>
      </c>
      <c r="C9179" s="2" t="s">
        <v>15983</v>
      </c>
      <c r="D9179" s="2"/>
      <c r="E9179" s="2">
        <v>1</v>
      </c>
      <c r="F9179" s="9"/>
      <c r="G9179" s="8">
        <f t="shared" si="286"/>
        <v>59.172633617779447</v>
      </c>
      <c r="H9179" s="8">
        <v>56.354889159789948</v>
      </c>
      <c r="I9179" s="19">
        <f t="shared" si="287"/>
        <v>0</v>
      </c>
    </row>
    <row r="9180" spans="1:9" hidden="1">
      <c r="A9180" s="11" t="s">
        <v>11260</v>
      </c>
      <c r="B9180" s="2" t="s">
        <v>15984</v>
      </c>
      <c r="C9180" s="2" t="s">
        <v>15985</v>
      </c>
      <c r="D9180" s="2"/>
      <c r="E9180" s="2">
        <v>1</v>
      </c>
      <c r="F9180" s="9"/>
      <c r="G9180" s="8">
        <f t="shared" si="286"/>
        <v>62.630889488677859</v>
      </c>
      <c r="H9180" s="8">
        <v>59.648466179693202</v>
      </c>
      <c r="I9180" s="19">
        <f t="shared" si="287"/>
        <v>0</v>
      </c>
    </row>
    <row r="9181" spans="1:9" hidden="1">
      <c r="A9181" s="11" t="s">
        <v>11260</v>
      </c>
      <c r="B9181" s="2" t="s">
        <v>15986</v>
      </c>
      <c r="C9181" s="2" t="s">
        <v>15987</v>
      </c>
      <c r="D9181" s="2"/>
      <c r="E9181" s="2">
        <v>1</v>
      </c>
      <c r="F9181" s="9"/>
      <c r="G9181" s="8">
        <f t="shared" si="286"/>
        <v>66.106783673227412</v>
      </c>
      <c r="H9181" s="8">
        <v>62.95884159354992</v>
      </c>
      <c r="I9181" s="19">
        <f t="shared" si="287"/>
        <v>0</v>
      </c>
    </row>
    <row r="9182" spans="1:9" hidden="1">
      <c r="A9182" s="11" t="s">
        <v>11260</v>
      </c>
      <c r="B9182" s="2" t="s">
        <v>15988</v>
      </c>
      <c r="C9182" s="2" t="s">
        <v>15989</v>
      </c>
      <c r="D9182" s="2"/>
      <c r="E9182" s="2">
        <v>1</v>
      </c>
      <c r="F9182" s="9"/>
      <c r="G9182" s="8">
        <f t="shared" si="286"/>
        <v>73.412844200202926</v>
      </c>
      <c r="H9182" s="8">
        <v>69.916994476383735</v>
      </c>
      <c r="I9182" s="19">
        <f t="shared" si="287"/>
        <v>0</v>
      </c>
    </row>
    <row r="9183" spans="1:9" hidden="1">
      <c r="A9183" s="11" t="s">
        <v>11260</v>
      </c>
      <c r="B9183" s="2" t="s">
        <v>15990</v>
      </c>
      <c r="C9183" s="2" t="s">
        <v>15991</v>
      </c>
      <c r="D9183" s="2"/>
      <c r="E9183" s="2">
        <v>1</v>
      </c>
      <c r="F9183" s="9"/>
      <c r="G9183" s="8">
        <f t="shared" si="286"/>
        <v>80.788294183421144</v>
      </c>
      <c r="H9183" s="8">
        <v>76.941232555639189</v>
      </c>
      <c r="I9183" s="19">
        <f t="shared" si="287"/>
        <v>0</v>
      </c>
    </row>
    <row r="9184" spans="1:9" hidden="1">
      <c r="A9184" s="11" t="s">
        <v>11260</v>
      </c>
      <c r="B9184" s="2" t="s">
        <v>15992</v>
      </c>
      <c r="C9184" s="2" t="s">
        <v>15993</v>
      </c>
      <c r="D9184" s="2"/>
      <c r="E9184" s="2">
        <v>1</v>
      </c>
      <c r="F9184" s="9"/>
      <c r="G9184" s="8">
        <f t="shared" si="286"/>
        <v>4.1737500000000001</v>
      </c>
      <c r="H9184" s="8">
        <v>3.9750000000000001</v>
      </c>
      <c r="I9184" s="19">
        <f t="shared" si="287"/>
        <v>0</v>
      </c>
    </row>
    <row r="9185" spans="1:9" hidden="1">
      <c r="A9185" s="11" t="s">
        <v>11260</v>
      </c>
      <c r="B9185" s="2" t="s">
        <v>15994</v>
      </c>
      <c r="C9185" s="2" t="s">
        <v>15995</v>
      </c>
      <c r="D9185" s="2"/>
      <c r="E9185" s="2">
        <v>1</v>
      </c>
      <c r="F9185" s="9"/>
      <c r="G9185" s="8">
        <f t="shared" si="286"/>
        <v>5.7208200000000007</v>
      </c>
      <c r="H9185" s="8">
        <v>5.4484000000000004</v>
      </c>
      <c r="I9185" s="19">
        <f t="shared" si="287"/>
        <v>0</v>
      </c>
    </row>
    <row r="9186" spans="1:9" hidden="1">
      <c r="A9186" s="11" t="s">
        <v>11260</v>
      </c>
      <c r="B9186" s="2" t="s">
        <v>15996</v>
      </c>
      <c r="C9186" s="2" t="s">
        <v>15997</v>
      </c>
      <c r="D9186" s="2"/>
      <c r="E9186" s="2">
        <v>1</v>
      </c>
      <c r="F9186" s="9"/>
      <c r="G9186" s="8">
        <f t="shared" si="286"/>
        <v>4.69686</v>
      </c>
      <c r="H9186" s="8">
        <v>4.4732000000000003</v>
      </c>
      <c r="I9186" s="19">
        <f t="shared" si="287"/>
        <v>0</v>
      </c>
    </row>
    <row r="9187" spans="1:9" hidden="1">
      <c r="A9187" s="11" t="s">
        <v>11260</v>
      </c>
      <c r="B9187" s="2" t="s">
        <v>15998</v>
      </c>
      <c r="C9187" s="2" t="s">
        <v>15999</v>
      </c>
      <c r="D9187" s="2"/>
      <c r="E9187" s="2">
        <v>1</v>
      </c>
      <c r="F9187" s="9"/>
      <c r="G9187" s="8">
        <f t="shared" si="286"/>
        <v>9.4048499999999997</v>
      </c>
      <c r="H9187" s="8">
        <v>8.956999999999999</v>
      </c>
      <c r="I9187" s="19">
        <f t="shared" si="287"/>
        <v>0</v>
      </c>
    </row>
    <row r="9188" spans="1:9" hidden="1">
      <c r="A9188" s="11" t="s">
        <v>11260</v>
      </c>
      <c r="B9188" s="2" t="s">
        <v>16000</v>
      </c>
      <c r="C9188" s="2" t="s">
        <v>16001</v>
      </c>
      <c r="D9188" s="2"/>
      <c r="E9188" s="2">
        <v>1</v>
      </c>
      <c r="F9188" s="9"/>
      <c r="G9188" s="8">
        <f t="shared" si="286"/>
        <v>9.4276588520614375</v>
      </c>
      <c r="H9188" s="8">
        <v>8.9787227162489884</v>
      </c>
      <c r="I9188" s="19">
        <f t="shared" si="287"/>
        <v>0</v>
      </c>
    </row>
    <row r="9189" spans="1:9" hidden="1">
      <c r="A9189" s="11" t="s">
        <v>11260</v>
      </c>
      <c r="B9189" s="2" t="s">
        <v>16002</v>
      </c>
      <c r="C9189" s="2" t="s">
        <v>16003</v>
      </c>
      <c r="D9189" s="2"/>
      <c r="E9189" s="2">
        <v>1</v>
      </c>
      <c r="F9189" s="9"/>
      <c r="G9189" s="8">
        <f t="shared" si="286"/>
        <v>3.2944800000000001</v>
      </c>
      <c r="H9189" s="8">
        <v>3.1375999999999999</v>
      </c>
      <c r="I9189" s="19">
        <f t="shared" si="287"/>
        <v>0</v>
      </c>
    </row>
    <row r="9190" spans="1:9" hidden="1">
      <c r="A9190" s="11" t="s">
        <v>11260</v>
      </c>
      <c r="B9190" s="2" t="s">
        <v>16004</v>
      </c>
      <c r="C9190" s="2" t="s">
        <v>16005</v>
      </c>
      <c r="D9190" s="2"/>
      <c r="E9190" s="2">
        <v>1</v>
      </c>
      <c r="F9190" s="9"/>
      <c r="G9190" s="8">
        <f t="shared" si="286"/>
        <v>44.328799005449596</v>
      </c>
      <c r="H9190" s="8">
        <v>42.2179038147139</v>
      </c>
      <c r="I9190" s="19">
        <f t="shared" si="287"/>
        <v>0</v>
      </c>
    </row>
    <row r="9191" spans="1:9" hidden="1">
      <c r="A9191" s="11" t="s">
        <v>11260</v>
      </c>
      <c r="B9191" s="2" t="s">
        <v>16006</v>
      </c>
      <c r="C9191" s="2" t="s">
        <v>16007</v>
      </c>
      <c r="D9191" s="2"/>
      <c r="E9191" s="2">
        <v>1</v>
      </c>
      <c r="F9191" s="9"/>
      <c r="G9191" s="8">
        <f t="shared" si="286"/>
        <v>102.36454913781216</v>
      </c>
      <c r="H9191" s="8">
        <v>97.490046797916349</v>
      </c>
      <c r="I9191" s="19">
        <f t="shared" si="287"/>
        <v>0</v>
      </c>
    </row>
    <row r="9192" spans="1:9" hidden="1">
      <c r="A9192" s="11" t="s">
        <v>11260</v>
      </c>
      <c r="B9192" s="2" t="s">
        <v>16008</v>
      </c>
      <c r="C9192" s="2" t="s">
        <v>16007</v>
      </c>
      <c r="D9192" s="2"/>
      <c r="E9192" s="2">
        <v>1</v>
      </c>
      <c r="F9192" s="9"/>
      <c r="G9192" s="8">
        <f t="shared" si="286"/>
        <v>102.36454913781216</v>
      </c>
      <c r="H9192" s="8">
        <v>97.490046797916349</v>
      </c>
      <c r="I9192" s="19">
        <f t="shared" si="287"/>
        <v>0</v>
      </c>
    </row>
    <row r="9193" spans="1:9" hidden="1">
      <c r="A9193" s="11" t="s">
        <v>11260</v>
      </c>
      <c r="B9193" s="2" t="s">
        <v>16009</v>
      </c>
      <c r="C9193" s="2" t="s">
        <v>16010</v>
      </c>
      <c r="D9193" s="2"/>
      <c r="E9193" s="2">
        <v>1</v>
      </c>
      <c r="F9193" s="9"/>
      <c r="G9193" s="8">
        <f t="shared" si="286"/>
        <v>46.947247442254998</v>
      </c>
      <c r="H9193" s="8">
        <v>44.711664230719045</v>
      </c>
      <c r="I9193" s="19">
        <f t="shared" si="287"/>
        <v>0</v>
      </c>
    </row>
    <row r="9194" spans="1:9" hidden="1">
      <c r="A9194" s="11" t="s">
        <v>11260</v>
      </c>
      <c r="B9194" s="2" t="s">
        <v>16011</v>
      </c>
      <c r="C9194" s="2" t="s">
        <v>16012</v>
      </c>
      <c r="D9194" s="2"/>
      <c r="E9194" s="2">
        <v>1</v>
      </c>
      <c r="F9194" s="9"/>
      <c r="G9194" s="8">
        <f t="shared" si="286"/>
        <v>107.78356618727761</v>
      </c>
      <c r="H9194" s="8">
        <v>102.65101541645487</v>
      </c>
      <c r="I9194" s="19">
        <f t="shared" si="287"/>
        <v>0</v>
      </c>
    </row>
    <row r="9195" spans="1:9" hidden="1">
      <c r="A9195" s="11" t="s">
        <v>11260</v>
      </c>
      <c r="B9195" s="2" t="s">
        <v>16013</v>
      </c>
      <c r="C9195" s="2" t="s">
        <v>16012</v>
      </c>
      <c r="D9195" s="2"/>
      <c r="E9195" s="2">
        <v>1</v>
      </c>
      <c r="F9195" s="9"/>
      <c r="G9195" s="8">
        <f t="shared" si="286"/>
        <v>107.78356618727761</v>
      </c>
      <c r="H9195" s="8">
        <v>102.65101541645487</v>
      </c>
      <c r="I9195" s="19">
        <f t="shared" si="287"/>
        <v>0</v>
      </c>
    </row>
    <row r="9196" spans="1:9" hidden="1">
      <c r="A9196" s="11" t="s">
        <v>11260</v>
      </c>
      <c r="B9196" s="2" t="s">
        <v>16014</v>
      </c>
      <c r="C9196" s="2" t="s">
        <v>16015</v>
      </c>
      <c r="D9196" s="2"/>
      <c r="E9196" s="2">
        <v>1</v>
      </c>
      <c r="F9196" s="9"/>
      <c r="G9196" s="8">
        <f t="shared" si="286"/>
        <v>52.418076783919595</v>
      </c>
      <c r="H9196" s="8">
        <v>49.921977889447234</v>
      </c>
      <c r="I9196" s="19">
        <f t="shared" si="287"/>
        <v>0</v>
      </c>
    </row>
    <row r="9197" spans="1:9" hidden="1">
      <c r="A9197" s="11" t="s">
        <v>11260</v>
      </c>
      <c r="B9197" s="2" t="s">
        <v>16016</v>
      </c>
      <c r="C9197" s="2" t="s">
        <v>16017</v>
      </c>
      <c r="D9197" s="2"/>
      <c r="E9197" s="2">
        <v>1</v>
      </c>
      <c r="F9197" s="9"/>
      <c r="G9197" s="8">
        <f t="shared" si="286"/>
        <v>49.655764292974936</v>
      </c>
      <c r="H9197" s="8">
        <v>47.291204088547559</v>
      </c>
      <c r="I9197" s="19">
        <f t="shared" si="287"/>
        <v>0</v>
      </c>
    </row>
    <row r="9198" spans="1:9" hidden="1">
      <c r="A9198" s="11" t="s">
        <v>11260</v>
      </c>
      <c r="B9198" s="2" t="s">
        <v>16018</v>
      </c>
      <c r="C9198" s="2" t="s">
        <v>16019</v>
      </c>
      <c r="D9198" s="2"/>
      <c r="E9198" s="2">
        <v>1</v>
      </c>
      <c r="F9198" s="9"/>
      <c r="G9198" s="8">
        <f t="shared" si="286"/>
        <v>119.59440080995654</v>
      </c>
      <c r="H9198" s="8">
        <v>113.89942934281575</v>
      </c>
      <c r="I9198" s="19">
        <f t="shared" si="287"/>
        <v>0</v>
      </c>
    </row>
    <row r="9199" spans="1:9" hidden="1">
      <c r="A9199" s="11" t="s">
        <v>11260</v>
      </c>
      <c r="B9199" s="2" t="s">
        <v>16020</v>
      </c>
      <c r="C9199" s="2" t="s">
        <v>16019</v>
      </c>
      <c r="D9199" s="2"/>
      <c r="E9199" s="2">
        <v>1</v>
      </c>
      <c r="F9199" s="9"/>
      <c r="G9199" s="8">
        <f t="shared" si="286"/>
        <v>119.59440080995654</v>
      </c>
      <c r="H9199" s="8">
        <v>113.89942934281575</v>
      </c>
      <c r="I9199" s="19">
        <f t="shared" si="287"/>
        <v>0</v>
      </c>
    </row>
    <row r="9200" spans="1:9" hidden="1">
      <c r="A9200" s="11" t="s">
        <v>11260</v>
      </c>
      <c r="B9200" s="2" t="s">
        <v>16021</v>
      </c>
      <c r="C9200" s="2" t="s">
        <v>16022</v>
      </c>
      <c r="D9200" s="2"/>
      <c r="E9200" s="2">
        <v>1</v>
      </c>
      <c r="F9200" s="9"/>
      <c r="G9200" s="8">
        <f t="shared" si="286"/>
        <v>52.344464473684219</v>
      </c>
      <c r="H9200" s="8">
        <v>49.851870927318302</v>
      </c>
      <c r="I9200" s="19">
        <f t="shared" si="287"/>
        <v>0</v>
      </c>
    </row>
    <row r="9201" spans="1:9" hidden="1">
      <c r="A9201" s="11" t="s">
        <v>11260</v>
      </c>
      <c r="B9201" s="2" t="s">
        <v>16023</v>
      </c>
      <c r="C9201" s="2" t="s">
        <v>16024</v>
      </c>
      <c r="D9201" s="2"/>
      <c r="E9201" s="2">
        <v>1</v>
      </c>
      <c r="F9201" s="9"/>
      <c r="G9201" s="8">
        <f t="shared" si="286"/>
        <v>125.00271194114318</v>
      </c>
      <c r="H9201" s="8">
        <v>119.05020184870779</v>
      </c>
      <c r="I9201" s="19">
        <f t="shared" si="287"/>
        <v>0</v>
      </c>
    </row>
    <row r="9202" spans="1:9" hidden="1">
      <c r="A9202" s="11" t="s">
        <v>11260</v>
      </c>
      <c r="B9202" s="2" t="s">
        <v>16025</v>
      </c>
      <c r="C9202" s="2" t="s">
        <v>16024</v>
      </c>
      <c r="D9202" s="2"/>
      <c r="E9202" s="2">
        <v>1</v>
      </c>
      <c r="F9202" s="9"/>
      <c r="G9202" s="8">
        <f t="shared" si="286"/>
        <v>125.00271194114318</v>
      </c>
      <c r="H9202" s="8">
        <v>119.05020184870779</v>
      </c>
      <c r="I9202" s="19">
        <f t="shared" si="287"/>
        <v>0</v>
      </c>
    </row>
    <row r="9203" spans="1:9" hidden="1">
      <c r="A9203" s="11" t="s">
        <v>11260</v>
      </c>
      <c r="B9203" s="2" t="s">
        <v>16026</v>
      </c>
      <c r="C9203" s="2" t="s">
        <v>16027</v>
      </c>
      <c r="D9203" s="2"/>
      <c r="E9203" s="2">
        <v>1</v>
      </c>
      <c r="F9203" s="9"/>
      <c r="G9203" s="8">
        <f t="shared" si="286"/>
        <v>55.836282112409222</v>
      </c>
      <c r="H9203" s="8">
        <v>53.177411535627833</v>
      </c>
      <c r="I9203" s="19">
        <f t="shared" si="287"/>
        <v>0</v>
      </c>
    </row>
    <row r="9204" spans="1:9" hidden="1">
      <c r="A9204" s="11" t="s">
        <v>11260</v>
      </c>
      <c r="B9204" s="2" t="s">
        <v>16028</v>
      </c>
      <c r="C9204" s="2" t="s">
        <v>16029</v>
      </c>
      <c r="D9204" s="2"/>
      <c r="E9204" s="2">
        <v>1</v>
      </c>
      <c r="F9204" s="9"/>
      <c r="G9204" s="8">
        <f t="shared" si="286"/>
        <v>130.35748325812276</v>
      </c>
      <c r="H9204" s="8">
        <v>124.14998405535501</v>
      </c>
      <c r="I9204" s="19">
        <f t="shared" si="287"/>
        <v>0</v>
      </c>
    </row>
    <row r="9205" spans="1:9" hidden="1">
      <c r="A9205" s="11" t="s">
        <v>11260</v>
      </c>
      <c r="B9205" s="2" t="s">
        <v>16030</v>
      </c>
      <c r="C9205" s="2" t="s">
        <v>16029</v>
      </c>
      <c r="D9205" s="2"/>
      <c r="E9205" s="2">
        <v>1</v>
      </c>
      <c r="F9205" s="9"/>
      <c r="G9205" s="8">
        <f t="shared" si="286"/>
        <v>130.35748325812276</v>
      </c>
      <c r="H9205" s="8">
        <v>124.14998405535501</v>
      </c>
      <c r="I9205" s="19">
        <f t="shared" si="287"/>
        <v>0</v>
      </c>
    </row>
    <row r="9206" spans="1:9" hidden="1">
      <c r="A9206" s="11" t="s">
        <v>11260</v>
      </c>
      <c r="B9206" s="2" t="s">
        <v>16031</v>
      </c>
      <c r="C9206" s="2" t="s">
        <v>16032</v>
      </c>
      <c r="D9206" s="2"/>
      <c r="E9206" s="2">
        <v>1</v>
      </c>
      <c r="F9206" s="9"/>
      <c r="G9206" s="8">
        <f t="shared" si="286"/>
        <v>61.234800374999992</v>
      </c>
      <c r="H9206" s="8">
        <v>58.318857499999993</v>
      </c>
      <c r="I9206" s="19">
        <f t="shared" si="287"/>
        <v>0</v>
      </c>
    </row>
    <row r="9207" spans="1:9" hidden="1">
      <c r="A9207" s="11" t="s">
        <v>11260</v>
      </c>
      <c r="B9207" s="2" t="s">
        <v>16033</v>
      </c>
      <c r="C9207" s="2" t="s">
        <v>16034</v>
      </c>
      <c r="D9207" s="2"/>
      <c r="E9207" s="2">
        <v>1</v>
      </c>
      <c r="F9207" s="9"/>
      <c r="G9207" s="8">
        <f t="shared" si="286"/>
        <v>145.21764058434189</v>
      </c>
      <c r="H9207" s="8">
        <v>138.30251484223038</v>
      </c>
      <c r="I9207" s="19">
        <f t="shared" si="287"/>
        <v>0</v>
      </c>
    </row>
    <row r="9208" spans="1:9" hidden="1">
      <c r="A9208" s="11" t="s">
        <v>11260</v>
      </c>
      <c r="B9208" s="2" t="s">
        <v>16035</v>
      </c>
      <c r="C9208" s="2" t="s">
        <v>16034</v>
      </c>
      <c r="D9208" s="2"/>
      <c r="E9208" s="2">
        <v>1</v>
      </c>
      <c r="F9208" s="9"/>
      <c r="G9208" s="8">
        <f t="shared" si="286"/>
        <v>145.21764058434189</v>
      </c>
      <c r="H9208" s="8">
        <v>138.30251484223038</v>
      </c>
      <c r="I9208" s="19">
        <f t="shared" si="287"/>
        <v>0</v>
      </c>
    </row>
    <row r="9209" spans="1:9" hidden="1">
      <c r="A9209" s="11" t="s">
        <v>11260</v>
      </c>
      <c r="B9209" s="2" t="s">
        <v>16036</v>
      </c>
      <c r="C9209" s="2" t="s">
        <v>16037</v>
      </c>
      <c r="D9209" s="2"/>
      <c r="E9209" s="2">
        <v>1</v>
      </c>
      <c r="F9209" s="9"/>
      <c r="G9209" s="8">
        <f t="shared" si="286"/>
        <v>66.638420207391661</v>
      </c>
      <c r="H9209" s="8">
        <v>63.465162102277773</v>
      </c>
      <c r="I9209" s="19">
        <f t="shared" si="287"/>
        <v>0</v>
      </c>
    </row>
    <row r="9210" spans="1:9" hidden="1">
      <c r="A9210" s="11" t="s">
        <v>11260</v>
      </c>
      <c r="B9210" s="2" t="s">
        <v>16038</v>
      </c>
      <c r="C9210" s="2" t="s">
        <v>16039</v>
      </c>
      <c r="D9210" s="2"/>
      <c r="E9210" s="2">
        <v>1</v>
      </c>
      <c r="F9210" s="9"/>
      <c r="G9210" s="8">
        <f t="shared" si="286"/>
        <v>155.89371173902131</v>
      </c>
      <c r="H9210" s="8">
        <v>148.47020165621078</v>
      </c>
      <c r="I9210" s="19">
        <f t="shared" si="287"/>
        <v>0</v>
      </c>
    </row>
    <row r="9211" spans="1:9" hidden="1">
      <c r="A9211" s="11" t="s">
        <v>11260</v>
      </c>
      <c r="B9211" s="2" t="s">
        <v>16040</v>
      </c>
      <c r="C9211" s="2" t="s">
        <v>16037</v>
      </c>
      <c r="D9211" s="2"/>
      <c r="E9211" s="2">
        <v>1</v>
      </c>
      <c r="F9211" s="9"/>
      <c r="G9211" s="8">
        <f t="shared" si="286"/>
        <v>155.89371173902131</v>
      </c>
      <c r="H9211" s="8">
        <v>148.47020165621078</v>
      </c>
      <c r="I9211" s="19">
        <f t="shared" si="287"/>
        <v>0</v>
      </c>
    </row>
    <row r="9212" spans="1:9">
      <c r="A9212" s="11" t="s">
        <v>11260</v>
      </c>
      <c r="B9212" s="2" t="s">
        <v>16041</v>
      </c>
      <c r="C9212" s="2" t="s">
        <v>16042</v>
      </c>
      <c r="D9212" s="2"/>
      <c r="E9212" s="2">
        <v>1</v>
      </c>
      <c r="F9212" s="9">
        <f>25+13</f>
        <v>38</v>
      </c>
      <c r="G9212" s="8">
        <f t="shared" si="286"/>
        <v>42.433934255437819</v>
      </c>
      <c r="H9212" s="8">
        <v>40.413270719464592</v>
      </c>
      <c r="I9212" s="19">
        <f t="shared" si="287"/>
        <v>1612.4895017066372</v>
      </c>
    </row>
    <row r="9213" spans="1:9">
      <c r="A9213" s="11" t="s">
        <v>11260</v>
      </c>
      <c r="B9213" s="2" t="s">
        <v>16043</v>
      </c>
      <c r="C9213" s="2" t="s">
        <v>16044</v>
      </c>
      <c r="D9213" s="2"/>
      <c r="E9213" s="2">
        <v>1</v>
      </c>
      <c r="F9213" s="9">
        <f>2*50+10</f>
        <v>110</v>
      </c>
      <c r="G9213" s="8">
        <f t="shared" si="286"/>
        <v>45.267218343007919</v>
      </c>
      <c r="H9213" s="8">
        <v>43.111636517150401</v>
      </c>
      <c r="I9213" s="19">
        <f t="shared" si="287"/>
        <v>4979.3940177308714</v>
      </c>
    </row>
    <row r="9214" spans="1:9" hidden="1">
      <c r="A9214" s="11" t="s">
        <v>11260</v>
      </c>
      <c r="B9214" s="2" t="s">
        <v>16045</v>
      </c>
      <c r="C9214" s="2" t="s">
        <v>16046</v>
      </c>
      <c r="D9214" s="2"/>
      <c r="E9214" s="2">
        <v>1</v>
      </c>
      <c r="G9214" s="8">
        <f t="shared" si="286"/>
        <v>48.117669736842096</v>
      </c>
      <c r="H9214" s="8">
        <v>45.826352130325809</v>
      </c>
      <c r="I9214" s="19">
        <f>G9214*F9214</f>
        <v>0</v>
      </c>
    </row>
    <row r="9215" spans="1:9">
      <c r="A9215" s="11" t="s">
        <v>11260</v>
      </c>
      <c r="B9215" s="2" t="s">
        <v>16047</v>
      </c>
      <c r="C9215" s="2" t="s">
        <v>16048</v>
      </c>
      <c r="D9215" s="2"/>
      <c r="E9215" s="2">
        <v>1</v>
      </c>
      <c r="F9215" s="9">
        <f>25+7</f>
        <v>32</v>
      </c>
      <c r="G9215" s="8">
        <f t="shared" si="286"/>
        <v>50.965936653956156</v>
      </c>
      <c r="H9215" s="8">
        <v>48.538987289482051</v>
      </c>
      <c r="I9215" s="19">
        <f t="shared" si="287"/>
        <v>1630.909972926597</v>
      </c>
    </row>
    <row r="9216" spans="1:9">
      <c r="A9216" s="11" t="s">
        <v>11260</v>
      </c>
      <c r="B9216" s="2" t="s">
        <v>16049</v>
      </c>
      <c r="C9216" s="2" t="s">
        <v>16050</v>
      </c>
      <c r="D9216" s="2"/>
      <c r="E9216" s="2">
        <v>1</v>
      </c>
      <c r="F9216" s="9">
        <v>19</v>
      </c>
      <c r="G9216" s="8">
        <f t="shared" si="286"/>
        <v>53.061884469339624</v>
      </c>
      <c r="H9216" s="8">
        <v>50.535128066037736</v>
      </c>
      <c r="I9216" s="19">
        <f t="shared" si="287"/>
        <v>1008.1758049174529</v>
      </c>
    </row>
    <row r="9217" spans="1:9" hidden="1">
      <c r="A9217" s="11" t="s">
        <v>11260</v>
      </c>
      <c r="B9217" s="2" t="s">
        <v>16051</v>
      </c>
      <c r="C9217" s="2" t="s">
        <v>16052</v>
      </c>
      <c r="D9217" s="2"/>
      <c r="E9217" s="2">
        <v>1</v>
      </c>
      <c r="F9217" s="9"/>
      <c r="G9217" s="8">
        <f t="shared" si="286"/>
        <v>58.88939666711827</v>
      </c>
      <c r="H9217" s="8">
        <v>56.085139682969782</v>
      </c>
      <c r="I9217" s="19">
        <f t="shared" si="287"/>
        <v>0</v>
      </c>
    </row>
    <row r="9218" spans="1:9" hidden="1">
      <c r="A9218" s="11" t="s">
        <v>11260</v>
      </c>
      <c r="B9218" s="2" t="s">
        <v>16053</v>
      </c>
      <c r="C9218" s="2" t="s">
        <v>16054</v>
      </c>
      <c r="D9218" s="2"/>
      <c r="E9218" s="2">
        <v>1</v>
      </c>
      <c r="F9218" s="9"/>
      <c r="G9218" s="8">
        <f t="shared" si="286"/>
        <v>64.507447102301157</v>
      </c>
      <c r="H9218" s="8">
        <v>61.435663906953486</v>
      </c>
      <c r="I9218" s="19">
        <f t="shared" si="287"/>
        <v>0</v>
      </c>
    </row>
    <row r="9219" spans="1:9" hidden="1">
      <c r="A9219" s="11" t="s">
        <v>11260</v>
      </c>
      <c r="B9219" s="2" t="s">
        <v>16055</v>
      </c>
      <c r="C9219" s="2" t="s">
        <v>16056</v>
      </c>
      <c r="D9219" s="2"/>
      <c r="E9219" s="2">
        <v>1</v>
      </c>
      <c r="F9219" s="9"/>
      <c r="G9219" s="8">
        <f t="shared" si="286"/>
        <v>77.256655729551468</v>
      </c>
      <c r="H9219" s="8">
        <v>73.577767361477584</v>
      </c>
      <c r="I9219" s="19">
        <f t="shared" si="287"/>
        <v>0</v>
      </c>
    </row>
    <row r="9220" spans="1:9" hidden="1">
      <c r="A9220" s="11" t="s">
        <v>11260</v>
      </c>
      <c r="B9220" s="2" t="s">
        <v>16057</v>
      </c>
      <c r="C9220" s="2" t="s">
        <v>16058</v>
      </c>
      <c r="D9220" s="2"/>
      <c r="E9220" s="2">
        <v>1</v>
      </c>
      <c r="F9220" s="9"/>
      <c r="G9220" s="8">
        <f t="shared" si="286"/>
        <v>82.091368050921858</v>
      </c>
      <c r="H9220" s="8">
        <v>78.182255286592252</v>
      </c>
      <c r="I9220" s="19">
        <f t="shared" si="287"/>
        <v>0</v>
      </c>
    </row>
    <row r="9221" spans="1:9" hidden="1">
      <c r="A9221" s="11" t="s">
        <v>11260</v>
      </c>
      <c r="B9221" s="2" t="s">
        <v>16059</v>
      </c>
      <c r="C9221" s="2" t="s">
        <v>16060</v>
      </c>
      <c r="D9221" s="2"/>
      <c r="E9221" s="2">
        <v>1</v>
      </c>
      <c r="F9221" s="9"/>
      <c r="G9221" s="8">
        <f t="shared" si="286"/>
        <v>86.903406689989225</v>
      </c>
      <c r="H9221" s="8">
        <v>82.765149228561171</v>
      </c>
      <c r="I9221" s="19">
        <f t="shared" si="287"/>
        <v>0</v>
      </c>
    </row>
    <row r="9222" spans="1:9" hidden="1">
      <c r="A9222" s="11" t="s">
        <v>11260</v>
      </c>
      <c r="B9222" s="2" t="s">
        <v>16061</v>
      </c>
      <c r="C9222" s="2" t="s">
        <v>16062</v>
      </c>
      <c r="D9222" s="2"/>
      <c r="E9222" s="2">
        <v>1</v>
      </c>
      <c r="F9222" s="9"/>
      <c r="G9222" s="8">
        <f t="shared" si="286"/>
        <v>91.738185611720354</v>
      </c>
      <c r="H9222" s="8">
        <v>87.369700582590809</v>
      </c>
      <c r="I9222" s="19">
        <f t="shared" si="287"/>
        <v>0</v>
      </c>
    </row>
    <row r="9223" spans="1:9" hidden="1">
      <c r="A9223" s="11" t="s">
        <v>11260</v>
      </c>
      <c r="B9223" s="2" t="s">
        <v>16063</v>
      </c>
      <c r="C9223" s="2" t="s">
        <v>16064</v>
      </c>
      <c r="D9223" s="2"/>
      <c r="E9223" s="2">
        <v>1</v>
      </c>
      <c r="F9223" s="9"/>
      <c r="G9223" s="8">
        <f t="shared" si="286"/>
        <v>96.566189246247561</v>
      </c>
      <c r="H9223" s="8">
        <v>91.967799282140533</v>
      </c>
      <c r="I9223" s="19">
        <f t="shared" si="287"/>
        <v>0</v>
      </c>
    </row>
    <row r="9224" spans="1:9" hidden="1">
      <c r="A9224" s="11" t="s">
        <v>11260</v>
      </c>
      <c r="B9224" s="2" t="s">
        <v>16065</v>
      </c>
      <c r="C9224" s="2" t="s">
        <v>16066</v>
      </c>
      <c r="D9224" s="2"/>
      <c r="E9224" s="2">
        <v>1</v>
      </c>
      <c r="F9224" s="9"/>
      <c r="G9224" s="8">
        <f t="shared" si="286"/>
        <v>106.22626562650241</v>
      </c>
      <c r="H9224" s="8">
        <v>101.16787202524038</v>
      </c>
      <c r="I9224" s="19">
        <f t="shared" si="287"/>
        <v>0</v>
      </c>
    </row>
    <row r="9225" spans="1:9" hidden="1">
      <c r="A9225" s="11" t="s">
        <v>11260</v>
      </c>
      <c r="B9225" s="2" t="s">
        <v>16067</v>
      </c>
      <c r="C9225" s="2" t="s">
        <v>16068</v>
      </c>
      <c r="D9225" s="2"/>
      <c r="E9225" s="2">
        <v>1</v>
      </c>
      <c r="F9225" s="9"/>
      <c r="G9225" s="8">
        <f t="shared" si="286"/>
        <v>115.88602581871348</v>
      </c>
      <c r="H9225" s="8">
        <v>110.36764363686997</v>
      </c>
      <c r="I9225" s="19">
        <f t="shared" si="287"/>
        <v>0</v>
      </c>
    </row>
    <row r="9226" spans="1:9" hidden="1">
      <c r="A9226" s="11" t="s">
        <v>11260</v>
      </c>
      <c r="B9226" s="2" t="s">
        <v>16069</v>
      </c>
      <c r="C9226" s="2" t="s">
        <v>16070</v>
      </c>
      <c r="D9226" s="2"/>
      <c r="E9226" s="2">
        <v>1</v>
      </c>
      <c r="F9226" s="9"/>
      <c r="G9226" s="8">
        <f t="shared" si="286"/>
        <v>42.057527042305566</v>
      </c>
      <c r="H9226" s="8">
        <v>40.054787659338636</v>
      </c>
      <c r="I9226" s="19">
        <f t="shared" si="287"/>
        <v>0</v>
      </c>
    </row>
    <row r="9227" spans="1:9" hidden="1">
      <c r="A9227" s="11" t="s">
        <v>11260</v>
      </c>
      <c r="B9227" s="2" t="s">
        <v>16071</v>
      </c>
      <c r="C9227" s="2" t="s">
        <v>16070</v>
      </c>
      <c r="D9227" s="2"/>
      <c r="E9227" s="2">
        <v>1</v>
      </c>
      <c r="F9227" s="9"/>
      <c r="G9227" s="8">
        <f t="shared" si="286"/>
        <v>90.140970149999987</v>
      </c>
      <c r="H9227" s="8">
        <v>85.848542999999992</v>
      </c>
      <c r="I9227" s="19">
        <f t="shared" si="287"/>
        <v>0</v>
      </c>
    </row>
    <row r="9228" spans="1:9" hidden="1">
      <c r="A9228" s="11" t="s">
        <v>11260</v>
      </c>
      <c r="B9228" s="2" t="s">
        <v>16072</v>
      </c>
      <c r="C9228" s="2" t="s">
        <v>16070</v>
      </c>
      <c r="D9228" s="2"/>
      <c r="E9228" s="2">
        <v>1</v>
      </c>
      <c r="F9228" s="9"/>
      <c r="G9228" s="8">
        <f t="shared" si="286"/>
        <v>90.140970149999987</v>
      </c>
      <c r="H9228" s="8">
        <v>85.848542999999992</v>
      </c>
      <c r="I9228" s="19">
        <f t="shared" si="287"/>
        <v>0</v>
      </c>
    </row>
    <row r="9229" spans="1:9" hidden="1">
      <c r="A9229" s="11" t="s">
        <v>11260</v>
      </c>
      <c r="B9229" s="2" t="s">
        <v>16073</v>
      </c>
      <c r="C9229" s="2" t="s">
        <v>16074</v>
      </c>
      <c r="D9229" s="2"/>
      <c r="E9229" s="2">
        <v>1</v>
      </c>
      <c r="F9229" s="9"/>
      <c r="G9229" s="8">
        <f t="shared" si="286"/>
        <v>44.628040817610064</v>
      </c>
      <c r="H9229" s="8">
        <v>42.502896016771487</v>
      </c>
      <c r="I9229" s="19">
        <f t="shared" si="287"/>
        <v>0</v>
      </c>
    </row>
    <row r="9230" spans="1:9" hidden="1">
      <c r="A9230" s="11" t="s">
        <v>11260</v>
      </c>
      <c r="B9230" s="2" t="s">
        <v>16075</v>
      </c>
      <c r="C9230" s="2" t="s">
        <v>16076</v>
      </c>
      <c r="D9230" s="2"/>
      <c r="E9230" s="2">
        <v>1</v>
      </c>
      <c r="F9230" s="9"/>
      <c r="G9230" s="8">
        <f t="shared" si="286"/>
        <v>95.727416724062763</v>
      </c>
      <c r="H9230" s="8">
        <v>91.168968308631207</v>
      </c>
      <c r="I9230" s="19">
        <f t="shared" si="287"/>
        <v>0</v>
      </c>
    </row>
    <row r="9231" spans="1:9" hidden="1">
      <c r="A9231" s="11" t="s">
        <v>11260</v>
      </c>
      <c r="B9231" s="2" t="s">
        <v>16077</v>
      </c>
      <c r="C9231" s="2" t="s">
        <v>16076</v>
      </c>
      <c r="D9231" s="2"/>
      <c r="E9231" s="2">
        <v>1</v>
      </c>
      <c r="F9231" s="9"/>
      <c r="G9231" s="8">
        <f t="shared" si="286"/>
        <v>95.727416724062763</v>
      </c>
      <c r="H9231" s="8">
        <v>91.168968308631207</v>
      </c>
      <c r="I9231" s="19">
        <f t="shared" si="287"/>
        <v>0</v>
      </c>
    </row>
    <row r="9232" spans="1:9">
      <c r="A9232" s="11" t="s">
        <v>11260</v>
      </c>
      <c r="B9232" s="2" t="s">
        <v>16078</v>
      </c>
      <c r="C9232" s="2" t="s">
        <v>16079</v>
      </c>
      <c r="D9232" s="2"/>
      <c r="E9232" s="2">
        <v>1</v>
      </c>
      <c r="F9232" s="9">
        <f>2*50+12</f>
        <v>112</v>
      </c>
      <c r="G9232" s="8">
        <f t="shared" si="286"/>
        <v>47.165808449477353</v>
      </c>
      <c r="H9232" s="8">
        <v>44.91981757093081</v>
      </c>
      <c r="I9232" s="19">
        <f>G9232*F9232</f>
        <v>5282.5705463414633</v>
      </c>
    </row>
    <row r="9233" spans="1:9" hidden="1">
      <c r="A9233" s="11" t="s">
        <v>11260</v>
      </c>
      <c r="B9233" s="2" t="s">
        <v>16080</v>
      </c>
      <c r="C9233" s="2" t="s">
        <v>16081</v>
      </c>
      <c r="D9233" s="2"/>
      <c r="E9233" s="2">
        <v>1</v>
      </c>
      <c r="F9233" s="9"/>
      <c r="G9233" s="8">
        <f t="shared" si="286"/>
        <v>101.26816939256574</v>
      </c>
      <c r="H9233" s="8">
        <v>96.445875611967367</v>
      </c>
      <c r="I9233" s="19">
        <f t="shared" si="287"/>
        <v>0</v>
      </c>
    </row>
    <row r="9234" spans="1:9" hidden="1">
      <c r="A9234" s="11" t="s">
        <v>11260</v>
      </c>
      <c r="B9234" s="2" t="s">
        <v>16082</v>
      </c>
      <c r="C9234" s="2" t="s">
        <v>16081</v>
      </c>
      <c r="D9234" s="2"/>
      <c r="E9234" s="2">
        <v>1</v>
      </c>
      <c r="F9234" s="9"/>
      <c r="G9234" s="8">
        <f t="shared" si="286"/>
        <v>101.26816939256574</v>
      </c>
      <c r="H9234" s="8">
        <v>96.445875611967367</v>
      </c>
      <c r="I9234" s="19">
        <f t="shared" si="287"/>
        <v>0</v>
      </c>
    </row>
    <row r="9235" spans="1:9" hidden="1">
      <c r="A9235" s="11" t="s">
        <v>11260</v>
      </c>
      <c r="B9235" s="2" t="s">
        <v>16083</v>
      </c>
      <c r="C9235" s="2" t="s">
        <v>16084</v>
      </c>
      <c r="D9235" s="2"/>
      <c r="E9235" s="2">
        <v>1</v>
      </c>
      <c r="F9235" s="9"/>
      <c r="G9235" s="8">
        <f t="shared" si="286"/>
        <v>49.779239006152395</v>
      </c>
      <c r="H9235" s="8">
        <v>47.408799053478468</v>
      </c>
      <c r="I9235" s="19">
        <f t="shared" si="287"/>
        <v>0</v>
      </c>
    </row>
    <row r="9236" spans="1:9" hidden="1">
      <c r="A9236" s="11" t="s">
        <v>11260</v>
      </c>
      <c r="B9236" s="2" t="s">
        <v>16085</v>
      </c>
      <c r="C9236" s="2" t="s">
        <v>16086</v>
      </c>
      <c r="D9236" s="2"/>
      <c r="E9236" s="2">
        <v>1</v>
      </c>
      <c r="F9236" s="9"/>
      <c r="G9236" s="8">
        <f t="shared" si="286"/>
        <v>106.9192786695815</v>
      </c>
      <c r="H9236" s="8">
        <v>101.82788444722048</v>
      </c>
      <c r="I9236" s="19">
        <f t="shared" si="287"/>
        <v>0</v>
      </c>
    </row>
    <row r="9237" spans="1:9" hidden="1">
      <c r="A9237" s="11" t="s">
        <v>11260</v>
      </c>
      <c r="B9237" s="2" t="s">
        <v>16087</v>
      </c>
      <c r="C9237" s="2" t="s">
        <v>16086</v>
      </c>
      <c r="D9237" s="2"/>
      <c r="E9237" s="2">
        <v>1</v>
      </c>
      <c r="F9237" s="9"/>
      <c r="G9237" s="8">
        <f t="shared" si="286"/>
        <v>116.15783629929112</v>
      </c>
      <c r="H9237" s="8">
        <v>110.62651076122964</v>
      </c>
      <c r="I9237" s="19">
        <f t="shared" si="287"/>
        <v>0</v>
      </c>
    </row>
    <row r="9238" spans="1:9" hidden="1">
      <c r="A9238" s="11" t="s">
        <v>11260</v>
      </c>
      <c r="B9238" s="2" t="s">
        <v>16088</v>
      </c>
      <c r="C9238" s="2" t="s">
        <v>16089</v>
      </c>
      <c r="D9238" s="2"/>
      <c r="E9238" s="2">
        <v>1</v>
      </c>
      <c r="F9238" s="9"/>
      <c r="G9238" s="8">
        <f t="shared" si="286"/>
        <v>53.064014244604323</v>
      </c>
      <c r="H9238" s="8">
        <v>50.537156423432691</v>
      </c>
      <c r="I9238" s="19">
        <f t="shared" si="287"/>
        <v>0</v>
      </c>
    </row>
    <row r="9239" spans="1:9" hidden="1">
      <c r="A9239" s="11" t="s">
        <v>11260</v>
      </c>
      <c r="B9239" s="2" t="s">
        <v>16090</v>
      </c>
      <c r="C9239" s="2" t="s">
        <v>16091</v>
      </c>
      <c r="D9239" s="2"/>
      <c r="E9239" s="2">
        <v>1</v>
      </c>
      <c r="F9239" s="9"/>
      <c r="G9239" s="8">
        <f t="shared" si="286"/>
        <v>113.55634483007212</v>
      </c>
      <c r="H9239" s="8">
        <v>108.14889983816393</v>
      </c>
      <c r="I9239" s="19">
        <f t="shared" si="287"/>
        <v>0</v>
      </c>
    </row>
    <row r="9240" spans="1:9" hidden="1">
      <c r="A9240" s="11" t="s">
        <v>11260</v>
      </c>
      <c r="B9240" s="2" t="s">
        <v>16092</v>
      </c>
      <c r="C9240" s="2" t="s">
        <v>16091</v>
      </c>
      <c r="D9240" s="2"/>
      <c r="E9240" s="2">
        <v>1</v>
      </c>
      <c r="F9240" s="9"/>
      <c r="G9240" s="8">
        <f t="shared" ref="G9240:G9303" si="288">H9240+(H9240*5%)</f>
        <v>113.55634483007212</v>
      </c>
      <c r="H9240" s="8">
        <v>108.14889983816393</v>
      </c>
      <c r="I9240" s="19">
        <f t="shared" ref="I9240:I9303" si="289">G9240*F9240</f>
        <v>0</v>
      </c>
    </row>
    <row r="9241" spans="1:9" hidden="1">
      <c r="A9241" s="11" t="s">
        <v>11260</v>
      </c>
      <c r="B9241" s="2" t="s">
        <v>16093</v>
      </c>
      <c r="C9241" s="2" t="s">
        <v>16094</v>
      </c>
      <c r="D9241" s="2"/>
      <c r="E9241" s="2">
        <v>1</v>
      </c>
      <c r="F9241" s="9"/>
      <c r="G9241" s="8">
        <f t="shared" si="288"/>
        <v>58.248033570948216</v>
      </c>
      <c r="H9241" s="8">
        <v>55.474317686617347</v>
      </c>
      <c r="I9241" s="19">
        <f t="shared" si="289"/>
        <v>0</v>
      </c>
    </row>
    <row r="9242" spans="1:9" hidden="1">
      <c r="A9242" s="11" t="s">
        <v>11260</v>
      </c>
      <c r="B9242" s="2" t="s">
        <v>16095</v>
      </c>
      <c r="C9242" s="2" t="s">
        <v>16096</v>
      </c>
      <c r="D9242" s="2"/>
      <c r="E9242" s="2">
        <v>1</v>
      </c>
      <c r="F9242" s="9"/>
      <c r="G9242" s="8">
        <f t="shared" si="288"/>
        <v>124.72738460740347</v>
      </c>
      <c r="H9242" s="8">
        <v>118.78798534038425</v>
      </c>
      <c r="I9242" s="19">
        <f t="shared" si="289"/>
        <v>0</v>
      </c>
    </row>
    <row r="9243" spans="1:9" hidden="1">
      <c r="A9243" s="11" t="s">
        <v>11260</v>
      </c>
      <c r="B9243" s="2" t="s">
        <v>16097</v>
      </c>
      <c r="C9243" s="2" t="s">
        <v>16096</v>
      </c>
      <c r="D9243" s="2"/>
      <c r="E9243" s="2">
        <v>1</v>
      </c>
      <c r="F9243" s="9"/>
      <c r="G9243" s="8">
        <f t="shared" si="288"/>
        <v>124.72738460740347</v>
      </c>
      <c r="H9243" s="8">
        <v>118.78798534038425</v>
      </c>
      <c r="I9243" s="19">
        <f t="shared" si="289"/>
        <v>0</v>
      </c>
    </row>
    <row r="9244" spans="1:9" hidden="1">
      <c r="A9244" s="11" t="s">
        <v>11260</v>
      </c>
      <c r="B9244" s="2" t="s">
        <v>16098</v>
      </c>
      <c r="C9244" s="2" t="s">
        <v>16099</v>
      </c>
      <c r="D9244" s="2"/>
      <c r="E9244" s="2">
        <v>1</v>
      </c>
      <c r="F9244" s="9"/>
      <c r="G9244" s="8">
        <f t="shared" si="288"/>
        <v>63.359562703910619</v>
      </c>
      <c r="H9244" s="8">
        <v>60.342440670391063</v>
      </c>
      <c r="I9244" s="19">
        <f t="shared" si="289"/>
        <v>0</v>
      </c>
    </row>
    <row r="9245" spans="1:9" hidden="1">
      <c r="A9245" s="11" t="s">
        <v>11260</v>
      </c>
      <c r="B9245" s="2" t="s">
        <v>16100</v>
      </c>
      <c r="C9245" s="2" t="s">
        <v>16101</v>
      </c>
      <c r="D9245" s="2"/>
      <c r="E9245" s="2">
        <v>1</v>
      </c>
      <c r="F9245" s="9"/>
      <c r="G9245" s="8">
        <f t="shared" si="288"/>
        <v>135.825244830446</v>
      </c>
      <c r="H9245" s="8">
        <v>129.35737602899619</v>
      </c>
      <c r="I9245" s="19">
        <f t="shared" si="289"/>
        <v>0</v>
      </c>
    </row>
    <row r="9246" spans="1:9" hidden="1">
      <c r="A9246" s="11" t="s">
        <v>11260</v>
      </c>
      <c r="B9246" s="2" t="s">
        <v>16102</v>
      </c>
      <c r="C9246" s="2" t="s">
        <v>16101</v>
      </c>
      <c r="D9246" s="2"/>
      <c r="E9246" s="2">
        <v>1</v>
      </c>
      <c r="F9246" s="9"/>
      <c r="G9246" s="8">
        <f t="shared" si="288"/>
        <v>135.825244830446</v>
      </c>
      <c r="H9246" s="8">
        <v>129.35737602899619</v>
      </c>
      <c r="I9246" s="19">
        <f t="shared" si="289"/>
        <v>0</v>
      </c>
    </row>
    <row r="9247" spans="1:9" hidden="1">
      <c r="A9247" s="11" t="s">
        <v>11260</v>
      </c>
      <c r="B9247" s="2" t="s">
        <v>16103</v>
      </c>
      <c r="C9247" s="2" t="s">
        <v>16104</v>
      </c>
      <c r="D9247" s="2"/>
      <c r="E9247" s="2">
        <v>1</v>
      </c>
      <c r="F9247" s="9"/>
      <c r="G9247" s="8">
        <f t="shared" si="288"/>
        <v>42.457552010443877</v>
      </c>
      <c r="H9247" s="8">
        <v>40.43576381947036</v>
      </c>
      <c r="I9247" s="19">
        <f t="shared" si="289"/>
        <v>0</v>
      </c>
    </row>
    <row r="9248" spans="1:9" hidden="1">
      <c r="A9248" s="11" t="s">
        <v>11260</v>
      </c>
      <c r="B9248" s="2" t="s">
        <v>16105</v>
      </c>
      <c r="C9248" s="2" t="s">
        <v>16106</v>
      </c>
      <c r="D9248" s="2"/>
      <c r="E9248" s="2">
        <v>1</v>
      </c>
      <c r="F9248" s="9"/>
      <c r="G9248" s="8">
        <f t="shared" si="288"/>
        <v>45.259739460412618</v>
      </c>
      <c r="H9248" s="8">
        <v>43.104513771821544</v>
      </c>
      <c r="I9248" s="19">
        <f t="shared" si="289"/>
        <v>0</v>
      </c>
    </row>
    <row r="9249" spans="1:9" hidden="1">
      <c r="A9249" s="11" t="s">
        <v>11260</v>
      </c>
      <c r="B9249" s="2" t="s">
        <v>16107</v>
      </c>
      <c r="C9249" s="2" t="s">
        <v>16108</v>
      </c>
      <c r="D9249" s="2"/>
      <c r="E9249" s="2">
        <v>1</v>
      </c>
      <c r="F9249" s="9"/>
      <c r="G9249" s="8">
        <f t="shared" si="288"/>
        <v>48.102832385697532</v>
      </c>
      <c r="H9249" s="8">
        <v>45.812221319711938</v>
      </c>
      <c r="I9249" s="19">
        <f t="shared" si="289"/>
        <v>0</v>
      </c>
    </row>
    <row r="9250" spans="1:9" hidden="1">
      <c r="A9250" s="11" t="s">
        <v>11260</v>
      </c>
      <c r="B9250" s="2" t="s">
        <v>16109</v>
      </c>
      <c r="C9250" s="2" t="s">
        <v>16110</v>
      </c>
      <c r="D9250" s="2"/>
      <c r="E9250" s="2">
        <v>1</v>
      </c>
      <c r="F9250" s="9"/>
      <c r="G9250" s="8">
        <f t="shared" si="288"/>
        <v>50.951455786624216</v>
      </c>
      <c r="H9250" s="8">
        <v>48.525195987261156</v>
      </c>
      <c r="I9250" s="19">
        <f t="shared" si="289"/>
        <v>0</v>
      </c>
    </row>
    <row r="9251" spans="1:9" hidden="1">
      <c r="A9251" s="11" t="s">
        <v>11260</v>
      </c>
      <c r="B9251" s="2" t="s">
        <v>16111</v>
      </c>
      <c r="C9251" s="2" t="s">
        <v>16112</v>
      </c>
      <c r="D9251" s="2"/>
      <c r="E9251" s="2">
        <v>1</v>
      </c>
      <c r="F9251" s="9"/>
      <c r="G9251" s="8">
        <f t="shared" si="288"/>
        <v>53.060534780552679</v>
      </c>
      <c r="H9251" s="8">
        <v>50.533842648145409</v>
      </c>
      <c r="I9251" s="19">
        <f t="shared" si="289"/>
        <v>0</v>
      </c>
    </row>
    <row r="9252" spans="1:9" hidden="1">
      <c r="A9252" s="11" t="s">
        <v>11260</v>
      </c>
      <c r="B9252" s="2" t="s">
        <v>16113</v>
      </c>
      <c r="C9252" s="2" t="s">
        <v>16114</v>
      </c>
      <c r="D9252" s="2"/>
      <c r="E9252" s="2">
        <v>1</v>
      </c>
      <c r="F9252" s="9"/>
      <c r="G9252" s="8">
        <f t="shared" si="288"/>
        <v>58.841585016286636</v>
      </c>
      <c r="H9252" s="8">
        <v>56.039604777415846</v>
      </c>
      <c r="I9252" s="19">
        <f t="shared" si="289"/>
        <v>0</v>
      </c>
    </row>
    <row r="9253" spans="1:9" hidden="1">
      <c r="A9253" s="11" t="s">
        <v>11260</v>
      </c>
      <c r="B9253" s="2" t="s">
        <v>16115</v>
      </c>
      <c r="C9253" s="2" t="s">
        <v>16116</v>
      </c>
      <c r="D9253" s="2"/>
      <c r="E9253" s="2">
        <v>1</v>
      </c>
      <c r="F9253" s="9"/>
      <c r="G9253" s="8">
        <f t="shared" si="288"/>
        <v>64.457404065280045</v>
      </c>
      <c r="H9253" s="8">
        <v>61.388003871695282</v>
      </c>
      <c r="I9253" s="19">
        <f t="shared" si="289"/>
        <v>0</v>
      </c>
    </row>
    <row r="9254" spans="1:9" hidden="1">
      <c r="A9254" s="11" t="s">
        <v>11260</v>
      </c>
      <c r="B9254" s="2" t="s">
        <v>16117</v>
      </c>
      <c r="C9254" s="2" t="s">
        <v>16118</v>
      </c>
      <c r="D9254" s="2"/>
      <c r="E9254" s="2">
        <v>1</v>
      </c>
      <c r="F9254" s="9"/>
      <c r="G9254" s="8">
        <f t="shared" si="288"/>
        <v>75.251367021865292</v>
      </c>
      <c r="H9254" s="8">
        <v>71.667968592252663</v>
      </c>
      <c r="I9254" s="19">
        <f t="shared" si="289"/>
        <v>0</v>
      </c>
    </row>
    <row r="9255" spans="1:9" hidden="1">
      <c r="A9255" s="11" t="s">
        <v>11260</v>
      </c>
      <c r="B9255" s="2" t="s">
        <v>16119</v>
      </c>
      <c r="C9255" s="2" t="s">
        <v>16120</v>
      </c>
      <c r="D9255" s="2"/>
      <c r="E9255" s="2">
        <v>1</v>
      </c>
      <c r="F9255" s="9"/>
      <c r="G9255" s="8">
        <f t="shared" si="288"/>
        <v>79.952977400694181</v>
      </c>
      <c r="H9255" s="8">
        <v>76.145692762565886</v>
      </c>
      <c r="I9255" s="19">
        <f t="shared" si="289"/>
        <v>0</v>
      </c>
    </row>
    <row r="9256" spans="1:9" hidden="1">
      <c r="A9256" s="11" t="s">
        <v>11260</v>
      </c>
      <c r="B9256" s="2" t="s">
        <v>16121</v>
      </c>
      <c r="C9256" s="2" t="s">
        <v>16122</v>
      </c>
      <c r="D9256" s="2"/>
      <c r="E9256" s="2">
        <v>1</v>
      </c>
      <c r="F9256" s="9"/>
      <c r="G9256" s="8">
        <f t="shared" si="288"/>
        <v>84.663683069130641</v>
      </c>
      <c r="H9256" s="8">
        <v>80.632079113457749</v>
      </c>
      <c r="I9256" s="19">
        <f t="shared" si="289"/>
        <v>0</v>
      </c>
    </row>
    <row r="9257" spans="1:9" hidden="1">
      <c r="A9257" s="11" t="s">
        <v>11260</v>
      </c>
      <c r="B9257" s="2" t="s">
        <v>16123</v>
      </c>
      <c r="C9257" s="2" t="s">
        <v>16124</v>
      </c>
      <c r="D9257" s="2"/>
      <c r="E9257" s="2">
        <v>1</v>
      </c>
      <c r="F9257" s="9"/>
      <c r="G9257" s="8">
        <f t="shared" si="288"/>
        <v>89.354475185011168</v>
      </c>
      <c r="H9257" s="8">
        <v>85.099500176201119</v>
      </c>
      <c r="I9257" s="19">
        <f t="shared" si="289"/>
        <v>0</v>
      </c>
    </row>
    <row r="9258" spans="1:9" hidden="1">
      <c r="A9258" s="11" t="s">
        <v>11260</v>
      </c>
      <c r="B9258" s="2" t="s">
        <v>16125</v>
      </c>
      <c r="C9258" s="2" t="s">
        <v>16126</v>
      </c>
      <c r="D9258" s="2"/>
      <c r="E9258" s="2">
        <v>1</v>
      </c>
      <c r="F9258" s="9"/>
      <c r="G9258" s="8">
        <f t="shared" si="288"/>
        <v>94.058789247143181</v>
      </c>
      <c r="H9258" s="8">
        <v>89.579799282993505</v>
      </c>
      <c r="I9258" s="19">
        <f t="shared" si="289"/>
        <v>0</v>
      </c>
    </row>
    <row r="9259" spans="1:9" hidden="1">
      <c r="A9259" s="11" t="s">
        <v>11260</v>
      </c>
      <c r="B9259" s="2" t="s">
        <v>16127</v>
      </c>
      <c r="C9259" s="2" t="s">
        <v>16128</v>
      </c>
      <c r="D9259" s="2"/>
      <c r="E9259" s="2">
        <v>1</v>
      </c>
      <c r="F9259" s="9"/>
      <c r="G9259" s="8">
        <f t="shared" si="288"/>
        <v>103.46282664908472</v>
      </c>
      <c r="H9259" s="8">
        <v>98.536025380080687</v>
      </c>
      <c r="I9259" s="19">
        <f t="shared" si="289"/>
        <v>0</v>
      </c>
    </row>
    <row r="9260" spans="1:9" hidden="1">
      <c r="A9260" s="11" t="s">
        <v>11260</v>
      </c>
      <c r="B9260" s="2" t="s">
        <v>16129</v>
      </c>
      <c r="C9260" s="2" t="s">
        <v>16130</v>
      </c>
      <c r="D9260" s="2"/>
      <c r="E9260" s="2">
        <v>1</v>
      </c>
      <c r="F9260" s="9"/>
      <c r="G9260" s="8">
        <f t="shared" si="288"/>
        <v>112.87727701729106</v>
      </c>
      <c r="H9260" s="8">
        <v>107.50216858789625</v>
      </c>
      <c r="I9260" s="19">
        <f t="shared" si="289"/>
        <v>0</v>
      </c>
    </row>
    <row r="9261" spans="1:9" hidden="1">
      <c r="A9261" s="11" t="s">
        <v>11260</v>
      </c>
      <c r="B9261" s="2" t="s">
        <v>16131</v>
      </c>
      <c r="C9261" s="2" t="s">
        <v>16132</v>
      </c>
      <c r="D9261" s="2"/>
      <c r="E9261" s="2">
        <v>1</v>
      </c>
      <c r="F9261" s="9"/>
      <c r="G9261" s="8">
        <f t="shared" si="288"/>
        <v>41.64656737406218</v>
      </c>
      <c r="H9261" s="8">
        <v>39.663397499106836</v>
      </c>
      <c r="I9261" s="19">
        <f t="shared" si="289"/>
        <v>0</v>
      </c>
    </row>
    <row r="9262" spans="1:9" hidden="1">
      <c r="A9262" s="11" t="s">
        <v>11260</v>
      </c>
      <c r="B9262" s="2" t="s">
        <v>16133</v>
      </c>
      <c r="C9262" s="2" t="s">
        <v>16134</v>
      </c>
      <c r="D9262" s="2"/>
      <c r="E9262" s="2">
        <v>1</v>
      </c>
      <c r="F9262" s="9"/>
      <c r="G9262" s="8">
        <f t="shared" si="288"/>
        <v>44.391744725553117</v>
      </c>
      <c r="H9262" s="8">
        <v>42.277852119574398</v>
      </c>
      <c r="I9262" s="19">
        <f t="shared" si="289"/>
        <v>0</v>
      </c>
    </row>
    <row r="9263" spans="1:9" hidden="1">
      <c r="A9263" s="11" t="s">
        <v>11260</v>
      </c>
      <c r="B9263" s="2" t="s">
        <v>16135</v>
      </c>
      <c r="C9263" s="2" t="s">
        <v>16136</v>
      </c>
      <c r="D9263" s="2"/>
      <c r="E9263" s="2">
        <v>1</v>
      </c>
      <c r="F9263" s="9"/>
      <c r="G9263" s="8">
        <f t="shared" si="288"/>
        <v>57.094780651359407</v>
      </c>
      <c r="H9263" s="8">
        <v>54.375981572723248</v>
      </c>
      <c r="I9263" s="19">
        <f t="shared" si="289"/>
        <v>0</v>
      </c>
    </row>
    <row r="9264" spans="1:9" hidden="1">
      <c r="A9264" s="11" t="s">
        <v>11260</v>
      </c>
      <c r="B9264" s="2" t="s">
        <v>16137</v>
      </c>
      <c r="C9264" s="2" t="s">
        <v>16138</v>
      </c>
      <c r="D9264" s="2"/>
      <c r="E9264" s="2">
        <v>1</v>
      </c>
      <c r="F9264" s="9"/>
      <c r="G9264" s="8">
        <f t="shared" si="288"/>
        <v>47.166424478832589</v>
      </c>
      <c r="H9264" s="8">
        <v>44.920404265554843</v>
      </c>
      <c r="I9264" s="19">
        <f t="shared" si="289"/>
        <v>0</v>
      </c>
    </row>
    <row r="9265" spans="1:9" hidden="1">
      <c r="A9265" s="11" t="s">
        <v>11260</v>
      </c>
      <c r="B9265" s="2" t="s">
        <v>16139</v>
      </c>
      <c r="C9265" s="2" t="s">
        <v>16136</v>
      </c>
      <c r="D9265" s="2"/>
      <c r="E9265" s="2">
        <v>1</v>
      </c>
      <c r="F9265" s="9"/>
      <c r="G9265" s="8">
        <f t="shared" si="288"/>
        <v>59.935611009474414</v>
      </c>
      <c r="H9265" s="8">
        <v>57.081534294737537</v>
      </c>
      <c r="I9265" s="19">
        <f t="shared" si="289"/>
        <v>0</v>
      </c>
    </row>
    <row r="9266" spans="1:9" hidden="1">
      <c r="A9266" s="11" t="s">
        <v>11260</v>
      </c>
      <c r="B9266" s="2" t="s">
        <v>16140</v>
      </c>
      <c r="C9266" s="2" t="s">
        <v>16141</v>
      </c>
      <c r="D9266" s="2"/>
      <c r="E9266" s="2">
        <v>1</v>
      </c>
      <c r="F9266" s="9"/>
      <c r="G9266" s="8">
        <f t="shared" si="288"/>
        <v>49.956978105656347</v>
      </c>
      <c r="H9266" s="8">
        <v>47.578074386339381</v>
      </c>
      <c r="I9266" s="19">
        <f t="shared" si="289"/>
        <v>0</v>
      </c>
    </row>
    <row r="9267" spans="1:9" hidden="1">
      <c r="A9267" s="11" t="s">
        <v>11260</v>
      </c>
      <c r="B9267" s="2" t="s">
        <v>16142</v>
      </c>
      <c r="C9267" s="2" t="s">
        <v>16143</v>
      </c>
      <c r="D9267" s="2"/>
      <c r="E9267" s="2">
        <v>1</v>
      </c>
      <c r="F9267" s="9"/>
      <c r="G9267" s="8">
        <f t="shared" si="288"/>
        <v>52.162023038728904</v>
      </c>
      <c r="H9267" s="8">
        <v>49.678117179741811</v>
      </c>
      <c r="I9267" s="19">
        <f t="shared" si="289"/>
        <v>0</v>
      </c>
    </row>
    <row r="9268" spans="1:9" hidden="1">
      <c r="A9268" s="11" t="s">
        <v>11260</v>
      </c>
      <c r="B9268" s="2" t="s">
        <v>16144</v>
      </c>
      <c r="C9268" s="2" t="s">
        <v>16145</v>
      </c>
      <c r="D9268" s="2"/>
      <c r="E9268" s="2">
        <v>1</v>
      </c>
      <c r="F9268" s="9"/>
      <c r="G9268" s="8">
        <f t="shared" si="288"/>
        <v>57.694391890838197</v>
      </c>
      <c r="H9268" s="8">
        <v>54.94703989603638</v>
      </c>
      <c r="I9268" s="19">
        <f t="shared" si="289"/>
        <v>0</v>
      </c>
    </row>
    <row r="9269" spans="1:9" hidden="1">
      <c r="A9269" s="11" t="s">
        <v>11260</v>
      </c>
      <c r="B9269" s="2" t="s">
        <v>16146</v>
      </c>
      <c r="C9269" s="2" t="s">
        <v>16147</v>
      </c>
      <c r="D9269" s="2"/>
      <c r="E9269" s="2">
        <v>1</v>
      </c>
      <c r="F9269" s="9"/>
      <c r="G9269" s="8">
        <f t="shared" si="288"/>
        <v>63.189505329815304</v>
      </c>
      <c r="H9269" s="8">
        <v>60.180481266490766</v>
      </c>
      <c r="I9269" s="19">
        <f t="shared" si="289"/>
        <v>0</v>
      </c>
    </row>
    <row r="9270" spans="1:9" hidden="1">
      <c r="A9270" s="11" t="s">
        <v>11260</v>
      </c>
      <c r="B9270" s="2" t="s">
        <v>16148</v>
      </c>
      <c r="C9270" s="2" t="s">
        <v>16149</v>
      </c>
      <c r="D9270" s="2"/>
      <c r="E9270" s="2">
        <v>1</v>
      </c>
      <c r="F9270" s="9"/>
      <c r="G9270" s="8">
        <f t="shared" si="288"/>
        <v>61.576357184210522</v>
      </c>
      <c r="H9270" s="8">
        <v>58.644149699248118</v>
      </c>
      <c r="I9270" s="19">
        <f t="shared" si="289"/>
        <v>0</v>
      </c>
    </row>
    <row r="9271" spans="1:9" hidden="1">
      <c r="A9271" s="11" t="s">
        <v>11260</v>
      </c>
      <c r="B9271" s="2" t="s">
        <v>16150</v>
      </c>
      <c r="C9271" s="2" t="s">
        <v>16134</v>
      </c>
      <c r="D9271" s="2"/>
      <c r="E9271" s="2">
        <v>1</v>
      </c>
      <c r="F9271" s="9"/>
      <c r="G9271" s="8">
        <f t="shared" si="288"/>
        <v>64.84663053109756</v>
      </c>
      <c r="H9271" s="8">
        <v>61.758695743902443</v>
      </c>
      <c r="I9271" s="19">
        <f t="shared" si="289"/>
        <v>0</v>
      </c>
    </row>
    <row r="9272" spans="1:9" hidden="1">
      <c r="A9272" s="11" t="s">
        <v>11260</v>
      </c>
      <c r="B9272" s="2" t="s">
        <v>16151</v>
      </c>
      <c r="C9272" s="2" t="s">
        <v>16152</v>
      </c>
      <c r="D9272" s="2"/>
      <c r="E9272" s="2">
        <v>1</v>
      </c>
      <c r="F9272" s="9"/>
      <c r="G9272" s="8">
        <f t="shared" si="288"/>
        <v>68.882161767605609</v>
      </c>
      <c r="H9272" s="8">
        <v>65.602058826291056</v>
      </c>
      <c r="I9272" s="19">
        <f t="shared" si="289"/>
        <v>0</v>
      </c>
    </row>
    <row r="9273" spans="1:9" hidden="1">
      <c r="A9273" s="11" t="s">
        <v>11260</v>
      </c>
      <c r="B9273" s="2" t="s">
        <v>16153</v>
      </c>
      <c r="C9273" s="2" t="s">
        <v>16154</v>
      </c>
      <c r="D9273" s="2"/>
      <c r="E9273" s="2">
        <v>1</v>
      </c>
      <c r="F9273" s="9"/>
      <c r="G9273" s="8">
        <f t="shared" si="288"/>
        <v>72.744918211980519</v>
      </c>
      <c r="H9273" s="8">
        <v>69.280874487600499</v>
      </c>
      <c r="I9273" s="19">
        <f t="shared" si="289"/>
        <v>0</v>
      </c>
    </row>
    <row r="9274" spans="1:9" hidden="1">
      <c r="A9274" s="11" t="s">
        <v>11260</v>
      </c>
      <c r="B9274" s="2" t="s">
        <v>16155</v>
      </c>
      <c r="C9274" s="2" t="s">
        <v>16156</v>
      </c>
      <c r="D9274" s="2"/>
      <c r="E9274" s="2">
        <v>1</v>
      </c>
      <c r="F9274" s="9"/>
      <c r="G9274" s="8">
        <f t="shared" si="288"/>
        <v>76.672514534324449</v>
      </c>
      <c r="H9274" s="8">
        <v>73.021442413642333</v>
      </c>
      <c r="I9274" s="19">
        <f t="shared" si="289"/>
        <v>0</v>
      </c>
    </row>
    <row r="9275" spans="1:9" hidden="1">
      <c r="A9275" s="11" t="s">
        <v>11260</v>
      </c>
      <c r="B9275" s="2" t="s">
        <v>16157</v>
      </c>
      <c r="C9275" s="2" t="s">
        <v>16158</v>
      </c>
      <c r="D9275" s="2"/>
      <c r="E9275" s="2">
        <v>1</v>
      </c>
      <c r="F9275" s="9"/>
      <c r="G9275" s="8">
        <f t="shared" si="288"/>
        <v>81.666672218009495</v>
      </c>
      <c r="H9275" s="8">
        <v>77.777783064770944</v>
      </c>
      <c r="I9275" s="19">
        <f t="shared" si="289"/>
        <v>0</v>
      </c>
    </row>
    <row r="9276" spans="1:9" hidden="1">
      <c r="A9276" s="11" t="s">
        <v>11260</v>
      </c>
      <c r="B9276" s="2" t="s">
        <v>16159</v>
      </c>
      <c r="C9276" s="2" t="s">
        <v>16160</v>
      </c>
      <c r="D9276" s="2"/>
      <c r="E9276" s="2">
        <v>1</v>
      </c>
      <c r="F9276" s="9"/>
      <c r="G9276" s="8">
        <f t="shared" si="288"/>
        <v>63.200190835214457</v>
      </c>
      <c r="H9276" s="8">
        <v>60.190657938299481</v>
      </c>
      <c r="I9276" s="19">
        <f t="shared" si="289"/>
        <v>0</v>
      </c>
    </row>
    <row r="9277" spans="1:9" hidden="1">
      <c r="A9277" s="11" t="s">
        <v>11260</v>
      </c>
      <c r="B9277" s="2" t="s">
        <v>16161</v>
      </c>
      <c r="C9277" s="2" t="s">
        <v>16162</v>
      </c>
      <c r="D9277" s="2"/>
      <c r="E9277" s="2">
        <v>1</v>
      </c>
      <c r="F9277" s="9"/>
      <c r="G9277" s="8">
        <f t="shared" si="288"/>
        <v>66.353479115464182</v>
      </c>
      <c r="H9277" s="8">
        <v>63.19378963377541</v>
      </c>
      <c r="I9277" s="19">
        <f t="shared" si="289"/>
        <v>0</v>
      </c>
    </row>
    <row r="9278" spans="1:9" hidden="1">
      <c r="A9278" s="11" t="s">
        <v>11260</v>
      </c>
      <c r="B9278" s="2" t="s">
        <v>16163</v>
      </c>
      <c r="C9278" s="2" t="s">
        <v>16164</v>
      </c>
      <c r="D9278" s="2"/>
      <c r="E9278" s="2">
        <v>1</v>
      </c>
      <c r="F9278" s="9"/>
      <c r="G9278" s="8">
        <f t="shared" si="288"/>
        <v>70.361596006546634</v>
      </c>
      <c r="H9278" s="8">
        <v>67.011043815758697</v>
      </c>
      <c r="I9278" s="19">
        <f t="shared" si="289"/>
        <v>0</v>
      </c>
    </row>
    <row r="9279" spans="1:9" hidden="1">
      <c r="A9279" s="11" t="s">
        <v>11260</v>
      </c>
      <c r="B9279" s="2" t="s">
        <v>16165</v>
      </c>
      <c r="C9279" s="2" t="s">
        <v>16166</v>
      </c>
      <c r="D9279" s="2"/>
      <c r="E9279" s="2">
        <v>1</v>
      </c>
      <c r="F9279" s="9"/>
      <c r="G9279" s="8">
        <f t="shared" si="288"/>
        <v>74.297388968200266</v>
      </c>
      <c r="H9279" s="8">
        <v>70.759418064952641</v>
      </c>
      <c r="I9279" s="19">
        <f t="shared" si="289"/>
        <v>0</v>
      </c>
    </row>
    <row r="9280" spans="1:9" hidden="1">
      <c r="A9280" s="11" t="s">
        <v>11260</v>
      </c>
      <c r="B9280" s="2" t="s">
        <v>16167</v>
      </c>
      <c r="C9280" s="2" t="s">
        <v>16168</v>
      </c>
      <c r="D9280" s="2"/>
      <c r="E9280" s="2">
        <v>1</v>
      </c>
      <c r="F9280" s="9"/>
      <c r="G9280" s="8">
        <f t="shared" si="288"/>
        <v>78.265232408616214</v>
      </c>
      <c r="H9280" s="8">
        <v>74.538316579634483</v>
      </c>
      <c r="I9280" s="19">
        <f t="shared" si="289"/>
        <v>0</v>
      </c>
    </row>
    <row r="9281" spans="1:9" hidden="1">
      <c r="A9281" s="11" t="s">
        <v>11260</v>
      </c>
      <c r="B9281" s="2" t="s">
        <v>16169</v>
      </c>
      <c r="C9281" s="2" t="s">
        <v>16170</v>
      </c>
      <c r="D9281" s="2"/>
      <c r="E9281" s="2">
        <v>1</v>
      </c>
      <c r="F9281" s="9"/>
      <c r="G9281" s="8">
        <f t="shared" si="288"/>
        <v>83.566418613533685</v>
      </c>
      <c r="H9281" s="8">
        <v>79.587065346222559</v>
      </c>
      <c r="I9281" s="19">
        <f t="shared" si="289"/>
        <v>0</v>
      </c>
    </row>
    <row r="9282" spans="1:9" hidden="1">
      <c r="A9282" s="11" t="s">
        <v>11260</v>
      </c>
      <c r="B9282" s="2" t="s">
        <v>16171</v>
      </c>
      <c r="C9282" s="2" t="s">
        <v>16172</v>
      </c>
      <c r="D9282" s="2"/>
      <c r="E9282" s="2">
        <v>1</v>
      </c>
      <c r="F9282" s="9"/>
      <c r="G9282" s="8">
        <f t="shared" si="288"/>
        <v>61.050687248018114</v>
      </c>
      <c r="H9282" s="8">
        <v>58.143511664779155</v>
      </c>
      <c r="I9282" s="19">
        <f t="shared" si="289"/>
        <v>0</v>
      </c>
    </row>
    <row r="9283" spans="1:9" hidden="1">
      <c r="A9283" s="11" t="s">
        <v>11260</v>
      </c>
      <c r="B9283" s="2" t="s">
        <v>16173</v>
      </c>
      <c r="C9283" s="2" t="s">
        <v>16174</v>
      </c>
      <c r="D9283" s="2"/>
      <c r="E9283" s="2">
        <v>1</v>
      </c>
      <c r="F9283" s="9"/>
      <c r="G9283" s="8">
        <f t="shared" si="288"/>
        <v>61.047623671036959</v>
      </c>
      <c r="H9283" s="8">
        <v>58.140593972416148</v>
      </c>
      <c r="I9283" s="19">
        <f t="shared" si="289"/>
        <v>0</v>
      </c>
    </row>
    <row r="9284" spans="1:9" hidden="1">
      <c r="A9284" s="11" t="s">
        <v>11260</v>
      </c>
      <c r="B9284" s="2" t="s">
        <v>16175</v>
      </c>
      <c r="C9284" s="2" t="s">
        <v>16176</v>
      </c>
      <c r="D9284" s="2"/>
      <c r="E9284" s="2">
        <v>1</v>
      </c>
      <c r="F9284" s="9"/>
      <c r="G9284" s="8">
        <f t="shared" si="288"/>
        <v>62.556793624454158</v>
      </c>
      <c r="H9284" s="8">
        <v>59.577898689956342</v>
      </c>
      <c r="I9284" s="19">
        <f t="shared" si="289"/>
        <v>0</v>
      </c>
    </row>
    <row r="9285" spans="1:9" hidden="1">
      <c r="A9285" s="11" t="s">
        <v>11260</v>
      </c>
      <c r="B9285" s="2" t="s">
        <v>16177</v>
      </c>
      <c r="C9285" s="2" t="s">
        <v>16178</v>
      </c>
      <c r="D9285" s="2"/>
      <c r="E9285" s="2">
        <v>1</v>
      </c>
      <c r="F9285" s="9"/>
      <c r="G9285" s="8">
        <f t="shared" si="288"/>
        <v>70.57045342893727</v>
      </c>
      <c r="H9285" s="8">
        <v>67.209955646606929</v>
      </c>
      <c r="I9285" s="19">
        <f t="shared" si="289"/>
        <v>0</v>
      </c>
    </row>
    <row r="9286" spans="1:9" hidden="1">
      <c r="A9286" s="11" t="s">
        <v>11260</v>
      </c>
      <c r="B9286" s="2" t="s">
        <v>16179</v>
      </c>
      <c r="C9286" s="2" t="s">
        <v>16180</v>
      </c>
      <c r="D9286" s="2"/>
      <c r="E9286" s="2">
        <v>1</v>
      </c>
      <c r="F9286" s="9"/>
      <c r="G9286" s="8">
        <f t="shared" si="288"/>
        <v>73.019238094097162</v>
      </c>
      <c r="H9286" s="8">
        <v>69.542131518187773</v>
      </c>
      <c r="I9286" s="19">
        <f t="shared" si="289"/>
        <v>0</v>
      </c>
    </row>
    <row r="9287" spans="1:9" hidden="1">
      <c r="A9287" s="11" t="s">
        <v>11260</v>
      </c>
      <c r="B9287" s="2" t="s">
        <v>16181</v>
      </c>
      <c r="C9287" s="2" t="s">
        <v>16182</v>
      </c>
      <c r="D9287" s="2"/>
      <c r="E9287" s="2">
        <v>1</v>
      </c>
      <c r="F9287" s="9"/>
      <c r="G9287" s="8">
        <f t="shared" si="288"/>
        <v>63.846583941784559</v>
      </c>
      <c r="H9287" s="8">
        <v>60.806270420747197</v>
      </c>
      <c r="I9287" s="19">
        <f t="shared" si="289"/>
        <v>0</v>
      </c>
    </row>
    <row r="9288" spans="1:9" hidden="1">
      <c r="A9288" s="11" t="s">
        <v>11260</v>
      </c>
      <c r="B9288" s="2" t="s">
        <v>16183</v>
      </c>
      <c r="C9288" s="2" t="s">
        <v>16184</v>
      </c>
      <c r="D9288" s="2"/>
      <c r="E9288" s="2">
        <v>1</v>
      </c>
      <c r="F9288" s="9"/>
      <c r="G9288" s="8">
        <f t="shared" si="288"/>
        <v>56.846038284224846</v>
      </c>
      <c r="H9288" s="8">
        <v>54.13908408021414</v>
      </c>
      <c r="I9288" s="19">
        <f t="shared" si="289"/>
        <v>0</v>
      </c>
    </row>
    <row r="9289" spans="1:9" hidden="1">
      <c r="A9289" s="11" t="s">
        <v>11260</v>
      </c>
      <c r="B9289" s="2" t="s">
        <v>16185</v>
      </c>
      <c r="C9289" s="2" t="s">
        <v>16186</v>
      </c>
      <c r="D9289" s="2"/>
      <c r="E9289" s="2">
        <v>1</v>
      </c>
      <c r="F9289" s="9"/>
      <c r="G9289" s="8">
        <f t="shared" si="288"/>
        <v>60.870496830635112</v>
      </c>
      <c r="H9289" s="8">
        <v>57.971901743462013</v>
      </c>
      <c r="I9289" s="19">
        <f t="shared" si="289"/>
        <v>0</v>
      </c>
    </row>
    <row r="9290" spans="1:9" hidden="1">
      <c r="A9290" s="11" t="s">
        <v>11260</v>
      </c>
      <c r="B9290" s="2" t="s">
        <v>16187</v>
      </c>
      <c r="C9290" s="2" t="s">
        <v>16188</v>
      </c>
      <c r="D9290" s="2"/>
      <c r="E9290" s="2">
        <v>1</v>
      </c>
      <c r="F9290" s="9"/>
      <c r="G9290" s="8">
        <f t="shared" si="288"/>
        <v>64.243002932551335</v>
      </c>
      <c r="H9290" s="8">
        <v>61.183812316715553</v>
      </c>
      <c r="I9290" s="19">
        <f t="shared" si="289"/>
        <v>0</v>
      </c>
    </row>
    <row r="9291" spans="1:9" hidden="1">
      <c r="A9291" s="11" t="s">
        <v>11260</v>
      </c>
      <c r="B9291" s="2" t="s">
        <v>16189</v>
      </c>
      <c r="C9291" s="2" t="s">
        <v>16190</v>
      </c>
      <c r="D9291" s="2"/>
      <c r="E9291" s="2">
        <v>1</v>
      </c>
      <c r="F9291" s="9"/>
      <c r="G9291" s="8">
        <f t="shared" si="288"/>
        <v>49.276792096907556</v>
      </c>
      <c r="H9291" s="8">
        <v>46.930278187531009</v>
      </c>
      <c r="I9291" s="19">
        <f t="shared" si="289"/>
        <v>0</v>
      </c>
    </row>
    <row r="9292" spans="1:9" hidden="1">
      <c r="A9292" s="11" t="s">
        <v>11260</v>
      </c>
      <c r="B9292" s="2" t="s">
        <v>16191</v>
      </c>
      <c r="C9292" s="2" t="s">
        <v>16192</v>
      </c>
      <c r="D9292" s="2"/>
      <c r="E9292" s="2">
        <v>1</v>
      </c>
      <c r="F9292" s="9"/>
      <c r="G9292" s="8">
        <f t="shared" si="288"/>
        <v>52.108671647860845</v>
      </c>
      <c r="H9292" s="8">
        <v>49.62730633129604</v>
      </c>
      <c r="I9292" s="19">
        <f t="shared" si="289"/>
        <v>0</v>
      </c>
    </row>
    <row r="9293" spans="1:9" hidden="1">
      <c r="A9293" s="11" t="s">
        <v>11260</v>
      </c>
      <c r="B9293" s="2" t="s">
        <v>16193</v>
      </c>
      <c r="C9293" s="2" t="s">
        <v>16190</v>
      </c>
      <c r="D9293" s="2"/>
      <c r="E9293" s="2">
        <v>1</v>
      </c>
      <c r="F9293" s="9"/>
      <c r="G9293" s="8">
        <f t="shared" si="288"/>
        <v>60.110423017549081</v>
      </c>
      <c r="H9293" s="8">
        <v>57.248021921475313</v>
      </c>
      <c r="I9293" s="19">
        <f t="shared" si="289"/>
        <v>0</v>
      </c>
    </row>
    <row r="9294" spans="1:9" hidden="1">
      <c r="A9294" s="11" t="s">
        <v>11260</v>
      </c>
      <c r="B9294" s="2" t="s">
        <v>16194</v>
      </c>
      <c r="C9294" s="2" t="s">
        <v>16190</v>
      </c>
      <c r="D9294" s="2"/>
      <c r="E9294" s="2">
        <v>1</v>
      </c>
      <c r="F9294" s="9"/>
      <c r="G9294" s="8">
        <f t="shared" si="288"/>
        <v>67.483476949868091</v>
      </c>
      <c r="H9294" s="8">
        <v>64.269978047493424</v>
      </c>
      <c r="I9294" s="19">
        <f t="shared" si="289"/>
        <v>0</v>
      </c>
    </row>
    <row r="9295" spans="1:9" hidden="1">
      <c r="A9295" s="11" t="s">
        <v>11260</v>
      </c>
      <c r="B9295" s="2" t="s">
        <v>16195</v>
      </c>
      <c r="C9295" s="2" t="s">
        <v>16196</v>
      </c>
      <c r="D9295" s="2"/>
      <c r="E9295" s="2">
        <v>1</v>
      </c>
      <c r="F9295" s="9"/>
      <c r="G9295" s="8">
        <f t="shared" si="288"/>
        <v>73.799323162650623</v>
      </c>
      <c r="H9295" s="8">
        <v>70.285069678714876</v>
      </c>
      <c r="I9295" s="19">
        <f t="shared" si="289"/>
        <v>0</v>
      </c>
    </row>
    <row r="9296" spans="1:9" hidden="1">
      <c r="A9296" s="11" t="s">
        <v>11260</v>
      </c>
      <c r="B9296" s="2" t="s">
        <v>16197</v>
      </c>
      <c r="C9296" s="2" t="s">
        <v>16198</v>
      </c>
      <c r="D9296" s="2"/>
      <c r="E9296" s="2">
        <v>1</v>
      </c>
      <c r="F9296" s="9"/>
      <c r="G9296" s="8">
        <f t="shared" si="288"/>
        <v>65.667000000000002</v>
      </c>
      <c r="H9296" s="8">
        <v>62.540000000000006</v>
      </c>
      <c r="I9296" s="19">
        <f t="shared" si="289"/>
        <v>0</v>
      </c>
    </row>
    <row r="9297" spans="1:9">
      <c r="A9297" s="11" t="s">
        <v>11260</v>
      </c>
      <c r="B9297" s="2" t="s">
        <v>16199</v>
      </c>
      <c r="C9297" s="2" t="s">
        <v>16200</v>
      </c>
      <c r="D9297" s="2"/>
      <c r="E9297" s="2">
        <v>1</v>
      </c>
      <c r="F9297" s="9">
        <v>100</v>
      </c>
      <c r="G9297" s="8">
        <f t="shared" si="288"/>
        <v>2.6255236363636363</v>
      </c>
      <c r="H9297" s="8">
        <v>2.5004987012987012</v>
      </c>
      <c r="I9297" s="19">
        <f t="shared" si="289"/>
        <v>262.55236363636362</v>
      </c>
    </row>
    <row r="9298" spans="1:9">
      <c r="A9298" s="11" t="s">
        <v>11260</v>
      </c>
      <c r="B9298" s="2" t="s">
        <v>16201</v>
      </c>
      <c r="C9298" s="2" t="s">
        <v>16202</v>
      </c>
      <c r="D9298" s="2"/>
      <c r="E9298" s="2">
        <v>1</v>
      </c>
      <c r="F9298" s="9">
        <v>100</v>
      </c>
      <c r="G9298" s="8">
        <f t="shared" si="288"/>
        <v>2.6255236363636363</v>
      </c>
      <c r="H9298" s="8">
        <v>2.5004987012987012</v>
      </c>
      <c r="I9298" s="19">
        <f t="shared" si="289"/>
        <v>262.55236363636362</v>
      </c>
    </row>
    <row r="9299" spans="1:9" hidden="1">
      <c r="A9299" s="11" t="s">
        <v>11260</v>
      </c>
      <c r="B9299" s="2" t="s">
        <v>16203</v>
      </c>
      <c r="C9299" s="2" t="s">
        <v>16204</v>
      </c>
      <c r="D9299" s="2"/>
      <c r="E9299" s="2">
        <v>1</v>
      </c>
      <c r="F9299" s="9"/>
      <c r="G9299" s="8">
        <f t="shared" si="288"/>
        <v>2.6291338582677164</v>
      </c>
      <c r="H9299" s="8">
        <v>2.5039370078740157</v>
      </c>
      <c r="I9299" s="19">
        <f t="shared" si="289"/>
        <v>0</v>
      </c>
    </row>
    <row r="9300" spans="1:9" hidden="1">
      <c r="A9300" s="11" t="s">
        <v>11260</v>
      </c>
      <c r="B9300" s="2" t="s">
        <v>16205</v>
      </c>
      <c r="C9300" s="2" t="s">
        <v>16206</v>
      </c>
      <c r="D9300" s="2"/>
      <c r="E9300" s="2">
        <v>1</v>
      </c>
      <c r="F9300" s="9"/>
      <c r="G9300" s="8">
        <f t="shared" si="288"/>
        <v>3.4099206250000003</v>
      </c>
      <c r="H9300" s="8">
        <v>3.2475434523809525</v>
      </c>
      <c r="I9300" s="19">
        <f t="shared" si="289"/>
        <v>0</v>
      </c>
    </row>
    <row r="9301" spans="1:9" hidden="1">
      <c r="A9301" s="11" t="s">
        <v>11260</v>
      </c>
      <c r="B9301" s="2" t="s">
        <v>16207</v>
      </c>
      <c r="C9301" s="2" t="s">
        <v>16208</v>
      </c>
      <c r="D9301" s="2"/>
      <c r="E9301" s="2">
        <v>1</v>
      </c>
      <c r="F9301" s="9"/>
      <c r="G9301" s="8">
        <f t="shared" si="288"/>
        <v>3.4099206250000003</v>
      </c>
      <c r="H9301" s="8">
        <v>3.2475434523809525</v>
      </c>
      <c r="I9301" s="19">
        <f t="shared" si="289"/>
        <v>0</v>
      </c>
    </row>
    <row r="9302" spans="1:9" hidden="1">
      <c r="A9302" s="11" t="s">
        <v>11260</v>
      </c>
      <c r="B9302" s="2" t="s">
        <v>16209</v>
      </c>
      <c r="C9302" s="2" t="s">
        <v>16210</v>
      </c>
      <c r="D9302" s="2"/>
      <c r="E9302" s="2">
        <v>1</v>
      </c>
      <c r="F9302" s="9"/>
      <c r="G9302" s="8">
        <f t="shared" si="288"/>
        <v>26.222776550598482</v>
      </c>
      <c r="H9302" s="8">
        <v>24.974072905331887</v>
      </c>
      <c r="I9302" s="19">
        <f t="shared" si="289"/>
        <v>0</v>
      </c>
    </row>
    <row r="9303" spans="1:9" hidden="1">
      <c r="A9303" s="11" t="s">
        <v>11260</v>
      </c>
      <c r="B9303" s="2" t="s">
        <v>16211</v>
      </c>
      <c r="C9303" s="2" t="s">
        <v>16212</v>
      </c>
      <c r="D9303" s="2"/>
      <c r="E9303" s="2">
        <v>1</v>
      </c>
      <c r="F9303" s="9"/>
      <c r="G9303" s="8">
        <f t="shared" si="288"/>
        <v>25.73276203950881</v>
      </c>
      <c r="H9303" s="8">
        <v>24.507392418579819</v>
      </c>
      <c r="I9303" s="19">
        <f t="shared" si="289"/>
        <v>0</v>
      </c>
    </row>
    <row r="9304" spans="1:9" hidden="1">
      <c r="A9304" s="11" t="s">
        <v>11260</v>
      </c>
      <c r="B9304" s="2" t="s">
        <v>16213</v>
      </c>
      <c r="C9304" s="2" t="s">
        <v>16214</v>
      </c>
      <c r="D9304" s="2"/>
      <c r="E9304" s="2">
        <v>1</v>
      </c>
      <c r="F9304" s="9"/>
      <c r="G9304" s="8">
        <f t="shared" ref="G9304:G9367" si="290">H9304+(H9304*5%)</f>
        <v>43.924841771936464</v>
      </c>
      <c r="H9304" s="8">
        <v>41.833182639939487</v>
      </c>
      <c r="I9304" s="19">
        <f t="shared" ref="I9304:I9367" si="291">G9304*F9304</f>
        <v>0</v>
      </c>
    </row>
    <row r="9305" spans="1:9" hidden="1">
      <c r="A9305" s="11" t="s">
        <v>11260</v>
      </c>
      <c r="B9305" s="2" t="s">
        <v>16215</v>
      </c>
      <c r="C9305" s="2" t="s">
        <v>16216</v>
      </c>
      <c r="D9305" s="2"/>
      <c r="E9305" s="2">
        <v>1</v>
      </c>
      <c r="F9305" s="9"/>
      <c r="G9305" s="8">
        <f t="shared" si="290"/>
        <v>46.376366002865332</v>
      </c>
      <c r="H9305" s="8">
        <v>44.167967621776505</v>
      </c>
      <c r="I9305" s="19">
        <f t="shared" si="291"/>
        <v>0</v>
      </c>
    </row>
    <row r="9306" spans="1:9" hidden="1">
      <c r="A9306" s="11" t="s">
        <v>11260</v>
      </c>
      <c r="B9306" s="2" t="s">
        <v>16217</v>
      </c>
      <c r="C9306" s="2" t="s">
        <v>16218</v>
      </c>
      <c r="D9306" s="2"/>
      <c r="E9306" s="2">
        <v>1</v>
      </c>
      <c r="F9306" s="9"/>
      <c r="G9306" s="8">
        <f t="shared" si="290"/>
        <v>49.478657962577969</v>
      </c>
      <c r="H9306" s="8">
        <v>47.1225313929314</v>
      </c>
      <c r="I9306" s="19">
        <f t="shared" si="291"/>
        <v>0</v>
      </c>
    </row>
    <row r="9307" spans="1:9" hidden="1">
      <c r="A9307" s="11" t="s">
        <v>11260</v>
      </c>
      <c r="B9307" s="2" t="s">
        <v>16219</v>
      </c>
      <c r="C9307" s="2" t="s">
        <v>16220</v>
      </c>
      <c r="D9307" s="2"/>
      <c r="E9307" s="2">
        <v>1</v>
      </c>
      <c r="F9307" s="9"/>
      <c r="G9307" s="8">
        <f t="shared" si="290"/>
        <v>54.332626308724841</v>
      </c>
      <c r="H9307" s="8">
        <v>51.745358389261753</v>
      </c>
      <c r="I9307" s="19">
        <f t="shared" si="291"/>
        <v>0</v>
      </c>
    </row>
    <row r="9308" spans="1:9" hidden="1">
      <c r="A9308" s="11" t="s">
        <v>11260</v>
      </c>
      <c r="B9308" s="2" t="s">
        <v>16221</v>
      </c>
      <c r="C9308" s="2" t="s">
        <v>16222</v>
      </c>
      <c r="D9308" s="2"/>
      <c r="E9308" s="2">
        <v>1</v>
      </c>
      <c r="F9308" s="9"/>
      <c r="G9308" s="8">
        <f t="shared" si="290"/>
        <v>66.444766451612907</v>
      </c>
      <c r="H9308" s="8">
        <v>63.28072995391706</v>
      </c>
      <c r="I9308" s="19">
        <f t="shared" si="291"/>
        <v>0</v>
      </c>
    </row>
    <row r="9309" spans="1:9" hidden="1">
      <c r="A9309" s="11" t="s">
        <v>11260</v>
      </c>
      <c r="B9309" s="2" t="s">
        <v>16223</v>
      </c>
      <c r="C9309" s="2" t="s">
        <v>16224</v>
      </c>
      <c r="D9309" s="2"/>
      <c r="E9309" s="2">
        <v>1</v>
      </c>
      <c r="F9309" s="9"/>
      <c r="G9309" s="8">
        <f t="shared" si="290"/>
        <v>27.097716880589036</v>
      </c>
      <c r="H9309" s="8">
        <v>25.807349410084797</v>
      </c>
      <c r="I9309" s="19">
        <f t="shared" si="291"/>
        <v>0</v>
      </c>
    </row>
    <row r="9310" spans="1:9" hidden="1">
      <c r="A9310" s="11" t="s">
        <v>11260</v>
      </c>
      <c r="B9310" s="2" t="s">
        <v>16225</v>
      </c>
      <c r="C9310" s="2" t="s">
        <v>16226</v>
      </c>
      <c r="D9310" s="2"/>
      <c r="E9310" s="2">
        <v>1</v>
      </c>
      <c r="F9310" s="9"/>
      <c r="G9310" s="8">
        <f t="shared" si="290"/>
        <v>26.637772894411032</v>
      </c>
      <c r="H9310" s="8">
        <v>25.369307518486696</v>
      </c>
      <c r="I9310" s="19">
        <f t="shared" si="291"/>
        <v>0</v>
      </c>
    </row>
    <row r="9311" spans="1:9" hidden="1">
      <c r="A9311" s="11" t="s">
        <v>11260</v>
      </c>
      <c r="B9311" s="2" t="s">
        <v>16227</v>
      </c>
      <c r="C9311" s="2" t="s">
        <v>16228</v>
      </c>
      <c r="D9311" s="2"/>
      <c r="E9311" s="2">
        <v>1</v>
      </c>
      <c r="F9311" s="9"/>
      <c r="G9311" s="8">
        <f t="shared" si="290"/>
        <v>867.90973499999996</v>
      </c>
      <c r="H9311" s="8">
        <v>826.58069999999998</v>
      </c>
      <c r="I9311" s="19">
        <f t="shared" si="291"/>
        <v>0</v>
      </c>
    </row>
    <row r="9312" spans="1:9" hidden="1">
      <c r="A9312" s="11" t="s">
        <v>11260</v>
      </c>
      <c r="B9312" s="2" t="s">
        <v>16229</v>
      </c>
      <c r="C9312" s="2" t="s">
        <v>16230</v>
      </c>
      <c r="D9312" s="2" t="s">
        <v>812</v>
      </c>
      <c r="E9312" s="2">
        <v>1</v>
      </c>
      <c r="F9312" s="9"/>
      <c r="G9312" s="8">
        <f t="shared" si="290"/>
        <v>165.417</v>
      </c>
      <c r="H9312" s="8">
        <v>157.54</v>
      </c>
      <c r="I9312" s="19">
        <f t="shared" si="291"/>
        <v>0</v>
      </c>
    </row>
    <row r="9313" spans="1:9" hidden="1">
      <c r="A9313" s="11" t="s">
        <v>11260</v>
      </c>
      <c r="B9313" s="2" t="s">
        <v>16231</v>
      </c>
      <c r="C9313" s="2" t="s">
        <v>16232</v>
      </c>
      <c r="D9313" s="2"/>
      <c r="E9313" s="2">
        <v>1</v>
      </c>
      <c r="F9313" s="9"/>
      <c r="G9313" s="8">
        <f t="shared" si="290"/>
        <v>2.162548598130841</v>
      </c>
      <c r="H9313" s="8">
        <v>2.059570093457944</v>
      </c>
      <c r="I9313" s="19">
        <f t="shared" si="291"/>
        <v>0</v>
      </c>
    </row>
    <row r="9314" spans="1:9" hidden="1">
      <c r="A9314" s="11" t="s">
        <v>11260</v>
      </c>
      <c r="B9314" s="2" t="s">
        <v>16233</v>
      </c>
      <c r="C9314" s="2" t="s">
        <v>16234</v>
      </c>
      <c r="D9314" s="2"/>
      <c r="E9314" s="2">
        <v>1</v>
      </c>
      <c r="F9314" s="9"/>
      <c r="G9314" s="8">
        <f t="shared" si="290"/>
        <v>219.89541000000003</v>
      </c>
      <c r="H9314" s="8">
        <v>209.42420000000001</v>
      </c>
      <c r="I9314" s="19">
        <f t="shared" si="291"/>
        <v>0</v>
      </c>
    </row>
    <row r="9315" spans="1:9" hidden="1">
      <c r="A9315" s="11" t="s">
        <v>11260</v>
      </c>
      <c r="B9315" s="2" t="s">
        <v>16235</v>
      </c>
      <c r="C9315" s="2" t="s">
        <v>16236</v>
      </c>
      <c r="D9315" s="2"/>
      <c r="E9315" s="2">
        <v>1</v>
      </c>
      <c r="F9315" s="9"/>
      <c r="G9315" s="8">
        <f t="shared" si="290"/>
        <v>928.25144099693625</v>
      </c>
      <c r="H9315" s="8">
        <v>884.04899142565353</v>
      </c>
      <c r="I9315" s="19">
        <f t="shared" si="291"/>
        <v>0</v>
      </c>
    </row>
    <row r="9316" spans="1:9" hidden="1">
      <c r="A9316" s="11" t="s">
        <v>11260</v>
      </c>
      <c r="B9316" s="2" t="s">
        <v>16237</v>
      </c>
      <c r="C9316" s="2" t="s">
        <v>16238</v>
      </c>
      <c r="D9316" s="2"/>
      <c r="E9316" s="2">
        <v>1</v>
      </c>
      <c r="F9316" s="9"/>
      <c r="G9316" s="8">
        <f t="shared" si="290"/>
        <v>830.2383260199075</v>
      </c>
      <c r="H9316" s="8">
        <v>790.70316763800713</v>
      </c>
      <c r="I9316" s="19">
        <f t="shared" si="291"/>
        <v>0</v>
      </c>
    </row>
    <row r="9317" spans="1:9" hidden="1">
      <c r="A9317" s="11" t="s">
        <v>11260</v>
      </c>
      <c r="B9317" s="2" t="s">
        <v>16239</v>
      </c>
      <c r="C9317" s="2" t="s">
        <v>16238</v>
      </c>
      <c r="D9317" s="2"/>
      <c r="E9317" s="2">
        <v>1</v>
      </c>
      <c r="F9317" s="9"/>
      <c r="G9317" s="8">
        <f t="shared" si="290"/>
        <v>885.59971842408891</v>
      </c>
      <c r="H9317" s="8">
        <v>843.42830326103706</v>
      </c>
      <c r="I9317" s="19">
        <f t="shared" si="291"/>
        <v>0</v>
      </c>
    </row>
    <row r="9318" spans="1:9" hidden="1">
      <c r="A9318" s="11" t="s">
        <v>11260</v>
      </c>
      <c r="B9318" s="2" t="s">
        <v>16240</v>
      </c>
      <c r="C9318" s="2" t="s">
        <v>16238</v>
      </c>
      <c r="D9318" s="2"/>
      <c r="E9318" s="2">
        <v>1</v>
      </c>
      <c r="F9318" s="9"/>
      <c r="G9318" s="8">
        <f t="shared" si="290"/>
        <v>675.69564479879409</v>
      </c>
      <c r="H9318" s="8">
        <v>643.51966171313722</v>
      </c>
      <c r="I9318" s="19">
        <f t="shared" si="291"/>
        <v>0</v>
      </c>
    </row>
    <row r="9319" spans="1:9" hidden="1">
      <c r="A9319" s="11" t="s">
        <v>11260</v>
      </c>
      <c r="B9319" s="2" t="s">
        <v>16241</v>
      </c>
      <c r="C9319" s="2" t="s">
        <v>16238</v>
      </c>
      <c r="D9319" s="2"/>
      <c r="E9319" s="2">
        <v>1</v>
      </c>
      <c r="F9319" s="9"/>
      <c r="G9319" s="8">
        <f t="shared" si="290"/>
        <v>731.07092768038876</v>
      </c>
      <c r="H9319" s="8">
        <v>696.25802636227502</v>
      </c>
      <c r="I9319" s="19">
        <f t="shared" si="291"/>
        <v>0</v>
      </c>
    </row>
    <row r="9320" spans="1:9" hidden="1">
      <c r="A9320" s="11" t="s">
        <v>11260</v>
      </c>
      <c r="B9320" s="2" t="s">
        <v>16242</v>
      </c>
      <c r="C9320" s="2" t="s">
        <v>16243</v>
      </c>
      <c r="D9320" s="2"/>
      <c r="E9320" s="2">
        <v>1</v>
      </c>
      <c r="F9320" s="9"/>
      <c r="G9320" s="8">
        <f t="shared" si="290"/>
        <v>3360.1729024453275</v>
      </c>
      <c r="H9320" s="8">
        <v>3200.1646689955501</v>
      </c>
      <c r="I9320" s="19">
        <f t="shared" si="291"/>
        <v>0</v>
      </c>
    </row>
    <row r="9321" spans="1:9" hidden="1">
      <c r="A9321" s="11" t="s">
        <v>11260</v>
      </c>
      <c r="B9321" s="2" t="s">
        <v>16244</v>
      </c>
      <c r="C9321" s="2" t="s">
        <v>16245</v>
      </c>
      <c r="D9321" s="2"/>
      <c r="E9321" s="2">
        <v>1</v>
      </c>
      <c r="F9321" s="9"/>
      <c r="G9321" s="8">
        <f t="shared" si="290"/>
        <v>5.8634579347826108</v>
      </c>
      <c r="H9321" s="8">
        <v>5.584245652173915</v>
      </c>
      <c r="I9321" s="19">
        <f t="shared" si="291"/>
        <v>0</v>
      </c>
    </row>
    <row r="9322" spans="1:9" hidden="1">
      <c r="A9322" s="11" t="s">
        <v>11260</v>
      </c>
      <c r="B9322" s="2" t="s">
        <v>16246</v>
      </c>
      <c r="C9322" s="2" t="s">
        <v>16247</v>
      </c>
      <c r="D9322" s="2"/>
      <c r="E9322" s="2">
        <v>1</v>
      </c>
      <c r="F9322" s="9"/>
      <c r="G9322" s="8">
        <f t="shared" si="290"/>
        <v>333.94857581280667</v>
      </c>
      <c r="H9322" s="8">
        <v>318.04626267886351</v>
      </c>
      <c r="I9322" s="19">
        <f t="shared" si="291"/>
        <v>0</v>
      </c>
    </row>
    <row r="9323" spans="1:9" hidden="1">
      <c r="A9323" s="11" t="s">
        <v>11260</v>
      </c>
      <c r="B9323" s="2" t="s">
        <v>16248</v>
      </c>
      <c r="C9323" s="2" t="s">
        <v>16249</v>
      </c>
      <c r="D9323" s="2"/>
      <c r="E9323" s="2">
        <v>1</v>
      </c>
      <c r="F9323" s="9"/>
      <c r="G9323" s="8">
        <f t="shared" si="290"/>
        <v>333.94857581280667</v>
      </c>
      <c r="H9323" s="8">
        <v>318.04626267886351</v>
      </c>
      <c r="I9323" s="19">
        <f t="shared" si="291"/>
        <v>0</v>
      </c>
    </row>
    <row r="9324" spans="1:9" hidden="1">
      <c r="A9324" s="11" t="s">
        <v>11260</v>
      </c>
      <c r="B9324" s="2" t="s">
        <v>16250</v>
      </c>
      <c r="C9324" s="2" t="s">
        <v>16251</v>
      </c>
      <c r="D9324" s="2"/>
      <c r="E9324" s="2">
        <v>1</v>
      </c>
      <c r="F9324" s="9"/>
      <c r="G9324" s="8">
        <f t="shared" si="290"/>
        <v>341.10953084672286</v>
      </c>
      <c r="H9324" s="8">
        <v>324.86621985402178</v>
      </c>
      <c r="I9324" s="19">
        <f t="shared" si="291"/>
        <v>0</v>
      </c>
    </row>
    <row r="9325" spans="1:9" hidden="1">
      <c r="A9325" s="11" t="s">
        <v>11260</v>
      </c>
      <c r="B9325" s="2" t="s">
        <v>16252</v>
      </c>
      <c r="C9325" s="2" t="s">
        <v>16253</v>
      </c>
      <c r="D9325" s="2"/>
      <c r="E9325" s="2">
        <v>1</v>
      </c>
      <c r="F9325" s="9"/>
      <c r="G9325" s="8">
        <f t="shared" si="290"/>
        <v>341.10953084672286</v>
      </c>
      <c r="H9325" s="8">
        <v>324.86621985402178</v>
      </c>
      <c r="I9325" s="19">
        <f t="shared" si="291"/>
        <v>0</v>
      </c>
    </row>
    <row r="9326" spans="1:9" hidden="1">
      <c r="A9326" s="11" t="s">
        <v>11260</v>
      </c>
      <c r="B9326" s="2" t="s">
        <v>16254</v>
      </c>
      <c r="C9326" s="2" t="s">
        <v>16255</v>
      </c>
      <c r="D9326" s="2"/>
      <c r="E9326" s="2">
        <v>1</v>
      </c>
      <c r="F9326" s="9"/>
      <c r="G9326" s="8">
        <f t="shared" si="290"/>
        <v>355.6904603778811</v>
      </c>
      <c r="H9326" s="8">
        <v>338.7528194075058</v>
      </c>
      <c r="I9326" s="19">
        <f t="shared" si="291"/>
        <v>0</v>
      </c>
    </row>
    <row r="9327" spans="1:9" hidden="1">
      <c r="A9327" s="11" t="s">
        <v>11260</v>
      </c>
      <c r="B9327" s="2" t="s">
        <v>16256</v>
      </c>
      <c r="C9327" s="2" t="s">
        <v>16257</v>
      </c>
      <c r="D9327" s="2"/>
      <c r="E9327" s="2">
        <v>1</v>
      </c>
      <c r="F9327" s="9"/>
      <c r="G9327" s="8">
        <f t="shared" si="290"/>
        <v>355.6904603778811</v>
      </c>
      <c r="H9327" s="8">
        <v>338.7528194075058</v>
      </c>
      <c r="I9327" s="19">
        <f t="shared" si="291"/>
        <v>0</v>
      </c>
    </row>
    <row r="9328" spans="1:9" hidden="1">
      <c r="A9328" s="11" t="s">
        <v>11260</v>
      </c>
      <c r="B9328" s="2" t="s">
        <v>16258</v>
      </c>
      <c r="C9328" s="2" t="s">
        <v>16259</v>
      </c>
      <c r="D9328" s="2"/>
      <c r="E9328" s="2">
        <v>1</v>
      </c>
      <c r="F9328" s="9"/>
      <c r="G9328" s="8">
        <f t="shared" si="290"/>
        <v>334.35228284436647</v>
      </c>
      <c r="H9328" s="8">
        <v>318.43074556606331</v>
      </c>
      <c r="I9328" s="19">
        <f t="shared" si="291"/>
        <v>0</v>
      </c>
    </row>
    <row r="9329" spans="1:9" hidden="1">
      <c r="A9329" s="11" t="s">
        <v>11260</v>
      </c>
      <c r="B9329" s="2" t="s">
        <v>16260</v>
      </c>
      <c r="C9329" s="2" t="s">
        <v>16261</v>
      </c>
      <c r="D9329" s="2"/>
      <c r="E9329" s="2">
        <v>1</v>
      </c>
      <c r="F9329" s="9"/>
      <c r="G9329" s="8">
        <f t="shared" si="290"/>
        <v>327.44662348416915</v>
      </c>
      <c r="H9329" s="8">
        <v>311.85392712778014</v>
      </c>
      <c r="I9329" s="19">
        <f t="shared" si="291"/>
        <v>0</v>
      </c>
    </row>
    <row r="9330" spans="1:9" hidden="1">
      <c r="A9330" s="11" t="s">
        <v>11260</v>
      </c>
      <c r="B9330" s="2" t="s">
        <v>16262</v>
      </c>
      <c r="C9330" s="2" t="s">
        <v>16261</v>
      </c>
      <c r="D9330" s="2"/>
      <c r="E9330" s="2">
        <v>1</v>
      </c>
      <c r="F9330" s="9"/>
      <c r="G9330" s="8">
        <f t="shared" si="290"/>
        <v>327.44662348416915</v>
      </c>
      <c r="H9330" s="8">
        <v>311.85392712778014</v>
      </c>
      <c r="I9330" s="19">
        <f t="shared" si="291"/>
        <v>0</v>
      </c>
    </row>
    <row r="9331" spans="1:9" hidden="1">
      <c r="A9331" s="11" t="s">
        <v>11260</v>
      </c>
      <c r="B9331" s="2" t="s">
        <v>16263</v>
      </c>
      <c r="C9331" s="2" t="s">
        <v>16261</v>
      </c>
      <c r="D9331" s="2"/>
      <c r="E9331" s="2">
        <v>1</v>
      </c>
      <c r="F9331" s="9"/>
      <c r="G9331" s="8">
        <f t="shared" si="290"/>
        <v>334.62433510006247</v>
      </c>
      <c r="H9331" s="8">
        <v>318.68984295244047</v>
      </c>
      <c r="I9331" s="19">
        <f t="shared" si="291"/>
        <v>0</v>
      </c>
    </row>
    <row r="9332" spans="1:9" hidden="1">
      <c r="A9332" s="11" t="s">
        <v>11260</v>
      </c>
      <c r="B9332" s="2" t="s">
        <v>16264</v>
      </c>
      <c r="C9332" s="2" t="s">
        <v>16261</v>
      </c>
      <c r="D9332" s="2"/>
      <c r="E9332" s="2">
        <v>1</v>
      </c>
      <c r="F9332" s="9"/>
      <c r="G9332" s="8">
        <f t="shared" si="290"/>
        <v>334.62433510006247</v>
      </c>
      <c r="H9332" s="8">
        <v>318.68984295244047</v>
      </c>
      <c r="I9332" s="19">
        <f t="shared" si="291"/>
        <v>0</v>
      </c>
    </row>
    <row r="9333" spans="1:9" hidden="1">
      <c r="A9333" s="11" t="s">
        <v>11260</v>
      </c>
      <c r="B9333" s="2" t="s">
        <v>16265</v>
      </c>
      <c r="C9333" s="2" t="s">
        <v>16261</v>
      </c>
      <c r="D9333" s="2"/>
      <c r="E9333" s="2">
        <v>1</v>
      </c>
      <c r="F9333" s="9"/>
      <c r="G9333" s="8">
        <f t="shared" si="290"/>
        <v>349.13255658178628</v>
      </c>
      <c r="H9333" s="8">
        <v>332.50719674455837</v>
      </c>
      <c r="I9333" s="19">
        <f t="shared" si="291"/>
        <v>0</v>
      </c>
    </row>
    <row r="9334" spans="1:9" hidden="1">
      <c r="A9334" s="11" t="s">
        <v>11260</v>
      </c>
      <c r="B9334" s="2" t="s">
        <v>16266</v>
      </c>
      <c r="C9334" s="2" t="s">
        <v>16261</v>
      </c>
      <c r="D9334" s="2"/>
      <c r="E9334" s="2">
        <v>1</v>
      </c>
      <c r="F9334" s="9"/>
      <c r="G9334" s="8">
        <f t="shared" si="290"/>
        <v>349.13255658178628</v>
      </c>
      <c r="H9334" s="8">
        <v>332.50719674455837</v>
      </c>
      <c r="I9334" s="19">
        <f t="shared" si="291"/>
        <v>0</v>
      </c>
    </row>
    <row r="9335" spans="1:9" hidden="1">
      <c r="A9335" s="11" t="s">
        <v>11260</v>
      </c>
      <c r="B9335" s="2" t="s">
        <v>16267</v>
      </c>
      <c r="C9335" s="2" t="s">
        <v>16268</v>
      </c>
      <c r="D9335" s="2"/>
      <c r="E9335" s="2">
        <v>1</v>
      </c>
      <c r="F9335" s="9"/>
      <c r="G9335" s="8">
        <f t="shared" si="290"/>
        <v>0.30212311346673887</v>
      </c>
      <c r="H9335" s="8">
        <v>0.2877362985397513</v>
      </c>
      <c r="I9335" s="19">
        <f t="shared" si="291"/>
        <v>0</v>
      </c>
    </row>
    <row r="9336" spans="1:9" hidden="1">
      <c r="A9336" s="11" t="s">
        <v>11260</v>
      </c>
      <c r="B9336" s="2" t="s">
        <v>16269</v>
      </c>
      <c r="C9336" s="2" t="s">
        <v>16270</v>
      </c>
      <c r="D9336" s="2"/>
      <c r="E9336" s="2">
        <v>1</v>
      </c>
      <c r="F9336" s="9"/>
      <c r="G9336" s="8">
        <f t="shared" si="290"/>
        <v>267.58623283661882</v>
      </c>
      <c r="H9336" s="8">
        <v>254.84403127297028</v>
      </c>
      <c r="I9336" s="19">
        <f t="shared" si="291"/>
        <v>0</v>
      </c>
    </row>
    <row r="9337" spans="1:9" hidden="1">
      <c r="A9337" s="11" t="s">
        <v>11260</v>
      </c>
      <c r="B9337" s="2" t="s">
        <v>16271</v>
      </c>
      <c r="C9337" s="2" t="s">
        <v>16272</v>
      </c>
      <c r="D9337" s="2"/>
      <c r="E9337" s="2">
        <v>1</v>
      </c>
      <c r="F9337" s="9"/>
      <c r="G9337" s="8">
        <f t="shared" si="290"/>
        <v>18.11964</v>
      </c>
      <c r="H9337" s="8">
        <v>17.256800000000002</v>
      </c>
      <c r="I9337" s="19">
        <f t="shared" si="291"/>
        <v>0</v>
      </c>
    </row>
    <row r="9338" spans="1:9" hidden="1">
      <c r="A9338" s="11" t="s">
        <v>11260</v>
      </c>
      <c r="B9338" s="2" t="s">
        <v>16273</v>
      </c>
      <c r="C9338" s="2" t="s">
        <v>16274</v>
      </c>
      <c r="D9338" s="2"/>
      <c r="E9338" s="2">
        <v>1</v>
      </c>
      <c r="F9338" s="9"/>
      <c r="G9338" s="8">
        <f t="shared" si="290"/>
        <v>294.80071880058102</v>
      </c>
      <c r="H9338" s="8">
        <v>280.76258933388669</v>
      </c>
      <c r="I9338" s="19">
        <f t="shared" si="291"/>
        <v>0</v>
      </c>
    </row>
    <row r="9339" spans="1:9" hidden="1">
      <c r="A9339" s="11" t="s">
        <v>11260</v>
      </c>
      <c r="B9339" s="2" t="s">
        <v>16275</v>
      </c>
      <c r="C9339" s="2" t="s">
        <v>16276</v>
      </c>
      <c r="D9339" s="2"/>
      <c r="E9339" s="2">
        <v>1</v>
      </c>
      <c r="F9339" s="9"/>
      <c r="G9339" s="8">
        <f t="shared" si="290"/>
        <v>502.61442209867732</v>
      </c>
      <c r="H9339" s="8">
        <v>478.68040199874031</v>
      </c>
      <c r="I9339" s="19">
        <f t="shared" si="291"/>
        <v>0</v>
      </c>
    </row>
    <row r="9340" spans="1:9" hidden="1">
      <c r="A9340" s="11" t="s">
        <v>11260</v>
      </c>
      <c r="B9340" s="2" t="s">
        <v>16277</v>
      </c>
      <c r="C9340" s="2" t="s">
        <v>16278</v>
      </c>
      <c r="D9340" s="2"/>
      <c r="E9340" s="2">
        <v>1</v>
      </c>
      <c r="F9340" s="9"/>
      <c r="G9340" s="8">
        <f t="shared" si="290"/>
        <v>599.18271105035149</v>
      </c>
      <c r="H9340" s="8">
        <v>570.65020100033473</v>
      </c>
      <c r="I9340" s="19">
        <f t="shared" si="291"/>
        <v>0</v>
      </c>
    </row>
    <row r="9341" spans="1:9" hidden="1">
      <c r="A9341" s="11" t="s">
        <v>11260</v>
      </c>
      <c r="B9341" s="2" t="s">
        <v>16279</v>
      </c>
      <c r="C9341" s="2" t="s">
        <v>16280</v>
      </c>
      <c r="D9341" s="2"/>
      <c r="E9341" s="2">
        <v>1</v>
      </c>
      <c r="F9341" s="9"/>
      <c r="G9341" s="8">
        <f t="shared" si="290"/>
        <v>40.646760000000008</v>
      </c>
      <c r="H9341" s="8">
        <v>38.711200000000005</v>
      </c>
      <c r="I9341" s="19">
        <f t="shared" si="291"/>
        <v>0</v>
      </c>
    </row>
    <row r="9342" spans="1:9" hidden="1">
      <c r="A9342" s="11" t="s">
        <v>11260</v>
      </c>
      <c r="B9342" s="2" t="s">
        <v>16281</v>
      </c>
      <c r="C9342" s="2" t="s">
        <v>16282</v>
      </c>
      <c r="D9342" s="2"/>
      <c r="E9342" s="2">
        <v>1</v>
      </c>
      <c r="F9342" s="9"/>
      <c r="G9342" s="8">
        <f t="shared" si="290"/>
        <v>7.8355200000000007</v>
      </c>
      <c r="H9342" s="8">
        <v>7.4624000000000006</v>
      </c>
      <c r="I9342" s="19">
        <f t="shared" si="291"/>
        <v>0</v>
      </c>
    </row>
    <row r="9343" spans="1:9" hidden="1">
      <c r="A9343" s="11" t="s">
        <v>11260</v>
      </c>
      <c r="B9343" s="2" t="s">
        <v>16283</v>
      </c>
      <c r="C9343" s="2" t="s">
        <v>16284</v>
      </c>
      <c r="D9343" s="2"/>
      <c r="E9343" s="2">
        <v>1</v>
      </c>
      <c r="F9343" s="9"/>
      <c r="G9343" s="8">
        <f t="shared" si="290"/>
        <v>100.72304679205966</v>
      </c>
      <c r="H9343" s="8">
        <v>95.926711230533016</v>
      </c>
      <c r="I9343" s="19">
        <f t="shared" si="291"/>
        <v>0</v>
      </c>
    </row>
    <row r="9344" spans="1:9">
      <c r="A9344" s="11" t="s">
        <v>11260</v>
      </c>
      <c r="B9344" s="2" t="s">
        <v>16285</v>
      </c>
      <c r="C9344" s="2" t="s">
        <v>16286</v>
      </c>
      <c r="D9344" s="2"/>
      <c r="E9344" s="2">
        <v>1</v>
      </c>
      <c r="F9344" s="9">
        <v>88</v>
      </c>
      <c r="G9344" s="8">
        <f t="shared" si="290"/>
        <v>3.3009550938337804</v>
      </c>
      <c r="H9344" s="8">
        <v>3.1437667560321718</v>
      </c>
      <c r="I9344" s="19">
        <f t="shared" si="291"/>
        <v>290.48404825737265</v>
      </c>
    </row>
    <row r="9345" spans="1:9">
      <c r="A9345" s="11" t="s">
        <v>11260</v>
      </c>
      <c r="B9345" s="2" t="s">
        <v>16287</v>
      </c>
      <c r="C9345" s="2" t="s">
        <v>16288</v>
      </c>
      <c r="D9345" s="2"/>
      <c r="E9345" s="2">
        <v>1</v>
      </c>
      <c r="F9345" s="9">
        <v>88</v>
      </c>
      <c r="G9345" s="8">
        <f t="shared" si="290"/>
        <v>3.285718085106383</v>
      </c>
      <c r="H9345" s="8">
        <v>3.1292553191489363</v>
      </c>
      <c r="I9345" s="19">
        <f t="shared" si="291"/>
        <v>289.1431914893617</v>
      </c>
    </row>
    <row r="9346" spans="1:9" hidden="1">
      <c r="A9346" s="11" t="s">
        <v>11260</v>
      </c>
      <c r="B9346" s="2" t="s">
        <v>16289</v>
      </c>
      <c r="C9346" s="2" t="s">
        <v>16290</v>
      </c>
      <c r="D9346" s="2"/>
      <c r="E9346" s="2">
        <v>1</v>
      </c>
      <c r="F9346" s="9"/>
      <c r="G9346" s="8">
        <f t="shared" si="290"/>
        <v>3.4547671428571425</v>
      </c>
      <c r="H9346" s="8">
        <v>3.2902544217687071</v>
      </c>
      <c r="I9346" s="19">
        <f t="shared" si="291"/>
        <v>0</v>
      </c>
    </row>
    <row r="9347" spans="1:9" hidden="1">
      <c r="A9347" s="11" t="s">
        <v>11260</v>
      </c>
      <c r="B9347" s="2" t="s">
        <v>16291</v>
      </c>
      <c r="C9347" s="2" t="s">
        <v>16292</v>
      </c>
      <c r="D9347" s="2"/>
      <c r="E9347" s="2">
        <v>1</v>
      </c>
      <c r="F9347" s="9"/>
      <c r="G9347" s="8">
        <f t="shared" si="290"/>
        <v>3.4547671428571425</v>
      </c>
      <c r="H9347" s="8">
        <v>3.2902544217687071</v>
      </c>
      <c r="I9347" s="19">
        <f t="shared" si="291"/>
        <v>0</v>
      </c>
    </row>
    <row r="9348" spans="1:9" hidden="1">
      <c r="A9348" s="11" t="s">
        <v>11260</v>
      </c>
      <c r="B9348" s="2" t="s">
        <v>16293</v>
      </c>
      <c r="C9348" s="2" t="s">
        <v>16294</v>
      </c>
      <c r="D9348" s="2"/>
      <c r="E9348" s="2">
        <v>1</v>
      </c>
      <c r="F9348" s="9"/>
      <c r="G9348" s="8">
        <f t="shared" si="290"/>
        <v>25.670670492095219</v>
      </c>
      <c r="H9348" s="8">
        <v>24.448257611519256</v>
      </c>
      <c r="I9348" s="19">
        <f t="shared" si="291"/>
        <v>0</v>
      </c>
    </row>
    <row r="9349" spans="1:9" hidden="1">
      <c r="A9349" s="11" t="s">
        <v>11260</v>
      </c>
      <c r="B9349" s="2" t="s">
        <v>16295</v>
      </c>
      <c r="C9349" s="2" t="s">
        <v>16294</v>
      </c>
      <c r="D9349" s="2"/>
      <c r="E9349" s="2">
        <v>1</v>
      </c>
      <c r="F9349" s="9"/>
      <c r="G9349" s="8">
        <f t="shared" si="290"/>
        <v>22.64007757510544</v>
      </c>
      <c r="H9349" s="8">
        <v>21.561978642957563</v>
      </c>
      <c r="I9349" s="19">
        <f t="shared" si="291"/>
        <v>0</v>
      </c>
    </row>
    <row r="9350" spans="1:9" hidden="1">
      <c r="A9350" s="11" t="s">
        <v>11260</v>
      </c>
      <c r="B9350" s="2" t="s">
        <v>16296</v>
      </c>
      <c r="C9350" s="2" t="s">
        <v>16294</v>
      </c>
      <c r="D9350" s="2"/>
      <c r="E9350" s="2">
        <v>1</v>
      </c>
      <c r="F9350" s="9"/>
      <c r="G9350" s="8">
        <f t="shared" si="290"/>
        <v>25.802528337392179</v>
      </c>
      <c r="H9350" s="8">
        <v>24.573836511802075</v>
      </c>
      <c r="I9350" s="19">
        <f t="shared" si="291"/>
        <v>0</v>
      </c>
    </row>
    <row r="9351" spans="1:9" hidden="1">
      <c r="A9351" s="11" t="s">
        <v>11260</v>
      </c>
      <c r="B9351" s="2" t="s">
        <v>16297</v>
      </c>
      <c r="C9351" s="2" t="s">
        <v>16294</v>
      </c>
      <c r="D9351" s="2"/>
      <c r="E9351" s="2">
        <v>1</v>
      </c>
      <c r="F9351" s="9"/>
      <c r="G9351" s="8">
        <f t="shared" si="290"/>
        <v>28.587312072876109</v>
      </c>
      <c r="H9351" s="8">
        <v>27.226011497977247</v>
      </c>
      <c r="I9351" s="19">
        <f t="shared" si="291"/>
        <v>0</v>
      </c>
    </row>
    <row r="9352" spans="1:9" hidden="1">
      <c r="A9352" s="11" t="s">
        <v>11260</v>
      </c>
      <c r="B9352" s="2" t="s">
        <v>16298</v>
      </c>
      <c r="C9352" s="2" t="s">
        <v>16294</v>
      </c>
      <c r="D9352" s="2"/>
      <c r="E9352" s="2">
        <v>1</v>
      </c>
      <c r="F9352" s="9"/>
      <c r="G9352" s="8">
        <f t="shared" si="290"/>
        <v>30.870273067137688</v>
      </c>
      <c r="H9352" s="8">
        <v>29.400260063940657</v>
      </c>
      <c r="I9352" s="19">
        <f t="shared" si="291"/>
        <v>0</v>
      </c>
    </row>
    <row r="9353" spans="1:9" hidden="1">
      <c r="A9353" s="11" t="s">
        <v>11260</v>
      </c>
      <c r="B9353" s="2" t="s">
        <v>16299</v>
      </c>
      <c r="C9353" s="2" t="s">
        <v>16294</v>
      </c>
      <c r="D9353" s="2"/>
      <c r="E9353" s="2">
        <v>1</v>
      </c>
      <c r="F9353" s="9"/>
      <c r="G9353" s="8">
        <f t="shared" si="290"/>
        <v>30.15453733877645</v>
      </c>
      <c r="H9353" s="8">
        <v>28.718606989310903</v>
      </c>
      <c r="I9353" s="19">
        <f t="shared" si="291"/>
        <v>0</v>
      </c>
    </row>
    <row r="9354" spans="1:9" hidden="1">
      <c r="A9354" s="11" t="s">
        <v>11260</v>
      </c>
      <c r="B9354" s="2" t="s">
        <v>16300</v>
      </c>
      <c r="C9354" s="2" t="s">
        <v>16301</v>
      </c>
      <c r="D9354" s="2"/>
      <c r="E9354" s="2">
        <v>1</v>
      </c>
      <c r="F9354" s="9"/>
      <c r="G9354" s="8">
        <f t="shared" si="290"/>
        <v>51.770593749046377</v>
      </c>
      <c r="H9354" s="8">
        <v>49.305327380044169</v>
      </c>
      <c r="I9354" s="19">
        <f t="shared" si="291"/>
        <v>0</v>
      </c>
    </row>
    <row r="9355" spans="1:9" hidden="1">
      <c r="A9355" s="11" t="s">
        <v>11260</v>
      </c>
      <c r="B9355" s="2" t="s">
        <v>16302</v>
      </c>
      <c r="C9355" s="2" t="s">
        <v>16294</v>
      </c>
      <c r="D9355" s="2"/>
      <c r="E9355" s="2">
        <v>1</v>
      </c>
      <c r="F9355" s="9"/>
      <c r="G9355" s="8">
        <f t="shared" si="290"/>
        <v>24.781320857119201</v>
      </c>
      <c r="H9355" s="8">
        <v>23.601257959161146</v>
      </c>
      <c r="I9355" s="19">
        <f t="shared" si="291"/>
        <v>0</v>
      </c>
    </row>
    <row r="9356" spans="1:9">
      <c r="A9356" s="11" t="s">
        <v>11260</v>
      </c>
      <c r="B9356" s="2" t="s">
        <v>16303</v>
      </c>
      <c r="C9356" s="2" t="s">
        <v>16294</v>
      </c>
      <c r="D9356" s="2"/>
      <c r="E9356" s="2">
        <v>1</v>
      </c>
      <c r="F9356" s="9">
        <v>2</v>
      </c>
      <c r="G9356" s="8">
        <f t="shared" si="290"/>
        <v>22.083394754793293</v>
      </c>
      <c r="H9356" s="8">
        <v>21.031804528374565</v>
      </c>
      <c r="I9356" s="19">
        <f t="shared" si="291"/>
        <v>44.166789509586586</v>
      </c>
    </row>
    <row r="9357" spans="1:9">
      <c r="A9357" s="11" t="s">
        <v>11260</v>
      </c>
      <c r="B9357" s="2" t="s">
        <v>16304</v>
      </c>
      <c r="C9357" s="2" t="s">
        <v>16294</v>
      </c>
      <c r="D9357" s="2"/>
      <c r="E9357" s="2">
        <v>1</v>
      </c>
      <c r="F9357" s="9">
        <v>2</v>
      </c>
      <c r="G9357" s="8">
        <f t="shared" si="290"/>
        <v>25.021573601967123</v>
      </c>
      <c r="H9357" s="8">
        <v>23.830070097111545</v>
      </c>
      <c r="I9357" s="19">
        <f t="shared" si="291"/>
        <v>50.043147203934247</v>
      </c>
    </row>
    <row r="9358" spans="1:9" hidden="1">
      <c r="A9358" s="11" t="s">
        <v>11260</v>
      </c>
      <c r="B9358" s="2" t="s">
        <v>16305</v>
      </c>
      <c r="C9358" s="2" t="s">
        <v>16294</v>
      </c>
      <c r="D9358" s="2"/>
      <c r="E9358" s="2">
        <v>1</v>
      </c>
      <c r="F9358" s="9"/>
      <c r="G9358" s="8">
        <f t="shared" si="290"/>
        <v>27.837137352837601</v>
      </c>
      <c r="H9358" s="8">
        <v>26.511559383654859</v>
      </c>
      <c r="I9358" s="19">
        <f t="shared" si="291"/>
        <v>0</v>
      </c>
    </row>
    <row r="9359" spans="1:9" hidden="1">
      <c r="A9359" s="11" t="s">
        <v>11260</v>
      </c>
      <c r="B9359" s="2" t="s">
        <v>16306</v>
      </c>
      <c r="C9359" s="2" t="s">
        <v>16294</v>
      </c>
      <c r="D9359" s="2"/>
      <c r="E9359" s="2">
        <v>1</v>
      </c>
      <c r="F9359" s="9"/>
      <c r="G9359" s="8">
        <f t="shared" si="290"/>
        <v>29.929603457678613</v>
      </c>
      <c r="H9359" s="8">
        <v>28.504384245408204</v>
      </c>
      <c r="I9359" s="19">
        <f t="shared" si="291"/>
        <v>0</v>
      </c>
    </row>
    <row r="9360" spans="1:9" hidden="1">
      <c r="A9360" s="11" t="s">
        <v>11260</v>
      </c>
      <c r="B9360" s="2" t="s">
        <v>16307</v>
      </c>
      <c r="C9360" s="2" t="s">
        <v>16294</v>
      </c>
      <c r="D9360" s="2"/>
      <c r="E9360" s="2">
        <v>1</v>
      </c>
      <c r="F9360" s="9"/>
      <c r="G9360" s="8">
        <f t="shared" si="290"/>
        <v>29.425369742645966</v>
      </c>
      <c r="H9360" s="8">
        <v>28.024161659662823</v>
      </c>
      <c r="I9360" s="19">
        <f t="shared" si="291"/>
        <v>0</v>
      </c>
    </row>
    <row r="9361" spans="1:9" hidden="1">
      <c r="A9361" s="11" t="s">
        <v>11260</v>
      </c>
      <c r="B9361" s="2" t="s">
        <v>16308</v>
      </c>
      <c r="C9361" s="2" t="s">
        <v>16309</v>
      </c>
      <c r="D9361" s="2"/>
      <c r="E9361" s="2">
        <v>1</v>
      </c>
      <c r="F9361" s="9"/>
      <c r="G9361" s="8">
        <f t="shared" si="290"/>
        <v>52.617329381272221</v>
      </c>
      <c r="H9361" s="8">
        <v>50.111742267878306</v>
      </c>
      <c r="I9361" s="19">
        <f t="shared" si="291"/>
        <v>0</v>
      </c>
    </row>
    <row r="9362" spans="1:9" hidden="1">
      <c r="A9362" s="11" t="s">
        <v>11260</v>
      </c>
      <c r="B9362" s="2" t="s">
        <v>16310</v>
      </c>
      <c r="C9362" s="2" t="s">
        <v>16294</v>
      </c>
      <c r="D9362" s="2"/>
      <c r="E9362" s="2">
        <v>1</v>
      </c>
      <c r="F9362" s="9"/>
      <c r="G9362" s="8">
        <f t="shared" si="290"/>
        <v>27.529520582591505</v>
      </c>
      <c r="H9362" s="8">
        <v>26.21859103103953</v>
      </c>
      <c r="I9362" s="19">
        <f t="shared" si="291"/>
        <v>0</v>
      </c>
    </row>
    <row r="9363" spans="1:9" hidden="1">
      <c r="A9363" s="11" t="s">
        <v>11260</v>
      </c>
      <c r="B9363" s="2" t="s">
        <v>16311</v>
      </c>
      <c r="C9363" s="2" t="s">
        <v>16294</v>
      </c>
      <c r="D9363" s="2"/>
      <c r="E9363" s="2">
        <v>1</v>
      </c>
      <c r="F9363" s="9"/>
      <c r="G9363" s="8">
        <f t="shared" si="290"/>
        <v>24.294176740226472</v>
      </c>
      <c r="H9363" s="8">
        <v>23.137311181168069</v>
      </c>
      <c r="I9363" s="19">
        <f t="shared" si="291"/>
        <v>0</v>
      </c>
    </row>
    <row r="9364" spans="1:9" hidden="1">
      <c r="A9364" s="11" t="s">
        <v>11260</v>
      </c>
      <c r="B9364" s="2" t="s">
        <v>16312</v>
      </c>
      <c r="C9364" s="2" t="s">
        <v>16294</v>
      </c>
      <c r="D9364" s="2"/>
      <c r="E9364" s="2">
        <v>1</v>
      </c>
      <c r="F9364" s="9"/>
      <c r="G9364" s="8">
        <f t="shared" si="290"/>
        <v>27.575321198962126</v>
      </c>
      <c r="H9364" s="8">
        <v>26.262210665678214</v>
      </c>
      <c r="I9364" s="19">
        <f t="shared" si="291"/>
        <v>0</v>
      </c>
    </row>
    <row r="9365" spans="1:9" hidden="1">
      <c r="A9365" s="11" t="s">
        <v>11260</v>
      </c>
      <c r="B9365" s="2" t="s">
        <v>16313</v>
      </c>
      <c r="C9365" s="2" t="s">
        <v>16294</v>
      </c>
      <c r="D9365" s="2"/>
      <c r="E9365" s="2">
        <v>1</v>
      </c>
      <c r="F9365" s="9"/>
      <c r="G9365" s="8">
        <f t="shared" si="290"/>
        <v>30.378453646041478</v>
      </c>
      <c r="H9365" s="8">
        <v>28.9318606152776</v>
      </c>
      <c r="I9365" s="19">
        <f t="shared" si="291"/>
        <v>0</v>
      </c>
    </row>
    <row r="9366" spans="1:9" hidden="1">
      <c r="A9366" s="11" t="s">
        <v>11260</v>
      </c>
      <c r="B9366" s="2" t="s">
        <v>16314</v>
      </c>
      <c r="C9366" s="2" t="s">
        <v>16294</v>
      </c>
      <c r="D9366" s="2"/>
      <c r="E9366" s="2">
        <v>1</v>
      </c>
      <c r="F9366" s="9"/>
      <c r="G9366" s="8">
        <f t="shared" si="290"/>
        <v>32.76657122434159</v>
      </c>
      <c r="H9366" s="8">
        <v>31.20625830889675</v>
      </c>
      <c r="I9366" s="19">
        <f t="shared" si="291"/>
        <v>0</v>
      </c>
    </row>
    <row r="9367" spans="1:9" hidden="1">
      <c r="A9367" s="11" t="s">
        <v>11260</v>
      </c>
      <c r="B9367" s="2" t="s">
        <v>16315</v>
      </c>
      <c r="C9367" s="2" t="s">
        <v>16294</v>
      </c>
      <c r="D9367" s="2"/>
      <c r="E9367" s="2">
        <v>1</v>
      </c>
      <c r="F9367" s="9"/>
      <c r="G9367" s="8">
        <f t="shared" si="290"/>
        <v>31.953369307055247</v>
      </c>
      <c r="H9367" s="8">
        <v>30.431780292433569</v>
      </c>
      <c r="I9367" s="19">
        <f t="shared" si="291"/>
        <v>0</v>
      </c>
    </row>
    <row r="9368" spans="1:9" hidden="1">
      <c r="A9368" s="11" t="s">
        <v>11260</v>
      </c>
      <c r="B9368" s="2" t="s">
        <v>16316</v>
      </c>
      <c r="C9368" s="2" t="s">
        <v>16317</v>
      </c>
      <c r="D9368" s="2"/>
      <c r="E9368" s="2">
        <v>1</v>
      </c>
      <c r="F9368" s="9"/>
      <c r="G9368" s="8">
        <f t="shared" ref="G9368:G9431" si="292">H9368+(H9368*5%)</f>
        <v>52.807826267716536</v>
      </c>
      <c r="H9368" s="8">
        <v>50.293167874015751</v>
      </c>
      <c r="I9368" s="19">
        <f t="shared" ref="I9368:I9431" si="293">G9368*F9368</f>
        <v>0</v>
      </c>
    </row>
    <row r="9369" spans="1:9" hidden="1">
      <c r="A9369" s="11" t="s">
        <v>11260</v>
      </c>
      <c r="B9369" s="2" t="s">
        <v>16318</v>
      </c>
      <c r="C9369" s="2" t="s">
        <v>16294</v>
      </c>
      <c r="D9369" s="2"/>
      <c r="E9369" s="2">
        <v>1</v>
      </c>
      <c r="F9369" s="9"/>
      <c r="G9369" s="8">
        <f t="shared" si="292"/>
        <v>22.702117516765167</v>
      </c>
      <c r="H9369" s="8">
        <v>21.621064301681113</v>
      </c>
      <c r="I9369" s="19">
        <f t="shared" si="293"/>
        <v>0</v>
      </c>
    </row>
    <row r="9370" spans="1:9">
      <c r="A9370" s="11" t="s">
        <v>11260</v>
      </c>
      <c r="B9370" s="2" t="s">
        <v>16319</v>
      </c>
      <c r="C9370" s="2" t="s">
        <v>16294</v>
      </c>
      <c r="D9370" s="2"/>
      <c r="E9370" s="2">
        <v>1</v>
      </c>
      <c r="F9370" s="9">
        <v>2</v>
      </c>
      <c r="G9370" s="8">
        <f t="shared" si="292"/>
        <v>22.861154190743164</v>
      </c>
      <c r="H9370" s="8">
        <v>21.772527800707774</v>
      </c>
      <c r="I9370" s="19">
        <f t="shared" si="293"/>
        <v>45.722308381486329</v>
      </c>
    </row>
    <row r="9371" spans="1:9" hidden="1">
      <c r="A9371" s="11" t="s">
        <v>11260</v>
      </c>
      <c r="B9371" s="2" t="s">
        <v>16320</v>
      </c>
      <c r="C9371" s="2" t="s">
        <v>16294</v>
      </c>
      <c r="D9371" s="2"/>
      <c r="E9371" s="2">
        <v>1</v>
      </c>
      <c r="F9371" s="9"/>
      <c r="G9371" s="8">
        <f t="shared" si="292"/>
        <v>23.325514138815596</v>
      </c>
      <c r="H9371" s="8">
        <v>22.214775370300568</v>
      </c>
      <c r="I9371" s="19">
        <f t="shared" si="293"/>
        <v>0</v>
      </c>
    </row>
    <row r="9372" spans="1:9" hidden="1">
      <c r="A9372" s="11" t="s">
        <v>11260</v>
      </c>
      <c r="B9372" s="2" t="s">
        <v>16321</v>
      </c>
      <c r="C9372" s="2" t="s">
        <v>16294</v>
      </c>
      <c r="D9372" s="2"/>
      <c r="E9372" s="2">
        <v>1</v>
      </c>
      <c r="F9372" s="9"/>
      <c r="G9372" s="8">
        <f t="shared" si="292"/>
        <v>25.659972890066634</v>
      </c>
      <c r="H9372" s="8">
        <v>24.438069419111081</v>
      </c>
      <c r="I9372" s="19">
        <f t="shared" si="293"/>
        <v>0</v>
      </c>
    </row>
    <row r="9373" spans="1:9">
      <c r="A9373" s="11" t="s">
        <v>11260</v>
      </c>
      <c r="B9373" s="2" t="s">
        <v>16322</v>
      </c>
      <c r="C9373" s="2" t="s">
        <v>16294</v>
      </c>
      <c r="D9373" s="2"/>
      <c r="E9373" s="2">
        <v>1</v>
      </c>
      <c r="F9373" s="9">
        <v>4</v>
      </c>
      <c r="G9373" s="8">
        <f t="shared" si="292"/>
        <v>28.612515600445235</v>
      </c>
      <c r="H9373" s="8">
        <v>27.250014857566889</v>
      </c>
      <c r="I9373" s="19">
        <f t="shared" si="293"/>
        <v>114.45006240178094</v>
      </c>
    </row>
    <row r="9374" spans="1:9" hidden="1">
      <c r="A9374" s="11" t="s">
        <v>11260</v>
      </c>
      <c r="B9374" s="2" t="s">
        <v>16323</v>
      </c>
      <c r="C9374" s="2" t="s">
        <v>16294</v>
      </c>
      <c r="D9374" s="2"/>
      <c r="E9374" s="2">
        <v>1</v>
      </c>
      <c r="F9374" s="9"/>
      <c r="G9374" s="8">
        <f t="shared" si="292"/>
        <v>29.293248826211876</v>
      </c>
      <c r="H9374" s="8">
        <v>27.898332215439883</v>
      </c>
      <c r="I9374" s="19">
        <f t="shared" si="293"/>
        <v>0</v>
      </c>
    </row>
    <row r="9375" spans="1:9" hidden="1">
      <c r="A9375" s="11" t="s">
        <v>11260</v>
      </c>
      <c r="B9375" s="2" t="s">
        <v>16324</v>
      </c>
      <c r="C9375" s="2" t="s">
        <v>16325</v>
      </c>
      <c r="D9375" s="2"/>
      <c r="E9375" s="2">
        <v>1</v>
      </c>
      <c r="F9375" s="9"/>
      <c r="G9375" s="8">
        <f t="shared" si="292"/>
        <v>55.824591693167008</v>
      </c>
      <c r="H9375" s="8">
        <v>53.1662778030162</v>
      </c>
      <c r="I9375" s="19">
        <f t="shared" si="293"/>
        <v>0</v>
      </c>
    </row>
    <row r="9376" spans="1:9" hidden="1">
      <c r="A9376" s="11" t="s">
        <v>11260</v>
      </c>
      <c r="B9376" s="2" t="s">
        <v>16326</v>
      </c>
      <c r="C9376" s="2" t="s">
        <v>16327</v>
      </c>
      <c r="D9376" s="2"/>
      <c r="E9376" s="2">
        <v>1</v>
      </c>
      <c r="F9376" s="9"/>
      <c r="G9376" s="8">
        <f t="shared" si="292"/>
        <v>54.448509030927831</v>
      </c>
      <c r="H9376" s="8">
        <v>51.855722886597931</v>
      </c>
      <c r="I9376" s="19">
        <f t="shared" si="293"/>
        <v>0</v>
      </c>
    </row>
    <row r="9377" spans="1:9" hidden="1">
      <c r="A9377" s="11" t="s">
        <v>11260</v>
      </c>
      <c r="B9377" s="2" t="s">
        <v>16328</v>
      </c>
      <c r="C9377" s="2" t="s">
        <v>16294</v>
      </c>
      <c r="D9377" s="2"/>
      <c r="E9377" s="2">
        <v>1</v>
      </c>
      <c r="F9377" s="9"/>
      <c r="G9377" s="8">
        <f t="shared" si="292"/>
        <v>23.186629096610602</v>
      </c>
      <c r="H9377" s="8">
        <v>22.082503901533908</v>
      </c>
      <c r="I9377" s="19">
        <f t="shared" si="293"/>
        <v>0</v>
      </c>
    </row>
    <row r="9378" spans="1:9">
      <c r="A9378" s="11" t="s">
        <v>11260</v>
      </c>
      <c r="B9378" s="2" t="s">
        <v>16329</v>
      </c>
      <c r="C9378" s="2" t="s">
        <v>16294</v>
      </c>
      <c r="D9378" s="2"/>
      <c r="E9378" s="2">
        <v>1</v>
      </c>
      <c r="F9378" s="9">
        <v>1</v>
      </c>
      <c r="G9378" s="8">
        <f t="shared" si="292"/>
        <v>23.364395377404467</v>
      </c>
      <c r="H9378" s="8">
        <v>22.251805121337586</v>
      </c>
      <c r="I9378" s="19">
        <f t="shared" si="293"/>
        <v>23.364395377404467</v>
      </c>
    </row>
    <row r="9379" spans="1:9">
      <c r="A9379" s="11" t="s">
        <v>11260</v>
      </c>
      <c r="B9379" s="2" t="s">
        <v>16330</v>
      </c>
      <c r="C9379" s="2" t="s">
        <v>16294</v>
      </c>
      <c r="D9379" s="2"/>
      <c r="E9379" s="2">
        <v>1</v>
      </c>
      <c r="F9379" s="9">
        <v>2</v>
      </c>
      <c r="G9379" s="8">
        <f t="shared" si="292"/>
        <v>23.828925710699497</v>
      </c>
      <c r="H9379" s="8">
        <v>22.69421496257095</v>
      </c>
      <c r="I9379" s="19">
        <f t="shared" si="293"/>
        <v>47.657851421398995</v>
      </c>
    </row>
    <row r="9380" spans="1:9" hidden="1">
      <c r="A9380" s="11" t="s">
        <v>11260</v>
      </c>
      <c r="B9380" s="2" t="s">
        <v>16331</v>
      </c>
      <c r="C9380" s="2" t="s">
        <v>16294</v>
      </c>
      <c r="D9380" s="2"/>
      <c r="E9380" s="2">
        <v>1</v>
      </c>
      <c r="F9380" s="9"/>
      <c r="G9380" s="8">
        <f t="shared" si="292"/>
        <v>26.16225618561144</v>
      </c>
      <c r="H9380" s="8">
        <v>24.916434462487086</v>
      </c>
      <c r="I9380" s="19">
        <f t="shared" si="293"/>
        <v>0</v>
      </c>
    </row>
    <row r="9381" spans="1:9" hidden="1">
      <c r="A9381" s="11" t="s">
        <v>11260</v>
      </c>
      <c r="B9381" s="2" t="s">
        <v>16332</v>
      </c>
      <c r="C9381" s="2" t="s">
        <v>16294</v>
      </c>
      <c r="D9381" s="2"/>
      <c r="E9381" s="2">
        <v>1</v>
      </c>
      <c r="F9381" s="9"/>
      <c r="G9381" s="8">
        <f t="shared" si="292"/>
        <v>29.137963705739303</v>
      </c>
      <c r="H9381" s="8">
        <v>27.75044162451362</v>
      </c>
      <c r="I9381" s="19">
        <f t="shared" si="293"/>
        <v>0</v>
      </c>
    </row>
    <row r="9382" spans="1:9" hidden="1">
      <c r="A9382" s="11" t="s">
        <v>11260</v>
      </c>
      <c r="B9382" s="2" t="s">
        <v>16333</v>
      </c>
      <c r="C9382" s="2" t="s">
        <v>16294</v>
      </c>
      <c r="D9382" s="2"/>
      <c r="E9382" s="2">
        <v>1</v>
      </c>
      <c r="F9382" s="9"/>
      <c r="G9382" s="8">
        <f t="shared" si="292"/>
        <v>29.811558752676927</v>
      </c>
      <c r="H9382" s="8">
        <v>28.391960716835168</v>
      </c>
      <c r="I9382" s="19">
        <f t="shared" si="293"/>
        <v>0</v>
      </c>
    </row>
    <row r="9383" spans="1:9" hidden="1">
      <c r="A9383" s="11" t="s">
        <v>11260</v>
      </c>
      <c r="B9383" s="2" t="s">
        <v>16334</v>
      </c>
      <c r="C9383" s="2" t="s">
        <v>16335</v>
      </c>
      <c r="D9383" s="2"/>
      <c r="E9383" s="2">
        <v>1</v>
      </c>
      <c r="F9383" s="9"/>
      <c r="G9383" s="8">
        <f t="shared" si="292"/>
        <v>56.205585228037727</v>
      </c>
      <c r="H9383" s="8">
        <v>53.529128788607359</v>
      </c>
      <c r="I9383" s="19">
        <f t="shared" si="293"/>
        <v>0</v>
      </c>
    </row>
    <row r="9384" spans="1:9" hidden="1">
      <c r="A9384" s="11" t="s">
        <v>11260</v>
      </c>
      <c r="B9384" s="2" t="s">
        <v>16336</v>
      </c>
      <c r="C9384" s="2" t="s">
        <v>16337</v>
      </c>
      <c r="D9384" s="2"/>
      <c r="E9384" s="2">
        <v>1</v>
      </c>
      <c r="F9384" s="9"/>
      <c r="G9384" s="8">
        <f t="shared" si="292"/>
        <v>54.819003194539256</v>
      </c>
      <c r="H9384" s="8">
        <v>52.208574470989767</v>
      </c>
      <c r="I9384" s="19">
        <f t="shared" si="293"/>
        <v>0</v>
      </c>
    </row>
    <row r="9385" spans="1:9" hidden="1">
      <c r="A9385" s="11" t="s">
        <v>11260</v>
      </c>
      <c r="B9385" s="2" t="s">
        <v>16338</v>
      </c>
      <c r="C9385" s="2" t="s">
        <v>16294</v>
      </c>
      <c r="D9385" s="2"/>
      <c r="E9385" s="2">
        <v>1</v>
      </c>
      <c r="F9385" s="9"/>
      <c r="G9385" s="8">
        <f t="shared" si="292"/>
        <v>24.06740821434536</v>
      </c>
      <c r="H9385" s="8">
        <v>22.921341156519389</v>
      </c>
      <c r="I9385" s="19">
        <f t="shared" si="293"/>
        <v>0</v>
      </c>
    </row>
    <row r="9386" spans="1:9">
      <c r="A9386" s="11" t="s">
        <v>11260</v>
      </c>
      <c r="B9386" s="2" t="s">
        <v>16339</v>
      </c>
      <c r="C9386" s="2" t="s">
        <v>16294</v>
      </c>
      <c r="D9386" s="2"/>
      <c r="E9386" s="2">
        <v>1</v>
      </c>
      <c r="F9386" s="9">
        <v>4</v>
      </c>
      <c r="G9386" s="8">
        <f t="shared" si="292"/>
        <v>24.245210669504253</v>
      </c>
      <c r="H9386" s="8">
        <v>23.090676828099287</v>
      </c>
      <c r="I9386" s="19">
        <f t="shared" si="293"/>
        <v>96.980842678017012</v>
      </c>
    </row>
    <row r="9387" spans="1:9" hidden="1">
      <c r="A9387" s="11" t="s">
        <v>11260</v>
      </c>
      <c r="B9387" s="2" t="s">
        <v>16340</v>
      </c>
      <c r="C9387" s="2" t="s">
        <v>16294</v>
      </c>
      <c r="D9387" s="2"/>
      <c r="E9387" s="2">
        <v>1</v>
      </c>
      <c r="F9387" s="9"/>
      <c r="G9387" s="8">
        <f t="shared" si="292"/>
        <v>24.689501159660043</v>
      </c>
      <c r="H9387" s="8">
        <v>23.513810628247661</v>
      </c>
      <c r="I9387" s="19">
        <f t="shared" si="293"/>
        <v>0</v>
      </c>
    </row>
    <row r="9388" spans="1:9">
      <c r="A9388" s="11" t="s">
        <v>11260</v>
      </c>
      <c r="B9388" s="2" t="s">
        <v>16341</v>
      </c>
      <c r="C9388" s="2" t="s">
        <v>16294</v>
      </c>
      <c r="D9388" s="2"/>
      <c r="E9388" s="2">
        <v>1</v>
      </c>
      <c r="F9388" s="9">
        <v>4</v>
      </c>
      <c r="G9388" s="8">
        <f t="shared" si="292"/>
        <v>27.003402177641483</v>
      </c>
      <c r="H9388" s="8">
        <v>25.717525883468078</v>
      </c>
      <c r="I9388" s="19">
        <f t="shared" si="293"/>
        <v>108.01360871056593</v>
      </c>
    </row>
    <row r="9389" spans="1:9" hidden="1">
      <c r="A9389" s="11" t="s">
        <v>11260</v>
      </c>
      <c r="B9389" s="2" t="s">
        <v>16342</v>
      </c>
      <c r="C9389" s="2" t="s">
        <v>16294</v>
      </c>
      <c r="D9389" s="2"/>
      <c r="E9389" s="2">
        <v>1</v>
      </c>
      <c r="F9389" s="9"/>
      <c r="G9389" s="8">
        <f t="shared" si="292"/>
        <v>30.045027402737237</v>
      </c>
      <c r="H9389" s="8">
        <v>28.614311812130701</v>
      </c>
      <c r="I9389" s="19">
        <f t="shared" si="293"/>
        <v>0</v>
      </c>
    </row>
    <row r="9390" spans="1:9" hidden="1">
      <c r="A9390" s="11" t="s">
        <v>11260</v>
      </c>
      <c r="B9390" s="2" t="s">
        <v>16343</v>
      </c>
      <c r="C9390" s="2" t="s">
        <v>16294</v>
      </c>
      <c r="D9390" s="2"/>
      <c r="E9390" s="2">
        <v>1</v>
      </c>
      <c r="F9390" s="9"/>
      <c r="G9390" s="8">
        <f t="shared" si="292"/>
        <v>30.731885545050229</v>
      </c>
      <c r="H9390" s="8">
        <v>29.268462423857361</v>
      </c>
      <c r="I9390" s="19">
        <f t="shared" si="293"/>
        <v>0</v>
      </c>
    </row>
    <row r="9391" spans="1:9" hidden="1">
      <c r="A9391" s="11" t="s">
        <v>11260</v>
      </c>
      <c r="B9391" s="2" t="s">
        <v>16344</v>
      </c>
      <c r="C9391" s="2" t="s">
        <v>16345</v>
      </c>
      <c r="D9391" s="2"/>
      <c r="E9391" s="2">
        <v>1</v>
      </c>
      <c r="F9391" s="9"/>
      <c r="G9391" s="8">
        <f t="shared" si="292"/>
        <v>56.734826141443762</v>
      </c>
      <c r="H9391" s="8">
        <v>54.033167753755961</v>
      </c>
      <c r="I9391" s="19">
        <f t="shared" si="293"/>
        <v>0</v>
      </c>
    </row>
    <row r="9392" spans="1:9" hidden="1">
      <c r="A9392" s="11" t="s">
        <v>11260</v>
      </c>
      <c r="B9392" s="2" t="s">
        <v>16346</v>
      </c>
      <c r="C9392" s="2" t="s">
        <v>16347</v>
      </c>
      <c r="D9392" s="2"/>
      <c r="E9392" s="2">
        <v>1</v>
      </c>
      <c r="F9392" s="9"/>
      <c r="G9392" s="8">
        <f t="shared" si="292"/>
        <v>55.326994904171364</v>
      </c>
      <c r="H9392" s="8">
        <v>52.692376099210826</v>
      </c>
      <c r="I9392" s="19">
        <f t="shared" si="293"/>
        <v>0</v>
      </c>
    </row>
    <row r="9393" spans="1:9" hidden="1">
      <c r="A9393" s="11" t="s">
        <v>11260</v>
      </c>
      <c r="B9393" s="2" t="s">
        <v>16348</v>
      </c>
      <c r="C9393" s="2" t="s">
        <v>16294</v>
      </c>
      <c r="D9393" s="2"/>
      <c r="E9393" s="2">
        <v>1</v>
      </c>
      <c r="F9393" s="9"/>
      <c r="G9393" s="8">
        <f t="shared" si="292"/>
        <v>32.8627141985042</v>
      </c>
      <c r="H9393" s="8">
        <v>31.297823046194473</v>
      </c>
      <c r="I9393" s="19">
        <f t="shared" si="293"/>
        <v>0</v>
      </c>
    </row>
    <row r="9394" spans="1:9" hidden="1">
      <c r="A9394" s="11" t="s">
        <v>11260</v>
      </c>
      <c r="B9394" s="2" t="s">
        <v>16349</v>
      </c>
      <c r="C9394" s="2" t="s">
        <v>16294</v>
      </c>
      <c r="D9394" s="2"/>
      <c r="E9394" s="2">
        <v>1</v>
      </c>
      <c r="F9394" s="9"/>
      <c r="G9394" s="8">
        <f t="shared" si="292"/>
        <v>28.970743865815855</v>
      </c>
      <c r="H9394" s="8">
        <v>27.591184634110338</v>
      </c>
      <c r="I9394" s="19">
        <f t="shared" si="293"/>
        <v>0</v>
      </c>
    </row>
    <row r="9395" spans="1:9">
      <c r="A9395" s="11" t="s">
        <v>11260</v>
      </c>
      <c r="B9395" s="2" t="s">
        <v>16350</v>
      </c>
      <c r="C9395" s="2" t="s">
        <v>16294</v>
      </c>
      <c r="D9395" s="2"/>
      <c r="E9395" s="2">
        <v>1</v>
      </c>
      <c r="F9395" s="9">
        <v>2</v>
      </c>
      <c r="G9395" s="8">
        <f t="shared" si="292"/>
        <v>33.467816282352949</v>
      </c>
      <c r="H9395" s="8">
        <v>31.874110745098044</v>
      </c>
      <c r="I9395" s="19">
        <f t="shared" si="293"/>
        <v>66.935632564705898</v>
      </c>
    </row>
    <row r="9396" spans="1:9" hidden="1">
      <c r="A9396" s="11" t="s">
        <v>11260</v>
      </c>
      <c r="B9396" s="2" t="s">
        <v>16351</v>
      </c>
      <c r="C9396" s="2" t="s">
        <v>16294</v>
      </c>
      <c r="D9396" s="2"/>
      <c r="E9396" s="2">
        <v>1</v>
      </c>
      <c r="F9396" s="9"/>
      <c r="G9396" s="8">
        <f t="shared" si="292"/>
        <v>31.511146577035152</v>
      </c>
      <c r="H9396" s="8">
        <v>30.010615787652526</v>
      </c>
      <c r="I9396" s="19">
        <f t="shared" si="293"/>
        <v>0</v>
      </c>
    </row>
    <row r="9397" spans="1:9" hidden="1">
      <c r="A9397" s="11" t="s">
        <v>11260</v>
      </c>
      <c r="B9397" s="2" t="s">
        <v>16352</v>
      </c>
      <c r="C9397" s="2" t="s">
        <v>16294</v>
      </c>
      <c r="D9397" s="2"/>
      <c r="E9397" s="2">
        <v>1</v>
      </c>
      <c r="F9397" s="9"/>
      <c r="G9397" s="8">
        <f t="shared" si="292"/>
        <v>38.723254569428299</v>
      </c>
      <c r="H9397" s="8">
        <v>36.879290066122188</v>
      </c>
      <c r="I9397" s="19">
        <f t="shared" si="293"/>
        <v>0</v>
      </c>
    </row>
    <row r="9398" spans="1:9">
      <c r="A9398" s="11" t="s">
        <v>11260</v>
      </c>
      <c r="B9398" s="2" t="s">
        <v>16353</v>
      </c>
      <c r="C9398" s="2" t="s">
        <v>16294</v>
      </c>
      <c r="D9398" s="2"/>
      <c r="E9398" s="2">
        <v>1</v>
      </c>
      <c r="F9398" s="9">
        <v>2</v>
      </c>
      <c r="G9398" s="8">
        <f t="shared" si="292"/>
        <v>34.681199367160772</v>
      </c>
      <c r="H9398" s="8">
        <v>33.029713683010257</v>
      </c>
      <c r="I9398" s="19">
        <f t="shared" si="293"/>
        <v>69.362398734321545</v>
      </c>
    </row>
    <row r="9399" spans="1:9" hidden="1">
      <c r="A9399" s="11" t="s">
        <v>11260</v>
      </c>
      <c r="B9399" s="2" t="s">
        <v>16354</v>
      </c>
      <c r="C9399" s="2" t="s">
        <v>16294</v>
      </c>
      <c r="D9399" s="2"/>
      <c r="E9399" s="2">
        <v>1</v>
      </c>
      <c r="F9399" s="9"/>
      <c r="G9399" s="8">
        <f t="shared" si="292"/>
        <v>30.590631365275591</v>
      </c>
      <c r="H9399" s="8">
        <v>29.1339346335958</v>
      </c>
      <c r="I9399" s="19">
        <f t="shared" si="293"/>
        <v>0</v>
      </c>
    </row>
    <row r="9400" spans="1:9" hidden="1">
      <c r="A9400" s="11" t="s">
        <v>11260</v>
      </c>
      <c r="B9400" s="2" t="s">
        <v>16355</v>
      </c>
      <c r="C9400" s="2" t="s">
        <v>16294</v>
      </c>
      <c r="D9400" s="2"/>
      <c r="E9400" s="2">
        <v>1</v>
      </c>
      <c r="F9400" s="9"/>
      <c r="G9400" s="8">
        <f t="shared" si="292"/>
        <v>35.261975548217954</v>
      </c>
      <c r="H9400" s="8">
        <v>33.582833855445671</v>
      </c>
      <c r="I9400" s="19">
        <f t="shared" si="293"/>
        <v>0</v>
      </c>
    </row>
    <row r="9401" spans="1:9" hidden="1">
      <c r="A9401" s="11" t="s">
        <v>11260</v>
      </c>
      <c r="B9401" s="2" t="s">
        <v>16356</v>
      </c>
      <c r="C9401" s="2" t="s">
        <v>16294</v>
      </c>
      <c r="D9401" s="2"/>
      <c r="E9401" s="2">
        <v>1</v>
      </c>
      <c r="F9401" s="9"/>
      <c r="G9401" s="8">
        <f t="shared" si="292"/>
        <v>33.125308075642423</v>
      </c>
      <c r="H9401" s="8">
        <v>31.547912452992783</v>
      </c>
      <c r="I9401" s="19">
        <f t="shared" si="293"/>
        <v>0</v>
      </c>
    </row>
    <row r="9402" spans="1:9" hidden="1">
      <c r="A9402" s="11" t="s">
        <v>11260</v>
      </c>
      <c r="B9402" s="2" t="s">
        <v>16357</v>
      </c>
      <c r="C9402" s="2" t="s">
        <v>16294</v>
      </c>
      <c r="D9402" s="2"/>
      <c r="E9402" s="2">
        <v>1</v>
      </c>
      <c r="F9402" s="9"/>
      <c r="G9402" s="8">
        <f t="shared" si="292"/>
        <v>40.546155617118536</v>
      </c>
      <c r="H9402" s="8">
        <v>38.615386302017654</v>
      </c>
      <c r="I9402" s="19">
        <f t="shared" si="293"/>
        <v>0</v>
      </c>
    </row>
    <row r="9403" spans="1:9" hidden="1">
      <c r="A9403" s="11" t="s">
        <v>11260</v>
      </c>
      <c r="B9403" s="2" t="s">
        <v>16358</v>
      </c>
      <c r="C9403" s="2" t="s">
        <v>16294</v>
      </c>
      <c r="D9403" s="2"/>
      <c r="E9403" s="2">
        <v>1</v>
      </c>
      <c r="F9403" s="9"/>
      <c r="G9403" s="8">
        <f t="shared" si="292"/>
        <v>36.592717741346959</v>
      </c>
      <c r="H9403" s="8">
        <v>34.850207372711388</v>
      </c>
      <c r="I9403" s="19">
        <f t="shared" si="293"/>
        <v>0</v>
      </c>
    </row>
    <row r="9404" spans="1:9" hidden="1">
      <c r="A9404" s="11" t="s">
        <v>11260</v>
      </c>
      <c r="B9404" s="2" t="s">
        <v>16359</v>
      </c>
      <c r="C9404" s="2" t="s">
        <v>16294</v>
      </c>
      <c r="D9404" s="2"/>
      <c r="E9404" s="2">
        <v>1</v>
      </c>
      <c r="F9404" s="9"/>
      <c r="G9404" s="8">
        <f t="shared" si="292"/>
        <v>32.413107451530131</v>
      </c>
      <c r="H9404" s="8">
        <v>30.86962614431441</v>
      </c>
      <c r="I9404" s="19">
        <f t="shared" si="293"/>
        <v>0</v>
      </c>
    </row>
    <row r="9405" spans="1:9">
      <c r="A9405" s="11" t="s">
        <v>11260</v>
      </c>
      <c r="B9405" s="2" t="s">
        <v>16360</v>
      </c>
      <c r="C9405" s="2" t="s">
        <v>16294</v>
      </c>
      <c r="D9405" s="2"/>
      <c r="E9405" s="2">
        <v>1</v>
      </c>
      <c r="F9405" s="9">
        <v>2</v>
      </c>
      <c r="G9405" s="8">
        <f t="shared" si="292"/>
        <v>37.150211417552022</v>
      </c>
      <c r="H9405" s="8">
        <v>35.381153731001923</v>
      </c>
      <c r="I9405" s="19">
        <f t="shared" si="293"/>
        <v>74.300422835104044</v>
      </c>
    </row>
    <row r="9406" spans="1:9" hidden="1">
      <c r="A9406" s="11" t="s">
        <v>11260</v>
      </c>
      <c r="B9406" s="2" t="s">
        <v>16361</v>
      </c>
      <c r="C9406" s="2" t="s">
        <v>16294</v>
      </c>
      <c r="D9406" s="2"/>
      <c r="E9406" s="2">
        <v>1</v>
      </c>
      <c r="F9406" s="9"/>
      <c r="G9406" s="8">
        <f t="shared" si="292"/>
        <v>34.906454567887849</v>
      </c>
      <c r="H9406" s="8">
        <v>33.244242445607476</v>
      </c>
      <c r="I9406" s="19">
        <f t="shared" si="293"/>
        <v>0</v>
      </c>
    </row>
    <row r="9407" spans="1:9" hidden="1">
      <c r="A9407" s="11" t="s">
        <v>11260</v>
      </c>
      <c r="B9407" s="2" t="s">
        <v>16362</v>
      </c>
      <c r="C9407" s="2" t="s">
        <v>16294</v>
      </c>
      <c r="D9407" s="2"/>
      <c r="E9407" s="2">
        <v>1</v>
      </c>
      <c r="F9407" s="9"/>
      <c r="G9407" s="8">
        <f t="shared" si="292"/>
        <v>42.477810296797571</v>
      </c>
      <c r="H9407" s="8">
        <v>40.455057425521495</v>
      </c>
      <c r="I9407" s="19">
        <f t="shared" si="293"/>
        <v>0</v>
      </c>
    </row>
    <row r="9408" spans="1:9" hidden="1">
      <c r="A9408" s="11" t="s">
        <v>11260</v>
      </c>
      <c r="B9408" s="2" t="s">
        <v>16363</v>
      </c>
      <c r="C9408" s="2" t="s">
        <v>16294</v>
      </c>
      <c r="D9408" s="2"/>
      <c r="E9408" s="2">
        <v>1</v>
      </c>
      <c r="F9408" s="9"/>
      <c r="G9408" s="8">
        <f t="shared" si="292"/>
        <v>41.828182720569579</v>
      </c>
      <c r="H9408" s="8">
        <v>39.83636449578055</v>
      </c>
      <c r="I9408" s="19">
        <f t="shared" si="293"/>
        <v>0</v>
      </c>
    </row>
    <row r="9409" spans="1:9" hidden="1">
      <c r="A9409" s="11" t="s">
        <v>11260</v>
      </c>
      <c r="B9409" s="2" t="s">
        <v>16364</v>
      </c>
      <c r="C9409" s="2" t="s">
        <v>16294</v>
      </c>
      <c r="D9409" s="2"/>
      <c r="E9409" s="2">
        <v>1</v>
      </c>
      <c r="F9409" s="9"/>
      <c r="G9409" s="8">
        <f t="shared" si="292"/>
        <v>50.373688770973288</v>
      </c>
      <c r="H9409" s="8">
        <v>47.974941686641223</v>
      </c>
      <c r="I9409" s="19">
        <f t="shared" si="293"/>
        <v>0</v>
      </c>
    </row>
    <row r="9410" spans="1:9" hidden="1">
      <c r="A9410" s="11" t="s">
        <v>11260</v>
      </c>
      <c r="B9410" s="2" t="s">
        <v>16365</v>
      </c>
      <c r="C9410" s="2" t="s">
        <v>16366</v>
      </c>
      <c r="D9410" s="2"/>
      <c r="E9410" s="2">
        <v>1</v>
      </c>
      <c r="F9410" s="9"/>
      <c r="G9410" s="8">
        <f t="shared" si="292"/>
        <v>0.33258802500000012</v>
      </c>
      <c r="H9410" s="8">
        <v>0.3167505000000001</v>
      </c>
      <c r="I9410" s="19">
        <f t="shared" si="293"/>
        <v>0</v>
      </c>
    </row>
    <row r="9411" spans="1:9" hidden="1">
      <c r="A9411" s="11" t="s">
        <v>11260</v>
      </c>
      <c r="B9411" s="2" t="s">
        <v>16367</v>
      </c>
      <c r="C9411" s="2" t="s">
        <v>16368</v>
      </c>
      <c r="D9411" s="2"/>
      <c r="E9411" s="2">
        <v>1</v>
      </c>
      <c r="F9411" s="9"/>
      <c r="G9411" s="8">
        <f t="shared" si="292"/>
        <v>1.7862089719626171</v>
      </c>
      <c r="H9411" s="8">
        <v>1.7011514018691591</v>
      </c>
      <c r="I9411" s="19">
        <f t="shared" si="293"/>
        <v>0</v>
      </c>
    </row>
    <row r="9412" spans="1:9" hidden="1">
      <c r="A9412" s="11" t="s">
        <v>11260</v>
      </c>
      <c r="B9412" s="2" t="s">
        <v>16369</v>
      </c>
      <c r="C9412" s="2" t="s">
        <v>16369</v>
      </c>
      <c r="D9412" s="2"/>
      <c r="E9412" s="2">
        <v>1</v>
      </c>
      <c r="F9412" s="9"/>
      <c r="G9412" s="8">
        <f t="shared" si="292"/>
        <v>145.76152500000001</v>
      </c>
      <c r="H9412" s="8">
        <v>138.82050000000001</v>
      </c>
      <c r="I9412" s="19">
        <f t="shared" si="293"/>
        <v>0</v>
      </c>
    </row>
    <row r="9413" spans="1:9" hidden="1">
      <c r="A9413" s="11" t="s">
        <v>11260</v>
      </c>
      <c r="B9413" s="2" t="s">
        <v>16370</v>
      </c>
      <c r="C9413" s="2" t="s">
        <v>16370</v>
      </c>
      <c r="D9413" s="2"/>
      <c r="E9413" s="2">
        <v>1</v>
      </c>
      <c r="F9413" s="9"/>
      <c r="G9413" s="8">
        <f t="shared" si="292"/>
        <v>198.62640000000002</v>
      </c>
      <c r="H9413" s="8">
        <v>189.16800000000001</v>
      </c>
      <c r="I9413" s="19">
        <f t="shared" si="293"/>
        <v>0</v>
      </c>
    </row>
    <row r="9414" spans="1:9" hidden="1">
      <c r="A9414" s="11" t="s">
        <v>11260</v>
      </c>
      <c r="B9414" s="2" t="s">
        <v>16371</v>
      </c>
      <c r="C9414" s="2" t="s">
        <v>16371</v>
      </c>
      <c r="D9414" s="2"/>
      <c r="E9414" s="2">
        <v>1</v>
      </c>
      <c r="F9414" s="9"/>
      <c r="G9414" s="8">
        <f t="shared" si="292"/>
        <v>177.998625</v>
      </c>
      <c r="H9414" s="8">
        <v>169.52250000000001</v>
      </c>
      <c r="I9414" s="19">
        <f t="shared" si="293"/>
        <v>0</v>
      </c>
    </row>
    <row r="9415" spans="1:9" hidden="1">
      <c r="A9415" s="11" t="s">
        <v>11260</v>
      </c>
      <c r="B9415" s="2" t="s">
        <v>16372</v>
      </c>
      <c r="C9415" s="2" t="s">
        <v>16372</v>
      </c>
      <c r="D9415" s="2"/>
      <c r="E9415" s="2">
        <v>1</v>
      </c>
      <c r="F9415" s="9"/>
      <c r="G9415" s="8">
        <f t="shared" si="292"/>
        <v>242.57205000000002</v>
      </c>
      <c r="H9415" s="8">
        <v>231.02100000000002</v>
      </c>
      <c r="I9415" s="19">
        <f t="shared" si="293"/>
        <v>0</v>
      </c>
    </row>
    <row r="9416" spans="1:9" hidden="1">
      <c r="A9416" s="11" t="s">
        <v>11260</v>
      </c>
      <c r="B9416" s="2" t="s">
        <v>16373</v>
      </c>
      <c r="C9416" s="2" t="s">
        <v>16374</v>
      </c>
      <c r="D9416" s="2"/>
      <c r="E9416" s="2">
        <v>1</v>
      </c>
      <c r="F9416" s="9"/>
      <c r="G9416" s="8">
        <f t="shared" si="292"/>
        <v>145.76152500000001</v>
      </c>
      <c r="H9416" s="8">
        <v>138.82050000000001</v>
      </c>
      <c r="I9416" s="19">
        <f t="shared" si="293"/>
        <v>0</v>
      </c>
    </row>
    <row r="9417" spans="1:9" hidden="1">
      <c r="A9417" s="11" t="s">
        <v>11260</v>
      </c>
      <c r="B9417" s="2" t="s">
        <v>16375</v>
      </c>
      <c r="C9417" s="2" t="s">
        <v>16374</v>
      </c>
      <c r="D9417" s="2"/>
      <c r="E9417" s="2">
        <v>1</v>
      </c>
      <c r="F9417" s="9"/>
      <c r="G9417" s="8">
        <f t="shared" si="292"/>
        <v>198.62640000000002</v>
      </c>
      <c r="H9417" s="8">
        <v>189.16800000000001</v>
      </c>
      <c r="I9417" s="19">
        <f t="shared" si="293"/>
        <v>0</v>
      </c>
    </row>
    <row r="9418" spans="1:9" hidden="1">
      <c r="A9418" s="11" t="s">
        <v>11260</v>
      </c>
      <c r="B9418" s="2" t="s">
        <v>16376</v>
      </c>
      <c r="C9418" s="2" t="s">
        <v>16377</v>
      </c>
      <c r="D9418" s="2"/>
      <c r="E9418" s="2">
        <v>1</v>
      </c>
      <c r="F9418" s="9"/>
      <c r="G9418" s="8">
        <f t="shared" si="292"/>
        <v>177.998625</v>
      </c>
      <c r="H9418" s="8">
        <v>169.52250000000001</v>
      </c>
      <c r="I9418" s="19">
        <f t="shared" si="293"/>
        <v>0</v>
      </c>
    </row>
    <row r="9419" spans="1:9" hidden="1">
      <c r="A9419" s="11" t="s">
        <v>11260</v>
      </c>
      <c r="B9419" s="2" t="s">
        <v>16378</v>
      </c>
      <c r="C9419" s="2" t="s">
        <v>16377</v>
      </c>
      <c r="D9419" s="2"/>
      <c r="E9419" s="2">
        <v>1</v>
      </c>
      <c r="F9419" s="9"/>
      <c r="G9419" s="8">
        <f t="shared" si="292"/>
        <v>420.85998427236166</v>
      </c>
      <c r="H9419" s="8">
        <v>400.81903264034446</v>
      </c>
      <c r="I9419" s="19">
        <f t="shared" si="293"/>
        <v>0</v>
      </c>
    </row>
    <row r="9420" spans="1:9" hidden="1">
      <c r="A9420" s="11" t="s">
        <v>11260</v>
      </c>
      <c r="B9420" s="2" t="s">
        <v>16379</v>
      </c>
      <c r="C9420" s="2" t="s">
        <v>16380</v>
      </c>
      <c r="D9420" s="2"/>
      <c r="E9420" s="2">
        <v>1</v>
      </c>
      <c r="F9420" s="9"/>
      <c r="G9420" s="8">
        <f t="shared" si="292"/>
        <v>145.76152500000001</v>
      </c>
      <c r="H9420" s="8">
        <v>138.82050000000001</v>
      </c>
      <c r="I9420" s="19">
        <f t="shared" si="293"/>
        <v>0</v>
      </c>
    </row>
    <row r="9421" spans="1:9" hidden="1">
      <c r="A9421" s="11" t="s">
        <v>11260</v>
      </c>
      <c r="B9421" s="2" t="s">
        <v>16381</v>
      </c>
      <c r="C9421" s="2" t="s">
        <v>16380</v>
      </c>
      <c r="D9421" s="2"/>
      <c r="E9421" s="2">
        <v>1</v>
      </c>
      <c r="F9421" s="9"/>
      <c r="G9421" s="8">
        <f t="shared" si="292"/>
        <v>198.62640000000002</v>
      </c>
      <c r="H9421" s="8">
        <v>189.16800000000001</v>
      </c>
      <c r="I9421" s="19">
        <f t="shared" si="293"/>
        <v>0</v>
      </c>
    </row>
    <row r="9422" spans="1:9" hidden="1">
      <c r="A9422" s="11" t="s">
        <v>11260</v>
      </c>
      <c r="B9422" s="2" t="s">
        <v>16382</v>
      </c>
      <c r="C9422" s="2" t="s">
        <v>16383</v>
      </c>
      <c r="D9422" s="2"/>
      <c r="E9422" s="2">
        <v>1</v>
      </c>
      <c r="F9422" s="9"/>
      <c r="G9422" s="8">
        <f t="shared" si="292"/>
        <v>145.76152500000001</v>
      </c>
      <c r="H9422" s="8">
        <v>138.82050000000001</v>
      </c>
      <c r="I9422" s="19">
        <f t="shared" si="293"/>
        <v>0</v>
      </c>
    </row>
    <row r="9423" spans="1:9" hidden="1">
      <c r="A9423" s="11" t="s">
        <v>11260</v>
      </c>
      <c r="B9423" s="2" t="s">
        <v>16384</v>
      </c>
      <c r="C9423" s="2" t="s">
        <v>16383</v>
      </c>
      <c r="D9423" s="2"/>
      <c r="E9423" s="2">
        <v>1</v>
      </c>
      <c r="F9423" s="9"/>
      <c r="G9423" s="8">
        <f t="shared" si="292"/>
        <v>198.62640000000002</v>
      </c>
      <c r="H9423" s="8">
        <v>189.16800000000001</v>
      </c>
      <c r="I9423" s="19">
        <f t="shared" si="293"/>
        <v>0</v>
      </c>
    </row>
    <row r="9424" spans="1:9" hidden="1">
      <c r="A9424" s="11" t="s">
        <v>11260</v>
      </c>
      <c r="B9424" s="2" t="s">
        <v>16385</v>
      </c>
      <c r="C9424" s="2" t="s">
        <v>16386</v>
      </c>
      <c r="D9424" s="2"/>
      <c r="E9424" s="2">
        <v>1</v>
      </c>
      <c r="F9424" s="9"/>
      <c r="G9424" s="8">
        <f t="shared" si="292"/>
        <v>145.76152500000001</v>
      </c>
      <c r="H9424" s="8">
        <v>138.82050000000001</v>
      </c>
      <c r="I9424" s="19">
        <f t="shared" si="293"/>
        <v>0</v>
      </c>
    </row>
    <row r="9425" spans="1:9" hidden="1">
      <c r="A9425" s="11" t="s">
        <v>11260</v>
      </c>
      <c r="B9425" s="2" t="s">
        <v>16387</v>
      </c>
      <c r="C9425" s="2" t="s">
        <v>16386</v>
      </c>
      <c r="D9425" s="2"/>
      <c r="E9425" s="2">
        <v>1</v>
      </c>
      <c r="F9425" s="9"/>
      <c r="G9425" s="8">
        <f t="shared" si="292"/>
        <v>198.62640000000002</v>
      </c>
      <c r="H9425" s="8">
        <v>189.16800000000001</v>
      </c>
      <c r="I9425" s="19">
        <f t="shared" si="293"/>
        <v>0</v>
      </c>
    </row>
    <row r="9426" spans="1:9" hidden="1">
      <c r="A9426" s="11" t="s">
        <v>11260</v>
      </c>
      <c r="B9426" s="2" t="s">
        <v>16388</v>
      </c>
      <c r="C9426" s="2" t="s">
        <v>16389</v>
      </c>
      <c r="D9426" s="2"/>
      <c r="E9426" s="2">
        <v>1</v>
      </c>
      <c r="F9426" s="9"/>
      <c r="G9426" s="8">
        <f t="shared" si="292"/>
        <v>177.998625</v>
      </c>
      <c r="H9426" s="8">
        <v>169.52250000000001</v>
      </c>
      <c r="I9426" s="19">
        <f t="shared" si="293"/>
        <v>0</v>
      </c>
    </row>
    <row r="9427" spans="1:9" hidden="1">
      <c r="A9427" s="11" t="s">
        <v>11260</v>
      </c>
      <c r="B9427" s="2" t="s">
        <v>16390</v>
      </c>
      <c r="C9427" s="2" t="s">
        <v>16389</v>
      </c>
      <c r="D9427" s="2"/>
      <c r="E9427" s="2">
        <v>1</v>
      </c>
      <c r="F9427" s="9"/>
      <c r="G9427" s="8">
        <f t="shared" si="292"/>
        <v>242.57205000000002</v>
      </c>
      <c r="H9427" s="8">
        <v>231.02100000000002</v>
      </c>
      <c r="I9427" s="19">
        <f t="shared" si="293"/>
        <v>0</v>
      </c>
    </row>
    <row r="9428" spans="1:9" hidden="1">
      <c r="A9428" s="11" t="s">
        <v>11260</v>
      </c>
      <c r="B9428" s="2" t="s">
        <v>16391</v>
      </c>
      <c r="C9428" s="2" t="s">
        <v>16392</v>
      </c>
      <c r="D9428" s="2"/>
      <c r="E9428" s="2">
        <v>1</v>
      </c>
      <c r="F9428" s="9"/>
      <c r="G9428" s="8">
        <f t="shared" si="292"/>
        <v>242.57205000000002</v>
      </c>
      <c r="H9428" s="8">
        <v>231.02100000000002</v>
      </c>
      <c r="I9428" s="19">
        <f t="shared" si="293"/>
        <v>0</v>
      </c>
    </row>
    <row r="9429" spans="1:9" hidden="1">
      <c r="A9429" s="11" t="s">
        <v>11260</v>
      </c>
      <c r="B9429" s="2" t="s">
        <v>16393</v>
      </c>
      <c r="C9429" s="2" t="s">
        <v>16394</v>
      </c>
      <c r="D9429" s="2"/>
      <c r="E9429" s="2">
        <v>1</v>
      </c>
      <c r="F9429" s="9"/>
      <c r="G9429" s="8">
        <f t="shared" si="292"/>
        <v>177.998625</v>
      </c>
      <c r="H9429" s="8">
        <v>169.52250000000001</v>
      </c>
      <c r="I9429" s="19">
        <f t="shared" si="293"/>
        <v>0</v>
      </c>
    </row>
    <row r="9430" spans="1:9" hidden="1">
      <c r="A9430" s="11" t="s">
        <v>11260</v>
      </c>
      <c r="B9430" s="2" t="s">
        <v>16395</v>
      </c>
      <c r="C9430" s="2" t="s">
        <v>16394</v>
      </c>
      <c r="D9430" s="2"/>
      <c r="E9430" s="2">
        <v>1</v>
      </c>
      <c r="F9430" s="9"/>
      <c r="G9430" s="8">
        <f t="shared" si="292"/>
        <v>242.57205000000002</v>
      </c>
      <c r="H9430" s="8">
        <v>231.02100000000002</v>
      </c>
      <c r="I9430" s="19">
        <f t="shared" si="293"/>
        <v>0</v>
      </c>
    </row>
    <row r="9431" spans="1:9" hidden="1">
      <c r="A9431" s="11" t="s">
        <v>11260</v>
      </c>
      <c r="B9431" s="2" t="s">
        <v>16396</v>
      </c>
      <c r="C9431" s="2" t="s">
        <v>16397</v>
      </c>
      <c r="D9431" s="2"/>
      <c r="E9431" s="2">
        <v>1</v>
      </c>
      <c r="F9431" s="9"/>
      <c r="G9431" s="8">
        <f t="shared" si="292"/>
        <v>244.12657500000003</v>
      </c>
      <c r="H9431" s="8">
        <v>232.50150000000002</v>
      </c>
      <c r="I9431" s="19">
        <f t="shared" si="293"/>
        <v>0</v>
      </c>
    </row>
    <row r="9432" spans="1:9" hidden="1">
      <c r="A9432" s="11" t="s">
        <v>11260</v>
      </c>
      <c r="B9432" s="2" t="s">
        <v>16398</v>
      </c>
      <c r="C9432" s="2" t="s">
        <v>16397</v>
      </c>
      <c r="D9432" s="2"/>
      <c r="E9432" s="2">
        <v>1</v>
      </c>
      <c r="F9432" s="9"/>
      <c r="G9432" s="8">
        <f t="shared" ref="G9432:G9495" si="294">H9432+(H9432*5%)</f>
        <v>330.58462500000002</v>
      </c>
      <c r="H9432" s="8">
        <v>314.84250000000003</v>
      </c>
      <c r="I9432" s="19">
        <f t="shared" ref="I9432:I9495" si="295">G9432*F9432</f>
        <v>0</v>
      </c>
    </row>
    <row r="9433" spans="1:9" hidden="1">
      <c r="A9433" s="11" t="s">
        <v>11260</v>
      </c>
      <c r="B9433" s="2" t="s">
        <v>16399</v>
      </c>
      <c r="C9433" s="2" t="s">
        <v>16400</v>
      </c>
      <c r="D9433" s="2"/>
      <c r="E9433" s="2">
        <v>1</v>
      </c>
      <c r="F9433" s="9"/>
      <c r="G9433" s="8">
        <f t="shared" si="294"/>
        <v>145.76152500000001</v>
      </c>
      <c r="H9433" s="8">
        <v>138.82050000000001</v>
      </c>
      <c r="I9433" s="19">
        <f t="shared" si="295"/>
        <v>0</v>
      </c>
    </row>
    <row r="9434" spans="1:9" hidden="1">
      <c r="A9434" s="11" t="s">
        <v>11260</v>
      </c>
      <c r="B9434" s="2" t="s">
        <v>16401</v>
      </c>
      <c r="C9434" s="2" t="s">
        <v>16400</v>
      </c>
      <c r="D9434" s="2"/>
      <c r="E9434" s="2">
        <v>1</v>
      </c>
      <c r="F9434" s="9"/>
      <c r="G9434" s="8">
        <f t="shared" si="294"/>
        <v>198.62640000000002</v>
      </c>
      <c r="H9434" s="8">
        <v>189.16800000000001</v>
      </c>
      <c r="I9434" s="19">
        <f t="shared" si="295"/>
        <v>0</v>
      </c>
    </row>
    <row r="9435" spans="1:9" hidden="1">
      <c r="A9435" s="11" t="s">
        <v>11260</v>
      </c>
      <c r="B9435" s="2" t="s">
        <v>16402</v>
      </c>
      <c r="C9435" s="2" t="s">
        <v>16403</v>
      </c>
      <c r="D9435" s="2"/>
      <c r="E9435" s="2">
        <v>1</v>
      </c>
      <c r="F9435" s="9"/>
      <c r="G9435" s="8">
        <f t="shared" si="294"/>
        <v>318.80992500000002</v>
      </c>
      <c r="H9435" s="8">
        <v>303.62850000000003</v>
      </c>
      <c r="I9435" s="19">
        <f t="shared" si="295"/>
        <v>0</v>
      </c>
    </row>
    <row r="9436" spans="1:9" hidden="1">
      <c r="A9436" s="11" t="s">
        <v>11260</v>
      </c>
      <c r="B9436" s="2" t="s">
        <v>16404</v>
      </c>
      <c r="C9436" s="2" t="s">
        <v>16403</v>
      </c>
      <c r="D9436" s="2"/>
      <c r="E9436" s="2">
        <v>1</v>
      </c>
      <c r="F9436" s="9"/>
      <c r="G9436" s="8">
        <f t="shared" si="294"/>
        <v>409.70853</v>
      </c>
      <c r="H9436" s="8">
        <v>390.1986</v>
      </c>
      <c r="I9436" s="19">
        <f t="shared" si="295"/>
        <v>0</v>
      </c>
    </row>
    <row r="9437" spans="1:9" hidden="1">
      <c r="A9437" s="11" t="s">
        <v>11260</v>
      </c>
      <c r="B9437" s="2" t="s">
        <v>16405</v>
      </c>
      <c r="C9437" s="2" t="s">
        <v>16406</v>
      </c>
      <c r="D9437" s="2"/>
      <c r="E9437" s="2">
        <v>1</v>
      </c>
      <c r="F9437" s="9"/>
      <c r="G9437" s="8">
        <f t="shared" si="294"/>
        <v>177.998625</v>
      </c>
      <c r="H9437" s="8">
        <v>169.52250000000001</v>
      </c>
      <c r="I9437" s="19">
        <f t="shared" si="295"/>
        <v>0</v>
      </c>
    </row>
    <row r="9438" spans="1:9" hidden="1">
      <c r="A9438" s="11" t="s">
        <v>11260</v>
      </c>
      <c r="B9438" s="2" t="s">
        <v>16407</v>
      </c>
      <c r="C9438" s="2" t="s">
        <v>16406</v>
      </c>
      <c r="D9438" s="2"/>
      <c r="E9438" s="2">
        <v>1</v>
      </c>
      <c r="F9438" s="9"/>
      <c r="G9438" s="8">
        <f t="shared" si="294"/>
        <v>242.57205000000002</v>
      </c>
      <c r="H9438" s="8">
        <v>231.02100000000002</v>
      </c>
      <c r="I9438" s="19">
        <f t="shared" si="295"/>
        <v>0</v>
      </c>
    </row>
    <row r="9439" spans="1:9" hidden="1">
      <c r="A9439" s="11" t="s">
        <v>11260</v>
      </c>
      <c r="B9439" s="2" t="s">
        <v>16408</v>
      </c>
      <c r="C9439" s="2" t="s">
        <v>16409</v>
      </c>
      <c r="D9439" s="2"/>
      <c r="E9439" s="2">
        <v>1</v>
      </c>
      <c r="F9439" s="9"/>
      <c r="G9439" s="8">
        <f t="shared" si="294"/>
        <v>13.814954999999999</v>
      </c>
      <c r="H9439" s="8">
        <v>13.1571</v>
      </c>
      <c r="I9439" s="19">
        <f t="shared" si="295"/>
        <v>0</v>
      </c>
    </row>
    <row r="9440" spans="1:9" hidden="1">
      <c r="A9440" s="11" t="s">
        <v>11260</v>
      </c>
      <c r="B9440" s="2" t="s">
        <v>16410</v>
      </c>
      <c r="C9440" s="2" t="s">
        <v>16411</v>
      </c>
      <c r="D9440" s="2"/>
      <c r="E9440" s="2">
        <v>1</v>
      </c>
      <c r="F9440" s="9"/>
      <c r="G9440" s="8">
        <f t="shared" si="294"/>
        <v>0.74571000000000009</v>
      </c>
      <c r="H9440" s="8">
        <v>0.71020000000000005</v>
      </c>
      <c r="I9440" s="19">
        <f t="shared" si="295"/>
        <v>0</v>
      </c>
    </row>
    <row r="9441" spans="1:9" hidden="1">
      <c r="A9441" s="11" t="s">
        <v>11260</v>
      </c>
      <c r="B9441" s="2" t="s">
        <v>16412</v>
      </c>
      <c r="C9441" s="2" t="s">
        <v>16413</v>
      </c>
      <c r="D9441" s="2"/>
      <c r="E9441" s="2">
        <v>1</v>
      </c>
      <c r="F9441" s="9"/>
      <c r="G9441" s="8">
        <f t="shared" si="294"/>
        <v>2.3261699999999998</v>
      </c>
      <c r="H9441" s="8">
        <v>2.2153999999999998</v>
      </c>
      <c r="I9441" s="19">
        <f t="shared" si="295"/>
        <v>0</v>
      </c>
    </row>
    <row r="9442" spans="1:9" hidden="1">
      <c r="A9442" s="11" t="s">
        <v>11260</v>
      </c>
      <c r="B9442" s="2" t="s">
        <v>16414</v>
      </c>
      <c r="C9442" s="2" t="s">
        <v>16415</v>
      </c>
      <c r="D9442" s="2"/>
      <c r="E9442" s="2">
        <v>1</v>
      </c>
      <c r="F9442" s="9"/>
      <c r="G9442" s="8">
        <f t="shared" si="294"/>
        <v>2.5932900000000001</v>
      </c>
      <c r="H9442" s="8">
        <v>2.4698000000000002</v>
      </c>
      <c r="I9442" s="19">
        <f t="shared" si="295"/>
        <v>0</v>
      </c>
    </row>
    <row r="9443" spans="1:9" hidden="1">
      <c r="A9443" s="11" t="s">
        <v>11260</v>
      </c>
      <c r="B9443" s="2" t="s">
        <v>16416</v>
      </c>
      <c r="C9443" s="2" t="s">
        <v>16417</v>
      </c>
      <c r="D9443" s="2"/>
      <c r="E9443" s="2">
        <v>1</v>
      </c>
      <c r="F9443" s="9"/>
      <c r="G9443" s="8">
        <f t="shared" si="294"/>
        <v>145.76152500000001</v>
      </c>
      <c r="H9443" s="8">
        <v>138.82050000000001</v>
      </c>
      <c r="I9443" s="19">
        <f t="shared" si="295"/>
        <v>0</v>
      </c>
    </row>
    <row r="9444" spans="1:9" hidden="1">
      <c r="A9444" s="11" t="s">
        <v>11260</v>
      </c>
      <c r="B9444" s="2" t="s">
        <v>16418</v>
      </c>
      <c r="C9444" s="2" t="s">
        <v>16417</v>
      </c>
      <c r="D9444" s="2"/>
      <c r="E9444" s="2">
        <v>1</v>
      </c>
      <c r="F9444" s="9"/>
      <c r="G9444" s="8">
        <f t="shared" si="294"/>
        <v>198.62640000000002</v>
      </c>
      <c r="H9444" s="8">
        <v>189.16800000000001</v>
      </c>
      <c r="I9444" s="19">
        <f t="shared" si="295"/>
        <v>0</v>
      </c>
    </row>
    <row r="9445" spans="1:9" hidden="1">
      <c r="A9445" s="11" t="s">
        <v>11260</v>
      </c>
      <c r="B9445" s="2" t="s">
        <v>16419</v>
      </c>
      <c r="C9445" s="2" t="s">
        <v>16420</v>
      </c>
      <c r="D9445" s="2"/>
      <c r="E9445" s="2">
        <v>1</v>
      </c>
      <c r="F9445" s="9"/>
      <c r="G9445" s="8">
        <f t="shared" si="294"/>
        <v>201.658275</v>
      </c>
      <c r="H9445" s="8">
        <v>192.05549999999999</v>
      </c>
      <c r="I9445" s="19">
        <f t="shared" si="295"/>
        <v>0</v>
      </c>
    </row>
    <row r="9446" spans="1:9" hidden="1">
      <c r="A9446" s="11" t="s">
        <v>11260</v>
      </c>
      <c r="B9446" s="2" t="s">
        <v>16421</v>
      </c>
      <c r="C9446" s="2" t="s">
        <v>16420</v>
      </c>
      <c r="D9446" s="2"/>
      <c r="E9446" s="2">
        <v>1</v>
      </c>
      <c r="F9446" s="9"/>
      <c r="G9446" s="8">
        <f t="shared" si="294"/>
        <v>198.62640000000002</v>
      </c>
      <c r="H9446" s="8">
        <v>189.16800000000001</v>
      </c>
      <c r="I9446" s="19">
        <f t="shared" si="295"/>
        <v>0</v>
      </c>
    </row>
    <row r="9447" spans="1:9" hidden="1">
      <c r="A9447" s="11" t="s">
        <v>11260</v>
      </c>
      <c r="B9447" s="2" t="s">
        <v>16422</v>
      </c>
      <c r="C9447" s="2" t="s">
        <v>16423</v>
      </c>
      <c r="D9447" s="2"/>
      <c r="E9447" s="2">
        <v>1</v>
      </c>
      <c r="F9447" s="9"/>
      <c r="G9447" s="8">
        <f t="shared" si="294"/>
        <v>242.57205000000002</v>
      </c>
      <c r="H9447" s="8">
        <v>231.02100000000002</v>
      </c>
      <c r="I9447" s="19">
        <f t="shared" si="295"/>
        <v>0</v>
      </c>
    </row>
    <row r="9448" spans="1:9" hidden="1">
      <c r="A9448" s="11" t="s">
        <v>11260</v>
      </c>
      <c r="B9448" s="2" t="s">
        <v>16424</v>
      </c>
      <c r="C9448" s="2" t="s">
        <v>16425</v>
      </c>
      <c r="D9448" s="2"/>
      <c r="E9448" s="2">
        <v>1</v>
      </c>
      <c r="F9448" s="9"/>
      <c r="G9448" s="8">
        <f t="shared" si="294"/>
        <v>284.37885</v>
      </c>
      <c r="H9448" s="8">
        <v>270.83699999999999</v>
      </c>
      <c r="I9448" s="19">
        <f t="shared" si="295"/>
        <v>0</v>
      </c>
    </row>
    <row r="9449" spans="1:9" hidden="1">
      <c r="A9449" s="11" t="s">
        <v>11260</v>
      </c>
      <c r="B9449" s="2" t="s">
        <v>16426</v>
      </c>
      <c r="C9449" s="2" t="s">
        <v>16425</v>
      </c>
      <c r="D9449" s="2"/>
      <c r="E9449" s="2">
        <v>1</v>
      </c>
      <c r="F9449" s="9"/>
      <c r="G9449" s="8">
        <f t="shared" si="294"/>
        <v>242.57205000000002</v>
      </c>
      <c r="H9449" s="8">
        <v>231.02100000000002</v>
      </c>
      <c r="I9449" s="19">
        <f t="shared" si="295"/>
        <v>0</v>
      </c>
    </row>
    <row r="9450" spans="1:9" hidden="1">
      <c r="A9450" s="11" t="s">
        <v>11260</v>
      </c>
      <c r="B9450" s="2" t="s">
        <v>16427</v>
      </c>
      <c r="C9450" s="2" t="s">
        <v>16428</v>
      </c>
      <c r="D9450" s="2"/>
      <c r="E9450" s="2">
        <v>1</v>
      </c>
      <c r="F9450" s="9"/>
      <c r="G9450" s="8">
        <f t="shared" si="294"/>
        <v>145.76152500000001</v>
      </c>
      <c r="H9450" s="8">
        <v>138.82050000000001</v>
      </c>
      <c r="I9450" s="19">
        <f t="shared" si="295"/>
        <v>0</v>
      </c>
    </row>
    <row r="9451" spans="1:9" hidden="1">
      <c r="A9451" s="11" t="s">
        <v>11260</v>
      </c>
      <c r="B9451" s="2" t="s">
        <v>16429</v>
      </c>
      <c r="C9451" s="2" t="s">
        <v>16428</v>
      </c>
      <c r="D9451" s="2"/>
      <c r="E9451" s="2">
        <v>1</v>
      </c>
      <c r="F9451" s="9"/>
      <c r="G9451" s="8">
        <f t="shared" si="294"/>
        <v>198.62640000000002</v>
      </c>
      <c r="H9451" s="8">
        <v>189.16800000000001</v>
      </c>
      <c r="I9451" s="19">
        <f t="shared" si="295"/>
        <v>0</v>
      </c>
    </row>
    <row r="9452" spans="1:9" hidden="1">
      <c r="A9452" s="11" t="s">
        <v>11260</v>
      </c>
      <c r="B9452" s="2" t="s">
        <v>16430</v>
      </c>
      <c r="C9452" s="2" t="s">
        <v>16431</v>
      </c>
      <c r="D9452" s="2"/>
      <c r="E9452" s="2">
        <v>1</v>
      </c>
      <c r="F9452" s="9"/>
      <c r="G9452" s="8">
        <f t="shared" si="294"/>
        <v>177.998625</v>
      </c>
      <c r="H9452" s="8">
        <v>169.52250000000001</v>
      </c>
      <c r="I9452" s="19">
        <f t="shared" si="295"/>
        <v>0</v>
      </c>
    </row>
    <row r="9453" spans="1:9" hidden="1">
      <c r="A9453" s="11" t="s">
        <v>11260</v>
      </c>
      <c r="B9453" s="2" t="s">
        <v>16432</v>
      </c>
      <c r="C9453" s="2" t="s">
        <v>16431</v>
      </c>
      <c r="D9453" s="2"/>
      <c r="E9453" s="2">
        <v>1</v>
      </c>
      <c r="F9453" s="9"/>
      <c r="G9453" s="8">
        <f t="shared" si="294"/>
        <v>242.57205000000002</v>
      </c>
      <c r="H9453" s="8">
        <v>231.02100000000002</v>
      </c>
      <c r="I9453" s="19">
        <f t="shared" si="295"/>
        <v>0</v>
      </c>
    </row>
    <row r="9454" spans="1:9" hidden="1">
      <c r="A9454" s="11" t="s">
        <v>11260</v>
      </c>
      <c r="B9454" s="2" t="s">
        <v>16433</v>
      </c>
      <c r="C9454" s="2" t="s">
        <v>16434</v>
      </c>
      <c r="D9454" s="2"/>
      <c r="E9454" s="2">
        <v>1</v>
      </c>
      <c r="F9454" s="9"/>
      <c r="G9454" s="8">
        <f t="shared" si="294"/>
        <v>3.80646</v>
      </c>
      <c r="H9454" s="8">
        <v>3.6252</v>
      </c>
      <c r="I9454" s="19">
        <f t="shared" si="295"/>
        <v>0</v>
      </c>
    </row>
    <row r="9455" spans="1:9" hidden="1">
      <c r="A9455" s="11" t="s">
        <v>11260</v>
      </c>
      <c r="B9455" s="2" t="s">
        <v>16435</v>
      </c>
      <c r="C9455" s="2" t="s">
        <v>16434</v>
      </c>
      <c r="D9455" s="2"/>
      <c r="E9455" s="2">
        <v>1</v>
      </c>
      <c r="F9455" s="9"/>
      <c r="G9455" s="8">
        <f t="shared" si="294"/>
        <v>3.80646</v>
      </c>
      <c r="H9455" s="8">
        <v>3.6252</v>
      </c>
      <c r="I9455" s="19">
        <f t="shared" si="295"/>
        <v>0</v>
      </c>
    </row>
    <row r="9456" spans="1:9" hidden="1">
      <c r="A9456" s="11" t="s">
        <v>11260</v>
      </c>
      <c r="B9456" s="2" t="s">
        <v>16436</v>
      </c>
      <c r="C9456" s="2" t="s">
        <v>16437</v>
      </c>
      <c r="D9456" s="2"/>
      <c r="E9456" s="2">
        <v>1</v>
      </c>
      <c r="F9456" s="9"/>
      <c r="G9456" s="8">
        <f t="shared" si="294"/>
        <v>6.1666963276089843</v>
      </c>
      <c r="H9456" s="8">
        <v>5.8730441215323657</v>
      </c>
      <c r="I9456" s="19">
        <f t="shared" si="295"/>
        <v>0</v>
      </c>
    </row>
    <row r="9457" spans="1:9" hidden="1">
      <c r="A9457" s="11" t="s">
        <v>11260</v>
      </c>
      <c r="B9457" s="2" t="s">
        <v>16438</v>
      </c>
      <c r="C9457" s="2" t="s">
        <v>16437</v>
      </c>
      <c r="D9457" s="2"/>
      <c r="E9457" s="2">
        <v>1</v>
      </c>
      <c r="F9457" s="9"/>
      <c r="G9457" s="8">
        <f t="shared" si="294"/>
        <v>6.1666963276089843</v>
      </c>
      <c r="H9457" s="8">
        <v>5.8730441215323657</v>
      </c>
      <c r="I9457" s="19">
        <f t="shared" si="295"/>
        <v>0</v>
      </c>
    </row>
    <row r="9458" spans="1:9" hidden="1">
      <c r="A9458" s="11" t="s">
        <v>11260</v>
      </c>
      <c r="B9458" s="2" t="s">
        <v>16439</v>
      </c>
      <c r="C9458" s="2" t="s">
        <v>16440</v>
      </c>
      <c r="D9458" s="2"/>
      <c r="E9458" s="2">
        <v>1</v>
      </c>
      <c r="F9458" s="9"/>
      <c r="G9458" s="8">
        <f t="shared" si="294"/>
        <v>4.6059054357798157</v>
      </c>
      <c r="H9458" s="8">
        <v>4.3865766055045867</v>
      </c>
      <c r="I9458" s="19">
        <f t="shared" si="295"/>
        <v>0</v>
      </c>
    </row>
    <row r="9459" spans="1:9" hidden="1">
      <c r="A9459" s="11" t="s">
        <v>11260</v>
      </c>
      <c r="B9459" s="2" t="s">
        <v>16441</v>
      </c>
      <c r="C9459" s="2" t="s">
        <v>16442</v>
      </c>
      <c r="D9459" s="2"/>
      <c r="E9459" s="2">
        <v>1</v>
      </c>
      <c r="F9459" s="9"/>
      <c r="G9459" s="8">
        <f t="shared" si="294"/>
        <v>4.6059054357798157</v>
      </c>
      <c r="H9459" s="8">
        <v>4.3865766055045867</v>
      </c>
      <c r="I9459" s="19">
        <f t="shared" si="295"/>
        <v>0</v>
      </c>
    </row>
    <row r="9460" spans="1:9" hidden="1">
      <c r="A9460" s="11" t="s">
        <v>11260</v>
      </c>
      <c r="B9460" s="2" t="s">
        <v>16443</v>
      </c>
      <c r="C9460" s="2" t="s">
        <v>16444</v>
      </c>
      <c r="D9460" s="2"/>
      <c r="E9460" s="2">
        <v>1</v>
      </c>
      <c r="F9460" s="9"/>
      <c r="G9460" s="8">
        <f t="shared" si="294"/>
        <v>145.76152500000001</v>
      </c>
      <c r="H9460" s="8">
        <v>138.82050000000001</v>
      </c>
      <c r="I9460" s="19">
        <f t="shared" si="295"/>
        <v>0</v>
      </c>
    </row>
    <row r="9461" spans="1:9" hidden="1">
      <c r="A9461" s="11" t="s">
        <v>11260</v>
      </c>
      <c r="B9461" s="2" t="s">
        <v>16445</v>
      </c>
      <c r="C9461" s="2" t="s">
        <v>16444</v>
      </c>
      <c r="D9461" s="2"/>
      <c r="E9461" s="2">
        <v>1</v>
      </c>
      <c r="F9461" s="9"/>
      <c r="G9461" s="8">
        <f t="shared" si="294"/>
        <v>198.62640000000002</v>
      </c>
      <c r="H9461" s="8">
        <v>189.16800000000001</v>
      </c>
      <c r="I9461" s="19">
        <f t="shared" si="295"/>
        <v>0</v>
      </c>
    </row>
    <row r="9462" spans="1:9" hidden="1">
      <c r="A9462" s="11" t="s">
        <v>11260</v>
      </c>
      <c r="B9462" s="2" t="s">
        <v>16446</v>
      </c>
      <c r="C9462" s="2" t="s">
        <v>16447</v>
      </c>
      <c r="D9462" s="2"/>
      <c r="E9462" s="2">
        <v>1</v>
      </c>
      <c r="F9462" s="9"/>
      <c r="G9462" s="8">
        <f t="shared" si="294"/>
        <v>553.60934999999995</v>
      </c>
      <c r="H9462" s="8">
        <v>527.24699999999996</v>
      </c>
      <c r="I9462" s="19">
        <f t="shared" si="295"/>
        <v>0</v>
      </c>
    </row>
    <row r="9463" spans="1:9" hidden="1">
      <c r="A9463" s="11" t="s">
        <v>11260</v>
      </c>
      <c r="B9463" s="2" t="s">
        <v>16448</v>
      </c>
      <c r="C9463" s="2" t="s">
        <v>16449</v>
      </c>
      <c r="D9463" s="2"/>
      <c r="E9463" s="2">
        <v>1</v>
      </c>
      <c r="F9463" s="9"/>
      <c r="G9463" s="8">
        <f t="shared" si="294"/>
        <v>177.998625</v>
      </c>
      <c r="H9463" s="8">
        <v>169.52250000000001</v>
      </c>
      <c r="I9463" s="19">
        <f t="shared" si="295"/>
        <v>0</v>
      </c>
    </row>
    <row r="9464" spans="1:9" hidden="1">
      <c r="A9464" s="11" t="s">
        <v>11260</v>
      </c>
      <c r="B9464" s="2" t="s">
        <v>16450</v>
      </c>
      <c r="C9464" s="2" t="s">
        <v>16449</v>
      </c>
      <c r="D9464" s="2"/>
      <c r="E9464" s="2">
        <v>1</v>
      </c>
      <c r="F9464" s="9"/>
      <c r="G9464" s="8">
        <f t="shared" si="294"/>
        <v>242.57205000000002</v>
      </c>
      <c r="H9464" s="8">
        <v>231.02100000000002</v>
      </c>
      <c r="I9464" s="19">
        <f t="shared" si="295"/>
        <v>0</v>
      </c>
    </row>
    <row r="9465" spans="1:9" hidden="1">
      <c r="A9465" s="11" t="s">
        <v>11260</v>
      </c>
      <c r="B9465" s="2" t="s">
        <v>16451</v>
      </c>
      <c r="C9465" s="2" t="s">
        <v>16452</v>
      </c>
      <c r="D9465" s="2"/>
      <c r="E9465" s="2">
        <v>1</v>
      </c>
      <c r="F9465" s="9"/>
      <c r="G9465" s="8">
        <f t="shared" si="294"/>
        <v>659.97855000000004</v>
      </c>
      <c r="H9465" s="8">
        <v>628.55100000000004</v>
      </c>
      <c r="I9465" s="19">
        <f t="shared" si="295"/>
        <v>0</v>
      </c>
    </row>
    <row r="9466" spans="1:9" hidden="1">
      <c r="A9466" s="11" t="s">
        <v>11260</v>
      </c>
      <c r="B9466" s="2" t="s">
        <v>16453</v>
      </c>
      <c r="C9466" s="2" t="s">
        <v>16454</v>
      </c>
      <c r="D9466" s="2"/>
      <c r="E9466" s="2">
        <v>1</v>
      </c>
      <c r="F9466" s="9"/>
      <c r="G9466" s="8">
        <f t="shared" si="294"/>
        <v>53.424000000000007</v>
      </c>
      <c r="H9466" s="8">
        <v>50.88</v>
      </c>
      <c r="I9466" s="19">
        <f t="shared" si="295"/>
        <v>0</v>
      </c>
    </row>
    <row r="9467" spans="1:9" hidden="1">
      <c r="A9467" s="11" t="s">
        <v>11260</v>
      </c>
      <c r="B9467" s="2" t="s">
        <v>16455</v>
      </c>
      <c r="C9467" s="2" t="s">
        <v>16456</v>
      </c>
      <c r="D9467" s="2"/>
      <c r="E9467" s="2">
        <v>1</v>
      </c>
      <c r="F9467" s="9"/>
      <c r="G9467" s="8">
        <f t="shared" si="294"/>
        <v>43.407000000000004</v>
      </c>
      <c r="H9467" s="8">
        <v>41.34</v>
      </c>
      <c r="I9467" s="19">
        <f t="shared" si="295"/>
        <v>0</v>
      </c>
    </row>
    <row r="9468" spans="1:9" hidden="1">
      <c r="A9468" s="11" t="s">
        <v>11260</v>
      </c>
      <c r="B9468" s="2" t="s">
        <v>16457</v>
      </c>
      <c r="C9468" s="2" t="s">
        <v>16458</v>
      </c>
      <c r="D9468" s="2"/>
      <c r="E9468" s="2">
        <v>1</v>
      </c>
      <c r="F9468" s="9"/>
      <c r="G9468" s="8">
        <f t="shared" si="294"/>
        <v>48.641300140449438</v>
      </c>
      <c r="H9468" s="8">
        <v>46.325047752808992</v>
      </c>
      <c r="I9468" s="19">
        <f t="shared" si="295"/>
        <v>0</v>
      </c>
    </row>
    <row r="9469" spans="1:9" hidden="1">
      <c r="A9469" s="11" t="s">
        <v>11260</v>
      </c>
      <c r="B9469" s="2" t="s">
        <v>16459</v>
      </c>
      <c r="C9469" s="2" t="s">
        <v>16460</v>
      </c>
      <c r="D9469" s="2"/>
      <c r="E9469" s="2">
        <v>1</v>
      </c>
      <c r="F9469" s="9"/>
      <c r="G9469" s="8">
        <f t="shared" si="294"/>
        <v>51.175739999999998</v>
      </c>
      <c r="H9469" s="8">
        <v>48.738799999999998</v>
      </c>
      <c r="I9469" s="19">
        <f t="shared" si="295"/>
        <v>0</v>
      </c>
    </row>
    <row r="9470" spans="1:9" hidden="1">
      <c r="A9470" s="11" t="s">
        <v>11260</v>
      </c>
      <c r="B9470" s="2" t="s">
        <v>16461</v>
      </c>
      <c r="C9470" s="2" t="s">
        <v>16462</v>
      </c>
      <c r="D9470" s="2"/>
      <c r="E9470" s="2">
        <v>1</v>
      </c>
      <c r="F9470" s="9"/>
      <c r="G9470" s="8">
        <f t="shared" si="294"/>
        <v>35.727535927442958</v>
      </c>
      <c r="H9470" s="8">
        <v>34.026224692802813</v>
      </c>
      <c r="I9470" s="19">
        <f t="shared" si="295"/>
        <v>0</v>
      </c>
    </row>
    <row r="9471" spans="1:9" hidden="1">
      <c r="A9471" s="11" t="s">
        <v>11260</v>
      </c>
      <c r="B9471" s="2" t="s">
        <v>16463</v>
      </c>
      <c r="C9471" s="2" t="s">
        <v>16464</v>
      </c>
      <c r="D9471" s="2"/>
      <c r="E9471" s="2">
        <v>1</v>
      </c>
      <c r="F9471" s="9"/>
      <c r="G9471" s="8">
        <f t="shared" si="294"/>
        <v>39.9310106027987</v>
      </c>
      <c r="H9471" s="8">
        <v>38.029533907427336</v>
      </c>
      <c r="I9471" s="19">
        <f t="shared" si="295"/>
        <v>0</v>
      </c>
    </row>
    <row r="9472" spans="1:9" hidden="1">
      <c r="A9472" s="11" t="s">
        <v>11260</v>
      </c>
      <c r="B9472" s="2" t="s">
        <v>16465</v>
      </c>
      <c r="C9472" s="2" t="s">
        <v>16466</v>
      </c>
      <c r="D9472" s="2"/>
      <c r="E9472" s="2">
        <v>1</v>
      </c>
      <c r="F9472" s="9"/>
      <c r="G9472" s="8">
        <f t="shared" si="294"/>
        <v>5.9990699999999997</v>
      </c>
      <c r="H9472" s="8">
        <v>5.7134</v>
      </c>
      <c r="I9472" s="19">
        <f t="shared" si="295"/>
        <v>0</v>
      </c>
    </row>
    <row r="9473" spans="1:9" hidden="1">
      <c r="A9473" s="11" t="s">
        <v>11260</v>
      </c>
      <c r="B9473" s="2" t="s">
        <v>16467</v>
      </c>
      <c r="C9473" s="2" t="s">
        <v>16468</v>
      </c>
      <c r="D9473" s="2"/>
      <c r="E9473" s="2">
        <v>1</v>
      </c>
      <c r="F9473" s="9"/>
      <c r="G9473" s="8">
        <f t="shared" si="294"/>
        <v>5.9990699999999997</v>
      </c>
      <c r="H9473" s="8">
        <v>5.7134</v>
      </c>
      <c r="I9473" s="19">
        <f t="shared" si="295"/>
        <v>0</v>
      </c>
    </row>
    <row r="9474" spans="1:9" hidden="1">
      <c r="A9474" s="11" t="s">
        <v>11260</v>
      </c>
      <c r="B9474" s="2" t="s">
        <v>16469</v>
      </c>
      <c r="C9474" s="2" t="s">
        <v>16470</v>
      </c>
      <c r="D9474" s="2"/>
      <c r="E9474" s="2">
        <v>1</v>
      </c>
      <c r="F9474" s="9"/>
      <c r="G9474" s="8">
        <f t="shared" si="294"/>
        <v>1.7977600000000002</v>
      </c>
      <c r="H9474" s="8">
        <v>1.7121523809523811</v>
      </c>
      <c r="I9474" s="19">
        <f t="shared" si="295"/>
        <v>0</v>
      </c>
    </row>
    <row r="9475" spans="1:9" hidden="1">
      <c r="A9475" s="11" t="s">
        <v>11260</v>
      </c>
      <c r="B9475" s="2" t="s">
        <v>16471</v>
      </c>
      <c r="C9475" s="2" t="s">
        <v>16472</v>
      </c>
      <c r="D9475" s="2"/>
      <c r="E9475" s="2">
        <v>1</v>
      </c>
      <c r="F9475" s="9"/>
      <c r="G9475" s="8">
        <f t="shared" si="294"/>
        <v>11.153345334608028</v>
      </c>
      <c r="H9475" s="8">
        <v>10.622233652007646</v>
      </c>
      <c r="I9475" s="19">
        <f t="shared" si="295"/>
        <v>0</v>
      </c>
    </row>
    <row r="9476" spans="1:9">
      <c r="A9476" s="11" t="s">
        <v>11260</v>
      </c>
      <c r="B9476" s="2" t="s">
        <v>16473</v>
      </c>
      <c r="C9476" s="2" t="s">
        <v>16474</v>
      </c>
      <c r="D9476" s="2"/>
      <c r="E9476" s="2">
        <v>1</v>
      </c>
      <c r="F9476" s="9">
        <v>300</v>
      </c>
      <c r="G9476" s="8">
        <f t="shared" si="294"/>
        <v>1.0116459574468084</v>
      </c>
      <c r="H9476" s="8">
        <v>0.96347234042553187</v>
      </c>
      <c r="I9476" s="19">
        <f t="shared" si="295"/>
        <v>303.49378723404254</v>
      </c>
    </row>
    <row r="9477" spans="1:9" hidden="1">
      <c r="A9477" s="11" t="s">
        <v>11260</v>
      </c>
      <c r="B9477" s="2" t="s">
        <v>16475</v>
      </c>
      <c r="C9477" s="2" t="s">
        <v>16476</v>
      </c>
      <c r="D9477" s="2"/>
      <c r="E9477" s="2">
        <v>1</v>
      </c>
      <c r="F9477" s="9"/>
      <c r="G9477" s="8">
        <f t="shared" si="294"/>
        <v>9.4523438556933499</v>
      </c>
      <c r="H9477" s="8">
        <v>9.0022322435174758</v>
      </c>
      <c r="I9477" s="19">
        <f t="shared" si="295"/>
        <v>0</v>
      </c>
    </row>
    <row r="9478" spans="1:9" hidden="1">
      <c r="A9478" s="11" t="s">
        <v>11260</v>
      </c>
      <c r="B9478" s="2" t="s">
        <v>16477</v>
      </c>
      <c r="C9478" s="2" t="s">
        <v>16478</v>
      </c>
      <c r="D9478" s="2"/>
      <c r="E9478" s="2">
        <v>1</v>
      </c>
      <c r="F9478" s="9"/>
      <c r="G9478" s="8">
        <f t="shared" si="294"/>
        <v>1.3743189090909094</v>
      </c>
      <c r="H9478" s="8">
        <v>1.3088751515151518</v>
      </c>
      <c r="I9478" s="19">
        <f t="shared" si="295"/>
        <v>0</v>
      </c>
    </row>
    <row r="9479" spans="1:9" hidden="1">
      <c r="A9479" s="11" t="s">
        <v>11260</v>
      </c>
      <c r="B9479" s="2" t="s">
        <v>16479</v>
      </c>
      <c r="C9479" s="2" t="s">
        <v>16480</v>
      </c>
      <c r="D9479" s="2"/>
      <c r="E9479" s="2">
        <v>1</v>
      </c>
      <c r="F9479" s="9"/>
      <c r="G9479" s="8">
        <f t="shared" si="294"/>
        <v>3.18887856</v>
      </c>
      <c r="H9479" s="8">
        <v>3.0370271999999998</v>
      </c>
      <c r="I9479" s="19">
        <f t="shared" si="295"/>
        <v>0</v>
      </c>
    </row>
    <row r="9480" spans="1:9" hidden="1">
      <c r="A9480" s="11" t="s">
        <v>11260</v>
      </c>
      <c r="B9480" s="2" t="s">
        <v>16481</v>
      </c>
      <c r="C9480" s="2" t="s">
        <v>16482</v>
      </c>
      <c r="D9480" s="2"/>
      <c r="E9480" s="2">
        <v>1</v>
      </c>
      <c r="F9480" s="9"/>
      <c r="G9480" s="8">
        <f t="shared" si="294"/>
        <v>13.45452552462527</v>
      </c>
      <c r="H9480" s="8">
        <v>12.813833832976448</v>
      </c>
      <c r="I9480" s="19">
        <f t="shared" si="295"/>
        <v>0</v>
      </c>
    </row>
    <row r="9481" spans="1:9" hidden="1">
      <c r="A9481" s="11" t="s">
        <v>11260</v>
      </c>
      <c r="B9481" s="2" t="s">
        <v>16483</v>
      </c>
      <c r="C9481" s="2" t="s">
        <v>16484</v>
      </c>
      <c r="D9481" s="2"/>
      <c r="E9481" s="2">
        <v>1</v>
      </c>
      <c r="F9481" s="9"/>
      <c r="G9481" s="8">
        <f t="shared" si="294"/>
        <v>21.84820907455013</v>
      </c>
      <c r="H9481" s="8">
        <v>20.807818166238221</v>
      </c>
      <c r="I9481" s="19">
        <f t="shared" si="295"/>
        <v>0</v>
      </c>
    </row>
    <row r="9482" spans="1:9" hidden="1">
      <c r="A9482" s="11" t="s">
        <v>11260</v>
      </c>
      <c r="B9482" s="2" t="s">
        <v>16485</v>
      </c>
      <c r="C9482" s="2" t="s">
        <v>16486</v>
      </c>
      <c r="D9482" s="2"/>
      <c r="E9482" s="2">
        <v>1</v>
      </c>
      <c r="F9482" s="9"/>
      <c r="G9482" s="8">
        <f t="shared" si="294"/>
        <v>2.5710300000000004</v>
      </c>
      <c r="H9482" s="8">
        <v>2.4486000000000003</v>
      </c>
      <c r="I9482" s="19">
        <f t="shared" si="295"/>
        <v>0</v>
      </c>
    </row>
    <row r="9483" spans="1:9">
      <c r="A9483" s="11" t="s">
        <v>11260</v>
      </c>
      <c r="B9483" s="2" t="s">
        <v>16487</v>
      </c>
      <c r="C9483" s="2" t="s">
        <v>16488</v>
      </c>
      <c r="D9483" s="2"/>
      <c r="E9483" s="2">
        <v>1</v>
      </c>
      <c r="F9483" s="9">
        <v>129</v>
      </c>
      <c r="G9483" s="8">
        <f t="shared" si="294"/>
        <v>0.31888744186046519</v>
      </c>
      <c r="H9483" s="8">
        <v>0.30370232558139543</v>
      </c>
      <c r="I9483" s="19">
        <f t="shared" si="295"/>
        <v>41.136480000000013</v>
      </c>
    </row>
    <row r="9484" spans="1:9" hidden="1">
      <c r="A9484" s="11" t="s">
        <v>11260</v>
      </c>
      <c r="B9484" s="2" t="s">
        <v>16489</v>
      </c>
      <c r="C9484" s="2" t="s">
        <v>16490</v>
      </c>
      <c r="D9484" s="2"/>
      <c r="E9484" s="2">
        <v>1</v>
      </c>
      <c r="F9484" s="9"/>
      <c r="G9484" s="8">
        <f t="shared" si="294"/>
        <v>91.719180392069703</v>
      </c>
      <c r="H9484" s="8">
        <v>87.35160037339972</v>
      </c>
      <c r="I9484" s="19">
        <f t="shared" si="295"/>
        <v>0</v>
      </c>
    </row>
    <row r="9485" spans="1:9" hidden="1">
      <c r="A9485" s="11" t="s">
        <v>11260</v>
      </c>
      <c r="B9485" s="2" t="s">
        <v>16491</v>
      </c>
      <c r="C9485" s="2" t="s">
        <v>16490</v>
      </c>
      <c r="D9485" s="2"/>
      <c r="E9485" s="2">
        <v>1</v>
      </c>
      <c r="F9485" s="9"/>
      <c r="G9485" s="8">
        <f t="shared" si="294"/>
        <v>147.55375724353306</v>
      </c>
      <c r="H9485" s="8">
        <v>140.52738785098387</v>
      </c>
      <c r="I9485" s="19">
        <f t="shared" si="295"/>
        <v>0</v>
      </c>
    </row>
    <row r="9486" spans="1:9" hidden="1">
      <c r="A9486" s="11" t="s">
        <v>11260</v>
      </c>
      <c r="B9486" s="2" t="s">
        <v>16492</v>
      </c>
      <c r="C9486" s="2" t="s">
        <v>16493</v>
      </c>
      <c r="D9486" s="2"/>
      <c r="E9486" s="2">
        <v>1</v>
      </c>
      <c r="F9486" s="9"/>
      <c r="G9486" s="8">
        <f t="shared" si="294"/>
        <v>51.722939408750491</v>
      </c>
      <c r="H9486" s="8">
        <v>49.259942294048088</v>
      </c>
      <c r="I9486" s="19">
        <f t="shared" si="295"/>
        <v>0</v>
      </c>
    </row>
    <row r="9487" spans="1:9" hidden="1">
      <c r="A9487" s="11" t="s">
        <v>11260</v>
      </c>
      <c r="B9487" s="2" t="s">
        <v>16494</v>
      </c>
      <c r="C9487" s="2" t="s">
        <v>16495</v>
      </c>
      <c r="D9487" s="2"/>
      <c r="E9487" s="2">
        <v>1</v>
      </c>
      <c r="F9487" s="9"/>
      <c r="G9487" s="8">
        <f t="shared" si="294"/>
        <v>83.665600978748301</v>
      </c>
      <c r="H9487" s="8">
        <v>79.681524741665044</v>
      </c>
      <c r="I9487" s="19">
        <f t="shared" si="295"/>
        <v>0</v>
      </c>
    </row>
    <row r="9488" spans="1:9" hidden="1">
      <c r="A9488" s="11" t="s">
        <v>11260</v>
      </c>
      <c r="B9488" s="2" t="s">
        <v>16496</v>
      </c>
      <c r="C9488" s="2" t="s">
        <v>16497</v>
      </c>
      <c r="D9488" s="2"/>
      <c r="E9488" s="2">
        <v>1</v>
      </c>
      <c r="F9488" s="9"/>
      <c r="G9488" s="8">
        <f t="shared" si="294"/>
        <v>12.847215440730624</v>
      </c>
      <c r="H9488" s="8">
        <v>12.235443276886308</v>
      </c>
      <c r="I9488" s="19">
        <f t="shared" si="295"/>
        <v>0</v>
      </c>
    </row>
    <row r="9489" spans="1:9" hidden="1">
      <c r="A9489" s="11" t="s">
        <v>11260</v>
      </c>
      <c r="B9489" s="2" t="s">
        <v>16498</v>
      </c>
      <c r="C9489" s="2" t="s">
        <v>16499</v>
      </c>
      <c r="D9489" s="2"/>
      <c r="E9489" s="2">
        <v>1</v>
      </c>
      <c r="F9489" s="9"/>
      <c r="G9489" s="8">
        <f t="shared" si="294"/>
        <v>13.169941480114113</v>
      </c>
      <c r="H9489" s="8">
        <v>12.542801409632489</v>
      </c>
      <c r="I9489" s="19">
        <f t="shared" si="295"/>
        <v>0</v>
      </c>
    </row>
    <row r="9490" spans="1:9" hidden="1">
      <c r="A9490" s="11" t="s">
        <v>11260</v>
      </c>
      <c r="B9490" s="2" t="s">
        <v>16500</v>
      </c>
      <c r="C9490" s="2" t="s">
        <v>16501</v>
      </c>
      <c r="D9490" s="2"/>
      <c r="E9490" s="2">
        <v>1</v>
      </c>
      <c r="F9490" s="9"/>
      <c r="G9490" s="8">
        <f t="shared" si="294"/>
        <v>13.169941480114113</v>
      </c>
      <c r="H9490" s="8">
        <v>12.542801409632489</v>
      </c>
      <c r="I9490" s="19">
        <f t="shared" si="295"/>
        <v>0</v>
      </c>
    </row>
    <row r="9491" spans="1:9" hidden="1">
      <c r="A9491" s="11" t="s">
        <v>11260</v>
      </c>
      <c r="B9491" s="2" t="s">
        <v>16502</v>
      </c>
      <c r="C9491" s="2" t="s">
        <v>16503</v>
      </c>
      <c r="D9491" s="2"/>
      <c r="E9491" s="2">
        <v>1</v>
      </c>
      <c r="F9491" s="9"/>
      <c r="G9491" s="8">
        <f t="shared" si="294"/>
        <v>13.713858731417245</v>
      </c>
      <c r="H9491" s="8">
        <v>13.060817839444995</v>
      </c>
      <c r="I9491" s="19">
        <f t="shared" si="295"/>
        <v>0</v>
      </c>
    </row>
    <row r="9492" spans="1:9" hidden="1">
      <c r="A9492" s="11" t="s">
        <v>11260</v>
      </c>
      <c r="B9492" s="2" t="s">
        <v>16504</v>
      </c>
      <c r="C9492" s="2" t="s">
        <v>16505</v>
      </c>
      <c r="D9492" s="2"/>
      <c r="E9492" s="2">
        <v>1</v>
      </c>
      <c r="F9492" s="9"/>
      <c r="G9492" s="8">
        <f t="shared" si="294"/>
        <v>14.075114932540384</v>
      </c>
      <c r="H9492" s="8">
        <v>13.404871364324174</v>
      </c>
      <c r="I9492" s="19">
        <f t="shared" si="295"/>
        <v>0</v>
      </c>
    </row>
    <row r="9493" spans="1:9" hidden="1">
      <c r="A9493" s="11" t="s">
        <v>11260</v>
      </c>
      <c r="B9493" s="2" t="s">
        <v>16506</v>
      </c>
      <c r="C9493" s="2" t="s">
        <v>16507</v>
      </c>
      <c r="D9493" s="2"/>
      <c r="E9493" s="2">
        <v>1</v>
      </c>
      <c r="F9493" s="9"/>
      <c r="G9493" s="8">
        <f t="shared" si="294"/>
        <v>14.075114932540384</v>
      </c>
      <c r="H9493" s="8">
        <v>13.404871364324174</v>
      </c>
      <c r="I9493" s="19">
        <f t="shared" si="295"/>
        <v>0</v>
      </c>
    </row>
    <row r="9494" spans="1:9" hidden="1">
      <c r="A9494" s="11" t="s">
        <v>11260</v>
      </c>
      <c r="B9494" s="2" t="s">
        <v>16508</v>
      </c>
      <c r="C9494" s="2" t="s">
        <v>16509</v>
      </c>
      <c r="D9494" s="2"/>
      <c r="E9494" s="2">
        <v>1</v>
      </c>
      <c r="F9494" s="9"/>
      <c r="G9494" s="8">
        <f t="shared" si="294"/>
        <v>14.69764376503238</v>
      </c>
      <c r="H9494" s="8">
        <v>13.997755966697504</v>
      </c>
      <c r="I9494" s="19">
        <f t="shared" si="295"/>
        <v>0</v>
      </c>
    </row>
    <row r="9495" spans="1:9" hidden="1">
      <c r="A9495" s="11" t="s">
        <v>11260</v>
      </c>
      <c r="B9495" s="2" t="s">
        <v>16510</v>
      </c>
      <c r="C9495" s="2" t="s">
        <v>16511</v>
      </c>
      <c r="D9495" s="2"/>
      <c r="E9495" s="2">
        <v>1</v>
      </c>
      <c r="F9495" s="9"/>
      <c r="G9495" s="8">
        <f t="shared" si="294"/>
        <v>14.619373954460968</v>
      </c>
      <c r="H9495" s="8">
        <v>13.923213289962828</v>
      </c>
      <c r="I9495" s="19">
        <f t="shared" si="295"/>
        <v>0</v>
      </c>
    </row>
    <row r="9496" spans="1:9" hidden="1">
      <c r="A9496" s="11" t="s">
        <v>11260</v>
      </c>
      <c r="B9496" s="2" t="s">
        <v>16512</v>
      </c>
      <c r="C9496" s="2" t="s">
        <v>16513</v>
      </c>
      <c r="D9496" s="2"/>
      <c r="E9496" s="2">
        <v>1</v>
      </c>
      <c r="F9496" s="9"/>
      <c r="G9496" s="8">
        <f t="shared" ref="G9496:G9559" si="296">H9496+(H9496*5%)</f>
        <v>58.201349377889876</v>
      </c>
      <c r="H9496" s="8">
        <v>55.429856550371312</v>
      </c>
      <c r="I9496" s="19">
        <f t="shared" ref="I9496:I9559" si="297">G9496*F9496</f>
        <v>0</v>
      </c>
    </row>
    <row r="9497" spans="1:9" hidden="1">
      <c r="A9497" s="11" t="s">
        <v>11260</v>
      </c>
      <c r="B9497" s="2" t="s">
        <v>16514</v>
      </c>
      <c r="C9497" s="2" t="s">
        <v>16513</v>
      </c>
      <c r="D9497" s="2"/>
      <c r="E9497" s="2">
        <v>1</v>
      </c>
      <c r="F9497" s="9"/>
      <c r="G9497" s="8">
        <f t="shared" si="296"/>
        <v>93.938838867859005</v>
      </c>
      <c r="H9497" s="8">
        <v>89.465560826532382</v>
      </c>
      <c r="I9497" s="19">
        <f t="shared" si="297"/>
        <v>0</v>
      </c>
    </row>
    <row r="9498" spans="1:9" hidden="1">
      <c r="A9498" s="11" t="s">
        <v>11260</v>
      </c>
      <c r="B9498" s="2" t="s">
        <v>16515</v>
      </c>
      <c r="C9498" s="2" t="s">
        <v>16516</v>
      </c>
      <c r="D9498" s="2"/>
      <c r="E9498" s="2">
        <v>1</v>
      </c>
      <c r="F9498" s="9"/>
      <c r="G9498" s="8">
        <f t="shared" si="296"/>
        <v>40.149032187690437</v>
      </c>
      <c r="H9498" s="8">
        <v>38.23717351208613</v>
      </c>
      <c r="I9498" s="19">
        <f t="shared" si="297"/>
        <v>0</v>
      </c>
    </row>
    <row r="9499" spans="1:9" hidden="1">
      <c r="A9499" s="11" t="s">
        <v>11260</v>
      </c>
      <c r="B9499" s="2" t="s">
        <v>16517</v>
      </c>
      <c r="C9499" s="2" t="s">
        <v>16516</v>
      </c>
      <c r="D9499" s="2"/>
      <c r="E9499" s="2">
        <v>1</v>
      </c>
      <c r="F9499" s="9"/>
      <c r="G9499" s="8">
        <f t="shared" si="296"/>
        <v>66.07786848741469</v>
      </c>
      <c r="H9499" s="8">
        <v>62.931303321347322</v>
      </c>
      <c r="I9499" s="19">
        <f t="shared" si="297"/>
        <v>0</v>
      </c>
    </row>
    <row r="9500" spans="1:9" hidden="1">
      <c r="A9500" s="11" t="s">
        <v>11260</v>
      </c>
      <c r="B9500" s="2" t="s">
        <v>16518</v>
      </c>
      <c r="C9500" s="2" t="s">
        <v>16519</v>
      </c>
      <c r="D9500" s="2"/>
      <c r="E9500" s="2">
        <v>1</v>
      </c>
      <c r="F9500" s="9"/>
      <c r="G9500" s="8">
        <f t="shared" si="296"/>
        <v>62.007522460870725</v>
      </c>
      <c r="H9500" s="8">
        <v>59.054783296067356</v>
      </c>
      <c r="I9500" s="19">
        <f t="shared" si="297"/>
        <v>0</v>
      </c>
    </row>
    <row r="9501" spans="1:9" hidden="1">
      <c r="A9501" s="11" t="s">
        <v>11260</v>
      </c>
      <c r="B9501" s="2" t="s">
        <v>16520</v>
      </c>
      <c r="C9501" s="2" t="s">
        <v>16521</v>
      </c>
      <c r="D9501" s="2"/>
      <c r="E9501" s="2">
        <v>1</v>
      </c>
      <c r="F9501" s="9"/>
      <c r="G9501" s="8">
        <f t="shared" si="296"/>
        <v>100.04513860123902</v>
      </c>
      <c r="H9501" s="8">
        <v>95.281084382132391</v>
      </c>
      <c r="I9501" s="19">
        <f t="shared" si="297"/>
        <v>0</v>
      </c>
    </row>
    <row r="9502" spans="1:9" hidden="1">
      <c r="A9502" s="11" t="s">
        <v>11260</v>
      </c>
      <c r="B9502" s="2" t="s">
        <v>16522</v>
      </c>
      <c r="C9502" s="2" t="s">
        <v>16523</v>
      </c>
      <c r="D9502" s="2"/>
      <c r="E9502" s="2">
        <v>1</v>
      </c>
      <c r="F9502" s="9"/>
      <c r="G9502" s="8">
        <f t="shared" si="296"/>
        <v>5.5650000000000005E-2</v>
      </c>
      <c r="H9502" s="8">
        <v>5.3000000000000005E-2</v>
      </c>
      <c r="I9502" s="19">
        <f t="shared" si="297"/>
        <v>0</v>
      </c>
    </row>
    <row r="9503" spans="1:9" hidden="1">
      <c r="A9503" s="11" t="s">
        <v>11260</v>
      </c>
      <c r="B9503" s="2" t="s">
        <v>16524</v>
      </c>
      <c r="C9503" s="2" t="s">
        <v>16525</v>
      </c>
      <c r="D9503" s="2"/>
      <c r="E9503" s="2">
        <v>1</v>
      </c>
      <c r="F9503" s="9"/>
      <c r="G9503" s="8">
        <f t="shared" si="296"/>
        <v>183.33898540302488</v>
      </c>
      <c r="H9503" s="8">
        <v>174.60855752669036</v>
      </c>
      <c r="I9503" s="19">
        <f t="shared" si="297"/>
        <v>0</v>
      </c>
    </row>
    <row r="9504" spans="1:9" hidden="1">
      <c r="A9504" s="11" t="s">
        <v>11260</v>
      </c>
      <c r="B9504" s="2" t="s">
        <v>16526</v>
      </c>
      <c r="C9504" s="2" t="s">
        <v>16525</v>
      </c>
      <c r="D9504" s="2"/>
      <c r="E9504" s="2">
        <v>1</v>
      </c>
      <c r="F9504" s="9"/>
      <c r="G9504" s="8">
        <f t="shared" si="296"/>
        <v>295.66892894736844</v>
      </c>
      <c r="H9504" s="8">
        <v>281.58945614035088</v>
      </c>
      <c r="I9504" s="19">
        <f t="shared" si="297"/>
        <v>0</v>
      </c>
    </row>
    <row r="9505" spans="1:9" hidden="1">
      <c r="A9505" s="11" t="s">
        <v>11260</v>
      </c>
      <c r="B9505" s="2" t="s">
        <v>16527</v>
      </c>
      <c r="C9505" s="2" t="s">
        <v>16528</v>
      </c>
      <c r="D9505" s="2"/>
      <c r="E9505" s="2">
        <v>1</v>
      </c>
      <c r="F9505" s="9"/>
      <c r="G9505" s="8">
        <f t="shared" si="296"/>
        <v>22.803123285612028</v>
      </c>
      <c r="H9505" s="8">
        <v>21.717260272011455</v>
      </c>
      <c r="I9505" s="19">
        <f t="shared" si="297"/>
        <v>0</v>
      </c>
    </row>
    <row r="9506" spans="1:9" hidden="1">
      <c r="A9506" s="11" t="s">
        <v>11260</v>
      </c>
      <c r="B9506" s="2" t="s">
        <v>16529</v>
      </c>
      <c r="C9506" s="2" t="s">
        <v>16530</v>
      </c>
      <c r="D9506" s="2"/>
      <c r="E9506" s="2">
        <v>1</v>
      </c>
      <c r="F9506" s="9"/>
      <c r="G9506" s="8">
        <f t="shared" si="296"/>
        <v>23.980421074099254</v>
      </c>
      <c r="H9506" s="8">
        <v>22.83849626104691</v>
      </c>
      <c r="I9506" s="19">
        <f t="shared" si="297"/>
        <v>0</v>
      </c>
    </row>
    <row r="9507" spans="1:9" hidden="1">
      <c r="A9507" s="11" t="s">
        <v>11260</v>
      </c>
      <c r="B9507" s="2" t="s">
        <v>16531</v>
      </c>
      <c r="C9507" s="2" t="s">
        <v>16532</v>
      </c>
      <c r="D9507" s="2"/>
      <c r="E9507" s="2">
        <v>1</v>
      </c>
      <c r="F9507" s="9"/>
      <c r="G9507" s="8">
        <f t="shared" si="296"/>
        <v>23.980421074099254</v>
      </c>
      <c r="H9507" s="8">
        <v>22.83849626104691</v>
      </c>
      <c r="I9507" s="19">
        <f t="shared" si="297"/>
        <v>0</v>
      </c>
    </row>
    <row r="9508" spans="1:9" hidden="1">
      <c r="A9508" s="11" t="s">
        <v>11260</v>
      </c>
      <c r="B9508" s="2" t="s">
        <v>16533</v>
      </c>
      <c r="C9508" s="2" t="s">
        <v>16534</v>
      </c>
      <c r="D9508" s="2"/>
      <c r="E9508" s="2">
        <v>1</v>
      </c>
      <c r="F9508" s="9"/>
      <c r="G9508" s="8">
        <f t="shared" si="296"/>
        <v>23.397740666201607</v>
      </c>
      <c r="H9508" s="8">
        <v>22.283562539239625</v>
      </c>
      <c r="I9508" s="19">
        <f t="shared" si="297"/>
        <v>0</v>
      </c>
    </row>
    <row r="9509" spans="1:9" hidden="1">
      <c r="A9509" s="11" t="s">
        <v>11260</v>
      </c>
      <c r="B9509" s="2" t="s">
        <v>16535</v>
      </c>
      <c r="C9509" s="2" t="s">
        <v>16536</v>
      </c>
      <c r="D9509" s="2"/>
      <c r="E9509" s="2">
        <v>1</v>
      </c>
      <c r="F9509" s="9"/>
      <c r="G9509" s="8">
        <f t="shared" si="296"/>
        <v>27.303762181057664</v>
      </c>
      <c r="H9509" s="8">
        <v>26.003583029578728</v>
      </c>
      <c r="I9509" s="19">
        <f t="shared" si="297"/>
        <v>0</v>
      </c>
    </row>
    <row r="9510" spans="1:9" hidden="1">
      <c r="A9510" s="11" t="s">
        <v>11260</v>
      </c>
      <c r="B9510" s="2" t="s">
        <v>16537</v>
      </c>
      <c r="C9510" s="2" t="s">
        <v>16538</v>
      </c>
      <c r="D9510" s="2"/>
      <c r="E9510" s="2">
        <v>1</v>
      </c>
      <c r="F9510" s="9"/>
      <c r="G9510" s="8">
        <f t="shared" si="296"/>
        <v>27.303762181057664</v>
      </c>
      <c r="H9510" s="8">
        <v>26.003583029578728</v>
      </c>
      <c r="I9510" s="19">
        <f t="shared" si="297"/>
        <v>0</v>
      </c>
    </row>
    <row r="9511" spans="1:9" hidden="1">
      <c r="A9511" s="11" t="s">
        <v>11260</v>
      </c>
      <c r="B9511" s="2" t="s">
        <v>16539</v>
      </c>
      <c r="C9511" s="2" t="s">
        <v>16540</v>
      </c>
      <c r="D9511" s="2"/>
      <c r="E9511" s="2">
        <v>1</v>
      </c>
      <c r="F9511" s="9"/>
      <c r="G9511" s="8">
        <f t="shared" si="296"/>
        <v>27.303762181057664</v>
      </c>
      <c r="H9511" s="8">
        <v>26.003583029578728</v>
      </c>
      <c r="I9511" s="19">
        <f t="shared" si="297"/>
        <v>0</v>
      </c>
    </row>
    <row r="9512" spans="1:9" hidden="1">
      <c r="A9512" s="11" t="s">
        <v>11260</v>
      </c>
      <c r="B9512" s="2" t="s">
        <v>16541</v>
      </c>
      <c r="C9512" s="2" t="s">
        <v>16542</v>
      </c>
      <c r="D9512" s="2"/>
      <c r="E9512" s="2">
        <v>1</v>
      </c>
      <c r="F9512" s="9"/>
      <c r="G9512" s="8">
        <f t="shared" si="296"/>
        <v>26.530949261992617</v>
      </c>
      <c r="H9512" s="8">
        <v>25.267570725707255</v>
      </c>
      <c r="I9512" s="19">
        <f t="shared" si="297"/>
        <v>0</v>
      </c>
    </row>
    <row r="9513" spans="1:9" hidden="1">
      <c r="A9513" s="11" t="s">
        <v>11260</v>
      </c>
      <c r="B9513" s="2" t="s">
        <v>16543</v>
      </c>
      <c r="C9513" s="2" t="s">
        <v>16544</v>
      </c>
      <c r="D9513" s="2"/>
      <c r="E9513" s="2">
        <v>1</v>
      </c>
      <c r="F9513" s="9"/>
      <c r="G9513" s="8">
        <f t="shared" si="296"/>
        <v>98.683494306569344</v>
      </c>
      <c r="H9513" s="8">
        <v>93.984280291970805</v>
      </c>
      <c r="I9513" s="19">
        <f t="shared" si="297"/>
        <v>0</v>
      </c>
    </row>
    <row r="9514" spans="1:9" hidden="1">
      <c r="A9514" s="11" t="s">
        <v>11260</v>
      </c>
      <c r="B9514" s="2" t="s">
        <v>16545</v>
      </c>
      <c r="C9514" s="2" t="s">
        <v>16544</v>
      </c>
      <c r="D9514" s="2"/>
      <c r="E9514" s="2">
        <v>1</v>
      </c>
      <c r="F9514" s="9"/>
      <c r="G9514" s="8">
        <f t="shared" si="296"/>
        <v>158.91590722877964</v>
      </c>
      <c r="H9514" s="8">
        <v>151.34848307502824</v>
      </c>
      <c r="I9514" s="19">
        <f t="shared" si="297"/>
        <v>0</v>
      </c>
    </row>
    <row r="9515" spans="1:9" hidden="1">
      <c r="A9515" s="11" t="s">
        <v>11260</v>
      </c>
      <c r="B9515" s="2" t="s">
        <v>16546</v>
      </c>
      <c r="C9515" s="2" t="s">
        <v>16528</v>
      </c>
      <c r="D9515" s="2"/>
      <c r="E9515" s="2">
        <v>1</v>
      </c>
      <c r="F9515" s="9"/>
      <c r="G9515" s="8">
        <f t="shared" si="296"/>
        <v>15.902340035423965</v>
      </c>
      <c r="H9515" s="8">
        <v>15.145085748022824</v>
      </c>
      <c r="I9515" s="19">
        <f t="shared" si="297"/>
        <v>0</v>
      </c>
    </row>
    <row r="9516" spans="1:9" hidden="1">
      <c r="A9516" s="11" t="s">
        <v>11260</v>
      </c>
      <c r="B9516" s="2" t="s">
        <v>16547</v>
      </c>
      <c r="C9516" s="2" t="s">
        <v>16530</v>
      </c>
      <c r="D9516" s="2"/>
      <c r="E9516" s="2">
        <v>1</v>
      </c>
      <c r="F9516" s="9"/>
      <c r="G9516" s="8">
        <f t="shared" si="296"/>
        <v>16.568979401761457</v>
      </c>
      <c r="H9516" s="8">
        <v>15.779980382629958</v>
      </c>
      <c r="I9516" s="19">
        <f t="shared" si="297"/>
        <v>0</v>
      </c>
    </row>
    <row r="9517" spans="1:9" hidden="1">
      <c r="A9517" s="11" t="s">
        <v>11260</v>
      </c>
      <c r="B9517" s="2" t="s">
        <v>16548</v>
      </c>
      <c r="C9517" s="2" t="s">
        <v>16532</v>
      </c>
      <c r="D9517" s="2"/>
      <c r="E9517" s="2">
        <v>1</v>
      </c>
      <c r="F9517" s="9"/>
      <c r="G9517" s="8">
        <f t="shared" si="296"/>
        <v>16.568979401761457</v>
      </c>
      <c r="H9517" s="8">
        <v>15.779980382629958</v>
      </c>
      <c r="I9517" s="19">
        <f t="shared" si="297"/>
        <v>0</v>
      </c>
    </row>
    <row r="9518" spans="1:9" hidden="1">
      <c r="A9518" s="11" t="s">
        <v>11260</v>
      </c>
      <c r="B9518" s="2" t="s">
        <v>16549</v>
      </c>
      <c r="C9518" s="2" t="s">
        <v>16534</v>
      </c>
      <c r="D9518" s="2"/>
      <c r="E9518" s="2">
        <v>1</v>
      </c>
      <c r="F9518" s="9"/>
      <c r="G9518" s="8">
        <f t="shared" si="296"/>
        <v>16.956097755511024</v>
      </c>
      <c r="H9518" s="8">
        <v>16.148664529058117</v>
      </c>
      <c r="I9518" s="19">
        <f t="shared" si="297"/>
        <v>0</v>
      </c>
    </row>
    <row r="9519" spans="1:9" hidden="1">
      <c r="A9519" s="11" t="s">
        <v>11260</v>
      </c>
      <c r="B9519" s="2" t="s">
        <v>16550</v>
      </c>
      <c r="C9519" s="2" t="s">
        <v>16536</v>
      </c>
      <c r="D9519" s="2"/>
      <c r="E9519" s="2">
        <v>1</v>
      </c>
      <c r="F9519" s="9"/>
      <c r="G9519" s="8">
        <f t="shared" si="296"/>
        <v>18.282175848622632</v>
      </c>
      <c r="H9519" s="8">
        <v>17.41159604630727</v>
      </c>
      <c r="I9519" s="19">
        <f t="shared" si="297"/>
        <v>0</v>
      </c>
    </row>
    <row r="9520" spans="1:9" hidden="1">
      <c r="A9520" s="11" t="s">
        <v>11260</v>
      </c>
      <c r="B9520" s="2" t="s">
        <v>16551</v>
      </c>
      <c r="C9520" s="2" t="s">
        <v>16538</v>
      </c>
      <c r="D9520" s="2"/>
      <c r="E9520" s="2">
        <v>1</v>
      </c>
      <c r="F9520" s="9"/>
      <c r="G9520" s="8">
        <f t="shared" si="296"/>
        <v>18.282175848622632</v>
      </c>
      <c r="H9520" s="8">
        <v>17.41159604630727</v>
      </c>
      <c r="I9520" s="19">
        <f t="shared" si="297"/>
        <v>0</v>
      </c>
    </row>
    <row r="9521" spans="1:9" hidden="1">
      <c r="A9521" s="11" t="s">
        <v>11260</v>
      </c>
      <c r="B9521" s="2" t="s">
        <v>16552</v>
      </c>
      <c r="C9521" s="2" t="s">
        <v>16540</v>
      </c>
      <c r="D9521" s="2"/>
      <c r="E9521" s="2">
        <v>1</v>
      </c>
      <c r="F9521" s="9"/>
      <c r="G9521" s="8">
        <f t="shared" si="296"/>
        <v>18.282175848622632</v>
      </c>
      <c r="H9521" s="8">
        <v>17.41159604630727</v>
      </c>
      <c r="I9521" s="19">
        <f t="shared" si="297"/>
        <v>0</v>
      </c>
    </row>
    <row r="9522" spans="1:9" hidden="1">
      <c r="A9522" s="11" t="s">
        <v>11260</v>
      </c>
      <c r="B9522" s="2" t="s">
        <v>16553</v>
      </c>
      <c r="C9522" s="2" t="s">
        <v>16542</v>
      </c>
      <c r="D9522" s="2"/>
      <c r="E9522" s="2">
        <v>1</v>
      </c>
      <c r="F9522" s="9"/>
      <c r="G9522" s="8">
        <f t="shared" si="296"/>
        <v>18.677989603636359</v>
      </c>
      <c r="H9522" s="8">
        <v>17.788561527272723</v>
      </c>
      <c r="I9522" s="19">
        <f t="shared" si="297"/>
        <v>0</v>
      </c>
    </row>
    <row r="9523" spans="1:9" hidden="1">
      <c r="A9523" s="11" t="s">
        <v>11260</v>
      </c>
      <c r="B9523" s="2" t="s">
        <v>16554</v>
      </c>
      <c r="C9523" s="2" t="s">
        <v>16555</v>
      </c>
      <c r="D9523" s="2"/>
      <c r="E9523" s="2">
        <v>1</v>
      </c>
      <c r="F9523" s="9"/>
      <c r="G9523" s="8">
        <f t="shared" si="296"/>
        <v>65.679691571889734</v>
      </c>
      <c r="H9523" s="8">
        <v>62.55208721132356</v>
      </c>
      <c r="I9523" s="19">
        <f t="shared" si="297"/>
        <v>0</v>
      </c>
    </row>
    <row r="9524" spans="1:9" hidden="1">
      <c r="A9524" s="11" t="s">
        <v>11260</v>
      </c>
      <c r="B9524" s="2" t="s">
        <v>16556</v>
      </c>
      <c r="C9524" s="2" t="s">
        <v>16555</v>
      </c>
      <c r="D9524" s="2"/>
      <c r="E9524" s="2">
        <v>1</v>
      </c>
      <c r="F9524" s="9"/>
      <c r="G9524" s="8">
        <f t="shared" si="296"/>
        <v>105.59073639066966</v>
      </c>
      <c r="H9524" s="8">
        <v>100.56260608635206</v>
      </c>
      <c r="I9524" s="19">
        <f t="shared" si="297"/>
        <v>0</v>
      </c>
    </row>
    <row r="9525" spans="1:9" hidden="1">
      <c r="A9525" s="11" t="s">
        <v>11260</v>
      </c>
      <c r="B9525" s="2" t="s">
        <v>16557</v>
      </c>
      <c r="C9525" s="2" t="s">
        <v>16558</v>
      </c>
      <c r="D9525" s="2"/>
      <c r="E9525" s="2">
        <v>1</v>
      </c>
      <c r="F9525" s="9"/>
      <c r="G9525" s="8">
        <f t="shared" si="296"/>
        <v>164.88127387146884</v>
      </c>
      <c r="H9525" s="8">
        <v>157.02978463949412</v>
      </c>
      <c r="I9525" s="19">
        <f t="shared" si="297"/>
        <v>0</v>
      </c>
    </row>
    <row r="9526" spans="1:9" hidden="1">
      <c r="A9526" s="11" t="s">
        <v>11260</v>
      </c>
      <c r="B9526" s="2" t="s">
        <v>16559</v>
      </c>
      <c r="C9526" s="2" t="s">
        <v>16560</v>
      </c>
      <c r="D9526" s="2"/>
      <c r="E9526" s="2">
        <v>1</v>
      </c>
      <c r="F9526" s="9"/>
      <c r="G9526" s="8">
        <f t="shared" si="296"/>
        <v>53.719043570344141</v>
      </c>
      <c r="H9526" s="8">
        <v>51.160993876518226</v>
      </c>
      <c r="I9526" s="19">
        <f t="shared" si="297"/>
        <v>0</v>
      </c>
    </row>
    <row r="9527" spans="1:9" hidden="1">
      <c r="A9527" s="11" t="s">
        <v>11260</v>
      </c>
      <c r="B9527" s="2" t="s">
        <v>16561</v>
      </c>
      <c r="C9527" s="2" t="s">
        <v>16560</v>
      </c>
      <c r="D9527" s="2"/>
      <c r="E9527" s="2">
        <v>1</v>
      </c>
      <c r="F9527" s="9"/>
      <c r="G9527" s="8">
        <f t="shared" si="296"/>
        <v>90.772974129422124</v>
      </c>
      <c r="H9527" s="8">
        <v>86.450451551830596</v>
      </c>
      <c r="I9527" s="19">
        <f t="shared" si="297"/>
        <v>0</v>
      </c>
    </row>
    <row r="9528" spans="1:9" hidden="1">
      <c r="A9528" s="11" t="s">
        <v>11260</v>
      </c>
      <c r="B9528" s="2" t="s">
        <v>16562</v>
      </c>
      <c r="C9528" s="2" t="s">
        <v>16563</v>
      </c>
      <c r="D9528" s="2"/>
      <c r="E9528" s="2">
        <v>1</v>
      </c>
      <c r="F9528" s="9"/>
      <c r="G9528" s="8">
        <f t="shared" si="296"/>
        <v>102.1110029514744</v>
      </c>
      <c r="H9528" s="8">
        <v>97.248574239499433</v>
      </c>
      <c r="I9528" s="19">
        <f t="shared" si="297"/>
        <v>0</v>
      </c>
    </row>
    <row r="9529" spans="1:9" hidden="1">
      <c r="A9529" s="11" t="s">
        <v>11260</v>
      </c>
      <c r="B9529" s="2" t="s">
        <v>16564</v>
      </c>
      <c r="C9529" s="2" t="s">
        <v>16563</v>
      </c>
      <c r="D9529" s="2"/>
      <c r="E9529" s="2">
        <v>1</v>
      </c>
      <c r="F9529" s="9"/>
      <c r="G9529" s="8">
        <f t="shared" si="296"/>
        <v>169.5571441117342</v>
      </c>
      <c r="H9529" s="8">
        <v>161.48299439212781</v>
      </c>
      <c r="I9529" s="19">
        <f t="shared" si="297"/>
        <v>0</v>
      </c>
    </row>
    <row r="9530" spans="1:9" hidden="1">
      <c r="A9530" s="11" t="s">
        <v>11260</v>
      </c>
      <c r="B9530" s="2" t="s">
        <v>16565</v>
      </c>
      <c r="C9530" s="2" t="s">
        <v>16566</v>
      </c>
      <c r="D9530" s="2"/>
      <c r="E9530" s="2">
        <v>1</v>
      </c>
      <c r="F9530" s="9"/>
      <c r="G9530" s="8">
        <f t="shared" si="296"/>
        <v>72.203126448260278</v>
      </c>
      <c r="H9530" s="8">
        <v>68.764882331676461</v>
      </c>
      <c r="I9530" s="19">
        <f t="shared" si="297"/>
        <v>0</v>
      </c>
    </row>
    <row r="9531" spans="1:9" hidden="1">
      <c r="A9531" s="11" t="s">
        <v>11260</v>
      </c>
      <c r="B9531" s="2" t="s">
        <v>16567</v>
      </c>
      <c r="C9531" s="2" t="s">
        <v>16568</v>
      </c>
      <c r="D9531" s="2"/>
      <c r="E9531" s="2">
        <v>1</v>
      </c>
      <c r="F9531" s="9"/>
      <c r="G9531" s="8">
        <f t="shared" si="296"/>
        <v>116.11673458702069</v>
      </c>
      <c r="H9531" s="8">
        <v>110.58736627335304</v>
      </c>
      <c r="I9531" s="19">
        <f t="shared" si="297"/>
        <v>0</v>
      </c>
    </row>
    <row r="9532" spans="1:9" hidden="1">
      <c r="A9532" s="11" t="s">
        <v>11260</v>
      </c>
      <c r="B9532" s="2" t="s">
        <v>16569</v>
      </c>
      <c r="C9532" s="2" t="s">
        <v>16570</v>
      </c>
      <c r="D9532" s="2"/>
      <c r="E9532" s="2">
        <v>1</v>
      </c>
      <c r="F9532" s="9"/>
      <c r="G9532" s="8">
        <f t="shared" si="296"/>
        <v>159.0943908779486</v>
      </c>
      <c r="H9532" s="8">
        <v>151.51846750280819</v>
      </c>
      <c r="I9532" s="19">
        <f t="shared" si="297"/>
        <v>0</v>
      </c>
    </row>
    <row r="9533" spans="1:9" hidden="1">
      <c r="A9533" s="11" t="s">
        <v>11260</v>
      </c>
      <c r="B9533" s="2" t="s">
        <v>16571</v>
      </c>
      <c r="C9533" s="2" t="s">
        <v>16572</v>
      </c>
      <c r="D9533" s="2"/>
      <c r="E9533" s="2">
        <v>1</v>
      </c>
      <c r="F9533" s="9"/>
      <c r="G9533" s="8">
        <f t="shared" si="296"/>
        <v>6.7473505212510041</v>
      </c>
      <c r="H9533" s="8">
        <v>6.4260481154771467</v>
      </c>
      <c r="I9533" s="19">
        <f t="shared" si="297"/>
        <v>0</v>
      </c>
    </row>
    <row r="9534" spans="1:9" hidden="1">
      <c r="A9534" s="11" t="s">
        <v>11260</v>
      </c>
      <c r="B9534" s="2" t="s">
        <v>16573</v>
      </c>
      <c r="C9534" s="2" t="s">
        <v>16574</v>
      </c>
      <c r="D9534" s="2"/>
      <c r="E9534" s="2">
        <v>1</v>
      </c>
      <c r="F9534" s="9"/>
      <c r="G9534" s="8">
        <f t="shared" si="296"/>
        <v>6.7430704320000006</v>
      </c>
      <c r="H9534" s="8">
        <v>6.4219718400000003</v>
      </c>
      <c r="I9534" s="19">
        <f t="shared" si="297"/>
        <v>0</v>
      </c>
    </row>
    <row r="9535" spans="1:9" hidden="1">
      <c r="A9535" s="11" t="s">
        <v>11260</v>
      </c>
      <c r="B9535" s="2" t="s">
        <v>16575</v>
      </c>
      <c r="C9535" s="2" t="s">
        <v>16576</v>
      </c>
      <c r="D9535" s="2"/>
      <c r="E9535" s="2">
        <v>1</v>
      </c>
      <c r="F9535" s="9"/>
      <c r="G9535" s="8">
        <f t="shared" si="296"/>
        <v>176.88636</v>
      </c>
      <c r="H9535" s="8">
        <v>168.4632</v>
      </c>
      <c r="I9535" s="19">
        <f t="shared" si="297"/>
        <v>0</v>
      </c>
    </row>
    <row r="9536" spans="1:9" hidden="1">
      <c r="A9536" s="11" t="s">
        <v>11260</v>
      </c>
      <c r="B9536" s="2" t="s">
        <v>16577</v>
      </c>
      <c r="C9536" s="2" t="s">
        <v>16578</v>
      </c>
      <c r="D9536" s="2"/>
      <c r="E9536" s="2">
        <v>1</v>
      </c>
      <c r="F9536" s="9"/>
      <c r="G9536" s="8">
        <f t="shared" si="296"/>
        <v>220.18689000000003</v>
      </c>
      <c r="H9536" s="8">
        <v>209.70180000000002</v>
      </c>
      <c r="I9536" s="19">
        <f t="shared" si="297"/>
        <v>0</v>
      </c>
    </row>
    <row r="9537" spans="1:9" hidden="1">
      <c r="A9537" s="11" t="s">
        <v>11260</v>
      </c>
      <c r="B9537" s="2" t="s">
        <v>16579</v>
      </c>
      <c r="C9537" s="2" t="s">
        <v>16580</v>
      </c>
      <c r="D9537" s="2"/>
      <c r="E9537" s="2">
        <v>1</v>
      </c>
      <c r="F9537" s="9"/>
      <c r="G9537" s="8">
        <f t="shared" si="296"/>
        <v>231.35742000000002</v>
      </c>
      <c r="H9537" s="8">
        <v>220.34040000000002</v>
      </c>
      <c r="I9537" s="19">
        <f t="shared" si="297"/>
        <v>0</v>
      </c>
    </row>
    <row r="9538" spans="1:9" hidden="1">
      <c r="A9538" s="11" t="s">
        <v>11260</v>
      </c>
      <c r="B9538" s="2" t="s">
        <v>16581</v>
      </c>
      <c r="C9538" s="2" t="s">
        <v>16582</v>
      </c>
      <c r="D9538" s="2"/>
      <c r="E9538" s="2">
        <v>1</v>
      </c>
      <c r="F9538" s="9"/>
      <c r="G9538" s="8">
        <f t="shared" si="296"/>
        <v>242.63505000000001</v>
      </c>
      <c r="H9538" s="8">
        <v>231.08100000000002</v>
      </c>
      <c r="I9538" s="19">
        <f t="shared" si="297"/>
        <v>0</v>
      </c>
    </row>
    <row r="9539" spans="1:9" hidden="1">
      <c r="A9539" s="11" t="s">
        <v>11260</v>
      </c>
      <c r="B9539" s="2" t="s">
        <v>16583</v>
      </c>
      <c r="C9539" s="2" t="s">
        <v>16584</v>
      </c>
      <c r="D9539" s="2"/>
      <c r="E9539" s="2">
        <v>1</v>
      </c>
      <c r="F9539" s="9"/>
      <c r="G9539" s="8">
        <f t="shared" si="296"/>
        <v>34.968149999999994</v>
      </c>
      <c r="H9539" s="8">
        <v>33.302999999999997</v>
      </c>
      <c r="I9539" s="19">
        <f t="shared" si="297"/>
        <v>0</v>
      </c>
    </row>
    <row r="9540" spans="1:9" hidden="1">
      <c r="A9540" s="11" t="s">
        <v>11260</v>
      </c>
      <c r="B9540" s="2" t="s">
        <v>16585</v>
      </c>
      <c r="C9540" s="2" t="s">
        <v>16586</v>
      </c>
      <c r="D9540" s="2"/>
      <c r="E9540" s="2">
        <v>1</v>
      </c>
      <c r="F9540" s="9"/>
      <c r="G9540" s="8">
        <f t="shared" si="296"/>
        <v>29.5596</v>
      </c>
      <c r="H9540" s="8">
        <v>28.152000000000001</v>
      </c>
      <c r="I9540" s="19">
        <f t="shared" si="297"/>
        <v>0</v>
      </c>
    </row>
    <row r="9541" spans="1:9" hidden="1">
      <c r="A9541" s="11" t="s">
        <v>11260</v>
      </c>
      <c r="B9541" s="2" t="s">
        <v>16587</v>
      </c>
      <c r="C9541" s="2" t="s">
        <v>16588</v>
      </c>
      <c r="D9541" s="2"/>
      <c r="E9541" s="2">
        <v>1</v>
      </c>
      <c r="F9541" s="9"/>
      <c r="G9541" s="8">
        <f t="shared" si="296"/>
        <v>8.235990000000001</v>
      </c>
      <c r="H9541" s="8">
        <v>7.8438000000000008</v>
      </c>
      <c r="I9541" s="19">
        <f t="shared" si="297"/>
        <v>0</v>
      </c>
    </row>
    <row r="9542" spans="1:9" hidden="1">
      <c r="A9542" s="11" t="s">
        <v>11260</v>
      </c>
      <c r="B9542" s="2" t="s">
        <v>16589</v>
      </c>
      <c r="C9542" s="2" t="s">
        <v>16590</v>
      </c>
      <c r="D9542" s="2"/>
      <c r="E9542" s="2">
        <v>1</v>
      </c>
      <c r="F9542" s="9"/>
      <c r="G9542" s="8">
        <f t="shared" si="296"/>
        <v>8.4716100000000019</v>
      </c>
      <c r="H9542" s="8">
        <v>8.0682000000000009</v>
      </c>
      <c r="I9542" s="19">
        <f t="shared" si="297"/>
        <v>0</v>
      </c>
    </row>
    <row r="9543" spans="1:9" hidden="1">
      <c r="A9543" s="11" t="s">
        <v>11260</v>
      </c>
      <c r="B9543" s="2" t="s">
        <v>16591</v>
      </c>
      <c r="C9543" s="2" t="s">
        <v>16592</v>
      </c>
      <c r="D9543" s="2"/>
      <c r="E9543" s="2">
        <v>1</v>
      </c>
      <c r="F9543" s="9"/>
      <c r="G9543" s="8">
        <f t="shared" si="296"/>
        <v>9.1035000000000004</v>
      </c>
      <c r="H9543" s="8">
        <v>8.67</v>
      </c>
      <c r="I9543" s="19">
        <f t="shared" si="297"/>
        <v>0</v>
      </c>
    </row>
    <row r="9544" spans="1:9" hidden="1">
      <c r="A9544" s="11" t="s">
        <v>11260</v>
      </c>
      <c r="B9544" s="2" t="s">
        <v>16593</v>
      </c>
      <c r="C9544" s="2" t="s">
        <v>16594</v>
      </c>
      <c r="D9544" s="2"/>
      <c r="E9544" s="2">
        <v>1</v>
      </c>
      <c r="F9544" s="9"/>
      <c r="G9544" s="8">
        <f t="shared" si="296"/>
        <v>9.6711299999999998</v>
      </c>
      <c r="H9544" s="8">
        <v>9.2105999999999995</v>
      </c>
      <c r="I9544" s="19">
        <f t="shared" si="297"/>
        <v>0</v>
      </c>
    </row>
    <row r="9545" spans="1:9" hidden="1">
      <c r="A9545" s="11" t="s">
        <v>11260</v>
      </c>
      <c r="B9545" s="2" t="s">
        <v>16595</v>
      </c>
      <c r="C9545" s="2" t="s">
        <v>16596</v>
      </c>
      <c r="D9545" s="2"/>
      <c r="E9545" s="2">
        <v>1</v>
      </c>
      <c r="F9545" s="9"/>
      <c r="G9545" s="8">
        <f t="shared" si="296"/>
        <v>42.475859999999997</v>
      </c>
      <c r="H9545" s="8">
        <v>40.453199999999995</v>
      </c>
      <c r="I9545" s="19">
        <f t="shared" si="297"/>
        <v>0</v>
      </c>
    </row>
    <row r="9546" spans="1:9" hidden="1">
      <c r="A9546" s="11" t="s">
        <v>11260</v>
      </c>
      <c r="B9546" s="2" t="s">
        <v>16597</v>
      </c>
      <c r="C9546" s="2" t="s">
        <v>16598</v>
      </c>
      <c r="D9546" s="2"/>
      <c r="E9546" s="2">
        <v>1</v>
      </c>
      <c r="F9546" s="9"/>
      <c r="G9546" s="8">
        <f t="shared" si="296"/>
        <v>35.910630000000005</v>
      </c>
      <c r="H9546" s="8">
        <v>34.200600000000001</v>
      </c>
      <c r="I9546" s="19">
        <f t="shared" si="297"/>
        <v>0</v>
      </c>
    </row>
    <row r="9547" spans="1:9" hidden="1">
      <c r="A9547" s="11" t="s">
        <v>11260</v>
      </c>
      <c r="B9547" s="2" t="s">
        <v>16599</v>
      </c>
      <c r="C9547" s="2" t="s">
        <v>16600</v>
      </c>
      <c r="D9547" s="2"/>
      <c r="E9547" s="2">
        <v>1</v>
      </c>
      <c r="F9547" s="9"/>
      <c r="G9547" s="8">
        <f t="shared" si="296"/>
        <v>42.379470000000005</v>
      </c>
      <c r="H9547" s="8">
        <v>40.361400000000003</v>
      </c>
      <c r="I9547" s="19">
        <f t="shared" si="297"/>
        <v>0</v>
      </c>
    </row>
    <row r="9548" spans="1:9" hidden="1">
      <c r="A9548" s="11" t="s">
        <v>11260</v>
      </c>
      <c r="B9548" s="2" t="s">
        <v>16601</v>
      </c>
      <c r="C9548" s="2" t="s">
        <v>16602</v>
      </c>
      <c r="D9548" s="2"/>
      <c r="E9548" s="2">
        <v>1</v>
      </c>
      <c r="F9548" s="9"/>
      <c r="G9548" s="8">
        <f t="shared" si="296"/>
        <v>9.4248000000000012</v>
      </c>
      <c r="H9548" s="8">
        <v>8.9760000000000009</v>
      </c>
      <c r="I9548" s="19">
        <f t="shared" si="297"/>
        <v>0</v>
      </c>
    </row>
    <row r="9549" spans="1:9" hidden="1">
      <c r="A9549" s="11" t="s">
        <v>11260</v>
      </c>
      <c r="B9549" s="2" t="s">
        <v>16603</v>
      </c>
      <c r="C9549" s="2" t="s">
        <v>16604</v>
      </c>
      <c r="D9549" s="2"/>
      <c r="E9549" s="2">
        <v>1</v>
      </c>
      <c r="F9549" s="9"/>
      <c r="G9549" s="8">
        <f t="shared" si="296"/>
        <v>9.7139699999999998</v>
      </c>
      <c r="H9549" s="8">
        <v>9.2514000000000003</v>
      </c>
      <c r="I9549" s="19">
        <f t="shared" si="297"/>
        <v>0</v>
      </c>
    </row>
    <row r="9550" spans="1:9" hidden="1">
      <c r="A9550" s="11" t="s">
        <v>11260</v>
      </c>
      <c r="B9550" s="2" t="s">
        <v>16605</v>
      </c>
      <c r="C9550" s="2" t="s">
        <v>16606</v>
      </c>
      <c r="D9550" s="2"/>
      <c r="E9550" s="2">
        <v>1</v>
      </c>
      <c r="F9550" s="9"/>
      <c r="G9550" s="8">
        <f t="shared" si="296"/>
        <v>10.04598</v>
      </c>
      <c r="H9550" s="8">
        <v>9.5676000000000005</v>
      </c>
      <c r="I9550" s="19">
        <f t="shared" si="297"/>
        <v>0</v>
      </c>
    </row>
    <row r="9551" spans="1:9" hidden="1">
      <c r="A9551" s="11" t="s">
        <v>11260</v>
      </c>
      <c r="B9551" s="2" t="s">
        <v>16607</v>
      </c>
      <c r="C9551" s="2" t="s">
        <v>16608</v>
      </c>
      <c r="D9551" s="2"/>
      <c r="E9551" s="2">
        <v>1</v>
      </c>
      <c r="F9551" s="9"/>
      <c r="G9551" s="8">
        <f t="shared" si="296"/>
        <v>10.581480000000001</v>
      </c>
      <c r="H9551" s="8">
        <v>10.0776</v>
      </c>
      <c r="I9551" s="19">
        <f t="shared" si="297"/>
        <v>0</v>
      </c>
    </row>
    <row r="9552" spans="1:9" hidden="1">
      <c r="A9552" s="11" t="s">
        <v>11260</v>
      </c>
      <c r="B9552" s="2" t="s">
        <v>16609</v>
      </c>
      <c r="C9552" s="2" t="s">
        <v>16610</v>
      </c>
      <c r="D9552" s="2"/>
      <c r="E9552" s="2">
        <v>1</v>
      </c>
      <c r="F9552" s="9"/>
      <c r="G9552" s="8">
        <f t="shared" si="296"/>
        <v>45.153359999999999</v>
      </c>
      <c r="H9552" s="8">
        <v>43.0032</v>
      </c>
      <c r="I9552" s="19">
        <f t="shared" si="297"/>
        <v>0</v>
      </c>
    </row>
    <row r="9553" spans="1:9" hidden="1">
      <c r="A9553" s="11" t="s">
        <v>11260</v>
      </c>
      <c r="B9553" s="2" t="s">
        <v>16611</v>
      </c>
      <c r="C9553" s="2" t="s">
        <v>16612</v>
      </c>
      <c r="D9553" s="2"/>
      <c r="E9553" s="2">
        <v>1</v>
      </c>
      <c r="F9553" s="9"/>
      <c r="G9553" s="8">
        <f t="shared" si="296"/>
        <v>10.35657</v>
      </c>
      <c r="H9553" s="8">
        <v>9.8634000000000004</v>
      </c>
      <c r="I9553" s="19">
        <f t="shared" si="297"/>
        <v>0</v>
      </c>
    </row>
    <row r="9554" spans="1:9" hidden="1">
      <c r="A9554" s="11" t="s">
        <v>11260</v>
      </c>
      <c r="B9554" s="2" t="s">
        <v>16613</v>
      </c>
      <c r="C9554" s="2" t="s">
        <v>16614</v>
      </c>
      <c r="D9554" s="2"/>
      <c r="E9554" s="2">
        <v>1</v>
      </c>
      <c r="F9554" s="9"/>
      <c r="G9554" s="8">
        <f t="shared" si="296"/>
        <v>10.69929</v>
      </c>
      <c r="H9554" s="8">
        <v>10.1898</v>
      </c>
      <c r="I9554" s="19">
        <f t="shared" si="297"/>
        <v>0</v>
      </c>
    </row>
    <row r="9555" spans="1:9" hidden="1">
      <c r="A9555" s="11" t="s">
        <v>11260</v>
      </c>
      <c r="B9555" s="2" t="s">
        <v>16615</v>
      </c>
      <c r="C9555" s="2" t="s">
        <v>16616</v>
      </c>
      <c r="D9555" s="2"/>
      <c r="E9555" s="2">
        <v>1</v>
      </c>
      <c r="F9555" s="9"/>
      <c r="G9555" s="8">
        <f t="shared" si="296"/>
        <v>11.470410000000001</v>
      </c>
      <c r="H9555" s="8">
        <v>10.924200000000001</v>
      </c>
      <c r="I9555" s="19">
        <f t="shared" si="297"/>
        <v>0</v>
      </c>
    </row>
    <row r="9556" spans="1:9" hidden="1">
      <c r="A9556" s="11" t="s">
        <v>11260</v>
      </c>
      <c r="B9556" s="2" t="s">
        <v>16617</v>
      </c>
      <c r="C9556" s="2" t="s">
        <v>16618</v>
      </c>
      <c r="D9556" s="2"/>
      <c r="E9556" s="2">
        <v>1</v>
      </c>
      <c r="F9556" s="9"/>
      <c r="G9556" s="8">
        <f t="shared" si="296"/>
        <v>11.8881</v>
      </c>
      <c r="H9556" s="8">
        <v>11.321999999999999</v>
      </c>
      <c r="I9556" s="19">
        <f t="shared" si="297"/>
        <v>0</v>
      </c>
    </row>
    <row r="9557" spans="1:9" hidden="1">
      <c r="A9557" s="11" t="s">
        <v>11260</v>
      </c>
      <c r="B9557" s="2" t="s">
        <v>16619</v>
      </c>
      <c r="C9557" s="2" t="s">
        <v>16620</v>
      </c>
      <c r="D9557" s="2"/>
      <c r="E9557" s="2">
        <v>1</v>
      </c>
      <c r="F9557" s="9"/>
      <c r="G9557" s="8">
        <f t="shared" si="296"/>
        <v>9.7675199999999993</v>
      </c>
      <c r="H9557" s="8">
        <v>9.3023999999999987</v>
      </c>
      <c r="I9557" s="19">
        <f t="shared" si="297"/>
        <v>0</v>
      </c>
    </row>
    <row r="9558" spans="1:9" hidden="1">
      <c r="A9558" s="11" t="s">
        <v>11260</v>
      </c>
      <c r="B9558" s="2" t="s">
        <v>16621</v>
      </c>
      <c r="C9558" s="2" t="s">
        <v>16622</v>
      </c>
      <c r="D9558" s="2"/>
      <c r="E9558" s="2">
        <v>1</v>
      </c>
      <c r="F9558" s="9"/>
      <c r="G9558" s="8">
        <f t="shared" si="296"/>
        <v>47.156130000000005</v>
      </c>
      <c r="H9558" s="8">
        <v>44.910600000000002</v>
      </c>
      <c r="I9558" s="19">
        <f t="shared" si="297"/>
        <v>0</v>
      </c>
    </row>
    <row r="9559" spans="1:9" hidden="1">
      <c r="A9559" s="11" t="s">
        <v>11260</v>
      </c>
      <c r="B9559" s="2" t="s">
        <v>16623</v>
      </c>
      <c r="C9559" s="2" t="s">
        <v>16624</v>
      </c>
      <c r="D9559" s="2"/>
      <c r="E9559" s="2">
        <v>1</v>
      </c>
      <c r="F9559" s="9"/>
      <c r="G9559" s="8">
        <f t="shared" si="296"/>
        <v>39.851910000000004</v>
      </c>
      <c r="H9559" s="8">
        <v>37.9542</v>
      </c>
      <c r="I9559" s="19">
        <f t="shared" si="297"/>
        <v>0</v>
      </c>
    </row>
    <row r="9560" spans="1:9" hidden="1">
      <c r="A9560" s="11" t="s">
        <v>11260</v>
      </c>
      <c r="B9560" s="2" t="s">
        <v>16625</v>
      </c>
      <c r="C9560" s="2" t="s">
        <v>16626</v>
      </c>
      <c r="D9560" s="2"/>
      <c r="E9560" s="2">
        <v>1</v>
      </c>
      <c r="F9560" s="9"/>
      <c r="G9560" s="8">
        <f t="shared" ref="G9560:G9623" si="298">H9560+(H9560*5%)</f>
        <v>47.027609999999996</v>
      </c>
      <c r="H9560" s="8">
        <v>44.788199999999996</v>
      </c>
      <c r="I9560" s="19">
        <f t="shared" ref="I9560:I9623" si="299">G9560*F9560</f>
        <v>0</v>
      </c>
    </row>
    <row r="9561" spans="1:9" hidden="1">
      <c r="A9561" s="11" t="s">
        <v>11260</v>
      </c>
      <c r="B9561" s="2" t="s">
        <v>16627</v>
      </c>
      <c r="C9561" s="2" t="s">
        <v>16628</v>
      </c>
      <c r="D9561" s="2"/>
      <c r="E9561" s="2">
        <v>1</v>
      </c>
      <c r="F9561" s="9"/>
      <c r="G9561" s="8">
        <f t="shared" si="298"/>
        <v>11.352599999999999</v>
      </c>
      <c r="H9561" s="8">
        <v>10.811999999999999</v>
      </c>
      <c r="I9561" s="19">
        <f t="shared" si="299"/>
        <v>0</v>
      </c>
    </row>
    <row r="9562" spans="1:9" hidden="1">
      <c r="A9562" s="11" t="s">
        <v>11260</v>
      </c>
      <c r="B9562" s="2" t="s">
        <v>16629</v>
      </c>
      <c r="C9562" s="2" t="s">
        <v>16630</v>
      </c>
      <c r="D9562" s="2"/>
      <c r="E9562" s="2">
        <v>1</v>
      </c>
      <c r="F9562" s="9"/>
      <c r="G9562" s="8">
        <f t="shared" si="298"/>
        <v>12.198690000000001</v>
      </c>
      <c r="H9562" s="8">
        <v>11.617800000000001</v>
      </c>
      <c r="I9562" s="19">
        <f t="shared" si="299"/>
        <v>0</v>
      </c>
    </row>
    <row r="9563" spans="1:9" hidden="1">
      <c r="A9563" s="11" t="s">
        <v>11260</v>
      </c>
      <c r="B9563" s="2" t="s">
        <v>16631</v>
      </c>
      <c r="C9563" s="2" t="s">
        <v>16632</v>
      </c>
      <c r="D9563" s="2"/>
      <c r="E9563" s="2">
        <v>1</v>
      </c>
      <c r="F9563" s="9"/>
      <c r="G9563" s="8">
        <f t="shared" si="298"/>
        <v>12.669930000000001</v>
      </c>
      <c r="H9563" s="8">
        <v>12.066600000000001</v>
      </c>
      <c r="I9563" s="19">
        <f t="shared" si="299"/>
        <v>0</v>
      </c>
    </row>
    <row r="9564" spans="1:9" hidden="1">
      <c r="A9564" s="11" t="s">
        <v>11260</v>
      </c>
      <c r="B9564" s="2" t="s">
        <v>16633</v>
      </c>
      <c r="C9564" s="2" t="s">
        <v>16634</v>
      </c>
      <c r="D9564" s="2"/>
      <c r="E9564" s="2">
        <v>1</v>
      </c>
      <c r="F9564" s="9"/>
      <c r="G9564" s="8">
        <f t="shared" si="298"/>
        <v>13.16259</v>
      </c>
      <c r="H9564" s="8">
        <v>12.5358</v>
      </c>
      <c r="I9564" s="19">
        <f t="shared" si="299"/>
        <v>0</v>
      </c>
    </row>
    <row r="9565" spans="1:9" hidden="1">
      <c r="A9565" s="11" t="s">
        <v>11260</v>
      </c>
      <c r="B9565" s="2" t="s">
        <v>16635</v>
      </c>
      <c r="C9565" s="2" t="s">
        <v>16636</v>
      </c>
      <c r="D9565" s="2"/>
      <c r="E9565" s="2">
        <v>1</v>
      </c>
      <c r="F9565" s="9"/>
      <c r="G9565" s="8">
        <f t="shared" si="298"/>
        <v>13.698090000000001</v>
      </c>
      <c r="H9565" s="8">
        <v>13.0458</v>
      </c>
      <c r="I9565" s="19">
        <f t="shared" si="299"/>
        <v>0</v>
      </c>
    </row>
    <row r="9566" spans="1:9" hidden="1">
      <c r="A9566" s="11" t="s">
        <v>11260</v>
      </c>
      <c r="B9566" s="2" t="s">
        <v>16637</v>
      </c>
      <c r="C9566" s="2" t="s">
        <v>16638</v>
      </c>
      <c r="D9566" s="2"/>
      <c r="E9566" s="2">
        <v>1</v>
      </c>
      <c r="F9566" s="9"/>
      <c r="G9566" s="8">
        <f t="shared" si="298"/>
        <v>14.00868</v>
      </c>
      <c r="H9566" s="8">
        <v>13.3416</v>
      </c>
      <c r="I9566" s="19">
        <f t="shared" si="299"/>
        <v>0</v>
      </c>
    </row>
    <row r="9567" spans="1:9" hidden="1">
      <c r="A9567" s="11" t="s">
        <v>11260</v>
      </c>
      <c r="B9567" s="2" t="s">
        <v>16639</v>
      </c>
      <c r="C9567" s="2" t="s">
        <v>16640</v>
      </c>
      <c r="D9567" s="2"/>
      <c r="E9567" s="2">
        <v>1</v>
      </c>
      <c r="F9567" s="9"/>
      <c r="G9567" s="8">
        <f t="shared" si="298"/>
        <v>47.895119999999999</v>
      </c>
      <c r="H9567" s="8">
        <v>45.614399999999996</v>
      </c>
      <c r="I9567" s="19">
        <f t="shared" si="299"/>
        <v>0</v>
      </c>
    </row>
    <row r="9568" spans="1:9" hidden="1">
      <c r="A9568" s="11" t="s">
        <v>11260</v>
      </c>
      <c r="B9568" s="2" t="s">
        <v>16641</v>
      </c>
      <c r="C9568" s="2" t="s">
        <v>16642</v>
      </c>
      <c r="D9568" s="2"/>
      <c r="E9568" s="2">
        <v>1</v>
      </c>
      <c r="F9568" s="9"/>
      <c r="G9568" s="8">
        <f t="shared" si="298"/>
        <v>40.483799999999995</v>
      </c>
      <c r="H9568" s="8">
        <v>38.555999999999997</v>
      </c>
      <c r="I9568" s="19">
        <f t="shared" si="299"/>
        <v>0</v>
      </c>
    </row>
    <row r="9569" spans="1:9" hidden="1">
      <c r="A9569" s="11" t="s">
        <v>11260</v>
      </c>
      <c r="B9569" s="2" t="s">
        <v>16643</v>
      </c>
      <c r="C9569" s="2" t="s">
        <v>16644</v>
      </c>
      <c r="D9569" s="2"/>
      <c r="E9569" s="2">
        <v>1</v>
      </c>
      <c r="F9569" s="9"/>
      <c r="G9569" s="8">
        <f t="shared" si="298"/>
        <v>13.558859999999999</v>
      </c>
      <c r="H9569" s="8">
        <v>12.9132</v>
      </c>
      <c r="I9569" s="19">
        <f t="shared" si="299"/>
        <v>0</v>
      </c>
    </row>
    <row r="9570" spans="1:9" hidden="1">
      <c r="A9570" s="11" t="s">
        <v>11260</v>
      </c>
      <c r="B9570" s="2" t="s">
        <v>16645</v>
      </c>
      <c r="C9570" s="2" t="s">
        <v>16646</v>
      </c>
      <c r="D9570" s="2"/>
      <c r="E9570" s="2">
        <v>1</v>
      </c>
      <c r="F9570" s="9"/>
      <c r="G9570" s="8">
        <f t="shared" si="298"/>
        <v>14.672700000000001</v>
      </c>
      <c r="H9570" s="8">
        <v>13.974</v>
      </c>
      <c r="I9570" s="19">
        <f t="shared" si="299"/>
        <v>0</v>
      </c>
    </row>
    <row r="9571" spans="1:9" hidden="1">
      <c r="A9571" s="11" t="s">
        <v>11260</v>
      </c>
      <c r="B9571" s="2" t="s">
        <v>16647</v>
      </c>
      <c r="C9571" s="2" t="s">
        <v>16648</v>
      </c>
      <c r="D9571" s="2"/>
      <c r="E9571" s="2">
        <v>1</v>
      </c>
      <c r="F9571" s="9"/>
      <c r="G9571" s="8">
        <f t="shared" si="298"/>
        <v>15.947190000000001</v>
      </c>
      <c r="H9571" s="8">
        <v>15.187800000000001</v>
      </c>
      <c r="I9571" s="19">
        <f t="shared" si="299"/>
        <v>0</v>
      </c>
    </row>
    <row r="9572" spans="1:9" hidden="1">
      <c r="A9572" s="11" t="s">
        <v>11260</v>
      </c>
      <c r="B9572" s="2" t="s">
        <v>16649</v>
      </c>
      <c r="C9572" s="2" t="s">
        <v>16650</v>
      </c>
      <c r="D9572" s="2"/>
      <c r="E9572" s="2">
        <v>1</v>
      </c>
      <c r="F9572" s="9"/>
      <c r="G9572" s="8">
        <f t="shared" si="298"/>
        <v>17.38233</v>
      </c>
      <c r="H9572" s="8">
        <v>16.554600000000001</v>
      </c>
      <c r="I9572" s="19">
        <f t="shared" si="299"/>
        <v>0</v>
      </c>
    </row>
    <row r="9573" spans="1:9" hidden="1">
      <c r="A9573" s="11" t="s">
        <v>11260</v>
      </c>
      <c r="B9573" s="2" t="s">
        <v>16651</v>
      </c>
      <c r="C9573" s="2" t="s">
        <v>16652</v>
      </c>
      <c r="D9573" s="2"/>
      <c r="E9573" s="2">
        <v>1</v>
      </c>
      <c r="F9573" s="9"/>
      <c r="G9573" s="8">
        <f t="shared" si="298"/>
        <v>18.153449999999999</v>
      </c>
      <c r="H9573" s="8">
        <v>17.288999999999998</v>
      </c>
      <c r="I9573" s="19">
        <f t="shared" si="299"/>
        <v>0</v>
      </c>
    </row>
    <row r="9574" spans="1:9" hidden="1">
      <c r="A9574" s="11" t="s">
        <v>11260</v>
      </c>
      <c r="B9574" s="2" t="s">
        <v>16653</v>
      </c>
      <c r="C9574" s="2" t="s">
        <v>16654</v>
      </c>
      <c r="D9574" s="2"/>
      <c r="E9574" s="2">
        <v>1</v>
      </c>
      <c r="F9574" s="9"/>
      <c r="G9574" s="8">
        <f t="shared" si="298"/>
        <v>16.889669999999999</v>
      </c>
      <c r="H9574" s="8">
        <v>16.0854</v>
      </c>
      <c r="I9574" s="19">
        <f t="shared" si="299"/>
        <v>0</v>
      </c>
    </row>
    <row r="9575" spans="1:9" hidden="1">
      <c r="A9575" s="11" t="s">
        <v>11260</v>
      </c>
      <c r="B9575" s="2" t="s">
        <v>16655</v>
      </c>
      <c r="C9575" s="2" t="s">
        <v>16656</v>
      </c>
      <c r="D9575" s="2"/>
      <c r="E9575" s="2">
        <v>1</v>
      </c>
      <c r="F9575" s="9"/>
      <c r="G9575" s="8">
        <f t="shared" si="298"/>
        <v>18.90315</v>
      </c>
      <c r="H9575" s="8">
        <v>18.003</v>
      </c>
      <c r="I9575" s="19">
        <f t="shared" si="299"/>
        <v>0</v>
      </c>
    </row>
    <row r="9576" spans="1:9" hidden="1">
      <c r="A9576" s="11" t="s">
        <v>11260</v>
      </c>
      <c r="B9576" s="2" t="s">
        <v>16657</v>
      </c>
      <c r="C9576" s="2" t="s">
        <v>16658</v>
      </c>
      <c r="D9576" s="2"/>
      <c r="E9576" s="2">
        <v>1</v>
      </c>
      <c r="F9576" s="9"/>
      <c r="G9576" s="8">
        <f t="shared" si="298"/>
        <v>60.597179999999994</v>
      </c>
      <c r="H9576" s="8">
        <v>57.711599999999997</v>
      </c>
      <c r="I9576" s="19">
        <f t="shared" si="299"/>
        <v>0</v>
      </c>
    </row>
    <row r="9577" spans="1:9" hidden="1">
      <c r="A9577" s="11" t="s">
        <v>11260</v>
      </c>
      <c r="B9577" s="2" t="s">
        <v>16659</v>
      </c>
      <c r="C9577" s="2" t="s">
        <v>16660</v>
      </c>
      <c r="D9577" s="2"/>
      <c r="E9577" s="2">
        <v>1</v>
      </c>
      <c r="F9577" s="9"/>
      <c r="G9577" s="8">
        <f t="shared" si="298"/>
        <v>17.38233</v>
      </c>
      <c r="H9577" s="8">
        <v>16.554600000000001</v>
      </c>
      <c r="I9577" s="19">
        <f t="shared" si="299"/>
        <v>0</v>
      </c>
    </row>
    <row r="9578" spans="1:9" hidden="1">
      <c r="A9578" s="11" t="s">
        <v>11260</v>
      </c>
      <c r="B9578" s="2" t="s">
        <v>16661</v>
      </c>
      <c r="C9578" s="2" t="s">
        <v>16662</v>
      </c>
      <c r="D9578" s="2"/>
      <c r="E9578" s="2">
        <v>1</v>
      </c>
      <c r="F9578" s="9"/>
      <c r="G9578" s="8">
        <f t="shared" si="298"/>
        <v>18.978120000000001</v>
      </c>
      <c r="H9578" s="8">
        <v>18.074400000000001</v>
      </c>
      <c r="I9578" s="19">
        <f t="shared" si="299"/>
        <v>0</v>
      </c>
    </row>
    <row r="9579" spans="1:9" hidden="1">
      <c r="A9579" s="11" t="s">
        <v>11260</v>
      </c>
      <c r="B9579" s="2" t="s">
        <v>16663</v>
      </c>
      <c r="C9579" s="2" t="s">
        <v>16664</v>
      </c>
      <c r="D9579" s="2"/>
      <c r="E9579" s="2">
        <v>1</v>
      </c>
      <c r="F9579" s="9"/>
      <c r="G9579" s="8">
        <f t="shared" si="298"/>
        <v>67.376609999999999</v>
      </c>
      <c r="H9579" s="8">
        <v>64.168199999999999</v>
      </c>
      <c r="I9579" s="19">
        <f t="shared" si="299"/>
        <v>0</v>
      </c>
    </row>
    <row r="9580" spans="1:9" hidden="1">
      <c r="A9580" s="11" t="s">
        <v>11260</v>
      </c>
      <c r="B9580" s="2" t="s">
        <v>16665</v>
      </c>
      <c r="C9580" s="2" t="s">
        <v>16666</v>
      </c>
      <c r="D9580" s="2"/>
      <c r="E9580" s="2">
        <v>1</v>
      </c>
      <c r="F9580" s="9"/>
      <c r="G9580" s="8">
        <f t="shared" si="298"/>
        <v>56.955780000000004</v>
      </c>
      <c r="H9580" s="8">
        <v>54.243600000000001</v>
      </c>
      <c r="I9580" s="19">
        <f t="shared" si="299"/>
        <v>0</v>
      </c>
    </row>
    <row r="9581" spans="1:9" hidden="1">
      <c r="A9581" s="11" t="s">
        <v>11260</v>
      </c>
      <c r="B9581" s="2" t="s">
        <v>16667</v>
      </c>
      <c r="C9581" s="2" t="s">
        <v>16668</v>
      </c>
      <c r="D9581" s="2"/>
      <c r="E9581" s="2">
        <v>1</v>
      </c>
      <c r="F9581" s="9"/>
      <c r="G9581" s="8">
        <f t="shared" si="298"/>
        <v>85.133789999999991</v>
      </c>
      <c r="H9581" s="8">
        <v>81.079799999999992</v>
      </c>
      <c r="I9581" s="19">
        <f t="shared" si="299"/>
        <v>0</v>
      </c>
    </row>
    <row r="9582" spans="1:9" hidden="1">
      <c r="A9582" s="11" t="s">
        <v>11260</v>
      </c>
      <c r="B9582" s="2" t="s">
        <v>16669</v>
      </c>
      <c r="C9582" s="2" t="s">
        <v>16670</v>
      </c>
      <c r="D9582" s="2"/>
      <c r="E9582" s="2">
        <v>1</v>
      </c>
      <c r="F9582" s="9"/>
      <c r="G9582" s="8">
        <f t="shared" si="298"/>
        <v>22.212539999999997</v>
      </c>
      <c r="H9582" s="8">
        <v>21.154799999999998</v>
      </c>
      <c r="I9582" s="19">
        <f t="shared" si="299"/>
        <v>0</v>
      </c>
    </row>
    <row r="9583" spans="1:9" hidden="1">
      <c r="A9583" s="11" t="s">
        <v>11260</v>
      </c>
      <c r="B9583" s="2" t="s">
        <v>16671</v>
      </c>
      <c r="C9583" s="2" t="s">
        <v>16672</v>
      </c>
      <c r="D9583" s="2"/>
      <c r="E9583" s="2">
        <v>1</v>
      </c>
      <c r="F9583" s="9"/>
      <c r="G9583" s="8">
        <f t="shared" si="298"/>
        <v>24.418800000000001</v>
      </c>
      <c r="H9583" s="8">
        <v>23.256</v>
      </c>
      <c r="I9583" s="19">
        <f t="shared" si="299"/>
        <v>0</v>
      </c>
    </row>
    <row r="9584" spans="1:9" hidden="1">
      <c r="A9584" s="11" t="s">
        <v>11260</v>
      </c>
      <c r="B9584" s="2" t="s">
        <v>16673</v>
      </c>
      <c r="C9584" s="2" t="s">
        <v>16674</v>
      </c>
      <c r="D9584" s="2"/>
      <c r="E9584" s="2">
        <v>1</v>
      </c>
      <c r="F9584" s="9"/>
      <c r="G9584" s="8">
        <f t="shared" si="298"/>
        <v>98.821169999999995</v>
      </c>
      <c r="H9584" s="8">
        <v>94.115399999999994</v>
      </c>
      <c r="I9584" s="19">
        <f t="shared" si="299"/>
        <v>0</v>
      </c>
    </row>
    <row r="9585" spans="1:9" hidden="1">
      <c r="A9585" s="11" t="s">
        <v>11260</v>
      </c>
      <c r="B9585" s="2" t="s">
        <v>16675</v>
      </c>
      <c r="C9585" s="2" t="s">
        <v>16676</v>
      </c>
      <c r="D9585" s="2"/>
      <c r="E9585" s="2">
        <v>1</v>
      </c>
      <c r="F9585" s="9"/>
      <c r="G9585" s="8">
        <f t="shared" si="298"/>
        <v>79.146900000000002</v>
      </c>
      <c r="H9585" s="8">
        <v>75.378</v>
      </c>
      <c r="I9585" s="19">
        <f t="shared" si="299"/>
        <v>0</v>
      </c>
    </row>
    <row r="9586" spans="1:9" hidden="1">
      <c r="A9586" s="11" t="s">
        <v>11260</v>
      </c>
      <c r="B9586" s="2" t="s">
        <v>16677</v>
      </c>
      <c r="C9586" s="2" t="s">
        <v>16678</v>
      </c>
      <c r="D9586" s="2"/>
      <c r="E9586" s="2">
        <v>1</v>
      </c>
      <c r="F9586" s="9"/>
      <c r="G9586" s="8">
        <f t="shared" si="298"/>
        <v>66.916079999999994</v>
      </c>
      <c r="H9586" s="8">
        <v>63.729599999999998</v>
      </c>
      <c r="I9586" s="19">
        <f t="shared" si="299"/>
        <v>0</v>
      </c>
    </row>
    <row r="9587" spans="1:9" hidden="1">
      <c r="A9587" s="11" t="s">
        <v>11260</v>
      </c>
      <c r="B9587" s="2" t="s">
        <v>16679</v>
      </c>
      <c r="C9587" s="2" t="s">
        <v>16680</v>
      </c>
      <c r="D9587" s="2"/>
      <c r="E9587" s="2">
        <v>1</v>
      </c>
      <c r="F9587" s="9"/>
      <c r="G9587" s="8">
        <f t="shared" si="298"/>
        <v>78.932700000000011</v>
      </c>
      <c r="H9587" s="8">
        <v>75.174000000000007</v>
      </c>
      <c r="I9587" s="19">
        <f t="shared" si="299"/>
        <v>0</v>
      </c>
    </row>
    <row r="9588" spans="1:9" hidden="1">
      <c r="A9588" s="11" t="s">
        <v>11260</v>
      </c>
      <c r="B9588" s="2" t="s">
        <v>16681</v>
      </c>
      <c r="C9588" s="2" t="s">
        <v>16682</v>
      </c>
      <c r="D9588" s="2"/>
      <c r="E9588" s="2">
        <v>1</v>
      </c>
      <c r="F9588" s="9"/>
      <c r="G9588" s="8">
        <f t="shared" si="298"/>
        <v>85.048109999999994</v>
      </c>
      <c r="H9588" s="8">
        <v>80.998199999999997</v>
      </c>
      <c r="I9588" s="19">
        <f t="shared" si="299"/>
        <v>0</v>
      </c>
    </row>
    <row r="9589" spans="1:9" hidden="1">
      <c r="A9589" s="11" t="s">
        <v>11260</v>
      </c>
      <c r="B9589" s="2" t="s">
        <v>16683</v>
      </c>
      <c r="C9589" s="2" t="s">
        <v>16684</v>
      </c>
      <c r="D9589" s="2"/>
      <c r="E9589" s="2">
        <v>1</v>
      </c>
      <c r="F9589" s="9"/>
      <c r="G9589" s="8">
        <f t="shared" si="298"/>
        <v>99.185310000000001</v>
      </c>
      <c r="H9589" s="8">
        <v>94.462199999999996</v>
      </c>
      <c r="I9589" s="19">
        <f t="shared" si="299"/>
        <v>0</v>
      </c>
    </row>
    <row r="9590" spans="1:9" hidden="1">
      <c r="A9590" s="11" t="s">
        <v>11260</v>
      </c>
      <c r="B9590" s="2" t="s">
        <v>16685</v>
      </c>
      <c r="C9590" s="2" t="s">
        <v>16686</v>
      </c>
      <c r="D9590" s="2"/>
      <c r="E9590" s="2">
        <v>1</v>
      </c>
      <c r="F9590" s="9"/>
      <c r="G9590" s="8">
        <f t="shared" si="298"/>
        <v>142.49655000000001</v>
      </c>
      <c r="H9590" s="8">
        <v>135.71100000000001</v>
      </c>
      <c r="I9590" s="19">
        <f t="shared" si="299"/>
        <v>0</v>
      </c>
    </row>
    <row r="9591" spans="1:9" hidden="1">
      <c r="A9591" s="11" t="s">
        <v>11260</v>
      </c>
      <c r="B9591" s="2" t="s">
        <v>16687</v>
      </c>
      <c r="C9591" s="2" t="s">
        <v>16688</v>
      </c>
      <c r="D9591" s="2"/>
      <c r="E9591" s="2">
        <v>1</v>
      </c>
      <c r="F9591" s="9"/>
      <c r="G9591" s="8">
        <f t="shared" si="298"/>
        <v>106.32888000000001</v>
      </c>
      <c r="H9591" s="8">
        <v>101.26560000000001</v>
      </c>
      <c r="I9591" s="19">
        <f t="shared" si="299"/>
        <v>0</v>
      </c>
    </row>
    <row r="9592" spans="1:9" hidden="1">
      <c r="A9592" s="11" t="s">
        <v>11260</v>
      </c>
      <c r="B9592" s="2" t="s">
        <v>16689</v>
      </c>
      <c r="C9592" s="2" t="s">
        <v>16690</v>
      </c>
      <c r="D9592" s="2"/>
      <c r="E9592" s="2">
        <v>1</v>
      </c>
      <c r="F9592" s="9"/>
      <c r="G9592" s="8">
        <f t="shared" si="298"/>
        <v>152.46756000000002</v>
      </c>
      <c r="H9592" s="8">
        <v>145.20720000000003</v>
      </c>
      <c r="I9592" s="19">
        <f t="shared" si="299"/>
        <v>0</v>
      </c>
    </row>
    <row r="9593" spans="1:9" hidden="1">
      <c r="A9593" s="11" t="s">
        <v>11260</v>
      </c>
      <c r="B9593" s="2" t="s">
        <v>16691</v>
      </c>
      <c r="C9593" s="2" t="s">
        <v>16692</v>
      </c>
      <c r="D9593" s="2"/>
      <c r="E9593" s="2">
        <v>1</v>
      </c>
      <c r="F9593" s="9"/>
      <c r="G9593" s="8">
        <f t="shared" si="298"/>
        <v>87.329340000000016</v>
      </c>
      <c r="H9593" s="8">
        <v>83.170800000000014</v>
      </c>
      <c r="I9593" s="19">
        <f t="shared" si="299"/>
        <v>0</v>
      </c>
    </row>
    <row r="9594" spans="1:9" hidden="1">
      <c r="A9594" s="11" t="s">
        <v>11260</v>
      </c>
      <c r="B9594" s="2" t="s">
        <v>16693</v>
      </c>
      <c r="C9594" s="2" t="s">
        <v>16694</v>
      </c>
      <c r="D9594" s="2"/>
      <c r="E9594" s="2">
        <v>1</v>
      </c>
      <c r="F9594" s="9"/>
      <c r="G9594" s="8">
        <f t="shared" si="298"/>
        <v>104.78664000000001</v>
      </c>
      <c r="H9594" s="8">
        <v>99.796800000000005</v>
      </c>
      <c r="I9594" s="19">
        <f t="shared" si="299"/>
        <v>0</v>
      </c>
    </row>
    <row r="9595" spans="1:9" hidden="1">
      <c r="A9595" s="11" t="s">
        <v>11260</v>
      </c>
      <c r="B9595" s="2" t="s">
        <v>16695</v>
      </c>
      <c r="C9595" s="2" t="s">
        <v>16696</v>
      </c>
      <c r="D9595" s="2"/>
      <c r="E9595" s="2">
        <v>1</v>
      </c>
      <c r="F9595" s="9"/>
      <c r="G9595" s="8">
        <f t="shared" si="298"/>
        <v>162.50282999999999</v>
      </c>
      <c r="H9595" s="8">
        <v>154.7646</v>
      </c>
      <c r="I9595" s="19">
        <f t="shared" si="299"/>
        <v>0</v>
      </c>
    </row>
    <row r="9596" spans="1:9" hidden="1">
      <c r="A9596" s="11" t="s">
        <v>11260</v>
      </c>
      <c r="B9596" s="2" t="s">
        <v>16697</v>
      </c>
      <c r="C9596" s="2" t="s">
        <v>16698</v>
      </c>
      <c r="D9596" s="2"/>
      <c r="E9596" s="2">
        <v>1</v>
      </c>
      <c r="F9596" s="9"/>
      <c r="G9596" s="8">
        <f t="shared" si="298"/>
        <v>111.46968000000001</v>
      </c>
      <c r="H9596" s="8">
        <v>106.16160000000001</v>
      </c>
      <c r="I9596" s="19">
        <f t="shared" si="299"/>
        <v>0</v>
      </c>
    </row>
    <row r="9597" spans="1:9" hidden="1">
      <c r="A9597" s="11" t="s">
        <v>11260</v>
      </c>
      <c r="B9597" s="2" t="s">
        <v>16699</v>
      </c>
      <c r="C9597" s="2" t="s">
        <v>16700</v>
      </c>
      <c r="D9597" s="2"/>
      <c r="E9597" s="2">
        <v>1</v>
      </c>
      <c r="F9597" s="9"/>
      <c r="G9597" s="8">
        <f t="shared" si="298"/>
        <v>186.98589000000001</v>
      </c>
      <c r="H9597" s="8">
        <v>178.08180000000002</v>
      </c>
      <c r="I9597" s="19">
        <f t="shared" si="299"/>
        <v>0</v>
      </c>
    </row>
    <row r="9598" spans="1:9" hidden="1">
      <c r="A9598" s="11" t="s">
        <v>11260</v>
      </c>
      <c r="B9598" s="2" t="s">
        <v>16701</v>
      </c>
      <c r="C9598" s="2" t="s">
        <v>16702</v>
      </c>
      <c r="D9598" s="2"/>
      <c r="E9598" s="2">
        <v>1</v>
      </c>
      <c r="F9598" s="9"/>
      <c r="G9598" s="8">
        <f t="shared" si="298"/>
        <v>128.0916</v>
      </c>
      <c r="H9598" s="8">
        <v>121.99199999999999</v>
      </c>
      <c r="I9598" s="19">
        <f t="shared" si="299"/>
        <v>0</v>
      </c>
    </row>
    <row r="9599" spans="1:9" hidden="1">
      <c r="A9599" s="11" t="s">
        <v>11260</v>
      </c>
      <c r="B9599" s="2" t="s">
        <v>16703</v>
      </c>
      <c r="C9599" s="2" t="s">
        <v>16704</v>
      </c>
      <c r="D9599" s="2"/>
      <c r="E9599" s="2">
        <v>1</v>
      </c>
      <c r="F9599" s="9"/>
      <c r="G9599" s="8">
        <f t="shared" si="298"/>
        <v>167.52581999999998</v>
      </c>
      <c r="H9599" s="8">
        <v>159.54839999999999</v>
      </c>
      <c r="I9599" s="19">
        <f t="shared" si="299"/>
        <v>0</v>
      </c>
    </row>
    <row r="9600" spans="1:9" hidden="1">
      <c r="A9600" s="11" t="s">
        <v>11260</v>
      </c>
      <c r="B9600" s="2" t="s">
        <v>16705</v>
      </c>
      <c r="C9600" s="2" t="s">
        <v>16706</v>
      </c>
      <c r="D9600" s="2"/>
      <c r="E9600" s="2">
        <v>1</v>
      </c>
      <c r="F9600" s="9"/>
      <c r="G9600" s="8">
        <f t="shared" si="298"/>
        <v>176.88636</v>
      </c>
      <c r="H9600" s="8">
        <v>168.4632</v>
      </c>
      <c r="I9600" s="19">
        <f t="shared" si="299"/>
        <v>0</v>
      </c>
    </row>
    <row r="9601" spans="1:9" hidden="1">
      <c r="A9601" s="11" t="s">
        <v>11260</v>
      </c>
      <c r="B9601" s="2" t="s">
        <v>16707</v>
      </c>
      <c r="C9601" s="2" t="s">
        <v>16708</v>
      </c>
      <c r="D9601" s="2"/>
      <c r="E9601" s="2">
        <v>1</v>
      </c>
      <c r="F9601" s="9"/>
      <c r="G9601" s="8">
        <f t="shared" si="298"/>
        <v>220.18689000000003</v>
      </c>
      <c r="H9601" s="8">
        <v>209.70180000000002</v>
      </c>
      <c r="I9601" s="19">
        <f t="shared" si="299"/>
        <v>0</v>
      </c>
    </row>
    <row r="9602" spans="1:9" hidden="1">
      <c r="A9602" s="11" t="s">
        <v>11260</v>
      </c>
      <c r="B9602" s="2" t="s">
        <v>16709</v>
      </c>
      <c r="C9602" s="2" t="s">
        <v>16710</v>
      </c>
      <c r="D9602" s="2"/>
      <c r="E9602" s="2">
        <v>1</v>
      </c>
      <c r="F9602" s="9"/>
      <c r="G9602" s="8">
        <f t="shared" si="298"/>
        <v>231.35742000000002</v>
      </c>
      <c r="H9602" s="8">
        <v>220.34040000000002</v>
      </c>
      <c r="I9602" s="19">
        <f t="shared" si="299"/>
        <v>0</v>
      </c>
    </row>
    <row r="9603" spans="1:9" hidden="1">
      <c r="A9603" s="11" t="s">
        <v>11260</v>
      </c>
      <c r="B9603" s="2" t="s">
        <v>16711</v>
      </c>
      <c r="C9603" s="2" t="s">
        <v>16712</v>
      </c>
      <c r="D9603" s="2"/>
      <c r="E9603" s="2">
        <v>1</v>
      </c>
      <c r="F9603" s="9"/>
      <c r="G9603" s="8">
        <f t="shared" si="298"/>
        <v>242.63505000000001</v>
      </c>
      <c r="H9603" s="8">
        <v>231.08100000000002</v>
      </c>
      <c r="I9603" s="19">
        <f t="shared" si="299"/>
        <v>0</v>
      </c>
    </row>
    <row r="9604" spans="1:9" hidden="1">
      <c r="A9604" s="11" t="s">
        <v>11260</v>
      </c>
      <c r="B9604" s="2" t="s">
        <v>16713</v>
      </c>
      <c r="C9604" s="2" t="s">
        <v>16714</v>
      </c>
      <c r="D9604" s="2"/>
      <c r="E9604" s="2">
        <v>1</v>
      </c>
      <c r="F9604" s="9"/>
      <c r="G9604" s="8">
        <f t="shared" si="298"/>
        <v>34.968149999999994</v>
      </c>
      <c r="H9604" s="8">
        <v>33.302999999999997</v>
      </c>
      <c r="I9604" s="19">
        <f t="shared" si="299"/>
        <v>0</v>
      </c>
    </row>
    <row r="9605" spans="1:9" hidden="1">
      <c r="A9605" s="11" t="s">
        <v>11260</v>
      </c>
      <c r="B9605" s="2" t="s">
        <v>16715</v>
      </c>
      <c r="C9605" s="2" t="s">
        <v>16716</v>
      </c>
      <c r="D9605" s="2"/>
      <c r="E9605" s="2">
        <v>1</v>
      </c>
      <c r="F9605" s="9"/>
      <c r="G9605" s="8">
        <f t="shared" si="298"/>
        <v>29.5596</v>
      </c>
      <c r="H9605" s="8">
        <v>28.152000000000001</v>
      </c>
      <c r="I9605" s="19">
        <f t="shared" si="299"/>
        <v>0</v>
      </c>
    </row>
    <row r="9606" spans="1:9" hidden="1">
      <c r="A9606" s="11" t="s">
        <v>11260</v>
      </c>
      <c r="B9606" s="2" t="s">
        <v>16717</v>
      </c>
      <c r="C9606" s="2" t="s">
        <v>16718</v>
      </c>
      <c r="D9606" s="2"/>
      <c r="E9606" s="2">
        <v>1</v>
      </c>
      <c r="F9606" s="9"/>
      <c r="G9606" s="8">
        <f t="shared" si="298"/>
        <v>8.8464600000000004</v>
      </c>
      <c r="H9606" s="8">
        <v>8.4252000000000002</v>
      </c>
      <c r="I9606" s="19">
        <f t="shared" si="299"/>
        <v>0</v>
      </c>
    </row>
    <row r="9607" spans="1:9" hidden="1">
      <c r="A9607" s="11" t="s">
        <v>11260</v>
      </c>
      <c r="B9607" s="2" t="s">
        <v>16719</v>
      </c>
      <c r="C9607" s="2" t="s">
        <v>16720</v>
      </c>
      <c r="D9607" s="2"/>
      <c r="E9607" s="2">
        <v>1</v>
      </c>
      <c r="F9607" s="9"/>
      <c r="G9607" s="8">
        <f t="shared" si="298"/>
        <v>9.1035000000000004</v>
      </c>
      <c r="H9607" s="8">
        <v>8.67</v>
      </c>
      <c r="I9607" s="19">
        <f t="shared" si="299"/>
        <v>0</v>
      </c>
    </row>
    <row r="9608" spans="1:9" hidden="1">
      <c r="A9608" s="11" t="s">
        <v>11260</v>
      </c>
      <c r="B9608" s="2" t="s">
        <v>16721</v>
      </c>
      <c r="C9608" s="2" t="s">
        <v>16722</v>
      </c>
      <c r="D9608" s="2"/>
      <c r="E9608" s="2">
        <v>1</v>
      </c>
      <c r="F9608" s="9"/>
      <c r="G9608" s="8">
        <f t="shared" si="298"/>
        <v>9.6711299999999998</v>
      </c>
      <c r="H9608" s="8">
        <v>9.2105999999999995</v>
      </c>
      <c r="I9608" s="19">
        <f t="shared" si="299"/>
        <v>0</v>
      </c>
    </row>
    <row r="9609" spans="1:9" hidden="1">
      <c r="A9609" s="11" t="s">
        <v>11260</v>
      </c>
      <c r="B9609" s="2" t="s">
        <v>16723</v>
      </c>
      <c r="C9609" s="2" t="s">
        <v>16724</v>
      </c>
      <c r="D9609" s="2"/>
      <c r="E9609" s="2">
        <v>1</v>
      </c>
      <c r="F9609" s="9"/>
      <c r="G9609" s="8">
        <f t="shared" si="298"/>
        <v>42.475859999999997</v>
      </c>
      <c r="H9609" s="8">
        <v>40.453199999999995</v>
      </c>
      <c r="I9609" s="19">
        <f t="shared" si="299"/>
        <v>0</v>
      </c>
    </row>
    <row r="9610" spans="1:9" hidden="1">
      <c r="A9610" s="11" t="s">
        <v>11260</v>
      </c>
      <c r="B9610" s="2" t="s">
        <v>16725</v>
      </c>
      <c r="C9610" s="2" t="s">
        <v>16726</v>
      </c>
      <c r="D9610" s="2"/>
      <c r="E9610" s="2">
        <v>1</v>
      </c>
      <c r="F9610" s="9"/>
      <c r="G9610" s="8">
        <f t="shared" si="298"/>
        <v>35.910630000000005</v>
      </c>
      <c r="H9610" s="8">
        <v>34.200600000000001</v>
      </c>
      <c r="I9610" s="19">
        <f t="shared" si="299"/>
        <v>0</v>
      </c>
    </row>
    <row r="9611" spans="1:9" hidden="1">
      <c r="A9611" s="11" t="s">
        <v>11260</v>
      </c>
      <c r="B9611" s="2" t="s">
        <v>16727</v>
      </c>
      <c r="C9611" s="2" t="s">
        <v>16728</v>
      </c>
      <c r="D9611" s="2"/>
      <c r="E9611" s="2">
        <v>1</v>
      </c>
      <c r="F9611" s="9"/>
      <c r="G9611" s="8">
        <f t="shared" si="298"/>
        <v>42.379470000000005</v>
      </c>
      <c r="H9611" s="8">
        <v>40.361400000000003</v>
      </c>
      <c r="I9611" s="19">
        <f t="shared" si="299"/>
        <v>0</v>
      </c>
    </row>
    <row r="9612" spans="1:9" hidden="1">
      <c r="A9612" s="11" t="s">
        <v>11260</v>
      </c>
      <c r="B9612" s="2" t="s">
        <v>16729</v>
      </c>
      <c r="C9612" s="2" t="s">
        <v>16730</v>
      </c>
      <c r="D9612" s="2"/>
      <c r="E9612" s="2">
        <v>1</v>
      </c>
      <c r="F9612" s="9"/>
      <c r="G9612" s="8">
        <f t="shared" si="298"/>
        <v>9.4248000000000012</v>
      </c>
      <c r="H9612" s="8">
        <v>8.9760000000000009</v>
      </c>
      <c r="I9612" s="19">
        <f t="shared" si="299"/>
        <v>0</v>
      </c>
    </row>
    <row r="9613" spans="1:9" hidden="1">
      <c r="A9613" s="11" t="s">
        <v>11260</v>
      </c>
      <c r="B9613" s="2" t="s">
        <v>16731</v>
      </c>
      <c r="C9613" s="2" t="s">
        <v>16732</v>
      </c>
      <c r="D9613" s="2"/>
      <c r="E9613" s="2">
        <v>1</v>
      </c>
      <c r="F9613" s="9"/>
      <c r="G9613" s="8">
        <f t="shared" si="298"/>
        <v>10.04598</v>
      </c>
      <c r="H9613" s="8">
        <v>9.5676000000000005</v>
      </c>
      <c r="I9613" s="19">
        <f t="shared" si="299"/>
        <v>0</v>
      </c>
    </row>
    <row r="9614" spans="1:9" hidden="1">
      <c r="A9614" s="11" t="s">
        <v>11260</v>
      </c>
      <c r="B9614" s="2" t="s">
        <v>16733</v>
      </c>
      <c r="C9614" s="2" t="s">
        <v>16734</v>
      </c>
      <c r="D9614" s="2"/>
      <c r="E9614" s="2">
        <v>1</v>
      </c>
      <c r="F9614" s="9"/>
      <c r="G9614" s="8">
        <f t="shared" si="298"/>
        <v>10.367279999999999</v>
      </c>
      <c r="H9614" s="8">
        <v>9.8735999999999997</v>
      </c>
      <c r="I9614" s="19">
        <f t="shared" si="299"/>
        <v>0</v>
      </c>
    </row>
    <row r="9615" spans="1:9" hidden="1">
      <c r="A9615" s="11" t="s">
        <v>11260</v>
      </c>
      <c r="B9615" s="2" t="s">
        <v>16735</v>
      </c>
      <c r="C9615" s="2" t="s">
        <v>16736</v>
      </c>
      <c r="D9615" s="2"/>
      <c r="E9615" s="2">
        <v>1</v>
      </c>
      <c r="F9615" s="9"/>
      <c r="G9615" s="8">
        <f t="shared" si="298"/>
        <v>10.73142</v>
      </c>
      <c r="H9615" s="8">
        <v>10.2204</v>
      </c>
      <c r="I9615" s="19">
        <f t="shared" si="299"/>
        <v>0</v>
      </c>
    </row>
    <row r="9616" spans="1:9" hidden="1">
      <c r="A9616" s="11" t="s">
        <v>11260</v>
      </c>
      <c r="B9616" s="2" t="s">
        <v>16737</v>
      </c>
      <c r="C9616" s="2" t="s">
        <v>16738</v>
      </c>
      <c r="D9616" s="2"/>
      <c r="E9616" s="2">
        <v>1</v>
      </c>
      <c r="F9616" s="9"/>
      <c r="G9616" s="8">
        <f t="shared" si="298"/>
        <v>45.153359999999999</v>
      </c>
      <c r="H9616" s="8">
        <v>43.0032</v>
      </c>
      <c r="I9616" s="19">
        <f t="shared" si="299"/>
        <v>0</v>
      </c>
    </row>
    <row r="9617" spans="1:9" hidden="1">
      <c r="A9617" s="11" t="s">
        <v>11260</v>
      </c>
      <c r="B9617" s="2" t="s">
        <v>16739</v>
      </c>
      <c r="C9617" s="2" t="s">
        <v>16740</v>
      </c>
      <c r="D9617" s="2"/>
      <c r="E9617" s="2">
        <v>1</v>
      </c>
      <c r="F9617" s="9"/>
      <c r="G9617" s="8">
        <f t="shared" si="298"/>
        <v>10.35657</v>
      </c>
      <c r="H9617" s="8">
        <v>9.8634000000000004</v>
      </c>
      <c r="I9617" s="19">
        <f t="shared" si="299"/>
        <v>0</v>
      </c>
    </row>
    <row r="9618" spans="1:9" hidden="1">
      <c r="A9618" s="11" t="s">
        <v>11260</v>
      </c>
      <c r="B9618" s="2" t="s">
        <v>16741</v>
      </c>
      <c r="C9618" s="2" t="s">
        <v>16742</v>
      </c>
      <c r="D9618" s="2"/>
      <c r="E9618" s="2">
        <v>1</v>
      </c>
      <c r="F9618" s="9"/>
      <c r="G9618" s="8">
        <f t="shared" si="298"/>
        <v>11.084850000000001</v>
      </c>
      <c r="H9618" s="8">
        <v>10.557</v>
      </c>
      <c r="I9618" s="19">
        <f t="shared" si="299"/>
        <v>0</v>
      </c>
    </row>
    <row r="9619" spans="1:9" hidden="1">
      <c r="A9619" s="11" t="s">
        <v>11260</v>
      </c>
      <c r="B9619" s="2" t="s">
        <v>16743</v>
      </c>
      <c r="C9619" s="2" t="s">
        <v>16744</v>
      </c>
      <c r="D9619" s="2"/>
      <c r="E9619" s="2">
        <v>1</v>
      </c>
      <c r="F9619" s="9"/>
      <c r="G9619" s="8">
        <f t="shared" si="298"/>
        <v>12.145140000000001</v>
      </c>
      <c r="H9619" s="8">
        <v>11.566800000000001</v>
      </c>
      <c r="I9619" s="19">
        <f t="shared" si="299"/>
        <v>0</v>
      </c>
    </row>
    <row r="9620" spans="1:9" hidden="1">
      <c r="A9620" s="11" t="s">
        <v>11260</v>
      </c>
      <c r="B9620" s="2" t="s">
        <v>16745</v>
      </c>
      <c r="C9620" s="2" t="s">
        <v>16746</v>
      </c>
      <c r="D9620" s="2"/>
      <c r="E9620" s="2">
        <v>1</v>
      </c>
      <c r="F9620" s="9"/>
      <c r="G9620" s="8">
        <f t="shared" si="298"/>
        <v>12.81987</v>
      </c>
      <c r="H9620" s="8">
        <v>12.2094</v>
      </c>
      <c r="I9620" s="19">
        <f t="shared" si="299"/>
        <v>0</v>
      </c>
    </row>
    <row r="9621" spans="1:9" hidden="1">
      <c r="A9621" s="11" t="s">
        <v>11260</v>
      </c>
      <c r="B9621" s="2" t="s">
        <v>16747</v>
      </c>
      <c r="C9621" s="2" t="s">
        <v>16748</v>
      </c>
      <c r="D9621" s="2"/>
      <c r="E9621" s="2">
        <v>1</v>
      </c>
      <c r="F9621" s="9"/>
      <c r="G9621" s="8">
        <f t="shared" si="298"/>
        <v>47.156130000000005</v>
      </c>
      <c r="H9621" s="8">
        <v>44.910600000000002</v>
      </c>
      <c r="I9621" s="19">
        <f t="shared" si="299"/>
        <v>0</v>
      </c>
    </row>
    <row r="9622" spans="1:9" hidden="1">
      <c r="A9622" s="11" t="s">
        <v>11260</v>
      </c>
      <c r="B9622" s="2" t="s">
        <v>16749</v>
      </c>
      <c r="C9622" s="2" t="s">
        <v>16750</v>
      </c>
      <c r="D9622" s="2"/>
      <c r="E9622" s="2">
        <v>1</v>
      </c>
      <c r="F9622" s="9"/>
      <c r="G9622" s="8">
        <f t="shared" si="298"/>
        <v>39.851910000000004</v>
      </c>
      <c r="H9622" s="8">
        <v>37.9542</v>
      </c>
      <c r="I9622" s="19">
        <f t="shared" si="299"/>
        <v>0</v>
      </c>
    </row>
    <row r="9623" spans="1:9" hidden="1">
      <c r="A9623" s="11" t="s">
        <v>11260</v>
      </c>
      <c r="B9623" s="2" t="s">
        <v>16751</v>
      </c>
      <c r="C9623" s="2" t="s">
        <v>16752</v>
      </c>
      <c r="D9623" s="2"/>
      <c r="E9623" s="2">
        <v>1</v>
      </c>
      <c r="F9623" s="9"/>
      <c r="G9623" s="8">
        <f t="shared" si="298"/>
        <v>47.027609999999996</v>
      </c>
      <c r="H9623" s="8">
        <v>44.788199999999996</v>
      </c>
      <c r="I9623" s="19">
        <f t="shared" si="299"/>
        <v>0</v>
      </c>
    </row>
    <row r="9624" spans="1:9" hidden="1">
      <c r="A9624" s="11" t="s">
        <v>11260</v>
      </c>
      <c r="B9624" s="2" t="s">
        <v>16753</v>
      </c>
      <c r="C9624" s="2" t="s">
        <v>16754</v>
      </c>
      <c r="D9624" s="2"/>
      <c r="E9624" s="2">
        <v>1</v>
      </c>
      <c r="F9624" s="9"/>
      <c r="G9624" s="8">
        <f t="shared" ref="G9624:G9687" si="300">H9624+(H9624*5%)</f>
        <v>11.352599999999999</v>
      </c>
      <c r="H9624" s="8">
        <v>10.811999999999999</v>
      </c>
      <c r="I9624" s="19">
        <f t="shared" ref="I9624:I9687" si="301">G9624*F9624</f>
        <v>0</v>
      </c>
    </row>
    <row r="9625" spans="1:9" hidden="1">
      <c r="A9625" s="11" t="s">
        <v>11260</v>
      </c>
      <c r="B9625" s="2" t="s">
        <v>16755</v>
      </c>
      <c r="C9625" s="2" t="s">
        <v>16756</v>
      </c>
      <c r="D9625" s="2"/>
      <c r="E9625" s="2">
        <v>1</v>
      </c>
      <c r="F9625" s="9"/>
      <c r="G9625" s="8">
        <f t="shared" si="300"/>
        <v>11.770289999999999</v>
      </c>
      <c r="H9625" s="8">
        <v>11.2098</v>
      </c>
      <c r="I9625" s="19">
        <f t="shared" si="301"/>
        <v>0</v>
      </c>
    </row>
    <row r="9626" spans="1:9" hidden="1">
      <c r="A9626" s="11" t="s">
        <v>11260</v>
      </c>
      <c r="B9626" s="2" t="s">
        <v>16757</v>
      </c>
      <c r="C9626" s="2" t="s">
        <v>16758</v>
      </c>
      <c r="D9626" s="2"/>
      <c r="E9626" s="2">
        <v>1</v>
      </c>
      <c r="F9626" s="9"/>
      <c r="G9626" s="8">
        <f t="shared" si="300"/>
        <v>12.198690000000001</v>
      </c>
      <c r="H9626" s="8">
        <v>11.617800000000001</v>
      </c>
      <c r="I9626" s="19">
        <f t="shared" si="301"/>
        <v>0</v>
      </c>
    </row>
    <row r="9627" spans="1:9" hidden="1">
      <c r="A9627" s="11" t="s">
        <v>11260</v>
      </c>
      <c r="B9627" s="2" t="s">
        <v>16759</v>
      </c>
      <c r="C9627" s="2" t="s">
        <v>16760</v>
      </c>
      <c r="D9627" s="2"/>
      <c r="E9627" s="2">
        <v>1</v>
      </c>
      <c r="F9627" s="9"/>
      <c r="G9627" s="8">
        <f t="shared" si="300"/>
        <v>13.16259</v>
      </c>
      <c r="H9627" s="8">
        <v>12.5358</v>
      </c>
      <c r="I9627" s="19">
        <f t="shared" si="301"/>
        <v>0</v>
      </c>
    </row>
    <row r="9628" spans="1:9" hidden="1">
      <c r="A9628" s="11" t="s">
        <v>11260</v>
      </c>
      <c r="B9628" s="2" t="s">
        <v>16761</v>
      </c>
      <c r="C9628" s="2" t="s">
        <v>16762</v>
      </c>
      <c r="D9628" s="2"/>
      <c r="E9628" s="2">
        <v>1</v>
      </c>
      <c r="F9628" s="9"/>
      <c r="G9628" s="8">
        <f t="shared" si="300"/>
        <v>11.406150000000002</v>
      </c>
      <c r="H9628" s="8">
        <v>10.863000000000001</v>
      </c>
      <c r="I9628" s="19">
        <f t="shared" si="301"/>
        <v>0</v>
      </c>
    </row>
    <row r="9629" spans="1:9" hidden="1">
      <c r="A9629" s="11" t="s">
        <v>11260</v>
      </c>
      <c r="B9629" s="2" t="s">
        <v>16763</v>
      </c>
      <c r="C9629" s="2" t="s">
        <v>16764</v>
      </c>
      <c r="D9629" s="2"/>
      <c r="E9629" s="2">
        <v>1</v>
      </c>
      <c r="F9629" s="9"/>
      <c r="G9629" s="8">
        <f t="shared" si="300"/>
        <v>47.895119999999999</v>
      </c>
      <c r="H9629" s="8">
        <v>45.614399999999996</v>
      </c>
      <c r="I9629" s="19">
        <f t="shared" si="301"/>
        <v>0</v>
      </c>
    </row>
    <row r="9630" spans="1:9" hidden="1">
      <c r="A9630" s="11" t="s">
        <v>11260</v>
      </c>
      <c r="B9630" s="2" t="s">
        <v>16765</v>
      </c>
      <c r="C9630" s="2" t="s">
        <v>16766</v>
      </c>
      <c r="D9630" s="2"/>
      <c r="E9630" s="2">
        <v>1</v>
      </c>
      <c r="F9630" s="9"/>
      <c r="G9630" s="8">
        <f t="shared" si="300"/>
        <v>40.483799999999995</v>
      </c>
      <c r="H9630" s="8">
        <v>38.555999999999997</v>
      </c>
      <c r="I9630" s="19">
        <f t="shared" si="301"/>
        <v>0</v>
      </c>
    </row>
    <row r="9631" spans="1:9" hidden="1">
      <c r="A9631" s="11" t="s">
        <v>11260</v>
      </c>
      <c r="B9631" s="2" t="s">
        <v>16767</v>
      </c>
      <c r="C9631" s="2" t="s">
        <v>16768</v>
      </c>
      <c r="D9631" s="2"/>
      <c r="E9631" s="2">
        <v>1</v>
      </c>
      <c r="F9631" s="9"/>
      <c r="G9631" s="8">
        <f t="shared" si="300"/>
        <v>13.32324</v>
      </c>
      <c r="H9631" s="8">
        <v>12.688800000000001</v>
      </c>
      <c r="I9631" s="19">
        <f t="shared" si="301"/>
        <v>0</v>
      </c>
    </row>
    <row r="9632" spans="1:9" hidden="1">
      <c r="A9632" s="11" t="s">
        <v>11260</v>
      </c>
      <c r="B9632" s="2" t="s">
        <v>16769</v>
      </c>
      <c r="C9632" s="2" t="s">
        <v>16770</v>
      </c>
      <c r="D9632" s="2"/>
      <c r="E9632" s="2">
        <v>1</v>
      </c>
      <c r="F9632" s="9"/>
      <c r="G9632" s="8">
        <f t="shared" si="300"/>
        <v>14.105070000000001</v>
      </c>
      <c r="H9632" s="8">
        <v>13.433400000000001</v>
      </c>
      <c r="I9632" s="19">
        <f t="shared" si="301"/>
        <v>0</v>
      </c>
    </row>
    <row r="9633" spans="1:9" hidden="1">
      <c r="A9633" s="11" t="s">
        <v>11260</v>
      </c>
      <c r="B9633" s="2" t="s">
        <v>16771</v>
      </c>
      <c r="C9633" s="2" t="s">
        <v>16772</v>
      </c>
      <c r="D9633" s="2"/>
      <c r="E9633" s="2">
        <v>1</v>
      </c>
      <c r="F9633" s="9"/>
      <c r="G9633" s="8">
        <f t="shared" si="300"/>
        <v>14.672700000000001</v>
      </c>
      <c r="H9633" s="8">
        <v>13.974</v>
      </c>
      <c r="I9633" s="19">
        <f t="shared" si="301"/>
        <v>0</v>
      </c>
    </row>
    <row r="9634" spans="1:9" hidden="1">
      <c r="A9634" s="11" t="s">
        <v>11260</v>
      </c>
      <c r="B9634" s="2" t="s">
        <v>16773</v>
      </c>
      <c r="C9634" s="2" t="s">
        <v>16774</v>
      </c>
      <c r="D9634" s="2"/>
      <c r="E9634" s="2">
        <v>1</v>
      </c>
      <c r="F9634" s="9"/>
      <c r="G9634" s="8">
        <f t="shared" si="300"/>
        <v>15.947190000000001</v>
      </c>
      <c r="H9634" s="8">
        <v>15.187800000000001</v>
      </c>
      <c r="I9634" s="19">
        <f t="shared" si="301"/>
        <v>0</v>
      </c>
    </row>
    <row r="9635" spans="1:9" hidden="1">
      <c r="A9635" s="11" t="s">
        <v>11260</v>
      </c>
      <c r="B9635" s="2" t="s">
        <v>16775</v>
      </c>
      <c r="C9635" s="2" t="s">
        <v>16776</v>
      </c>
      <c r="D9635" s="2"/>
      <c r="E9635" s="2">
        <v>1</v>
      </c>
      <c r="F9635" s="9"/>
      <c r="G9635" s="8">
        <f t="shared" si="300"/>
        <v>16.632629999999999</v>
      </c>
      <c r="H9635" s="8">
        <v>15.8406</v>
      </c>
      <c r="I9635" s="19">
        <f t="shared" si="301"/>
        <v>0</v>
      </c>
    </row>
    <row r="9636" spans="1:9" hidden="1">
      <c r="A9636" s="11" t="s">
        <v>11260</v>
      </c>
      <c r="B9636" s="2" t="s">
        <v>16777</v>
      </c>
      <c r="C9636" s="2" t="s">
        <v>16778</v>
      </c>
      <c r="D9636" s="2"/>
      <c r="E9636" s="2">
        <v>1</v>
      </c>
      <c r="F9636" s="9"/>
      <c r="G9636" s="8">
        <f t="shared" si="300"/>
        <v>17.38233</v>
      </c>
      <c r="H9636" s="8">
        <v>16.554600000000001</v>
      </c>
      <c r="I9636" s="19">
        <f t="shared" si="301"/>
        <v>0</v>
      </c>
    </row>
    <row r="9637" spans="1:9" hidden="1">
      <c r="A9637" s="11" t="s">
        <v>11260</v>
      </c>
      <c r="B9637" s="2" t="s">
        <v>16779</v>
      </c>
      <c r="C9637" s="2" t="s">
        <v>16780</v>
      </c>
      <c r="D9637" s="2"/>
      <c r="E9637" s="2">
        <v>1</v>
      </c>
      <c r="F9637" s="9"/>
      <c r="G9637" s="8">
        <f t="shared" si="300"/>
        <v>18.153449999999999</v>
      </c>
      <c r="H9637" s="8">
        <v>17.288999999999998</v>
      </c>
      <c r="I9637" s="19">
        <f t="shared" si="301"/>
        <v>0</v>
      </c>
    </row>
    <row r="9638" spans="1:9" hidden="1">
      <c r="A9638" s="11" t="s">
        <v>11260</v>
      </c>
      <c r="B9638" s="2" t="s">
        <v>16781</v>
      </c>
      <c r="C9638" s="2" t="s">
        <v>16782</v>
      </c>
      <c r="D9638" s="2"/>
      <c r="E9638" s="2">
        <v>1</v>
      </c>
      <c r="F9638" s="9"/>
      <c r="G9638" s="8">
        <f t="shared" si="300"/>
        <v>20.809529999999999</v>
      </c>
      <c r="H9638" s="8">
        <v>19.8186</v>
      </c>
      <c r="I9638" s="19">
        <f t="shared" si="301"/>
        <v>0</v>
      </c>
    </row>
    <row r="9639" spans="1:9" hidden="1">
      <c r="A9639" s="11" t="s">
        <v>11260</v>
      </c>
      <c r="B9639" s="2" t="s">
        <v>16783</v>
      </c>
      <c r="C9639" s="2" t="s">
        <v>16784</v>
      </c>
      <c r="D9639" s="2"/>
      <c r="E9639" s="2">
        <v>1</v>
      </c>
      <c r="F9639" s="9"/>
      <c r="G9639" s="8">
        <f t="shared" si="300"/>
        <v>17.38233</v>
      </c>
      <c r="H9639" s="8">
        <v>16.554600000000001</v>
      </c>
      <c r="I9639" s="19">
        <f t="shared" si="301"/>
        <v>0</v>
      </c>
    </row>
    <row r="9640" spans="1:9" hidden="1">
      <c r="A9640" s="11" t="s">
        <v>11260</v>
      </c>
      <c r="B9640" s="2" t="s">
        <v>16785</v>
      </c>
      <c r="C9640" s="2" t="s">
        <v>16786</v>
      </c>
      <c r="D9640" s="2"/>
      <c r="E9640" s="2">
        <v>1</v>
      </c>
      <c r="F9640" s="9"/>
      <c r="G9640" s="8">
        <f t="shared" si="300"/>
        <v>18.164160000000003</v>
      </c>
      <c r="H9640" s="8">
        <v>17.299200000000003</v>
      </c>
      <c r="I9640" s="19">
        <f t="shared" si="301"/>
        <v>0</v>
      </c>
    </row>
    <row r="9641" spans="1:9" hidden="1">
      <c r="A9641" s="11" t="s">
        <v>11260</v>
      </c>
      <c r="B9641" s="2" t="s">
        <v>16787</v>
      </c>
      <c r="C9641" s="2" t="s">
        <v>16788</v>
      </c>
      <c r="D9641" s="2"/>
      <c r="E9641" s="2">
        <v>1</v>
      </c>
      <c r="F9641" s="9"/>
      <c r="G9641" s="8">
        <f t="shared" si="300"/>
        <v>18.978120000000001</v>
      </c>
      <c r="H9641" s="8">
        <v>18.074400000000001</v>
      </c>
      <c r="I9641" s="19">
        <f t="shared" si="301"/>
        <v>0</v>
      </c>
    </row>
    <row r="9642" spans="1:9" hidden="1">
      <c r="A9642" s="11" t="s">
        <v>11260</v>
      </c>
      <c r="B9642" s="2" t="s">
        <v>16789</v>
      </c>
      <c r="C9642" s="2" t="s">
        <v>16790</v>
      </c>
      <c r="D9642" s="2"/>
      <c r="E9642" s="2">
        <v>1</v>
      </c>
      <c r="F9642" s="9"/>
      <c r="G9642" s="8">
        <f t="shared" si="300"/>
        <v>19.856339999999999</v>
      </c>
      <c r="H9642" s="8">
        <v>18.910799999999998</v>
      </c>
      <c r="I9642" s="19">
        <f t="shared" si="301"/>
        <v>0</v>
      </c>
    </row>
    <row r="9643" spans="1:9" hidden="1">
      <c r="A9643" s="11" t="s">
        <v>11260</v>
      </c>
      <c r="B9643" s="2" t="s">
        <v>16791</v>
      </c>
      <c r="C9643" s="2" t="s">
        <v>16792</v>
      </c>
      <c r="D9643" s="2"/>
      <c r="E9643" s="2">
        <v>1</v>
      </c>
      <c r="F9643" s="9"/>
      <c r="G9643" s="8">
        <f t="shared" si="300"/>
        <v>67.376609999999999</v>
      </c>
      <c r="H9643" s="8">
        <v>64.168199999999999</v>
      </c>
      <c r="I9643" s="19">
        <f t="shared" si="301"/>
        <v>0</v>
      </c>
    </row>
    <row r="9644" spans="1:9" hidden="1">
      <c r="A9644" s="11" t="s">
        <v>11260</v>
      </c>
      <c r="B9644" s="2" t="s">
        <v>16793</v>
      </c>
      <c r="C9644" s="2" t="s">
        <v>16794</v>
      </c>
      <c r="D9644" s="2"/>
      <c r="E9644" s="2">
        <v>1</v>
      </c>
      <c r="F9644" s="9"/>
      <c r="G9644" s="8">
        <f t="shared" si="300"/>
        <v>56.955780000000004</v>
      </c>
      <c r="H9644" s="8">
        <v>54.243600000000001</v>
      </c>
      <c r="I9644" s="19">
        <f t="shared" si="301"/>
        <v>0</v>
      </c>
    </row>
    <row r="9645" spans="1:9" hidden="1">
      <c r="A9645" s="11" t="s">
        <v>11260</v>
      </c>
      <c r="B9645" s="2" t="s">
        <v>16795</v>
      </c>
      <c r="C9645" s="2" t="s">
        <v>16796</v>
      </c>
      <c r="D9645" s="2"/>
      <c r="E9645" s="2">
        <v>1</v>
      </c>
      <c r="F9645" s="9"/>
      <c r="G9645" s="8">
        <f t="shared" si="300"/>
        <v>85.133789999999991</v>
      </c>
      <c r="H9645" s="8">
        <v>81.079799999999992</v>
      </c>
      <c r="I9645" s="19">
        <f t="shared" si="301"/>
        <v>0</v>
      </c>
    </row>
    <row r="9646" spans="1:9" hidden="1">
      <c r="A9646" s="11" t="s">
        <v>11260</v>
      </c>
      <c r="B9646" s="2" t="s">
        <v>16797</v>
      </c>
      <c r="C9646" s="2" t="s">
        <v>16798</v>
      </c>
      <c r="D9646" s="2"/>
      <c r="E9646" s="2">
        <v>1</v>
      </c>
      <c r="F9646" s="9"/>
      <c r="G9646" s="8">
        <f t="shared" si="300"/>
        <v>24.418800000000001</v>
      </c>
      <c r="H9646" s="8">
        <v>23.256</v>
      </c>
      <c r="I9646" s="19">
        <f t="shared" si="301"/>
        <v>0</v>
      </c>
    </row>
    <row r="9647" spans="1:9" hidden="1">
      <c r="A9647" s="11" t="s">
        <v>11260</v>
      </c>
      <c r="B9647" s="2" t="s">
        <v>16799</v>
      </c>
      <c r="C9647" s="2" t="s">
        <v>16800</v>
      </c>
      <c r="D9647" s="2"/>
      <c r="E9647" s="2">
        <v>1</v>
      </c>
      <c r="F9647" s="9"/>
      <c r="G9647" s="8">
        <f t="shared" si="300"/>
        <v>94.322969999999984</v>
      </c>
      <c r="H9647" s="8">
        <v>89.831399999999988</v>
      </c>
      <c r="I9647" s="19">
        <f t="shared" si="301"/>
        <v>0</v>
      </c>
    </row>
    <row r="9648" spans="1:9" hidden="1">
      <c r="A9648" s="11" t="s">
        <v>11260</v>
      </c>
      <c r="B9648" s="2" t="s">
        <v>16801</v>
      </c>
      <c r="C9648" s="2" t="s">
        <v>16802</v>
      </c>
      <c r="D9648" s="2"/>
      <c r="E9648" s="2">
        <v>1</v>
      </c>
      <c r="F9648" s="9"/>
      <c r="G9648" s="8">
        <f t="shared" si="300"/>
        <v>21.2058</v>
      </c>
      <c r="H9648" s="8">
        <v>20.196000000000002</v>
      </c>
      <c r="I9648" s="19">
        <f t="shared" si="301"/>
        <v>0</v>
      </c>
    </row>
    <row r="9649" spans="1:9" hidden="1">
      <c r="A9649" s="11" t="s">
        <v>11260</v>
      </c>
      <c r="B9649" s="2" t="s">
        <v>16803</v>
      </c>
      <c r="C9649" s="2" t="s">
        <v>16804</v>
      </c>
      <c r="D9649" s="2"/>
      <c r="E9649" s="2">
        <v>1</v>
      </c>
      <c r="F9649" s="9"/>
      <c r="G9649" s="8">
        <f t="shared" si="300"/>
        <v>79.146900000000002</v>
      </c>
      <c r="H9649" s="8">
        <v>75.378</v>
      </c>
      <c r="I9649" s="19">
        <f t="shared" si="301"/>
        <v>0</v>
      </c>
    </row>
    <row r="9650" spans="1:9" hidden="1">
      <c r="A9650" s="11" t="s">
        <v>11260</v>
      </c>
      <c r="B9650" s="2" t="s">
        <v>16805</v>
      </c>
      <c r="C9650" s="2" t="s">
        <v>16806</v>
      </c>
      <c r="D9650" s="2"/>
      <c r="E9650" s="2">
        <v>1</v>
      </c>
      <c r="F9650" s="9"/>
      <c r="G9650" s="8">
        <f t="shared" si="300"/>
        <v>66.916079999999994</v>
      </c>
      <c r="H9650" s="8">
        <v>63.729599999999998</v>
      </c>
      <c r="I9650" s="19">
        <f t="shared" si="301"/>
        <v>0</v>
      </c>
    </row>
    <row r="9651" spans="1:9" hidden="1">
      <c r="A9651" s="11" t="s">
        <v>11260</v>
      </c>
      <c r="B9651" s="2" t="s">
        <v>16807</v>
      </c>
      <c r="C9651" s="2" t="s">
        <v>16808</v>
      </c>
      <c r="D9651" s="2"/>
      <c r="E9651" s="2">
        <v>1</v>
      </c>
      <c r="F9651" s="9"/>
      <c r="G9651" s="8">
        <f t="shared" si="300"/>
        <v>78.932700000000011</v>
      </c>
      <c r="H9651" s="8">
        <v>75.174000000000007</v>
      </c>
      <c r="I9651" s="19">
        <f t="shared" si="301"/>
        <v>0</v>
      </c>
    </row>
    <row r="9652" spans="1:9" hidden="1">
      <c r="A9652" s="11" t="s">
        <v>11260</v>
      </c>
      <c r="B9652" s="2" t="s">
        <v>16809</v>
      </c>
      <c r="C9652" s="2" t="s">
        <v>16810</v>
      </c>
      <c r="D9652" s="2"/>
      <c r="E9652" s="2">
        <v>1</v>
      </c>
      <c r="F9652" s="9"/>
      <c r="G9652" s="8">
        <f t="shared" si="300"/>
        <v>85.048109999999994</v>
      </c>
      <c r="H9652" s="8">
        <v>80.998199999999997</v>
      </c>
      <c r="I9652" s="19">
        <f t="shared" si="301"/>
        <v>0</v>
      </c>
    </row>
    <row r="9653" spans="1:9" hidden="1">
      <c r="A9653" s="11" t="s">
        <v>11260</v>
      </c>
      <c r="B9653" s="2" t="s">
        <v>16811</v>
      </c>
      <c r="C9653" s="2" t="s">
        <v>16812</v>
      </c>
      <c r="D9653" s="2"/>
      <c r="E9653" s="2">
        <v>1</v>
      </c>
      <c r="F9653" s="9"/>
      <c r="G9653" s="8">
        <f t="shared" si="300"/>
        <v>99.185310000000001</v>
      </c>
      <c r="H9653" s="8">
        <v>94.462199999999996</v>
      </c>
      <c r="I9653" s="19">
        <f t="shared" si="301"/>
        <v>0</v>
      </c>
    </row>
    <row r="9654" spans="1:9" hidden="1">
      <c r="A9654" s="11" t="s">
        <v>11260</v>
      </c>
      <c r="B9654" s="2" t="s">
        <v>16813</v>
      </c>
      <c r="C9654" s="2" t="s">
        <v>16814</v>
      </c>
      <c r="D9654" s="2"/>
      <c r="E9654" s="2">
        <v>1</v>
      </c>
      <c r="F9654" s="9"/>
      <c r="G9654" s="8">
        <f t="shared" si="300"/>
        <v>142.49655000000001</v>
      </c>
      <c r="H9654" s="8">
        <v>135.71100000000001</v>
      </c>
      <c r="I9654" s="19">
        <f t="shared" si="301"/>
        <v>0</v>
      </c>
    </row>
    <row r="9655" spans="1:9" hidden="1">
      <c r="A9655" s="11" t="s">
        <v>11260</v>
      </c>
      <c r="B9655" s="2" t="s">
        <v>16815</v>
      </c>
      <c r="C9655" s="2" t="s">
        <v>16816</v>
      </c>
      <c r="D9655" s="2"/>
      <c r="E9655" s="2">
        <v>1</v>
      </c>
      <c r="F9655" s="9"/>
      <c r="G9655" s="8">
        <f t="shared" si="300"/>
        <v>106.32888000000001</v>
      </c>
      <c r="H9655" s="8">
        <v>101.26560000000001</v>
      </c>
      <c r="I9655" s="19">
        <f t="shared" si="301"/>
        <v>0</v>
      </c>
    </row>
    <row r="9656" spans="1:9" hidden="1">
      <c r="A9656" s="11" t="s">
        <v>11260</v>
      </c>
      <c r="B9656" s="2" t="s">
        <v>16817</v>
      </c>
      <c r="C9656" s="2" t="s">
        <v>16818</v>
      </c>
      <c r="D9656" s="2"/>
      <c r="E9656" s="2">
        <v>1</v>
      </c>
      <c r="F9656" s="9"/>
      <c r="G9656" s="8">
        <f t="shared" si="300"/>
        <v>152.46756000000002</v>
      </c>
      <c r="H9656" s="8">
        <v>145.20720000000003</v>
      </c>
      <c r="I9656" s="19">
        <f t="shared" si="301"/>
        <v>0</v>
      </c>
    </row>
    <row r="9657" spans="1:9" hidden="1">
      <c r="A9657" s="11" t="s">
        <v>11260</v>
      </c>
      <c r="B9657" s="2" t="s">
        <v>16819</v>
      </c>
      <c r="C9657" s="2" t="s">
        <v>16820</v>
      </c>
      <c r="D9657" s="2"/>
      <c r="E9657" s="2">
        <v>1</v>
      </c>
      <c r="F9657" s="9"/>
      <c r="G9657" s="8">
        <f t="shared" si="300"/>
        <v>87.329340000000016</v>
      </c>
      <c r="H9657" s="8">
        <v>83.170800000000014</v>
      </c>
      <c r="I9657" s="19">
        <f t="shared" si="301"/>
        <v>0</v>
      </c>
    </row>
    <row r="9658" spans="1:9" hidden="1">
      <c r="A9658" s="11" t="s">
        <v>11260</v>
      </c>
      <c r="B9658" s="2" t="s">
        <v>16821</v>
      </c>
      <c r="C9658" s="2" t="s">
        <v>16822</v>
      </c>
      <c r="D9658" s="2"/>
      <c r="E9658" s="2">
        <v>1</v>
      </c>
      <c r="F9658" s="9"/>
      <c r="G9658" s="8">
        <f t="shared" si="300"/>
        <v>104.78664000000001</v>
      </c>
      <c r="H9658" s="8">
        <v>99.796800000000005</v>
      </c>
      <c r="I9658" s="19">
        <f t="shared" si="301"/>
        <v>0</v>
      </c>
    </row>
    <row r="9659" spans="1:9" hidden="1">
      <c r="A9659" s="11" t="s">
        <v>11260</v>
      </c>
      <c r="B9659" s="2" t="s">
        <v>16823</v>
      </c>
      <c r="C9659" s="2" t="s">
        <v>16824</v>
      </c>
      <c r="D9659" s="2"/>
      <c r="E9659" s="2">
        <v>1</v>
      </c>
      <c r="F9659" s="9"/>
      <c r="G9659" s="8">
        <f t="shared" si="300"/>
        <v>162.50282999999999</v>
      </c>
      <c r="H9659" s="8">
        <v>154.7646</v>
      </c>
      <c r="I9659" s="19">
        <f t="shared" si="301"/>
        <v>0</v>
      </c>
    </row>
    <row r="9660" spans="1:9" hidden="1">
      <c r="A9660" s="11" t="s">
        <v>11260</v>
      </c>
      <c r="B9660" s="2" t="s">
        <v>16825</v>
      </c>
      <c r="C9660" s="2" t="s">
        <v>16826</v>
      </c>
      <c r="D9660" s="2"/>
      <c r="E9660" s="2">
        <v>1</v>
      </c>
      <c r="F9660" s="9"/>
      <c r="G9660" s="8">
        <f t="shared" si="300"/>
        <v>111.46968000000001</v>
      </c>
      <c r="H9660" s="8">
        <v>106.16160000000001</v>
      </c>
      <c r="I9660" s="19">
        <f t="shared" si="301"/>
        <v>0</v>
      </c>
    </row>
    <row r="9661" spans="1:9" hidden="1">
      <c r="A9661" s="11" t="s">
        <v>11260</v>
      </c>
      <c r="B9661" s="2" t="s">
        <v>16827</v>
      </c>
      <c r="C9661" s="2" t="s">
        <v>16828</v>
      </c>
      <c r="D9661" s="2"/>
      <c r="E9661" s="2">
        <v>1</v>
      </c>
      <c r="F9661" s="9"/>
      <c r="G9661" s="8">
        <f t="shared" si="300"/>
        <v>186.98589000000001</v>
      </c>
      <c r="H9661" s="8">
        <v>178.08180000000002</v>
      </c>
      <c r="I9661" s="19">
        <f t="shared" si="301"/>
        <v>0</v>
      </c>
    </row>
    <row r="9662" spans="1:9" hidden="1">
      <c r="A9662" s="11" t="s">
        <v>11260</v>
      </c>
      <c r="B9662" s="2" t="s">
        <v>16829</v>
      </c>
      <c r="C9662" s="2" t="s">
        <v>16830</v>
      </c>
      <c r="D9662" s="2"/>
      <c r="E9662" s="2">
        <v>1</v>
      </c>
      <c r="F9662" s="9"/>
      <c r="G9662" s="8">
        <f t="shared" si="300"/>
        <v>128.0916</v>
      </c>
      <c r="H9662" s="8">
        <v>121.99199999999999</v>
      </c>
      <c r="I9662" s="19">
        <f t="shared" si="301"/>
        <v>0</v>
      </c>
    </row>
    <row r="9663" spans="1:9" hidden="1">
      <c r="A9663" s="11" t="s">
        <v>11260</v>
      </c>
      <c r="B9663" s="2" t="s">
        <v>16831</v>
      </c>
      <c r="C9663" s="2" t="s">
        <v>16832</v>
      </c>
      <c r="D9663" s="2"/>
      <c r="E9663" s="2">
        <v>1</v>
      </c>
      <c r="F9663" s="9"/>
      <c r="G9663" s="8">
        <f t="shared" si="300"/>
        <v>167.52581999999998</v>
      </c>
      <c r="H9663" s="8">
        <v>159.54839999999999</v>
      </c>
      <c r="I9663" s="19">
        <f t="shared" si="301"/>
        <v>0</v>
      </c>
    </row>
    <row r="9664" spans="1:9" hidden="1">
      <c r="A9664" s="11" t="s">
        <v>11260</v>
      </c>
      <c r="B9664" s="2" t="s">
        <v>16833</v>
      </c>
      <c r="C9664" s="2" t="s">
        <v>16834</v>
      </c>
      <c r="D9664" s="2"/>
      <c r="E9664" s="2">
        <v>1</v>
      </c>
      <c r="F9664" s="9"/>
      <c r="G9664" s="8">
        <f t="shared" si="300"/>
        <v>73.159137056756109</v>
      </c>
      <c r="H9664" s="8">
        <v>69.675368625482008</v>
      </c>
      <c r="I9664" s="19">
        <f t="shared" si="301"/>
        <v>0</v>
      </c>
    </row>
    <row r="9665" spans="1:9" hidden="1">
      <c r="A9665" s="11" t="s">
        <v>11260</v>
      </c>
      <c r="B9665" s="2" t="s">
        <v>16835</v>
      </c>
      <c r="C9665" s="2" t="s">
        <v>16834</v>
      </c>
      <c r="D9665" s="2"/>
      <c r="E9665" s="2">
        <v>1</v>
      </c>
      <c r="F9665" s="9"/>
      <c r="G9665" s="8">
        <f t="shared" si="300"/>
        <v>118.35041215155051</v>
      </c>
      <c r="H9665" s="8">
        <v>112.71467823957192</v>
      </c>
      <c r="I9665" s="19">
        <f t="shared" si="301"/>
        <v>0</v>
      </c>
    </row>
    <row r="9666" spans="1:9" hidden="1">
      <c r="A9666" s="11" t="s">
        <v>11260</v>
      </c>
      <c r="B9666" s="2" t="s">
        <v>16836</v>
      </c>
      <c r="C9666" s="2" t="s">
        <v>16834</v>
      </c>
      <c r="D9666" s="2"/>
      <c r="E9666" s="2">
        <v>1</v>
      </c>
      <c r="F9666" s="9"/>
      <c r="G9666" s="8">
        <f t="shared" si="300"/>
        <v>16.852091384317525</v>
      </c>
      <c r="H9666" s="8">
        <v>16.049610842207166</v>
      </c>
      <c r="I9666" s="19">
        <f t="shared" si="301"/>
        <v>0</v>
      </c>
    </row>
    <row r="9667" spans="1:9" hidden="1">
      <c r="A9667" s="11" t="s">
        <v>11260</v>
      </c>
      <c r="B9667" s="2" t="s">
        <v>16837</v>
      </c>
      <c r="C9667" s="2" t="s">
        <v>16834</v>
      </c>
      <c r="D9667" s="2"/>
      <c r="E9667" s="2">
        <v>1</v>
      </c>
      <c r="F9667" s="9"/>
      <c r="G9667" s="8">
        <f t="shared" si="300"/>
        <v>19.680427621218406</v>
      </c>
      <c r="H9667" s="8">
        <v>18.743264401160388</v>
      </c>
      <c r="I9667" s="19">
        <f t="shared" si="301"/>
        <v>0</v>
      </c>
    </row>
    <row r="9668" spans="1:9" hidden="1">
      <c r="A9668" s="11" t="s">
        <v>11260</v>
      </c>
      <c r="B9668" s="2" t="s">
        <v>16838</v>
      </c>
      <c r="C9668" s="2" t="s">
        <v>16839</v>
      </c>
      <c r="D9668" s="2"/>
      <c r="E9668" s="2">
        <v>1</v>
      </c>
      <c r="F9668" s="9"/>
      <c r="G9668" s="8">
        <f t="shared" si="300"/>
        <v>79.933140885543338</v>
      </c>
      <c r="H9668" s="8">
        <v>76.12680084337461</v>
      </c>
      <c r="I9668" s="19">
        <f t="shared" si="301"/>
        <v>0</v>
      </c>
    </row>
    <row r="9669" spans="1:9" hidden="1">
      <c r="A9669" s="11" t="s">
        <v>11260</v>
      </c>
      <c r="B9669" s="2" t="s">
        <v>16840</v>
      </c>
      <c r="C9669" s="2" t="s">
        <v>16839</v>
      </c>
      <c r="D9669" s="2"/>
      <c r="E9669" s="2">
        <v>1</v>
      </c>
      <c r="F9669" s="9"/>
      <c r="G9669" s="8">
        <f t="shared" si="300"/>
        <v>110.99570734974297</v>
      </c>
      <c r="H9669" s="8">
        <v>105.71019747594569</v>
      </c>
      <c r="I9669" s="19">
        <f t="shared" si="301"/>
        <v>0</v>
      </c>
    </row>
    <row r="9670" spans="1:9" hidden="1">
      <c r="A9670" s="11" t="s">
        <v>11260</v>
      </c>
      <c r="B9670" s="2" t="s">
        <v>16841</v>
      </c>
      <c r="C9670" s="2" t="s">
        <v>16842</v>
      </c>
      <c r="D9670" s="2"/>
      <c r="E9670" s="2">
        <v>1</v>
      </c>
      <c r="F9670" s="9"/>
      <c r="G9670" s="8">
        <f t="shared" si="300"/>
        <v>137.97150692178678</v>
      </c>
      <c r="H9670" s="8">
        <v>131.40143516360646</v>
      </c>
      <c r="I9670" s="19">
        <f t="shared" si="301"/>
        <v>0</v>
      </c>
    </row>
    <row r="9671" spans="1:9" hidden="1">
      <c r="A9671" s="11" t="s">
        <v>11260</v>
      </c>
      <c r="B9671" s="2" t="s">
        <v>16843</v>
      </c>
      <c r="C9671" s="2" t="s">
        <v>16842</v>
      </c>
      <c r="D9671" s="2"/>
      <c r="E9671" s="2">
        <v>1</v>
      </c>
      <c r="F9671" s="9"/>
      <c r="G9671" s="8">
        <f t="shared" si="300"/>
        <v>215.71402493912288</v>
      </c>
      <c r="H9671" s="8">
        <v>205.44192851345036</v>
      </c>
      <c r="I9671" s="19">
        <f t="shared" si="301"/>
        <v>0</v>
      </c>
    </row>
    <row r="9672" spans="1:9" hidden="1">
      <c r="A9672" s="11" t="s">
        <v>11260</v>
      </c>
      <c r="B9672" s="2" t="s">
        <v>16844</v>
      </c>
      <c r="C9672" s="2" t="s">
        <v>16845</v>
      </c>
      <c r="D9672" s="2"/>
      <c r="E9672" s="2">
        <v>1</v>
      </c>
      <c r="F9672" s="9"/>
      <c r="G9672" s="8">
        <f t="shared" si="300"/>
        <v>262.22105908111769</v>
      </c>
      <c r="H9672" s="8">
        <v>249.73434198201684</v>
      </c>
      <c r="I9672" s="19">
        <f t="shared" si="301"/>
        <v>0</v>
      </c>
    </row>
    <row r="9673" spans="1:9" hidden="1">
      <c r="A9673" s="11" t="s">
        <v>11260</v>
      </c>
      <c r="B9673" s="2" t="s">
        <v>16846</v>
      </c>
      <c r="C9673" s="2" t="s">
        <v>16845</v>
      </c>
      <c r="D9673" s="2"/>
      <c r="E9673" s="2">
        <v>1</v>
      </c>
      <c r="F9673" s="9"/>
      <c r="G9673" s="8">
        <f t="shared" si="300"/>
        <v>387.73874129444977</v>
      </c>
      <c r="H9673" s="8">
        <v>369.27499170899978</v>
      </c>
      <c r="I9673" s="19">
        <f t="shared" si="301"/>
        <v>0</v>
      </c>
    </row>
    <row r="9674" spans="1:9" hidden="1">
      <c r="A9674" s="11" t="s">
        <v>11260</v>
      </c>
      <c r="B9674" s="2" t="s">
        <v>16847</v>
      </c>
      <c r="C9674" s="2" t="s">
        <v>16845</v>
      </c>
      <c r="D9674" s="2"/>
      <c r="E9674" s="2">
        <v>1</v>
      </c>
      <c r="F9674" s="9"/>
      <c r="G9674" s="8">
        <f t="shared" si="300"/>
        <v>31.328140753376353</v>
      </c>
      <c r="H9674" s="8">
        <v>29.836324527025099</v>
      </c>
      <c r="I9674" s="19">
        <f t="shared" si="301"/>
        <v>0</v>
      </c>
    </row>
    <row r="9675" spans="1:9" hidden="1">
      <c r="A9675" s="11" t="s">
        <v>11260</v>
      </c>
      <c r="B9675" s="2" t="s">
        <v>16848</v>
      </c>
      <c r="C9675" s="2" t="s">
        <v>16845</v>
      </c>
      <c r="D9675" s="2"/>
      <c r="E9675" s="2">
        <v>1</v>
      </c>
      <c r="F9675" s="9"/>
      <c r="G9675" s="8">
        <f t="shared" si="300"/>
        <v>36.951991012570431</v>
      </c>
      <c r="H9675" s="8">
        <v>35.19237239292422</v>
      </c>
      <c r="I9675" s="19">
        <f t="shared" si="301"/>
        <v>0</v>
      </c>
    </row>
    <row r="9676" spans="1:9" hidden="1">
      <c r="A9676" s="11" t="s">
        <v>11260</v>
      </c>
      <c r="B9676" s="2" t="s">
        <v>16849</v>
      </c>
      <c r="C9676" s="2" t="s">
        <v>16850</v>
      </c>
      <c r="D9676" s="2"/>
      <c r="E9676" s="2">
        <v>1</v>
      </c>
      <c r="F9676" s="9"/>
      <c r="G9676" s="8">
        <f t="shared" si="300"/>
        <v>141.88320078635763</v>
      </c>
      <c r="H9676" s="8">
        <v>135.12685789176916</v>
      </c>
      <c r="I9676" s="19">
        <f t="shared" si="301"/>
        <v>0</v>
      </c>
    </row>
    <row r="9677" spans="1:9" hidden="1">
      <c r="A9677" s="11" t="s">
        <v>11260</v>
      </c>
      <c r="B9677" s="2" t="s">
        <v>16851</v>
      </c>
      <c r="C9677" s="2" t="s">
        <v>16850</v>
      </c>
      <c r="D9677" s="2"/>
      <c r="E9677" s="2">
        <v>1</v>
      </c>
      <c r="F9677" s="9"/>
      <c r="G9677" s="8">
        <f t="shared" si="300"/>
        <v>213.08633788699399</v>
      </c>
      <c r="H9677" s="8">
        <v>202.93936941618475</v>
      </c>
      <c r="I9677" s="19">
        <f t="shared" si="301"/>
        <v>0</v>
      </c>
    </row>
    <row r="9678" spans="1:9" hidden="1">
      <c r="A9678" s="11" t="s">
        <v>11260</v>
      </c>
      <c r="B9678" s="2" t="s">
        <v>16852</v>
      </c>
      <c r="C9678" s="2" t="s">
        <v>16850</v>
      </c>
      <c r="D9678" s="2"/>
      <c r="E9678" s="2">
        <v>1</v>
      </c>
      <c r="F9678" s="9"/>
      <c r="G9678" s="8">
        <f t="shared" si="300"/>
        <v>21.053348738022319</v>
      </c>
      <c r="H9678" s="8">
        <v>20.050808321926016</v>
      </c>
      <c r="I9678" s="19">
        <f t="shared" si="301"/>
        <v>0</v>
      </c>
    </row>
    <row r="9679" spans="1:9" hidden="1">
      <c r="A9679" s="11" t="s">
        <v>11260</v>
      </c>
      <c r="B9679" s="2" t="s">
        <v>16853</v>
      </c>
      <c r="C9679" s="2" t="s">
        <v>16850</v>
      </c>
      <c r="D9679" s="2"/>
      <c r="E9679" s="2">
        <v>1</v>
      </c>
      <c r="F9679" s="9"/>
      <c r="G9679" s="8">
        <f t="shared" si="300"/>
        <v>24.078468939337995</v>
      </c>
      <c r="H9679" s="8">
        <v>22.931875180321899</v>
      </c>
      <c r="I9679" s="19">
        <f t="shared" si="301"/>
        <v>0</v>
      </c>
    </row>
    <row r="9680" spans="1:9" hidden="1">
      <c r="A9680" s="11" t="s">
        <v>11260</v>
      </c>
      <c r="B9680" s="2" t="s">
        <v>16854</v>
      </c>
      <c r="C9680" s="2" t="s">
        <v>16855</v>
      </c>
      <c r="D9680" s="2"/>
      <c r="E9680" s="2">
        <v>1</v>
      </c>
      <c r="F9680" s="9"/>
      <c r="G9680" s="8">
        <f t="shared" si="300"/>
        <v>157.91712113934807</v>
      </c>
      <c r="H9680" s="8">
        <v>150.39725822795054</v>
      </c>
      <c r="I9680" s="19">
        <f t="shared" si="301"/>
        <v>0</v>
      </c>
    </row>
    <row r="9681" spans="1:9" hidden="1">
      <c r="A9681" s="11" t="s">
        <v>11260</v>
      </c>
      <c r="B9681" s="2" t="s">
        <v>16856</v>
      </c>
      <c r="C9681" s="2" t="s">
        <v>16855</v>
      </c>
      <c r="D9681" s="2"/>
      <c r="E9681" s="2">
        <v>1</v>
      </c>
      <c r="F9681" s="9"/>
      <c r="G9681" s="8">
        <f t="shared" si="300"/>
        <v>254.36280595899677</v>
      </c>
      <c r="H9681" s="8">
        <v>242.25029138952073</v>
      </c>
      <c r="I9681" s="19">
        <f t="shared" si="301"/>
        <v>0</v>
      </c>
    </row>
    <row r="9682" spans="1:9" hidden="1">
      <c r="A9682" s="11" t="s">
        <v>11260</v>
      </c>
      <c r="B9682" s="2" t="s">
        <v>16857</v>
      </c>
      <c r="C9682" s="2" t="s">
        <v>16858</v>
      </c>
      <c r="D9682" s="2"/>
      <c r="E9682" s="2">
        <v>1</v>
      </c>
      <c r="F9682" s="9"/>
      <c r="G9682" s="8">
        <f t="shared" si="300"/>
        <v>249.46961014569411</v>
      </c>
      <c r="H9682" s="8">
        <v>237.59010490066106</v>
      </c>
      <c r="I9682" s="19">
        <f t="shared" si="301"/>
        <v>0</v>
      </c>
    </row>
    <row r="9683" spans="1:9" hidden="1">
      <c r="A9683" s="11" t="s">
        <v>11260</v>
      </c>
      <c r="B9683" s="2" t="s">
        <v>16859</v>
      </c>
      <c r="C9683" s="2" t="s">
        <v>16858</v>
      </c>
      <c r="D9683" s="2"/>
      <c r="E9683" s="2">
        <v>1</v>
      </c>
      <c r="F9683" s="9"/>
      <c r="G9683" s="8">
        <f t="shared" si="300"/>
        <v>383.13254289870895</v>
      </c>
      <c r="H9683" s="8">
        <v>364.88813609400853</v>
      </c>
      <c r="I9683" s="19">
        <f t="shared" si="301"/>
        <v>0</v>
      </c>
    </row>
    <row r="9684" spans="1:9" hidden="1">
      <c r="A9684" s="11" t="s">
        <v>11260</v>
      </c>
      <c r="B9684" s="2" t="s">
        <v>16860</v>
      </c>
      <c r="C9684" s="2" t="s">
        <v>16861</v>
      </c>
      <c r="D9684" s="2"/>
      <c r="E9684" s="2">
        <v>1</v>
      </c>
      <c r="F9684" s="9"/>
      <c r="G9684" s="8">
        <f t="shared" si="300"/>
        <v>145.49612114581691</v>
      </c>
      <c r="H9684" s="8">
        <v>138.56773442458754</v>
      </c>
      <c r="I9684" s="19">
        <f t="shared" si="301"/>
        <v>0</v>
      </c>
    </row>
    <row r="9685" spans="1:9" hidden="1">
      <c r="A9685" s="11" t="s">
        <v>11260</v>
      </c>
      <c r="B9685" s="2" t="s">
        <v>16862</v>
      </c>
      <c r="C9685" s="2" t="s">
        <v>16861</v>
      </c>
      <c r="D9685" s="2"/>
      <c r="E9685" s="2">
        <v>1</v>
      </c>
      <c r="F9685" s="9"/>
      <c r="G9685" s="8">
        <f t="shared" si="300"/>
        <v>219.96190366338271</v>
      </c>
      <c r="H9685" s="8">
        <v>209.48752729845972</v>
      </c>
      <c r="I9685" s="19">
        <f t="shared" si="301"/>
        <v>0</v>
      </c>
    </row>
    <row r="9686" spans="1:9" hidden="1">
      <c r="A9686" s="11" t="s">
        <v>11260</v>
      </c>
      <c r="B9686" s="2" t="s">
        <v>16863</v>
      </c>
      <c r="C9686" s="2" t="s">
        <v>16864</v>
      </c>
      <c r="D9686" s="2" t="s">
        <v>812</v>
      </c>
      <c r="E9686" s="2">
        <v>1</v>
      </c>
      <c r="F9686" s="9"/>
      <c r="G9686" s="8">
        <f t="shared" si="300"/>
        <v>28.843499999999999</v>
      </c>
      <c r="H9686" s="8">
        <v>27.47</v>
      </c>
      <c r="I9686" s="19">
        <f t="shared" si="301"/>
        <v>0</v>
      </c>
    </row>
    <row r="9687" spans="1:9" hidden="1">
      <c r="A9687" s="11" t="s">
        <v>11260</v>
      </c>
      <c r="B9687" s="2" t="s">
        <v>16865</v>
      </c>
      <c r="C9687" s="2" t="s">
        <v>16866</v>
      </c>
      <c r="D9687" s="2"/>
      <c r="E9687" s="2">
        <v>1</v>
      </c>
      <c r="F9687" s="9"/>
      <c r="G9687" s="8">
        <f t="shared" si="300"/>
        <v>0.64449000000000012</v>
      </c>
      <c r="H9687" s="8">
        <v>0.61380000000000012</v>
      </c>
      <c r="I9687" s="19">
        <f t="shared" si="301"/>
        <v>0</v>
      </c>
    </row>
    <row r="9688" spans="1:9" hidden="1">
      <c r="A9688" s="11" t="s">
        <v>11260</v>
      </c>
      <c r="B9688" s="2" t="s">
        <v>16867</v>
      </c>
      <c r="C9688" s="2" t="s">
        <v>16868</v>
      </c>
      <c r="D9688" s="2"/>
      <c r="E9688" s="2">
        <v>1</v>
      </c>
      <c r="F9688" s="9"/>
      <c r="G9688" s="8">
        <f t="shared" ref="G9688:G9719" si="302">H9688+(H9688*5%)</f>
        <v>5.5650000000000005E-2</v>
      </c>
      <c r="H9688" s="8">
        <v>5.3000000000000005E-2</v>
      </c>
      <c r="I9688" s="19">
        <f t="shared" ref="I9688:I9719" si="303">G9688*F9688</f>
        <v>0</v>
      </c>
    </row>
    <row r="9689" spans="1:9" hidden="1">
      <c r="A9689" s="11" t="s">
        <v>11260</v>
      </c>
      <c r="B9689" s="2" t="s">
        <v>16869</v>
      </c>
      <c r="C9689" s="2" t="s">
        <v>16870</v>
      </c>
      <c r="D9689" s="2"/>
      <c r="E9689" s="2">
        <v>1</v>
      </c>
      <c r="F9689" s="9"/>
      <c r="G9689" s="8">
        <f t="shared" si="302"/>
        <v>5.5650000000000005E-2</v>
      </c>
      <c r="H9689" s="8">
        <v>5.3000000000000005E-2</v>
      </c>
      <c r="I9689" s="19">
        <f t="shared" si="303"/>
        <v>0</v>
      </c>
    </row>
    <row r="9690" spans="1:9" hidden="1">
      <c r="A9690" s="11" t="s">
        <v>11260</v>
      </c>
      <c r="B9690" s="2" t="s">
        <v>16871</v>
      </c>
      <c r="C9690" s="2" t="s">
        <v>16872</v>
      </c>
      <c r="D9690" s="2"/>
      <c r="E9690" s="2">
        <v>1</v>
      </c>
      <c r="F9690" s="9"/>
      <c r="G9690" s="8">
        <f t="shared" si="302"/>
        <v>11.452769999999999</v>
      </c>
      <c r="H9690" s="8">
        <v>10.907399999999999</v>
      </c>
      <c r="I9690" s="19">
        <f t="shared" si="303"/>
        <v>0</v>
      </c>
    </row>
    <row r="9691" spans="1:9" hidden="1">
      <c r="A9691" s="11" t="s">
        <v>11260</v>
      </c>
      <c r="B9691" s="2" t="s">
        <v>16873</v>
      </c>
      <c r="C9691" s="2" t="s">
        <v>16874</v>
      </c>
      <c r="D9691" s="2"/>
      <c r="E9691" s="2">
        <v>1</v>
      </c>
      <c r="F9691" s="9"/>
      <c r="G9691" s="8">
        <f t="shared" si="302"/>
        <v>18.23094</v>
      </c>
      <c r="H9691" s="8">
        <v>17.3628</v>
      </c>
      <c r="I9691" s="19">
        <f t="shared" si="303"/>
        <v>0</v>
      </c>
    </row>
    <row r="9692" spans="1:9" hidden="1">
      <c r="A9692" s="11" t="s">
        <v>11260</v>
      </c>
      <c r="B9692" s="2" t="s">
        <v>16875</v>
      </c>
      <c r="C9692" s="2" t="s">
        <v>16876</v>
      </c>
      <c r="D9692" s="2"/>
      <c r="E9692" s="2">
        <v>1</v>
      </c>
      <c r="F9692" s="9"/>
      <c r="G9692" s="8">
        <f t="shared" si="302"/>
        <v>7.5061711607142847</v>
      </c>
      <c r="H9692" s="8">
        <v>7.1487344387755094</v>
      </c>
      <c r="I9692" s="19">
        <f t="shared" si="303"/>
        <v>0</v>
      </c>
    </row>
    <row r="9693" spans="1:9" hidden="1">
      <c r="A9693" s="11" t="s">
        <v>11260</v>
      </c>
      <c r="B9693" s="2" t="s">
        <v>16877</v>
      </c>
      <c r="C9693" s="2" t="s">
        <v>10935</v>
      </c>
      <c r="D9693" s="2"/>
      <c r="E9693" s="2">
        <v>1</v>
      </c>
      <c r="F9693" s="9"/>
      <c r="G9693" s="8">
        <f t="shared" si="302"/>
        <v>9.1154700000000002</v>
      </c>
      <c r="H9693" s="8">
        <v>8.6814</v>
      </c>
      <c r="I9693" s="19">
        <f t="shared" si="303"/>
        <v>0</v>
      </c>
    </row>
    <row r="9694" spans="1:9" hidden="1">
      <c r="A9694" s="11" t="s">
        <v>11260</v>
      </c>
      <c r="B9694" s="2" t="s">
        <v>16878</v>
      </c>
      <c r="C9694" s="2" t="s">
        <v>16879</v>
      </c>
      <c r="D9694" s="2"/>
      <c r="E9694" s="2">
        <v>1</v>
      </c>
      <c r="F9694" s="9"/>
      <c r="G9694" s="8">
        <f t="shared" si="302"/>
        <v>7.2345000000000006</v>
      </c>
      <c r="H9694" s="8">
        <v>6.8900000000000006</v>
      </c>
      <c r="I9694" s="19">
        <f t="shared" si="303"/>
        <v>0</v>
      </c>
    </row>
    <row r="9695" spans="1:9" hidden="1">
      <c r="A9695" s="11" t="s">
        <v>11260</v>
      </c>
      <c r="B9695" s="2" t="s">
        <v>16880</v>
      </c>
      <c r="C9695" s="2" t="s">
        <v>16881</v>
      </c>
      <c r="D9695" s="2"/>
      <c r="E9695" s="2">
        <v>1</v>
      </c>
      <c r="F9695" s="9"/>
      <c r="G9695" s="8">
        <f t="shared" si="302"/>
        <v>205.70465999999999</v>
      </c>
      <c r="H9695" s="8">
        <v>195.9092</v>
      </c>
      <c r="I9695" s="19">
        <f t="shared" si="303"/>
        <v>0</v>
      </c>
    </row>
    <row r="9696" spans="1:9" hidden="1">
      <c r="A9696" s="11" t="s">
        <v>11260</v>
      </c>
      <c r="B9696" s="2" t="s">
        <v>16882</v>
      </c>
      <c r="C9696" s="2" t="s">
        <v>16883</v>
      </c>
      <c r="D9696" s="2"/>
      <c r="E9696" s="2">
        <v>1</v>
      </c>
      <c r="F9696" s="9"/>
      <c r="G9696" s="8">
        <f t="shared" si="302"/>
        <v>191.51391000000001</v>
      </c>
      <c r="H9696" s="8">
        <v>182.39420000000001</v>
      </c>
      <c r="I9696" s="19">
        <f t="shared" si="303"/>
        <v>0</v>
      </c>
    </row>
    <row r="9697" spans="1:9" hidden="1">
      <c r="A9697" s="11" t="s">
        <v>11260</v>
      </c>
      <c r="B9697" s="2" t="s">
        <v>16884</v>
      </c>
      <c r="C9697" s="2" t="s">
        <v>16885</v>
      </c>
      <c r="D9697" s="2"/>
      <c r="E9697" s="2">
        <v>1</v>
      </c>
      <c r="F9697" s="9"/>
      <c r="G9697" s="8">
        <f t="shared" si="302"/>
        <v>187.98570000000001</v>
      </c>
      <c r="H9697" s="8">
        <v>179.03400000000002</v>
      </c>
      <c r="I9697" s="19">
        <f t="shared" si="303"/>
        <v>0</v>
      </c>
    </row>
    <row r="9698" spans="1:9" hidden="1">
      <c r="A9698" s="11" t="s">
        <v>11260</v>
      </c>
      <c r="B9698" s="2" t="s">
        <v>16886</v>
      </c>
      <c r="C9698" s="2" t="s">
        <v>16887</v>
      </c>
      <c r="D9698" s="2"/>
      <c r="E9698" s="2">
        <v>1</v>
      </c>
      <c r="F9698" s="9"/>
      <c r="G9698" s="8">
        <f t="shared" si="302"/>
        <v>39.391369262415523</v>
      </c>
      <c r="H9698" s="8">
        <v>37.515589773729069</v>
      </c>
      <c r="I9698" s="19">
        <f t="shared" si="303"/>
        <v>0</v>
      </c>
    </row>
    <row r="9699" spans="1:9" hidden="1">
      <c r="A9699" s="11" t="s">
        <v>11260</v>
      </c>
      <c r="B9699" s="2" t="s">
        <v>16888</v>
      </c>
      <c r="C9699" s="2" t="s">
        <v>16889</v>
      </c>
      <c r="D9699" s="2"/>
      <c r="E9699" s="2">
        <v>1</v>
      </c>
      <c r="F9699" s="9"/>
      <c r="G9699" s="8">
        <f t="shared" si="302"/>
        <v>17.997210000000003</v>
      </c>
      <c r="H9699" s="8">
        <v>17.140200000000004</v>
      </c>
      <c r="I9699" s="19">
        <f t="shared" si="303"/>
        <v>0</v>
      </c>
    </row>
    <row r="9700" spans="1:9" hidden="1">
      <c r="A9700" s="11" t="s">
        <v>11260</v>
      </c>
      <c r="B9700" s="2" t="s">
        <v>16890</v>
      </c>
      <c r="C9700" s="2" t="s">
        <v>16891</v>
      </c>
      <c r="D9700" s="2"/>
      <c r="E9700" s="2">
        <v>1</v>
      </c>
      <c r="F9700" s="9"/>
      <c r="G9700" s="8">
        <f t="shared" si="302"/>
        <v>6.5889600000000002</v>
      </c>
      <c r="H9700" s="8">
        <v>6.2751999999999999</v>
      </c>
      <c r="I9700" s="19">
        <f t="shared" si="303"/>
        <v>0</v>
      </c>
    </row>
    <row r="9701" spans="1:9" hidden="1">
      <c r="A9701" s="11" t="s">
        <v>11260</v>
      </c>
      <c r="B9701" s="2" t="s">
        <v>16892</v>
      </c>
      <c r="C9701" s="2" t="s">
        <v>16893</v>
      </c>
      <c r="D9701" s="2"/>
      <c r="E9701" s="2">
        <v>1</v>
      </c>
      <c r="F9701" s="9"/>
      <c r="G9701" s="8">
        <f t="shared" si="302"/>
        <v>52.689420000000005</v>
      </c>
      <c r="H9701" s="8">
        <v>50.180400000000006</v>
      </c>
      <c r="I9701" s="19">
        <f t="shared" si="303"/>
        <v>0</v>
      </c>
    </row>
    <row r="9702" spans="1:9" hidden="1">
      <c r="A9702" s="11" t="s">
        <v>11260</v>
      </c>
      <c r="B9702" s="2" t="s">
        <v>16894</v>
      </c>
      <c r="C9702" s="2" t="s">
        <v>16895</v>
      </c>
      <c r="D9702" s="2"/>
      <c r="E9702" s="2">
        <v>1</v>
      </c>
      <c r="F9702" s="9"/>
      <c r="G9702" s="8">
        <f t="shared" si="302"/>
        <v>68.193510000000003</v>
      </c>
      <c r="H9702" s="8">
        <v>64.946200000000005</v>
      </c>
      <c r="I9702" s="19">
        <f t="shared" si="303"/>
        <v>0</v>
      </c>
    </row>
    <row r="9703" spans="1:9" hidden="1">
      <c r="A9703" s="11" t="s">
        <v>11260</v>
      </c>
      <c r="B9703" s="2" t="s">
        <v>16896</v>
      </c>
      <c r="C9703" s="2" t="s">
        <v>16897</v>
      </c>
      <c r="D9703" s="2"/>
      <c r="E9703" s="2">
        <v>1</v>
      </c>
      <c r="F9703" s="9"/>
      <c r="G9703" s="8">
        <f t="shared" si="302"/>
        <v>10.81836</v>
      </c>
      <c r="H9703" s="8">
        <v>10.3032</v>
      </c>
      <c r="I9703" s="19">
        <f t="shared" si="303"/>
        <v>0</v>
      </c>
    </row>
    <row r="9704" spans="1:9" hidden="1">
      <c r="A9704" s="11" t="s">
        <v>11260</v>
      </c>
      <c r="B9704" s="2" t="s">
        <v>16898</v>
      </c>
      <c r="C9704" s="2" t="s">
        <v>16899</v>
      </c>
      <c r="D9704" s="2"/>
      <c r="E9704" s="2">
        <v>1</v>
      </c>
      <c r="F9704" s="9"/>
      <c r="G9704" s="8">
        <f t="shared" si="302"/>
        <v>24.055499999999999</v>
      </c>
      <c r="H9704" s="8">
        <v>22.91</v>
      </c>
      <c r="I9704" s="19">
        <f t="shared" si="303"/>
        <v>0</v>
      </c>
    </row>
    <row r="9705" spans="1:9" hidden="1">
      <c r="A9705" s="11" t="s">
        <v>11260</v>
      </c>
      <c r="B9705" s="2" t="s">
        <v>16900</v>
      </c>
      <c r="C9705" s="2" t="s">
        <v>16901</v>
      </c>
      <c r="D9705" s="2"/>
      <c r="E9705" s="2">
        <v>1</v>
      </c>
      <c r="F9705" s="9"/>
      <c r="G9705" s="8">
        <f t="shared" si="302"/>
        <v>60.500999999999998</v>
      </c>
      <c r="H9705" s="8">
        <v>57.62</v>
      </c>
      <c r="I9705" s="19">
        <f t="shared" si="303"/>
        <v>0</v>
      </c>
    </row>
    <row r="9706" spans="1:9" hidden="1">
      <c r="A9706" s="11" t="s">
        <v>11260</v>
      </c>
      <c r="B9706" s="2" t="s">
        <v>16902</v>
      </c>
      <c r="C9706" s="2" t="s">
        <v>16903</v>
      </c>
      <c r="D9706" s="2"/>
      <c r="E9706" s="2">
        <v>1</v>
      </c>
      <c r="F9706" s="9"/>
      <c r="G9706" s="8">
        <f t="shared" si="302"/>
        <v>6.657</v>
      </c>
      <c r="H9706" s="8">
        <v>6.34</v>
      </c>
      <c r="I9706" s="19">
        <f t="shared" si="303"/>
        <v>0</v>
      </c>
    </row>
    <row r="9707" spans="1:9" hidden="1">
      <c r="A9707" s="11" t="s">
        <v>11260</v>
      </c>
      <c r="B9707" s="5">
        <v>510</v>
      </c>
      <c r="C9707" s="2" t="s">
        <v>16904</v>
      </c>
      <c r="D9707" s="2"/>
      <c r="E9707" s="2">
        <v>1</v>
      </c>
      <c r="F9707" s="9"/>
      <c r="G9707" s="8">
        <f t="shared" si="302"/>
        <v>5.2500000000000005E-2</v>
      </c>
      <c r="H9707" s="8">
        <v>0.05</v>
      </c>
      <c r="I9707" s="19">
        <f t="shared" si="303"/>
        <v>0</v>
      </c>
    </row>
    <row r="9708" spans="1:9" hidden="1">
      <c r="A9708" s="11" t="s">
        <v>11260</v>
      </c>
      <c r="B9708" s="5" t="s">
        <v>16905</v>
      </c>
      <c r="C9708" s="2" t="s">
        <v>16906</v>
      </c>
      <c r="D9708" s="2"/>
      <c r="E9708" s="2">
        <v>1</v>
      </c>
      <c r="F9708" s="9"/>
      <c r="G9708" s="8">
        <f t="shared" si="302"/>
        <v>2.2890000000000001</v>
      </c>
      <c r="H9708" s="8">
        <v>2.1800000000000002</v>
      </c>
      <c r="I9708" s="19">
        <f t="shared" si="303"/>
        <v>0</v>
      </c>
    </row>
    <row r="9709" spans="1:9" hidden="1">
      <c r="A9709" s="11" t="s">
        <v>11260</v>
      </c>
      <c r="B9709" s="5" t="s">
        <v>16907</v>
      </c>
      <c r="C9709" s="2" t="s">
        <v>16908</v>
      </c>
      <c r="D9709" s="2"/>
      <c r="E9709" s="2">
        <v>1</v>
      </c>
      <c r="F9709" s="9"/>
      <c r="G9709" s="8">
        <f t="shared" si="302"/>
        <v>296.43599999999998</v>
      </c>
      <c r="H9709" s="8">
        <v>282.32</v>
      </c>
      <c r="I9709" s="19">
        <f t="shared" si="303"/>
        <v>0</v>
      </c>
    </row>
    <row r="9710" spans="1:9" hidden="1">
      <c r="A9710" s="11" t="s">
        <v>11260</v>
      </c>
      <c r="B9710" s="5" t="s">
        <v>16909</v>
      </c>
      <c r="C9710" s="2" t="s">
        <v>16910</v>
      </c>
      <c r="D9710" s="2"/>
      <c r="E9710" s="2">
        <v>1</v>
      </c>
      <c r="F9710" s="9"/>
      <c r="G9710" s="8">
        <f t="shared" si="302"/>
        <v>328.09350000000001</v>
      </c>
      <c r="H9710" s="8">
        <v>312.47000000000003</v>
      </c>
      <c r="I9710" s="19">
        <f t="shared" si="303"/>
        <v>0</v>
      </c>
    </row>
    <row r="9711" spans="1:9" hidden="1">
      <c r="A9711" s="11" t="s">
        <v>11260</v>
      </c>
      <c r="B9711" s="5" t="s">
        <v>16911</v>
      </c>
      <c r="C9711" s="2" t="s">
        <v>16912</v>
      </c>
      <c r="D9711" s="2"/>
      <c r="E9711" s="2">
        <v>1</v>
      </c>
      <c r="F9711" s="9"/>
      <c r="G9711" s="8">
        <f t="shared" si="302"/>
        <v>151.6515</v>
      </c>
      <c r="H9711" s="8">
        <v>144.43</v>
      </c>
      <c r="I9711" s="19">
        <f t="shared" si="303"/>
        <v>0</v>
      </c>
    </row>
    <row r="9712" spans="1:9" hidden="1">
      <c r="A9712" s="11" t="s">
        <v>11260</v>
      </c>
      <c r="B9712" s="5" t="s">
        <v>16913</v>
      </c>
      <c r="C9712" s="2" t="s">
        <v>16914</v>
      </c>
      <c r="D9712" s="2"/>
      <c r="E9712" s="2">
        <v>1</v>
      </c>
      <c r="F9712" s="9"/>
      <c r="G9712" s="8">
        <f t="shared" si="302"/>
        <v>163.28549999999998</v>
      </c>
      <c r="H9712" s="8">
        <v>155.51</v>
      </c>
      <c r="I9712" s="19">
        <f t="shared" si="303"/>
        <v>0</v>
      </c>
    </row>
    <row r="9713" spans="1:10" hidden="1">
      <c r="A9713" s="11" t="s">
        <v>11260</v>
      </c>
      <c r="B9713" s="5" t="s">
        <v>16915</v>
      </c>
      <c r="C9713" s="2" t="s">
        <v>16916</v>
      </c>
      <c r="D9713" s="2"/>
      <c r="E9713" s="2">
        <v>1</v>
      </c>
      <c r="F9713" s="9"/>
      <c r="G9713" s="8">
        <f t="shared" si="302"/>
        <v>234.2235</v>
      </c>
      <c r="H9713" s="8">
        <v>223.07</v>
      </c>
      <c r="I9713" s="19">
        <f t="shared" si="303"/>
        <v>0</v>
      </c>
    </row>
    <row r="9714" spans="1:10" hidden="1">
      <c r="A9714" s="11" t="s">
        <v>11260</v>
      </c>
      <c r="B9714" s="5" t="s">
        <v>16917</v>
      </c>
      <c r="C9714" s="2" t="s">
        <v>16918</v>
      </c>
      <c r="D9714" s="2"/>
      <c r="E9714" s="2">
        <v>1</v>
      </c>
      <c r="F9714" s="9"/>
      <c r="G9714" s="8">
        <f t="shared" si="302"/>
        <v>175.01400000000001</v>
      </c>
      <c r="H9714" s="8">
        <v>166.68</v>
      </c>
      <c r="I9714" s="19">
        <f t="shared" si="303"/>
        <v>0</v>
      </c>
    </row>
    <row r="9715" spans="1:10" hidden="1">
      <c r="A9715" s="11" t="s">
        <v>11260</v>
      </c>
      <c r="B9715" s="5" t="s">
        <v>16919</v>
      </c>
      <c r="C9715" s="2" t="s">
        <v>16920</v>
      </c>
      <c r="D9715" s="2"/>
      <c r="E9715" s="2">
        <v>1</v>
      </c>
      <c r="F9715" s="9"/>
      <c r="G9715" s="8">
        <f t="shared" si="302"/>
        <v>150.31799999999998</v>
      </c>
      <c r="H9715" s="8">
        <v>143.16</v>
      </c>
      <c r="I9715" s="19">
        <f t="shared" si="303"/>
        <v>0</v>
      </c>
    </row>
    <row r="9716" spans="1:10" hidden="1">
      <c r="A9716" s="11" t="s">
        <v>11260</v>
      </c>
      <c r="B9716" s="5" t="s">
        <v>16921</v>
      </c>
      <c r="C9716" s="2" t="s">
        <v>16922</v>
      </c>
      <c r="D9716" s="2"/>
      <c r="E9716" s="2">
        <v>1</v>
      </c>
      <c r="F9716" s="9"/>
      <c r="G9716" s="8">
        <f t="shared" si="302"/>
        <v>265.15649999999999</v>
      </c>
      <c r="H9716" s="8">
        <v>252.53</v>
      </c>
      <c r="I9716" s="19">
        <f t="shared" si="303"/>
        <v>0</v>
      </c>
    </row>
    <row r="9717" spans="1:10" hidden="1">
      <c r="A9717" s="11" t="s">
        <v>11260</v>
      </c>
      <c r="B9717" s="5" t="s">
        <v>16923</v>
      </c>
      <c r="C9717" s="2" t="s">
        <v>16924</v>
      </c>
      <c r="D9717" s="2"/>
      <c r="E9717" s="2">
        <v>1</v>
      </c>
      <c r="F9717" s="9"/>
      <c r="G9717" s="8">
        <f t="shared" si="302"/>
        <v>175.917</v>
      </c>
      <c r="H9717" s="8">
        <v>167.54</v>
      </c>
      <c r="I9717" s="19">
        <f t="shared" si="303"/>
        <v>0</v>
      </c>
    </row>
    <row r="9718" spans="1:10" hidden="1">
      <c r="A9718" s="11" t="s">
        <v>11260</v>
      </c>
      <c r="B9718" s="5" t="s">
        <v>16925</v>
      </c>
      <c r="C9718" s="2" t="s">
        <v>16926</v>
      </c>
      <c r="D9718" s="2"/>
      <c r="E9718" s="2">
        <v>1</v>
      </c>
      <c r="F9718" s="9"/>
      <c r="G9718" s="8">
        <f t="shared" si="302"/>
        <v>1181.4180000000001</v>
      </c>
      <c r="H9718" s="8">
        <v>1125.1600000000001</v>
      </c>
      <c r="I9718" s="19">
        <f t="shared" si="303"/>
        <v>0</v>
      </c>
    </row>
    <row r="9719" spans="1:10" hidden="1">
      <c r="A9719" s="11" t="s">
        <v>11260</v>
      </c>
      <c r="B9719" s="5" t="s">
        <v>16927</v>
      </c>
      <c r="C9719" s="2" t="s">
        <v>16928</v>
      </c>
      <c r="D9719" s="2"/>
      <c r="E9719" s="2">
        <v>1</v>
      </c>
      <c r="F9719" s="9"/>
      <c r="G9719" s="8">
        <f t="shared" si="302"/>
        <v>1.5960000000000001</v>
      </c>
      <c r="H9719" s="8">
        <v>1.52</v>
      </c>
      <c r="I9719" s="19">
        <f t="shared" si="303"/>
        <v>0</v>
      </c>
    </row>
    <row r="9720" spans="1:10" hidden="1">
      <c r="A9720" s="71" t="s">
        <v>16929</v>
      </c>
      <c r="B9720" s="5">
        <v>12618</v>
      </c>
      <c r="C9720" s="2" t="s">
        <v>16930</v>
      </c>
      <c r="D9720" s="2"/>
      <c r="E9720" s="2">
        <v>1</v>
      </c>
      <c r="F9720" s="9"/>
      <c r="G9720" s="8"/>
      <c r="H9720" s="16">
        <v>70.33</v>
      </c>
      <c r="I9720" s="19">
        <f>F9720*H9720</f>
        <v>0</v>
      </c>
    </row>
    <row r="9721" spans="1:10" hidden="1">
      <c r="A9721" s="71" t="s">
        <v>16929</v>
      </c>
      <c r="B9721" s="5">
        <v>11089</v>
      </c>
      <c r="C9721" s="2" t="s">
        <v>16931</v>
      </c>
      <c r="D9721" s="2"/>
      <c r="E9721" s="2">
        <v>1</v>
      </c>
      <c r="F9721" s="9"/>
      <c r="G9721" s="8"/>
      <c r="H9721" s="16">
        <v>61.67</v>
      </c>
      <c r="I9721" s="19">
        <f t="shared" ref="I9721:I9722" si="304">F9721*H9721</f>
        <v>0</v>
      </c>
    </row>
    <row r="9722" spans="1:10" hidden="1">
      <c r="A9722" s="71" t="s">
        <v>16929</v>
      </c>
      <c r="B9722" s="5">
        <v>10723</v>
      </c>
      <c r="C9722" s="2" t="s">
        <v>16932</v>
      </c>
      <c r="D9722" s="2"/>
      <c r="E9722" s="2">
        <v>1</v>
      </c>
      <c r="F9722" s="9"/>
      <c r="G9722" s="8"/>
      <c r="H9722" s="16">
        <v>69.739999999999995</v>
      </c>
      <c r="I9722" s="19">
        <f t="shared" si="304"/>
        <v>0</v>
      </c>
    </row>
    <row r="9723" spans="1:10">
      <c r="A9723" s="44" t="s">
        <v>16933</v>
      </c>
      <c r="B9723" s="5"/>
      <c r="C9723" s="35" t="s">
        <v>16934</v>
      </c>
      <c r="D9723" s="35"/>
      <c r="E9723" s="3">
        <v>1</v>
      </c>
      <c r="F9723" s="9">
        <v>10</v>
      </c>
      <c r="G9723" s="8"/>
      <c r="H9723" s="16">
        <v>29.36</v>
      </c>
      <c r="I9723" s="19">
        <f t="shared" ref="I9723:I9724" si="305">H9723*F9723</f>
        <v>293.60000000000002</v>
      </c>
    </row>
    <row r="9724" spans="1:10">
      <c r="A9724" s="44" t="s">
        <v>16933</v>
      </c>
      <c r="B9724" s="5"/>
      <c r="C9724" s="35" t="s">
        <v>16935</v>
      </c>
      <c r="D9724" s="35"/>
      <c r="E9724" s="3">
        <v>1</v>
      </c>
      <c r="F9724" s="9">
        <v>2</v>
      </c>
      <c r="G9724" s="8"/>
      <c r="H9724" s="16">
        <v>27.28</v>
      </c>
      <c r="I9724" s="19">
        <f t="shared" si="305"/>
        <v>54.56</v>
      </c>
    </row>
    <row r="9725" spans="1:10">
      <c r="A9725" s="44" t="s">
        <v>16933</v>
      </c>
      <c r="B9725" s="5"/>
      <c r="C9725" s="35" t="s">
        <v>16936</v>
      </c>
      <c r="D9725" s="35"/>
      <c r="E9725" s="3">
        <v>1</v>
      </c>
      <c r="F9725" s="9">
        <v>9</v>
      </c>
      <c r="G9725" s="8"/>
      <c r="H9725" s="16">
        <v>21.56</v>
      </c>
      <c r="I9725" s="19">
        <f>H9726*F9725</f>
        <v>179.73</v>
      </c>
    </row>
    <row r="9726" spans="1:10">
      <c r="A9726" s="44" t="s">
        <v>16933</v>
      </c>
      <c r="B9726" s="5"/>
      <c r="C9726" s="35" t="s">
        <v>16937</v>
      </c>
      <c r="D9726" s="35"/>
      <c r="E9726" s="3">
        <v>1</v>
      </c>
      <c r="F9726" s="9">
        <v>8</v>
      </c>
      <c r="G9726" s="8"/>
      <c r="H9726" s="16">
        <v>19.97</v>
      </c>
      <c r="I9726" s="19">
        <f>H9727*F9726</f>
        <v>63.44</v>
      </c>
    </row>
    <row r="9727" spans="1:10">
      <c r="A9727" s="65" t="s">
        <v>16938</v>
      </c>
      <c r="B9727" s="5"/>
      <c r="C9727" t="s">
        <v>16939</v>
      </c>
      <c r="D9727" s="35"/>
      <c r="E9727" s="3">
        <v>1</v>
      </c>
      <c r="F9727" s="9">
        <v>152</v>
      </c>
      <c r="G9727" s="8"/>
      <c r="H9727" s="16">
        <v>7.93</v>
      </c>
      <c r="I9727" s="19">
        <f>F9727*H9727</f>
        <v>1205.3599999999999</v>
      </c>
      <c r="J9727" s="76"/>
    </row>
    <row r="9728" spans="1:10" hidden="1">
      <c r="A9728" s="65" t="s">
        <v>16938</v>
      </c>
      <c r="B9728" s="5"/>
      <c r="C9728" s="35" t="s">
        <v>16940</v>
      </c>
      <c r="D9728" s="35"/>
      <c r="E9728" s="3">
        <v>1</v>
      </c>
      <c r="F9728" s="9"/>
      <c r="G9728" s="8"/>
      <c r="H9728" s="16">
        <v>49.31</v>
      </c>
      <c r="I9728" s="19">
        <f t="shared" ref="I9728:I9734" si="306">F9728*H9728</f>
        <v>0</v>
      </c>
    </row>
    <row r="9729" spans="1:10" hidden="1">
      <c r="A9729" s="65" t="s">
        <v>16938</v>
      </c>
      <c r="B9729" s="5"/>
      <c r="C9729" s="35" t="s">
        <v>16941</v>
      </c>
      <c r="D9729" s="35"/>
      <c r="E9729" s="3">
        <v>1</v>
      </c>
      <c r="F9729" s="9"/>
      <c r="G9729" s="8"/>
      <c r="H9729" s="16">
        <v>48.87</v>
      </c>
      <c r="I9729" s="19">
        <f t="shared" si="306"/>
        <v>0</v>
      </c>
    </row>
    <row r="9730" spans="1:10" hidden="1">
      <c r="A9730" s="65" t="s">
        <v>16938</v>
      </c>
      <c r="B9730" s="5"/>
      <c r="C9730" s="35" t="s">
        <v>16942</v>
      </c>
      <c r="D9730" s="35"/>
      <c r="E9730" s="3">
        <v>1</v>
      </c>
      <c r="F9730" s="9"/>
      <c r="G9730" s="8"/>
      <c r="H9730" s="16">
        <v>64.489999999999995</v>
      </c>
      <c r="I9730" s="19">
        <f t="shared" si="306"/>
        <v>0</v>
      </c>
      <c r="J9730" s="75"/>
    </row>
    <row r="9731" spans="1:10" hidden="1">
      <c r="A9731" s="65" t="s">
        <v>16938</v>
      </c>
      <c r="B9731" s="5"/>
      <c r="C9731" s="35" t="s">
        <v>16943</v>
      </c>
      <c r="D9731" s="35"/>
      <c r="E9731" s="3">
        <v>1</v>
      </c>
      <c r="F9731" s="9"/>
      <c r="G9731" s="8"/>
      <c r="H9731" s="16">
        <v>45.23</v>
      </c>
      <c r="I9731" s="19">
        <f t="shared" si="306"/>
        <v>0</v>
      </c>
    </row>
    <row r="9732" spans="1:10">
      <c r="A9732" s="65" t="s">
        <v>16938</v>
      </c>
      <c r="B9732" s="5"/>
      <c r="C9732" s="177" t="s">
        <v>16944</v>
      </c>
      <c r="D9732" s="35"/>
      <c r="E9732" s="3">
        <v>1</v>
      </c>
      <c r="F9732" s="9">
        <v>188</v>
      </c>
      <c r="G9732" s="8"/>
      <c r="H9732" s="16">
        <v>10.65</v>
      </c>
      <c r="I9732" s="19">
        <f t="shared" si="306"/>
        <v>2002.2</v>
      </c>
    </row>
    <row r="9733" spans="1:10">
      <c r="A9733" s="65" t="s">
        <v>16938</v>
      </c>
      <c r="B9733" s="5"/>
      <c r="C9733" t="s">
        <v>16945</v>
      </c>
      <c r="D9733" s="35"/>
      <c r="E9733" s="3"/>
      <c r="F9733" s="9">
        <v>192</v>
      </c>
      <c r="G9733" s="8"/>
      <c r="H9733" s="16">
        <v>11.25</v>
      </c>
      <c r="I9733" s="19">
        <f>F9733*H9733</f>
        <v>2160</v>
      </c>
    </row>
    <row r="9734" spans="1:10">
      <c r="A9734" s="65" t="s">
        <v>16938</v>
      </c>
      <c r="B9734" s="5"/>
      <c r="C9734" s="35" t="s">
        <v>16946</v>
      </c>
      <c r="D9734" s="35"/>
      <c r="E9734" s="3">
        <v>1</v>
      </c>
      <c r="F9734" s="9">
        <v>47</v>
      </c>
      <c r="G9734" s="8"/>
      <c r="H9734" s="16">
        <v>4.71</v>
      </c>
      <c r="I9734" s="19">
        <f t="shared" si="306"/>
        <v>221.37</v>
      </c>
    </row>
    <row r="9735" spans="1:10">
      <c r="A9735" s="65" t="s">
        <v>16938</v>
      </c>
      <c r="B9735" s="5"/>
      <c r="C9735" s="35" t="s">
        <v>16947</v>
      </c>
      <c r="D9735" s="35"/>
      <c r="E9735" s="3">
        <v>1</v>
      </c>
      <c r="F9735" s="9">
        <f>24+21+20</f>
        <v>65</v>
      </c>
      <c r="G9735" s="8"/>
      <c r="H9735" s="16">
        <v>11.31</v>
      </c>
      <c r="I9735" s="19">
        <f t="shared" ref="I9735:I9769" si="307">F9735*H9735</f>
        <v>735.15</v>
      </c>
      <c r="J9735" s="76"/>
    </row>
    <row r="9736" spans="1:10" hidden="1">
      <c r="A9736" s="65" t="s">
        <v>16938</v>
      </c>
      <c r="B9736" s="5"/>
      <c r="C9736" s="35" t="s">
        <v>16948</v>
      </c>
      <c r="D9736" s="35"/>
      <c r="E9736" s="3">
        <v>1</v>
      </c>
      <c r="F9736" s="9"/>
      <c r="G9736" s="8"/>
      <c r="H9736" s="16">
        <v>2.52</v>
      </c>
      <c r="I9736" s="19">
        <f t="shared" si="307"/>
        <v>0</v>
      </c>
    </row>
    <row r="9737" spans="1:10" hidden="1">
      <c r="A9737" s="65" t="s">
        <v>16938</v>
      </c>
      <c r="B9737" s="5"/>
      <c r="C9737" s="35" t="s">
        <v>16949</v>
      </c>
      <c r="D9737" s="35"/>
      <c r="E9737" s="3">
        <v>1</v>
      </c>
      <c r="F9737" s="9"/>
      <c r="G9737" s="8"/>
      <c r="H9737" s="16">
        <v>7.56</v>
      </c>
      <c r="I9737" s="19">
        <f t="shared" si="307"/>
        <v>0</v>
      </c>
    </row>
    <row r="9738" spans="1:10" hidden="1">
      <c r="A9738" s="65" t="s">
        <v>16938</v>
      </c>
      <c r="B9738" s="5"/>
      <c r="C9738" s="35" t="s">
        <v>16950</v>
      </c>
      <c r="D9738" s="35"/>
      <c r="E9738" s="3">
        <v>1</v>
      </c>
      <c r="F9738" s="9"/>
      <c r="G9738" s="8"/>
      <c r="H9738" s="16">
        <v>28.8</v>
      </c>
      <c r="I9738" s="19">
        <f t="shared" si="307"/>
        <v>0</v>
      </c>
    </row>
    <row r="9739" spans="1:10">
      <c r="A9739" s="65" t="s">
        <v>16938</v>
      </c>
      <c r="B9739" s="5"/>
      <c r="C9739" s="35" t="s">
        <v>16951</v>
      </c>
      <c r="D9739" s="35"/>
      <c r="E9739" s="3"/>
      <c r="F9739" s="9">
        <v>3</v>
      </c>
      <c r="G9739" s="8"/>
      <c r="H9739" s="16">
        <v>48</v>
      </c>
      <c r="I9739" s="19">
        <f>H9739*F9739</f>
        <v>144</v>
      </c>
    </row>
    <row r="9740" spans="1:10">
      <c r="A9740" s="65" t="s">
        <v>16938</v>
      </c>
      <c r="B9740" s="5"/>
      <c r="C9740" s="35" t="s">
        <v>16952</v>
      </c>
      <c r="D9740" s="35"/>
      <c r="E9740" s="3"/>
      <c r="F9740" s="9">
        <v>23</v>
      </c>
      <c r="G9740" s="8"/>
      <c r="H9740" s="16">
        <v>28.8</v>
      </c>
      <c r="I9740" s="19">
        <f t="shared" ref="I9740:I9743" si="308">H9740*F9740</f>
        <v>662.4</v>
      </c>
    </row>
    <row r="9741" spans="1:10">
      <c r="A9741" s="65" t="s">
        <v>16938</v>
      </c>
      <c r="B9741" s="5"/>
      <c r="C9741" s="35" t="s">
        <v>16953</v>
      </c>
      <c r="D9741" s="35"/>
      <c r="E9741" s="3"/>
      <c r="F9741" s="9">
        <v>16</v>
      </c>
      <c r="G9741" s="8"/>
      <c r="H9741" s="16">
        <v>48</v>
      </c>
      <c r="I9741" s="19">
        <f t="shared" si="308"/>
        <v>768</v>
      </c>
    </row>
    <row r="9742" spans="1:10">
      <c r="A9742" s="65" t="s">
        <v>16938</v>
      </c>
      <c r="B9742" s="5"/>
      <c r="C9742" s="35" t="s">
        <v>16954</v>
      </c>
      <c r="D9742" s="35"/>
      <c r="E9742" s="3">
        <v>1</v>
      </c>
      <c r="F9742" s="9">
        <v>8</v>
      </c>
      <c r="G9742" s="8"/>
      <c r="H9742" s="16">
        <v>28.8</v>
      </c>
      <c r="I9742" s="19">
        <f t="shared" si="308"/>
        <v>230.4</v>
      </c>
    </row>
    <row r="9743" spans="1:10">
      <c r="A9743" s="65" t="s">
        <v>16938</v>
      </c>
      <c r="B9743" s="5"/>
      <c r="C9743" s="35" t="s">
        <v>16955</v>
      </c>
      <c r="D9743" s="35"/>
      <c r="E9743" s="3"/>
      <c r="F9743" s="9">
        <v>4</v>
      </c>
      <c r="G9743" s="8"/>
      <c r="H9743" s="16">
        <v>48</v>
      </c>
      <c r="I9743" s="19">
        <f t="shared" si="308"/>
        <v>192</v>
      </c>
    </row>
    <row r="9744" spans="1:10" hidden="1">
      <c r="A9744" s="65" t="s">
        <v>16938</v>
      </c>
      <c r="B9744" s="5"/>
      <c r="C9744" s="35" t="s">
        <v>16956</v>
      </c>
      <c r="D9744" s="35"/>
      <c r="E9744" s="3">
        <v>1</v>
      </c>
      <c r="F9744" s="9"/>
      <c r="G9744" s="8"/>
      <c r="H9744" s="16">
        <v>5.31</v>
      </c>
      <c r="I9744" s="19">
        <f t="shared" si="307"/>
        <v>0</v>
      </c>
    </row>
    <row r="9745" spans="1:10" hidden="1">
      <c r="A9745" s="163" t="s">
        <v>16957</v>
      </c>
      <c r="B9745" s="5"/>
      <c r="C9745" s="134" t="s">
        <v>16958</v>
      </c>
      <c r="D9745" s="35"/>
      <c r="E9745" s="3"/>
      <c r="F9745" s="9"/>
      <c r="G9745" s="8">
        <f>H9745+(H9745*5%)</f>
        <v>19.404</v>
      </c>
      <c r="H9745" s="16">
        <v>18.48</v>
      </c>
      <c r="I9745" s="19">
        <f>G9745*F9745</f>
        <v>0</v>
      </c>
    </row>
    <row r="9746" spans="1:10" hidden="1">
      <c r="A9746" s="163" t="s">
        <v>16957</v>
      </c>
      <c r="B9746" s="5"/>
      <c r="C9746" s="134" t="s">
        <v>16959</v>
      </c>
      <c r="D9746" s="35"/>
      <c r="E9746" s="3"/>
      <c r="F9746" s="9"/>
      <c r="G9746" s="8">
        <f>H9746+(H9746*5%)</f>
        <v>17.094000000000001</v>
      </c>
      <c r="H9746" s="16">
        <v>16.28</v>
      </c>
      <c r="I9746" s="19">
        <f>G9746*F9746</f>
        <v>0</v>
      </c>
    </row>
    <row r="9747" spans="1:10" hidden="1">
      <c r="A9747" s="110" t="s">
        <v>16960</v>
      </c>
      <c r="B9747" s="5">
        <v>110205</v>
      </c>
      <c r="C9747" s="35" t="s">
        <v>16961</v>
      </c>
      <c r="D9747" s="35"/>
      <c r="E9747" s="3">
        <v>1</v>
      </c>
      <c r="F9747" s="9"/>
      <c r="G9747" s="8"/>
      <c r="H9747" s="16">
        <v>1950</v>
      </c>
      <c r="I9747" s="19">
        <f t="shared" si="307"/>
        <v>0</v>
      </c>
    </row>
    <row r="9748" spans="1:10" hidden="1">
      <c r="A9748" s="110" t="s">
        <v>16960</v>
      </c>
      <c r="B9748" s="5">
        <v>111202</v>
      </c>
      <c r="C9748" s="35" t="s">
        <v>16962</v>
      </c>
      <c r="D9748" s="35"/>
      <c r="E9748" s="3">
        <v>1</v>
      </c>
      <c r="F9748" s="9"/>
      <c r="G9748" s="8"/>
      <c r="H9748" s="16">
        <v>945</v>
      </c>
      <c r="I9748" s="19">
        <f t="shared" si="307"/>
        <v>0</v>
      </c>
    </row>
    <row r="9749" spans="1:10" hidden="1">
      <c r="A9749" s="110" t="s">
        <v>16960</v>
      </c>
      <c r="B9749" s="46" t="s">
        <v>16963</v>
      </c>
      <c r="C9749" s="35" t="s">
        <v>16964</v>
      </c>
      <c r="D9749" s="35"/>
      <c r="E9749" s="3">
        <v>1</v>
      </c>
      <c r="F9749" s="9"/>
      <c r="G9749" s="8"/>
      <c r="H9749" s="16">
        <v>555</v>
      </c>
      <c r="I9749" s="19">
        <f t="shared" si="307"/>
        <v>0</v>
      </c>
    </row>
    <row r="9750" spans="1:10">
      <c r="A9750" s="66" t="s">
        <v>16965</v>
      </c>
      <c r="B9750" s="5" t="s">
        <v>16966</v>
      </c>
      <c r="C9750" s="35" t="s">
        <v>16967</v>
      </c>
      <c r="D9750" s="35"/>
      <c r="E9750" s="3">
        <v>1</v>
      </c>
      <c r="F9750" s="9">
        <v>31</v>
      </c>
      <c r="G9750" s="8"/>
      <c r="H9750" s="16">
        <f>0.38+0.05</f>
        <v>0.43</v>
      </c>
      <c r="I9750" s="19">
        <f t="shared" si="307"/>
        <v>13.33</v>
      </c>
      <c r="J9750" s="63"/>
    </row>
    <row r="9751" spans="1:10" hidden="1">
      <c r="A9751" s="66" t="s">
        <v>16965</v>
      </c>
      <c r="B9751" s="5" t="s">
        <v>16968</v>
      </c>
      <c r="C9751" s="35" t="s">
        <v>16969</v>
      </c>
      <c r="D9751" s="35"/>
      <c r="E9751" s="3">
        <v>1</v>
      </c>
      <c r="F9751" s="9"/>
      <c r="G9751" s="8"/>
      <c r="H9751" s="16">
        <f>0.43+0.05</f>
        <v>0.48</v>
      </c>
      <c r="I9751" s="19">
        <f t="shared" si="307"/>
        <v>0</v>
      </c>
      <c r="J9751" s="63"/>
    </row>
    <row r="9752" spans="1:10" hidden="1">
      <c r="A9752" s="66" t="s">
        <v>16965</v>
      </c>
      <c r="B9752" s="5" t="s">
        <v>16970</v>
      </c>
      <c r="C9752" s="35" t="s">
        <v>16971</v>
      </c>
      <c r="D9752" s="35"/>
      <c r="E9752" s="3">
        <v>1</v>
      </c>
      <c r="F9752" s="9"/>
      <c r="G9752" s="8"/>
      <c r="H9752" s="16">
        <f>0.42+0.05</f>
        <v>0.47</v>
      </c>
      <c r="I9752" s="19">
        <f t="shared" si="307"/>
        <v>0</v>
      </c>
      <c r="J9752" s="63"/>
    </row>
    <row r="9753" spans="1:10" hidden="1">
      <c r="A9753" s="66" t="s">
        <v>16965</v>
      </c>
      <c r="B9753" s="5" t="s">
        <v>16972</v>
      </c>
      <c r="C9753" s="35" t="s">
        <v>16973</v>
      </c>
      <c r="D9753" s="35"/>
      <c r="E9753" s="3">
        <v>1</v>
      </c>
      <c r="F9753" s="9"/>
      <c r="G9753" s="8"/>
      <c r="H9753" s="16">
        <f>1.2+0.05</f>
        <v>1.25</v>
      </c>
      <c r="I9753" s="19">
        <f t="shared" si="307"/>
        <v>0</v>
      </c>
      <c r="J9753" s="63"/>
    </row>
    <row r="9754" spans="1:10" hidden="1">
      <c r="A9754" s="66" t="s">
        <v>16965</v>
      </c>
      <c r="B9754" s="5" t="s">
        <v>16974</v>
      </c>
      <c r="C9754" s="35" t="s">
        <v>16975</v>
      </c>
      <c r="D9754" s="35"/>
      <c r="E9754" s="3">
        <v>1</v>
      </c>
      <c r="F9754" s="9"/>
      <c r="G9754" s="8"/>
      <c r="H9754" s="16">
        <f>1.33+0.05</f>
        <v>1.3800000000000001</v>
      </c>
      <c r="I9754" s="19">
        <f t="shared" si="307"/>
        <v>0</v>
      </c>
      <c r="J9754" s="63"/>
    </row>
    <row r="9755" spans="1:10" hidden="1">
      <c r="A9755" s="66" t="s">
        <v>16965</v>
      </c>
      <c r="B9755" s="5" t="s">
        <v>16976</v>
      </c>
      <c r="C9755" s="35" t="s">
        <v>16977</v>
      </c>
      <c r="D9755" s="35"/>
      <c r="E9755" s="3">
        <v>1</v>
      </c>
      <c r="F9755" s="9"/>
      <c r="G9755" s="8"/>
      <c r="H9755" s="16">
        <f>0.25+0.05</f>
        <v>0.3</v>
      </c>
      <c r="I9755" s="19">
        <f t="shared" si="307"/>
        <v>0</v>
      </c>
      <c r="J9755" s="63"/>
    </row>
    <row r="9756" spans="1:10" hidden="1">
      <c r="A9756" s="66" t="s">
        <v>16965</v>
      </c>
      <c r="B9756" s="5" t="s">
        <v>16978</v>
      </c>
      <c r="C9756" s="35" t="s">
        <v>16979</v>
      </c>
      <c r="D9756" s="35"/>
      <c r="E9756" s="3">
        <v>1</v>
      </c>
      <c r="F9756" s="9"/>
      <c r="G9756" s="8"/>
      <c r="H9756" s="16">
        <f>0.24+0.05</f>
        <v>0.28999999999999998</v>
      </c>
      <c r="I9756" s="19">
        <f t="shared" si="307"/>
        <v>0</v>
      </c>
      <c r="J9756" s="63"/>
    </row>
    <row r="9757" spans="1:10" hidden="1">
      <c r="A9757" s="66" t="s">
        <v>16965</v>
      </c>
      <c r="B9757" s="5" t="s">
        <v>16980</v>
      </c>
      <c r="C9757" s="35" t="s">
        <v>16981</v>
      </c>
      <c r="D9757" s="35"/>
      <c r="E9757" s="3">
        <v>1</v>
      </c>
      <c r="F9757" s="9"/>
      <c r="G9757" s="8"/>
      <c r="H9757" s="16">
        <f>0.6+0.05</f>
        <v>0.65</v>
      </c>
      <c r="I9757" s="19">
        <f t="shared" si="307"/>
        <v>0</v>
      </c>
      <c r="J9757" s="63"/>
    </row>
    <row r="9758" spans="1:10" hidden="1">
      <c r="A9758" s="66" t="s">
        <v>16965</v>
      </c>
      <c r="B9758" s="5" t="s">
        <v>16982</v>
      </c>
      <c r="C9758" s="35" t="s">
        <v>16983</v>
      </c>
      <c r="D9758" s="35"/>
      <c r="E9758" s="3">
        <v>1</v>
      </c>
      <c r="F9758" s="9"/>
      <c r="G9758" s="8"/>
      <c r="H9758" s="16">
        <f>0.91+0.05</f>
        <v>0.96000000000000008</v>
      </c>
      <c r="I9758" s="19">
        <f t="shared" si="307"/>
        <v>0</v>
      </c>
      <c r="J9758" s="63"/>
    </row>
    <row r="9759" spans="1:10" hidden="1">
      <c r="A9759" s="66" t="s">
        <v>16965</v>
      </c>
      <c r="B9759" s="5" t="s">
        <v>16984</v>
      </c>
      <c r="C9759" s="35" t="s">
        <v>16985</v>
      </c>
      <c r="D9759" s="35"/>
      <c r="E9759" s="3">
        <v>1</v>
      </c>
      <c r="F9759" s="9"/>
      <c r="G9759" s="8"/>
      <c r="H9759" s="16">
        <f>0.94+0.05</f>
        <v>0.99</v>
      </c>
      <c r="I9759" s="19">
        <f t="shared" si="307"/>
        <v>0</v>
      </c>
      <c r="J9759" s="63"/>
    </row>
    <row r="9760" spans="1:10" hidden="1">
      <c r="A9760" s="66" t="s">
        <v>16965</v>
      </c>
      <c r="B9760" s="5" t="s">
        <v>16986</v>
      </c>
      <c r="C9760" s="35" t="s">
        <v>16987</v>
      </c>
      <c r="D9760" s="35"/>
      <c r="E9760" s="3">
        <v>1</v>
      </c>
      <c r="F9760" s="9"/>
      <c r="G9760" s="8"/>
      <c r="H9760" s="16">
        <f>0.67+0.05</f>
        <v>0.72000000000000008</v>
      </c>
      <c r="I9760" s="19">
        <f t="shared" si="307"/>
        <v>0</v>
      </c>
      <c r="J9760" s="63"/>
    </row>
    <row r="9761" spans="1:10">
      <c r="A9761" s="66" t="s">
        <v>16965</v>
      </c>
      <c r="B9761" s="5" t="s">
        <v>16988</v>
      </c>
      <c r="C9761" s="35" t="s">
        <v>16989</v>
      </c>
      <c r="D9761" s="35"/>
      <c r="E9761" s="3">
        <v>1</v>
      </c>
      <c r="F9761" s="9">
        <v>7</v>
      </c>
      <c r="G9761" s="8"/>
      <c r="H9761" s="16">
        <f>13.93+0.05</f>
        <v>13.98</v>
      </c>
      <c r="I9761" s="19">
        <f t="shared" si="307"/>
        <v>97.86</v>
      </c>
      <c r="J9761" s="63"/>
    </row>
    <row r="9762" spans="1:10" hidden="1">
      <c r="A9762" s="66" t="s">
        <v>16965</v>
      </c>
      <c r="B9762" s="5" t="s">
        <v>16990</v>
      </c>
      <c r="C9762" s="35" t="s">
        <v>16991</v>
      </c>
      <c r="D9762" s="35"/>
      <c r="E9762" s="3">
        <v>1</v>
      </c>
      <c r="F9762" s="9"/>
      <c r="G9762" s="8"/>
      <c r="H9762" s="16">
        <f>37.21+0.05</f>
        <v>37.26</v>
      </c>
      <c r="I9762" s="19">
        <f t="shared" si="307"/>
        <v>0</v>
      </c>
      <c r="J9762" s="63"/>
    </row>
    <row r="9763" spans="1:10" hidden="1">
      <c r="A9763" s="66" t="s">
        <v>16965</v>
      </c>
      <c r="B9763" s="5" t="s">
        <v>16992</v>
      </c>
      <c r="C9763" s="35" t="s">
        <v>16993</v>
      </c>
      <c r="D9763" s="35"/>
      <c r="E9763" s="3">
        <v>1</v>
      </c>
      <c r="F9763" s="9"/>
      <c r="G9763" s="8"/>
      <c r="H9763" s="16">
        <f>26.57+0.05</f>
        <v>26.62</v>
      </c>
      <c r="I9763" s="19">
        <f t="shared" si="307"/>
        <v>0</v>
      </c>
      <c r="J9763" s="63"/>
    </row>
    <row r="9764" spans="1:10" hidden="1">
      <c r="A9764" s="66" t="s">
        <v>16965</v>
      </c>
      <c r="B9764" s="5" t="s">
        <v>16994</v>
      </c>
      <c r="C9764" s="35" t="s">
        <v>16995</v>
      </c>
      <c r="D9764" s="35"/>
      <c r="E9764" s="3">
        <v>1</v>
      </c>
      <c r="F9764" s="9"/>
      <c r="G9764" s="8"/>
      <c r="H9764" s="16">
        <f>8.75+0.05</f>
        <v>8.8000000000000007</v>
      </c>
      <c r="I9764" s="19">
        <f t="shared" si="307"/>
        <v>0</v>
      </c>
      <c r="J9764" s="63"/>
    </row>
    <row r="9765" spans="1:10" hidden="1">
      <c r="A9765" s="66" t="s">
        <v>16965</v>
      </c>
      <c r="B9765" s="5" t="s">
        <v>16996</v>
      </c>
      <c r="C9765" s="35" t="s">
        <v>16997</v>
      </c>
      <c r="D9765" s="35"/>
      <c r="E9765" s="3">
        <v>1</v>
      </c>
      <c r="F9765" s="9"/>
      <c r="G9765" s="8"/>
      <c r="H9765" s="16">
        <f>7.55+0.05</f>
        <v>7.6</v>
      </c>
      <c r="I9765" s="19">
        <f t="shared" si="307"/>
        <v>0</v>
      </c>
      <c r="J9765" s="63"/>
    </row>
    <row r="9766" spans="1:10">
      <c r="A9766" s="66" t="s">
        <v>16965</v>
      </c>
      <c r="B9766" s="5" t="s">
        <v>16998</v>
      </c>
      <c r="C9766" s="35" t="s">
        <v>16999</v>
      </c>
      <c r="D9766" s="35"/>
      <c r="E9766" s="3">
        <v>1</v>
      </c>
      <c r="F9766" s="9">
        <v>71</v>
      </c>
      <c r="G9766" s="8"/>
      <c r="H9766" s="16">
        <v>0.24</v>
      </c>
      <c r="I9766" s="19">
        <f t="shared" si="307"/>
        <v>17.04</v>
      </c>
      <c r="J9766" s="63"/>
    </row>
    <row r="9767" spans="1:10">
      <c r="A9767" s="66" t="s">
        <v>16965</v>
      </c>
      <c r="B9767" s="5" t="s">
        <v>17000</v>
      </c>
      <c r="C9767" s="35" t="s">
        <v>17001</v>
      </c>
      <c r="D9767" s="35"/>
      <c r="E9767" s="3">
        <v>1</v>
      </c>
      <c r="F9767" s="9">
        <f>64+7</f>
        <v>71</v>
      </c>
      <c r="G9767" s="8"/>
      <c r="H9767" s="16">
        <v>0.25</v>
      </c>
      <c r="I9767" s="19">
        <f t="shared" si="307"/>
        <v>17.75</v>
      </c>
      <c r="J9767" s="63"/>
    </row>
    <row r="9768" spans="1:10" hidden="1">
      <c r="A9768" s="66" t="s">
        <v>16965</v>
      </c>
      <c r="B9768" s="5" t="s">
        <v>17002</v>
      </c>
      <c r="C9768" s="35" t="s">
        <v>17003</v>
      </c>
      <c r="D9768" s="35"/>
      <c r="E9768" s="3">
        <v>1</v>
      </c>
      <c r="F9768" s="9"/>
      <c r="G9768" s="8"/>
      <c r="H9768" s="16">
        <v>1.17</v>
      </c>
      <c r="I9768" s="19">
        <f t="shared" si="307"/>
        <v>0</v>
      </c>
      <c r="J9768" s="63"/>
    </row>
    <row r="9769" spans="1:10" hidden="1">
      <c r="A9769" s="91" t="s">
        <v>17004</v>
      </c>
      <c r="B9769" s="5">
        <v>827293</v>
      </c>
      <c r="C9769" s="35" t="s">
        <v>17005</v>
      </c>
      <c r="D9769" s="35" t="s">
        <v>572</v>
      </c>
      <c r="E9769" s="3">
        <v>1</v>
      </c>
      <c r="F9769" s="9"/>
      <c r="G9769" s="8"/>
      <c r="H9769" s="16">
        <v>20.190000000000001</v>
      </c>
      <c r="I9769" s="19">
        <f t="shared" si="307"/>
        <v>0</v>
      </c>
      <c r="J9769" s="64"/>
    </row>
    <row r="9770" spans="1:10" hidden="1">
      <c r="A9770" s="20" t="s">
        <v>17006</v>
      </c>
      <c r="B9770" s="5">
        <v>402030014</v>
      </c>
      <c r="C9770" s="35" t="s">
        <v>17007</v>
      </c>
      <c r="D9770" s="35"/>
      <c r="E9770" s="3">
        <v>1</v>
      </c>
      <c r="F9770" s="9"/>
      <c r="G9770" s="8"/>
      <c r="H9770" s="16">
        <v>69.31</v>
      </c>
      <c r="I9770" s="19">
        <f>H9774*F9770</f>
        <v>0</v>
      </c>
    </row>
    <row r="9771" spans="1:10">
      <c r="A9771" s="20" t="s">
        <v>17006</v>
      </c>
      <c r="B9771" s="5" t="s">
        <v>17008</v>
      </c>
      <c r="C9771" s="196" t="s">
        <v>17009</v>
      </c>
      <c r="D9771" s="35"/>
      <c r="E9771" s="3">
        <v>1</v>
      </c>
      <c r="F9771" s="9">
        <v>1</v>
      </c>
      <c r="G9771" s="8"/>
      <c r="H9771" s="16">
        <v>222.54</v>
      </c>
      <c r="I9771" s="19">
        <f>H9771*F9771</f>
        <v>222.54</v>
      </c>
    </row>
    <row r="9772" spans="1:10" hidden="1">
      <c r="A9772" s="142" t="s">
        <v>17010</v>
      </c>
      <c r="B9772" s="5">
        <v>4259</v>
      </c>
      <c r="C9772" s="143" t="s">
        <v>17011</v>
      </c>
      <c r="D9772" s="35"/>
      <c r="E9772" s="3">
        <v>1</v>
      </c>
      <c r="F9772" s="9"/>
      <c r="G9772" s="8"/>
      <c r="H9772" s="16">
        <v>15.01</v>
      </c>
      <c r="I9772" s="19">
        <f>H9788*F9772</f>
        <v>0</v>
      </c>
    </row>
    <row r="9773" spans="1:10">
      <c r="A9773" s="10" t="s">
        <v>17012</v>
      </c>
      <c r="B9773" s="5"/>
      <c r="C9773" s="35" t="s">
        <v>17013</v>
      </c>
      <c r="D9773" s="35"/>
      <c r="E9773" s="3">
        <v>1</v>
      </c>
      <c r="F9773" s="6">
        <v>3</v>
      </c>
      <c r="G9773" s="130"/>
      <c r="H9773" s="16">
        <v>8758.634</v>
      </c>
      <c r="I9773" s="19">
        <f>F9773*H9773</f>
        <v>26275.902000000002</v>
      </c>
    </row>
    <row r="9774" spans="1:10" hidden="1">
      <c r="A9774" s="10" t="s">
        <v>17012</v>
      </c>
      <c r="B9774" s="5"/>
      <c r="C9774" s="35" t="s">
        <v>17014</v>
      </c>
      <c r="D9774" s="35"/>
      <c r="E9774" s="3">
        <v>1</v>
      </c>
      <c r="F9774" s="6"/>
      <c r="G9774" s="130"/>
      <c r="H9774" s="16">
        <v>6000</v>
      </c>
      <c r="I9774" s="19">
        <f>H9788*F9774</f>
        <v>0</v>
      </c>
    </row>
    <row r="9775" spans="1:10">
      <c r="A9775" s="10" t="s">
        <v>17012</v>
      </c>
      <c r="B9775" s="5"/>
      <c r="C9775" s="35" t="s">
        <v>17015</v>
      </c>
      <c r="D9775" s="35"/>
      <c r="E9775" s="3">
        <v>1</v>
      </c>
      <c r="F9775" s="6">
        <v>8</v>
      </c>
      <c r="G9775" s="130"/>
      <c r="H9775" s="16">
        <v>10223.709999999999</v>
      </c>
      <c r="I9775" s="19">
        <f>F9775*H9775</f>
        <v>81789.679999999993</v>
      </c>
    </row>
    <row r="9776" spans="1:10">
      <c r="A9776" s="10" t="s">
        <v>17012</v>
      </c>
      <c r="B9776" s="5"/>
      <c r="C9776" s="35" t="s">
        <v>17016</v>
      </c>
      <c r="D9776" s="35"/>
      <c r="E9776" s="3">
        <v>1</v>
      </c>
      <c r="F9776" s="6">
        <v>4</v>
      </c>
      <c r="G9776" s="130"/>
      <c r="H9776" s="16">
        <v>2350</v>
      </c>
      <c r="I9776" s="19">
        <f>F9776*H9776</f>
        <v>9400</v>
      </c>
    </row>
    <row r="9777" spans="1:9" hidden="1">
      <c r="A9777" s="144" t="s">
        <v>17017</v>
      </c>
      <c r="B9777" s="5"/>
      <c r="C9777" s="134" t="s">
        <v>17018</v>
      </c>
      <c r="D9777" s="35"/>
      <c r="E9777" s="3"/>
      <c r="F9777" s="6"/>
      <c r="G9777" s="130"/>
      <c r="H9777" s="16">
        <v>17.5</v>
      </c>
      <c r="I9777" s="19">
        <f>H9793*F9777</f>
        <v>0</v>
      </c>
    </row>
    <row r="9778" spans="1:9" hidden="1">
      <c r="A9778" s="144" t="s">
        <v>17017</v>
      </c>
      <c r="B9778" s="5"/>
      <c r="C9778" s="134" t="s">
        <v>17019</v>
      </c>
      <c r="D9778" s="35"/>
      <c r="E9778" s="3"/>
      <c r="F9778" s="6"/>
      <c r="G9778" s="130"/>
      <c r="H9778" s="16">
        <v>18.34</v>
      </c>
      <c r="I9778" s="19">
        <f>H9794*F9778</f>
        <v>0</v>
      </c>
    </row>
    <row r="9779" spans="1:9">
      <c r="A9779" s="144" t="s">
        <v>17017</v>
      </c>
      <c r="B9779" s="5"/>
      <c r="C9779" s="134" t="s">
        <v>17020</v>
      </c>
      <c r="D9779" s="35"/>
      <c r="E9779" s="3"/>
      <c r="F9779" s="6">
        <v>60</v>
      </c>
      <c r="G9779" s="130"/>
      <c r="H9779" s="16">
        <v>6.38</v>
      </c>
      <c r="I9779" s="19">
        <f>H9805*F9779</f>
        <v>6724.2</v>
      </c>
    </row>
    <row r="9780" spans="1:9">
      <c r="A9780" s="144" t="s">
        <v>17017</v>
      </c>
      <c r="B9780" s="5"/>
      <c r="C9780" s="134" t="s">
        <v>17021</v>
      </c>
      <c r="D9780" s="35"/>
      <c r="E9780" s="3"/>
      <c r="F9780" s="6">
        <v>8</v>
      </c>
      <c r="G9780" s="130"/>
      <c r="H9780" s="16">
        <f>4*6.38</f>
        <v>25.52</v>
      </c>
      <c r="I9780" s="19">
        <f>H9806*F9780</f>
        <v>1032.72</v>
      </c>
    </row>
    <row r="9781" spans="1:9">
      <c r="A9781" s="144" t="s">
        <v>17017</v>
      </c>
      <c r="B9781" s="5"/>
      <c r="C9781" s="134" t="s">
        <v>17022</v>
      </c>
      <c r="D9781" s="35"/>
      <c r="E9781" s="3"/>
      <c r="F9781" s="6">
        <v>4</v>
      </c>
      <c r="G9781" s="130"/>
      <c r="H9781" s="16">
        <f>2*6.38</f>
        <v>12.76</v>
      </c>
      <c r="I9781" s="19">
        <f>H9807*F9781</f>
        <v>148.44</v>
      </c>
    </row>
    <row r="9782" spans="1:9" hidden="1">
      <c r="A9782" s="144" t="s">
        <v>17017</v>
      </c>
      <c r="B9782" s="5"/>
      <c r="C9782" s="134" t="s">
        <v>17023</v>
      </c>
      <c r="D9782" s="35"/>
      <c r="E9782" s="3"/>
      <c r="F9782" s="6"/>
      <c r="G9782" s="130"/>
      <c r="H9782" s="16">
        <v>19.579999999999998</v>
      </c>
      <c r="I9782" s="19">
        <f>H9806*F9782</f>
        <v>0</v>
      </c>
    </row>
    <row r="9783" spans="1:9" hidden="1">
      <c r="A9783" s="144" t="s">
        <v>17017</v>
      </c>
      <c r="B9783" s="5"/>
      <c r="C9783" s="134" t="s">
        <v>17024</v>
      </c>
      <c r="D9783" s="35"/>
      <c r="E9783" s="3"/>
      <c r="F9783" s="6"/>
      <c r="G9783" s="130"/>
      <c r="H9783" s="16">
        <v>12.84</v>
      </c>
      <c r="I9783" s="19">
        <f>H9813*F9783</f>
        <v>0</v>
      </c>
    </row>
    <row r="9784" spans="1:9">
      <c r="A9784" s="144" t="s">
        <v>17017</v>
      </c>
      <c r="B9784" s="5"/>
      <c r="C9784" s="134" t="s">
        <v>17025</v>
      </c>
      <c r="D9784" s="35"/>
      <c r="E9784" s="3">
        <v>1</v>
      </c>
      <c r="F9784" s="6">
        <v>20</v>
      </c>
      <c r="G9784" s="130"/>
      <c r="H9784" s="16">
        <v>5.01</v>
      </c>
      <c r="I9784" s="19">
        <f>H9813*F9784</f>
        <v>2241.3999999999996</v>
      </c>
    </row>
    <row r="9785" spans="1:9">
      <c r="A9785" s="144" t="s">
        <v>17017</v>
      </c>
      <c r="B9785" s="5"/>
      <c r="C9785" s="134" t="s">
        <v>17025</v>
      </c>
      <c r="D9785" s="35"/>
      <c r="E9785" s="3">
        <v>1</v>
      </c>
      <c r="F9785" s="6">
        <v>20</v>
      </c>
      <c r="G9785" s="130"/>
      <c r="H9785" s="16">
        <v>5.01</v>
      </c>
      <c r="I9785" s="19">
        <f>H9814*F9785</f>
        <v>2581.8000000000002</v>
      </c>
    </row>
    <row r="9786" spans="1:9">
      <c r="A9786" s="144" t="s">
        <v>17017</v>
      </c>
      <c r="C9786" s="179" t="s">
        <v>17026</v>
      </c>
      <c r="D9786" s="35"/>
      <c r="E9786" s="3">
        <v>1</v>
      </c>
      <c r="F9786" s="6">
        <v>10</v>
      </c>
      <c r="G9786" s="130"/>
      <c r="H9786" s="16">
        <f>5.01/2</f>
        <v>2.5049999999999999</v>
      </c>
      <c r="I9786" s="19">
        <f>H9815*F9786</f>
        <v>1120.6999999999998</v>
      </c>
    </row>
    <row r="9787" spans="1:9">
      <c r="A9787" s="144" t="s">
        <v>17017</v>
      </c>
      <c r="B9787" s="5"/>
      <c r="C9787" s="134" t="s">
        <v>17027</v>
      </c>
      <c r="D9787" s="35"/>
      <c r="E9787" s="3">
        <v>1</v>
      </c>
      <c r="F9787" s="6">
        <v>10</v>
      </c>
      <c r="G9787" s="130"/>
      <c r="H9787" s="16">
        <v>71.349999999999994</v>
      </c>
      <c r="I9787" s="19">
        <f>H9816*F9787</f>
        <v>1274.8</v>
      </c>
    </row>
    <row r="9788" spans="1:9" ht="16.899999999999999" customHeight="1">
      <c r="A9788" s="111" t="s">
        <v>17028</v>
      </c>
      <c r="B9788" s="5"/>
      <c r="C9788" s="32" t="s">
        <v>17029</v>
      </c>
      <c r="D9788" s="32" t="s">
        <v>812</v>
      </c>
      <c r="E9788" s="2">
        <v>1</v>
      </c>
      <c r="F9788" s="9">
        <v>1</v>
      </c>
      <c r="G9788" s="8"/>
      <c r="H9788" s="16">
        <v>75</v>
      </c>
      <c r="I9788" s="19">
        <f>H9844*F9788</f>
        <v>74</v>
      </c>
    </row>
    <row r="9789" spans="1:9" ht="16.899999999999999" hidden="1" customHeight="1">
      <c r="A9789" s="136" t="s">
        <v>17030</v>
      </c>
      <c r="B9789" s="5"/>
      <c r="C9789" s="169" t="s">
        <v>17031</v>
      </c>
      <c r="D9789" s="32"/>
      <c r="E9789" s="2">
        <v>1</v>
      </c>
      <c r="F9789" s="9"/>
      <c r="G9789" s="8"/>
      <c r="H9789" s="16">
        <v>37.11</v>
      </c>
      <c r="I9789" s="19">
        <f>G9789*F9789</f>
        <v>0</v>
      </c>
    </row>
    <row r="9790" spans="1:9" ht="16.899999999999999" customHeight="1">
      <c r="A9790" s="136" t="s">
        <v>17030</v>
      </c>
      <c r="B9790" s="5"/>
      <c r="C9790" s="32" t="s">
        <v>17032</v>
      </c>
      <c r="D9790" s="32"/>
      <c r="E9790" s="2">
        <v>1</v>
      </c>
      <c r="F9790" s="9">
        <v>15</v>
      </c>
      <c r="G9790" s="8">
        <f>H9790+(H9790*5%)</f>
        <v>49.460438999999994</v>
      </c>
      <c r="H9790" s="16">
        <v>47.105179999999997</v>
      </c>
      <c r="I9790" s="19">
        <f>G9790*F9790</f>
        <v>741.90658499999995</v>
      </c>
    </row>
    <row r="9791" spans="1:9" ht="16.899999999999999" customHeight="1">
      <c r="A9791" s="136" t="s">
        <v>17030</v>
      </c>
      <c r="B9791" s="5"/>
      <c r="C9791" s="32" t="s">
        <v>17033</v>
      </c>
      <c r="D9791" s="32"/>
      <c r="E9791" s="2">
        <v>1</v>
      </c>
      <c r="F9791" s="9">
        <v>1</v>
      </c>
      <c r="G9791" s="8">
        <f>H9791+(H9791*5%)</f>
        <v>132.39345</v>
      </c>
      <c r="H9791" s="8">
        <v>126.089</v>
      </c>
      <c r="I9791" s="19">
        <f>G9791*F9791</f>
        <v>132.39345</v>
      </c>
    </row>
    <row r="9792" spans="1:9" ht="16.899999999999999" customHeight="1">
      <c r="A9792" s="136" t="s">
        <v>17030</v>
      </c>
      <c r="B9792" s="105" t="s">
        <v>17034</v>
      </c>
      <c r="C9792" s="32" t="s">
        <v>17035</v>
      </c>
      <c r="D9792" s="32"/>
      <c r="E9792" s="2">
        <v>1</v>
      </c>
      <c r="F9792" s="9">
        <v>22</v>
      </c>
      <c r="G9792" s="8">
        <f>H9792+(H9792*5%)</f>
        <v>140.0805</v>
      </c>
      <c r="H9792" s="16">
        <v>133.41</v>
      </c>
      <c r="I9792" s="19">
        <f>G9792*F9792</f>
        <v>3081.7710000000002</v>
      </c>
    </row>
    <row r="9793" spans="1:10" ht="16.899999999999999" customHeight="1">
      <c r="A9793" s="136" t="s">
        <v>17030</v>
      </c>
      <c r="B9793" s="46" t="s">
        <v>17036</v>
      </c>
      <c r="C9793" s="32" t="s">
        <v>17037</v>
      </c>
      <c r="D9793" s="32"/>
      <c r="E9793" s="2">
        <v>1</v>
      </c>
      <c r="F9793" s="9">
        <v>15</v>
      </c>
      <c r="G9793" s="8">
        <f>H9793+(H9793*5%)</f>
        <v>176.946</v>
      </c>
      <c r="H9793" s="16">
        <v>168.52</v>
      </c>
      <c r="I9793" s="19">
        <f>G9793*F9793</f>
        <v>2654.19</v>
      </c>
      <c r="J9793" t="s">
        <v>17038</v>
      </c>
    </row>
    <row r="9794" spans="1:10" ht="16.899999999999999" customHeight="1">
      <c r="A9794" s="136" t="s">
        <v>17030</v>
      </c>
      <c r="B9794" s="46" t="s">
        <v>17039</v>
      </c>
      <c r="C9794" s="32" t="s">
        <v>17040</v>
      </c>
      <c r="D9794" s="32"/>
      <c r="E9794" s="2">
        <v>1</v>
      </c>
      <c r="F9794" s="9">
        <v>22</v>
      </c>
      <c r="G9794" s="8">
        <f t="shared" ref="G9794:G9837" si="309">H9794+(H9794*5%)</f>
        <v>162.92849999999999</v>
      </c>
      <c r="H9794" s="16">
        <v>155.16999999999999</v>
      </c>
      <c r="I9794" s="19">
        <f t="shared" ref="I9794:I9842" si="310">G9794*F9794</f>
        <v>3584.4269999999997</v>
      </c>
    </row>
    <row r="9795" spans="1:10" ht="16.899999999999999" customHeight="1">
      <c r="A9795" s="136" t="s">
        <v>17030</v>
      </c>
      <c r="B9795" s="105" t="s">
        <v>17034</v>
      </c>
      <c r="C9795" s="32" t="s">
        <v>17041</v>
      </c>
      <c r="D9795" s="32"/>
      <c r="E9795" s="2">
        <v>1</v>
      </c>
      <c r="F9795" s="9">
        <v>32</v>
      </c>
      <c r="G9795" s="8">
        <f t="shared" si="309"/>
        <v>128.40450000000001</v>
      </c>
      <c r="H9795" s="16">
        <v>122.29</v>
      </c>
      <c r="I9795" s="19">
        <f t="shared" si="310"/>
        <v>4108.9440000000004</v>
      </c>
      <c r="J9795" t="s">
        <v>8613</v>
      </c>
    </row>
    <row r="9796" spans="1:10" ht="16.899999999999999" hidden="1" customHeight="1">
      <c r="A9796" s="136" t="s">
        <v>17030</v>
      </c>
      <c r="B9796" s="46" t="s">
        <v>17036</v>
      </c>
      <c r="C9796" s="32" t="s">
        <v>17042</v>
      </c>
      <c r="D9796" s="32"/>
      <c r="E9796" s="2">
        <v>1</v>
      </c>
      <c r="F9796" s="9"/>
      <c r="G9796" s="8">
        <f t="shared" si="309"/>
        <v>162.20399999999998</v>
      </c>
      <c r="H9796" s="16">
        <v>154.47999999999999</v>
      </c>
      <c r="I9796" s="19">
        <f t="shared" si="310"/>
        <v>0</v>
      </c>
    </row>
    <row r="9797" spans="1:10" ht="16.899999999999999" customHeight="1">
      <c r="A9797" s="136" t="s">
        <v>17030</v>
      </c>
      <c r="B9797" s="46" t="s">
        <v>17039</v>
      </c>
      <c r="C9797" s="32" t="s">
        <v>17043</v>
      </c>
      <c r="D9797" s="32"/>
      <c r="E9797" s="2">
        <v>1</v>
      </c>
      <c r="F9797" s="9">
        <v>16</v>
      </c>
      <c r="G9797" s="8">
        <f t="shared" si="309"/>
        <v>149.352</v>
      </c>
      <c r="H9797" s="16">
        <v>142.24</v>
      </c>
      <c r="I9797" s="19">
        <f t="shared" si="310"/>
        <v>2389.6320000000001</v>
      </c>
    </row>
    <row r="9798" spans="1:10" ht="16.899999999999999" customHeight="1">
      <c r="A9798" s="136" t="s">
        <v>17030</v>
      </c>
      <c r="B9798" s="46"/>
      <c r="C9798" s="32" t="s">
        <v>17044</v>
      </c>
      <c r="D9798" s="32"/>
      <c r="E9798" s="2">
        <v>1</v>
      </c>
      <c r="F9798" s="9">
        <f>19+7+23</f>
        <v>49</v>
      </c>
      <c r="G9798" s="8">
        <f t="shared" ref="G9798:G9805" si="311">H9798+(H9798*5%)</f>
        <v>38.965499999999999</v>
      </c>
      <c r="H9798" s="16">
        <v>37.11</v>
      </c>
      <c r="I9798" s="19">
        <f t="shared" ref="I9798:I9804" si="312">G9798*F9798</f>
        <v>1909.3094999999998</v>
      </c>
      <c r="J9798" t="s">
        <v>17045</v>
      </c>
    </row>
    <row r="9799" spans="1:10" ht="16.899999999999999" customHeight="1">
      <c r="A9799" s="136" t="s">
        <v>17030</v>
      </c>
      <c r="B9799" s="46"/>
      <c r="C9799" s="32" t="s">
        <v>17046</v>
      </c>
      <c r="D9799" s="32"/>
      <c r="E9799" s="2">
        <v>1</v>
      </c>
      <c r="F9799" s="9">
        <f>11+31</f>
        <v>42</v>
      </c>
      <c r="G9799" s="8">
        <f t="shared" si="311"/>
        <v>44.887500000000003</v>
      </c>
      <c r="H9799" s="16">
        <v>42.75</v>
      </c>
      <c r="I9799" s="19">
        <f t="shared" si="312"/>
        <v>1885.2750000000001</v>
      </c>
      <c r="J9799" t="s">
        <v>17045</v>
      </c>
    </row>
    <row r="9800" spans="1:10" ht="16.899999999999999" customHeight="1">
      <c r="A9800" s="136" t="s">
        <v>17030</v>
      </c>
      <c r="B9800" s="46"/>
      <c r="C9800" s="32" t="s">
        <v>17047</v>
      </c>
      <c r="D9800" s="32"/>
      <c r="E9800" s="2">
        <v>1</v>
      </c>
      <c r="F9800" s="9">
        <f>21+14+16</f>
        <v>51</v>
      </c>
      <c r="G9800" s="8">
        <f t="shared" si="311"/>
        <v>48.902699999999996</v>
      </c>
      <c r="H9800" s="16">
        <v>46.573999999999998</v>
      </c>
      <c r="I9800" s="19">
        <f t="shared" si="312"/>
        <v>2494.0376999999999</v>
      </c>
      <c r="J9800" t="s">
        <v>17048</v>
      </c>
    </row>
    <row r="9801" spans="1:10" ht="16.899999999999999" customHeight="1">
      <c r="A9801" s="136" t="s">
        <v>17030</v>
      </c>
      <c r="B9801" s="46"/>
      <c r="C9801" s="32" t="s">
        <v>17049</v>
      </c>
      <c r="D9801" s="32"/>
      <c r="E9801" s="2">
        <v>1</v>
      </c>
      <c r="F9801" s="9">
        <v>27</v>
      </c>
      <c r="G9801" s="8">
        <f t="shared" si="311"/>
        <v>56.330084999999997</v>
      </c>
      <c r="H9801" s="16">
        <v>53.6477</v>
      </c>
      <c r="I9801" s="19">
        <f t="shared" si="312"/>
        <v>1520.9122949999999</v>
      </c>
      <c r="J9801" t="s">
        <v>17050</v>
      </c>
    </row>
    <row r="9802" spans="1:10" ht="16.899999999999999" customHeight="1">
      <c r="A9802" s="136" t="s">
        <v>17030</v>
      </c>
      <c r="B9802" s="46"/>
      <c r="C9802" s="32" t="s">
        <v>17051</v>
      </c>
      <c r="D9802" s="32"/>
      <c r="E9802" s="2">
        <v>1</v>
      </c>
      <c r="F9802" s="9">
        <v>14</v>
      </c>
      <c r="G9802" s="8">
        <f t="shared" si="311"/>
        <v>85.580249999999992</v>
      </c>
      <c r="H9802" s="16">
        <v>81.504999999999995</v>
      </c>
      <c r="I9802" s="19">
        <f t="shared" si="312"/>
        <v>1198.1234999999999</v>
      </c>
      <c r="J9802" t="s">
        <v>17052</v>
      </c>
    </row>
    <row r="9803" spans="1:10" ht="16.899999999999999" customHeight="1">
      <c r="A9803" s="136" t="s">
        <v>17030</v>
      </c>
      <c r="B9803" s="46"/>
      <c r="C9803" s="32" t="s">
        <v>17053</v>
      </c>
      <c r="D9803" s="32"/>
      <c r="E9803" s="2">
        <v>1</v>
      </c>
      <c r="F9803" s="9">
        <v>17</v>
      </c>
      <c r="G9803" s="8">
        <f t="shared" si="311"/>
        <v>98.573999999999998</v>
      </c>
      <c r="H9803" s="16">
        <v>93.88</v>
      </c>
      <c r="I9803" s="19">
        <f t="shared" si="312"/>
        <v>1675.758</v>
      </c>
      <c r="J9803" t="s">
        <v>17052</v>
      </c>
    </row>
    <row r="9804" spans="1:10" ht="16.899999999999999" customHeight="1">
      <c r="A9804" s="136" t="s">
        <v>17030</v>
      </c>
      <c r="B9804" s="46"/>
      <c r="C9804" s="32" t="s">
        <v>17054</v>
      </c>
      <c r="D9804" s="32"/>
      <c r="E9804" s="2">
        <v>1</v>
      </c>
      <c r="F9804" s="9">
        <f>2+16</f>
        <v>18</v>
      </c>
      <c r="G9804" s="8">
        <f t="shared" si="311"/>
        <v>117.67349999999999</v>
      </c>
      <c r="H9804" s="16">
        <v>112.07</v>
      </c>
      <c r="I9804" s="19">
        <f t="shared" si="312"/>
        <v>2118.1229999999996</v>
      </c>
      <c r="J9804" t="s">
        <v>17052</v>
      </c>
    </row>
    <row r="9805" spans="1:10" ht="16.899999999999999" customHeight="1">
      <c r="A9805" s="136" t="s">
        <v>17030</v>
      </c>
      <c r="B9805" s="46" t="s">
        <v>17055</v>
      </c>
      <c r="C9805" s="32" t="s">
        <v>17056</v>
      </c>
      <c r="D9805" s="32"/>
      <c r="E9805" s="2">
        <v>1</v>
      </c>
      <c r="F9805" s="9">
        <v>45</v>
      </c>
      <c r="G9805" s="8">
        <f t="shared" si="311"/>
        <v>117.67349999999999</v>
      </c>
      <c r="H9805" s="16">
        <v>112.07</v>
      </c>
      <c r="I9805" s="19">
        <f t="shared" si="310"/>
        <v>5295.3074999999999</v>
      </c>
    </row>
    <row r="9806" spans="1:10" ht="16.899999999999999" customHeight="1">
      <c r="A9806" s="136" t="s">
        <v>17030</v>
      </c>
      <c r="B9806" s="46" t="s">
        <v>17057</v>
      </c>
      <c r="C9806" s="32" t="s">
        <v>17058</v>
      </c>
      <c r="D9806" s="32"/>
      <c r="E9806" s="2">
        <v>1</v>
      </c>
      <c r="F9806" s="9">
        <v>44</v>
      </c>
      <c r="G9806" s="8">
        <f t="shared" si="309"/>
        <v>135.5445</v>
      </c>
      <c r="H9806" s="16">
        <v>129.09</v>
      </c>
      <c r="I9806" s="19">
        <f t="shared" si="310"/>
        <v>5963.9579999999996</v>
      </c>
    </row>
    <row r="9807" spans="1:10" ht="16.899999999999999" customHeight="1">
      <c r="A9807" s="136" t="s">
        <v>17030</v>
      </c>
      <c r="B9807" s="46"/>
      <c r="C9807" s="32" t="s">
        <v>17059</v>
      </c>
      <c r="D9807" s="32"/>
      <c r="E9807" s="2">
        <v>1</v>
      </c>
      <c r="F9807" s="9">
        <v>32</v>
      </c>
      <c r="G9807" s="8">
        <f t="shared" ref="G9807:G9812" si="313">H9807+(H9807*5%)</f>
        <v>38.965499999999999</v>
      </c>
      <c r="H9807" s="16">
        <v>37.11</v>
      </c>
      <c r="I9807" s="19">
        <f>G9807*F9807</f>
        <v>1246.896</v>
      </c>
      <c r="J9807" t="s">
        <v>17052</v>
      </c>
    </row>
    <row r="9808" spans="1:10" ht="16.899999999999999" customHeight="1">
      <c r="A9808" s="136" t="s">
        <v>17030</v>
      </c>
      <c r="B9808" s="46"/>
      <c r="C9808" s="32" t="s">
        <v>17060</v>
      </c>
      <c r="D9808" s="32"/>
      <c r="E9808" s="2">
        <v>1</v>
      </c>
      <c r="F9808" s="9">
        <f>24+21</f>
        <v>45</v>
      </c>
      <c r="G9808" s="8">
        <f t="shared" si="313"/>
        <v>44.887500000000003</v>
      </c>
      <c r="H9808" s="16">
        <v>42.75</v>
      </c>
      <c r="I9808" s="19">
        <f t="shared" ref="I9808:I9812" si="314">G9808*F9808</f>
        <v>2019.9375000000002</v>
      </c>
      <c r="J9808" t="s">
        <v>17052</v>
      </c>
    </row>
    <row r="9809" spans="1:10" ht="16.899999999999999" customHeight="1">
      <c r="A9809" s="136" t="s">
        <v>17030</v>
      </c>
      <c r="B9809" s="46"/>
      <c r="C9809" s="32" t="s">
        <v>17061</v>
      </c>
      <c r="D9809" s="32"/>
      <c r="E9809" s="2">
        <v>1</v>
      </c>
      <c r="F9809" s="9">
        <v>10</v>
      </c>
      <c r="G9809" s="8">
        <f t="shared" si="313"/>
        <v>48.902699999999996</v>
      </c>
      <c r="H9809" s="16">
        <v>46.573999999999998</v>
      </c>
      <c r="I9809" s="19">
        <f t="shared" si="314"/>
        <v>489.02699999999993</v>
      </c>
      <c r="J9809" t="s">
        <v>17062</v>
      </c>
    </row>
    <row r="9810" spans="1:10" ht="16.899999999999999" customHeight="1">
      <c r="A9810" s="136" t="s">
        <v>17030</v>
      </c>
      <c r="B9810" s="46"/>
      <c r="C9810" s="32" t="s">
        <v>17063</v>
      </c>
      <c r="D9810" s="32"/>
      <c r="E9810" s="2">
        <v>1</v>
      </c>
      <c r="F9810" s="9">
        <v>26</v>
      </c>
      <c r="G9810" s="8">
        <f t="shared" si="313"/>
        <v>56.330084999999997</v>
      </c>
      <c r="H9810" s="16">
        <v>53.6477</v>
      </c>
      <c r="I9810" s="19">
        <f t="shared" si="314"/>
        <v>1464.58221</v>
      </c>
      <c r="J9810" t="s">
        <v>17052</v>
      </c>
    </row>
    <row r="9811" spans="1:10" ht="16.899999999999999" customHeight="1">
      <c r="A9811" s="136" t="s">
        <v>17030</v>
      </c>
      <c r="B9811" s="46"/>
      <c r="C9811" s="32" t="s">
        <v>17064</v>
      </c>
      <c r="D9811" s="32"/>
      <c r="E9811" s="2">
        <v>1</v>
      </c>
      <c r="F9811" s="9">
        <v>2</v>
      </c>
      <c r="G9811" s="8">
        <f t="shared" si="313"/>
        <v>85.580249999999992</v>
      </c>
      <c r="H9811" s="16">
        <v>81.504999999999995</v>
      </c>
      <c r="I9811" s="19">
        <f t="shared" si="314"/>
        <v>171.16049999999998</v>
      </c>
      <c r="J9811" t="s">
        <v>17052</v>
      </c>
    </row>
    <row r="9812" spans="1:10" ht="16.899999999999999" customHeight="1">
      <c r="A9812" s="136" t="s">
        <v>17030</v>
      </c>
      <c r="B9812" s="46"/>
      <c r="C9812" s="32" t="s">
        <v>17065</v>
      </c>
      <c r="D9812" s="32"/>
      <c r="E9812" s="2">
        <v>1</v>
      </c>
      <c r="F9812" s="9">
        <v>2</v>
      </c>
      <c r="G9812" s="8">
        <f t="shared" si="313"/>
        <v>98.573999999999998</v>
      </c>
      <c r="H9812" s="16">
        <v>93.88</v>
      </c>
      <c r="I9812" s="19">
        <f t="shared" si="314"/>
        <v>197.148</v>
      </c>
      <c r="J9812" t="s">
        <v>17052</v>
      </c>
    </row>
    <row r="9813" spans="1:10" ht="16.899999999999999" customHeight="1">
      <c r="A9813" s="136" t="s">
        <v>17030</v>
      </c>
      <c r="B9813" s="5">
        <v>277328</v>
      </c>
      <c r="C9813" s="32" t="s">
        <v>17066</v>
      </c>
      <c r="D9813" s="32"/>
      <c r="E9813" s="2">
        <v>1</v>
      </c>
      <c r="F9813" s="9">
        <f>16+(2*16)</f>
        <v>48</v>
      </c>
      <c r="G9813" s="8">
        <f t="shared" si="309"/>
        <v>117.67349999999999</v>
      </c>
      <c r="H9813" s="16">
        <v>112.07</v>
      </c>
      <c r="I9813" s="19">
        <f t="shared" si="310"/>
        <v>5648.3279999999995</v>
      </c>
      <c r="J9813" t="s">
        <v>17067</v>
      </c>
    </row>
    <row r="9814" spans="1:10" ht="16.899999999999999" customHeight="1">
      <c r="A9814" s="136" t="s">
        <v>17030</v>
      </c>
      <c r="B9814" s="105"/>
      <c r="C9814" s="32" t="s">
        <v>17068</v>
      </c>
      <c r="D9814" s="32"/>
      <c r="E9814" s="2">
        <v>1</v>
      </c>
      <c r="F9814" s="9">
        <v>39</v>
      </c>
      <c r="G9814" s="8">
        <f t="shared" si="309"/>
        <v>135.5445</v>
      </c>
      <c r="H9814" s="16">
        <v>129.09</v>
      </c>
      <c r="I9814" s="19">
        <f t="shared" si="310"/>
        <v>5286.2354999999998</v>
      </c>
    </row>
    <row r="9815" spans="1:10" ht="16.899999999999999" customHeight="1">
      <c r="A9815" s="136" t="s">
        <v>17030</v>
      </c>
      <c r="B9815" s="46" t="s">
        <v>17069</v>
      </c>
      <c r="C9815" s="32" t="s">
        <v>17070</v>
      </c>
      <c r="D9815" s="32"/>
      <c r="E9815" s="2">
        <v>1</v>
      </c>
      <c r="F9815" s="9">
        <v>19</v>
      </c>
      <c r="G9815" s="8">
        <f t="shared" si="309"/>
        <v>117.67349999999999</v>
      </c>
      <c r="H9815" s="16">
        <v>112.07</v>
      </c>
      <c r="I9815" s="19">
        <f t="shared" si="310"/>
        <v>2235.7964999999999</v>
      </c>
    </row>
    <row r="9816" spans="1:10" ht="16.899999999999999" customHeight="1">
      <c r="A9816" s="136" t="s">
        <v>17030</v>
      </c>
      <c r="B9816" s="46" t="s">
        <v>17071</v>
      </c>
      <c r="C9816" s="32" t="s">
        <v>17072</v>
      </c>
      <c r="D9816" s="32"/>
      <c r="E9816" s="2">
        <v>1</v>
      </c>
      <c r="F9816" s="9">
        <v>31</v>
      </c>
      <c r="G9816" s="8">
        <f t="shared" si="309"/>
        <v>133.85400000000001</v>
      </c>
      <c r="H9816" s="16">
        <v>127.48</v>
      </c>
      <c r="I9816" s="19">
        <f t="shared" si="310"/>
        <v>4149.4740000000002</v>
      </c>
    </row>
    <row r="9817" spans="1:10" ht="16.899999999999999" customHeight="1">
      <c r="A9817" s="136" t="s">
        <v>17030</v>
      </c>
      <c r="B9817" s="46"/>
      <c r="C9817" s="32" t="s">
        <v>17073</v>
      </c>
      <c r="D9817" s="32"/>
      <c r="E9817" s="2">
        <v>1</v>
      </c>
      <c r="F9817" s="9">
        <v>11</v>
      </c>
      <c r="G9817" s="8">
        <f t="shared" ref="G9817:G9824" si="315">H9817+(H9817*5%)</f>
        <v>44.887500000000003</v>
      </c>
      <c r="H9817" s="16">
        <v>42.75</v>
      </c>
      <c r="I9817" s="19">
        <f t="shared" ref="I9817:I9824" si="316">G9817*F9817</f>
        <v>493.76250000000005</v>
      </c>
      <c r="J9817" t="s">
        <v>17052</v>
      </c>
    </row>
    <row r="9818" spans="1:10" ht="16.899999999999999" customHeight="1">
      <c r="A9818" s="136" t="s">
        <v>17030</v>
      </c>
      <c r="B9818" s="46"/>
      <c r="C9818" s="32" t="s">
        <v>17074</v>
      </c>
      <c r="D9818" s="32"/>
      <c r="E9818" s="2">
        <v>1</v>
      </c>
      <c r="F9818" s="9">
        <v>4</v>
      </c>
      <c r="G9818" s="8">
        <f t="shared" si="315"/>
        <v>48.902699999999996</v>
      </c>
      <c r="H9818" s="16">
        <v>46.573999999999998</v>
      </c>
      <c r="I9818" s="19">
        <f t="shared" si="316"/>
        <v>195.61079999999998</v>
      </c>
      <c r="J9818" t="s">
        <v>17052</v>
      </c>
    </row>
    <row r="9819" spans="1:10" ht="16.899999999999999" customHeight="1">
      <c r="A9819" s="136" t="s">
        <v>17030</v>
      </c>
      <c r="B9819" s="46"/>
      <c r="C9819" s="32" t="s">
        <v>17075</v>
      </c>
      <c r="D9819" s="32"/>
      <c r="E9819" s="2">
        <v>1</v>
      </c>
      <c r="F9819" s="9">
        <v>4</v>
      </c>
      <c r="G9819" s="8">
        <f t="shared" si="315"/>
        <v>56.330084999999997</v>
      </c>
      <c r="H9819" s="16">
        <v>53.6477</v>
      </c>
      <c r="I9819" s="19">
        <f t="shared" si="316"/>
        <v>225.32033999999999</v>
      </c>
    </row>
    <row r="9820" spans="1:10" ht="16.899999999999999" customHeight="1">
      <c r="A9820" s="136" t="s">
        <v>17030</v>
      </c>
      <c r="B9820" s="46"/>
      <c r="C9820" s="32" t="s">
        <v>17076</v>
      </c>
      <c r="D9820" s="32"/>
      <c r="E9820" s="2">
        <v>1</v>
      </c>
      <c r="F9820" s="9">
        <v>3</v>
      </c>
      <c r="G9820" s="8">
        <f t="shared" si="315"/>
        <v>85.580249999999992</v>
      </c>
      <c r="H9820" s="16">
        <v>81.504999999999995</v>
      </c>
      <c r="I9820" s="19">
        <f t="shared" si="316"/>
        <v>256.74074999999999</v>
      </c>
    </row>
    <row r="9821" spans="1:10" ht="16.899999999999999" customHeight="1">
      <c r="A9821" s="136" t="s">
        <v>17030</v>
      </c>
      <c r="B9821" s="46"/>
      <c r="C9821" s="32" t="s">
        <v>17077</v>
      </c>
      <c r="D9821" s="32"/>
      <c r="E9821" s="2">
        <v>1</v>
      </c>
      <c r="F9821" s="9">
        <v>1</v>
      </c>
      <c r="G9821" s="8">
        <f t="shared" si="315"/>
        <v>98.573999999999998</v>
      </c>
      <c r="H9821" s="16">
        <v>93.88</v>
      </c>
      <c r="I9821" s="19">
        <f t="shared" si="316"/>
        <v>98.573999999999998</v>
      </c>
    </row>
    <row r="9822" spans="1:10" ht="16.899999999999999" customHeight="1">
      <c r="A9822" s="136" t="s">
        <v>17030</v>
      </c>
      <c r="B9822" s="46"/>
      <c r="C9822" s="32" t="s">
        <v>17078</v>
      </c>
      <c r="D9822" s="32"/>
      <c r="E9822" s="2">
        <v>1</v>
      </c>
      <c r="F9822" s="9">
        <v>8</v>
      </c>
      <c r="G9822" s="8">
        <f t="shared" si="315"/>
        <v>117.67349999999999</v>
      </c>
      <c r="H9822" s="16">
        <v>112.07</v>
      </c>
      <c r="I9822" s="19">
        <f t="shared" si="316"/>
        <v>941.38799999999992</v>
      </c>
    </row>
    <row r="9823" spans="1:10" ht="16.899999999999999" customHeight="1">
      <c r="A9823" s="136" t="s">
        <v>17030</v>
      </c>
      <c r="B9823" s="46"/>
      <c r="C9823" s="32" t="s">
        <v>17079</v>
      </c>
      <c r="D9823" s="32"/>
      <c r="E9823" s="2">
        <v>1</v>
      </c>
      <c r="F9823" s="9">
        <f>32+30</f>
        <v>62</v>
      </c>
      <c r="G9823" s="8">
        <f t="shared" si="315"/>
        <v>42.605640000000001</v>
      </c>
      <c r="H9823" s="16">
        <v>40.576799999999999</v>
      </c>
      <c r="I9823" s="19">
        <f t="shared" si="316"/>
        <v>2641.5496800000001</v>
      </c>
      <c r="J9823" t="s">
        <v>17080</v>
      </c>
    </row>
    <row r="9824" spans="1:10" ht="16.899999999999999" customHeight="1">
      <c r="A9824" s="136" t="s">
        <v>17030</v>
      </c>
      <c r="B9824" s="46"/>
      <c r="C9824" s="32" t="s">
        <v>17081</v>
      </c>
      <c r="D9824" s="32"/>
      <c r="E9824" s="2">
        <v>1</v>
      </c>
      <c r="F9824" s="9">
        <v>17</v>
      </c>
      <c r="G9824" s="8">
        <f t="shared" si="315"/>
        <v>49.739340000000006</v>
      </c>
      <c r="H9824" s="16">
        <v>47.370800000000003</v>
      </c>
      <c r="I9824" s="19">
        <f t="shared" si="316"/>
        <v>845.56878000000006</v>
      </c>
      <c r="J9824" t="s">
        <v>17082</v>
      </c>
    </row>
    <row r="9825" spans="1:9" ht="16.899999999999999" customHeight="1">
      <c r="A9825" s="136" t="s">
        <v>17030</v>
      </c>
      <c r="B9825" s="46" t="s">
        <v>17083</v>
      </c>
      <c r="C9825" s="32" t="s">
        <v>17084</v>
      </c>
      <c r="D9825" s="32"/>
      <c r="E9825" s="2">
        <v>1</v>
      </c>
      <c r="F9825" s="9">
        <v>17</v>
      </c>
      <c r="G9825" s="8">
        <f t="shared" si="309"/>
        <v>93.5655</v>
      </c>
      <c r="H9825" s="16">
        <v>89.11</v>
      </c>
      <c r="I9825" s="19">
        <f t="shared" si="310"/>
        <v>1590.6134999999999</v>
      </c>
    </row>
    <row r="9826" spans="1:9" ht="16.899999999999999" customHeight="1">
      <c r="A9826" s="136" t="s">
        <v>17030</v>
      </c>
      <c r="B9826" s="46" t="s">
        <v>17085</v>
      </c>
      <c r="C9826" s="32" t="s">
        <v>17086</v>
      </c>
      <c r="D9826" s="32"/>
      <c r="E9826" s="2">
        <v>1</v>
      </c>
      <c r="F9826" s="9">
        <v>26</v>
      </c>
      <c r="G9826" s="8">
        <f t="shared" si="309"/>
        <v>109.2315</v>
      </c>
      <c r="H9826" s="16">
        <v>104.03</v>
      </c>
      <c r="I9826" s="19">
        <f t="shared" si="310"/>
        <v>2840.0189999999998</v>
      </c>
    </row>
    <row r="9827" spans="1:9" ht="16.899999999999999" customHeight="1">
      <c r="A9827" s="136" t="s">
        <v>17030</v>
      </c>
      <c r="B9827" s="46"/>
      <c r="C9827" s="32" t="s">
        <v>17087</v>
      </c>
      <c r="D9827" s="32"/>
      <c r="E9827" s="2">
        <v>1</v>
      </c>
      <c r="F9827" s="9">
        <v>16</v>
      </c>
      <c r="G9827" s="8">
        <f>H9827+(H9827*5%)</f>
        <v>148.24278000000001</v>
      </c>
      <c r="H9827" s="16">
        <v>141.18360000000001</v>
      </c>
      <c r="I9827" s="19">
        <f>G9827*F9827</f>
        <v>2371.8844800000002</v>
      </c>
    </row>
    <row r="9828" spans="1:9" ht="16.899999999999999" customHeight="1">
      <c r="A9828" s="136" t="s">
        <v>17030</v>
      </c>
      <c r="B9828" s="46"/>
      <c r="C9828" s="32" t="s">
        <v>17088</v>
      </c>
      <c r="D9828" s="32"/>
      <c r="E9828" s="2">
        <v>1</v>
      </c>
      <c r="F9828" s="9">
        <v>13</v>
      </c>
      <c r="G9828" s="8">
        <f t="shared" si="309"/>
        <v>93.387</v>
      </c>
      <c r="H9828" s="16">
        <v>88.94</v>
      </c>
      <c r="I9828" s="19">
        <f t="shared" si="310"/>
        <v>1214.0309999999999</v>
      </c>
    </row>
    <row r="9829" spans="1:9" ht="16.899999999999999" customHeight="1">
      <c r="A9829" s="136" t="s">
        <v>17030</v>
      </c>
      <c r="B9829" s="46"/>
      <c r="C9829" s="32" t="s">
        <v>17089</v>
      </c>
      <c r="D9829" s="32"/>
      <c r="E9829" s="2">
        <v>1</v>
      </c>
      <c r="F9829" s="9">
        <v>22</v>
      </c>
      <c r="G9829" s="8">
        <f t="shared" si="309"/>
        <v>108.6225</v>
      </c>
      <c r="H9829" s="16">
        <v>103.45</v>
      </c>
      <c r="I9829" s="19">
        <f t="shared" si="310"/>
        <v>2389.6950000000002</v>
      </c>
    </row>
    <row r="9830" spans="1:9" ht="16.899999999999999" customHeight="1">
      <c r="A9830" s="136" t="s">
        <v>17030</v>
      </c>
      <c r="B9830" s="46"/>
      <c r="C9830" s="32" t="s">
        <v>17090</v>
      </c>
      <c r="D9830" s="32"/>
      <c r="E9830" s="2">
        <v>1</v>
      </c>
      <c r="F9830" s="9">
        <v>14</v>
      </c>
      <c r="G9830" s="8">
        <f t="shared" si="309"/>
        <v>93.387</v>
      </c>
      <c r="H9830" s="16">
        <v>88.94</v>
      </c>
      <c r="I9830" s="19">
        <f t="shared" ref="I9830:I9835" si="317">G9830*F9830</f>
        <v>1307.4180000000001</v>
      </c>
    </row>
    <row r="9831" spans="1:9" ht="16.899999999999999" customHeight="1">
      <c r="A9831" s="136" t="s">
        <v>17030</v>
      </c>
      <c r="B9831" s="46"/>
      <c r="C9831" s="32" t="s">
        <v>17091</v>
      </c>
      <c r="D9831" s="32"/>
      <c r="E9831" s="2">
        <v>1</v>
      </c>
      <c r="F9831" s="9">
        <v>2</v>
      </c>
      <c r="G9831" s="8">
        <f>H9831+(H9831*5%)</f>
        <v>83.789999999999992</v>
      </c>
      <c r="H9831" s="16">
        <v>79.8</v>
      </c>
      <c r="I9831" s="19">
        <f t="shared" si="317"/>
        <v>167.57999999999998</v>
      </c>
    </row>
    <row r="9832" spans="1:9" ht="16.899999999999999" customHeight="1">
      <c r="A9832" s="136" t="s">
        <v>17030</v>
      </c>
      <c r="B9832" s="46"/>
      <c r="C9832" s="32" t="s">
        <v>17092</v>
      </c>
      <c r="D9832" s="32"/>
      <c r="E9832" s="2">
        <v>1</v>
      </c>
      <c r="F9832" s="9">
        <v>31</v>
      </c>
      <c r="G9832" s="8">
        <f>H9832+(H9832*5%)</f>
        <v>122.57805</v>
      </c>
      <c r="H9832" s="16">
        <v>116.741</v>
      </c>
      <c r="I9832" s="19">
        <f t="shared" si="317"/>
        <v>3799.9195500000001</v>
      </c>
    </row>
    <row r="9833" spans="1:9" ht="16.899999999999999" customHeight="1">
      <c r="A9833" s="136" t="s">
        <v>17030</v>
      </c>
      <c r="B9833" s="46"/>
      <c r="C9833" s="32" t="s">
        <v>17093</v>
      </c>
      <c r="D9833" s="32"/>
      <c r="E9833" s="2">
        <v>1</v>
      </c>
      <c r="F9833" s="9">
        <v>27</v>
      </c>
      <c r="G9833" s="8">
        <f>H9833+(H9833*5%)</f>
        <v>90.320999999999998</v>
      </c>
      <c r="H9833" s="16">
        <v>86.02</v>
      </c>
      <c r="I9833" s="19">
        <f t="shared" si="317"/>
        <v>2438.6669999999999</v>
      </c>
    </row>
    <row r="9834" spans="1:9" ht="16.899999999999999" customHeight="1">
      <c r="A9834" s="136" t="s">
        <v>17030</v>
      </c>
      <c r="B9834" s="46"/>
      <c r="C9834" s="32" t="s">
        <v>17094</v>
      </c>
      <c r="D9834" s="32"/>
      <c r="E9834" s="2">
        <v>1</v>
      </c>
      <c r="F9834" s="9">
        <v>31</v>
      </c>
      <c r="G9834" s="8">
        <f>H9834+(H9834*5%)</f>
        <v>90.320999999999998</v>
      </c>
      <c r="H9834" s="16">
        <v>86.02</v>
      </c>
      <c r="I9834" s="19">
        <f t="shared" si="317"/>
        <v>2799.951</v>
      </c>
    </row>
    <row r="9835" spans="1:9" ht="16.899999999999999" customHeight="1">
      <c r="A9835" s="136" t="s">
        <v>17030</v>
      </c>
      <c r="B9835" s="46" t="s">
        <v>17095</v>
      </c>
      <c r="C9835" s="32" t="s">
        <v>17096</v>
      </c>
      <c r="D9835" s="32"/>
      <c r="E9835" s="2">
        <v>1</v>
      </c>
      <c r="F9835" s="9">
        <v>10</v>
      </c>
      <c r="G9835" s="8">
        <f t="shared" si="309"/>
        <v>83.789999999999992</v>
      </c>
      <c r="H9835" s="16">
        <v>79.8</v>
      </c>
      <c r="I9835" s="19">
        <f t="shared" si="317"/>
        <v>837.89999999999986</v>
      </c>
    </row>
    <row r="9836" spans="1:9" ht="16.899999999999999" customHeight="1">
      <c r="A9836" s="136" t="s">
        <v>17030</v>
      </c>
      <c r="B9836" s="5">
        <v>276928</v>
      </c>
      <c r="C9836" s="32" t="s">
        <v>17097</v>
      </c>
      <c r="D9836" s="32"/>
      <c r="E9836" s="2">
        <v>1</v>
      </c>
      <c r="F9836" s="9">
        <v>24</v>
      </c>
      <c r="G9836" s="8">
        <f t="shared" si="309"/>
        <v>90.320999999999998</v>
      </c>
      <c r="H9836" s="16">
        <v>86.02</v>
      </c>
      <c r="I9836" s="19">
        <f t="shared" si="310"/>
        <v>2167.7039999999997</v>
      </c>
    </row>
    <row r="9837" spans="1:9" ht="16.899999999999999" customHeight="1">
      <c r="A9837" s="136" t="s">
        <v>17030</v>
      </c>
      <c r="B9837" s="46" t="s">
        <v>17098</v>
      </c>
      <c r="C9837" s="32" t="s">
        <v>17099</v>
      </c>
      <c r="D9837" s="32"/>
      <c r="E9837" s="2">
        <v>1</v>
      </c>
      <c r="F9837" s="9">
        <v>13</v>
      </c>
      <c r="G9837" s="8">
        <f t="shared" si="309"/>
        <v>103.446</v>
      </c>
      <c r="H9837" s="16">
        <v>98.52</v>
      </c>
      <c r="I9837" s="19">
        <f t="shared" si="310"/>
        <v>1344.798</v>
      </c>
    </row>
    <row r="9838" spans="1:9" ht="16.899999999999999" customHeight="1">
      <c r="A9838" s="136" t="s">
        <v>17030</v>
      </c>
      <c r="B9838" s="46"/>
      <c r="C9838" s="32" t="s">
        <v>17100</v>
      </c>
      <c r="D9838" s="32"/>
      <c r="E9838" s="2">
        <v>1</v>
      </c>
      <c r="F9838" s="9">
        <v>1</v>
      </c>
      <c r="G9838" s="8">
        <f>H9838+(H9838*5%)</f>
        <v>90.320999999999998</v>
      </c>
      <c r="H9838" s="16">
        <v>86.02</v>
      </c>
      <c r="I9838" s="19">
        <f>G9838*F9838</f>
        <v>90.320999999999998</v>
      </c>
    </row>
    <row r="9839" spans="1:9" ht="16.899999999999999" customHeight="1">
      <c r="A9839" s="136" t="s">
        <v>17030</v>
      </c>
      <c r="B9839" s="46"/>
      <c r="C9839" s="32" t="s">
        <v>17101</v>
      </c>
      <c r="D9839" s="32"/>
      <c r="E9839" s="2">
        <v>1</v>
      </c>
      <c r="F9839" s="9">
        <v>2</v>
      </c>
      <c r="G9839" s="8">
        <f>H9839+(H9839*5%)</f>
        <v>103.446</v>
      </c>
      <c r="H9839" s="16">
        <v>98.52</v>
      </c>
      <c r="I9839" s="19">
        <f>G9839*F9839</f>
        <v>206.892</v>
      </c>
    </row>
    <row r="9840" spans="1:9" ht="16.899999999999999" customHeight="1">
      <c r="A9840" s="136" t="s">
        <v>17030</v>
      </c>
      <c r="B9840" s="5"/>
      <c r="C9840" s="32" t="s">
        <v>17102</v>
      </c>
      <c r="D9840" s="32"/>
      <c r="E9840" s="2">
        <v>1</v>
      </c>
      <c r="F9840" s="9">
        <v>11</v>
      </c>
      <c r="G9840" s="8">
        <f>H9840+(H9840*5%)</f>
        <v>122.57805</v>
      </c>
      <c r="H9840" s="16">
        <v>116.741</v>
      </c>
      <c r="I9840" s="19">
        <f>G9840*F9840</f>
        <v>1348.3585500000002</v>
      </c>
    </row>
    <row r="9841" spans="1:9" ht="16.899999999999999" customHeight="1">
      <c r="A9841" s="136" t="s">
        <v>17030</v>
      </c>
      <c r="B9841" s="46"/>
      <c r="C9841" s="32" t="s">
        <v>17103</v>
      </c>
      <c r="D9841" s="32"/>
      <c r="E9841" s="2">
        <v>1</v>
      </c>
      <c r="F9841" s="9">
        <v>10</v>
      </c>
      <c r="G9841" s="8">
        <f>H9841+(H9841*5%)</f>
        <v>140.390985</v>
      </c>
      <c r="H9841" s="16">
        <v>133.70570000000001</v>
      </c>
      <c r="I9841" s="19">
        <f>G9841*F9841</f>
        <v>1403.90985</v>
      </c>
    </row>
    <row r="9842" spans="1:9" ht="16.899999999999999" hidden="1" customHeight="1">
      <c r="A9842" s="136" t="s">
        <v>17030</v>
      </c>
      <c r="B9842" s="46" t="s">
        <v>17104</v>
      </c>
      <c r="C9842" s="32" t="s">
        <v>17105</v>
      </c>
      <c r="D9842" s="32"/>
      <c r="E9842" s="2">
        <v>1</v>
      </c>
      <c r="F9842" s="9"/>
      <c r="G9842" s="8">
        <f t="shared" ref="G9842" si="318">H9842+(H9842*5%)</f>
        <v>93.387</v>
      </c>
      <c r="H9842" s="16">
        <v>88.94</v>
      </c>
      <c r="I9842" s="19">
        <f t="shared" si="310"/>
        <v>0</v>
      </c>
    </row>
    <row r="9843" spans="1:9">
      <c r="A9843" s="54" t="s">
        <v>17106</v>
      </c>
      <c r="B9843" s="5" t="s">
        <v>17107</v>
      </c>
      <c r="C9843" s="32" t="s">
        <v>17108</v>
      </c>
      <c r="D9843" s="32"/>
      <c r="E9843" s="2">
        <v>1</v>
      </c>
      <c r="F9843" s="9">
        <v>74</v>
      </c>
      <c r="G9843" s="8"/>
      <c r="H9843" s="16">
        <v>65</v>
      </c>
      <c r="I9843" s="19">
        <f>F9843*H9844</f>
        <v>5476</v>
      </c>
    </row>
    <row r="9844" spans="1:9" hidden="1">
      <c r="A9844" s="54" t="s">
        <v>17106</v>
      </c>
      <c r="B9844" s="5">
        <v>1058</v>
      </c>
      <c r="C9844" s="32" t="s">
        <v>17109</v>
      </c>
      <c r="D9844" s="32"/>
      <c r="E9844" s="2">
        <v>1</v>
      </c>
      <c r="F9844" s="9"/>
      <c r="G9844" s="8"/>
      <c r="H9844" s="16">
        <v>74</v>
      </c>
      <c r="I9844" s="19">
        <f>F9844*H9844</f>
        <v>0</v>
      </c>
    </row>
    <row r="9845" spans="1:9" hidden="1">
      <c r="A9845" s="44" t="s">
        <v>17110</v>
      </c>
      <c r="B9845" s="5" t="s">
        <v>17111</v>
      </c>
      <c r="C9845" s="32" t="s">
        <v>17112</v>
      </c>
      <c r="D9845" s="32" t="s">
        <v>992</v>
      </c>
      <c r="E9845" s="2">
        <v>1</v>
      </c>
      <c r="F9845" s="9"/>
      <c r="G9845" s="8">
        <f>H9845+(H9845*5%)</f>
        <v>5.2709999999999999</v>
      </c>
      <c r="H9845" s="16">
        <v>5.0199999999999996</v>
      </c>
      <c r="I9845" s="19">
        <f>G9845*F9845</f>
        <v>0</v>
      </c>
    </row>
    <row r="9846" spans="1:9" hidden="1">
      <c r="A9846" s="44" t="s">
        <v>17110</v>
      </c>
      <c r="B9846" s="5" t="s">
        <v>17113</v>
      </c>
      <c r="C9846" s="32" t="s">
        <v>17114</v>
      </c>
      <c r="D9846" s="32" t="s">
        <v>992</v>
      </c>
      <c r="E9846" s="2">
        <v>1</v>
      </c>
      <c r="F9846" s="9"/>
      <c r="G9846" s="8">
        <f t="shared" ref="G9846:G9909" si="319">H9846+(H9846*5%)</f>
        <v>12.0855</v>
      </c>
      <c r="H9846" s="16">
        <v>11.51</v>
      </c>
      <c r="I9846" s="19">
        <f t="shared" ref="I9846:I9909" si="320">G9846*F9846</f>
        <v>0</v>
      </c>
    </row>
    <row r="9847" spans="1:9" hidden="1">
      <c r="A9847" s="44" t="s">
        <v>17110</v>
      </c>
      <c r="B9847" s="5" t="s">
        <v>17115</v>
      </c>
      <c r="C9847" s="32" t="s">
        <v>17116</v>
      </c>
      <c r="D9847" s="32" t="s">
        <v>992</v>
      </c>
      <c r="E9847" s="2">
        <v>1</v>
      </c>
      <c r="F9847" s="9"/>
      <c r="G9847" s="8">
        <f t="shared" si="319"/>
        <v>9.5025000000000013</v>
      </c>
      <c r="H9847" s="16">
        <v>9.0500000000000007</v>
      </c>
      <c r="I9847" s="19">
        <f t="shared" si="320"/>
        <v>0</v>
      </c>
    </row>
    <row r="9848" spans="1:9" hidden="1">
      <c r="A9848" s="44" t="s">
        <v>17110</v>
      </c>
      <c r="B9848" s="5" t="s">
        <v>17117</v>
      </c>
      <c r="C9848" s="32" t="s">
        <v>17118</v>
      </c>
      <c r="D9848" s="32"/>
      <c r="E9848" s="2">
        <v>1</v>
      </c>
      <c r="F9848" s="9"/>
      <c r="G9848" s="8">
        <f t="shared" si="319"/>
        <v>27.625499999999999</v>
      </c>
      <c r="H9848" s="16">
        <v>26.31</v>
      </c>
      <c r="I9848" s="19">
        <f t="shared" si="320"/>
        <v>0</v>
      </c>
    </row>
    <row r="9849" spans="1:9" hidden="1">
      <c r="A9849" s="44" t="s">
        <v>17110</v>
      </c>
      <c r="B9849" s="5" t="s">
        <v>17119</v>
      </c>
      <c r="C9849" s="32" t="s">
        <v>17120</v>
      </c>
      <c r="D9849" s="32"/>
      <c r="E9849" s="2">
        <v>1</v>
      </c>
      <c r="F9849" s="9"/>
      <c r="G9849" s="8">
        <f t="shared" si="319"/>
        <v>28.4025</v>
      </c>
      <c r="H9849" s="16">
        <v>27.05</v>
      </c>
      <c r="I9849" s="19">
        <f t="shared" si="320"/>
        <v>0</v>
      </c>
    </row>
    <row r="9850" spans="1:9" hidden="1">
      <c r="A9850" s="44" t="s">
        <v>17110</v>
      </c>
      <c r="B9850" s="5" t="s">
        <v>17121</v>
      </c>
      <c r="C9850" s="32" t="s">
        <v>17122</v>
      </c>
      <c r="D9850" s="32" t="s">
        <v>992</v>
      </c>
      <c r="E9850" s="2">
        <v>1</v>
      </c>
      <c r="F9850" s="9"/>
      <c r="G9850" s="8">
        <f t="shared" si="319"/>
        <v>56.143499999999996</v>
      </c>
      <c r="H9850" s="16">
        <v>53.47</v>
      </c>
      <c r="I9850" s="19">
        <f t="shared" si="320"/>
        <v>0</v>
      </c>
    </row>
    <row r="9851" spans="1:9" hidden="1">
      <c r="A9851" s="44" t="s">
        <v>17110</v>
      </c>
      <c r="B9851" s="5" t="s">
        <v>17123</v>
      </c>
      <c r="C9851" s="32" t="s">
        <v>17124</v>
      </c>
      <c r="D9851" s="32" t="s">
        <v>992</v>
      </c>
      <c r="E9851" s="2">
        <v>1</v>
      </c>
      <c r="F9851" s="9"/>
      <c r="G9851" s="8">
        <f t="shared" si="319"/>
        <v>63.472500000000004</v>
      </c>
      <c r="H9851" s="16">
        <v>60.45</v>
      </c>
      <c r="I9851" s="19">
        <f t="shared" si="320"/>
        <v>0</v>
      </c>
    </row>
    <row r="9852" spans="1:9" hidden="1">
      <c r="A9852" s="44" t="s">
        <v>17110</v>
      </c>
      <c r="B9852" s="5" t="s">
        <v>17125</v>
      </c>
      <c r="C9852" s="32" t="s">
        <v>17126</v>
      </c>
      <c r="D9852" s="32" t="s">
        <v>992</v>
      </c>
      <c r="E9852" s="2">
        <v>1</v>
      </c>
      <c r="F9852" s="9"/>
      <c r="G9852" s="8">
        <f t="shared" si="319"/>
        <v>63.882000000000005</v>
      </c>
      <c r="H9852" s="16">
        <v>60.84</v>
      </c>
      <c r="I9852" s="19">
        <f t="shared" si="320"/>
        <v>0</v>
      </c>
    </row>
    <row r="9853" spans="1:9" hidden="1">
      <c r="A9853" s="44" t="s">
        <v>17110</v>
      </c>
      <c r="B9853" s="5" t="s">
        <v>17125</v>
      </c>
      <c r="C9853" s="32" t="s">
        <v>17127</v>
      </c>
      <c r="D9853" s="32" t="s">
        <v>992</v>
      </c>
      <c r="E9853" s="2">
        <v>1</v>
      </c>
      <c r="F9853" s="9"/>
      <c r="G9853" s="8">
        <f t="shared" si="319"/>
        <v>57.529499999999999</v>
      </c>
      <c r="H9853" s="16">
        <v>54.79</v>
      </c>
      <c r="I9853" s="19">
        <f t="shared" si="320"/>
        <v>0</v>
      </c>
    </row>
    <row r="9854" spans="1:9" hidden="1">
      <c r="A9854" s="44" t="s">
        <v>17110</v>
      </c>
      <c r="B9854" s="5" t="s">
        <v>17128</v>
      </c>
      <c r="C9854" s="32" t="s">
        <v>17129</v>
      </c>
      <c r="D9854" s="32"/>
      <c r="E9854" s="2">
        <v>1</v>
      </c>
      <c r="F9854" s="9"/>
      <c r="G9854" s="8">
        <f t="shared" si="319"/>
        <v>13.4085</v>
      </c>
      <c r="H9854" s="16">
        <v>12.77</v>
      </c>
      <c r="I9854" s="19">
        <f t="shared" si="320"/>
        <v>0</v>
      </c>
    </row>
    <row r="9855" spans="1:9" hidden="1">
      <c r="A9855" s="44" t="s">
        <v>17110</v>
      </c>
      <c r="B9855" s="5" t="s">
        <v>17130</v>
      </c>
      <c r="C9855" s="32" t="s">
        <v>17131</v>
      </c>
      <c r="D9855" s="32"/>
      <c r="E9855" s="2">
        <v>1</v>
      </c>
      <c r="F9855" s="9"/>
      <c r="G9855" s="8">
        <f t="shared" si="319"/>
        <v>14.7735</v>
      </c>
      <c r="H9855" s="16">
        <v>14.07</v>
      </c>
      <c r="I9855" s="19">
        <f t="shared" si="320"/>
        <v>0</v>
      </c>
    </row>
    <row r="9856" spans="1:9" hidden="1">
      <c r="A9856" s="44" t="s">
        <v>17110</v>
      </c>
      <c r="B9856" s="5" t="s">
        <v>17132</v>
      </c>
      <c r="C9856" s="32" t="s">
        <v>17133</v>
      </c>
      <c r="D9856" s="32"/>
      <c r="E9856" s="2">
        <v>1</v>
      </c>
      <c r="F9856" s="9"/>
      <c r="G9856" s="8">
        <f t="shared" si="319"/>
        <v>6.0374999999999996</v>
      </c>
      <c r="H9856" s="16">
        <v>5.75</v>
      </c>
      <c r="I9856" s="19">
        <f t="shared" si="320"/>
        <v>0</v>
      </c>
    </row>
    <row r="9857" spans="1:9" hidden="1">
      <c r="A9857" s="44" t="s">
        <v>17110</v>
      </c>
      <c r="B9857" s="5" t="s">
        <v>17134</v>
      </c>
      <c r="C9857" s="32" t="s">
        <v>17135</v>
      </c>
      <c r="D9857" s="32"/>
      <c r="E9857" s="2">
        <v>1</v>
      </c>
      <c r="F9857" s="9"/>
      <c r="G9857" s="8">
        <f t="shared" si="319"/>
        <v>7.1819999999999995</v>
      </c>
      <c r="H9857" s="16">
        <v>6.84</v>
      </c>
      <c r="I9857" s="19">
        <f t="shared" si="320"/>
        <v>0</v>
      </c>
    </row>
    <row r="9858" spans="1:9" hidden="1">
      <c r="A9858" s="44" t="s">
        <v>17110</v>
      </c>
      <c r="B9858" s="5" t="s">
        <v>17136</v>
      </c>
      <c r="C9858" s="32" t="s">
        <v>17137</v>
      </c>
      <c r="D9858" s="32"/>
      <c r="E9858" s="2">
        <v>1</v>
      </c>
      <c r="F9858" s="9"/>
      <c r="G9858" s="8">
        <f t="shared" si="319"/>
        <v>7.2240000000000002</v>
      </c>
      <c r="H9858" s="16">
        <v>6.88</v>
      </c>
      <c r="I9858" s="19">
        <f t="shared" si="320"/>
        <v>0</v>
      </c>
    </row>
    <row r="9859" spans="1:9" hidden="1">
      <c r="A9859" s="44" t="s">
        <v>17110</v>
      </c>
      <c r="B9859" s="5" t="s">
        <v>17138</v>
      </c>
      <c r="C9859" s="32" t="s">
        <v>17139</v>
      </c>
      <c r="D9859" s="32" t="s">
        <v>576</v>
      </c>
      <c r="E9859" s="2">
        <v>1</v>
      </c>
      <c r="F9859" s="9"/>
      <c r="G9859" s="8">
        <f t="shared" si="319"/>
        <v>33.988499999999995</v>
      </c>
      <c r="H9859" s="16">
        <v>32.369999999999997</v>
      </c>
      <c r="I9859" s="19">
        <f t="shared" si="320"/>
        <v>0</v>
      </c>
    </row>
    <row r="9860" spans="1:9" hidden="1">
      <c r="A9860" s="44" t="s">
        <v>17110</v>
      </c>
      <c r="B9860" s="5" t="s">
        <v>17140</v>
      </c>
      <c r="C9860" s="32" t="s">
        <v>17141</v>
      </c>
      <c r="D9860" s="32" t="s">
        <v>576</v>
      </c>
      <c r="E9860" s="2">
        <v>1</v>
      </c>
      <c r="F9860" s="9"/>
      <c r="G9860" s="8">
        <f t="shared" si="319"/>
        <v>40.341000000000001</v>
      </c>
      <c r="H9860" s="16">
        <v>38.42</v>
      </c>
      <c r="I9860" s="19">
        <f t="shared" si="320"/>
        <v>0</v>
      </c>
    </row>
    <row r="9861" spans="1:9" hidden="1">
      <c r="A9861" s="44" t="s">
        <v>17110</v>
      </c>
      <c r="B9861" s="5" t="s">
        <v>17142</v>
      </c>
      <c r="C9861" s="32" t="s">
        <v>17143</v>
      </c>
      <c r="D9861" s="32"/>
      <c r="E9861" s="2">
        <v>1</v>
      </c>
      <c r="F9861" s="9"/>
      <c r="G9861" s="8">
        <f t="shared" si="319"/>
        <v>166.95</v>
      </c>
      <c r="H9861" s="16">
        <v>159</v>
      </c>
      <c r="I9861" s="19">
        <f t="shared" si="320"/>
        <v>0</v>
      </c>
    </row>
    <row r="9862" spans="1:9" hidden="1">
      <c r="A9862" s="44" t="s">
        <v>17110</v>
      </c>
      <c r="B9862" s="5" t="s">
        <v>17144</v>
      </c>
      <c r="C9862" s="32" t="s">
        <v>17145</v>
      </c>
      <c r="D9862" s="32"/>
      <c r="E9862" s="2">
        <v>1</v>
      </c>
      <c r="F9862" s="9"/>
      <c r="G9862" s="8">
        <f t="shared" si="319"/>
        <v>178.143</v>
      </c>
      <c r="H9862" s="16">
        <v>169.66</v>
      </c>
      <c r="I9862" s="19">
        <f t="shared" si="320"/>
        <v>0</v>
      </c>
    </row>
    <row r="9863" spans="1:9" hidden="1">
      <c r="A9863" s="44" t="s">
        <v>17110</v>
      </c>
      <c r="B9863" s="5" t="s">
        <v>17146</v>
      </c>
      <c r="C9863" s="32" t="s">
        <v>17147</v>
      </c>
      <c r="D9863" s="32"/>
      <c r="E9863" s="2">
        <v>1</v>
      </c>
      <c r="F9863" s="9"/>
      <c r="G9863" s="8">
        <f t="shared" si="319"/>
        <v>2.31</v>
      </c>
      <c r="H9863" s="16">
        <v>2.2000000000000002</v>
      </c>
      <c r="I9863" s="19">
        <f t="shared" si="320"/>
        <v>0</v>
      </c>
    </row>
    <row r="9864" spans="1:9" hidden="1">
      <c r="A9864" s="44" t="s">
        <v>17110</v>
      </c>
      <c r="B9864" s="5" t="s">
        <v>17148</v>
      </c>
      <c r="C9864" s="32" t="s">
        <v>17149</v>
      </c>
      <c r="D9864" s="32"/>
      <c r="E9864" s="2">
        <v>1</v>
      </c>
      <c r="F9864" s="9"/>
      <c r="G9864" s="8">
        <f t="shared" si="319"/>
        <v>4.5045000000000002</v>
      </c>
      <c r="H9864" s="16">
        <v>4.29</v>
      </c>
      <c r="I9864" s="19">
        <f t="shared" si="320"/>
        <v>0</v>
      </c>
    </row>
    <row r="9865" spans="1:9" hidden="1">
      <c r="A9865" s="44" t="s">
        <v>17110</v>
      </c>
      <c r="B9865" s="5" t="s">
        <v>17150</v>
      </c>
      <c r="C9865" s="32" t="s">
        <v>17151</v>
      </c>
      <c r="D9865" s="32"/>
      <c r="E9865" s="2">
        <v>1</v>
      </c>
      <c r="F9865" s="9"/>
      <c r="G9865" s="8">
        <f t="shared" si="319"/>
        <v>4.2629999999999999</v>
      </c>
      <c r="H9865" s="16">
        <v>4.0599999999999996</v>
      </c>
      <c r="I9865" s="19">
        <f t="shared" si="320"/>
        <v>0</v>
      </c>
    </row>
    <row r="9866" spans="1:9" hidden="1">
      <c r="A9866" s="44" t="s">
        <v>17110</v>
      </c>
      <c r="B9866" s="5" t="s">
        <v>17152</v>
      </c>
      <c r="C9866" s="32" t="s">
        <v>17153</v>
      </c>
      <c r="D9866" s="32"/>
      <c r="E9866" s="2">
        <v>1</v>
      </c>
      <c r="F9866" s="9"/>
      <c r="G9866" s="8">
        <f t="shared" si="319"/>
        <v>5.5440000000000005</v>
      </c>
      <c r="H9866" s="16">
        <v>5.28</v>
      </c>
      <c r="I9866" s="19">
        <f t="shared" si="320"/>
        <v>0</v>
      </c>
    </row>
    <row r="9867" spans="1:9" hidden="1">
      <c r="A9867" s="44" t="s">
        <v>17110</v>
      </c>
      <c r="B9867" s="5" t="s">
        <v>17154</v>
      </c>
      <c r="C9867" s="32" t="s">
        <v>17155</v>
      </c>
      <c r="D9867" s="32"/>
      <c r="E9867" s="2">
        <v>1</v>
      </c>
      <c r="F9867" s="9"/>
      <c r="G9867" s="8">
        <f t="shared" si="319"/>
        <v>19.7925</v>
      </c>
      <c r="H9867" s="16">
        <v>18.850000000000001</v>
      </c>
      <c r="I9867" s="19">
        <f t="shared" si="320"/>
        <v>0</v>
      </c>
    </row>
    <row r="9868" spans="1:9" hidden="1">
      <c r="A9868" s="44" t="s">
        <v>17110</v>
      </c>
      <c r="B9868" s="5" t="s">
        <v>17156</v>
      </c>
      <c r="C9868" s="32" t="s">
        <v>17157</v>
      </c>
      <c r="D9868" s="32"/>
      <c r="E9868" s="2">
        <v>1</v>
      </c>
      <c r="F9868" s="9"/>
      <c r="G9868" s="8">
        <f t="shared" si="319"/>
        <v>6.0165000000000006</v>
      </c>
      <c r="H9868" s="16">
        <v>5.73</v>
      </c>
      <c r="I9868" s="19">
        <f t="shared" si="320"/>
        <v>0</v>
      </c>
    </row>
    <row r="9869" spans="1:9" hidden="1">
      <c r="A9869" s="44" t="s">
        <v>17110</v>
      </c>
      <c r="B9869" s="5" t="s">
        <v>17158</v>
      </c>
      <c r="C9869" s="32" t="s">
        <v>17159</v>
      </c>
      <c r="D9869" s="32"/>
      <c r="E9869" s="2">
        <v>1</v>
      </c>
      <c r="F9869" s="9"/>
      <c r="G9869" s="8">
        <f t="shared" si="319"/>
        <v>27.069000000000003</v>
      </c>
      <c r="H9869" s="16">
        <v>25.78</v>
      </c>
      <c r="I9869" s="19">
        <f t="shared" si="320"/>
        <v>0</v>
      </c>
    </row>
    <row r="9870" spans="1:9" hidden="1">
      <c r="A9870" s="44" t="s">
        <v>17110</v>
      </c>
      <c r="B9870" s="5" t="s">
        <v>17160</v>
      </c>
      <c r="C9870" s="32" t="s">
        <v>17161</v>
      </c>
      <c r="D9870" s="32"/>
      <c r="E9870" s="2">
        <v>1</v>
      </c>
      <c r="F9870" s="9"/>
      <c r="G9870" s="8">
        <f t="shared" si="319"/>
        <v>4.1159999999999997</v>
      </c>
      <c r="H9870" s="16">
        <v>3.92</v>
      </c>
      <c r="I9870" s="19">
        <f t="shared" si="320"/>
        <v>0</v>
      </c>
    </row>
    <row r="9871" spans="1:9" hidden="1">
      <c r="A9871" s="44" t="s">
        <v>17110</v>
      </c>
      <c r="B9871" s="5" t="s">
        <v>17162</v>
      </c>
      <c r="C9871" s="32" t="s">
        <v>17163</v>
      </c>
      <c r="D9871" s="32"/>
      <c r="E9871" s="2">
        <v>1</v>
      </c>
      <c r="F9871" s="9"/>
      <c r="G9871" s="8">
        <f t="shared" si="319"/>
        <v>13.524000000000001</v>
      </c>
      <c r="H9871" s="16">
        <v>12.88</v>
      </c>
      <c r="I9871" s="19">
        <f t="shared" si="320"/>
        <v>0</v>
      </c>
    </row>
    <row r="9872" spans="1:9" hidden="1">
      <c r="A9872" s="44" t="s">
        <v>17110</v>
      </c>
      <c r="B9872" s="5" t="s">
        <v>17164</v>
      </c>
      <c r="C9872" s="32" t="s">
        <v>17165</v>
      </c>
      <c r="D9872" s="32" t="s">
        <v>1117</v>
      </c>
      <c r="E9872" s="2">
        <v>1</v>
      </c>
      <c r="F9872" s="9"/>
      <c r="G9872" s="8">
        <f t="shared" si="319"/>
        <v>12.789</v>
      </c>
      <c r="H9872" s="16">
        <v>12.18</v>
      </c>
      <c r="I9872" s="19">
        <f t="shared" si="320"/>
        <v>0</v>
      </c>
    </row>
    <row r="9873" spans="1:9" hidden="1">
      <c r="A9873" s="44" t="s">
        <v>17110</v>
      </c>
      <c r="B9873" s="5" t="s">
        <v>17166</v>
      </c>
      <c r="C9873" s="32" t="s">
        <v>17167</v>
      </c>
      <c r="D9873" s="32"/>
      <c r="E9873" s="2">
        <v>1</v>
      </c>
      <c r="F9873" s="9"/>
      <c r="G9873" s="8">
        <f t="shared" si="319"/>
        <v>0.36749999999999999</v>
      </c>
      <c r="H9873" s="16">
        <v>0.35</v>
      </c>
      <c r="I9873" s="19">
        <f t="shared" si="320"/>
        <v>0</v>
      </c>
    </row>
    <row r="9874" spans="1:9" hidden="1">
      <c r="A9874" s="44" t="s">
        <v>17110</v>
      </c>
      <c r="B9874" s="46" t="s">
        <v>17166</v>
      </c>
      <c r="C9874" s="32" t="s">
        <v>17168</v>
      </c>
      <c r="D9874" s="32"/>
      <c r="E9874" s="2">
        <v>1</v>
      </c>
      <c r="F9874" s="9"/>
      <c r="G9874" s="8">
        <f t="shared" si="319"/>
        <v>39.049499999999995</v>
      </c>
      <c r="H9874" s="16">
        <v>37.19</v>
      </c>
      <c r="I9874" s="19">
        <f t="shared" si="320"/>
        <v>0</v>
      </c>
    </row>
    <row r="9875" spans="1:9" hidden="1">
      <c r="A9875" s="44" t="s">
        <v>17110</v>
      </c>
      <c r="B9875" s="5" t="s">
        <v>17169</v>
      </c>
      <c r="C9875" s="32" t="s">
        <v>17170</v>
      </c>
      <c r="D9875" s="32" t="s">
        <v>17171</v>
      </c>
      <c r="E9875" s="2">
        <v>1</v>
      </c>
      <c r="F9875" s="9"/>
      <c r="G9875" s="8">
        <f t="shared" si="319"/>
        <v>12.0855</v>
      </c>
      <c r="H9875" s="16">
        <v>11.51</v>
      </c>
      <c r="I9875" s="19">
        <f t="shared" si="320"/>
        <v>0</v>
      </c>
    </row>
    <row r="9876" spans="1:9" hidden="1">
      <c r="A9876" s="44" t="s">
        <v>17110</v>
      </c>
      <c r="B9876" s="5" t="s">
        <v>17172</v>
      </c>
      <c r="C9876" s="32" t="s">
        <v>17173</v>
      </c>
      <c r="D9876" s="32"/>
      <c r="E9876" s="2">
        <v>1</v>
      </c>
      <c r="F9876" s="9"/>
      <c r="G9876" s="8">
        <f t="shared" si="319"/>
        <v>3.738</v>
      </c>
      <c r="H9876" s="16">
        <v>3.56</v>
      </c>
      <c r="I9876" s="19">
        <f t="shared" si="320"/>
        <v>0</v>
      </c>
    </row>
    <row r="9877" spans="1:9" hidden="1">
      <c r="A9877" s="44" t="s">
        <v>17110</v>
      </c>
      <c r="B9877" s="5" t="s">
        <v>17174</v>
      </c>
      <c r="C9877" s="32" t="s">
        <v>17175</v>
      </c>
      <c r="D9877" s="32"/>
      <c r="E9877" s="2">
        <v>1</v>
      </c>
      <c r="F9877" s="9"/>
      <c r="G9877" s="8">
        <f t="shared" si="319"/>
        <v>13.545</v>
      </c>
      <c r="H9877" s="16">
        <v>12.9</v>
      </c>
      <c r="I9877" s="19">
        <f t="shared" si="320"/>
        <v>0</v>
      </c>
    </row>
    <row r="9878" spans="1:9" hidden="1">
      <c r="A9878" s="44" t="s">
        <v>17110</v>
      </c>
      <c r="B9878" s="5" t="s">
        <v>17176</v>
      </c>
      <c r="C9878" s="32" t="s">
        <v>17177</v>
      </c>
      <c r="D9878" s="32"/>
      <c r="E9878" s="2">
        <v>1</v>
      </c>
      <c r="F9878" s="9"/>
      <c r="G9878" s="8">
        <f t="shared" si="319"/>
        <v>44.688000000000002</v>
      </c>
      <c r="H9878" s="16">
        <v>42.56</v>
      </c>
      <c r="I9878" s="19">
        <f t="shared" si="320"/>
        <v>0</v>
      </c>
    </row>
    <row r="9879" spans="1:9" hidden="1">
      <c r="A9879" s="44" t="s">
        <v>17110</v>
      </c>
      <c r="B9879" s="5" t="s">
        <v>17178</v>
      </c>
      <c r="C9879" s="32" t="s">
        <v>17179</v>
      </c>
      <c r="D9879" s="32"/>
      <c r="E9879" s="2">
        <v>1</v>
      </c>
      <c r="F9879" s="9"/>
      <c r="G9879" s="8">
        <f t="shared" si="319"/>
        <v>10.4895</v>
      </c>
      <c r="H9879" s="16">
        <v>9.99</v>
      </c>
      <c r="I9879" s="19">
        <f t="shared" si="320"/>
        <v>0</v>
      </c>
    </row>
    <row r="9880" spans="1:9" hidden="1">
      <c r="A9880" s="44" t="s">
        <v>17110</v>
      </c>
      <c r="B9880" s="5" t="s">
        <v>17180</v>
      </c>
      <c r="C9880" s="32" t="s">
        <v>17181</v>
      </c>
      <c r="D9880" s="32"/>
      <c r="E9880" s="2">
        <v>1</v>
      </c>
      <c r="F9880" s="9"/>
      <c r="G9880" s="8">
        <f t="shared" si="319"/>
        <v>8.3895</v>
      </c>
      <c r="H9880" s="16">
        <v>7.99</v>
      </c>
      <c r="I9880" s="19">
        <f t="shared" si="320"/>
        <v>0</v>
      </c>
    </row>
    <row r="9881" spans="1:9" hidden="1">
      <c r="A9881" s="44" t="s">
        <v>17110</v>
      </c>
      <c r="B9881" s="5" t="s">
        <v>17182</v>
      </c>
      <c r="C9881" s="32" t="s">
        <v>17183</v>
      </c>
      <c r="D9881" s="32"/>
      <c r="E9881" s="2">
        <v>1</v>
      </c>
      <c r="F9881" s="9"/>
      <c r="G9881" s="8">
        <f t="shared" si="319"/>
        <v>35.374499999999998</v>
      </c>
      <c r="H9881" s="16">
        <v>33.69</v>
      </c>
      <c r="I9881" s="19">
        <f t="shared" si="320"/>
        <v>0</v>
      </c>
    </row>
    <row r="9882" spans="1:9" hidden="1">
      <c r="A9882" s="44" t="s">
        <v>17110</v>
      </c>
      <c r="B9882" s="5" t="s">
        <v>17184</v>
      </c>
      <c r="C9882" s="32" t="s">
        <v>17185</v>
      </c>
      <c r="D9882" s="32"/>
      <c r="E9882" s="2">
        <v>1</v>
      </c>
      <c r="F9882" s="9"/>
      <c r="G9882" s="8">
        <f t="shared" si="319"/>
        <v>5.5440000000000005</v>
      </c>
      <c r="H9882" s="16">
        <v>5.28</v>
      </c>
      <c r="I9882" s="19">
        <f t="shared" si="320"/>
        <v>0</v>
      </c>
    </row>
    <row r="9883" spans="1:9" hidden="1">
      <c r="A9883" s="44" t="s">
        <v>17110</v>
      </c>
      <c r="B9883" s="5" t="s">
        <v>17186</v>
      </c>
      <c r="C9883" s="32" t="s">
        <v>17187</v>
      </c>
      <c r="D9883" s="32"/>
      <c r="E9883" s="2">
        <v>1</v>
      </c>
      <c r="F9883" s="9"/>
      <c r="G9883" s="8">
        <f t="shared" si="319"/>
        <v>33.978000000000002</v>
      </c>
      <c r="H9883" s="16">
        <v>32.36</v>
      </c>
      <c r="I9883" s="19">
        <f t="shared" si="320"/>
        <v>0</v>
      </c>
    </row>
    <row r="9884" spans="1:9" hidden="1">
      <c r="A9884" s="44" t="s">
        <v>17110</v>
      </c>
      <c r="B9884" s="5" t="s">
        <v>17188</v>
      </c>
      <c r="C9884" s="32" t="s">
        <v>17189</v>
      </c>
      <c r="D9884" s="32"/>
      <c r="E9884" s="2">
        <v>1</v>
      </c>
      <c r="F9884" s="9"/>
      <c r="G9884" s="8">
        <f t="shared" si="319"/>
        <v>39.963000000000001</v>
      </c>
      <c r="H9884" s="16">
        <v>38.06</v>
      </c>
      <c r="I9884" s="19">
        <f t="shared" si="320"/>
        <v>0</v>
      </c>
    </row>
    <row r="9885" spans="1:9" hidden="1">
      <c r="A9885" s="44" t="s">
        <v>17110</v>
      </c>
      <c r="B9885" s="5" t="s">
        <v>17190</v>
      </c>
      <c r="C9885" s="32" t="s">
        <v>17191</v>
      </c>
      <c r="D9885" s="32"/>
      <c r="E9885" s="2">
        <v>1</v>
      </c>
      <c r="F9885" s="9"/>
      <c r="G9885" s="8">
        <f t="shared" si="319"/>
        <v>10.5525</v>
      </c>
      <c r="H9885" s="16">
        <v>10.050000000000001</v>
      </c>
      <c r="I9885" s="19">
        <f t="shared" si="320"/>
        <v>0</v>
      </c>
    </row>
    <row r="9886" spans="1:9" hidden="1">
      <c r="A9886" s="44" t="s">
        <v>17110</v>
      </c>
      <c r="B9886" s="5" t="s">
        <v>17192</v>
      </c>
      <c r="C9886" s="32" t="s">
        <v>17193</v>
      </c>
      <c r="D9886" s="32"/>
      <c r="E9886" s="2">
        <v>1</v>
      </c>
      <c r="F9886" s="9"/>
      <c r="G9886" s="8">
        <f t="shared" si="319"/>
        <v>6.0584999999999996</v>
      </c>
      <c r="H9886" s="16">
        <v>5.77</v>
      </c>
      <c r="I9886" s="19">
        <f t="shared" si="320"/>
        <v>0</v>
      </c>
    </row>
    <row r="9887" spans="1:9" hidden="1">
      <c r="A9887" s="44" t="s">
        <v>17110</v>
      </c>
      <c r="B9887" s="5" t="s">
        <v>17194</v>
      </c>
      <c r="C9887" s="32" t="s">
        <v>17195</v>
      </c>
      <c r="D9887" s="32"/>
      <c r="E9887" s="2">
        <v>1</v>
      </c>
      <c r="F9887" s="9"/>
      <c r="G9887" s="8">
        <f t="shared" si="319"/>
        <v>17.7135</v>
      </c>
      <c r="H9887" s="16">
        <v>16.87</v>
      </c>
      <c r="I9887" s="19">
        <f t="shared" si="320"/>
        <v>0</v>
      </c>
    </row>
    <row r="9888" spans="1:9" hidden="1">
      <c r="A9888" s="44" t="s">
        <v>17110</v>
      </c>
      <c r="B9888" s="5" t="s">
        <v>17196</v>
      </c>
      <c r="C9888" s="32" t="s">
        <v>17197</v>
      </c>
      <c r="D9888" s="32"/>
      <c r="E9888" s="2">
        <v>1</v>
      </c>
      <c r="F9888" s="9"/>
      <c r="G9888" s="8">
        <f t="shared" si="319"/>
        <v>19.456500000000002</v>
      </c>
      <c r="H9888" s="16">
        <v>18.53</v>
      </c>
      <c r="I9888" s="19">
        <f t="shared" si="320"/>
        <v>0</v>
      </c>
    </row>
    <row r="9889" spans="1:9" hidden="1">
      <c r="A9889" s="44" t="s">
        <v>17110</v>
      </c>
      <c r="B9889" s="5" t="s">
        <v>17198</v>
      </c>
      <c r="C9889" s="32" t="s">
        <v>17199</v>
      </c>
      <c r="D9889" s="32"/>
      <c r="E9889" s="2">
        <v>1</v>
      </c>
      <c r="F9889" s="9"/>
      <c r="G9889" s="8">
        <f t="shared" si="319"/>
        <v>35.374499999999998</v>
      </c>
      <c r="H9889" s="16">
        <v>33.69</v>
      </c>
      <c r="I9889" s="19">
        <f t="shared" si="320"/>
        <v>0</v>
      </c>
    </row>
    <row r="9890" spans="1:9" hidden="1">
      <c r="A9890" s="44" t="s">
        <v>17110</v>
      </c>
      <c r="B9890" s="5" t="s">
        <v>17200</v>
      </c>
      <c r="C9890" s="32" t="s">
        <v>17201</v>
      </c>
      <c r="D9890" s="32"/>
      <c r="E9890" s="2">
        <v>1</v>
      </c>
      <c r="F9890" s="9"/>
      <c r="G9890" s="8">
        <f t="shared" si="319"/>
        <v>29.683499999999999</v>
      </c>
      <c r="H9890" s="16">
        <v>28.27</v>
      </c>
      <c r="I9890" s="19">
        <f t="shared" si="320"/>
        <v>0</v>
      </c>
    </row>
    <row r="9891" spans="1:9" hidden="1">
      <c r="A9891" s="44" t="s">
        <v>17110</v>
      </c>
      <c r="B9891" s="5" t="s">
        <v>17202</v>
      </c>
      <c r="C9891" s="32" t="s">
        <v>17203</v>
      </c>
      <c r="D9891" s="32"/>
      <c r="E9891" s="2">
        <v>1</v>
      </c>
      <c r="F9891" s="9"/>
      <c r="G9891" s="8">
        <f t="shared" si="319"/>
        <v>8.1374999999999993</v>
      </c>
      <c r="H9891" s="16">
        <v>7.75</v>
      </c>
      <c r="I9891" s="19">
        <f t="shared" si="320"/>
        <v>0</v>
      </c>
    </row>
    <row r="9892" spans="1:9" hidden="1">
      <c r="A9892" s="44" t="s">
        <v>17110</v>
      </c>
      <c r="B9892" s="5" t="s">
        <v>17204</v>
      </c>
      <c r="C9892" s="32" t="s">
        <v>17205</v>
      </c>
      <c r="D9892" s="32"/>
      <c r="E9892" s="2">
        <v>1</v>
      </c>
      <c r="F9892" s="9"/>
      <c r="G9892" s="8">
        <f t="shared" si="319"/>
        <v>31.395</v>
      </c>
      <c r="H9892" s="16">
        <v>29.9</v>
      </c>
      <c r="I9892" s="19">
        <f t="shared" si="320"/>
        <v>0</v>
      </c>
    </row>
    <row r="9893" spans="1:9" hidden="1">
      <c r="A9893" s="44" t="s">
        <v>17110</v>
      </c>
      <c r="B9893" s="5" t="s">
        <v>17206</v>
      </c>
      <c r="C9893" s="32" t="s">
        <v>17207</v>
      </c>
      <c r="D9893" s="32"/>
      <c r="E9893" s="2">
        <v>1</v>
      </c>
      <c r="F9893" s="9"/>
      <c r="G9893" s="8">
        <f t="shared" si="319"/>
        <v>166.95</v>
      </c>
      <c r="H9893" s="16">
        <v>159</v>
      </c>
      <c r="I9893" s="19">
        <f t="shared" si="320"/>
        <v>0</v>
      </c>
    </row>
    <row r="9894" spans="1:9" hidden="1">
      <c r="A9894" s="44" t="s">
        <v>17110</v>
      </c>
      <c r="B9894" s="5" t="s">
        <v>17208</v>
      </c>
      <c r="C9894" s="32" t="s">
        <v>17209</v>
      </c>
      <c r="D9894" s="32"/>
      <c r="E9894" s="2">
        <v>1</v>
      </c>
      <c r="F9894" s="9"/>
      <c r="G9894" s="8">
        <f t="shared" si="319"/>
        <v>390.97800000000001</v>
      </c>
      <c r="H9894" s="16">
        <v>372.36</v>
      </c>
      <c r="I9894" s="19">
        <f t="shared" si="320"/>
        <v>0</v>
      </c>
    </row>
    <row r="9895" spans="1:9" hidden="1">
      <c r="A9895" s="44" t="s">
        <v>17110</v>
      </c>
      <c r="B9895" s="5" t="s">
        <v>17210</v>
      </c>
      <c r="C9895" s="32" t="s">
        <v>17211</v>
      </c>
      <c r="D9895" s="32"/>
      <c r="E9895" s="2">
        <v>1</v>
      </c>
      <c r="F9895" s="9"/>
      <c r="G9895" s="8">
        <f t="shared" si="319"/>
        <v>1053.444</v>
      </c>
      <c r="H9895" s="16">
        <v>1003.28</v>
      </c>
      <c r="I9895" s="19">
        <f t="shared" si="320"/>
        <v>0</v>
      </c>
    </row>
    <row r="9896" spans="1:9" hidden="1">
      <c r="A9896" s="44" t="s">
        <v>17110</v>
      </c>
      <c r="B9896" s="5" t="s">
        <v>17212</v>
      </c>
      <c r="C9896" s="32" t="s">
        <v>17213</v>
      </c>
      <c r="D9896" s="32"/>
      <c r="E9896" s="2">
        <v>1</v>
      </c>
      <c r="F9896" s="9"/>
      <c r="G9896" s="8">
        <f t="shared" si="319"/>
        <v>27.993000000000002</v>
      </c>
      <c r="H9896" s="16">
        <v>26.66</v>
      </c>
      <c r="I9896" s="19">
        <f t="shared" si="320"/>
        <v>0</v>
      </c>
    </row>
    <row r="9897" spans="1:9" hidden="1">
      <c r="A9897" s="44" t="s">
        <v>17110</v>
      </c>
      <c r="B9897" s="5" t="s">
        <v>17214</v>
      </c>
      <c r="C9897" s="32" t="s">
        <v>17215</v>
      </c>
      <c r="D9897" s="32"/>
      <c r="E9897" s="2">
        <v>1</v>
      </c>
      <c r="F9897" s="9"/>
      <c r="G9897" s="8">
        <f t="shared" si="319"/>
        <v>11.602500000000001</v>
      </c>
      <c r="H9897" s="16">
        <v>11.05</v>
      </c>
      <c r="I9897" s="19">
        <f t="shared" si="320"/>
        <v>0</v>
      </c>
    </row>
    <row r="9898" spans="1:9" hidden="1">
      <c r="A9898" s="44" t="s">
        <v>17110</v>
      </c>
      <c r="B9898" s="5" t="s">
        <v>17216</v>
      </c>
      <c r="C9898" s="32" t="s">
        <v>17217</v>
      </c>
      <c r="D9898" s="32"/>
      <c r="E9898" s="2">
        <v>1</v>
      </c>
      <c r="F9898" s="9"/>
      <c r="G9898" s="8">
        <f t="shared" si="319"/>
        <v>7.8959999999999999</v>
      </c>
      <c r="H9898" s="16">
        <v>7.52</v>
      </c>
      <c r="I9898" s="19">
        <f t="shared" si="320"/>
        <v>0</v>
      </c>
    </row>
    <row r="9899" spans="1:9" hidden="1">
      <c r="A9899" s="44" t="s">
        <v>17110</v>
      </c>
      <c r="B9899" s="128" t="s">
        <v>17218</v>
      </c>
      <c r="C9899" s="128" t="s">
        <v>17219</v>
      </c>
      <c r="D9899" s="32" t="s">
        <v>992</v>
      </c>
      <c r="E9899" s="2">
        <v>1</v>
      </c>
      <c r="F9899" s="9"/>
      <c r="G9899" s="8">
        <f t="shared" si="319"/>
        <v>3.3285</v>
      </c>
      <c r="H9899" s="16">
        <v>3.17</v>
      </c>
      <c r="I9899" s="19">
        <f t="shared" si="320"/>
        <v>0</v>
      </c>
    </row>
    <row r="9900" spans="1:9" hidden="1">
      <c r="A9900" s="44" t="s">
        <v>17110</v>
      </c>
      <c r="B9900" s="128" t="s">
        <v>17220</v>
      </c>
      <c r="C9900" s="128" t="s">
        <v>17221</v>
      </c>
      <c r="D9900" s="32"/>
      <c r="E9900" s="2">
        <v>1</v>
      </c>
      <c r="F9900" s="9"/>
      <c r="G9900" s="8">
        <f t="shared" si="319"/>
        <v>2.1840000000000002</v>
      </c>
      <c r="H9900" s="16">
        <v>2.08</v>
      </c>
      <c r="I9900" s="19">
        <f t="shared" si="320"/>
        <v>0</v>
      </c>
    </row>
    <row r="9901" spans="1:9" hidden="1">
      <c r="A9901" s="44" t="s">
        <v>17110</v>
      </c>
      <c r="B9901" s="128" t="s">
        <v>17222</v>
      </c>
      <c r="C9901" s="128" t="s">
        <v>17223</v>
      </c>
      <c r="D9901" s="32"/>
      <c r="E9901" s="2">
        <v>1</v>
      </c>
      <c r="F9901" s="9"/>
      <c r="G9901" s="8">
        <f t="shared" si="319"/>
        <v>22.89</v>
      </c>
      <c r="H9901" s="16">
        <v>21.8</v>
      </c>
      <c r="I9901" s="19">
        <f t="shared" si="320"/>
        <v>0</v>
      </c>
    </row>
    <row r="9902" spans="1:9" hidden="1">
      <c r="A9902" s="44" t="s">
        <v>17110</v>
      </c>
      <c r="B9902" s="128" t="s">
        <v>17224</v>
      </c>
      <c r="C9902" s="128" t="s">
        <v>17225</v>
      </c>
      <c r="D9902" s="32"/>
      <c r="E9902" s="2">
        <v>1</v>
      </c>
      <c r="F9902" s="9"/>
      <c r="G9902" s="8">
        <f t="shared" si="319"/>
        <v>26.407499999999999</v>
      </c>
      <c r="H9902" s="16">
        <v>25.15</v>
      </c>
      <c r="I9902" s="19">
        <f t="shared" si="320"/>
        <v>0</v>
      </c>
    </row>
    <row r="9903" spans="1:9" hidden="1">
      <c r="A9903" s="44" t="s">
        <v>17110</v>
      </c>
      <c r="B9903" s="128" t="s">
        <v>17226</v>
      </c>
      <c r="C9903" s="128" t="s">
        <v>17227</v>
      </c>
      <c r="D9903" s="32" t="s">
        <v>945</v>
      </c>
      <c r="E9903" s="2">
        <v>1</v>
      </c>
      <c r="F9903" s="9"/>
      <c r="G9903" s="8">
        <f t="shared" si="319"/>
        <v>277.63050000000004</v>
      </c>
      <c r="H9903" s="16">
        <v>264.41000000000003</v>
      </c>
      <c r="I9903" s="19">
        <f t="shared" si="320"/>
        <v>0</v>
      </c>
    </row>
    <row r="9904" spans="1:9" hidden="1">
      <c r="A9904" s="44" t="s">
        <v>17110</v>
      </c>
      <c r="B9904" s="128" t="s">
        <v>17228</v>
      </c>
      <c r="C9904" s="128" t="s">
        <v>17229</v>
      </c>
      <c r="D9904" s="32"/>
      <c r="E9904" s="2">
        <v>1</v>
      </c>
      <c r="F9904" s="9"/>
      <c r="G9904" s="8">
        <f t="shared" si="319"/>
        <v>22.354499999999998</v>
      </c>
      <c r="H9904" s="16">
        <v>21.29</v>
      </c>
      <c r="I9904" s="19">
        <f t="shared" si="320"/>
        <v>0</v>
      </c>
    </row>
    <row r="9905" spans="1:9" hidden="1">
      <c r="A9905" s="44" t="s">
        <v>17110</v>
      </c>
      <c r="B9905" s="128" t="s">
        <v>17230</v>
      </c>
      <c r="C9905" s="128" t="s">
        <v>17231</v>
      </c>
      <c r="D9905" s="32"/>
      <c r="E9905" s="2">
        <v>1</v>
      </c>
      <c r="F9905" s="9"/>
      <c r="G9905" s="8">
        <f t="shared" si="319"/>
        <v>24.276</v>
      </c>
      <c r="H9905" s="16">
        <v>23.12</v>
      </c>
      <c r="I9905" s="19">
        <f t="shared" si="320"/>
        <v>0</v>
      </c>
    </row>
    <row r="9906" spans="1:9" hidden="1">
      <c r="A9906" s="44" t="s">
        <v>17110</v>
      </c>
      <c r="B9906" s="128" t="s">
        <v>17232</v>
      </c>
      <c r="C9906" s="128" t="s">
        <v>17233</v>
      </c>
      <c r="D9906" s="32"/>
      <c r="E9906" s="2">
        <v>1</v>
      </c>
      <c r="F9906" s="9"/>
      <c r="G9906" s="8">
        <f t="shared" si="319"/>
        <v>2.9925000000000002</v>
      </c>
      <c r="H9906" s="16">
        <v>2.85</v>
      </c>
      <c r="I9906" s="19">
        <f t="shared" si="320"/>
        <v>0</v>
      </c>
    </row>
    <row r="9907" spans="1:9" hidden="1">
      <c r="A9907" s="44" t="s">
        <v>17110</v>
      </c>
      <c r="B9907" s="128" t="s">
        <v>17234</v>
      </c>
      <c r="C9907" s="128" t="s">
        <v>17235</v>
      </c>
      <c r="D9907" s="32"/>
      <c r="E9907" s="2">
        <v>1</v>
      </c>
      <c r="F9907" s="9"/>
      <c r="G9907" s="8">
        <f t="shared" si="319"/>
        <v>5.9639999999999995</v>
      </c>
      <c r="H9907" s="16">
        <v>5.68</v>
      </c>
      <c r="I9907" s="19">
        <f t="shared" si="320"/>
        <v>0</v>
      </c>
    </row>
    <row r="9908" spans="1:9" hidden="1">
      <c r="A9908" s="44" t="s">
        <v>17110</v>
      </c>
      <c r="B9908" s="128" t="s">
        <v>17236</v>
      </c>
      <c r="C9908" s="128" t="s">
        <v>17237</v>
      </c>
      <c r="D9908" s="32"/>
      <c r="E9908" s="2">
        <v>1</v>
      </c>
      <c r="F9908" s="9"/>
      <c r="G9908" s="8">
        <f t="shared" si="319"/>
        <v>12.484500000000001</v>
      </c>
      <c r="H9908" s="16">
        <v>11.89</v>
      </c>
      <c r="I9908" s="19">
        <f t="shared" si="320"/>
        <v>0</v>
      </c>
    </row>
    <row r="9909" spans="1:9" hidden="1">
      <c r="A9909" s="44" t="s">
        <v>17110</v>
      </c>
      <c r="B9909" s="128" t="s">
        <v>17238</v>
      </c>
      <c r="C9909" s="128" t="s">
        <v>17239</v>
      </c>
      <c r="D9909" s="32"/>
      <c r="E9909" s="2">
        <v>1</v>
      </c>
      <c r="F9909" s="9"/>
      <c r="G9909" s="8">
        <f t="shared" si="319"/>
        <v>9.6285000000000007</v>
      </c>
      <c r="H9909" s="16">
        <v>9.17</v>
      </c>
      <c r="I9909" s="19">
        <f t="shared" si="320"/>
        <v>0</v>
      </c>
    </row>
    <row r="9910" spans="1:9" hidden="1">
      <c r="A9910" s="44" t="s">
        <v>17110</v>
      </c>
      <c r="B9910" s="128" t="s">
        <v>17240</v>
      </c>
      <c r="C9910" s="128" t="s">
        <v>17241</v>
      </c>
      <c r="D9910" s="32"/>
      <c r="E9910" s="2">
        <v>1</v>
      </c>
      <c r="F9910" s="9"/>
      <c r="G9910" s="8">
        <f t="shared" ref="G9910:G9957" si="321">H9910+(H9910*5%)</f>
        <v>5.5649999999999995</v>
      </c>
      <c r="H9910" s="16">
        <v>5.3</v>
      </c>
      <c r="I9910" s="19">
        <f t="shared" ref="I9910:I9957" si="322">G9910*F9910</f>
        <v>0</v>
      </c>
    </row>
    <row r="9911" spans="1:9" hidden="1">
      <c r="A9911" s="44" t="s">
        <v>17110</v>
      </c>
      <c r="B9911" s="128" t="s">
        <v>17240</v>
      </c>
      <c r="C9911" s="128" t="s">
        <v>17241</v>
      </c>
      <c r="D9911" s="32"/>
      <c r="E9911" s="2">
        <v>1</v>
      </c>
      <c r="F9911" s="9"/>
      <c r="G9911" s="8">
        <f t="shared" si="321"/>
        <v>5.5649999999999995</v>
      </c>
      <c r="H9911" s="16">
        <v>5.3</v>
      </c>
      <c r="I9911" s="19">
        <f t="shared" si="322"/>
        <v>0</v>
      </c>
    </row>
    <row r="9912" spans="1:9" hidden="1">
      <c r="A9912" s="44" t="s">
        <v>17110</v>
      </c>
      <c r="B9912" s="128" t="s">
        <v>17242</v>
      </c>
      <c r="C9912" s="128" t="s">
        <v>17243</v>
      </c>
      <c r="D9912" s="32"/>
      <c r="E9912" s="2">
        <v>1</v>
      </c>
      <c r="F9912" s="9"/>
      <c r="G9912" s="8">
        <f t="shared" si="321"/>
        <v>162.75</v>
      </c>
      <c r="H9912" s="16">
        <v>155</v>
      </c>
      <c r="I9912" s="19">
        <f t="shared" si="322"/>
        <v>0</v>
      </c>
    </row>
    <row r="9913" spans="1:9" hidden="1">
      <c r="A9913" s="44" t="s">
        <v>17110</v>
      </c>
      <c r="B9913" s="128" t="s">
        <v>17244</v>
      </c>
      <c r="C9913" s="128" t="s">
        <v>17245</v>
      </c>
      <c r="D9913" s="32" t="s">
        <v>812</v>
      </c>
      <c r="E9913" s="2">
        <v>1</v>
      </c>
      <c r="F9913" s="9"/>
      <c r="G9913" s="8">
        <f t="shared" si="321"/>
        <v>32.728500000000004</v>
      </c>
      <c r="H9913" s="16">
        <v>31.17</v>
      </c>
      <c r="I9913" s="19">
        <f t="shared" si="322"/>
        <v>0</v>
      </c>
    </row>
    <row r="9914" spans="1:9" hidden="1">
      <c r="A9914" s="44" t="s">
        <v>17110</v>
      </c>
      <c r="B9914" s="128" t="s">
        <v>17246</v>
      </c>
      <c r="C9914" s="128" t="s">
        <v>17247</v>
      </c>
      <c r="D9914" s="32"/>
      <c r="E9914" s="2">
        <v>1</v>
      </c>
      <c r="F9914" s="9"/>
      <c r="G9914" s="8">
        <f t="shared" si="321"/>
        <v>21.945</v>
      </c>
      <c r="H9914" s="16">
        <v>20.9</v>
      </c>
      <c r="I9914" s="19">
        <f t="shared" si="322"/>
        <v>0</v>
      </c>
    </row>
    <row r="9915" spans="1:9" hidden="1">
      <c r="A9915" s="44" t="s">
        <v>17110</v>
      </c>
      <c r="B9915" s="128" t="s">
        <v>17248</v>
      </c>
      <c r="C9915" s="128" t="s">
        <v>17249</v>
      </c>
      <c r="D9915" s="32"/>
      <c r="E9915" s="2">
        <v>1</v>
      </c>
      <c r="F9915" s="9"/>
      <c r="G9915" s="8">
        <f t="shared" si="321"/>
        <v>16.506</v>
      </c>
      <c r="H9915" s="16">
        <v>15.72</v>
      </c>
      <c r="I9915" s="19">
        <f t="shared" si="322"/>
        <v>0</v>
      </c>
    </row>
    <row r="9916" spans="1:9" hidden="1">
      <c r="A9916" s="44" t="s">
        <v>17110</v>
      </c>
      <c r="B9916" s="127" t="s">
        <v>17250</v>
      </c>
      <c r="C9916" s="128" t="s">
        <v>17251</v>
      </c>
      <c r="D9916" s="32" t="s">
        <v>945</v>
      </c>
      <c r="E9916" s="2">
        <v>1</v>
      </c>
      <c r="F9916" s="9"/>
      <c r="G9916" s="8">
        <f t="shared" si="321"/>
        <v>30.45</v>
      </c>
      <c r="H9916" s="16">
        <v>29</v>
      </c>
      <c r="I9916" s="19">
        <f t="shared" si="322"/>
        <v>0</v>
      </c>
    </row>
    <row r="9917" spans="1:9" hidden="1">
      <c r="A9917" s="44" t="s">
        <v>17110</v>
      </c>
      <c r="B9917" s="128" t="s">
        <v>17252</v>
      </c>
      <c r="C9917" s="128" t="s">
        <v>17253</v>
      </c>
      <c r="D9917" s="32"/>
      <c r="E9917" s="2">
        <v>1</v>
      </c>
      <c r="F9917" s="9"/>
      <c r="G9917" s="8">
        <f t="shared" si="321"/>
        <v>20.895</v>
      </c>
      <c r="H9917" s="16">
        <v>19.899999999999999</v>
      </c>
      <c r="I9917" s="19">
        <f t="shared" si="322"/>
        <v>0</v>
      </c>
    </row>
    <row r="9918" spans="1:9" hidden="1">
      <c r="A9918" s="44" t="s">
        <v>17110</v>
      </c>
      <c r="B9918" s="128" t="s">
        <v>17254</v>
      </c>
      <c r="C9918" s="128" t="s">
        <v>17255</v>
      </c>
      <c r="D9918" s="32"/>
      <c r="E9918" s="2">
        <v>1</v>
      </c>
      <c r="F9918" s="9"/>
      <c r="G9918" s="8">
        <f t="shared" si="321"/>
        <v>3.6645000000000003</v>
      </c>
      <c r="H9918" s="16">
        <v>3.49</v>
      </c>
      <c r="I9918" s="19">
        <f t="shared" si="322"/>
        <v>0</v>
      </c>
    </row>
    <row r="9919" spans="1:9" hidden="1">
      <c r="A9919" s="44" t="s">
        <v>17110</v>
      </c>
      <c r="B9919" s="128" t="s">
        <v>17256</v>
      </c>
      <c r="C9919" s="128" t="s">
        <v>17257</v>
      </c>
      <c r="D9919" s="32"/>
      <c r="E9919" s="2">
        <v>1</v>
      </c>
      <c r="F9919" s="9"/>
      <c r="G9919" s="8">
        <f t="shared" si="321"/>
        <v>902.79</v>
      </c>
      <c r="H9919" s="16">
        <v>859.8</v>
      </c>
      <c r="I9919" s="19">
        <f t="shared" si="322"/>
        <v>0</v>
      </c>
    </row>
    <row r="9920" spans="1:9" hidden="1">
      <c r="A9920" s="44" t="s">
        <v>17110</v>
      </c>
      <c r="B9920" s="128" t="s">
        <v>17258</v>
      </c>
      <c r="C9920" s="128" t="s">
        <v>17259</v>
      </c>
      <c r="D9920" s="32"/>
      <c r="E9920" s="2">
        <v>1</v>
      </c>
      <c r="F9920" s="9"/>
      <c r="G9920" s="8">
        <f t="shared" si="321"/>
        <v>187.95</v>
      </c>
      <c r="H9920" s="16">
        <v>179</v>
      </c>
      <c r="I9920" s="19">
        <f t="shared" si="322"/>
        <v>0</v>
      </c>
    </row>
    <row r="9921" spans="1:9" hidden="1">
      <c r="A9921" s="44" t="s">
        <v>17110</v>
      </c>
      <c r="B9921" s="128" t="s">
        <v>17260</v>
      </c>
      <c r="C9921" s="128" t="s">
        <v>17261</v>
      </c>
      <c r="D9921" s="32"/>
      <c r="E9921" s="2">
        <v>1</v>
      </c>
      <c r="F9921" s="9"/>
      <c r="G9921" s="8">
        <f t="shared" si="321"/>
        <v>36.403500000000001</v>
      </c>
      <c r="H9921" s="16">
        <v>34.67</v>
      </c>
      <c r="I9921" s="19">
        <f t="shared" si="322"/>
        <v>0</v>
      </c>
    </row>
    <row r="9922" spans="1:9" hidden="1">
      <c r="A9922" s="44" t="s">
        <v>17110</v>
      </c>
      <c r="B9922" s="128" t="s">
        <v>17262</v>
      </c>
      <c r="C9922" s="128" t="s">
        <v>17263</v>
      </c>
      <c r="D9922" s="32" t="s">
        <v>17264</v>
      </c>
      <c r="E9922" s="2">
        <v>1</v>
      </c>
      <c r="F9922" s="9"/>
      <c r="G9922" s="8">
        <f t="shared" si="321"/>
        <v>3.1395000000000004</v>
      </c>
      <c r="H9922" s="16">
        <v>2.99</v>
      </c>
      <c r="I9922" s="19">
        <f t="shared" si="322"/>
        <v>0</v>
      </c>
    </row>
    <row r="9923" spans="1:9" hidden="1">
      <c r="A9923" s="44" t="s">
        <v>17110</v>
      </c>
      <c r="B9923" s="128" t="s">
        <v>17265</v>
      </c>
      <c r="C9923" s="128" t="s">
        <v>17266</v>
      </c>
      <c r="D9923" s="32" t="s">
        <v>812</v>
      </c>
      <c r="E9923" s="2">
        <v>1</v>
      </c>
      <c r="F9923" s="9"/>
      <c r="G9923" s="8">
        <f t="shared" si="321"/>
        <v>17.094000000000001</v>
      </c>
      <c r="H9923" s="16">
        <v>16.28</v>
      </c>
      <c r="I9923" s="19">
        <f t="shared" si="322"/>
        <v>0</v>
      </c>
    </row>
    <row r="9924" spans="1:9" hidden="1">
      <c r="A9924" s="44" t="s">
        <v>17110</v>
      </c>
      <c r="B9924" s="128" t="s">
        <v>17267</v>
      </c>
      <c r="C9924" s="128" t="s">
        <v>17268</v>
      </c>
      <c r="D9924" s="32" t="s">
        <v>2488</v>
      </c>
      <c r="E9924" s="2">
        <v>1</v>
      </c>
      <c r="F9924" s="9"/>
      <c r="G9924" s="8">
        <f t="shared" si="321"/>
        <v>153.30000000000001</v>
      </c>
      <c r="H9924" s="16">
        <v>146</v>
      </c>
      <c r="I9924" s="19">
        <f t="shared" si="322"/>
        <v>0</v>
      </c>
    </row>
    <row r="9925" spans="1:9" hidden="1">
      <c r="A9925" s="44" t="s">
        <v>17110</v>
      </c>
      <c r="B9925" s="128" t="s">
        <v>17269</v>
      </c>
      <c r="C9925" s="128" t="s">
        <v>17270</v>
      </c>
      <c r="D9925" s="32"/>
      <c r="E9925" s="2">
        <v>1</v>
      </c>
      <c r="F9925" s="9"/>
      <c r="G9925" s="8">
        <f t="shared" si="321"/>
        <v>10.395</v>
      </c>
      <c r="H9925" s="16">
        <v>9.9</v>
      </c>
      <c r="I9925" s="19">
        <f t="shared" si="322"/>
        <v>0</v>
      </c>
    </row>
    <row r="9926" spans="1:9" hidden="1">
      <c r="A9926" s="44" t="s">
        <v>17110</v>
      </c>
      <c r="B9926" s="128" t="s">
        <v>17271</v>
      </c>
      <c r="C9926" s="128" t="s">
        <v>17272</v>
      </c>
      <c r="D9926" s="32"/>
      <c r="E9926" s="2">
        <v>1</v>
      </c>
      <c r="F9926" s="9"/>
      <c r="G9926" s="8">
        <f t="shared" si="321"/>
        <v>10.395</v>
      </c>
      <c r="H9926" s="16">
        <v>9.9</v>
      </c>
      <c r="I9926" s="19">
        <f t="shared" si="322"/>
        <v>0</v>
      </c>
    </row>
    <row r="9927" spans="1:9" hidden="1">
      <c r="A9927" s="44" t="s">
        <v>17110</v>
      </c>
      <c r="B9927" s="128" t="s">
        <v>17273</v>
      </c>
      <c r="C9927" s="128" t="s">
        <v>17274</v>
      </c>
      <c r="D9927" s="32"/>
      <c r="E9927" s="2">
        <v>1</v>
      </c>
      <c r="F9927" s="9"/>
      <c r="G9927" s="8">
        <f t="shared" si="321"/>
        <v>20.895</v>
      </c>
      <c r="H9927" s="16">
        <v>19.899999999999999</v>
      </c>
      <c r="I9927" s="19">
        <f t="shared" si="322"/>
        <v>0</v>
      </c>
    </row>
    <row r="9928" spans="1:9" hidden="1">
      <c r="A9928" s="44" t="s">
        <v>17110</v>
      </c>
      <c r="B9928" s="128" t="s">
        <v>17275</v>
      </c>
      <c r="C9928" s="128" t="s">
        <v>17276</v>
      </c>
      <c r="D9928" s="32"/>
      <c r="E9928" s="2">
        <v>1</v>
      </c>
      <c r="F9928" s="9"/>
      <c r="G9928" s="8">
        <f t="shared" si="321"/>
        <v>41.894999999999996</v>
      </c>
      <c r="H9928" s="16">
        <v>39.9</v>
      </c>
      <c r="I9928" s="19">
        <f t="shared" si="322"/>
        <v>0</v>
      </c>
    </row>
    <row r="9929" spans="1:9" hidden="1">
      <c r="A9929" s="44" t="s">
        <v>17110</v>
      </c>
      <c r="B9929" s="128" t="s">
        <v>17277</v>
      </c>
      <c r="C9929" s="128" t="s">
        <v>17278</v>
      </c>
      <c r="D9929" s="32"/>
      <c r="E9929" s="2">
        <v>1</v>
      </c>
      <c r="F9929" s="9"/>
      <c r="G9929" s="8">
        <f t="shared" si="321"/>
        <v>1004.4405</v>
      </c>
      <c r="H9929" s="16">
        <v>956.61</v>
      </c>
      <c r="I9929" s="19">
        <f t="shared" si="322"/>
        <v>0</v>
      </c>
    </row>
    <row r="9930" spans="1:9" hidden="1">
      <c r="A9930" s="44" t="s">
        <v>17110</v>
      </c>
      <c r="B9930" s="128" t="s">
        <v>17279</v>
      </c>
      <c r="C9930" s="128" t="s">
        <v>17280</v>
      </c>
      <c r="D9930" s="32"/>
      <c r="E9930" s="2">
        <v>1</v>
      </c>
      <c r="F9930" s="9"/>
      <c r="G9930" s="8">
        <f t="shared" si="321"/>
        <v>5.0084999999999997</v>
      </c>
      <c r="H9930" s="16">
        <v>4.7699999999999996</v>
      </c>
      <c r="I9930" s="19">
        <f t="shared" si="322"/>
        <v>0</v>
      </c>
    </row>
    <row r="9931" spans="1:9" hidden="1">
      <c r="A9931" s="44" t="s">
        <v>17110</v>
      </c>
      <c r="B9931" s="128" t="s">
        <v>17281</v>
      </c>
      <c r="C9931" s="128" t="s">
        <v>17282</v>
      </c>
      <c r="D9931" s="32"/>
      <c r="E9931" s="2">
        <v>1</v>
      </c>
      <c r="F9931" s="9"/>
      <c r="G9931" s="8">
        <f t="shared" si="321"/>
        <v>4.2</v>
      </c>
      <c r="H9931" s="16">
        <v>4</v>
      </c>
      <c r="I9931" s="19">
        <f t="shared" si="322"/>
        <v>0</v>
      </c>
    </row>
    <row r="9932" spans="1:9" hidden="1">
      <c r="A9932" s="44" t="s">
        <v>17110</v>
      </c>
      <c r="B9932" s="128" t="s">
        <v>17283</v>
      </c>
      <c r="C9932" s="128" t="s">
        <v>17284</v>
      </c>
      <c r="D9932" s="32"/>
      <c r="E9932" s="2">
        <v>1</v>
      </c>
      <c r="F9932" s="9"/>
      <c r="G9932" s="8">
        <f t="shared" si="321"/>
        <v>13.891500000000001</v>
      </c>
      <c r="H9932" s="16">
        <v>13.23</v>
      </c>
      <c r="I9932" s="19">
        <f t="shared" si="322"/>
        <v>0</v>
      </c>
    </row>
    <row r="9933" spans="1:9" hidden="1">
      <c r="A9933" s="44" t="s">
        <v>17110</v>
      </c>
      <c r="B9933" s="128" t="s">
        <v>17285</v>
      </c>
      <c r="C9933" s="128" t="s">
        <v>17286</v>
      </c>
      <c r="D9933" s="32"/>
      <c r="E9933" s="2">
        <v>1</v>
      </c>
      <c r="F9933" s="9"/>
      <c r="G9933" s="8">
        <f t="shared" si="321"/>
        <v>26.145</v>
      </c>
      <c r="H9933" s="16">
        <v>24.9</v>
      </c>
      <c r="I9933" s="19">
        <f t="shared" si="322"/>
        <v>0</v>
      </c>
    </row>
    <row r="9934" spans="1:9" hidden="1">
      <c r="A9934" s="44" t="s">
        <v>17110</v>
      </c>
      <c r="B9934" s="128" t="s">
        <v>17287</v>
      </c>
      <c r="C9934" s="128" t="s">
        <v>17288</v>
      </c>
      <c r="D9934" s="32"/>
      <c r="E9934" s="2">
        <v>1</v>
      </c>
      <c r="F9934" s="9"/>
      <c r="G9934" s="8">
        <f t="shared" si="321"/>
        <v>9.3450000000000006</v>
      </c>
      <c r="H9934" s="16">
        <v>8.9</v>
      </c>
      <c r="I9934" s="19">
        <f t="shared" si="322"/>
        <v>0</v>
      </c>
    </row>
    <row r="9935" spans="1:9" hidden="1">
      <c r="A9935" s="44" t="s">
        <v>17110</v>
      </c>
      <c r="B9935" s="128" t="s">
        <v>17287</v>
      </c>
      <c r="C9935" s="128" t="s">
        <v>17289</v>
      </c>
      <c r="D9935" s="32"/>
      <c r="E9935" s="2">
        <v>1</v>
      </c>
      <c r="F9935" s="9"/>
      <c r="G9935" s="8">
        <f t="shared" si="321"/>
        <v>7.35</v>
      </c>
      <c r="H9935" s="16">
        <v>7</v>
      </c>
      <c r="I9935" s="19">
        <f t="shared" si="322"/>
        <v>0</v>
      </c>
    </row>
    <row r="9936" spans="1:9" hidden="1">
      <c r="A9936" s="44" t="s">
        <v>17110</v>
      </c>
      <c r="B9936" s="128" t="s">
        <v>17287</v>
      </c>
      <c r="C9936" s="128" t="s">
        <v>17288</v>
      </c>
      <c r="D9936" s="32"/>
      <c r="E9936" s="2">
        <v>1</v>
      </c>
      <c r="F9936" s="9"/>
      <c r="G9936" s="8">
        <f t="shared" si="321"/>
        <v>9.3450000000000006</v>
      </c>
      <c r="H9936" s="16">
        <v>8.9</v>
      </c>
      <c r="I9936" s="19">
        <f t="shared" si="322"/>
        <v>0</v>
      </c>
    </row>
    <row r="9937" spans="1:9" hidden="1">
      <c r="A9937" s="44" t="s">
        <v>17110</v>
      </c>
      <c r="B9937" s="128" t="s">
        <v>17290</v>
      </c>
      <c r="C9937" s="128" t="s">
        <v>17291</v>
      </c>
      <c r="D9937" s="32"/>
      <c r="E9937" s="2">
        <v>1</v>
      </c>
      <c r="F9937" s="9"/>
      <c r="G9937" s="8">
        <f t="shared" si="321"/>
        <v>6.6780000000000008</v>
      </c>
      <c r="H9937" s="16">
        <v>6.36</v>
      </c>
      <c r="I9937" s="19">
        <f t="shared" si="322"/>
        <v>0</v>
      </c>
    </row>
    <row r="9938" spans="1:9" hidden="1">
      <c r="A9938" s="44" t="s">
        <v>17110</v>
      </c>
      <c r="B9938" s="128" t="s">
        <v>17292</v>
      </c>
      <c r="C9938" s="128" t="s">
        <v>17293</v>
      </c>
      <c r="D9938" s="32"/>
      <c r="E9938" s="2">
        <v>1</v>
      </c>
      <c r="F9938" s="9"/>
      <c r="G9938" s="8">
        <f t="shared" si="321"/>
        <v>8.7569999999999997</v>
      </c>
      <c r="H9938" s="16">
        <v>8.34</v>
      </c>
      <c r="I9938" s="19">
        <f t="shared" si="322"/>
        <v>0</v>
      </c>
    </row>
    <row r="9939" spans="1:9" hidden="1">
      <c r="A9939" s="44" t="s">
        <v>17110</v>
      </c>
      <c r="B9939" s="128" t="s">
        <v>17294</v>
      </c>
      <c r="C9939" s="128" t="s">
        <v>17295</v>
      </c>
      <c r="D9939" s="32"/>
      <c r="E9939" s="2">
        <v>1</v>
      </c>
      <c r="F9939" s="9"/>
      <c r="G9939" s="8">
        <f t="shared" si="321"/>
        <v>10.227</v>
      </c>
      <c r="H9939" s="16">
        <v>9.74</v>
      </c>
      <c r="I9939" s="19">
        <f t="shared" si="322"/>
        <v>0</v>
      </c>
    </row>
    <row r="9940" spans="1:9" hidden="1">
      <c r="A9940" s="44" t="s">
        <v>17110</v>
      </c>
      <c r="B9940" s="128" t="s">
        <v>17296</v>
      </c>
      <c r="C9940" s="128" t="s">
        <v>17297</v>
      </c>
      <c r="D9940" s="32"/>
      <c r="E9940" s="2">
        <v>1</v>
      </c>
      <c r="F9940" s="9"/>
      <c r="G9940" s="8">
        <f t="shared" si="321"/>
        <v>5.2919999999999998</v>
      </c>
      <c r="H9940" s="16">
        <v>5.04</v>
      </c>
      <c r="I9940" s="19">
        <f t="shared" si="322"/>
        <v>0</v>
      </c>
    </row>
    <row r="9941" spans="1:9" hidden="1">
      <c r="A9941" s="44" t="s">
        <v>17110</v>
      </c>
      <c r="B9941" s="128" t="s">
        <v>17298</v>
      </c>
      <c r="C9941" s="128" t="s">
        <v>17299</v>
      </c>
      <c r="D9941" s="32"/>
      <c r="E9941" s="2">
        <v>1</v>
      </c>
      <c r="F9941" s="9"/>
      <c r="G9941" s="8">
        <f t="shared" si="321"/>
        <v>3.9375</v>
      </c>
      <c r="H9941" s="16">
        <v>3.75</v>
      </c>
      <c r="I9941" s="19">
        <f t="shared" si="322"/>
        <v>0</v>
      </c>
    </row>
    <row r="9942" spans="1:9" hidden="1">
      <c r="A9942" s="44" t="s">
        <v>17110</v>
      </c>
      <c r="B9942" s="128" t="s">
        <v>17300</v>
      </c>
      <c r="C9942" s="128" t="s">
        <v>17301</v>
      </c>
      <c r="D9942" s="32"/>
      <c r="E9942" s="2">
        <v>1</v>
      </c>
      <c r="F9942" s="9"/>
      <c r="G9942" s="8">
        <f t="shared" si="321"/>
        <v>4.4625000000000004</v>
      </c>
      <c r="H9942" s="16">
        <v>4.25</v>
      </c>
      <c r="I9942" s="19">
        <f t="shared" si="322"/>
        <v>0</v>
      </c>
    </row>
    <row r="9943" spans="1:9" hidden="1">
      <c r="A9943" s="44" t="s">
        <v>17110</v>
      </c>
      <c r="B9943" s="128" t="s">
        <v>17302</v>
      </c>
      <c r="C9943" s="128" t="s">
        <v>17303</v>
      </c>
      <c r="D9943" s="32" t="s">
        <v>992</v>
      </c>
      <c r="E9943" s="2">
        <v>1</v>
      </c>
      <c r="F9943" s="9"/>
      <c r="G9943" s="8">
        <f t="shared" si="321"/>
        <v>21.693000000000001</v>
      </c>
      <c r="H9943" s="16">
        <v>20.66</v>
      </c>
      <c r="I9943" s="19">
        <f t="shared" si="322"/>
        <v>0</v>
      </c>
    </row>
    <row r="9944" spans="1:9" hidden="1">
      <c r="A9944" s="44" t="s">
        <v>17110</v>
      </c>
      <c r="B9944" s="128" t="s">
        <v>17304</v>
      </c>
      <c r="C9944" s="128" t="s">
        <v>17305</v>
      </c>
      <c r="D9944" s="32" t="s">
        <v>992</v>
      </c>
      <c r="E9944" s="2">
        <v>1</v>
      </c>
      <c r="F9944" s="9"/>
      <c r="G9944" s="8">
        <f t="shared" si="321"/>
        <v>5.9535</v>
      </c>
      <c r="H9944" s="16">
        <v>5.67</v>
      </c>
      <c r="I9944" s="19">
        <f t="shared" si="322"/>
        <v>0</v>
      </c>
    </row>
    <row r="9945" spans="1:9" hidden="1">
      <c r="A9945" s="44" t="s">
        <v>17110</v>
      </c>
      <c r="B9945" s="128" t="s">
        <v>17306</v>
      </c>
      <c r="C9945" s="128" t="s">
        <v>17307</v>
      </c>
      <c r="D9945" s="32"/>
      <c r="E9945" s="2">
        <v>1</v>
      </c>
      <c r="F9945" s="9"/>
      <c r="G9945" s="8">
        <f t="shared" si="321"/>
        <v>72.84899999999999</v>
      </c>
      <c r="H9945" s="16">
        <v>69.38</v>
      </c>
      <c r="I9945" s="19">
        <f t="shared" si="322"/>
        <v>0</v>
      </c>
    </row>
    <row r="9946" spans="1:9" hidden="1">
      <c r="A9946" s="44" t="s">
        <v>17110</v>
      </c>
      <c r="B9946" s="128" t="s">
        <v>17308</v>
      </c>
      <c r="C9946" s="128" t="s">
        <v>17309</v>
      </c>
      <c r="D9946" s="32"/>
      <c r="E9946" s="2">
        <v>1</v>
      </c>
      <c r="F9946" s="9"/>
      <c r="G9946" s="8">
        <f t="shared" si="321"/>
        <v>8.1374999999999993</v>
      </c>
      <c r="H9946" s="16">
        <v>7.75</v>
      </c>
      <c r="I9946" s="19">
        <f t="shared" si="322"/>
        <v>0</v>
      </c>
    </row>
    <row r="9947" spans="1:9" hidden="1">
      <c r="A9947" s="44" t="s">
        <v>17110</v>
      </c>
      <c r="B9947" s="127" t="s">
        <v>17310</v>
      </c>
      <c r="C9947" s="128" t="s">
        <v>17311</v>
      </c>
      <c r="D9947" s="32" t="s">
        <v>992</v>
      </c>
      <c r="E9947" s="2">
        <v>1</v>
      </c>
      <c r="F9947" s="9"/>
      <c r="G9947" s="8">
        <f t="shared" si="321"/>
        <v>57.644999999999996</v>
      </c>
      <c r="H9947" s="16">
        <v>54.9</v>
      </c>
      <c r="I9947" s="19">
        <f t="shared" si="322"/>
        <v>0</v>
      </c>
    </row>
    <row r="9948" spans="1:9" hidden="1">
      <c r="A9948" s="44" t="s">
        <v>17110</v>
      </c>
      <c r="B9948" s="128" t="s">
        <v>17312</v>
      </c>
      <c r="C9948" s="128" t="s">
        <v>17313</v>
      </c>
      <c r="D9948" s="32"/>
      <c r="E9948" s="2">
        <v>1</v>
      </c>
      <c r="F9948" s="9"/>
      <c r="G9948" s="8">
        <f t="shared" si="321"/>
        <v>12.831000000000001</v>
      </c>
      <c r="H9948" s="16">
        <v>12.22</v>
      </c>
      <c r="I9948" s="19">
        <f t="shared" si="322"/>
        <v>0</v>
      </c>
    </row>
    <row r="9949" spans="1:9" hidden="1">
      <c r="A9949" s="44" t="s">
        <v>17110</v>
      </c>
      <c r="B9949" s="128" t="s">
        <v>17314</v>
      </c>
      <c r="C9949" s="128" t="s">
        <v>17315</v>
      </c>
      <c r="D9949" s="32"/>
      <c r="E9949" s="2">
        <v>1</v>
      </c>
      <c r="F9949" s="9"/>
      <c r="G9949" s="8">
        <f t="shared" si="321"/>
        <v>404.20799999999997</v>
      </c>
      <c r="H9949" s="16">
        <v>384.96</v>
      </c>
      <c r="I9949" s="19">
        <f t="shared" si="322"/>
        <v>0</v>
      </c>
    </row>
    <row r="9950" spans="1:9" hidden="1">
      <c r="A9950" s="44" t="s">
        <v>17110</v>
      </c>
      <c r="B9950" s="128" t="s">
        <v>17316</v>
      </c>
      <c r="C9950" s="128" t="s">
        <v>17317</v>
      </c>
      <c r="D9950" s="32"/>
      <c r="E9950" s="2">
        <v>1</v>
      </c>
      <c r="F9950" s="9"/>
      <c r="G9950" s="8">
        <f t="shared" si="321"/>
        <v>38.114999999999995</v>
      </c>
      <c r="H9950" s="16">
        <v>36.299999999999997</v>
      </c>
      <c r="I9950" s="19">
        <f t="shared" si="322"/>
        <v>0</v>
      </c>
    </row>
    <row r="9951" spans="1:9" hidden="1">
      <c r="A9951" s="44" t="s">
        <v>17110</v>
      </c>
      <c r="B9951" s="128" t="s">
        <v>17318</v>
      </c>
      <c r="C9951" s="128" t="s">
        <v>17319</v>
      </c>
      <c r="D9951" s="32"/>
      <c r="E9951" s="2">
        <v>1</v>
      </c>
      <c r="F9951" s="9"/>
      <c r="G9951" s="8">
        <f t="shared" si="321"/>
        <v>3.6645000000000003</v>
      </c>
      <c r="H9951" s="16">
        <v>3.49</v>
      </c>
      <c r="I9951" s="19">
        <f t="shared" si="322"/>
        <v>0</v>
      </c>
    </row>
    <row r="9952" spans="1:9" hidden="1">
      <c r="A9952" s="44" t="s">
        <v>17110</v>
      </c>
      <c r="B9952" s="128" t="s">
        <v>17320</v>
      </c>
      <c r="C9952" s="128" t="s">
        <v>17321</v>
      </c>
      <c r="D9952" s="32" t="s">
        <v>945</v>
      </c>
      <c r="E9952" s="2">
        <v>1</v>
      </c>
      <c r="F9952" s="9"/>
      <c r="G9952" s="8">
        <f t="shared" si="321"/>
        <v>68.4285</v>
      </c>
      <c r="H9952" s="16">
        <v>65.17</v>
      </c>
      <c r="I9952" s="19">
        <f t="shared" si="322"/>
        <v>0</v>
      </c>
    </row>
    <row r="9953" spans="1:10" hidden="1">
      <c r="A9953" s="44" t="s">
        <v>17110</v>
      </c>
      <c r="B9953" s="128" t="s">
        <v>17322</v>
      </c>
      <c r="C9953" s="128" t="s">
        <v>17323</v>
      </c>
      <c r="D9953" s="32"/>
      <c r="E9953" s="2">
        <v>1</v>
      </c>
      <c r="F9953" s="9"/>
      <c r="G9953" s="8">
        <f t="shared" si="321"/>
        <v>16.968</v>
      </c>
      <c r="H9953" s="16">
        <v>16.16</v>
      </c>
      <c r="I9953" s="19">
        <f t="shared" si="322"/>
        <v>0</v>
      </c>
    </row>
    <row r="9954" spans="1:10" hidden="1">
      <c r="A9954" s="44" t="s">
        <v>17110</v>
      </c>
      <c r="B9954" s="128" t="s">
        <v>17322</v>
      </c>
      <c r="C9954" s="128" t="s">
        <v>17324</v>
      </c>
      <c r="D9954" s="32"/>
      <c r="E9954" s="2">
        <v>1</v>
      </c>
      <c r="F9954" s="9"/>
      <c r="G9954" s="8">
        <f t="shared" si="321"/>
        <v>17.419499999999999</v>
      </c>
      <c r="H9954" s="16">
        <v>16.59</v>
      </c>
      <c r="I9954" s="19">
        <f t="shared" si="322"/>
        <v>0</v>
      </c>
    </row>
    <row r="9955" spans="1:10" hidden="1">
      <c r="A9955" s="44" t="s">
        <v>17110</v>
      </c>
      <c r="B9955" s="128" t="s">
        <v>17325</v>
      </c>
      <c r="C9955" s="128" t="s">
        <v>17326</v>
      </c>
      <c r="D9955" s="32"/>
      <c r="E9955" s="2">
        <v>1</v>
      </c>
      <c r="F9955" s="9"/>
      <c r="G9955" s="8">
        <f t="shared" si="321"/>
        <v>387.35550000000001</v>
      </c>
      <c r="H9955" s="16">
        <v>368.91</v>
      </c>
      <c r="I9955" s="19">
        <f t="shared" si="322"/>
        <v>0</v>
      </c>
    </row>
    <row r="9956" spans="1:10" hidden="1">
      <c r="A9956" s="44" t="s">
        <v>17110</v>
      </c>
      <c r="B9956" s="128" t="s">
        <v>17327</v>
      </c>
      <c r="C9956" s="128" t="s">
        <v>17328</v>
      </c>
      <c r="D9956" s="32"/>
      <c r="E9956" s="2">
        <v>1</v>
      </c>
      <c r="F9956" s="9"/>
      <c r="G9956" s="8">
        <f t="shared" si="321"/>
        <v>58.705499999999994</v>
      </c>
      <c r="H9956" s="16">
        <v>55.91</v>
      </c>
      <c r="I9956" s="19">
        <f t="shared" si="322"/>
        <v>0</v>
      </c>
    </row>
    <row r="9957" spans="1:10" hidden="1">
      <c r="A9957" s="44" t="s">
        <v>17110</v>
      </c>
      <c r="B9957" s="128" t="s">
        <v>17329</v>
      </c>
      <c r="C9957" s="128" t="s">
        <v>17330</v>
      </c>
      <c r="D9957" s="32"/>
      <c r="E9957" s="2">
        <v>1</v>
      </c>
      <c r="F9957" s="9"/>
      <c r="G9957" s="8">
        <f t="shared" si="321"/>
        <v>14.2905</v>
      </c>
      <c r="H9957" s="16">
        <v>13.61</v>
      </c>
      <c r="I9957" s="19">
        <f t="shared" si="322"/>
        <v>0</v>
      </c>
    </row>
    <row r="9958" spans="1:10" hidden="1">
      <c r="A9958" s="44" t="s">
        <v>17110</v>
      </c>
      <c r="B9958" s="128">
        <v>46146</v>
      </c>
      <c r="C9958" s="128" t="s">
        <v>17331</v>
      </c>
      <c r="D9958" s="32"/>
      <c r="E9958" s="2">
        <v>1</v>
      </c>
      <c r="F9958" s="9"/>
      <c r="G9958" s="8">
        <f>H9958+(H9958*5%)</f>
        <v>93.156000000000006</v>
      </c>
      <c r="H9958" s="16">
        <v>88.72</v>
      </c>
      <c r="I9958" s="19">
        <f>G9958*F9958</f>
        <v>0</v>
      </c>
    </row>
    <row r="9959" spans="1:10" hidden="1">
      <c r="A9959" s="44" t="s">
        <v>17110</v>
      </c>
      <c r="B9959" s="128">
        <v>6305707</v>
      </c>
      <c r="C9959" s="128" t="s">
        <v>17332</v>
      </c>
      <c r="D9959" s="32"/>
      <c r="E9959" s="2">
        <v>1</v>
      </c>
      <c r="F9959" s="9"/>
      <c r="G9959" s="8">
        <f>H9959+(H9959*5%)</f>
        <v>7.0875000000000004</v>
      </c>
      <c r="H9959" s="16">
        <v>6.75</v>
      </c>
      <c r="I9959" s="19">
        <f>G9959*F9959</f>
        <v>0</v>
      </c>
    </row>
    <row r="9960" spans="1:10">
      <c r="A9960" s="44" t="s">
        <v>17110</v>
      </c>
      <c r="B9960" s="128" t="s">
        <v>17333</v>
      </c>
      <c r="C9960" s="128" t="s">
        <v>17334</v>
      </c>
      <c r="D9960" s="32"/>
      <c r="E9960" s="2">
        <v>1</v>
      </c>
      <c r="F9960" s="9">
        <v>8</v>
      </c>
      <c r="G9960" s="8">
        <f>H9960+(H9960*5%)</f>
        <v>236.292</v>
      </c>
      <c r="H9960" s="16">
        <v>225.04</v>
      </c>
      <c r="I9960" s="19">
        <f>G9960*F9960</f>
        <v>1890.336</v>
      </c>
    </row>
    <row r="9961" spans="1:10">
      <c r="A9961" s="44" t="s">
        <v>17110</v>
      </c>
      <c r="B9961" s="128" t="s">
        <v>17335</v>
      </c>
      <c r="C9961" s="128" t="s">
        <v>17336</v>
      </c>
      <c r="D9961" s="32"/>
      <c r="E9961" s="2">
        <v>1</v>
      </c>
      <c r="F9961" s="9">
        <v>1</v>
      </c>
      <c r="G9961" s="8">
        <f>H9961+(H9961*5%)</f>
        <v>85.96350000000001</v>
      </c>
      <c r="H9961" s="16">
        <v>81.87</v>
      </c>
      <c r="I9961" s="19">
        <f>G9961*F9961</f>
        <v>85.96350000000001</v>
      </c>
    </row>
    <row r="9962" spans="1:10">
      <c r="A9962" s="44" t="s">
        <v>17110</v>
      </c>
      <c r="B9962" s="128" t="s">
        <v>17337</v>
      </c>
      <c r="C9962" s="128" t="s">
        <v>17338</v>
      </c>
      <c r="D9962" s="32"/>
      <c r="E9962" s="2">
        <v>1</v>
      </c>
      <c r="F9962" s="9">
        <v>1</v>
      </c>
      <c r="G9962" s="8">
        <f>H9962+(H9962*5%)</f>
        <v>49.591499999999996</v>
      </c>
      <c r="H9962" s="16">
        <v>47.23</v>
      </c>
      <c r="I9962" s="19">
        <f>G9962*F9962</f>
        <v>49.591499999999996</v>
      </c>
    </row>
    <row r="9963" spans="1:10" hidden="1">
      <c r="A9963" s="7" t="s">
        <v>17339</v>
      </c>
      <c r="B9963" s="5" t="s">
        <v>17340</v>
      </c>
      <c r="C9963" s="35" t="s">
        <v>17341</v>
      </c>
      <c r="D9963" s="35"/>
      <c r="E9963" s="3">
        <v>1</v>
      </c>
      <c r="F9963" s="9"/>
      <c r="G9963" s="8"/>
      <c r="H9963" s="16">
        <v>51.79</v>
      </c>
      <c r="I9963" s="19">
        <f>F9963*H9963</f>
        <v>0</v>
      </c>
      <c r="J9963" s="64"/>
    </row>
    <row r="9964" spans="1:10" hidden="1">
      <c r="A9964" s="84" t="s">
        <v>17342</v>
      </c>
      <c r="B9964" s="5"/>
      <c r="C9964" s="32" t="s">
        <v>17343</v>
      </c>
      <c r="D9964" s="32" t="s">
        <v>576</v>
      </c>
      <c r="E9964" s="2"/>
      <c r="F9964" s="9"/>
      <c r="H9964" s="16">
        <v>40</v>
      </c>
      <c r="I9964" s="19">
        <f>F9964*H9964</f>
        <v>0</v>
      </c>
    </row>
    <row r="9965" spans="1:10" hidden="1">
      <c r="A9965" s="67" t="s">
        <v>17344</v>
      </c>
      <c r="B9965" s="5"/>
      <c r="C9965" s="32" t="s">
        <v>17345</v>
      </c>
      <c r="D9965" s="32" t="s">
        <v>992</v>
      </c>
      <c r="E9965" s="2">
        <v>1</v>
      </c>
      <c r="F9965" s="9"/>
      <c r="G9965" s="8"/>
      <c r="H9965" s="16">
        <v>56.82</v>
      </c>
      <c r="I9965" s="19">
        <f>F9965*H9965</f>
        <v>0</v>
      </c>
    </row>
    <row r="9966" spans="1:10">
      <c r="A9966" s="78" t="s">
        <v>17346</v>
      </c>
      <c r="B9966" s="5">
        <v>185233</v>
      </c>
      <c r="C9966" s="32" t="s">
        <v>17347</v>
      </c>
      <c r="D9966" s="32"/>
      <c r="E9966" s="2">
        <v>1</v>
      </c>
      <c r="F9966" s="9">
        <v>27</v>
      </c>
      <c r="G9966" s="8">
        <f t="shared" ref="G9966:G9972" si="323">H9966+(H9966*5%)</f>
        <v>140.238</v>
      </c>
      <c r="H9966" s="16">
        <v>133.56</v>
      </c>
      <c r="I9966" s="19">
        <f t="shared" ref="I9966:I9972" si="324">G9966*F9966</f>
        <v>3786.4259999999999</v>
      </c>
    </row>
    <row r="9967" spans="1:10">
      <c r="A9967" s="78" t="s">
        <v>17346</v>
      </c>
      <c r="B9967" s="5"/>
      <c r="C9967" s="32" t="s">
        <v>17348</v>
      </c>
      <c r="D9967" s="32"/>
      <c r="E9967" s="2">
        <v>1</v>
      </c>
      <c r="F9967" s="9">
        <v>18</v>
      </c>
      <c r="G9967" s="8">
        <f t="shared" si="323"/>
        <v>323.13749999999999</v>
      </c>
      <c r="H9967" s="16">
        <v>307.75</v>
      </c>
      <c r="I9967" s="19">
        <f t="shared" si="324"/>
        <v>5816.4749999999995</v>
      </c>
    </row>
    <row r="9968" spans="1:10">
      <c r="A9968" s="78" t="s">
        <v>17346</v>
      </c>
      <c r="B9968" s="5"/>
      <c r="C9968" s="32" t="s">
        <v>17349</v>
      </c>
      <c r="D9968" s="32"/>
      <c r="E9968" s="2">
        <v>1</v>
      </c>
      <c r="F9968" s="9">
        <v>6</v>
      </c>
      <c r="G9968" s="8">
        <f t="shared" si="323"/>
        <v>140.238</v>
      </c>
      <c r="H9968" s="16">
        <v>133.56</v>
      </c>
      <c r="I9968" s="19">
        <f t="shared" si="324"/>
        <v>841.428</v>
      </c>
    </row>
    <row r="9969" spans="1:9">
      <c r="A9969" s="78" t="s">
        <v>17346</v>
      </c>
      <c r="B9969" s="5">
        <v>182099</v>
      </c>
      <c r="C9969" s="195" t="s">
        <v>17350</v>
      </c>
      <c r="D9969" s="32"/>
      <c r="E9969" s="2">
        <v>1</v>
      </c>
      <c r="F9969" s="9">
        <v>3</v>
      </c>
      <c r="G9969" s="8">
        <f t="shared" si="323"/>
        <v>199.19550000000001</v>
      </c>
      <c r="H9969" s="16">
        <v>189.71</v>
      </c>
      <c r="I9969" s="19">
        <f t="shared" si="324"/>
        <v>597.5865</v>
      </c>
    </row>
    <row r="9970" spans="1:9">
      <c r="A9970" s="78" t="s">
        <v>17346</v>
      </c>
      <c r="B9970" s="5"/>
      <c r="C9970" s="195" t="s">
        <v>17351</v>
      </c>
      <c r="D9970" s="32"/>
      <c r="E9970" s="2">
        <v>1</v>
      </c>
      <c r="F9970" s="9">
        <v>8</v>
      </c>
      <c r="G9970" s="8">
        <f t="shared" si="323"/>
        <v>118.35599999999999</v>
      </c>
      <c r="H9970" s="16">
        <v>112.72</v>
      </c>
      <c r="I9970" s="19">
        <f t="shared" si="324"/>
        <v>946.84799999999996</v>
      </c>
    </row>
    <row r="9971" spans="1:9">
      <c r="A9971" s="78" t="s">
        <v>17346</v>
      </c>
      <c r="B9971" s="5"/>
      <c r="C9971" s="195" t="s">
        <v>17352</v>
      </c>
      <c r="D9971" s="32"/>
      <c r="E9971" s="2">
        <v>1</v>
      </c>
      <c r="F9971" s="9">
        <v>3</v>
      </c>
      <c r="G9971" s="8">
        <f t="shared" si="323"/>
        <v>542.54550000000006</v>
      </c>
      <c r="H9971" s="16">
        <v>516.71</v>
      </c>
      <c r="I9971" s="19">
        <f t="shared" si="324"/>
        <v>1627.6365000000001</v>
      </c>
    </row>
    <row r="9972" spans="1:9">
      <c r="A9972" s="78" t="s">
        <v>17346</v>
      </c>
      <c r="B9972" s="5"/>
      <c r="C9972" s="195" t="s">
        <v>17353</v>
      </c>
      <c r="D9972" s="32"/>
      <c r="E9972" s="2">
        <v>1</v>
      </c>
      <c r="F9972" s="9">
        <v>9</v>
      </c>
      <c r="G9972" s="8">
        <f t="shared" si="323"/>
        <v>90.992999999999995</v>
      </c>
      <c r="H9972" s="16">
        <v>86.66</v>
      </c>
      <c r="I9972" s="19">
        <f t="shared" si="324"/>
        <v>818.9369999999999</v>
      </c>
    </row>
    <row r="9973" spans="1:9">
      <c r="A9973" s="78" t="s">
        <v>17346</v>
      </c>
      <c r="B9973" s="5" t="s">
        <v>17354</v>
      </c>
      <c r="C9973" s="32" t="s">
        <v>17355</v>
      </c>
      <c r="D9973" s="32"/>
      <c r="E9973" s="2">
        <v>1</v>
      </c>
      <c r="F9973" s="9">
        <f>1+1</f>
        <v>2</v>
      </c>
      <c r="G9973" s="8">
        <f t="shared" ref="G9973:G10033" si="325">H9973+(H9973*5%)</f>
        <v>708.27749999999992</v>
      </c>
      <c r="H9973" s="16">
        <v>674.55</v>
      </c>
      <c r="I9973" s="19">
        <f t="shared" ref="I9973:I10032" si="326">G9973*F9973</f>
        <v>1416.5549999999998</v>
      </c>
    </row>
    <row r="9974" spans="1:9">
      <c r="A9974" s="78" t="s">
        <v>17346</v>
      </c>
      <c r="B9974" s="5"/>
      <c r="C9974" s="32" t="s">
        <v>17356</v>
      </c>
      <c r="D9974" s="32"/>
      <c r="E9974" s="2">
        <v>1</v>
      </c>
      <c r="F9974" s="9">
        <v>1</v>
      </c>
      <c r="G9974" s="8">
        <f>H9974+(H9974*5%)</f>
        <v>708.27749999999992</v>
      </c>
      <c r="H9974" s="16">
        <v>674.55</v>
      </c>
      <c r="I9974" s="19">
        <f>G9974*F9974</f>
        <v>708.27749999999992</v>
      </c>
    </row>
    <row r="9975" spans="1:9">
      <c r="A9975" s="78" t="s">
        <v>17346</v>
      </c>
      <c r="B9975" s="5" t="s">
        <v>17354</v>
      </c>
      <c r="C9975" s="32" t="s">
        <v>17357</v>
      </c>
      <c r="D9975" s="32"/>
      <c r="E9975" s="2">
        <v>1</v>
      </c>
      <c r="F9975" s="9">
        <f>18+6</f>
        <v>24</v>
      </c>
      <c r="G9975" s="8">
        <f t="shared" si="325"/>
        <v>434.96249999999998</v>
      </c>
      <c r="H9975" s="16">
        <v>414.25</v>
      </c>
      <c r="I9975" s="19">
        <f t="shared" si="326"/>
        <v>10439.099999999999</v>
      </c>
    </row>
    <row r="9976" spans="1:9">
      <c r="A9976" s="78" t="s">
        <v>17346</v>
      </c>
      <c r="B9976" s="5"/>
      <c r="C9976" s="32" t="s">
        <v>17358</v>
      </c>
      <c r="D9976" s="32"/>
      <c r="E9976" s="2">
        <v>1</v>
      </c>
      <c r="F9976" s="9">
        <v>1</v>
      </c>
      <c r="G9976" s="8">
        <f>H9976+(H9976*5%)</f>
        <v>519.80250000000001</v>
      </c>
      <c r="H9976" s="16">
        <v>495.05</v>
      </c>
      <c r="I9976" s="19">
        <f>G9976*F9976</f>
        <v>519.80250000000001</v>
      </c>
    </row>
    <row r="9977" spans="1:9">
      <c r="A9977" s="78" t="s">
        <v>17346</v>
      </c>
      <c r="B9977" s="5"/>
      <c r="C9977" s="32" t="s">
        <v>17359</v>
      </c>
      <c r="D9977" s="32"/>
      <c r="E9977" s="2">
        <v>1</v>
      </c>
      <c r="F9977" s="9">
        <v>1</v>
      </c>
      <c r="G9977" s="8">
        <f>H9977+(H9977*5%)</f>
        <v>519.80250000000001</v>
      </c>
      <c r="H9977" s="16">
        <f>434.25+60.8</f>
        <v>495.05</v>
      </c>
      <c r="I9977" s="19">
        <f>G9977*F9977</f>
        <v>519.80250000000001</v>
      </c>
    </row>
    <row r="9978" spans="1:9">
      <c r="A9978" s="78" t="s">
        <v>17346</v>
      </c>
      <c r="B9978" s="5" t="s">
        <v>17354</v>
      </c>
      <c r="C9978" s="32" t="s">
        <v>17360</v>
      </c>
      <c r="D9978" s="32"/>
      <c r="E9978" s="2">
        <v>1</v>
      </c>
      <c r="F9978" s="9">
        <v>4</v>
      </c>
      <c r="G9978" s="8">
        <f t="shared" si="325"/>
        <v>509.30250000000001</v>
      </c>
      <c r="H9978" s="16">
        <v>485.05</v>
      </c>
      <c r="I9978" s="19">
        <f t="shared" si="326"/>
        <v>2037.21</v>
      </c>
    </row>
    <row r="9979" spans="1:9">
      <c r="A9979" s="78" t="s">
        <v>17346</v>
      </c>
      <c r="B9979" s="5" t="s">
        <v>17361</v>
      </c>
      <c r="C9979" s="5" t="s">
        <v>17361</v>
      </c>
      <c r="D9979" s="32"/>
      <c r="E9979" s="2">
        <v>1</v>
      </c>
      <c r="F9979" s="9">
        <v>1</v>
      </c>
      <c r="G9979" s="8">
        <f>H9979+(H9979*5%)</f>
        <v>455.96249999999998</v>
      </c>
      <c r="H9979" s="16">
        <v>434.25</v>
      </c>
      <c r="I9979" s="19">
        <f>G9979*F9979</f>
        <v>455.96249999999998</v>
      </c>
    </row>
    <row r="9980" spans="1:9">
      <c r="A9980" s="78" t="s">
        <v>17346</v>
      </c>
      <c r="B9980" s="5"/>
      <c r="C9980" s="32" t="s">
        <v>17362</v>
      </c>
      <c r="D9980" s="32"/>
      <c r="E9980" s="2">
        <v>1</v>
      </c>
      <c r="F9980" s="9">
        <v>1</v>
      </c>
      <c r="G9980" s="8">
        <f>H9980+(H9980*5%)</f>
        <v>714.03149999999994</v>
      </c>
      <c r="H9980" s="16">
        <v>680.03</v>
      </c>
      <c r="I9980" s="19">
        <f>G9980*F9980</f>
        <v>714.03149999999994</v>
      </c>
    </row>
    <row r="9981" spans="1:9">
      <c r="A9981" s="78" t="s">
        <v>17346</v>
      </c>
      <c r="B9981" s="5"/>
      <c r="C9981" s="32" t="s">
        <v>17363</v>
      </c>
      <c r="D9981" s="32"/>
      <c r="E9981" s="2">
        <v>1</v>
      </c>
      <c r="F9981" s="9">
        <v>1</v>
      </c>
      <c r="G9981" s="8">
        <f>H9981+(H9981*5%)</f>
        <v>714.03149999999994</v>
      </c>
      <c r="H9981" s="16">
        <v>680.03</v>
      </c>
      <c r="I9981" s="19">
        <f>G9981*F9981</f>
        <v>714.03149999999994</v>
      </c>
    </row>
    <row r="9982" spans="1:9">
      <c r="A9982" s="78" t="s">
        <v>17346</v>
      </c>
      <c r="B9982" s="5">
        <v>150802</v>
      </c>
      <c r="C9982" s="32" t="s">
        <v>17364</v>
      </c>
      <c r="D9982" s="32"/>
      <c r="E9982" s="2">
        <v>1</v>
      </c>
      <c r="F9982" s="9">
        <v>2</v>
      </c>
      <c r="G9982" s="8">
        <f t="shared" si="325"/>
        <v>26.922000000000001</v>
      </c>
      <c r="H9982" s="16">
        <v>25.64</v>
      </c>
      <c r="I9982" s="19">
        <f t="shared" si="326"/>
        <v>53.844000000000001</v>
      </c>
    </row>
    <row r="9983" spans="1:9" hidden="1">
      <c r="A9983" s="78" t="s">
        <v>17346</v>
      </c>
      <c r="B9983" s="5">
        <v>179491</v>
      </c>
      <c r="C9983" s="32" t="s">
        <v>17365</v>
      </c>
      <c r="D9983" s="32"/>
      <c r="E9983" s="2">
        <v>1</v>
      </c>
      <c r="F9983" s="9"/>
      <c r="G9983" s="8">
        <f t="shared" si="325"/>
        <v>238.64400000000001</v>
      </c>
      <c r="H9983" s="16">
        <v>227.28</v>
      </c>
      <c r="I9983" s="19">
        <f t="shared" si="326"/>
        <v>0</v>
      </c>
    </row>
    <row r="9984" spans="1:9" hidden="1">
      <c r="A9984" s="78" t="s">
        <v>17346</v>
      </c>
      <c r="B9984" s="5">
        <v>121217</v>
      </c>
      <c r="C9984" s="32" t="s">
        <v>17366</v>
      </c>
      <c r="D9984" s="32"/>
      <c r="E9984" s="2">
        <v>1</v>
      </c>
      <c r="F9984" s="9"/>
      <c r="G9984" s="8">
        <f t="shared" si="325"/>
        <v>22.05</v>
      </c>
      <c r="H9984" s="16">
        <v>21</v>
      </c>
      <c r="I9984" s="19">
        <f t="shared" si="326"/>
        <v>0</v>
      </c>
    </row>
    <row r="9985" spans="1:9" hidden="1">
      <c r="A9985" s="78" t="s">
        <v>17346</v>
      </c>
      <c r="B9985" s="5">
        <v>70964</v>
      </c>
      <c r="C9985" s="32" t="s">
        <v>17367</v>
      </c>
      <c r="D9985" s="32"/>
      <c r="E9985" s="2">
        <v>1</v>
      </c>
      <c r="F9985" s="9"/>
      <c r="G9985" s="8">
        <f t="shared" si="325"/>
        <v>25.756500000000003</v>
      </c>
      <c r="H9985" s="16">
        <v>24.53</v>
      </c>
      <c r="I9985" s="19">
        <f t="shared" si="326"/>
        <v>0</v>
      </c>
    </row>
    <row r="9986" spans="1:9">
      <c r="A9986" s="78" t="s">
        <v>17346</v>
      </c>
      <c r="B9986" s="5">
        <v>122435</v>
      </c>
      <c r="C9986" s="32" t="s">
        <v>17368</v>
      </c>
      <c r="D9986" s="32"/>
      <c r="E9986" s="2">
        <v>1</v>
      </c>
      <c r="F9986" s="9">
        <v>6</v>
      </c>
      <c r="G9986" s="8">
        <f t="shared" si="325"/>
        <v>93.166499999999999</v>
      </c>
      <c r="H9986" s="16">
        <v>88.73</v>
      </c>
      <c r="I9986" s="19">
        <f t="shared" si="326"/>
        <v>558.99900000000002</v>
      </c>
    </row>
    <row r="9987" spans="1:9">
      <c r="A9987" s="78" t="s">
        <v>17346</v>
      </c>
      <c r="B9987" s="5">
        <v>90664</v>
      </c>
      <c r="C9987" s="32" t="s">
        <v>17369</v>
      </c>
      <c r="D9987" s="32"/>
      <c r="E9987" s="2">
        <v>1</v>
      </c>
      <c r="F9987" s="9">
        <v>36</v>
      </c>
      <c r="G9987" s="8">
        <f t="shared" si="325"/>
        <v>42.146999999999998</v>
      </c>
      <c r="H9987" s="16">
        <v>40.14</v>
      </c>
      <c r="I9987" s="19">
        <f t="shared" si="326"/>
        <v>1517.2919999999999</v>
      </c>
    </row>
    <row r="9988" spans="1:9" hidden="1">
      <c r="A9988" s="78" t="s">
        <v>17346</v>
      </c>
      <c r="B9988" s="5">
        <v>92307</v>
      </c>
      <c r="C9988" s="32" t="s">
        <v>17370</v>
      </c>
      <c r="D9988" s="32"/>
      <c r="E9988" s="2">
        <v>1</v>
      </c>
      <c r="F9988" s="9"/>
      <c r="G9988" s="8">
        <f t="shared" si="325"/>
        <v>30.502500000000001</v>
      </c>
      <c r="H9988" s="16">
        <v>29.05</v>
      </c>
      <c r="I9988" s="19">
        <f t="shared" si="326"/>
        <v>0</v>
      </c>
    </row>
    <row r="9989" spans="1:9" hidden="1">
      <c r="A9989" s="78" t="s">
        <v>17346</v>
      </c>
      <c r="B9989" s="5">
        <v>92310</v>
      </c>
      <c r="C9989" s="32" t="s">
        <v>17371</v>
      </c>
      <c r="D9989" s="32"/>
      <c r="E9989" s="2">
        <v>1</v>
      </c>
      <c r="F9989" s="9"/>
      <c r="G9989" s="8">
        <f t="shared" si="325"/>
        <v>36.529499999999999</v>
      </c>
      <c r="H9989" s="16">
        <v>34.79</v>
      </c>
      <c r="I9989" s="19">
        <f t="shared" si="326"/>
        <v>0</v>
      </c>
    </row>
    <row r="9990" spans="1:9">
      <c r="A9990" s="78" t="s">
        <v>17346</v>
      </c>
      <c r="B9990" s="5">
        <v>115907</v>
      </c>
      <c r="C9990" s="32" t="s">
        <v>17372</v>
      </c>
      <c r="D9990" s="32"/>
      <c r="E9990" s="2">
        <v>1</v>
      </c>
      <c r="F9990" s="9">
        <v>6</v>
      </c>
      <c r="G9990" s="8">
        <f t="shared" si="325"/>
        <v>55.86</v>
      </c>
      <c r="H9990" s="16">
        <v>53.2</v>
      </c>
      <c r="I9990" s="19">
        <f t="shared" si="326"/>
        <v>335.15999999999997</v>
      </c>
    </row>
    <row r="9991" spans="1:9">
      <c r="A9991" s="78" t="s">
        <v>17346</v>
      </c>
      <c r="B9991" s="5">
        <v>115908</v>
      </c>
      <c r="C9991" s="32" t="s">
        <v>17373</v>
      </c>
      <c r="D9991" s="32"/>
      <c r="E9991" s="2">
        <v>1</v>
      </c>
      <c r="F9991" s="9">
        <v>1</v>
      </c>
      <c r="G9991" s="8">
        <f>H9991+(H9991*5%)</f>
        <v>67.787999999999997</v>
      </c>
      <c r="H9991" s="16">
        <v>64.56</v>
      </c>
      <c r="I9991" s="19">
        <f>G9991*F9991</f>
        <v>67.787999999999997</v>
      </c>
    </row>
    <row r="9992" spans="1:9">
      <c r="A9992" s="78" t="s">
        <v>17346</v>
      </c>
      <c r="B9992" s="5">
        <v>115909</v>
      </c>
      <c r="C9992" s="32" t="s">
        <v>17374</v>
      </c>
      <c r="D9992" s="32"/>
      <c r="E9992" s="2">
        <v>1</v>
      </c>
      <c r="F9992" s="9">
        <v>5</v>
      </c>
      <c r="G9992" s="8">
        <f t="shared" si="325"/>
        <v>80.64</v>
      </c>
      <c r="H9992" s="16">
        <v>76.8</v>
      </c>
      <c r="I9992" s="19">
        <f t="shared" si="326"/>
        <v>403.2</v>
      </c>
    </row>
    <row r="9993" spans="1:9">
      <c r="A9993" s="78" t="s">
        <v>17346</v>
      </c>
      <c r="B9993" s="5">
        <v>150319</v>
      </c>
      <c r="C9993" s="32" t="s">
        <v>17375</v>
      </c>
      <c r="D9993" s="32"/>
      <c r="E9993" s="2">
        <v>1</v>
      </c>
      <c r="F9993" s="9">
        <v>4</v>
      </c>
      <c r="G9993" s="8">
        <f t="shared" si="325"/>
        <v>107.541</v>
      </c>
      <c r="H9993" s="16">
        <v>102.42</v>
      </c>
      <c r="I9993" s="19">
        <f t="shared" si="326"/>
        <v>430.16399999999999</v>
      </c>
    </row>
    <row r="9994" spans="1:9">
      <c r="A9994" s="78" t="s">
        <v>17346</v>
      </c>
      <c r="B9994" s="5">
        <v>156609</v>
      </c>
      <c r="C9994" s="32" t="s">
        <v>17376</v>
      </c>
      <c r="D9994" s="32"/>
      <c r="E9994" s="2">
        <v>1</v>
      </c>
      <c r="F9994" s="9">
        <v>30</v>
      </c>
      <c r="G9994" s="8">
        <f t="shared" si="325"/>
        <v>3.6749999999999998</v>
      </c>
      <c r="H9994" s="16">
        <v>3.5</v>
      </c>
      <c r="I9994" s="19">
        <f t="shared" si="326"/>
        <v>110.25</v>
      </c>
    </row>
    <row r="9995" spans="1:9" hidden="1">
      <c r="A9995" s="78" t="s">
        <v>17346</v>
      </c>
      <c r="B9995" s="5">
        <v>88176</v>
      </c>
      <c r="C9995" s="32" t="s">
        <v>17377</v>
      </c>
      <c r="D9995" s="32"/>
      <c r="E9995" s="2">
        <v>1</v>
      </c>
      <c r="F9995" s="9"/>
      <c r="G9995" s="8">
        <f t="shared" si="325"/>
        <v>36.644999999999996</v>
      </c>
      <c r="H9995" s="16">
        <v>34.9</v>
      </c>
      <c r="I9995" s="19">
        <f t="shared" si="326"/>
        <v>0</v>
      </c>
    </row>
    <row r="9996" spans="1:9">
      <c r="A9996" s="78" t="s">
        <v>17346</v>
      </c>
      <c r="B9996" s="5">
        <v>143694</v>
      </c>
      <c r="C9996" s="32" t="s">
        <v>17378</v>
      </c>
      <c r="D9996" s="32"/>
      <c r="E9996" s="2">
        <v>1</v>
      </c>
      <c r="F9996" s="9">
        <v>12</v>
      </c>
      <c r="G9996" s="8">
        <f t="shared" si="325"/>
        <v>41.160000000000004</v>
      </c>
      <c r="H9996" s="16">
        <v>39.200000000000003</v>
      </c>
      <c r="I9996" s="19">
        <f t="shared" si="326"/>
        <v>493.92000000000007</v>
      </c>
    </row>
    <row r="9997" spans="1:9">
      <c r="A9997" s="78" t="s">
        <v>17346</v>
      </c>
      <c r="B9997" s="5">
        <v>192267</v>
      </c>
      <c r="C9997" s="32" t="s">
        <v>17379</v>
      </c>
      <c r="D9997" s="32"/>
      <c r="E9997" s="2">
        <v>1</v>
      </c>
      <c r="F9997" s="9">
        <v>9</v>
      </c>
      <c r="G9997" s="8">
        <f t="shared" si="325"/>
        <v>227.65049999999999</v>
      </c>
      <c r="H9997" s="16">
        <v>216.81</v>
      </c>
      <c r="I9997" s="19">
        <f t="shared" si="326"/>
        <v>2048.8544999999999</v>
      </c>
    </row>
    <row r="9998" spans="1:9">
      <c r="A9998" s="78" t="s">
        <v>17346</v>
      </c>
      <c r="B9998" s="5">
        <v>148420</v>
      </c>
      <c r="C9998" s="32" t="s">
        <v>17380</v>
      </c>
      <c r="D9998" s="32"/>
      <c r="E9998" s="2">
        <v>1</v>
      </c>
      <c r="F9998" s="9">
        <v>14</v>
      </c>
      <c r="G9998" s="8">
        <f t="shared" si="325"/>
        <v>68.102999999999994</v>
      </c>
      <c r="H9998" s="16">
        <v>64.86</v>
      </c>
      <c r="I9998" s="19">
        <f t="shared" si="326"/>
        <v>953.44199999999989</v>
      </c>
    </row>
    <row r="9999" spans="1:9">
      <c r="A9999" s="78" t="s">
        <v>17346</v>
      </c>
      <c r="B9999" s="5">
        <v>159708</v>
      </c>
      <c r="C9999" s="32" t="s">
        <v>17381</v>
      </c>
      <c r="D9999" s="32"/>
      <c r="E9999" s="2">
        <v>1</v>
      </c>
      <c r="F9999" s="9">
        <v>7</v>
      </c>
      <c r="G9999" s="8">
        <f t="shared" si="325"/>
        <v>196.65449999999998</v>
      </c>
      <c r="H9999" s="16">
        <v>187.29</v>
      </c>
      <c r="I9999" s="19">
        <f t="shared" si="326"/>
        <v>1376.5814999999998</v>
      </c>
    </row>
    <row r="10000" spans="1:9">
      <c r="A10000" s="78" t="s">
        <v>17346</v>
      </c>
      <c r="B10000" s="5">
        <v>166843</v>
      </c>
      <c r="C10000" s="32" t="s">
        <v>17382</v>
      </c>
      <c r="D10000" s="32"/>
      <c r="E10000" s="2">
        <v>1</v>
      </c>
      <c r="F10000" s="9">
        <v>21</v>
      </c>
      <c r="G10000" s="8">
        <f t="shared" si="325"/>
        <v>22.68</v>
      </c>
      <c r="H10000" s="16">
        <v>21.6</v>
      </c>
      <c r="I10000" s="19">
        <f t="shared" si="326"/>
        <v>476.28</v>
      </c>
    </row>
    <row r="10001" spans="1:9" hidden="1">
      <c r="A10001" s="78" t="s">
        <v>17346</v>
      </c>
      <c r="B10001" s="5">
        <v>122432</v>
      </c>
      <c r="C10001" s="32" t="s">
        <v>17383</v>
      </c>
      <c r="D10001" s="32"/>
      <c r="E10001" s="2">
        <v>1</v>
      </c>
      <c r="F10001" s="9"/>
      <c r="G10001" s="8">
        <f t="shared" si="325"/>
        <v>196.65449999999998</v>
      </c>
      <c r="H10001" s="16">
        <v>187.29</v>
      </c>
      <c r="I10001" s="19">
        <f t="shared" si="326"/>
        <v>0</v>
      </c>
    </row>
    <row r="10002" spans="1:9" hidden="1">
      <c r="A10002" s="78" t="s">
        <v>17346</v>
      </c>
      <c r="B10002" s="5">
        <v>162041</v>
      </c>
      <c r="C10002" s="32" t="s">
        <v>17384</v>
      </c>
      <c r="D10002" s="32"/>
      <c r="E10002" s="2">
        <v>1</v>
      </c>
      <c r="F10002" s="9"/>
      <c r="G10002" s="8">
        <f t="shared" si="325"/>
        <v>369.76800000000003</v>
      </c>
      <c r="H10002" s="16">
        <v>352.16</v>
      </c>
      <c r="I10002" s="19">
        <f t="shared" si="326"/>
        <v>0</v>
      </c>
    </row>
    <row r="10003" spans="1:9">
      <c r="A10003" s="78" t="s">
        <v>17346</v>
      </c>
      <c r="B10003" s="5">
        <v>188589</v>
      </c>
      <c r="C10003" s="32" t="s">
        <v>17385</v>
      </c>
      <c r="D10003" s="32"/>
      <c r="E10003" s="2">
        <v>1</v>
      </c>
      <c r="F10003" s="9">
        <v>73</v>
      </c>
      <c r="G10003" s="8">
        <f t="shared" si="325"/>
        <v>24.118499999999997</v>
      </c>
      <c r="H10003" s="16">
        <v>22.97</v>
      </c>
      <c r="I10003" s="19">
        <f t="shared" si="326"/>
        <v>1760.6504999999997</v>
      </c>
    </row>
    <row r="10004" spans="1:9" hidden="1">
      <c r="A10004" s="78" t="s">
        <v>17346</v>
      </c>
      <c r="B10004" s="5">
        <v>157270</v>
      </c>
      <c r="C10004" s="32" t="s">
        <v>17386</v>
      </c>
      <c r="D10004" s="32"/>
      <c r="E10004" s="2">
        <v>1</v>
      </c>
      <c r="F10004" s="9"/>
      <c r="G10004" s="8">
        <f t="shared" si="325"/>
        <v>369.87299999999999</v>
      </c>
      <c r="H10004" s="16">
        <v>352.26</v>
      </c>
      <c r="I10004" s="19">
        <f t="shared" si="326"/>
        <v>0</v>
      </c>
    </row>
    <row r="10005" spans="1:9">
      <c r="A10005" s="78" t="s">
        <v>17346</v>
      </c>
      <c r="B10005" s="5">
        <v>158153</v>
      </c>
      <c r="C10005" s="32" t="s">
        <v>17387</v>
      </c>
      <c r="D10005" s="32"/>
      <c r="E10005" s="2">
        <v>1</v>
      </c>
      <c r="F10005" s="9">
        <v>24</v>
      </c>
      <c r="G10005" s="8">
        <f t="shared" si="325"/>
        <v>9.6810000000000009</v>
      </c>
      <c r="H10005" s="16">
        <v>9.2200000000000006</v>
      </c>
      <c r="I10005" s="19">
        <f t="shared" si="326"/>
        <v>232.34400000000002</v>
      </c>
    </row>
    <row r="10006" spans="1:9" hidden="1">
      <c r="A10006" s="78" t="s">
        <v>17346</v>
      </c>
      <c r="B10006" s="5">
        <v>184616</v>
      </c>
      <c r="C10006" s="32" t="s">
        <v>17388</v>
      </c>
      <c r="D10006" s="32"/>
      <c r="E10006" s="2">
        <v>1</v>
      </c>
      <c r="F10006" s="9"/>
      <c r="G10006" s="8">
        <f t="shared" si="325"/>
        <v>38.199000000000005</v>
      </c>
      <c r="H10006" s="16">
        <v>36.380000000000003</v>
      </c>
      <c r="I10006" s="19">
        <f t="shared" si="326"/>
        <v>0</v>
      </c>
    </row>
    <row r="10007" spans="1:9">
      <c r="A10007" s="78" t="s">
        <v>17346</v>
      </c>
      <c r="B10007" s="5">
        <v>101159</v>
      </c>
      <c r="C10007" s="32" t="s">
        <v>17389</v>
      </c>
      <c r="D10007" s="32"/>
      <c r="E10007" s="2">
        <v>1</v>
      </c>
      <c r="F10007" s="9">
        <v>1</v>
      </c>
      <c r="G10007" s="8">
        <f t="shared" si="325"/>
        <v>40.361999999999995</v>
      </c>
      <c r="H10007" s="16">
        <v>38.44</v>
      </c>
      <c r="I10007" s="19">
        <f t="shared" si="326"/>
        <v>40.361999999999995</v>
      </c>
    </row>
    <row r="10008" spans="1:9">
      <c r="A10008" s="78" t="s">
        <v>17346</v>
      </c>
      <c r="B10008" s="5">
        <v>148049</v>
      </c>
      <c r="C10008" s="32" t="s">
        <v>17390</v>
      </c>
      <c r="D10008" s="32"/>
      <c r="E10008" s="2">
        <v>1</v>
      </c>
      <c r="F10008" s="9">
        <v>1</v>
      </c>
      <c r="G10008" s="8">
        <f t="shared" si="325"/>
        <v>62.664000000000001</v>
      </c>
      <c r="H10008" s="16">
        <v>59.68</v>
      </c>
      <c r="I10008" s="19">
        <f t="shared" si="326"/>
        <v>62.664000000000001</v>
      </c>
    </row>
    <row r="10009" spans="1:9">
      <c r="A10009" s="78" t="s">
        <v>17346</v>
      </c>
      <c r="B10009" s="5">
        <v>75167</v>
      </c>
      <c r="C10009" s="32" t="s">
        <v>17391</v>
      </c>
      <c r="D10009" s="32"/>
      <c r="E10009" s="2">
        <v>1</v>
      </c>
      <c r="F10009" s="9">
        <v>3</v>
      </c>
      <c r="G10009" s="8">
        <f>H10009+(H10009*5%)</f>
        <v>118.15649999999999</v>
      </c>
      <c r="H10009" s="16">
        <v>112.53</v>
      </c>
      <c r="I10009" s="19">
        <f>G10009*F10009</f>
        <v>354.46949999999998</v>
      </c>
    </row>
    <row r="10010" spans="1:9">
      <c r="A10010" s="78" t="s">
        <v>17346</v>
      </c>
      <c r="B10010" s="5">
        <v>72873</v>
      </c>
      <c r="C10010" s="32" t="s">
        <v>17392</v>
      </c>
      <c r="D10010" s="32"/>
      <c r="E10010" s="2">
        <v>1</v>
      </c>
      <c r="F10010" s="9">
        <v>4</v>
      </c>
      <c r="G10010" s="8">
        <f t="shared" si="325"/>
        <v>118.15649999999999</v>
      </c>
      <c r="H10010" s="16">
        <v>112.53</v>
      </c>
      <c r="I10010" s="19">
        <f t="shared" si="326"/>
        <v>472.62599999999998</v>
      </c>
    </row>
    <row r="10011" spans="1:9">
      <c r="A10011" s="78" t="s">
        <v>17346</v>
      </c>
      <c r="B10011" s="5">
        <v>69534</v>
      </c>
      <c r="C10011" s="32" t="s">
        <v>17393</v>
      </c>
      <c r="D10011" s="32"/>
      <c r="E10011" s="2">
        <v>1</v>
      </c>
      <c r="F10011" s="9">
        <v>1</v>
      </c>
      <c r="G10011" s="8">
        <f>H10011+(H10011*5%)</f>
        <v>99.739499999999992</v>
      </c>
      <c r="H10011" s="16">
        <v>94.99</v>
      </c>
      <c r="I10011" s="19">
        <f>G10011*F10011</f>
        <v>99.739499999999992</v>
      </c>
    </row>
    <row r="10012" spans="1:9">
      <c r="A10012" s="78" t="s">
        <v>17346</v>
      </c>
      <c r="B10012" s="5">
        <v>140486</v>
      </c>
      <c r="C10012" s="32" t="s">
        <v>17394</v>
      </c>
      <c r="D10012" s="32"/>
      <c r="E10012" s="2">
        <v>1</v>
      </c>
      <c r="F10012" s="9">
        <v>17</v>
      </c>
      <c r="G10012" s="8">
        <f t="shared" si="325"/>
        <v>13.65</v>
      </c>
      <c r="H10012" s="16">
        <v>13</v>
      </c>
      <c r="I10012" s="19">
        <f t="shared" si="326"/>
        <v>232.05</v>
      </c>
    </row>
    <row r="10013" spans="1:9">
      <c r="A10013" s="78" t="s">
        <v>17346</v>
      </c>
      <c r="B10013" s="5">
        <v>122954</v>
      </c>
      <c r="C10013" s="32" t="s">
        <v>17395</v>
      </c>
      <c r="D10013" s="32"/>
      <c r="E10013" s="2">
        <v>1</v>
      </c>
      <c r="F10013" s="9">
        <v>10</v>
      </c>
      <c r="G10013" s="8">
        <f t="shared" si="325"/>
        <v>6.5309999999999997</v>
      </c>
      <c r="H10013" s="16">
        <v>6.22</v>
      </c>
      <c r="I10013" s="19">
        <f t="shared" si="326"/>
        <v>65.31</v>
      </c>
    </row>
    <row r="10014" spans="1:9">
      <c r="A10014" s="78" t="s">
        <v>17346</v>
      </c>
      <c r="B10014" s="5">
        <v>192266</v>
      </c>
      <c r="C10014" s="32" t="s">
        <v>17396</v>
      </c>
      <c r="D10014" s="32"/>
      <c r="E10014" s="2">
        <v>1</v>
      </c>
      <c r="F10014" s="9">
        <v>1</v>
      </c>
      <c r="G10014" s="8">
        <f t="shared" si="325"/>
        <v>266.14350000000002</v>
      </c>
      <c r="H10014" s="16">
        <v>253.47</v>
      </c>
      <c r="I10014" s="19">
        <f t="shared" si="326"/>
        <v>266.14350000000002</v>
      </c>
    </row>
    <row r="10015" spans="1:9">
      <c r="A10015" s="78" t="s">
        <v>17346</v>
      </c>
      <c r="B10015" s="5">
        <v>168107</v>
      </c>
      <c r="C10015" s="32" t="s">
        <v>17397</v>
      </c>
      <c r="D10015" s="32"/>
      <c r="E10015" s="2">
        <v>1</v>
      </c>
      <c r="F10015" s="9">
        <v>2</v>
      </c>
      <c r="G10015" s="8">
        <f t="shared" si="325"/>
        <v>199.19550000000001</v>
      </c>
      <c r="H10015" s="16">
        <v>189.71</v>
      </c>
      <c r="I10015" s="19">
        <f t="shared" si="326"/>
        <v>398.39100000000002</v>
      </c>
    </row>
    <row r="10016" spans="1:9" hidden="1">
      <c r="A10016" s="78" t="s">
        <v>17346</v>
      </c>
      <c r="B10016" s="5">
        <v>141695</v>
      </c>
      <c r="C10016" s="32" t="s">
        <v>17398</v>
      </c>
      <c r="D10016" s="32"/>
      <c r="E10016" s="2">
        <v>1</v>
      </c>
      <c r="F10016" s="9"/>
      <c r="G10016" s="8">
        <f t="shared" si="325"/>
        <v>14.658000000000001</v>
      </c>
      <c r="H10016" s="16">
        <v>13.96</v>
      </c>
      <c r="I10016" s="19">
        <f t="shared" si="326"/>
        <v>0</v>
      </c>
    </row>
    <row r="10017" spans="1:9">
      <c r="A10017" s="78" t="s">
        <v>17346</v>
      </c>
      <c r="B10017" s="5">
        <v>160264</v>
      </c>
      <c r="C10017" s="32" t="s">
        <v>17399</v>
      </c>
      <c r="D10017" s="32"/>
      <c r="E10017" s="2">
        <v>1</v>
      </c>
      <c r="F10017" s="9">
        <v>29</v>
      </c>
      <c r="G10017" s="8">
        <f t="shared" si="325"/>
        <v>30.933</v>
      </c>
      <c r="H10017" s="16">
        <v>29.46</v>
      </c>
      <c r="I10017" s="19">
        <f t="shared" si="326"/>
        <v>897.05700000000002</v>
      </c>
    </row>
    <row r="10018" spans="1:9">
      <c r="A10018" s="78" t="s">
        <v>17346</v>
      </c>
      <c r="B10018" s="5">
        <v>120804</v>
      </c>
      <c r="C10018" s="32" t="s">
        <v>17400</v>
      </c>
      <c r="D10018" s="32"/>
      <c r="E10018" s="2">
        <v>1</v>
      </c>
      <c r="F10018" s="9">
        <v>10</v>
      </c>
      <c r="G10018" s="8">
        <f t="shared" si="325"/>
        <v>51.229500000000002</v>
      </c>
      <c r="H10018" s="16">
        <v>48.79</v>
      </c>
      <c r="I10018" s="19">
        <f t="shared" si="326"/>
        <v>512.29500000000007</v>
      </c>
    </row>
    <row r="10019" spans="1:9" hidden="1">
      <c r="A10019" s="78" t="s">
        <v>17346</v>
      </c>
      <c r="B10019" s="5">
        <v>152839</v>
      </c>
      <c r="C10019" s="32" t="s">
        <v>17401</v>
      </c>
      <c r="D10019" s="32"/>
      <c r="E10019" s="2">
        <v>1</v>
      </c>
      <c r="F10019" s="9"/>
      <c r="G10019" s="8">
        <f t="shared" si="325"/>
        <v>65.835000000000008</v>
      </c>
      <c r="H10019" s="16">
        <v>62.7</v>
      </c>
      <c r="I10019" s="19">
        <f t="shared" si="326"/>
        <v>0</v>
      </c>
    </row>
    <row r="10020" spans="1:9">
      <c r="A10020" s="78" t="s">
        <v>17346</v>
      </c>
      <c r="B10020" s="5">
        <v>92311</v>
      </c>
      <c r="C10020" s="32" t="s">
        <v>17402</v>
      </c>
      <c r="D10020" s="32"/>
      <c r="E10020" s="2">
        <v>1</v>
      </c>
      <c r="F10020" s="9">
        <v>10</v>
      </c>
      <c r="G10020" s="8">
        <f t="shared" si="325"/>
        <v>41.4435</v>
      </c>
      <c r="H10020" s="16">
        <v>39.47</v>
      </c>
      <c r="I10020" s="19">
        <f t="shared" si="326"/>
        <v>414.435</v>
      </c>
    </row>
    <row r="10021" spans="1:9">
      <c r="A10021" s="78" t="s">
        <v>17346</v>
      </c>
      <c r="B10021" s="5">
        <v>122636</v>
      </c>
      <c r="C10021" s="32" t="s">
        <v>17403</v>
      </c>
      <c r="D10021" s="32"/>
      <c r="E10021" s="2">
        <v>1</v>
      </c>
      <c r="F10021" s="9">
        <v>82</v>
      </c>
      <c r="G10021" s="8">
        <f t="shared" si="325"/>
        <v>4.4415000000000004</v>
      </c>
      <c r="H10021" s="16">
        <v>4.2300000000000004</v>
      </c>
      <c r="I10021" s="19">
        <f t="shared" si="326"/>
        <v>364.20300000000003</v>
      </c>
    </row>
    <row r="10022" spans="1:9">
      <c r="A10022" s="78" t="s">
        <v>17346</v>
      </c>
      <c r="B10022" s="5">
        <v>164179</v>
      </c>
      <c r="C10022" s="32" t="s">
        <v>17404</v>
      </c>
      <c r="D10022" s="32"/>
      <c r="E10022" s="2">
        <v>1</v>
      </c>
      <c r="F10022" s="9">
        <v>5</v>
      </c>
      <c r="G10022" s="8">
        <f t="shared" si="325"/>
        <v>45.832499999999996</v>
      </c>
      <c r="H10022" s="16">
        <v>43.65</v>
      </c>
      <c r="I10022" s="19">
        <f t="shared" si="326"/>
        <v>229.16249999999997</v>
      </c>
    </row>
    <row r="10023" spans="1:9">
      <c r="A10023" s="78" t="s">
        <v>17346</v>
      </c>
      <c r="B10023" s="5">
        <v>140874</v>
      </c>
      <c r="C10023" s="32" t="s">
        <v>17405</v>
      </c>
      <c r="D10023" s="32"/>
      <c r="E10023" s="2">
        <v>1</v>
      </c>
      <c r="F10023" s="9">
        <v>5</v>
      </c>
      <c r="G10023" s="8">
        <f t="shared" si="325"/>
        <v>76.146000000000001</v>
      </c>
      <c r="H10023" s="16">
        <v>72.52</v>
      </c>
      <c r="I10023" s="19">
        <f t="shared" si="326"/>
        <v>380.73</v>
      </c>
    </row>
    <row r="10024" spans="1:9" hidden="1">
      <c r="A10024" s="78" t="s">
        <v>17346</v>
      </c>
      <c r="B10024" s="5">
        <v>74397</v>
      </c>
      <c r="C10024" s="32" t="s">
        <v>17406</v>
      </c>
      <c r="D10024" s="32"/>
      <c r="E10024" s="2">
        <v>1</v>
      </c>
      <c r="F10024" s="9"/>
      <c r="G10024" s="8">
        <f t="shared" si="325"/>
        <v>11.487</v>
      </c>
      <c r="H10024" s="16">
        <v>10.94</v>
      </c>
      <c r="I10024" s="19">
        <f t="shared" si="326"/>
        <v>0</v>
      </c>
    </row>
    <row r="10025" spans="1:9">
      <c r="A10025" s="78" t="s">
        <v>17346</v>
      </c>
      <c r="B10025" s="5">
        <v>47582</v>
      </c>
      <c r="C10025" s="32" t="s">
        <v>17407</v>
      </c>
      <c r="D10025" s="32"/>
      <c r="E10025" s="2">
        <v>1</v>
      </c>
      <c r="F10025" s="9">
        <v>5</v>
      </c>
      <c r="G10025" s="8">
        <f t="shared" si="325"/>
        <v>11.487</v>
      </c>
      <c r="H10025" s="16">
        <v>10.94</v>
      </c>
      <c r="I10025" s="19">
        <f t="shared" si="326"/>
        <v>57.435000000000002</v>
      </c>
    </row>
    <row r="10026" spans="1:9" hidden="1">
      <c r="A10026" s="78" t="s">
        <v>17346</v>
      </c>
      <c r="B10026" s="5">
        <v>47583</v>
      </c>
      <c r="C10026" s="32" t="s">
        <v>17408</v>
      </c>
      <c r="D10026" s="32"/>
      <c r="E10026" s="2">
        <v>1</v>
      </c>
      <c r="F10026" s="9"/>
      <c r="G10026" s="8">
        <f t="shared" si="325"/>
        <v>11.487</v>
      </c>
      <c r="H10026" s="16">
        <v>10.94</v>
      </c>
      <c r="I10026" s="19">
        <f t="shared" si="326"/>
        <v>0</v>
      </c>
    </row>
    <row r="10027" spans="1:9">
      <c r="A10027" s="78" t="s">
        <v>17346</v>
      </c>
      <c r="B10027" s="5">
        <v>122419</v>
      </c>
      <c r="C10027" s="32" t="s">
        <v>17409</v>
      </c>
      <c r="D10027" s="32"/>
      <c r="E10027" s="2">
        <v>1</v>
      </c>
      <c r="F10027" s="9">
        <v>46</v>
      </c>
      <c r="G10027" s="8">
        <f t="shared" si="325"/>
        <v>26.774999999999999</v>
      </c>
      <c r="H10027" s="16">
        <v>25.5</v>
      </c>
      <c r="I10027" s="19">
        <f>G10027*F10027</f>
        <v>1231.6499999999999</v>
      </c>
    </row>
    <row r="10028" spans="1:9" hidden="1">
      <c r="A10028" s="78" t="s">
        <v>17346</v>
      </c>
      <c r="B10028" s="5">
        <v>114502</v>
      </c>
      <c r="C10028" s="32" t="s">
        <v>17410</v>
      </c>
      <c r="D10028" s="32"/>
      <c r="E10028" s="2">
        <v>1</v>
      </c>
      <c r="F10028" s="9"/>
      <c r="G10028" s="8">
        <f t="shared" si="325"/>
        <v>18.48</v>
      </c>
      <c r="H10028" s="16">
        <v>17.600000000000001</v>
      </c>
      <c r="I10028" s="19">
        <f t="shared" si="326"/>
        <v>0</v>
      </c>
    </row>
    <row r="10029" spans="1:9">
      <c r="A10029" s="78" t="s">
        <v>17346</v>
      </c>
      <c r="B10029" s="5">
        <v>158392</v>
      </c>
      <c r="C10029" s="32" t="s">
        <v>17411</v>
      </c>
      <c r="D10029" s="32"/>
      <c r="E10029" s="2">
        <v>1</v>
      </c>
      <c r="F10029" s="9">
        <v>22</v>
      </c>
      <c r="G10029" s="8">
        <f t="shared" si="325"/>
        <v>32.360999999999997</v>
      </c>
      <c r="H10029" s="16">
        <v>30.82</v>
      </c>
      <c r="I10029" s="19">
        <f t="shared" si="326"/>
        <v>711.94199999999989</v>
      </c>
    </row>
    <row r="10030" spans="1:9">
      <c r="A10030" s="78" t="s">
        <v>17346</v>
      </c>
      <c r="B10030" s="5">
        <v>194234</v>
      </c>
      <c r="C10030" s="32" t="s">
        <v>17412</v>
      </c>
      <c r="D10030" s="32"/>
      <c r="E10030" s="2">
        <v>1</v>
      </c>
      <c r="F10030" s="9">
        <v>1</v>
      </c>
      <c r="G10030" s="8">
        <f t="shared" si="325"/>
        <v>199.19550000000001</v>
      </c>
      <c r="H10030" s="16">
        <v>189.71</v>
      </c>
      <c r="I10030" s="19">
        <f t="shared" si="326"/>
        <v>199.19550000000001</v>
      </c>
    </row>
    <row r="10031" spans="1:9">
      <c r="A10031" s="78" t="s">
        <v>17346</v>
      </c>
      <c r="B10031" s="5">
        <v>182197</v>
      </c>
      <c r="C10031" s="32" t="s">
        <v>17413</v>
      </c>
      <c r="D10031" s="32"/>
      <c r="E10031" s="2">
        <v>1</v>
      </c>
      <c r="F10031" s="9">
        <v>7</v>
      </c>
      <c r="G10031" s="8">
        <f t="shared" si="325"/>
        <v>70.623000000000005</v>
      </c>
      <c r="H10031" s="16">
        <v>67.260000000000005</v>
      </c>
      <c r="I10031" s="19">
        <f t="shared" si="326"/>
        <v>494.36100000000005</v>
      </c>
    </row>
    <row r="10032" spans="1:9">
      <c r="A10032" s="78" t="s">
        <v>17346</v>
      </c>
      <c r="B10032" s="5">
        <v>122459</v>
      </c>
      <c r="C10032" s="32" t="s">
        <v>17414</v>
      </c>
      <c r="D10032" s="32"/>
      <c r="E10032" s="2">
        <v>1</v>
      </c>
      <c r="F10032" s="9">
        <v>116</v>
      </c>
      <c r="G10032" s="8">
        <f t="shared" si="325"/>
        <v>26.774999999999999</v>
      </c>
      <c r="H10032" s="16">
        <v>25.5</v>
      </c>
      <c r="I10032" s="19">
        <f t="shared" si="326"/>
        <v>3105.8999999999996</v>
      </c>
    </row>
    <row r="10033" spans="1:9" hidden="1">
      <c r="A10033" s="78" t="s">
        <v>17346</v>
      </c>
      <c r="B10033" s="5">
        <v>188601</v>
      </c>
      <c r="C10033" s="32" t="s">
        <v>17415</v>
      </c>
      <c r="D10033" s="32"/>
      <c r="E10033" s="2">
        <v>1</v>
      </c>
      <c r="F10033" s="9"/>
      <c r="G10033" s="8">
        <f t="shared" si="325"/>
        <v>791.06999999999994</v>
      </c>
      <c r="H10033" s="16">
        <v>753.4</v>
      </c>
      <c r="I10033" s="19">
        <f t="shared" ref="I10033:I10044" si="327">G10033*F10033</f>
        <v>0</v>
      </c>
    </row>
    <row r="10034" spans="1:9">
      <c r="A10034" s="78" t="s">
        <v>17346</v>
      </c>
      <c r="B10034" s="5">
        <v>101197</v>
      </c>
      <c r="C10034" s="32" t="s">
        <v>17416</v>
      </c>
      <c r="D10034" s="32"/>
      <c r="E10034" s="2">
        <v>1</v>
      </c>
      <c r="F10034" s="9">
        <v>1</v>
      </c>
      <c r="G10034" s="8">
        <f t="shared" ref="G10034:G10044" si="328">H10034+(H10034*5%)</f>
        <v>82.939499999999995</v>
      </c>
      <c r="H10034" s="16">
        <v>78.989999999999995</v>
      </c>
      <c r="I10034" s="19">
        <f t="shared" si="327"/>
        <v>82.939499999999995</v>
      </c>
    </row>
    <row r="10035" spans="1:9">
      <c r="A10035" s="78" t="s">
        <v>17346</v>
      </c>
      <c r="B10035" s="5">
        <v>77594</v>
      </c>
      <c r="C10035" s="32" t="s">
        <v>17417</v>
      </c>
      <c r="D10035" s="32"/>
      <c r="E10035" s="2">
        <v>1</v>
      </c>
      <c r="F10035" s="9">
        <v>2</v>
      </c>
      <c r="G10035" s="8">
        <f t="shared" si="328"/>
        <v>36.508500000000005</v>
      </c>
      <c r="H10035" s="16">
        <v>34.770000000000003</v>
      </c>
      <c r="I10035" s="19">
        <f t="shared" si="327"/>
        <v>73.01700000000001</v>
      </c>
    </row>
    <row r="10036" spans="1:9">
      <c r="A10036" s="78" t="s">
        <v>17346</v>
      </c>
      <c r="B10036" s="5">
        <v>123834</v>
      </c>
      <c r="C10036" s="32" t="s">
        <v>17418</v>
      </c>
      <c r="D10036" s="32"/>
      <c r="E10036" s="2">
        <v>1</v>
      </c>
      <c r="F10036" s="9">
        <v>2</v>
      </c>
      <c r="G10036" s="8">
        <f t="shared" si="328"/>
        <v>120.22499999999999</v>
      </c>
      <c r="H10036" s="16">
        <v>114.5</v>
      </c>
      <c r="I10036" s="19">
        <f t="shared" si="327"/>
        <v>240.45</v>
      </c>
    </row>
    <row r="10037" spans="1:9">
      <c r="A10037" s="78" t="s">
        <v>17346</v>
      </c>
      <c r="B10037" s="5">
        <v>123835</v>
      </c>
      <c r="C10037" s="32" t="s">
        <v>17419</v>
      </c>
      <c r="D10037" s="32"/>
      <c r="E10037" s="2">
        <v>1</v>
      </c>
      <c r="F10037" s="9">
        <v>2</v>
      </c>
      <c r="G10037" s="8">
        <f t="shared" si="328"/>
        <v>136.5</v>
      </c>
      <c r="H10037" s="16">
        <v>130</v>
      </c>
      <c r="I10037" s="19">
        <f t="shared" si="327"/>
        <v>273</v>
      </c>
    </row>
    <row r="10038" spans="1:9">
      <c r="A10038" s="78" t="s">
        <v>17346</v>
      </c>
      <c r="B10038" s="5">
        <v>183509</v>
      </c>
      <c r="C10038" s="32" t="s">
        <v>17420</v>
      </c>
      <c r="D10038" s="32"/>
      <c r="E10038" s="2">
        <v>1</v>
      </c>
      <c r="F10038" s="9">
        <v>1</v>
      </c>
      <c r="G10038" s="8">
        <f t="shared" si="328"/>
        <v>149.982</v>
      </c>
      <c r="H10038" s="16">
        <v>142.84</v>
      </c>
      <c r="I10038" s="19">
        <f t="shared" si="327"/>
        <v>149.982</v>
      </c>
    </row>
    <row r="10039" spans="1:9">
      <c r="A10039" s="78" t="s">
        <v>17346</v>
      </c>
      <c r="B10039" s="5">
        <v>183510</v>
      </c>
      <c r="C10039" s="32" t="s">
        <v>17421</v>
      </c>
      <c r="D10039" s="32"/>
      <c r="E10039" s="2">
        <v>1</v>
      </c>
      <c r="F10039" s="9">
        <v>1</v>
      </c>
      <c r="G10039" s="8">
        <f t="shared" si="328"/>
        <v>224.28</v>
      </c>
      <c r="H10039" s="16">
        <v>213.6</v>
      </c>
      <c r="I10039" s="19">
        <f t="shared" si="327"/>
        <v>224.28</v>
      </c>
    </row>
    <row r="10040" spans="1:9">
      <c r="A10040" s="78" t="s">
        <v>17346</v>
      </c>
      <c r="B10040" s="5">
        <v>330896</v>
      </c>
      <c r="C10040" s="32" t="s">
        <v>17422</v>
      </c>
      <c r="D10040" s="32"/>
      <c r="E10040" s="2">
        <v>1</v>
      </c>
      <c r="F10040" s="9">
        <v>3</v>
      </c>
      <c r="G10040" s="8">
        <f t="shared" si="328"/>
        <v>195.3</v>
      </c>
      <c r="H10040" s="16">
        <v>186</v>
      </c>
      <c r="I10040" s="19">
        <f t="shared" si="327"/>
        <v>585.90000000000009</v>
      </c>
    </row>
    <row r="10041" spans="1:9">
      <c r="A10041" s="78" t="s">
        <v>17346</v>
      </c>
      <c r="B10041" s="5">
        <v>564453</v>
      </c>
      <c r="C10041" s="32" t="s">
        <v>17423</v>
      </c>
      <c r="D10041" s="32"/>
      <c r="E10041" s="2">
        <v>1</v>
      </c>
      <c r="F10041" s="9">
        <v>18</v>
      </c>
      <c r="G10041" s="8">
        <f t="shared" si="328"/>
        <v>36.697500000000005</v>
      </c>
      <c r="H10041" s="16">
        <v>34.950000000000003</v>
      </c>
      <c r="I10041" s="19">
        <f t="shared" si="327"/>
        <v>660.55500000000006</v>
      </c>
    </row>
    <row r="10042" spans="1:9">
      <c r="A10042" s="78" t="s">
        <v>17346</v>
      </c>
      <c r="B10042" s="5">
        <v>564611</v>
      </c>
      <c r="C10042" s="32" t="s">
        <v>17424</v>
      </c>
      <c r="D10042" s="32"/>
      <c r="E10042" s="2">
        <v>1</v>
      </c>
      <c r="F10042" s="9">
        <v>7</v>
      </c>
      <c r="G10042" s="8">
        <f t="shared" si="328"/>
        <v>51.922499999999999</v>
      </c>
      <c r="H10042" s="16">
        <v>49.45</v>
      </c>
      <c r="I10042" s="19">
        <f t="shared" si="327"/>
        <v>363.45749999999998</v>
      </c>
    </row>
    <row r="10043" spans="1:9">
      <c r="A10043" s="78" t="s">
        <v>17346</v>
      </c>
      <c r="B10043" s="5">
        <v>188599</v>
      </c>
      <c r="C10043" s="32" t="s">
        <v>17425</v>
      </c>
      <c r="D10043" s="32"/>
      <c r="E10043" s="2">
        <v>1</v>
      </c>
      <c r="F10043" s="9">
        <v>1</v>
      </c>
      <c r="G10043" s="8">
        <f t="shared" si="328"/>
        <v>458.48249999999996</v>
      </c>
      <c r="H10043" s="16">
        <v>436.65</v>
      </c>
      <c r="I10043" s="19">
        <f t="shared" si="327"/>
        <v>458.48249999999996</v>
      </c>
    </row>
    <row r="10044" spans="1:9">
      <c r="A10044" s="78" t="s">
        <v>17346</v>
      </c>
      <c r="B10044" s="5" t="s">
        <v>17426</v>
      </c>
      <c r="C10044" s="32" t="s">
        <v>17427</v>
      </c>
      <c r="D10044" s="32"/>
      <c r="E10044" s="2">
        <v>1</v>
      </c>
      <c r="F10044" s="9">
        <v>1</v>
      </c>
      <c r="G10044" s="8">
        <f t="shared" si="328"/>
        <v>1759.8</v>
      </c>
      <c r="H10044" s="16">
        <v>1676</v>
      </c>
      <c r="I10044" s="19">
        <f t="shared" si="327"/>
        <v>1759.8</v>
      </c>
    </row>
    <row r="10045" spans="1:9" hidden="1">
      <c r="A10045" s="94" t="s">
        <v>17428</v>
      </c>
      <c r="B10045" s="5"/>
      <c r="C10045" s="32" t="s">
        <v>17429</v>
      </c>
      <c r="D10045" s="32"/>
      <c r="E10045" s="2">
        <v>1</v>
      </c>
      <c r="F10045" s="9"/>
      <c r="G10045" s="8"/>
      <c r="H10045" s="16">
        <v>391.74</v>
      </c>
      <c r="I10045" s="19">
        <f t="shared" ref="I10045:I10068" si="329">F10045*H10045</f>
        <v>0</v>
      </c>
    </row>
    <row r="10046" spans="1:9" hidden="1">
      <c r="A10046" s="88" t="s">
        <v>17430</v>
      </c>
      <c r="B10046" s="5">
        <v>41203</v>
      </c>
      <c r="C10046" s="2" t="s">
        <v>17431</v>
      </c>
      <c r="D10046" s="32"/>
      <c r="E10046" s="2">
        <v>1</v>
      </c>
      <c r="F10046" s="9"/>
      <c r="G10046" s="8"/>
      <c r="H10046" s="16">
        <v>2.33</v>
      </c>
      <c r="I10046" s="19">
        <f t="shared" si="329"/>
        <v>0</v>
      </c>
    </row>
    <row r="10047" spans="1:9" hidden="1">
      <c r="A10047" s="88" t="s">
        <v>17430</v>
      </c>
      <c r="B10047" s="5">
        <v>125300</v>
      </c>
      <c r="C10047" s="2" t="s">
        <v>17432</v>
      </c>
      <c r="D10047" s="32"/>
      <c r="E10047" s="2">
        <v>1</v>
      </c>
      <c r="F10047" s="9"/>
      <c r="G10047" s="8"/>
      <c r="H10047" s="16">
        <v>30.52</v>
      </c>
      <c r="I10047" s="19">
        <f t="shared" si="329"/>
        <v>0</v>
      </c>
    </row>
    <row r="10048" spans="1:9" hidden="1">
      <c r="A10048" s="88" t="s">
        <v>17430</v>
      </c>
      <c r="B10048" s="5">
        <v>25302</v>
      </c>
      <c r="C10048" s="2" t="s">
        <v>17433</v>
      </c>
      <c r="D10048" s="32"/>
      <c r="E10048" s="2">
        <v>1</v>
      </c>
      <c r="F10048" s="9"/>
      <c r="G10048" s="8"/>
      <c r="H10048" s="16">
        <v>21.16</v>
      </c>
      <c r="I10048" s="19">
        <f t="shared" si="329"/>
        <v>0</v>
      </c>
    </row>
    <row r="10049" spans="1:9" hidden="1">
      <c r="A10049" s="88" t="s">
        <v>17430</v>
      </c>
      <c r="B10049" s="5">
        <v>25202</v>
      </c>
      <c r="C10049" s="2" t="s">
        <v>17434</v>
      </c>
      <c r="D10049" s="32"/>
      <c r="E10049" s="2">
        <v>1</v>
      </c>
      <c r="F10049" s="9"/>
      <c r="G10049" s="8"/>
      <c r="H10049" s="16">
        <v>6.19</v>
      </c>
      <c r="I10049" s="19">
        <f t="shared" si="329"/>
        <v>0</v>
      </c>
    </row>
    <row r="10050" spans="1:9" hidden="1">
      <c r="A10050" s="84" t="s">
        <v>17435</v>
      </c>
      <c r="B10050" s="105" t="s">
        <v>17436</v>
      </c>
      <c r="C10050" s="2" t="s">
        <v>17437</v>
      </c>
      <c r="D10050" s="32"/>
      <c r="E10050" s="2">
        <v>1</v>
      </c>
      <c r="F10050" s="9"/>
      <c r="G10050" s="8"/>
      <c r="H10050" s="16">
        <v>1.6</v>
      </c>
      <c r="I10050" s="19">
        <f t="shared" si="329"/>
        <v>0</v>
      </c>
    </row>
    <row r="10051" spans="1:9" hidden="1">
      <c r="A10051" s="84" t="s">
        <v>17435</v>
      </c>
      <c r="B10051" s="46" t="s">
        <v>17438</v>
      </c>
      <c r="C10051" s="2" t="s">
        <v>17439</v>
      </c>
      <c r="D10051" s="32"/>
      <c r="E10051" s="2">
        <v>1</v>
      </c>
      <c r="F10051" s="9"/>
      <c r="G10051" s="8"/>
      <c r="H10051" s="16">
        <v>1.97</v>
      </c>
      <c r="I10051" s="19">
        <f t="shared" si="329"/>
        <v>0</v>
      </c>
    </row>
    <row r="10052" spans="1:9" hidden="1">
      <c r="A10052" s="84" t="s">
        <v>17435</v>
      </c>
      <c r="B10052" s="46" t="s">
        <v>17440</v>
      </c>
      <c r="C10052" s="2" t="s">
        <v>17441</v>
      </c>
      <c r="D10052" s="32"/>
      <c r="E10052" s="2">
        <v>1</v>
      </c>
      <c r="F10052" s="9"/>
      <c r="G10052" s="8"/>
      <c r="H10052" s="16">
        <v>5.65</v>
      </c>
      <c r="I10052" s="19">
        <f t="shared" si="329"/>
        <v>0</v>
      </c>
    </row>
    <row r="10053" spans="1:9" hidden="1">
      <c r="A10053" s="84" t="s">
        <v>17435</v>
      </c>
      <c r="B10053" s="46" t="s">
        <v>17442</v>
      </c>
      <c r="C10053" s="2" t="s">
        <v>17443</v>
      </c>
      <c r="D10053" s="32"/>
      <c r="E10053" s="2">
        <v>1</v>
      </c>
      <c r="F10053" s="9"/>
      <c r="G10053" s="8"/>
      <c r="H10053" s="16">
        <v>4.99</v>
      </c>
      <c r="I10053" s="19">
        <f t="shared" si="329"/>
        <v>0</v>
      </c>
    </row>
    <row r="10054" spans="1:9" hidden="1">
      <c r="A10054" s="84" t="s">
        <v>17435</v>
      </c>
      <c r="B10054" s="46" t="s">
        <v>17444</v>
      </c>
      <c r="C10054" s="2" t="s">
        <v>17445</v>
      </c>
      <c r="D10054" s="32"/>
      <c r="E10054" s="2">
        <v>1</v>
      </c>
      <c r="F10054" s="9"/>
      <c r="G10054" s="8"/>
      <c r="H10054" s="16">
        <v>0.51</v>
      </c>
      <c r="I10054" s="19">
        <f t="shared" si="329"/>
        <v>0</v>
      </c>
    </row>
    <row r="10055" spans="1:9" hidden="1">
      <c r="A10055" s="84" t="s">
        <v>17435</v>
      </c>
      <c r="B10055" s="46" t="s">
        <v>17446</v>
      </c>
      <c r="C10055" s="2" t="s">
        <v>17447</v>
      </c>
      <c r="D10055" s="32"/>
      <c r="E10055" s="2">
        <v>1</v>
      </c>
      <c r="F10055" s="9"/>
      <c r="G10055" s="8"/>
      <c r="H10055" s="16">
        <v>0.88</v>
      </c>
      <c r="I10055" s="19">
        <f t="shared" si="329"/>
        <v>0</v>
      </c>
    </row>
    <row r="10056" spans="1:9" hidden="1">
      <c r="A10056" s="84" t="s">
        <v>17435</v>
      </c>
      <c r="B10056" s="46" t="s">
        <v>17448</v>
      </c>
      <c r="C10056" s="2" t="s">
        <v>17449</v>
      </c>
      <c r="D10056" s="32"/>
      <c r="E10056" s="2">
        <v>1</v>
      </c>
      <c r="F10056" s="9"/>
      <c r="G10056" s="8"/>
      <c r="H10056" s="16">
        <v>15.05</v>
      </c>
      <c r="I10056" s="19">
        <f t="shared" si="329"/>
        <v>0</v>
      </c>
    </row>
    <row r="10057" spans="1:9" hidden="1">
      <c r="A10057" s="84" t="s">
        <v>17435</v>
      </c>
      <c r="B10057" s="46" t="s">
        <v>17450</v>
      </c>
      <c r="C10057" s="2" t="s">
        <v>17451</v>
      </c>
      <c r="D10057" s="32"/>
      <c r="E10057" s="2">
        <v>1</v>
      </c>
      <c r="F10057" s="9"/>
      <c r="G10057" s="8"/>
      <c r="H10057" s="16">
        <v>4</v>
      </c>
      <c r="I10057" s="19">
        <f t="shared" si="329"/>
        <v>0</v>
      </c>
    </row>
    <row r="10058" spans="1:9" hidden="1">
      <c r="A10058" s="84" t="s">
        <v>17435</v>
      </c>
      <c r="B10058" s="46" t="s">
        <v>17452</v>
      </c>
      <c r="C10058" s="2" t="s">
        <v>17453</v>
      </c>
      <c r="D10058" s="32"/>
      <c r="E10058" s="2">
        <v>1</v>
      </c>
      <c r="F10058" s="9"/>
      <c r="G10058" s="8"/>
      <c r="H10058" s="16">
        <v>6.7</v>
      </c>
      <c r="I10058" s="19">
        <f t="shared" si="329"/>
        <v>0</v>
      </c>
    </row>
    <row r="10059" spans="1:9" hidden="1">
      <c r="A10059" s="84" t="s">
        <v>17435</v>
      </c>
      <c r="B10059" s="46" t="s">
        <v>17454</v>
      </c>
      <c r="C10059" s="2" t="s">
        <v>17455</v>
      </c>
      <c r="D10059" s="32"/>
      <c r="E10059" s="2">
        <v>1</v>
      </c>
      <c r="F10059" s="9"/>
      <c r="G10059" s="8"/>
      <c r="H10059" s="16">
        <v>6.8</v>
      </c>
      <c r="I10059" s="19">
        <f t="shared" si="329"/>
        <v>0</v>
      </c>
    </row>
    <row r="10060" spans="1:9" hidden="1">
      <c r="A10060" s="84" t="s">
        <v>17435</v>
      </c>
      <c r="B10060" s="46" t="s">
        <v>17456</v>
      </c>
      <c r="C10060" s="2" t="s">
        <v>17457</v>
      </c>
      <c r="D10060" s="32"/>
      <c r="E10060" s="2">
        <v>1</v>
      </c>
      <c r="F10060" s="9"/>
      <c r="G10060" s="8"/>
      <c r="H10060" s="16">
        <v>4.5</v>
      </c>
      <c r="I10060" s="19">
        <f t="shared" si="329"/>
        <v>0</v>
      </c>
    </row>
    <row r="10061" spans="1:9" hidden="1">
      <c r="A10061" s="84" t="s">
        <v>17435</v>
      </c>
      <c r="B10061" s="46" t="s">
        <v>17458</v>
      </c>
      <c r="C10061" s="2" t="s">
        <v>17459</v>
      </c>
      <c r="D10061" s="32"/>
      <c r="E10061" s="2">
        <v>1</v>
      </c>
      <c r="F10061" s="9"/>
      <c r="G10061" s="8"/>
      <c r="H10061" s="16">
        <v>4.6399999999999997</v>
      </c>
      <c r="I10061" s="19">
        <f t="shared" si="329"/>
        <v>0</v>
      </c>
    </row>
    <row r="10062" spans="1:9" hidden="1">
      <c r="A10062" s="84" t="s">
        <v>17435</v>
      </c>
      <c r="B10062" s="46" t="s">
        <v>17460</v>
      </c>
      <c r="C10062" s="2" t="s">
        <v>17461</v>
      </c>
      <c r="D10062" s="32"/>
      <c r="E10062" s="2">
        <v>1</v>
      </c>
      <c r="F10062" s="9"/>
      <c r="G10062" s="8"/>
      <c r="H10062" s="16">
        <v>3.9</v>
      </c>
      <c r="I10062" s="19">
        <f t="shared" si="329"/>
        <v>0</v>
      </c>
    </row>
    <row r="10063" spans="1:9" hidden="1">
      <c r="A10063" s="84" t="s">
        <v>17435</v>
      </c>
      <c r="B10063" s="46" t="s">
        <v>17462</v>
      </c>
      <c r="C10063" s="2" t="s">
        <v>17463</v>
      </c>
      <c r="D10063" s="32"/>
      <c r="E10063" s="2">
        <v>1</v>
      </c>
      <c r="F10063" s="9"/>
      <c r="G10063" s="8"/>
      <c r="H10063" s="16">
        <v>12.3</v>
      </c>
      <c r="I10063" s="19">
        <f t="shared" si="329"/>
        <v>0</v>
      </c>
    </row>
    <row r="10064" spans="1:9" hidden="1">
      <c r="A10064" s="84" t="s">
        <v>17435</v>
      </c>
      <c r="B10064" s="46" t="s">
        <v>17464</v>
      </c>
      <c r="C10064" s="2" t="s">
        <v>17465</v>
      </c>
      <c r="D10064" s="32"/>
      <c r="E10064" s="2">
        <v>1</v>
      </c>
      <c r="F10064" s="9"/>
      <c r="G10064" s="8"/>
      <c r="H10064" s="16">
        <v>38</v>
      </c>
      <c r="I10064" s="19">
        <f t="shared" si="329"/>
        <v>0</v>
      </c>
    </row>
    <row r="10065" spans="1:9" hidden="1">
      <c r="A10065" s="84" t="s">
        <v>17435</v>
      </c>
      <c r="B10065" s="46" t="s">
        <v>17466</v>
      </c>
      <c r="C10065" s="2" t="s">
        <v>17467</v>
      </c>
      <c r="D10065" s="32"/>
      <c r="E10065" s="2">
        <v>1</v>
      </c>
      <c r="F10065" s="9"/>
      <c r="G10065" s="8"/>
      <c r="H10065" s="16">
        <v>26.4</v>
      </c>
      <c r="I10065" s="19">
        <f t="shared" si="329"/>
        <v>0</v>
      </c>
    </row>
    <row r="10066" spans="1:9" hidden="1">
      <c r="A10066" s="84" t="s">
        <v>17435</v>
      </c>
      <c r="B10066" s="46" t="s">
        <v>17468</v>
      </c>
      <c r="C10066" s="2" t="s">
        <v>17469</v>
      </c>
      <c r="D10066" s="32"/>
      <c r="E10066" s="2">
        <v>1</v>
      </c>
      <c r="F10066" s="9"/>
      <c r="G10066" s="8"/>
      <c r="H10066" s="16">
        <v>50.2</v>
      </c>
      <c r="I10066" s="19">
        <f t="shared" si="329"/>
        <v>0</v>
      </c>
    </row>
    <row r="10067" spans="1:9" hidden="1">
      <c r="A10067" s="84" t="s">
        <v>17435</v>
      </c>
      <c r="B10067" s="46" t="s">
        <v>17470</v>
      </c>
      <c r="C10067" s="2" t="s">
        <v>17471</v>
      </c>
      <c r="D10067" s="32"/>
      <c r="E10067" s="2">
        <v>1</v>
      </c>
      <c r="F10067" s="9"/>
      <c r="G10067" s="8"/>
      <c r="H10067" s="16">
        <v>47</v>
      </c>
      <c r="I10067" s="19">
        <f t="shared" si="329"/>
        <v>0</v>
      </c>
    </row>
    <row r="10068" spans="1:9" hidden="1">
      <c r="A10068" s="84" t="s">
        <v>17435</v>
      </c>
      <c r="B10068" s="46" t="s">
        <v>17472</v>
      </c>
      <c r="C10068" s="2" t="s">
        <v>17473</v>
      </c>
      <c r="D10068" s="32"/>
      <c r="E10068" s="2">
        <v>1</v>
      </c>
      <c r="F10068" s="9"/>
      <c r="G10068" s="8"/>
      <c r="H10068" s="16">
        <v>45.8</v>
      </c>
      <c r="I10068" s="19">
        <f t="shared" si="329"/>
        <v>0</v>
      </c>
    </row>
    <row r="10069" spans="1:9" hidden="1">
      <c r="A10069" s="82" t="s">
        <v>17474</v>
      </c>
      <c r="B10069" s="5">
        <v>118726</v>
      </c>
      <c r="C10069" s="2" t="s">
        <v>17475</v>
      </c>
      <c r="D10069" s="32"/>
      <c r="E10069" s="2">
        <v>1</v>
      </c>
      <c r="F10069" s="9"/>
      <c r="G10069" s="8">
        <f t="shared" ref="G10069:G10112" si="330">H10069+(H10069*5%)</f>
        <v>42.146999999999998</v>
      </c>
      <c r="H10069" s="16">
        <v>40.14</v>
      </c>
      <c r="I10069" s="19">
        <f t="shared" ref="I10069:I10112" si="331">G10069*F10069</f>
        <v>0</v>
      </c>
    </row>
    <row r="10070" spans="1:9" hidden="1">
      <c r="A10070" s="82" t="s">
        <v>17474</v>
      </c>
      <c r="B10070" s="5">
        <v>76074</v>
      </c>
      <c r="C10070" s="2" t="s">
        <v>17476</v>
      </c>
      <c r="D10070" s="32"/>
      <c r="E10070" s="2">
        <v>1</v>
      </c>
      <c r="F10070" s="9"/>
      <c r="G10070" s="8">
        <f t="shared" si="330"/>
        <v>43.05</v>
      </c>
      <c r="H10070" s="16">
        <v>41</v>
      </c>
      <c r="I10070" s="19">
        <f t="shared" si="331"/>
        <v>0</v>
      </c>
    </row>
    <row r="10071" spans="1:9">
      <c r="A10071" s="82" t="s">
        <v>17474</v>
      </c>
      <c r="B10071" s="5">
        <v>1184</v>
      </c>
      <c r="C10071" s="2" t="s">
        <v>17477</v>
      </c>
      <c r="D10071" s="32"/>
      <c r="E10071" s="2">
        <v>1</v>
      </c>
      <c r="F10071" s="9">
        <v>3</v>
      </c>
      <c r="G10071" s="8">
        <f t="shared" si="330"/>
        <v>77.048999999999992</v>
      </c>
      <c r="H10071" s="16">
        <v>73.38</v>
      </c>
      <c r="I10071" s="19">
        <f t="shared" si="331"/>
        <v>231.14699999999999</v>
      </c>
    </row>
    <row r="10072" spans="1:9" hidden="1">
      <c r="A10072" s="82" t="s">
        <v>17474</v>
      </c>
      <c r="B10072" s="5">
        <v>101966</v>
      </c>
      <c r="C10072" s="2" t="s">
        <v>17478</v>
      </c>
      <c r="D10072" s="32"/>
      <c r="E10072" s="2">
        <v>1</v>
      </c>
      <c r="F10072" s="9"/>
      <c r="G10072" s="8">
        <f>H10072+(H10072*5%)</f>
        <v>42.136500000000005</v>
      </c>
      <c r="H10072" s="16">
        <v>40.130000000000003</v>
      </c>
      <c r="I10072" s="19">
        <f>G10072*F10072</f>
        <v>0</v>
      </c>
    </row>
    <row r="10073" spans="1:9" hidden="1">
      <c r="A10073" s="82" t="s">
        <v>17474</v>
      </c>
      <c r="B10073" s="5">
        <v>118726</v>
      </c>
      <c r="C10073" s="2" t="s">
        <v>17479</v>
      </c>
      <c r="D10073" s="32"/>
      <c r="E10073" s="2">
        <v>1</v>
      </c>
      <c r="F10073" s="9"/>
      <c r="G10073" s="8">
        <f>H10073+(H10073*5%)</f>
        <v>42.136500000000005</v>
      </c>
      <c r="H10073" s="16">
        <v>40.130000000000003</v>
      </c>
      <c r="I10073" s="19">
        <f>G10073*F10073</f>
        <v>0</v>
      </c>
    </row>
    <row r="10074" spans="1:9">
      <c r="A10074" s="82" t="s">
        <v>17474</v>
      </c>
      <c r="B10074" s="5">
        <v>227470</v>
      </c>
      <c r="C10074" s="2" t="s">
        <v>17480</v>
      </c>
      <c r="D10074" s="32"/>
      <c r="E10074" s="2">
        <v>1</v>
      </c>
      <c r="F10074" s="9">
        <v>18</v>
      </c>
      <c r="G10074" s="8">
        <f>H10074+(H10074*5%)</f>
        <v>42.136500000000005</v>
      </c>
      <c r="H10074" s="16">
        <v>40.130000000000003</v>
      </c>
      <c r="I10074" s="19">
        <f>G10074*F10074</f>
        <v>758.45700000000011</v>
      </c>
    </row>
    <row r="10075" spans="1:9" hidden="1">
      <c r="A10075" s="82" t="s">
        <v>17474</v>
      </c>
      <c r="B10075" s="5">
        <v>122419</v>
      </c>
      <c r="C10075" s="2" t="s">
        <v>17481</v>
      </c>
      <c r="D10075" s="32"/>
      <c r="E10075" s="2">
        <v>1</v>
      </c>
      <c r="F10075" s="9"/>
      <c r="G10075" s="8">
        <f t="shared" si="330"/>
        <v>29.494499999999999</v>
      </c>
      <c r="H10075" s="16">
        <v>28.09</v>
      </c>
      <c r="I10075" s="19">
        <f t="shared" si="331"/>
        <v>0</v>
      </c>
    </row>
    <row r="10076" spans="1:9" hidden="1">
      <c r="A10076" s="82" t="s">
        <v>17474</v>
      </c>
      <c r="B10076" s="5">
        <v>123539</v>
      </c>
      <c r="C10076" s="2" t="s">
        <v>17482</v>
      </c>
      <c r="D10076" s="32"/>
      <c r="E10076" s="2">
        <v>1</v>
      </c>
      <c r="F10076" s="9"/>
      <c r="G10076" s="8">
        <f t="shared" si="330"/>
        <v>29.494499999999999</v>
      </c>
      <c r="H10076" s="16">
        <v>28.09</v>
      </c>
      <c r="I10076" s="19">
        <f t="shared" si="331"/>
        <v>0</v>
      </c>
    </row>
    <row r="10077" spans="1:9" hidden="1">
      <c r="A10077" s="82" t="s">
        <v>17474</v>
      </c>
      <c r="B10077" s="5">
        <v>122459</v>
      </c>
      <c r="C10077" s="2" t="s">
        <v>17483</v>
      </c>
      <c r="D10077" s="32"/>
      <c r="E10077" s="2">
        <v>1</v>
      </c>
      <c r="F10077" s="9"/>
      <c r="G10077" s="8">
        <f t="shared" si="330"/>
        <v>31.909500000000001</v>
      </c>
      <c r="H10077" s="16">
        <v>30.39</v>
      </c>
      <c r="I10077" s="19">
        <f t="shared" si="331"/>
        <v>0</v>
      </c>
    </row>
    <row r="10078" spans="1:9">
      <c r="A10078" s="82" t="s">
        <v>17474</v>
      </c>
      <c r="B10078" s="5">
        <v>76091</v>
      </c>
      <c r="C10078" s="2" t="s">
        <v>17484</v>
      </c>
      <c r="D10078" s="32"/>
      <c r="E10078" s="2">
        <v>1</v>
      </c>
      <c r="F10078" s="9">
        <v>19</v>
      </c>
      <c r="G10078" s="8">
        <f>H10078+(H10078*5%)</f>
        <v>9.3450000000000006</v>
      </c>
      <c r="H10078" s="16">
        <v>8.9</v>
      </c>
      <c r="I10078" s="19">
        <f>G10078*F10078</f>
        <v>177.55500000000001</v>
      </c>
    </row>
    <row r="10079" spans="1:9">
      <c r="A10079" s="82" t="s">
        <v>17474</v>
      </c>
      <c r="B10079" s="5">
        <v>85053</v>
      </c>
      <c r="C10079" s="2" t="s">
        <v>17485</v>
      </c>
      <c r="D10079" s="32"/>
      <c r="E10079" s="2">
        <v>1</v>
      </c>
      <c r="F10079" s="9">
        <v>9</v>
      </c>
      <c r="G10079" s="8">
        <f>H10079+(H10079*5%)</f>
        <v>60.207000000000001</v>
      </c>
      <c r="H10079" s="16">
        <v>57.34</v>
      </c>
      <c r="I10079" s="19">
        <f>G10079*F10079</f>
        <v>541.86300000000006</v>
      </c>
    </row>
    <row r="10080" spans="1:9" hidden="1">
      <c r="A10080" s="82" t="s">
        <v>17474</v>
      </c>
      <c r="B10080" s="46" t="s">
        <v>17486</v>
      </c>
      <c r="C10080" s="2" t="s">
        <v>17487</v>
      </c>
      <c r="D10080" s="32"/>
      <c r="E10080" s="2">
        <v>1</v>
      </c>
      <c r="F10080" s="9"/>
      <c r="G10080" s="8">
        <f t="shared" si="330"/>
        <v>32.098500000000001</v>
      </c>
      <c r="H10080" s="16">
        <v>30.57</v>
      </c>
      <c r="I10080" s="19">
        <f t="shared" si="331"/>
        <v>0</v>
      </c>
    </row>
    <row r="10081" spans="1:9" hidden="1">
      <c r="A10081" s="82" t="s">
        <v>17474</v>
      </c>
      <c r="B10081" s="46" t="s">
        <v>17488</v>
      </c>
      <c r="C10081" s="2" t="s">
        <v>17489</v>
      </c>
      <c r="D10081" s="32"/>
      <c r="E10081" s="2">
        <v>1</v>
      </c>
      <c r="F10081" s="9"/>
      <c r="G10081" s="8">
        <f t="shared" si="330"/>
        <v>66.097499999999997</v>
      </c>
      <c r="H10081" s="16">
        <v>62.95</v>
      </c>
      <c r="I10081" s="19">
        <f t="shared" si="331"/>
        <v>0</v>
      </c>
    </row>
    <row r="10082" spans="1:9">
      <c r="A10082" s="82" t="s">
        <v>17474</v>
      </c>
      <c r="B10082" s="46">
        <v>114593</v>
      </c>
      <c r="C10082" s="2" t="s">
        <v>17490</v>
      </c>
      <c r="D10082" s="32"/>
      <c r="E10082" s="2">
        <v>1</v>
      </c>
      <c r="F10082" s="9">
        <v>4</v>
      </c>
      <c r="G10082" s="8">
        <f t="shared" si="330"/>
        <v>75.242999999999995</v>
      </c>
      <c r="H10082" s="16">
        <v>71.66</v>
      </c>
      <c r="I10082" s="19">
        <f t="shared" si="331"/>
        <v>300.97199999999998</v>
      </c>
    </row>
    <row r="10083" spans="1:9">
      <c r="A10083" s="82" t="s">
        <v>17474</v>
      </c>
      <c r="B10083" s="46">
        <v>103864</v>
      </c>
      <c r="C10083" s="2" t="s">
        <v>17491</v>
      </c>
      <c r="D10083" s="32"/>
      <c r="E10083" s="2">
        <v>1</v>
      </c>
      <c r="F10083" s="9">
        <v>9</v>
      </c>
      <c r="G10083" s="8">
        <f t="shared" si="330"/>
        <v>21.062999999999999</v>
      </c>
      <c r="H10083" s="16">
        <v>20.059999999999999</v>
      </c>
      <c r="I10083" s="19">
        <f t="shared" si="331"/>
        <v>189.56699999999998</v>
      </c>
    </row>
    <row r="10084" spans="1:9" hidden="1">
      <c r="A10084" s="82" t="s">
        <v>17474</v>
      </c>
      <c r="B10084" s="46">
        <v>141695</v>
      </c>
      <c r="C10084" s="2" t="s">
        <v>17492</v>
      </c>
      <c r="D10084" s="32"/>
      <c r="E10084" s="2">
        <v>1</v>
      </c>
      <c r="F10084" s="9"/>
      <c r="G10084" s="8">
        <f t="shared" si="330"/>
        <v>14.658000000000001</v>
      </c>
      <c r="H10084" s="16">
        <v>13.96</v>
      </c>
      <c r="I10084" s="19">
        <f t="shared" si="331"/>
        <v>0</v>
      </c>
    </row>
    <row r="10085" spans="1:9">
      <c r="A10085" s="82" t="s">
        <v>17474</v>
      </c>
      <c r="B10085" s="46" t="s">
        <v>17493</v>
      </c>
      <c r="C10085" s="2" t="s">
        <v>17494</v>
      </c>
      <c r="D10085" s="32"/>
      <c r="E10085" s="2">
        <v>1</v>
      </c>
      <c r="F10085" s="9">
        <v>6</v>
      </c>
      <c r="G10085" s="8">
        <f>H10085+(H10085*5%)</f>
        <v>14.658000000000001</v>
      </c>
      <c r="H10085" s="16">
        <v>13.96</v>
      </c>
      <c r="I10085" s="19">
        <f>G10085*F10085</f>
        <v>87.948000000000008</v>
      </c>
    </row>
    <row r="10086" spans="1:9">
      <c r="A10086" s="82" t="s">
        <v>17474</v>
      </c>
      <c r="B10086" s="46" t="s">
        <v>17495</v>
      </c>
      <c r="C10086" s="2" t="s">
        <v>17496</v>
      </c>
      <c r="D10086" s="32"/>
      <c r="E10086" s="2">
        <v>1</v>
      </c>
      <c r="F10086" s="9">
        <v>4</v>
      </c>
      <c r="G10086" s="8">
        <f t="shared" si="330"/>
        <v>58.506</v>
      </c>
      <c r="H10086" s="16">
        <v>55.72</v>
      </c>
      <c r="I10086" s="19">
        <f t="shared" si="331"/>
        <v>234.024</v>
      </c>
    </row>
    <row r="10087" spans="1:9">
      <c r="A10087" s="82" t="s">
        <v>17474</v>
      </c>
      <c r="B10087" s="46">
        <v>103249</v>
      </c>
      <c r="C10087" s="2" t="s">
        <v>17497</v>
      </c>
      <c r="D10087" s="32"/>
      <c r="E10087" s="2">
        <v>1</v>
      </c>
      <c r="F10087" s="9">
        <v>11</v>
      </c>
      <c r="G10087" s="8">
        <f t="shared" si="330"/>
        <v>37.600500000000004</v>
      </c>
      <c r="H10087" s="16">
        <v>35.81</v>
      </c>
      <c r="I10087" s="19">
        <f t="shared" si="331"/>
        <v>413.60550000000006</v>
      </c>
    </row>
    <row r="10088" spans="1:9">
      <c r="A10088" s="82" t="s">
        <v>17474</v>
      </c>
      <c r="B10088" s="46" t="s">
        <v>17498</v>
      </c>
      <c r="C10088" s="2" t="s">
        <v>17499</v>
      </c>
      <c r="D10088" s="32"/>
      <c r="E10088" s="2">
        <v>1</v>
      </c>
      <c r="F10088" s="9">
        <v>1</v>
      </c>
      <c r="G10088" s="8">
        <f t="shared" si="330"/>
        <v>32.161499999999997</v>
      </c>
      <c r="H10088" s="16">
        <v>30.63</v>
      </c>
      <c r="I10088" s="19">
        <f t="shared" si="331"/>
        <v>32.161499999999997</v>
      </c>
    </row>
    <row r="10089" spans="1:9">
      <c r="A10089" s="82" t="s">
        <v>17474</v>
      </c>
      <c r="B10089" s="46" t="s">
        <v>17500</v>
      </c>
      <c r="C10089" s="2" t="s">
        <v>17501</v>
      </c>
      <c r="D10089" s="32"/>
      <c r="E10089" s="2">
        <v>1</v>
      </c>
      <c r="F10089" s="9">
        <v>2</v>
      </c>
      <c r="G10089" s="8">
        <f t="shared" si="330"/>
        <v>455.96249999999998</v>
      </c>
      <c r="H10089" s="16">
        <v>434.25</v>
      </c>
      <c r="I10089" s="19">
        <f t="shared" si="331"/>
        <v>911.92499999999995</v>
      </c>
    </row>
    <row r="10090" spans="1:9">
      <c r="A10090" s="82" t="s">
        <v>17474</v>
      </c>
      <c r="B10090" s="46" t="s">
        <v>17502</v>
      </c>
      <c r="C10090" s="2" t="s">
        <v>17502</v>
      </c>
      <c r="D10090" s="32"/>
      <c r="E10090" s="2">
        <v>1</v>
      </c>
      <c r="F10090" s="9">
        <v>1</v>
      </c>
      <c r="G10090" s="8">
        <f t="shared" si="330"/>
        <v>79.61099999999999</v>
      </c>
      <c r="H10090" s="16">
        <v>75.819999999999993</v>
      </c>
      <c r="I10090" s="19">
        <f t="shared" si="331"/>
        <v>79.61099999999999</v>
      </c>
    </row>
    <row r="10091" spans="1:9">
      <c r="A10091" s="82" t="s">
        <v>17474</v>
      </c>
      <c r="B10091" s="46" t="s">
        <v>17503</v>
      </c>
      <c r="C10091" s="2" t="s">
        <v>17503</v>
      </c>
      <c r="D10091" s="32"/>
      <c r="E10091" s="2">
        <v>1</v>
      </c>
      <c r="F10091" s="9">
        <v>4</v>
      </c>
      <c r="G10091" s="8">
        <f t="shared" si="330"/>
        <v>82.635000000000005</v>
      </c>
      <c r="H10091" s="16">
        <v>78.7</v>
      </c>
      <c r="I10091" s="19">
        <f t="shared" si="331"/>
        <v>330.54</v>
      </c>
    </row>
    <row r="10092" spans="1:9">
      <c r="A10092" s="82" t="s">
        <v>17474</v>
      </c>
      <c r="B10092" s="46">
        <v>143485</v>
      </c>
      <c r="C10092" s="2" t="s">
        <v>17504</v>
      </c>
      <c r="D10092" s="32"/>
      <c r="E10092" s="2">
        <v>1</v>
      </c>
      <c r="F10092" s="9">
        <v>4</v>
      </c>
      <c r="G10092" s="8">
        <f t="shared" si="330"/>
        <v>38.786999999999999</v>
      </c>
      <c r="H10092" s="16">
        <v>36.94</v>
      </c>
      <c r="I10092" s="19">
        <f t="shared" si="331"/>
        <v>155.148</v>
      </c>
    </row>
    <row r="10093" spans="1:9" hidden="1">
      <c r="A10093" s="82" t="s">
        <v>17474</v>
      </c>
      <c r="B10093" s="46" t="s">
        <v>17505</v>
      </c>
      <c r="C10093" s="2" t="s">
        <v>17506</v>
      </c>
      <c r="D10093" s="32"/>
      <c r="E10093" s="2">
        <v>1</v>
      </c>
      <c r="F10093" s="9"/>
      <c r="G10093" s="8">
        <f t="shared" si="330"/>
        <v>140.238</v>
      </c>
      <c r="H10093" s="16">
        <v>133.56</v>
      </c>
      <c r="I10093" s="19">
        <f t="shared" si="331"/>
        <v>0</v>
      </c>
    </row>
    <row r="10094" spans="1:9">
      <c r="A10094" s="82" t="s">
        <v>17474</v>
      </c>
      <c r="B10094" s="46">
        <v>79834</v>
      </c>
      <c r="C10094" s="2" t="s">
        <v>17507</v>
      </c>
      <c r="D10094" s="32"/>
      <c r="E10094" s="2">
        <v>1</v>
      </c>
      <c r="F10094" s="9">
        <v>7</v>
      </c>
      <c r="G10094" s="8">
        <f t="shared" si="330"/>
        <v>0.76649999999999996</v>
      </c>
      <c r="H10094" s="16">
        <v>0.73</v>
      </c>
      <c r="I10094" s="19">
        <f t="shared" si="331"/>
        <v>5.3654999999999999</v>
      </c>
    </row>
    <row r="10095" spans="1:9">
      <c r="A10095" s="82" t="s">
        <v>17474</v>
      </c>
      <c r="B10095" s="46">
        <v>156972</v>
      </c>
      <c r="C10095" s="2" t="s">
        <v>17508</v>
      </c>
      <c r="D10095" s="32"/>
      <c r="E10095" s="2">
        <v>1</v>
      </c>
      <c r="F10095" s="9">
        <v>34</v>
      </c>
      <c r="G10095" s="8">
        <f t="shared" si="330"/>
        <v>0.29400000000000004</v>
      </c>
      <c r="H10095" s="16">
        <v>0.28000000000000003</v>
      </c>
      <c r="I10095" s="19">
        <f t="shared" si="331"/>
        <v>9.9960000000000022</v>
      </c>
    </row>
    <row r="10096" spans="1:9">
      <c r="A10096" s="82" t="s">
        <v>17474</v>
      </c>
      <c r="B10096" s="46">
        <v>82592</v>
      </c>
      <c r="C10096" s="2" t="s">
        <v>17509</v>
      </c>
      <c r="D10096" s="32"/>
      <c r="E10096" s="2">
        <v>1</v>
      </c>
      <c r="F10096" s="9">
        <v>20</v>
      </c>
      <c r="G10096" s="8">
        <f t="shared" si="330"/>
        <v>47.722500000000004</v>
      </c>
      <c r="H10096" s="16">
        <v>45.45</v>
      </c>
      <c r="I10096" s="19">
        <f t="shared" si="331"/>
        <v>954.45</v>
      </c>
    </row>
    <row r="10097" spans="1:9" hidden="1">
      <c r="A10097" s="82" t="s">
        <v>17474</v>
      </c>
      <c r="B10097" s="46">
        <v>1700017456</v>
      </c>
      <c r="C10097" s="2" t="s">
        <v>17510</v>
      </c>
      <c r="D10097" s="32"/>
      <c r="E10097" s="2">
        <v>1</v>
      </c>
      <c r="F10097" s="9"/>
      <c r="G10097" s="8">
        <f t="shared" si="330"/>
        <v>164.11500000000001</v>
      </c>
      <c r="H10097" s="16">
        <v>156.30000000000001</v>
      </c>
      <c r="I10097" s="19">
        <f t="shared" si="331"/>
        <v>0</v>
      </c>
    </row>
    <row r="10098" spans="1:9">
      <c r="A10098" s="82" t="s">
        <v>17474</v>
      </c>
      <c r="B10098" s="46">
        <v>141656</v>
      </c>
      <c r="C10098" s="2" t="s">
        <v>17511</v>
      </c>
      <c r="D10098" s="32"/>
      <c r="E10098" s="2">
        <v>1</v>
      </c>
      <c r="F10098" s="9">
        <v>3</v>
      </c>
      <c r="G10098" s="8">
        <f t="shared" si="330"/>
        <v>14.658000000000001</v>
      </c>
      <c r="H10098" s="16">
        <v>13.96</v>
      </c>
      <c r="I10098" s="19">
        <f t="shared" si="331"/>
        <v>43.974000000000004</v>
      </c>
    </row>
    <row r="10099" spans="1:9">
      <c r="A10099" s="82" t="s">
        <v>17474</v>
      </c>
      <c r="B10099" s="5">
        <v>141695</v>
      </c>
      <c r="C10099" s="2" t="s">
        <v>17512</v>
      </c>
      <c r="D10099" s="32"/>
      <c r="E10099" s="2">
        <v>1</v>
      </c>
      <c r="F10099" s="9">
        <v>3</v>
      </c>
      <c r="G10099" s="8">
        <f>H10099+(H10099*5%)</f>
        <v>14.658000000000001</v>
      </c>
      <c r="H10099" s="16">
        <v>13.96</v>
      </c>
      <c r="I10099" s="19">
        <f>G10099*F10099</f>
        <v>43.974000000000004</v>
      </c>
    </row>
    <row r="10100" spans="1:9">
      <c r="A10100" s="82" t="s">
        <v>17474</v>
      </c>
      <c r="B10100" s="5">
        <v>260153</v>
      </c>
      <c r="C10100" s="2" t="s">
        <v>17513</v>
      </c>
      <c r="D10100" s="32"/>
      <c r="E10100" s="2">
        <v>1</v>
      </c>
      <c r="F10100" s="9">
        <v>2</v>
      </c>
      <c r="G10100" s="8">
        <f>H10100+(H10100*5%)</f>
        <v>14.658000000000001</v>
      </c>
      <c r="H10100" s="16">
        <v>13.96</v>
      </c>
      <c r="I10100" s="19">
        <f>G10100*F10100</f>
        <v>29.316000000000003</v>
      </c>
    </row>
    <row r="10101" spans="1:9">
      <c r="A10101" s="82" t="s">
        <v>17474</v>
      </c>
      <c r="B10101" s="46">
        <v>102166</v>
      </c>
      <c r="C10101" s="2" t="s">
        <v>17514</v>
      </c>
      <c r="D10101" s="32"/>
      <c r="E10101" s="2">
        <v>1</v>
      </c>
      <c r="F10101" s="9">
        <f>6+5</f>
        <v>11</v>
      </c>
      <c r="G10101" s="8">
        <f t="shared" si="330"/>
        <v>37.600500000000004</v>
      </c>
      <c r="H10101" s="16">
        <v>35.81</v>
      </c>
      <c r="I10101" s="19">
        <f t="shared" si="331"/>
        <v>413.60550000000006</v>
      </c>
    </row>
    <row r="10102" spans="1:9">
      <c r="A10102" s="82" t="s">
        <v>17474</v>
      </c>
      <c r="B10102" s="5">
        <v>103252</v>
      </c>
      <c r="C10102" s="194" t="s">
        <v>17515</v>
      </c>
      <c r="D10102" s="32"/>
      <c r="E10102" s="2">
        <v>1</v>
      </c>
      <c r="F10102" s="9">
        <v>1</v>
      </c>
      <c r="G10102" s="8">
        <f>H10102+(H10102*5%)</f>
        <v>34.019999999999996</v>
      </c>
      <c r="H10102" s="16">
        <v>32.4</v>
      </c>
      <c r="I10102" s="19">
        <f>G10102*F10102</f>
        <v>34.019999999999996</v>
      </c>
    </row>
    <row r="10103" spans="1:9">
      <c r="A10103" s="82" t="s">
        <v>17474</v>
      </c>
      <c r="B10103" s="46" t="s">
        <v>17500</v>
      </c>
      <c r="C10103" s="2" t="s">
        <v>17516</v>
      </c>
      <c r="D10103" s="32"/>
      <c r="E10103" s="2">
        <v>1</v>
      </c>
      <c r="F10103" s="9">
        <v>23</v>
      </c>
      <c r="G10103" s="8">
        <f t="shared" si="330"/>
        <v>466.46249999999998</v>
      </c>
      <c r="H10103" s="16">
        <v>444.25</v>
      </c>
      <c r="I10103" s="19">
        <f t="shared" si="331"/>
        <v>10728.637499999999</v>
      </c>
    </row>
    <row r="10104" spans="1:9" hidden="1">
      <c r="A10104" s="82" t="s">
        <v>17474</v>
      </c>
      <c r="B10104" s="46" t="s">
        <v>17517</v>
      </c>
      <c r="C10104" s="2" t="s">
        <v>17518</v>
      </c>
      <c r="D10104" s="32"/>
      <c r="E10104" s="2">
        <v>1</v>
      </c>
      <c r="F10104" s="9"/>
      <c r="G10104" s="8">
        <f t="shared" si="330"/>
        <v>444.16050000000001</v>
      </c>
      <c r="H10104" s="16">
        <v>423.01</v>
      </c>
      <c r="I10104" s="19">
        <f t="shared" si="331"/>
        <v>0</v>
      </c>
    </row>
    <row r="10105" spans="1:9" hidden="1">
      <c r="A10105" s="82" t="s">
        <v>17474</v>
      </c>
      <c r="B10105" s="46" t="s">
        <v>17517</v>
      </c>
      <c r="C10105" s="2" t="s">
        <v>17519</v>
      </c>
      <c r="D10105" s="32"/>
      <c r="E10105" s="2">
        <v>1</v>
      </c>
      <c r="F10105" s="9"/>
      <c r="G10105" s="8">
        <f t="shared" si="330"/>
        <v>444.16050000000001</v>
      </c>
      <c r="H10105" s="16">
        <v>423.01</v>
      </c>
      <c r="I10105" s="19">
        <f t="shared" si="331"/>
        <v>0</v>
      </c>
    </row>
    <row r="10106" spans="1:9" hidden="1">
      <c r="A10106" s="82" t="s">
        <v>17474</v>
      </c>
      <c r="B10106" s="46" t="s">
        <v>17517</v>
      </c>
      <c r="C10106" s="2" t="s">
        <v>17520</v>
      </c>
      <c r="D10106" s="32"/>
      <c r="E10106" s="2">
        <v>1</v>
      </c>
      <c r="F10106" s="9"/>
      <c r="G10106" s="8">
        <f t="shared" si="330"/>
        <v>454.66050000000001</v>
      </c>
      <c r="H10106" s="16">
        <v>433.01</v>
      </c>
      <c r="I10106" s="19">
        <f t="shared" si="331"/>
        <v>0</v>
      </c>
    </row>
    <row r="10107" spans="1:9" hidden="1">
      <c r="A10107" s="82" t="s">
        <v>17474</v>
      </c>
      <c r="B10107" s="46" t="s">
        <v>17521</v>
      </c>
      <c r="C10107" s="2" t="s">
        <v>17522</v>
      </c>
      <c r="D10107" s="32"/>
      <c r="E10107" s="2">
        <v>1</v>
      </c>
      <c r="F10107" s="9"/>
      <c r="G10107" s="8">
        <f t="shared" si="330"/>
        <v>455.96249999999998</v>
      </c>
      <c r="H10107" s="16">
        <v>434.25</v>
      </c>
      <c r="I10107" s="19">
        <f t="shared" si="331"/>
        <v>0</v>
      </c>
    </row>
    <row r="10108" spans="1:9">
      <c r="A10108" s="82" t="s">
        <v>17474</v>
      </c>
      <c r="B10108" s="46" t="s">
        <v>17521</v>
      </c>
      <c r="C10108" s="2" t="s">
        <v>17523</v>
      </c>
      <c r="D10108" s="32"/>
      <c r="E10108" s="2">
        <v>1</v>
      </c>
      <c r="F10108" s="9">
        <v>7</v>
      </c>
      <c r="G10108" s="8">
        <f t="shared" si="330"/>
        <v>455.96249999999998</v>
      </c>
      <c r="H10108" s="16">
        <v>434.25</v>
      </c>
      <c r="I10108" s="19">
        <f>G10108*F10108</f>
        <v>3191.7374999999997</v>
      </c>
    </row>
    <row r="10109" spans="1:9" hidden="1">
      <c r="A10109" s="82" t="s">
        <v>17474</v>
      </c>
      <c r="B10109" s="46" t="s">
        <v>17521</v>
      </c>
      <c r="C10109" s="2" t="s">
        <v>17524</v>
      </c>
      <c r="D10109" s="32"/>
      <c r="E10109" s="2">
        <v>1</v>
      </c>
      <c r="F10109" s="9"/>
      <c r="G10109" s="8">
        <f t="shared" si="330"/>
        <v>466.46249999999998</v>
      </c>
      <c r="H10109" s="16">
        <v>444.25</v>
      </c>
      <c r="I10109" s="19">
        <f t="shared" si="331"/>
        <v>0</v>
      </c>
    </row>
    <row r="10110" spans="1:9">
      <c r="A10110" s="82" t="s">
        <v>17474</v>
      </c>
      <c r="B10110" s="5">
        <v>80976</v>
      </c>
      <c r="C10110" s="2" t="s">
        <v>17525</v>
      </c>
      <c r="D10110" s="32"/>
      <c r="E10110" s="2">
        <v>1</v>
      </c>
      <c r="F10110" s="9">
        <v>2</v>
      </c>
      <c r="G10110" s="8">
        <f t="shared" si="330"/>
        <v>66.213000000000008</v>
      </c>
      <c r="H10110" s="16">
        <v>63.06</v>
      </c>
      <c r="I10110" s="19">
        <f t="shared" si="331"/>
        <v>132.42600000000002</v>
      </c>
    </row>
    <row r="10111" spans="1:9">
      <c r="A10111" s="82" t="s">
        <v>17474</v>
      </c>
      <c r="B10111" s="46" t="s">
        <v>17526</v>
      </c>
      <c r="C10111" s="2" t="s">
        <v>17526</v>
      </c>
      <c r="D10111" s="32"/>
      <c r="E10111" s="2">
        <v>1</v>
      </c>
      <c r="F10111" s="9">
        <v>2</v>
      </c>
      <c r="G10111" s="8">
        <f t="shared" si="330"/>
        <v>38.913000000000004</v>
      </c>
      <c r="H10111" s="16">
        <v>37.06</v>
      </c>
      <c r="I10111" s="19">
        <f t="shared" si="331"/>
        <v>77.826000000000008</v>
      </c>
    </row>
    <row r="10112" spans="1:9">
      <c r="A10112" s="82" t="s">
        <v>17474</v>
      </c>
      <c r="B10112" s="46" t="s">
        <v>17527</v>
      </c>
      <c r="C10112" s="2" t="s">
        <v>17527</v>
      </c>
      <c r="D10112" s="32"/>
      <c r="E10112" s="2">
        <v>1</v>
      </c>
      <c r="F10112" s="9">
        <v>1</v>
      </c>
      <c r="G10112" s="8">
        <f t="shared" si="330"/>
        <v>14.721</v>
      </c>
      <c r="H10112" s="16">
        <v>14.02</v>
      </c>
      <c r="I10112" s="19">
        <f t="shared" si="331"/>
        <v>14.721</v>
      </c>
    </row>
    <row r="10113" spans="1:9" hidden="1">
      <c r="A10113" s="82" t="s">
        <v>17474</v>
      </c>
      <c r="B10113" s="46" t="s">
        <v>17528</v>
      </c>
      <c r="C10113" s="2" t="s">
        <v>17529</v>
      </c>
      <c r="D10113" s="32"/>
      <c r="E10113" s="2">
        <v>1</v>
      </c>
      <c r="F10113" s="9"/>
      <c r="G10113" s="8">
        <f t="shared" ref="G10113:G10182" si="332">H10113+(H10113*5%)</f>
        <v>476.96249999999998</v>
      </c>
      <c r="H10113" s="16">
        <v>454.25</v>
      </c>
      <c r="I10113" s="19">
        <f t="shared" ref="I10113:I10182" si="333">G10113*F10113</f>
        <v>0</v>
      </c>
    </row>
    <row r="10114" spans="1:9" hidden="1">
      <c r="A10114" s="82" t="s">
        <v>17474</v>
      </c>
      <c r="B10114" s="46">
        <v>1700018703</v>
      </c>
      <c r="C10114" s="2" t="s">
        <v>17530</v>
      </c>
      <c r="D10114" s="32"/>
      <c r="E10114" s="2">
        <v>1</v>
      </c>
      <c r="F10114" s="9"/>
      <c r="G10114" s="8">
        <f t="shared" si="332"/>
        <v>118.15649999999999</v>
      </c>
      <c r="H10114" s="16">
        <v>112.53</v>
      </c>
      <c r="I10114" s="19">
        <f t="shared" si="333"/>
        <v>0</v>
      </c>
    </row>
    <row r="10115" spans="1:9">
      <c r="A10115" s="82" t="s">
        <v>17474</v>
      </c>
      <c r="B10115" s="5">
        <v>97957</v>
      </c>
      <c r="C10115" s="2" t="s">
        <v>17531</v>
      </c>
      <c r="D10115" s="32"/>
      <c r="E10115" s="2">
        <v>1</v>
      </c>
      <c r="F10115" s="9">
        <v>10</v>
      </c>
      <c r="G10115" s="8">
        <f t="shared" si="332"/>
        <v>60.9</v>
      </c>
      <c r="H10115" s="16">
        <v>58</v>
      </c>
      <c r="I10115" s="19">
        <f t="shared" si="333"/>
        <v>609</v>
      </c>
    </row>
    <row r="10116" spans="1:9">
      <c r="A10116" s="82" t="s">
        <v>17474</v>
      </c>
      <c r="B10116" s="46">
        <v>1700022024</v>
      </c>
      <c r="C10116" s="2" t="s">
        <v>17532</v>
      </c>
      <c r="D10116" s="32"/>
      <c r="E10116" s="2">
        <v>1</v>
      </c>
      <c r="F10116" s="9">
        <v>10</v>
      </c>
      <c r="G10116" s="8">
        <f t="shared" si="332"/>
        <v>238.64400000000001</v>
      </c>
      <c r="H10116" s="16">
        <v>227.28</v>
      </c>
      <c r="I10116" s="19">
        <f t="shared" si="333"/>
        <v>2386.44</v>
      </c>
    </row>
    <row r="10117" spans="1:9">
      <c r="A10117" s="82" t="s">
        <v>17474</v>
      </c>
      <c r="B10117" s="46">
        <v>140488</v>
      </c>
      <c r="C10117" s="2" t="s">
        <v>17533</v>
      </c>
      <c r="D10117" s="32"/>
      <c r="E10117" s="2">
        <v>1</v>
      </c>
      <c r="F10117" s="9">
        <v>6</v>
      </c>
      <c r="G10117" s="8">
        <f t="shared" si="332"/>
        <v>22.438500000000001</v>
      </c>
      <c r="H10117" s="16">
        <v>21.37</v>
      </c>
      <c r="I10117" s="19">
        <f t="shared" si="333"/>
        <v>134.631</v>
      </c>
    </row>
    <row r="10118" spans="1:9">
      <c r="A10118" s="82" t="s">
        <v>17474</v>
      </c>
      <c r="B10118" s="5">
        <v>185499</v>
      </c>
      <c r="C10118" s="2" t="s">
        <v>17534</v>
      </c>
      <c r="D10118" s="32"/>
      <c r="E10118" s="2">
        <v>1</v>
      </c>
      <c r="F10118" s="9">
        <v>2</v>
      </c>
      <c r="G10118" s="8">
        <f>H10118+(H10118*5%)</f>
        <v>477.75</v>
      </c>
      <c r="H10118" s="16">
        <v>455</v>
      </c>
      <c r="I10118" s="19">
        <f>G10118*F10118</f>
        <v>955.5</v>
      </c>
    </row>
    <row r="10119" spans="1:9">
      <c r="A10119" s="82" t="s">
        <v>17474</v>
      </c>
      <c r="B10119" s="46" t="s">
        <v>17535</v>
      </c>
      <c r="C10119" s="2" t="s">
        <v>17536</v>
      </c>
      <c r="D10119" s="32"/>
      <c r="E10119" s="2">
        <v>1</v>
      </c>
      <c r="F10119" s="9">
        <v>2</v>
      </c>
      <c r="G10119" s="8">
        <f t="shared" si="332"/>
        <v>424.72500000000002</v>
      </c>
      <c r="H10119" s="16">
        <v>404.5</v>
      </c>
      <c r="I10119" s="19">
        <f t="shared" si="333"/>
        <v>849.45</v>
      </c>
    </row>
    <row r="10120" spans="1:9" hidden="1">
      <c r="A10120" s="82" t="s">
        <v>17474</v>
      </c>
      <c r="B10120" s="46" t="s">
        <v>17537</v>
      </c>
      <c r="C10120" s="2" t="s">
        <v>17538</v>
      </c>
      <c r="D10120" s="32"/>
      <c r="E10120" s="2">
        <v>1</v>
      </c>
      <c r="F10120" s="9"/>
      <c r="G10120" s="8">
        <f t="shared" si="332"/>
        <v>414.87599999999998</v>
      </c>
      <c r="H10120" s="16">
        <v>395.12</v>
      </c>
      <c r="I10120" s="19">
        <f t="shared" si="333"/>
        <v>0</v>
      </c>
    </row>
    <row r="10121" spans="1:9">
      <c r="A10121" s="82" t="s">
        <v>17474</v>
      </c>
      <c r="B10121" s="5">
        <v>172099</v>
      </c>
      <c r="C10121" s="2" t="s">
        <v>17539</v>
      </c>
      <c r="D10121" s="32"/>
      <c r="E10121" s="2">
        <v>1</v>
      </c>
      <c r="F10121" s="9">
        <v>5</v>
      </c>
      <c r="G10121" s="8">
        <f t="shared" si="332"/>
        <v>424.72500000000002</v>
      </c>
      <c r="H10121" s="16">
        <v>404.5</v>
      </c>
      <c r="I10121" s="19">
        <f t="shared" si="333"/>
        <v>2123.625</v>
      </c>
    </row>
    <row r="10122" spans="1:9">
      <c r="A10122" s="82" t="s">
        <v>17474</v>
      </c>
      <c r="B10122" s="46" t="s">
        <v>17540</v>
      </c>
      <c r="C10122" s="2" t="s">
        <v>17541</v>
      </c>
      <c r="D10122" s="32"/>
      <c r="E10122" s="2">
        <v>1</v>
      </c>
      <c r="F10122" s="9">
        <v>1</v>
      </c>
      <c r="G10122" s="8">
        <f t="shared" si="332"/>
        <v>708.27749999999992</v>
      </c>
      <c r="H10122" s="16">
        <v>674.55</v>
      </c>
      <c r="I10122" s="19">
        <f t="shared" si="333"/>
        <v>708.27749999999992</v>
      </c>
    </row>
    <row r="10123" spans="1:9">
      <c r="A10123" s="82" t="s">
        <v>17474</v>
      </c>
      <c r="B10123" s="46">
        <v>141634</v>
      </c>
      <c r="C10123" s="2" t="s">
        <v>17542</v>
      </c>
      <c r="D10123" s="32"/>
      <c r="E10123" s="2">
        <v>1</v>
      </c>
      <c r="F10123" s="9">
        <v>5</v>
      </c>
      <c r="G10123" s="8">
        <f t="shared" si="332"/>
        <v>33.778500000000001</v>
      </c>
      <c r="H10123" s="16">
        <v>32.17</v>
      </c>
      <c r="I10123" s="19">
        <f t="shared" si="333"/>
        <v>168.89250000000001</v>
      </c>
    </row>
    <row r="10124" spans="1:9" hidden="1">
      <c r="A10124" s="82" t="s">
        <v>17474</v>
      </c>
      <c r="B10124" s="46">
        <v>1121</v>
      </c>
      <c r="C10124" s="2" t="s">
        <v>17543</v>
      </c>
      <c r="D10124" s="32"/>
      <c r="E10124" s="2">
        <v>1</v>
      </c>
      <c r="F10124" s="9"/>
      <c r="G10124" s="8">
        <f t="shared" si="332"/>
        <v>3.1710000000000003</v>
      </c>
      <c r="H10124" s="16">
        <v>3.02</v>
      </c>
      <c r="I10124" s="19">
        <f t="shared" si="333"/>
        <v>0</v>
      </c>
    </row>
    <row r="10125" spans="1:9" hidden="1">
      <c r="A10125" s="82" t="s">
        <v>17474</v>
      </c>
      <c r="B10125" s="46">
        <v>1122</v>
      </c>
      <c r="C10125" s="2" t="s">
        <v>17544</v>
      </c>
      <c r="D10125" s="32"/>
      <c r="E10125" s="2">
        <v>1</v>
      </c>
      <c r="F10125" s="9"/>
      <c r="G10125" s="8">
        <f t="shared" si="332"/>
        <v>30.933</v>
      </c>
      <c r="H10125" s="16">
        <v>29.46</v>
      </c>
      <c r="I10125" s="19">
        <f t="shared" si="333"/>
        <v>0</v>
      </c>
    </row>
    <row r="10126" spans="1:9">
      <c r="A10126" s="82" t="s">
        <v>17474</v>
      </c>
      <c r="B10126" s="46">
        <v>1126</v>
      </c>
      <c r="C10126" s="2" t="s">
        <v>17545</v>
      </c>
      <c r="D10126" s="32"/>
      <c r="E10126" s="2">
        <v>1</v>
      </c>
      <c r="F10126" s="9">
        <v>178</v>
      </c>
      <c r="G10126" s="8">
        <f t="shared" si="332"/>
        <v>8.9039999999999999</v>
      </c>
      <c r="H10126" s="16">
        <v>8.48</v>
      </c>
      <c r="I10126" s="19">
        <f t="shared" si="333"/>
        <v>1584.912</v>
      </c>
    </row>
    <row r="10127" spans="1:9">
      <c r="A10127" s="82" t="s">
        <v>17474</v>
      </c>
      <c r="B10127" s="46">
        <v>1127</v>
      </c>
      <c r="C10127" s="2" t="s">
        <v>17546</v>
      </c>
      <c r="D10127" s="32"/>
      <c r="E10127" s="2">
        <v>1</v>
      </c>
      <c r="F10127" s="9">
        <v>37</v>
      </c>
      <c r="G10127" s="8">
        <f t="shared" si="332"/>
        <v>8.9039999999999999</v>
      </c>
      <c r="H10127" s="16">
        <v>8.48</v>
      </c>
      <c r="I10127" s="19">
        <f t="shared" si="333"/>
        <v>329.44799999999998</v>
      </c>
    </row>
    <row r="10128" spans="1:9">
      <c r="A10128" s="82" t="s">
        <v>17474</v>
      </c>
      <c r="B10128" s="5">
        <v>92307</v>
      </c>
      <c r="C10128" s="2" t="s">
        <v>17547</v>
      </c>
      <c r="D10128" s="32"/>
      <c r="E10128" s="2">
        <v>1</v>
      </c>
      <c r="F10128" s="9">
        <v>30</v>
      </c>
      <c r="G10128" s="8">
        <f t="shared" si="332"/>
        <v>30.502500000000001</v>
      </c>
      <c r="H10128" s="16">
        <v>29.05</v>
      </c>
      <c r="I10128" s="19">
        <f t="shared" si="333"/>
        <v>915.07500000000005</v>
      </c>
    </row>
    <row r="10129" spans="1:9">
      <c r="A10129" s="82" t="s">
        <v>17474</v>
      </c>
      <c r="B10129" s="5">
        <v>92308</v>
      </c>
      <c r="C10129" s="2" t="s">
        <v>17548</v>
      </c>
      <c r="D10129" s="32"/>
      <c r="E10129" s="2">
        <v>1</v>
      </c>
      <c r="F10129" s="9">
        <v>164</v>
      </c>
      <c r="G10129" s="8">
        <f t="shared" si="332"/>
        <v>32.896499999999996</v>
      </c>
      <c r="H10129" s="16">
        <v>31.33</v>
      </c>
      <c r="I10129" s="19">
        <f t="shared" si="333"/>
        <v>5395.0259999999989</v>
      </c>
    </row>
    <row r="10130" spans="1:9">
      <c r="A10130" s="82" t="s">
        <v>17474</v>
      </c>
      <c r="B10130" s="5">
        <v>92310</v>
      </c>
      <c r="C10130" s="2" t="s">
        <v>17549</v>
      </c>
      <c r="D10130" s="32"/>
      <c r="E10130" s="2">
        <v>1</v>
      </c>
      <c r="F10130" s="9">
        <v>10</v>
      </c>
      <c r="G10130" s="8">
        <f t="shared" si="332"/>
        <v>36.529499999999999</v>
      </c>
      <c r="H10130" s="16">
        <v>34.79</v>
      </c>
      <c r="I10130" s="19">
        <f t="shared" si="333"/>
        <v>365.29499999999996</v>
      </c>
    </row>
    <row r="10131" spans="1:9" hidden="1">
      <c r="A10131" s="82" t="s">
        <v>17474</v>
      </c>
      <c r="B10131" s="46">
        <v>1106</v>
      </c>
      <c r="C10131" s="2" t="s">
        <v>17550</v>
      </c>
      <c r="D10131" s="32"/>
      <c r="E10131" s="2">
        <v>1</v>
      </c>
      <c r="F10131" s="9"/>
      <c r="G10131" s="8">
        <f t="shared" si="332"/>
        <v>41.4435</v>
      </c>
      <c r="H10131" s="16">
        <v>39.47</v>
      </c>
      <c r="I10131" s="19">
        <f t="shared" si="333"/>
        <v>0</v>
      </c>
    </row>
    <row r="10132" spans="1:9">
      <c r="A10132" s="82" t="s">
        <v>17474</v>
      </c>
      <c r="B10132" s="46" t="s">
        <v>17551</v>
      </c>
      <c r="C10132" s="2" t="s">
        <v>17552</v>
      </c>
      <c r="D10132" s="32"/>
      <c r="E10132" s="2">
        <v>1</v>
      </c>
      <c r="F10132" s="9">
        <v>17</v>
      </c>
      <c r="G10132" s="8">
        <f t="shared" si="332"/>
        <v>208.26749999999998</v>
      </c>
      <c r="H10132" s="16">
        <v>198.35</v>
      </c>
      <c r="I10132" s="19">
        <f t="shared" si="333"/>
        <v>3540.5474999999997</v>
      </c>
    </row>
    <row r="10133" spans="1:9" hidden="1">
      <c r="A10133" s="82" t="s">
        <v>17474</v>
      </c>
      <c r="B10133" s="46">
        <v>1131</v>
      </c>
      <c r="C10133" s="2" t="s">
        <v>17553</v>
      </c>
      <c r="D10133" s="32"/>
      <c r="E10133" s="2">
        <v>1</v>
      </c>
      <c r="F10133" s="9"/>
      <c r="G10133" s="8">
        <f t="shared" si="332"/>
        <v>43.217999999999996</v>
      </c>
      <c r="H10133" s="16">
        <v>41.16</v>
      </c>
      <c r="I10133" s="19">
        <f t="shared" si="333"/>
        <v>0</v>
      </c>
    </row>
    <row r="10134" spans="1:9" hidden="1">
      <c r="A10134" s="82" t="s">
        <v>17474</v>
      </c>
      <c r="B10134" s="46">
        <v>1132</v>
      </c>
      <c r="C10134" s="2" t="s">
        <v>17554</v>
      </c>
      <c r="D10134" s="32"/>
      <c r="E10134" s="2">
        <v>1</v>
      </c>
      <c r="F10134" s="9"/>
      <c r="G10134" s="8">
        <f t="shared" si="332"/>
        <v>43.217999999999996</v>
      </c>
      <c r="H10134" s="16">
        <v>41.16</v>
      </c>
      <c r="I10134" s="19">
        <f t="shared" si="333"/>
        <v>0</v>
      </c>
    </row>
    <row r="10135" spans="1:9">
      <c r="A10135" s="82" t="s">
        <v>17474</v>
      </c>
      <c r="B10135" s="46" t="s">
        <v>17555</v>
      </c>
      <c r="C10135" s="2" t="s">
        <v>17556</v>
      </c>
      <c r="D10135" s="32"/>
      <c r="E10135" s="2">
        <v>1</v>
      </c>
      <c r="F10135" s="9">
        <v>50</v>
      </c>
      <c r="G10135" s="8">
        <f t="shared" si="332"/>
        <v>2.3729999999999998</v>
      </c>
      <c r="H10135" s="16">
        <v>2.2599999999999998</v>
      </c>
      <c r="I10135" s="19">
        <f t="shared" si="333"/>
        <v>118.64999999999999</v>
      </c>
    </row>
    <row r="10136" spans="1:9" hidden="1">
      <c r="A10136" s="82" t="s">
        <v>17474</v>
      </c>
      <c r="B10136" s="46" t="s">
        <v>17557</v>
      </c>
      <c r="C10136" s="2" t="s">
        <v>17558</v>
      </c>
      <c r="D10136" s="32"/>
      <c r="E10136" s="2">
        <v>1</v>
      </c>
      <c r="F10136" s="9"/>
      <c r="G10136" s="8">
        <f t="shared" si="332"/>
        <v>0.78749999999999998</v>
      </c>
      <c r="H10136" s="16">
        <v>0.75</v>
      </c>
      <c r="I10136" s="19">
        <f t="shared" si="333"/>
        <v>0</v>
      </c>
    </row>
    <row r="10137" spans="1:9">
      <c r="A10137" s="82" t="s">
        <v>17474</v>
      </c>
      <c r="B10137" s="5">
        <v>118642</v>
      </c>
      <c r="C10137" s="2" t="s">
        <v>17559</v>
      </c>
      <c r="D10137" s="32"/>
      <c r="E10137" s="2">
        <v>1</v>
      </c>
      <c r="F10137" s="9">
        <v>79</v>
      </c>
      <c r="G10137" s="8">
        <f t="shared" si="332"/>
        <v>1.1864999999999999</v>
      </c>
      <c r="H10137" s="16">
        <v>1.1299999999999999</v>
      </c>
      <c r="I10137" s="19">
        <f t="shared" si="333"/>
        <v>93.733499999999992</v>
      </c>
    </row>
    <row r="10138" spans="1:9" hidden="1">
      <c r="A10138" s="82" t="s">
        <v>17474</v>
      </c>
      <c r="B10138" s="46" t="s">
        <v>17560</v>
      </c>
      <c r="C10138" s="2" t="s">
        <v>17561</v>
      </c>
      <c r="D10138" s="32"/>
      <c r="E10138" s="2">
        <v>1</v>
      </c>
      <c r="F10138" s="9"/>
      <c r="G10138" s="8">
        <f t="shared" si="332"/>
        <v>50.725500000000004</v>
      </c>
      <c r="H10138" s="16">
        <v>48.31</v>
      </c>
      <c r="I10138" s="19">
        <f t="shared" si="333"/>
        <v>0</v>
      </c>
    </row>
    <row r="10139" spans="1:9">
      <c r="A10139" s="82" t="s">
        <v>17474</v>
      </c>
      <c r="B10139" s="5">
        <v>177987</v>
      </c>
      <c r="C10139" s="2" t="s">
        <v>17562</v>
      </c>
      <c r="D10139" s="32"/>
      <c r="E10139" s="2">
        <v>1</v>
      </c>
      <c r="F10139" s="9">
        <v>21</v>
      </c>
      <c r="G10139" s="8">
        <f t="shared" si="332"/>
        <v>10.006499999999999</v>
      </c>
      <c r="H10139" s="16">
        <v>9.5299999999999994</v>
      </c>
      <c r="I10139" s="19">
        <f t="shared" si="333"/>
        <v>210.13649999999998</v>
      </c>
    </row>
    <row r="10140" spans="1:9" hidden="1">
      <c r="A10140" s="82" t="s">
        <v>17474</v>
      </c>
      <c r="B10140" s="46">
        <v>1133</v>
      </c>
      <c r="C10140" s="2" t="s">
        <v>17563</v>
      </c>
      <c r="D10140" s="32"/>
      <c r="E10140" s="2">
        <v>1</v>
      </c>
      <c r="F10140" s="9"/>
      <c r="G10140" s="8">
        <f t="shared" si="332"/>
        <v>43.217999999999996</v>
      </c>
      <c r="H10140" s="16">
        <v>41.16</v>
      </c>
      <c r="I10140" s="19">
        <f t="shared" si="333"/>
        <v>0</v>
      </c>
    </row>
    <row r="10141" spans="1:9">
      <c r="A10141" s="82" t="s">
        <v>17474</v>
      </c>
      <c r="B10141" s="5">
        <v>100155</v>
      </c>
      <c r="C10141" s="2" t="s">
        <v>17564</v>
      </c>
      <c r="D10141" s="32"/>
      <c r="E10141" s="2">
        <v>1</v>
      </c>
      <c r="F10141" s="9">
        <f>30+51</f>
        <v>81</v>
      </c>
      <c r="G10141" s="8">
        <f t="shared" si="332"/>
        <v>8.504999999999999</v>
      </c>
      <c r="H10141" s="16">
        <v>8.1</v>
      </c>
      <c r="I10141" s="19">
        <f t="shared" si="333"/>
        <v>688.90499999999997</v>
      </c>
    </row>
    <row r="10142" spans="1:9">
      <c r="A10142" s="82" t="s">
        <v>17474</v>
      </c>
      <c r="B10142" s="46"/>
      <c r="C10142" s="2" t="s">
        <v>17565</v>
      </c>
      <c r="D10142" s="32"/>
      <c r="E10142" s="2">
        <v>1</v>
      </c>
      <c r="F10142" s="9">
        <v>30</v>
      </c>
      <c r="G10142" s="8">
        <f t="shared" si="332"/>
        <v>25.662000000000003</v>
      </c>
      <c r="H10142" s="16">
        <v>24.44</v>
      </c>
      <c r="I10142" s="19">
        <f t="shared" si="333"/>
        <v>769.86000000000013</v>
      </c>
    </row>
    <row r="10143" spans="1:9">
      <c r="A10143" s="82" t="s">
        <v>17474</v>
      </c>
      <c r="B10143" s="5">
        <v>122432</v>
      </c>
      <c r="C10143" s="2" t="s">
        <v>17566</v>
      </c>
      <c r="D10143" s="32"/>
      <c r="E10143" s="2">
        <v>1</v>
      </c>
      <c r="F10143" s="9">
        <v>5</v>
      </c>
      <c r="G10143" s="8">
        <f t="shared" si="332"/>
        <v>167.09699999999998</v>
      </c>
      <c r="H10143" s="16">
        <v>159.13999999999999</v>
      </c>
      <c r="I10143" s="19">
        <f t="shared" si="333"/>
        <v>835.4849999999999</v>
      </c>
    </row>
    <row r="10144" spans="1:9">
      <c r="A10144" s="82" t="s">
        <v>17474</v>
      </c>
      <c r="B10144" s="5">
        <v>157270</v>
      </c>
      <c r="C10144" s="2" t="s">
        <v>17567</v>
      </c>
      <c r="D10144" s="32"/>
      <c r="E10144" s="2">
        <v>1</v>
      </c>
      <c r="F10144" s="9">
        <v>6</v>
      </c>
      <c r="G10144" s="8">
        <f t="shared" si="332"/>
        <v>340.15799999999996</v>
      </c>
      <c r="H10144" s="16">
        <v>323.95999999999998</v>
      </c>
      <c r="I10144" s="19">
        <f t="shared" si="333"/>
        <v>2040.9479999999999</v>
      </c>
    </row>
    <row r="10145" spans="1:9">
      <c r="A10145" s="82" t="s">
        <v>17474</v>
      </c>
      <c r="B10145" s="5">
        <v>162041</v>
      </c>
      <c r="C10145" s="2" t="s">
        <v>17568</v>
      </c>
      <c r="D10145" s="32"/>
      <c r="E10145" s="2">
        <v>1</v>
      </c>
      <c r="F10145" s="9">
        <v>4</v>
      </c>
      <c r="G10145" s="8">
        <f>H10145+(H10145*5%)</f>
        <v>369.87299999999999</v>
      </c>
      <c r="H10145" s="16">
        <v>352.26</v>
      </c>
      <c r="I10145" s="19">
        <f>G10145*F10145</f>
        <v>1479.492</v>
      </c>
    </row>
    <row r="10146" spans="1:9">
      <c r="A10146" s="82" t="s">
        <v>17474</v>
      </c>
      <c r="B10146" s="5">
        <v>122960</v>
      </c>
      <c r="C10146" s="2" t="s">
        <v>17569</v>
      </c>
      <c r="D10146" s="32"/>
      <c r="E10146" s="2">
        <v>1</v>
      </c>
      <c r="F10146" s="9">
        <v>8</v>
      </c>
      <c r="G10146" s="8">
        <f>H10146+(H10146*5%)</f>
        <v>135.44999999999999</v>
      </c>
      <c r="H10146" s="16">
        <v>129</v>
      </c>
      <c r="I10146" s="19">
        <f>G10146*F10146</f>
        <v>1083.5999999999999</v>
      </c>
    </row>
    <row r="10147" spans="1:9">
      <c r="A10147" s="82" t="s">
        <v>17474</v>
      </c>
      <c r="B10147" s="5">
        <v>91448</v>
      </c>
      <c r="C10147" s="2" t="s">
        <v>17570</v>
      </c>
      <c r="D10147" s="32"/>
      <c r="E10147" s="2">
        <v>1</v>
      </c>
      <c r="F10147" s="9">
        <v>2</v>
      </c>
      <c r="G10147" s="8">
        <f t="shared" si="332"/>
        <v>79.947000000000003</v>
      </c>
      <c r="H10147" s="16">
        <v>76.14</v>
      </c>
      <c r="I10147" s="19">
        <f t="shared" si="333"/>
        <v>159.89400000000001</v>
      </c>
    </row>
    <row r="10148" spans="1:9">
      <c r="A10148" s="82" t="s">
        <v>17474</v>
      </c>
      <c r="B10148" s="46"/>
      <c r="C10148" s="2" t="s">
        <v>17571</v>
      </c>
      <c r="D10148" s="32"/>
      <c r="E10148" s="2">
        <v>1</v>
      </c>
      <c r="F10148" s="9">
        <v>3</v>
      </c>
      <c r="G10148" s="8">
        <f t="shared" si="332"/>
        <v>101.05199999999999</v>
      </c>
      <c r="H10148" s="16">
        <v>96.24</v>
      </c>
      <c r="I10148" s="19">
        <f t="shared" si="333"/>
        <v>303.15599999999995</v>
      </c>
    </row>
    <row r="10149" spans="1:9">
      <c r="A10149" s="82" t="s">
        <v>17474</v>
      </c>
      <c r="B10149" s="46"/>
      <c r="C10149" s="2" t="s">
        <v>17572</v>
      </c>
      <c r="D10149" s="32"/>
      <c r="E10149" s="2">
        <v>1</v>
      </c>
      <c r="F10149" s="9">
        <v>10</v>
      </c>
      <c r="G10149" s="8">
        <f t="shared" si="332"/>
        <v>110.96400000000001</v>
      </c>
      <c r="H10149" s="16">
        <v>105.68</v>
      </c>
      <c r="I10149" s="19">
        <f>G10149*F10149</f>
        <v>1109.6400000000001</v>
      </c>
    </row>
    <row r="10150" spans="1:9">
      <c r="A10150" s="82" t="s">
        <v>17474</v>
      </c>
      <c r="B10150" s="46"/>
      <c r="C10150" s="2" t="s">
        <v>17573</v>
      </c>
      <c r="D10150" s="32"/>
      <c r="E10150" s="2">
        <v>1</v>
      </c>
      <c r="F10150" s="9">
        <v>14</v>
      </c>
      <c r="G10150" s="8">
        <f t="shared" si="332"/>
        <v>4.8929999999999998</v>
      </c>
      <c r="H10150" s="16">
        <v>4.66</v>
      </c>
      <c r="I10150" s="19">
        <f t="shared" si="333"/>
        <v>68.501999999999995</v>
      </c>
    </row>
    <row r="10151" spans="1:9">
      <c r="A10151" s="82" t="s">
        <v>17474</v>
      </c>
      <c r="B10151" s="46">
        <v>155920</v>
      </c>
      <c r="C10151" s="2" t="s">
        <v>17574</v>
      </c>
      <c r="D10151" s="32"/>
      <c r="E10151" s="2">
        <v>1</v>
      </c>
      <c r="F10151" s="9">
        <v>7</v>
      </c>
      <c r="G10151" s="8">
        <f t="shared" si="332"/>
        <v>3.6960000000000002</v>
      </c>
      <c r="H10151" s="16">
        <v>3.52</v>
      </c>
      <c r="I10151" s="19">
        <f>G10151*F10151</f>
        <v>25.872</v>
      </c>
    </row>
    <row r="10152" spans="1:9">
      <c r="A10152" s="82" t="s">
        <v>17474</v>
      </c>
      <c r="B10152" s="46">
        <v>90747</v>
      </c>
      <c r="C10152" s="2" t="s">
        <v>17575</v>
      </c>
      <c r="D10152" s="32"/>
      <c r="E10152" s="2">
        <v>1</v>
      </c>
      <c r="F10152" s="9">
        <v>3</v>
      </c>
      <c r="G10152" s="8">
        <f t="shared" si="332"/>
        <v>40.928999999999995</v>
      </c>
      <c r="H10152" s="16">
        <v>38.979999999999997</v>
      </c>
      <c r="I10152" s="19">
        <f t="shared" si="333"/>
        <v>122.78699999999998</v>
      </c>
    </row>
    <row r="10153" spans="1:9">
      <c r="A10153" s="82" t="s">
        <v>17474</v>
      </c>
      <c r="B10153" s="46">
        <v>120448</v>
      </c>
      <c r="C10153" s="2" t="s">
        <v>17576</v>
      </c>
      <c r="D10153" s="32"/>
      <c r="E10153" s="2">
        <v>1</v>
      </c>
      <c r="F10153" s="9">
        <v>3</v>
      </c>
      <c r="G10153" s="8">
        <f t="shared" si="332"/>
        <v>11.7075</v>
      </c>
      <c r="H10153" s="16">
        <v>11.15</v>
      </c>
      <c r="I10153" s="19">
        <f t="shared" si="333"/>
        <v>35.122500000000002</v>
      </c>
    </row>
    <row r="10154" spans="1:9">
      <c r="A10154" s="82" t="s">
        <v>17474</v>
      </c>
      <c r="B10154" s="5">
        <v>185731</v>
      </c>
      <c r="C10154" s="2" t="s">
        <v>17577</v>
      </c>
      <c r="D10154" s="32"/>
      <c r="E10154" s="2">
        <v>1</v>
      </c>
      <c r="F10154" s="9">
        <v>16</v>
      </c>
      <c r="G10154" s="8">
        <f t="shared" si="332"/>
        <v>7.6545000000000005</v>
      </c>
      <c r="H10154" s="16">
        <v>7.29</v>
      </c>
      <c r="I10154" s="19">
        <f t="shared" si="333"/>
        <v>122.47200000000001</v>
      </c>
    </row>
    <row r="10155" spans="1:9">
      <c r="A10155" s="82" t="s">
        <v>17474</v>
      </c>
      <c r="B10155" s="46">
        <v>116869</v>
      </c>
      <c r="C10155" s="2" t="s">
        <v>17578</v>
      </c>
      <c r="D10155" s="32"/>
      <c r="E10155" s="2">
        <v>1</v>
      </c>
      <c r="F10155" s="9">
        <v>4</v>
      </c>
      <c r="G10155" s="8">
        <f t="shared" si="332"/>
        <v>21.388500000000001</v>
      </c>
      <c r="H10155" s="16">
        <v>20.37</v>
      </c>
      <c r="I10155" s="19">
        <f t="shared" si="333"/>
        <v>85.554000000000002</v>
      </c>
    </row>
    <row r="10156" spans="1:9" hidden="1">
      <c r="A10156" s="82" t="s">
        <v>17474</v>
      </c>
      <c r="B10156" s="46"/>
      <c r="C10156" s="2" t="s">
        <v>17579</v>
      </c>
      <c r="D10156" s="32"/>
      <c r="E10156" s="2">
        <v>1</v>
      </c>
      <c r="F10156" s="9"/>
      <c r="G10156" s="8">
        <f t="shared" si="332"/>
        <v>17.9025</v>
      </c>
      <c r="H10156" s="16">
        <v>17.05</v>
      </c>
      <c r="I10156" s="19">
        <f t="shared" si="333"/>
        <v>0</v>
      </c>
    </row>
    <row r="10157" spans="1:9">
      <c r="A10157" s="82" t="s">
        <v>17474</v>
      </c>
      <c r="B10157" s="5">
        <v>122435</v>
      </c>
      <c r="C10157" s="2" t="s">
        <v>17580</v>
      </c>
      <c r="D10157" s="32"/>
      <c r="E10157" s="2">
        <v>1</v>
      </c>
      <c r="F10157" s="9">
        <v>17</v>
      </c>
      <c r="G10157" s="8">
        <f>H10157+(H10157*5%)</f>
        <v>93.166499999999999</v>
      </c>
      <c r="H10157" s="16">
        <v>88.73</v>
      </c>
      <c r="I10157" s="19">
        <f>G10157*F10157</f>
        <v>1583.8305</v>
      </c>
    </row>
    <row r="10158" spans="1:9" hidden="1">
      <c r="A10158" s="82" t="s">
        <v>17474</v>
      </c>
      <c r="B10158" s="46">
        <v>164179</v>
      </c>
      <c r="C10158" s="2" t="s">
        <v>17581</v>
      </c>
      <c r="D10158" s="32"/>
      <c r="E10158" s="2">
        <v>1</v>
      </c>
      <c r="F10158" s="9"/>
      <c r="G10158" s="8">
        <f t="shared" si="332"/>
        <v>45.832499999999996</v>
      </c>
      <c r="H10158" s="16">
        <v>43.65</v>
      </c>
      <c r="I10158" s="19">
        <f t="shared" si="333"/>
        <v>0</v>
      </c>
    </row>
    <row r="10159" spans="1:9">
      <c r="A10159" s="82" t="s">
        <v>17474</v>
      </c>
      <c r="B10159" s="5">
        <v>115908</v>
      </c>
      <c r="C10159" s="2" t="s">
        <v>17582</v>
      </c>
      <c r="D10159" s="32"/>
      <c r="E10159" s="2">
        <v>1</v>
      </c>
      <c r="F10159" s="9">
        <v>3</v>
      </c>
      <c r="G10159" s="8">
        <f t="shared" si="332"/>
        <v>91.654500000000013</v>
      </c>
      <c r="H10159" s="16">
        <v>87.29</v>
      </c>
      <c r="I10159" s="19">
        <f t="shared" si="333"/>
        <v>274.96350000000007</v>
      </c>
    </row>
    <row r="10160" spans="1:9" hidden="1">
      <c r="A10160" s="82" t="s">
        <v>17474</v>
      </c>
      <c r="B10160" s="46"/>
      <c r="C10160" s="2" t="s">
        <v>17583</v>
      </c>
      <c r="D10160" s="32"/>
      <c r="E10160" s="2">
        <v>1</v>
      </c>
      <c r="F10160" s="9"/>
      <c r="G10160" s="8">
        <f t="shared" si="332"/>
        <v>113.52600000000001</v>
      </c>
      <c r="H10160" s="16">
        <v>108.12</v>
      </c>
      <c r="I10160" s="19">
        <f t="shared" si="333"/>
        <v>0</v>
      </c>
    </row>
    <row r="10161" spans="1:9" hidden="1">
      <c r="A10161" s="82" t="s">
        <v>17474</v>
      </c>
      <c r="B10161" s="5">
        <v>150319</v>
      </c>
      <c r="C10161" s="2" t="s">
        <v>17584</v>
      </c>
      <c r="D10161" s="32"/>
      <c r="E10161" s="2">
        <v>1</v>
      </c>
      <c r="F10161" s="9"/>
      <c r="G10161" s="8">
        <f t="shared" si="332"/>
        <v>138.90449999999998</v>
      </c>
      <c r="H10161" s="16">
        <v>132.29</v>
      </c>
      <c r="I10161" s="19">
        <f t="shared" si="333"/>
        <v>0</v>
      </c>
    </row>
    <row r="10162" spans="1:9">
      <c r="A10162" s="82" t="s">
        <v>17474</v>
      </c>
      <c r="B10162" s="5">
        <v>143469</v>
      </c>
      <c r="C10162" s="2" t="s">
        <v>17585</v>
      </c>
      <c r="D10162" s="32"/>
      <c r="E10162" s="2">
        <v>1</v>
      </c>
      <c r="F10162" s="9">
        <v>4</v>
      </c>
      <c r="G10162" s="8">
        <f>H10162+(H10162*5%)</f>
        <v>53.234999999999999</v>
      </c>
      <c r="H10162" s="16">
        <v>50.7</v>
      </c>
      <c r="I10162" s="19">
        <f>G10162*F10162</f>
        <v>212.94</v>
      </c>
    </row>
    <row r="10163" spans="1:9">
      <c r="A10163" s="82" t="s">
        <v>17474</v>
      </c>
      <c r="B10163" s="5">
        <v>150272</v>
      </c>
      <c r="C10163" s="2" t="s">
        <v>17586</v>
      </c>
      <c r="D10163" s="32"/>
      <c r="E10163" s="2">
        <v>1</v>
      </c>
      <c r="F10163" s="9">
        <v>4</v>
      </c>
      <c r="G10163" s="8">
        <f>H10163+(H10163*5%)</f>
        <v>138.90449999999998</v>
      </c>
      <c r="H10163" s="16">
        <v>132.29</v>
      </c>
      <c r="I10163" s="19">
        <f>G10163*F10163</f>
        <v>555.61799999999994</v>
      </c>
    </row>
    <row r="10164" spans="1:9">
      <c r="A10164" s="82" t="s">
        <v>17474</v>
      </c>
      <c r="B10164" s="46"/>
      <c r="C10164" s="2" t="s">
        <v>17587</v>
      </c>
      <c r="D10164" s="32"/>
      <c r="E10164" s="2">
        <v>1</v>
      </c>
      <c r="F10164" s="9">
        <v>38</v>
      </c>
      <c r="G10164" s="8">
        <f t="shared" si="332"/>
        <v>5.8274999999999997</v>
      </c>
      <c r="H10164" s="16">
        <v>5.55</v>
      </c>
      <c r="I10164" s="19">
        <f t="shared" si="333"/>
        <v>221.44499999999999</v>
      </c>
    </row>
    <row r="10165" spans="1:9" hidden="1">
      <c r="A10165" s="82" t="s">
        <v>17474</v>
      </c>
      <c r="B10165" s="46"/>
      <c r="C10165" s="2" t="s">
        <v>17588</v>
      </c>
      <c r="D10165" s="32"/>
      <c r="E10165" s="2">
        <v>1</v>
      </c>
      <c r="F10165" s="9"/>
      <c r="G10165" s="8">
        <f t="shared" si="332"/>
        <v>4.4415000000000004</v>
      </c>
      <c r="H10165" s="16">
        <v>4.2300000000000004</v>
      </c>
      <c r="I10165" s="19">
        <f t="shared" si="333"/>
        <v>0</v>
      </c>
    </row>
    <row r="10166" spans="1:9">
      <c r="A10166" s="82" t="s">
        <v>17474</v>
      </c>
      <c r="B10166" s="5">
        <v>150802</v>
      </c>
      <c r="C10166" s="2" t="s">
        <v>17589</v>
      </c>
      <c r="D10166" s="32"/>
      <c r="E10166" s="2">
        <v>1</v>
      </c>
      <c r="F10166" s="9">
        <v>22</v>
      </c>
      <c r="G10166" s="8">
        <f t="shared" si="332"/>
        <v>19.078500000000002</v>
      </c>
      <c r="H10166" s="16">
        <v>18.170000000000002</v>
      </c>
      <c r="I10166" s="19">
        <f t="shared" si="333"/>
        <v>419.72700000000003</v>
      </c>
    </row>
    <row r="10167" spans="1:9">
      <c r="A10167" s="82" t="s">
        <v>17474</v>
      </c>
      <c r="B10167" s="5">
        <v>150803</v>
      </c>
      <c r="C10167" s="2" t="s">
        <v>17590</v>
      </c>
      <c r="D10167" s="32"/>
      <c r="E10167" s="2">
        <v>1</v>
      </c>
      <c r="F10167" s="9">
        <v>13</v>
      </c>
      <c r="G10167" s="8">
        <f t="shared" si="332"/>
        <v>22.6905</v>
      </c>
      <c r="H10167" s="16">
        <v>21.61</v>
      </c>
      <c r="I10167" s="19">
        <f t="shared" si="333"/>
        <v>294.97649999999999</v>
      </c>
    </row>
    <row r="10168" spans="1:9">
      <c r="A10168" s="82" t="s">
        <v>17474</v>
      </c>
      <c r="B10168" s="5">
        <v>150804</v>
      </c>
      <c r="C10168" s="2" t="s">
        <v>17591</v>
      </c>
      <c r="D10168" s="32"/>
      <c r="E10168" s="2">
        <v>1</v>
      </c>
      <c r="F10168" s="9">
        <v>10</v>
      </c>
      <c r="G10168" s="8">
        <f t="shared" si="332"/>
        <v>26.922000000000001</v>
      </c>
      <c r="H10168" s="16">
        <v>25.64</v>
      </c>
      <c r="I10168" s="19">
        <f t="shared" si="333"/>
        <v>269.22000000000003</v>
      </c>
    </row>
    <row r="10169" spans="1:9" hidden="1">
      <c r="A10169" s="82" t="s">
        <v>17474</v>
      </c>
      <c r="B10169" s="46"/>
      <c r="C10169" s="2" t="s">
        <v>17592</v>
      </c>
      <c r="D10169" s="32"/>
      <c r="E10169" s="2">
        <v>1</v>
      </c>
      <c r="F10169" s="9"/>
      <c r="G10169" s="8">
        <f t="shared" si="332"/>
        <v>10.006499999999999</v>
      </c>
      <c r="H10169" s="16">
        <v>9.5299999999999994</v>
      </c>
      <c r="I10169" s="19">
        <f t="shared" si="333"/>
        <v>0</v>
      </c>
    </row>
    <row r="10170" spans="1:9">
      <c r="A10170" s="82" t="s">
        <v>17474</v>
      </c>
      <c r="B10170" s="5">
        <v>140539</v>
      </c>
      <c r="C10170" s="2" t="s">
        <v>17593</v>
      </c>
      <c r="D10170" s="32"/>
      <c r="E10170" s="2">
        <v>1</v>
      </c>
      <c r="F10170" s="9">
        <v>2</v>
      </c>
      <c r="G10170" s="8">
        <f t="shared" si="332"/>
        <v>58.506</v>
      </c>
      <c r="H10170" s="16">
        <v>55.72</v>
      </c>
      <c r="I10170" s="19">
        <f t="shared" si="333"/>
        <v>117.012</v>
      </c>
    </row>
    <row r="10171" spans="1:9" hidden="1">
      <c r="A10171" s="82" t="s">
        <v>17474</v>
      </c>
      <c r="B10171" s="46"/>
      <c r="C10171" s="2" t="s">
        <v>17594</v>
      </c>
      <c r="D10171" s="32"/>
      <c r="E10171" s="2">
        <v>1</v>
      </c>
      <c r="F10171" s="9"/>
      <c r="G10171" s="8">
        <f t="shared" si="332"/>
        <v>8.9039999999999999</v>
      </c>
      <c r="H10171" s="16">
        <v>8.48</v>
      </c>
      <c r="I10171" s="19">
        <f t="shared" si="333"/>
        <v>0</v>
      </c>
    </row>
    <row r="10172" spans="1:9">
      <c r="A10172" s="82" t="s">
        <v>17474</v>
      </c>
      <c r="B10172" s="5">
        <v>201195</v>
      </c>
      <c r="C10172" s="2" t="s">
        <v>17595</v>
      </c>
      <c r="D10172" s="32"/>
      <c r="E10172" s="2">
        <v>1</v>
      </c>
      <c r="F10172" s="9">
        <v>3</v>
      </c>
      <c r="G10172" s="8">
        <f t="shared" si="332"/>
        <v>9.6810000000000009</v>
      </c>
      <c r="H10172" s="16">
        <v>9.2200000000000006</v>
      </c>
      <c r="I10172" s="19">
        <f t="shared" si="333"/>
        <v>29.043000000000003</v>
      </c>
    </row>
    <row r="10173" spans="1:9" hidden="1">
      <c r="A10173" s="82" t="s">
        <v>17474</v>
      </c>
      <c r="B10173" s="46">
        <v>178683</v>
      </c>
      <c r="C10173" s="2" t="s">
        <v>17596</v>
      </c>
      <c r="D10173" s="32"/>
      <c r="E10173" s="2">
        <v>1</v>
      </c>
      <c r="F10173" s="9"/>
      <c r="G10173" s="8">
        <f t="shared" si="332"/>
        <v>238.64400000000001</v>
      </c>
      <c r="H10173" s="16">
        <v>227.28</v>
      </c>
      <c r="I10173" s="19">
        <f t="shared" si="333"/>
        <v>0</v>
      </c>
    </row>
    <row r="10174" spans="1:9">
      <c r="A10174" s="82" t="s">
        <v>17474</v>
      </c>
      <c r="B10174" s="46">
        <v>164470</v>
      </c>
      <c r="C10174" s="2" t="s">
        <v>17597</v>
      </c>
      <c r="D10174" s="32"/>
      <c r="E10174" s="2">
        <v>1</v>
      </c>
      <c r="F10174" s="9">
        <v>3</v>
      </c>
      <c r="G10174" s="8">
        <f t="shared" si="332"/>
        <v>126.378</v>
      </c>
      <c r="H10174" s="16">
        <v>120.36</v>
      </c>
      <c r="I10174" s="19">
        <f t="shared" si="333"/>
        <v>379.13400000000001</v>
      </c>
    </row>
    <row r="10175" spans="1:9">
      <c r="A10175" s="82" t="s">
        <v>17474</v>
      </c>
      <c r="B10175" s="5">
        <v>104963</v>
      </c>
      <c r="C10175" s="193" t="s">
        <v>17598</v>
      </c>
      <c r="D10175" s="32"/>
      <c r="E10175" s="2">
        <v>1</v>
      </c>
      <c r="F10175" s="9">
        <v>7</v>
      </c>
      <c r="G10175" s="8">
        <f t="shared" ref="G10175:G10180" si="334">H10175+(H10175*5%)</f>
        <v>77.048999999999992</v>
      </c>
      <c r="H10175" s="16">
        <v>73.38</v>
      </c>
      <c r="I10175" s="19">
        <f t="shared" ref="I10175:I10181" si="335">G10175*F10175</f>
        <v>539.34299999999996</v>
      </c>
    </row>
    <row r="10176" spans="1:9">
      <c r="A10176" s="82" t="s">
        <v>17474</v>
      </c>
      <c r="B10176" s="46"/>
      <c r="C10176" s="2" t="s">
        <v>17599</v>
      </c>
      <c r="D10176" s="32"/>
      <c r="E10176" s="2">
        <v>1</v>
      </c>
      <c r="F10176" s="9">
        <v>14</v>
      </c>
      <c r="G10176" s="8">
        <f t="shared" si="334"/>
        <v>821.9085</v>
      </c>
      <c r="H10176" s="16">
        <v>782.77</v>
      </c>
      <c r="I10176" s="19">
        <f t="shared" si="335"/>
        <v>11506.719000000001</v>
      </c>
    </row>
    <row r="10177" spans="1:10">
      <c r="A10177" s="82" t="s">
        <v>17474</v>
      </c>
      <c r="B10177" s="5">
        <v>121985</v>
      </c>
      <c r="C10177" s="2" t="s">
        <v>17600</v>
      </c>
      <c r="D10177" s="32"/>
      <c r="E10177" s="2">
        <v>1</v>
      </c>
      <c r="F10177" s="9">
        <v>91</v>
      </c>
      <c r="G10177" s="8">
        <f t="shared" si="334"/>
        <v>5.9535</v>
      </c>
      <c r="H10177" s="16">
        <v>5.67</v>
      </c>
      <c r="I10177" s="19">
        <f t="shared" si="335"/>
        <v>541.76850000000002</v>
      </c>
    </row>
    <row r="10178" spans="1:10">
      <c r="A10178" s="82" t="s">
        <v>17474</v>
      </c>
      <c r="B10178" s="5">
        <v>179141</v>
      </c>
      <c r="C10178" s="2" t="s">
        <v>17601</v>
      </c>
      <c r="D10178" s="32"/>
      <c r="E10178" s="2">
        <v>1</v>
      </c>
      <c r="F10178" s="9">
        <v>27</v>
      </c>
      <c r="G10178" s="8">
        <f t="shared" si="334"/>
        <v>7.4864999999999995</v>
      </c>
      <c r="H10178" s="16">
        <v>7.13</v>
      </c>
      <c r="I10178" s="19">
        <f t="shared" si="335"/>
        <v>202.13549999999998</v>
      </c>
    </row>
    <row r="10179" spans="1:10">
      <c r="A10179" s="82" t="s">
        <v>17474</v>
      </c>
      <c r="B10179" s="5">
        <v>179140</v>
      </c>
      <c r="C10179" t="s">
        <v>17602</v>
      </c>
      <c r="D10179" s="32"/>
      <c r="E10179" s="2">
        <v>1</v>
      </c>
      <c r="F10179" s="9">
        <v>19</v>
      </c>
      <c r="G10179" s="8">
        <f t="shared" si="334"/>
        <v>6.1004999999999994</v>
      </c>
      <c r="H10179" s="8">
        <v>5.81</v>
      </c>
      <c r="I10179" s="19">
        <f t="shared" si="335"/>
        <v>115.90949999999999</v>
      </c>
    </row>
    <row r="10180" spans="1:10">
      <c r="A10180" s="82" t="s">
        <v>17474</v>
      </c>
      <c r="B10180" s="5">
        <v>179139</v>
      </c>
      <c r="C10180" t="s">
        <v>17603</v>
      </c>
      <c r="D10180" s="32"/>
      <c r="E10180" s="2">
        <v>1</v>
      </c>
      <c r="F10180" s="9">
        <v>6</v>
      </c>
      <c r="G10180" s="8">
        <f t="shared" si="334"/>
        <v>4.7040000000000006</v>
      </c>
      <c r="H10180" s="8">
        <v>4.4800000000000004</v>
      </c>
      <c r="I10180" s="19">
        <f t="shared" si="335"/>
        <v>28.224000000000004</v>
      </c>
    </row>
    <row r="10181" spans="1:10" hidden="1">
      <c r="A10181" s="53" t="s">
        <v>17604</v>
      </c>
      <c r="B10181" s="46" t="s">
        <v>17605</v>
      </c>
      <c r="C10181" s="2" t="s">
        <v>17606</v>
      </c>
      <c r="D10181" s="32"/>
      <c r="E10181" s="2">
        <v>1</v>
      </c>
      <c r="F10181" s="9"/>
      <c r="G10181" s="8">
        <f t="shared" si="332"/>
        <v>1370.46</v>
      </c>
      <c r="H10181" s="16">
        <v>1305.2</v>
      </c>
      <c r="I10181" s="19">
        <f t="shared" si="335"/>
        <v>0</v>
      </c>
    </row>
    <row r="10182" spans="1:10" hidden="1">
      <c r="A10182" s="53" t="s">
        <v>17604</v>
      </c>
      <c r="B10182" s="46" t="s">
        <v>17607</v>
      </c>
      <c r="C10182" s="2" t="s">
        <v>17608</v>
      </c>
      <c r="D10182" s="32"/>
      <c r="E10182" s="2">
        <v>1</v>
      </c>
      <c r="F10182" s="9"/>
      <c r="G10182" s="8">
        <f t="shared" si="332"/>
        <v>23.551500000000001</v>
      </c>
      <c r="H10182" s="16">
        <v>22.43</v>
      </c>
      <c r="I10182" s="19">
        <f t="shared" si="333"/>
        <v>0</v>
      </c>
    </row>
    <row r="10183" spans="1:10" hidden="1">
      <c r="A10183" s="74" t="s">
        <v>17609</v>
      </c>
      <c r="B10183" s="5"/>
      <c r="C10183" s="35" t="s">
        <v>17610</v>
      </c>
      <c r="D10183" s="35"/>
      <c r="E10183" s="3">
        <v>1</v>
      </c>
      <c r="F10183" s="9"/>
      <c r="G10183" s="8"/>
      <c r="H10183" s="16">
        <v>41.5</v>
      </c>
      <c r="I10183" s="19">
        <f>H10185*F10183</f>
        <v>0</v>
      </c>
    </row>
    <row r="10184" spans="1:10" hidden="1">
      <c r="A10184" s="7" t="s">
        <v>17611</v>
      </c>
      <c r="B10184" s="5" t="s">
        <v>17612</v>
      </c>
      <c r="C10184" s="35" t="s">
        <v>17613</v>
      </c>
      <c r="D10184" s="35"/>
      <c r="E10184" s="3">
        <v>1</v>
      </c>
      <c r="F10184" s="9"/>
      <c r="G10184" s="8"/>
      <c r="H10184" s="16">
        <v>21.35</v>
      </c>
      <c r="I10184" s="19">
        <f t="shared" ref="I10184:I10215" si="336">F10184*H10184</f>
        <v>0</v>
      </c>
      <c r="J10184" s="63"/>
    </row>
    <row r="10185" spans="1:10" hidden="1">
      <c r="A10185" s="7" t="s">
        <v>17611</v>
      </c>
      <c r="B10185" s="5" t="s">
        <v>17614</v>
      </c>
      <c r="C10185" s="35" t="s">
        <v>17615</v>
      </c>
      <c r="D10185" s="35" t="s">
        <v>992</v>
      </c>
      <c r="E10185" s="3">
        <v>1</v>
      </c>
      <c r="F10185" s="9"/>
      <c r="G10185" s="8"/>
      <c r="H10185" s="16">
        <v>0.38</v>
      </c>
      <c r="I10185" s="19">
        <f t="shared" si="336"/>
        <v>0</v>
      </c>
    </row>
    <row r="10186" spans="1:10" hidden="1">
      <c r="A10186" s="7" t="s">
        <v>17611</v>
      </c>
      <c r="B10186" s="5" t="s">
        <v>17616</v>
      </c>
      <c r="C10186" s="35" t="s">
        <v>17617</v>
      </c>
      <c r="D10186" s="35"/>
      <c r="E10186" s="3">
        <v>1</v>
      </c>
      <c r="F10186" s="9"/>
      <c r="G10186" s="8"/>
      <c r="H10186" s="16">
        <v>697.5</v>
      </c>
      <c r="I10186" s="19">
        <f t="shared" si="336"/>
        <v>0</v>
      </c>
    </row>
    <row r="10187" spans="1:10" hidden="1">
      <c r="A10187" s="7" t="s">
        <v>17611</v>
      </c>
      <c r="B10187" s="5" t="s">
        <v>17618</v>
      </c>
      <c r="C10187" s="35" t="s">
        <v>17619</v>
      </c>
      <c r="D10187" s="35"/>
      <c r="E10187" s="3">
        <v>1</v>
      </c>
      <c r="F10187" s="9"/>
      <c r="G10187" s="8"/>
      <c r="H10187" s="16">
        <v>279</v>
      </c>
      <c r="I10187" s="19">
        <f t="shared" si="336"/>
        <v>0</v>
      </c>
    </row>
    <row r="10188" spans="1:10" hidden="1">
      <c r="A10188" s="7" t="s">
        <v>17611</v>
      </c>
      <c r="B10188" s="5" t="s">
        <v>17620</v>
      </c>
      <c r="C10188" s="35" t="s">
        <v>17621</v>
      </c>
      <c r="D10188" s="35"/>
      <c r="E10188" s="3">
        <v>1</v>
      </c>
      <c r="F10188" s="9"/>
      <c r="G10188" s="8"/>
      <c r="H10188" s="16">
        <v>281.32</v>
      </c>
      <c r="I10188" s="19">
        <f t="shared" si="336"/>
        <v>0</v>
      </c>
    </row>
    <row r="10189" spans="1:10" hidden="1">
      <c r="A10189" s="7" t="s">
        <v>17611</v>
      </c>
      <c r="B10189" s="5" t="s">
        <v>17622</v>
      </c>
      <c r="C10189" s="35" t="s">
        <v>17623</v>
      </c>
      <c r="D10189" s="35"/>
      <c r="E10189" s="3">
        <v>1</v>
      </c>
      <c r="F10189" s="9"/>
      <c r="G10189" s="8"/>
      <c r="H10189" s="16">
        <v>85</v>
      </c>
      <c r="I10189" s="19">
        <f t="shared" si="336"/>
        <v>0</v>
      </c>
    </row>
    <row r="10190" spans="1:10" hidden="1">
      <c r="A10190" s="7" t="s">
        <v>17611</v>
      </c>
      <c r="B10190" s="5" t="s">
        <v>17624</v>
      </c>
      <c r="C10190" s="35" t="s">
        <v>17625</v>
      </c>
      <c r="D10190" s="35"/>
      <c r="E10190" s="3">
        <v>1</v>
      </c>
      <c r="F10190" s="9"/>
      <c r="G10190" s="8"/>
      <c r="H10190" s="16">
        <v>499</v>
      </c>
      <c r="I10190" s="19">
        <f t="shared" si="336"/>
        <v>0</v>
      </c>
    </row>
    <row r="10191" spans="1:10">
      <c r="A10191" s="7" t="s">
        <v>17611</v>
      </c>
      <c r="B10191" s="5" t="s">
        <v>17626</v>
      </c>
      <c r="C10191" s="35" t="s">
        <v>17627</v>
      </c>
      <c r="D10191" s="35"/>
      <c r="E10191" s="3">
        <v>1</v>
      </c>
      <c r="F10191" s="9">
        <v>1</v>
      </c>
      <c r="G10191" s="8"/>
      <c r="H10191" s="16">
        <v>212.7</v>
      </c>
      <c r="I10191" s="19">
        <f t="shared" si="336"/>
        <v>212.7</v>
      </c>
    </row>
    <row r="10192" spans="1:10" hidden="1">
      <c r="A10192" s="7" t="s">
        <v>17611</v>
      </c>
      <c r="B10192" s="5" t="s">
        <v>17628</v>
      </c>
      <c r="C10192" s="35" t="s">
        <v>17629</v>
      </c>
      <c r="D10192" s="35"/>
      <c r="E10192" s="3">
        <v>1</v>
      </c>
      <c r="F10192" s="9"/>
      <c r="G10192" s="8"/>
      <c r="H10192" s="16">
        <v>239.88</v>
      </c>
      <c r="I10192" s="19">
        <f t="shared" si="336"/>
        <v>0</v>
      </c>
    </row>
    <row r="10193" spans="1:9" hidden="1">
      <c r="A10193" s="7" t="s">
        <v>17611</v>
      </c>
      <c r="B10193" s="5" t="s">
        <v>17630</v>
      </c>
      <c r="C10193" s="35" t="s">
        <v>17631</v>
      </c>
      <c r="D10193" s="35" t="s">
        <v>1117</v>
      </c>
      <c r="E10193" s="3">
        <v>1</v>
      </c>
      <c r="F10193" s="9"/>
      <c r="G10193" s="8"/>
      <c r="H10193" s="16">
        <v>18.02</v>
      </c>
      <c r="I10193" s="19">
        <f t="shared" si="336"/>
        <v>0</v>
      </c>
    </row>
    <row r="10194" spans="1:9" hidden="1">
      <c r="A10194" s="7" t="s">
        <v>17611</v>
      </c>
      <c r="B10194" s="5" t="s">
        <v>17632</v>
      </c>
      <c r="C10194" s="35" t="s">
        <v>17633</v>
      </c>
      <c r="D10194" s="35"/>
      <c r="E10194" s="3">
        <v>1</v>
      </c>
      <c r="F10194" s="9"/>
      <c r="G10194" s="8"/>
      <c r="H10194" s="16">
        <v>29.75</v>
      </c>
      <c r="I10194" s="19">
        <f t="shared" si="336"/>
        <v>0</v>
      </c>
    </row>
    <row r="10195" spans="1:9">
      <c r="A10195" s="7" t="s">
        <v>17611</v>
      </c>
      <c r="B10195" s="5" t="s">
        <v>17634</v>
      </c>
      <c r="C10195" s="35" t="s">
        <v>17635</v>
      </c>
      <c r="D10195" s="35" t="s">
        <v>1117</v>
      </c>
      <c r="E10195" s="3">
        <v>1</v>
      </c>
      <c r="F10195" s="9">
        <v>1</v>
      </c>
      <c r="G10195" s="8"/>
      <c r="H10195" s="16">
        <v>14.88</v>
      </c>
      <c r="I10195" s="19">
        <f t="shared" si="336"/>
        <v>14.88</v>
      </c>
    </row>
    <row r="10196" spans="1:9">
      <c r="A10196" s="7" t="s">
        <v>17611</v>
      </c>
      <c r="B10196" s="5" t="s">
        <v>17636</v>
      </c>
      <c r="C10196" s="35" t="s">
        <v>17637</v>
      </c>
      <c r="D10196" s="35" t="s">
        <v>992</v>
      </c>
      <c r="E10196" s="3">
        <v>1</v>
      </c>
      <c r="F10196" s="9">
        <v>3</v>
      </c>
      <c r="G10196" s="8"/>
      <c r="H10196" s="16">
        <v>0.21</v>
      </c>
      <c r="I10196" s="19">
        <f t="shared" si="336"/>
        <v>0.63</v>
      </c>
    </row>
    <row r="10197" spans="1:9">
      <c r="A10197" s="7" t="s">
        <v>17611</v>
      </c>
      <c r="B10197" s="5" t="s">
        <v>17638</v>
      </c>
      <c r="C10197" s="35" t="s">
        <v>17639</v>
      </c>
      <c r="D10197" s="35"/>
      <c r="E10197" s="3">
        <v>1</v>
      </c>
      <c r="F10197" s="9">
        <v>1</v>
      </c>
      <c r="G10197" s="8"/>
      <c r="H10197" s="16">
        <v>22.64</v>
      </c>
      <c r="I10197" s="19">
        <f t="shared" si="336"/>
        <v>22.64</v>
      </c>
    </row>
    <row r="10198" spans="1:9">
      <c r="A10198" s="7" t="s">
        <v>17611</v>
      </c>
      <c r="B10198" s="5" t="s">
        <v>17640</v>
      </c>
      <c r="C10198" s="35" t="s">
        <v>17641</v>
      </c>
      <c r="D10198" s="35" t="s">
        <v>17642</v>
      </c>
      <c r="E10198" s="3">
        <v>1</v>
      </c>
      <c r="F10198" s="9">
        <f>1+(23/40)</f>
        <v>1.575</v>
      </c>
      <c r="G10198" s="8"/>
      <c r="H10198" s="16">
        <v>86.77</v>
      </c>
      <c r="I10198" s="19">
        <f t="shared" si="336"/>
        <v>136.66274999999999</v>
      </c>
    </row>
    <row r="10199" spans="1:9">
      <c r="A10199" s="7" t="s">
        <v>17611</v>
      </c>
      <c r="B10199" s="31" t="s">
        <v>17643</v>
      </c>
      <c r="C10199" s="35" t="s">
        <v>17644</v>
      </c>
      <c r="D10199" s="35" t="s">
        <v>17642</v>
      </c>
      <c r="E10199" s="3">
        <v>1</v>
      </c>
      <c r="F10199" s="9">
        <f>1+(95/200)</f>
        <v>1.4750000000000001</v>
      </c>
      <c r="G10199" s="8"/>
      <c r="H10199" s="16">
        <v>44</v>
      </c>
      <c r="I10199" s="19">
        <f t="shared" si="336"/>
        <v>64.900000000000006</v>
      </c>
    </row>
    <row r="10200" spans="1:9" hidden="1">
      <c r="A10200" s="7" t="s">
        <v>17611</v>
      </c>
      <c r="B10200" s="5" t="s">
        <v>17645</v>
      </c>
      <c r="C10200" s="35" t="s">
        <v>17646</v>
      </c>
      <c r="D10200" s="35" t="s">
        <v>812</v>
      </c>
      <c r="E10200" s="3">
        <v>1</v>
      </c>
      <c r="F10200" s="9"/>
      <c r="G10200" s="8"/>
      <c r="H10200" s="16">
        <v>91.55</v>
      </c>
      <c r="I10200" s="19">
        <f t="shared" si="336"/>
        <v>0</v>
      </c>
    </row>
    <row r="10201" spans="1:9">
      <c r="A10201" s="7" t="s">
        <v>17611</v>
      </c>
      <c r="B10201" s="5"/>
      <c r="C10201" s="35" t="s">
        <v>17647</v>
      </c>
      <c r="D10201" s="35"/>
      <c r="E10201" s="3"/>
      <c r="F10201" s="9">
        <v>8</v>
      </c>
      <c r="G10201" s="8"/>
      <c r="H10201" s="16">
        <v>30.19</v>
      </c>
      <c r="I10201" s="19">
        <f t="shared" si="336"/>
        <v>241.52</v>
      </c>
    </row>
    <row r="10202" spans="1:9">
      <c r="A10202" s="7" t="s">
        <v>17611</v>
      </c>
      <c r="B10202" s="5" t="s">
        <v>17648</v>
      </c>
      <c r="C10202" s="35" t="s">
        <v>17649</v>
      </c>
      <c r="D10202" s="35"/>
      <c r="E10202" s="3">
        <v>1</v>
      </c>
      <c r="F10202" s="9">
        <v>2</v>
      </c>
      <c r="G10202" s="8"/>
      <c r="H10202" s="16">
        <v>112.8</v>
      </c>
      <c r="I10202" s="19">
        <f t="shared" si="336"/>
        <v>225.6</v>
      </c>
    </row>
    <row r="10203" spans="1:9">
      <c r="A10203" s="7" t="s">
        <v>17611</v>
      </c>
      <c r="B10203" s="5" t="s">
        <v>17650</v>
      </c>
      <c r="C10203" s="35" t="s">
        <v>17651</v>
      </c>
      <c r="D10203" s="35"/>
      <c r="E10203" s="3">
        <v>1</v>
      </c>
      <c r="F10203" s="9">
        <f>3+(2/3)</f>
        <v>3.6666666666666665</v>
      </c>
      <c r="G10203" s="8"/>
      <c r="H10203" s="16">
        <v>110.59</v>
      </c>
      <c r="I10203" s="19">
        <f t="shared" si="336"/>
        <v>405.49666666666667</v>
      </c>
    </row>
    <row r="10204" spans="1:9" hidden="1">
      <c r="A10204" s="7" t="s">
        <v>17611</v>
      </c>
      <c r="B10204" s="5" t="s">
        <v>17652</v>
      </c>
      <c r="C10204" s="35" t="s">
        <v>17653</v>
      </c>
      <c r="D10204" s="35"/>
      <c r="E10204" s="3">
        <v>1</v>
      </c>
      <c r="F10204" s="9"/>
      <c r="G10204" s="8"/>
      <c r="H10204" s="16">
        <v>6.3</v>
      </c>
      <c r="I10204" s="19">
        <f t="shared" si="336"/>
        <v>0</v>
      </c>
    </row>
    <row r="10205" spans="1:9" hidden="1">
      <c r="A10205" s="7" t="s">
        <v>17611</v>
      </c>
      <c r="B10205" s="5" t="s">
        <v>17654</v>
      </c>
      <c r="C10205" s="35" t="s">
        <v>17655</v>
      </c>
      <c r="D10205" s="35"/>
      <c r="E10205" s="3">
        <v>1</v>
      </c>
      <c r="F10205" s="9"/>
      <c r="G10205" s="8"/>
      <c r="H10205" s="16">
        <v>6.72</v>
      </c>
      <c r="I10205" s="19">
        <f t="shared" si="336"/>
        <v>0</v>
      </c>
    </row>
    <row r="10206" spans="1:9" hidden="1">
      <c r="A10206" s="7" t="s">
        <v>17611</v>
      </c>
      <c r="B10206" s="5" t="s">
        <v>17656</v>
      </c>
      <c r="C10206" s="35" t="s">
        <v>17657</v>
      </c>
      <c r="D10206" s="35" t="s">
        <v>1117</v>
      </c>
      <c r="E10206" s="3">
        <v>1</v>
      </c>
      <c r="F10206" s="9"/>
      <c r="G10206" s="8"/>
      <c r="H10206" s="16">
        <v>0.12</v>
      </c>
      <c r="I10206" s="19">
        <f t="shared" si="336"/>
        <v>0</v>
      </c>
    </row>
    <row r="10207" spans="1:9" hidden="1">
      <c r="A10207" s="7" t="s">
        <v>17611</v>
      </c>
      <c r="B10207" s="5" t="s">
        <v>17658</v>
      </c>
      <c r="C10207" s="35" t="s">
        <v>17659</v>
      </c>
      <c r="D10207" s="35" t="s">
        <v>17642</v>
      </c>
      <c r="E10207" s="3">
        <v>1</v>
      </c>
      <c r="F10207" s="9"/>
      <c r="G10207" s="8"/>
      <c r="H10207" s="16">
        <v>86.7</v>
      </c>
      <c r="I10207" s="19">
        <f t="shared" si="336"/>
        <v>0</v>
      </c>
    </row>
    <row r="10208" spans="1:9" hidden="1">
      <c r="A10208" s="7" t="s">
        <v>17611</v>
      </c>
      <c r="B10208" s="5" t="s">
        <v>17660</v>
      </c>
      <c r="C10208" s="35" t="s">
        <v>17661</v>
      </c>
      <c r="D10208" s="35"/>
      <c r="E10208" s="3">
        <v>1</v>
      </c>
      <c r="F10208" s="9"/>
      <c r="G10208" s="8"/>
      <c r="H10208" s="16">
        <v>198</v>
      </c>
      <c r="I10208" s="19">
        <f t="shared" si="336"/>
        <v>0</v>
      </c>
    </row>
    <row r="10209" spans="1:9" hidden="1">
      <c r="A10209" s="7" t="s">
        <v>17611</v>
      </c>
      <c r="B10209" s="5" t="s">
        <v>17662</v>
      </c>
      <c r="C10209" s="35" t="s">
        <v>17663</v>
      </c>
      <c r="D10209" s="35"/>
      <c r="E10209" s="3">
        <v>1</v>
      </c>
      <c r="F10209" s="9"/>
      <c r="G10209" s="8"/>
      <c r="H10209" s="16">
        <v>111</v>
      </c>
      <c r="I10209" s="19">
        <f t="shared" si="336"/>
        <v>0</v>
      </c>
    </row>
    <row r="10210" spans="1:9" hidden="1">
      <c r="A10210" s="7" t="s">
        <v>17611</v>
      </c>
      <c r="B10210" s="5" t="s">
        <v>17664</v>
      </c>
      <c r="C10210" s="35" t="s">
        <v>17665</v>
      </c>
      <c r="D10210" s="35"/>
      <c r="E10210" s="3">
        <v>1</v>
      </c>
      <c r="F10210" s="9"/>
      <c r="G10210" s="8"/>
      <c r="H10210" s="16">
        <v>160.5</v>
      </c>
      <c r="I10210" s="19">
        <f t="shared" si="336"/>
        <v>0</v>
      </c>
    </row>
    <row r="10211" spans="1:9">
      <c r="A10211" s="7" t="s">
        <v>17611</v>
      </c>
      <c r="B10211" s="5" t="s">
        <v>17666</v>
      </c>
      <c r="C10211" s="35" t="s">
        <v>17667</v>
      </c>
      <c r="D10211" s="35"/>
      <c r="E10211" s="3">
        <v>1</v>
      </c>
      <c r="F10211" s="9">
        <f>(7*36)+14</f>
        <v>266</v>
      </c>
      <c r="G10211" s="8"/>
      <c r="H10211" s="16">
        <v>2.74</v>
      </c>
      <c r="I10211" s="19">
        <f t="shared" si="336"/>
        <v>728.84</v>
      </c>
    </row>
    <row r="10212" spans="1:9" hidden="1">
      <c r="A10212" s="7" t="s">
        <v>17611</v>
      </c>
      <c r="B10212" s="5" t="s">
        <v>17668</v>
      </c>
      <c r="C10212" s="35" t="s">
        <v>17669</v>
      </c>
      <c r="D10212" s="35"/>
      <c r="E10212" s="3">
        <v>1</v>
      </c>
      <c r="F10212" s="9"/>
      <c r="G10212" s="8"/>
      <c r="H10212" s="16">
        <v>33.61</v>
      </c>
      <c r="I10212" s="19">
        <f t="shared" si="336"/>
        <v>0</v>
      </c>
    </row>
    <row r="10213" spans="1:9" hidden="1">
      <c r="A10213" s="7" t="s">
        <v>17611</v>
      </c>
      <c r="B10213" s="5" t="s">
        <v>17670</v>
      </c>
      <c r="C10213" s="35" t="s">
        <v>17671</v>
      </c>
      <c r="D10213" s="35"/>
      <c r="E10213" s="3">
        <v>1</v>
      </c>
      <c r="F10213" s="9"/>
      <c r="G10213" s="8"/>
      <c r="H10213" s="16">
        <v>138.69999999999999</v>
      </c>
      <c r="I10213" s="19">
        <f t="shared" si="336"/>
        <v>0</v>
      </c>
    </row>
    <row r="10214" spans="1:9">
      <c r="A10214" s="7" t="s">
        <v>17611</v>
      </c>
      <c r="B10214" s="5" t="s">
        <v>17672</v>
      </c>
      <c r="C10214" s="35" t="s">
        <v>17673</v>
      </c>
      <c r="D10214" s="35"/>
      <c r="E10214" s="3">
        <v>1</v>
      </c>
      <c r="F10214" s="9">
        <v>2</v>
      </c>
      <c r="G10214" s="8"/>
      <c r="H10214" s="16">
        <v>42.11</v>
      </c>
      <c r="I10214" s="19">
        <f t="shared" si="336"/>
        <v>84.22</v>
      </c>
    </row>
    <row r="10215" spans="1:9">
      <c r="A10215" s="7" t="s">
        <v>17611</v>
      </c>
      <c r="B10215" s="5" t="s">
        <v>17674</v>
      </c>
      <c r="C10215" s="35" t="s">
        <v>17675</v>
      </c>
      <c r="D10215" s="35"/>
      <c r="E10215" s="3">
        <v>1</v>
      </c>
      <c r="F10215" s="9">
        <f>3+5</f>
        <v>8</v>
      </c>
      <c r="G10215" s="8"/>
      <c r="H10215" s="16">
        <v>90.54</v>
      </c>
      <c r="I10215" s="19">
        <f t="shared" si="336"/>
        <v>724.32</v>
      </c>
    </row>
    <row r="10216" spans="1:9">
      <c r="A10216" s="7" t="s">
        <v>17611</v>
      </c>
      <c r="B10216" s="5" t="s">
        <v>17676</v>
      </c>
      <c r="C10216" s="35" t="s">
        <v>17677</v>
      </c>
      <c r="D10216" s="35"/>
      <c r="E10216" s="3">
        <v>1</v>
      </c>
      <c r="F10216" s="9">
        <v>2</v>
      </c>
      <c r="G10216" s="8"/>
      <c r="H10216" s="16">
        <v>143.32</v>
      </c>
      <c r="I10216" s="19">
        <f t="shared" ref="I10216:I10247" si="337">F10216*H10216</f>
        <v>286.64</v>
      </c>
    </row>
    <row r="10217" spans="1:9">
      <c r="A10217" s="7" t="s">
        <v>17611</v>
      </c>
      <c r="B10217" s="5" t="s">
        <v>17678</v>
      </c>
      <c r="C10217" s="35" t="s">
        <v>17679</v>
      </c>
      <c r="D10217" s="35"/>
      <c r="E10217" s="3">
        <v>1</v>
      </c>
      <c r="F10217" s="9">
        <v>2</v>
      </c>
      <c r="G10217" s="8"/>
      <c r="H10217" s="16">
        <v>130.94999999999999</v>
      </c>
      <c r="I10217" s="19">
        <f t="shared" si="337"/>
        <v>261.89999999999998</v>
      </c>
    </row>
    <row r="10218" spans="1:9" hidden="1">
      <c r="A10218" s="7" t="s">
        <v>17611</v>
      </c>
      <c r="B10218" s="5" t="s">
        <v>17680</v>
      </c>
      <c r="C10218" s="35" t="s">
        <v>17681</v>
      </c>
      <c r="D10218" s="35"/>
      <c r="E10218" s="3">
        <v>1</v>
      </c>
      <c r="F10218" s="9"/>
      <c r="G10218" s="8"/>
      <c r="H10218" s="16">
        <v>19.97</v>
      </c>
      <c r="I10218" s="19">
        <f t="shared" si="337"/>
        <v>0</v>
      </c>
    </row>
    <row r="10219" spans="1:9">
      <c r="A10219" s="7" t="s">
        <v>17611</v>
      </c>
      <c r="B10219" s="5" t="s">
        <v>17682</v>
      </c>
      <c r="C10219" s="35" t="s">
        <v>17683</v>
      </c>
      <c r="D10219" s="35"/>
      <c r="E10219" s="3">
        <v>1</v>
      </c>
      <c r="F10219" s="9">
        <v>1</v>
      </c>
      <c r="G10219" s="8"/>
      <c r="H10219" s="16">
        <v>14.51</v>
      </c>
      <c r="I10219" s="19">
        <f t="shared" si="337"/>
        <v>14.51</v>
      </c>
    </row>
    <row r="10220" spans="1:9">
      <c r="A10220" s="7" t="s">
        <v>17611</v>
      </c>
      <c r="B10220" s="5" t="s">
        <v>17684</v>
      </c>
      <c r="C10220" s="35" t="s">
        <v>17685</v>
      </c>
      <c r="D10220" s="35" t="s">
        <v>992</v>
      </c>
      <c r="E10220" s="3">
        <v>1</v>
      </c>
      <c r="F10220" s="9">
        <f>11+(3/20)</f>
        <v>11.15</v>
      </c>
      <c r="G10220" s="8"/>
      <c r="H10220" s="16">
        <v>56.1</v>
      </c>
      <c r="I10220" s="19">
        <f t="shared" si="337"/>
        <v>625.51499999999999</v>
      </c>
    </row>
    <row r="10221" spans="1:9" hidden="1">
      <c r="A10221" s="7" t="s">
        <v>17611</v>
      </c>
      <c r="B10221" s="5" t="s">
        <v>17686</v>
      </c>
      <c r="C10221" s="35" t="s">
        <v>17687</v>
      </c>
      <c r="D10221" s="35"/>
      <c r="E10221" s="3">
        <v>1</v>
      </c>
      <c r="F10221" s="9"/>
      <c r="G10221" s="8"/>
      <c r="H10221" s="16">
        <v>4.1900000000000004</v>
      </c>
      <c r="I10221" s="19">
        <f t="shared" si="337"/>
        <v>0</v>
      </c>
    </row>
    <row r="10222" spans="1:9" hidden="1">
      <c r="A10222" s="7" t="s">
        <v>17611</v>
      </c>
      <c r="B10222" s="5" t="s">
        <v>17688</v>
      </c>
      <c r="C10222" s="35" t="s">
        <v>17689</v>
      </c>
      <c r="D10222" s="35"/>
      <c r="E10222" s="3">
        <v>1</v>
      </c>
      <c r="F10222" s="9"/>
      <c r="G10222" s="8"/>
      <c r="H10222" s="16">
        <v>31.6</v>
      </c>
      <c r="I10222" s="19">
        <f t="shared" si="337"/>
        <v>0</v>
      </c>
    </row>
    <row r="10223" spans="1:9">
      <c r="A10223" s="7" t="s">
        <v>17611</v>
      </c>
      <c r="B10223" s="5" t="s">
        <v>17690</v>
      </c>
      <c r="C10223" s="35" t="s">
        <v>17691</v>
      </c>
      <c r="D10223" s="35"/>
      <c r="E10223" s="3">
        <v>1</v>
      </c>
      <c r="F10223" s="9">
        <v>3</v>
      </c>
      <c r="G10223" s="8"/>
      <c r="H10223" s="16">
        <v>24.17</v>
      </c>
      <c r="I10223" s="19">
        <f t="shared" si="337"/>
        <v>72.510000000000005</v>
      </c>
    </row>
    <row r="10224" spans="1:9">
      <c r="A10224" s="7" t="s">
        <v>17611</v>
      </c>
      <c r="B10224" s="5" t="s">
        <v>17692</v>
      </c>
      <c r="C10224" s="35" t="s">
        <v>17693</v>
      </c>
      <c r="D10224" s="35" t="s">
        <v>17642</v>
      </c>
      <c r="E10224" s="3">
        <v>1</v>
      </c>
      <c r="F10224" s="9">
        <v>3</v>
      </c>
      <c r="G10224" s="8"/>
      <c r="H10224" s="16">
        <v>10.029999999999999</v>
      </c>
      <c r="I10224" s="19">
        <f t="shared" si="337"/>
        <v>30.089999999999996</v>
      </c>
    </row>
    <row r="10225" spans="1:9">
      <c r="A10225" s="7" t="s">
        <v>17611</v>
      </c>
      <c r="B10225" s="5" t="s">
        <v>17694</v>
      </c>
      <c r="C10225" s="35" t="s">
        <v>17695</v>
      </c>
      <c r="D10225" s="35"/>
      <c r="E10225" s="3">
        <v>1</v>
      </c>
      <c r="F10225" s="9">
        <v>3</v>
      </c>
      <c r="G10225" s="8"/>
      <c r="H10225" s="16">
        <v>23.92</v>
      </c>
      <c r="I10225" s="19">
        <f t="shared" si="337"/>
        <v>71.760000000000005</v>
      </c>
    </row>
    <row r="10226" spans="1:9" hidden="1">
      <c r="A10226" s="7" t="s">
        <v>17611</v>
      </c>
      <c r="B10226" s="5" t="s">
        <v>17696</v>
      </c>
      <c r="C10226" s="35" t="s">
        <v>17697</v>
      </c>
      <c r="D10226" s="35" t="s">
        <v>1117</v>
      </c>
      <c r="E10226" s="3">
        <v>1</v>
      </c>
      <c r="F10226" s="9"/>
      <c r="G10226" s="8"/>
      <c r="H10226" s="16">
        <v>47</v>
      </c>
      <c r="I10226" s="19">
        <f t="shared" si="337"/>
        <v>0</v>
      </c>
    </row>
    <row r="10227" spans="1:9">
      <c r="A10227" s="7" t="s">
        <v>17611</v>
      </c>
      <c r="B10227" s="5" t="s">
        <v>17698</v>
      </c>
      <c r="C10227" s="35" t="s">
        <v>17699</v>
      </c>
      <c r="D10227" s="35" t="s">
        <v>992</v>
      </c>
      <c r="E10227" s="3">
        <v>1</v>
      </c>
      <c r="F10227" s="9">
        <v>4</v>
      </c>
      <c r="G10227" s="8"/>
      <c r="H10227" s="16">
        <v>21.04</v>
      </c>
      <c r="I10227" s="19">
        <f t="shared" si="337"/>
        <v>84.16</v>
      </c>
    </row>
    <row r="10228" spans="1:9">
      <c r="A10228" s="7" t="s">
        <v>17611</v>
      </c>
      <c r="B10228" s="5" t="s">
        <v>17700</v>
      </c>
      <c r="C10228" s="35" t="s">
        <v>17701</v>
      </c>
      <c r="D10228" s="35"/>
      <c r="E10228" s="3">
        <v>1</v>
      </c>
      <c r="F10228" s="9">
        <v>10</v>
      </c>
      <c r="G10228" s="8"/>
      <c r="H10228" s="16">
        <v>2.4</v>
      </c>
      <c r="I10228" s="19">
        <f t="shared" si="337"/>
        <v>24</v>
      </c>
    </row>
    <row r="10229" spans="1:9" hidden="1">
      <c r="A10229" s="7" t="s">
        <v>17611</v>
      </c>
      <c r="B10229" s="5" t="s">
        <v>17702</v>
      </c>
      <c r="C10229" s="35" t="s">
        <v>17703</v>
      </c>
      <c r="D10229" s="35"/>
      <c r="E10229" s="3">
        <v>1</v>
      </c>
      <c r="F10229" s="9"/>
      <c r="G10229" s="8"/>
      <c r="H10229" s="16">
        <v>70</v>
      </c>
      <c r="I10229" s="19">
        <f t="shared" si="337"/>
        <v>0</v>
      </c>
    </row>
    <row r="10230" spans="1:9">
      <c r="A10230" s="7" t="s">
        <v>17611</v>
      </c>
      <c r="B10230" s="5" t="s">
        <v>17704</v>
      </c>
      <c r="C10230" s="35" t="s">
        <v>17705</v>
      </c>
      <c r="D10230" s="35"/>
      <c r="E10230" s="3">
        <v>1</v>
      </c>
      <c r="F10230" s="9">
        <f>2+(88/110)</f>
        <v>2.8</v>
      </c>
      <c r="G10230" s="8"/>
      <c r="H10230" s="16">
        <v>2.23</v>
      </c>
      <c r="I10230" s="19">
        <f t="shared" si="337"/>
        <v>6.2439999999999998</v>
      </c>
    </row>
    <row r="10231" spans="1:9" hidden="1">
      <c r="A10231" s="7" t="s">
        <v>17611</v>
      </c>
      <c r="B10231" s="5" t="s">
        <v>17706</v>
      </c>
      <c r="C10231" s="35" t="s">
        <v>17707</v>
      </c>
      <c r="D10231" s="35"/>
      <c r="E10231" s="3">
        <v>1</v>
      </c>
      <c r="F10231" s="9"/>
      <c r="G10231" s="8"/>
      <c r="H10231" s="16">
        <v>1.98</v>
      </c>
      <c r="I10231" s="19">
        <f t="shared" si="337"/>
        <v>0</v>
      </c>
    </row>
    <row r="10232" spans="1:9" hidden="1">
      <c r="A10232" s="7" t="s">
        <v>17611</v>
      </c>
      <c r="B10232" s="5" t="s">
        <v>17708</v>
      </c>
      <c r="C10232" s="35" t="s">
        <v>17709</v>
      </c>
      <c r="D10232" s="35"/>
      <c r="E10232" s="3">
        <v>1</v>
      </c>
      <c r="F10232" s="9"/>
      <c r="G10232" s="8"/>
      <c r="H10232" s="16">
        <v>1.9</v>
      </c>
      <c r="I10232" s="19">
        <f t="shared" si="337"/>
        <v>0</v>
      </c>
    </row>
    <row r="10233" spans="1:9">
      <c r="A10233" s="7" t="s">
        <v>17611</v>
      </c>
      <c r="B10233" s="5" t="s">
        <v>17710</v>
      </c>
      <c r="C10233" s="35" t="s">
        <v>17711</v>
      </c>
      <c r="D10233" s="35"/>
      <c r="E10233" s="3">
        <v>1</v>
      </c>
      <c r="F10233" s="9">
        <v>2</v>
      </c>
      <c r="G10233" s="8"/>
      <c r="H10233" s="16">
        <v>84.32</v>
      </c>
      <c r="I10233" s="19">
        <f t="shared" si="337"/>
        <v>168.64</v>
      </c>
    </row>
    <row r="10234" spans="1:9">
      <c r="A10234" s="7" t="s">
        <v>17611</v>
      </c>
      <c r="B10234" s="5" t="s">
        <v>17712</v>
      </c>
      <c r="C10234" s="35" t="s">
        <v>17713</v>
      </c>
      <c r="D10234" s="35"/>
      <c r="E10234" s="3">
        <v>1</v>
      </c>
      <c r="F10234" s="9">
        <v>4</v>
      </c>
      <c r="G10234" s="8"/>
      <c r="H10234" s="16">
        <v>74.23</v>
      </c>
      <c r="I10234" s="19">
        <f t="shared" si="337"/>
        <v>296.92</v>
      </c>
    </row>
    <row r="10235" spans="1:9">
      <c r="A10235" s="7" t="s">
        <v>17611</v>
      </c>
      <c r="B10235" s="5" t="s">
        <v>17714</v>
      </c>
      <c r="C10235" s="35" t="s">
        <v>17715</v>
      </c>
      <c r="D10235" s="35"/>
      <c r="E10235" s="3">
        <v>1</v>
      </c>
      <c r="F10235" s="9">
        <v>1</v>
      </c>
      <c r="G10235" s="8"/>
      <c r="H10235" s="16">
        <v>52.24</v>
      </c>
      <c r="I10235" s="19">
        <f t="shared" si="337"/>
        <v>52.24</v>
      </c>
    </row>
    <row r="10236" spans="1:9" hidden="1">
      <c r="A10236" s="7" t="s">
        <v>17611</v>
      </c>
      <c r="B10236" s="5" t="s">
        <v>17716</v>
      </c>
      <c r="C10236" s="35" t="s">
        <v>17717</v>
      </c>
      <c r="D10236" s="35" t="s">
        <v>17642</v>
      </c>
      <c r="E10236" s="3">
        <v>1</v>
      </c>
      <c r="F10236" s="9"/>
      <c r="G10236" s="8"/>
      <c r="H10236" s="16">
        <v>49.73</v>
      </c>
      <c r="I10236" s="19">
        <f t="shared" si="337"/>
        <v>0</v>
      </c>
    </row>
    <row r="10237" spans="1:9">
      <c r="A10237" s="7" t="s">
        <v>17611</v>
      </c>
      <c r="B10237" s="5" t="s">
        <v>17718</v>
      </c>
      <c r="C10237" s="35" t="s">
        <v>17719</v>
      </c>
      <c r="D10237" s="35"/>
      <c r="E10237" s="3">
        <v>1</v>
      </c>
      <c r="F10237" s="9">
        <f>1+(1/15)</f>
        <v>1.0666666666666667</v>
      </c>
      <c r="G10237" s="8"/>
      <c r="H10237" s="16">
        <v>69.53</v>
      </c>
      <c r="I10237" s="19">
        <f t="shared" si="337"/>
        <v>74.165333333333336</v>
      </c>
    </row>
    <row r="10238" spans="1:9">
      <c r="A10238" s="7" t="s">
        <v>17611</v>
      </c>
      <c r="B10238" s="5" t="s">
        <v>17720</v>
      </c>
      <c r="C10238" s="35" t="s">
        <v>17721</v>
      </c>
      <c r="D10238" s="35"/>
      <c r="E10238" s="3">
        <v>1</v>
      </c>
      <c r="F10238" s="9">
        <f>4+(1/15)</f>
        <v>4.0666666666666664</v>
      </c>
      <c r="G10238" s="8"/>
      <c r="H10238" s="16">
        <v>74.94</v>
      </c>
      <c r="I10238" s="19">
        <f t="shared" si="337"/>
        <v>304.75599999999997</v>
      </c>
    </row>
    <row r="10239" spans="1:9">
      <c r="A10239" s="7" t="s">
        <v>17611</v>
      </c>
      <c r="B10239" s="5" t="s">
        <v>17722</v>
      </c>
      <c r="C10239" s="35" t="s">
        <v>17723</v>
      </c>
      <c r="D10239" s="35" t="s">
        <v>17642</v>
      </c>
      <c r="E10239" s="3">
        <v>1</v>
      </c>
      <c r="F10239" s="9">
        <v>7</v>
      </c>
      <c r="G10239" s="8"/>
      <c r="H10239" s="16">
        <v>42.49</v>
      </c>
      <c r="I10239" s="19">
        <f t="shared" si="337"/>
        <v>297.43</v>
      </c>
    </row>
    <row r="10240" spans="1:9">
      <c r="A10240" s="7" t="s">
        <v>17611</v>
      </c>
      <c r="B10240" s="5" t="s">
        <v>17724</v>
      </c>
      <c r="C10240" s="35" t="s">
        <v>17725</v>
      </c>
      <c r="D10240" s="35" t="s">
        <v>17642</v>
      </c>
      <c r="E10240" s="3">
        <v>1</v>
      </c>
      <c r="F10240" s="9">
        <v>2</v>
      </c>
      <c r="G10240" s="8"/>
      <c r="H10240" s="16">
        <v>42.49</v>
      </c>
      <c r="I10240" s="19">
        <f t="shared" si="337"/>
        <v>84.98</v>
      </c>
    </row>
    <row r="10241" spans="1:9">
      <c r="A10241" s="7" t="s">
        <v>17611</v>
      </c>
      <c r="B10241" s="5" t="s">
        <v>17726</v>
      </c>
      <c r="C10241" s="35" t="s">
        <v>17727</v>
      </c>
      <c r="D10241" s="35" t="s">
        <v>17642</v>
      </c>
      <c r="E10241" s="3">
        <v>1</v>
      </c>
      <c r="F10241" s="9">
        <v>7</v>
      </c>
      <c r="G10241" s="8"/>
      <c r="H10241" s="16">
        <v>41.99</v>
      </c>
      <c r="I10241" s="19">
        <f t="shared" si="337"/>
        <v>293.93</v>
      </c>
    </row>
    <row r="10242" spans="1:9">
      <c r="A10242" s="7" t="s">
        <v>17611</v>
      </c>
      <c r="B10242" s="5" t="s">
        <v>17728</v>
      </c>
      <c r="C10242" s="35" t="s">
        <v>17729</v>
      </c>
      <c r="D10242" s="35" t="s">
        <v>17642</v>
      </c>
      <c r="E10242" s="3">
        <v>1</v>
      </c>
      <c r="F10242" s="9">
        <v>1</v>
      </c>
      <c r="G10242" s="8"/>
      <c r="H10242" s="16">
        <v>32.85</v>
      </c>
      <c r="I10242" s="19">
        <f t="shared" si="337"/>
        <v>32.85</v>
      </c>
    </row>
    <row r="10243" spans="1:9">
      <c r="A10243" s="7" t="s">
        <v>17611</v>
      </c>
      <c r="B10243" s="5" t="s">
        <v>17730</v>
      </c>
      <c r="C10243" s="35" t="s">
        <v>17731</v>
      </c>
      <c r="D10243" s="35" t="s">
        <v>17642</v>
      </c>
      <c r="E10243" s="3">
        <v>1</v>
      </c>
      <c r="F10243" s="9">
        <f>10+(3/10)</f>
        <v>10.3</v>
      </c>
      <c r="G10243" s="8"/>
      <c r="H10243" s="16">
        <v>30.6</v>
      </c>
      <c r="I10243" s="19">
        <f t="shared" si="337"/>
        <v>315.18000000000006</v>
      </c>
    </row>
    <row r="10244" spans="1:9">
      <c r="A10244" s="7" t="s">
        <v>17611</v>
      </c>
      <c r="B10244" s="5"/>
      <c r="C10244" s="35" t="s">
        <v>17732</v>
      </c>
      <c r="D10244" s="35"/>
      <c r="E10244" s="3">
        <v>1</v>
      </c>
      <c r="F10244" s="9">
        <v>11</v>
      </c>
      <c r="G10244" s="8"/>
      <c r="H10244" s="16">
        <v>53.57</v>
      </c>
      <c r="I10244" s="19">
        <f t="shared" si="337"/>
        <v>589.27</v>
      </c>
    </row>
    <row r="10245" spans="1:9" hidden="1">
      <c r="A10245" s="7" t="s">
        <v>17611</v>
      </c>
      <c r="B10245" s="5" t="s">
        <v>17733</v>
      </c>
      <c r="C10245" s="35" t="s">
        <v>17734</v>
      </c>
      <c r="D10245" s="35"/>
      <c r="E10245" s="3">
        <v>1</v>
      </c>
      <c r="F10245" s="9"/>
      <c r="G10245" s="8"/>
      <c r="H10245" s="16">
        <v>4.24</v>
      </c>
      <c r="I10245" s="19">
        <f t="shared" si="337"/>
        <v>0</v>
      </c>
    </row>
    <row r="10246" spans="1:9">
      <c r="A10246" s="7" t="s">
        <v>17611</v>
      </c>
      <c r="B10246" s="5" t="s">
        <v>17735</v>
      </c>
      <c r="C10246" s="35" t="s">
        <v>17736</v>
      </c>
      <c r="D10246" s="35"/>
      <c r="E10246" s="3">
        <v>1</v>
      </c>
      <c r="F10246" s="9">
        <v>9</v>
      </c>
      <c r="G10246" s="8"/>
      <c r="H10246" s="16">
        <v>85.29</v>
      </c>
      <c r="I10246" s="19">
        <f t="shared" si="337"/>
        <v>767.61</v>
      </c>
    </row>
    <row r="10247" spans="1:9" hidden="1">
      <c r="A10247" s="7" t="s">
        <v>17611</v>
      </c>
      <c r="B10247" s="5" t="s">
        <v>17737</v>
      </c>
      <c r="C10247" s="35" t="s">
        <v>17738</v>
      </c>
      <c r="D10247" s="35"/>
      <c r="E10247" s="3">
        <v>1</v>
      </c>
      <c r="F10247" s="9"/>
      <c r="G10247" s="8"/>
      <c r="H10247" s="16">
        <v>56.34</v>
      </c>
      <c r="I10247" s="19">
        <f t="shared" si="337"/>
        <v>0</v>
      </c>
    </row>
    <row r="10248" spans="1:9" hidden="1">
      <c r="A10248" s="7" t="s">
        <v>17611</v>
      </c>
      <c r="B10248" s="5" t="s">
        <v>17739</v>
      </c>
      <c r="C10248" s="35" t="s">
        <v>17740</v>
      </c>
      <c r="D10248" s="35"/>
      <c r="E10248" s="3">
        <v>1</v>
      </c>
      <c r="F10248" s="9"/>
      <c r="G10248" s="8"/>
      <c r="H10248" s="16">
        <v>57.11</v>
      </c>
      <c r="I10248" s="19">
        <f t="shared" ref="I10248:I10279" si="338">F10248*H10248</f>
        <v>0</v>
      </c>
    </row>
    <row r="10249" spans="1:9" hidden="1">
      <c r="A10249" s="7" t="s">
        <v>17611</v>
      </c>
      <c r="B10249" s="5" t="s">
        <v>17741</v>
      </c>
      <c r="C10249" s="35" t="s">
        <v>17742</v>
      </c>
      <c r="D10249" s="35"/>
      <c r="E10249" s="3">
        <v>1</v>
      </c>
      <c r="F10249" s="9"/>
      <c r="G10249" s="8"/>
      <c r="H10249" s="16">
        <v>93.78</v>
      </c>
      <c r="I10249" s="19">
        <f t="shared" si="338"/>
        <v>0</v>
      </c>
    </row>
    <row r="10250" spans="1:9" hidden="1">
      <c r="A10250" s="7" t="s">
        <v>17611</v>
      </c>
      <c r="B10250" s="5" t="s">
        <v>17743</v>
      </c>
      <c r="C10250" s="35" t="s">
        <v>17744</v>
      </c>
      <c r="D10250" s="35"/>
      <c r="E10250" s="3">
        <v>1</v>
      </c>
      <c r="F10250" s="9"/>
      <c r="G10250" s="8"/>
      <c r="H10250" s="16">
        <v>15.46</v>
      </c>
      <c r="I10250" s="19">
        <f t="shared" si="338"/>
        <v>0</v>
      </c>
    </row>
    <row r="10251" spans="1:9" hidden="1">
      <c r="A10251" s="7" t="s">
        <v>17611</v>
      </c>
      <c r="B10251" s="5" t="s">
        <v>17745</v>
      </c>
      <c r="C10251" s="35" t="s">
        <v>17746</v>
      </c>
      <c r="D10251" s="35"/>
      <c r="E10251" s="3">
        <v>1</v>
      </c>
      <c r="F10251" s="9"/>
      <c r="G10251" s="8"/>
      <c r="H10251" s="16">
        <v>735</v>
      </c>
      <c r="I10251" s="19">
        <f t="shared" si="338"/>
        <v>0</v>
      </c>
    </row>
    <row r="10252" spans="1:9" hidden="1">
      <c r="A10252" s="7" t="s">
        <v>17611</v>
      </c>
      <c r="B10252" s="5" t="s">
        <v>17747</v>
      </c>
      <c r="C10252" s="35" t="s">
        <v>17748</v>
      </c>
      <c r="D10252" s="35"/>
      <c r="E10252" s="3">
        <v>1</v>
      </c>
      <c r="F10252" s="9"/>
      <c r="G10252" s="8"/>
      <c r="H10252" s="16">
        <v>310</v>
      </c>
      <c r="I10252" s="19">
        <f t="shared" si="338"/>
        <v>0</v>
      </c>
    </row>
    <row r="10253" spans="1:9" hidden="1">
      <c r="A10253" s="7" t="s">
        <v>17611</v>
      </c>
      <c r="B10253" s="5" t="s">
        <v>17749</v>
      </c>
      <c r="C10253" s="35" t="s">
        <v>17750</v>
      </c>
      <c r="D10253" s="35"/>
      <c r="E10253" s="3">
        <v>1</v>
      </c>
      <c r="F10253" s="9"/>
      <c r="G10253" s="8"/>
      <c r="H10253" s="16">
        <v>68.45</v>
      </c>
      <c r="I10253" s="19">
        <f t="shared" si="338"/>
        <v>0</v>
      </c>
    </row>
    <row r="10254" spans="1:9">
      <c r="A10254" s="7" t="s">
        <v>17611</v>
      </c>
      <c r="B10254" s="5" t="s">
        <v>17751</v>
      </c>
      <c r="C10254" s="35" t="s">
        <v>17752</v>
      </c>
      <c r="D10254" s="35"/>
      <c r="E10254" s="3">
        <v>1</v>
      </c>
      <c r="F10254" s="9">
        <v>12</v>
      </c>
      <c r="G10254" s="8"/>
      <c r="H10254" s="16">
        <v>61.16</v>
      </c>
      <c r="I10254" s="19">
        <f t="shared" si="338"/>
        <v>733.92</v>
      </c>
    </row>
    <row r="10255" spans="1:9">
      <c r="A10255" s="7" t="s">
        <v>17611</v>
      </c>
      <c r="B10255" s="5" t="s">
        <v>17753</v>
      </c>
      <c r="C10255" s="35" t="s">
        <v>17754</v>
      </c>
      <c r="D10255" s="35"/>
      <c r="E10255" s="3">
        <v>1</v>
      </c>
      <c r="F10255" s="9">
        <v>2</v>
      </c>
      <c r="G10255" s="8"/>
      <c r="H10255" s="16">
        <v>44.14</v>
      </c>
      <c r="I10255" s="19">
        <f t="shared" si="338"/>
        <v>88.28</v>
      </c>
    </row>
    <row r="10256" spans="1:9">
      <c r="A10256" s="7" t="s">
        <v>17611</v>
      </c>
      <c r="B10256" s="5" t="s">
        <v>17755</v>
      </c>
      <c r="C10256" s="35" t="s">
        <v>17756</v>
      </c>
      <c r="D10256" s="35"/>
      <c r="E10256" s="3">
        <v>1</v>
      </c>
      <c r="F10256" s="9">
        <v>2</v>
      </c>
      <c r="G10256" s="8"/>
      <c r="H10256" s="16">
        <v>210.06</v>
      </c>
      <c r="I10256" s="19">
        <f t="shared" si="338"/>
        <v>420.12</v>
      </c>
    </row>
    <row r="10257" spans="1:9">
      <c r="A10257" s="7" t="s">
        <v>17611</v>
      </c>
      <c r="B10257" s="5" t="s">
        <v>17757</v>
      </c>
      <c r="C10257" s="35" t="s">
        <v>17758</v>
      </c>
      <c r="D10257" s="35"/>
      <c r="E10257" s="3">
        <v>1</v>
      </c>
      <c r="F10257" s="9">
        <f>1+(2/13.57)</f>
        <v>1.1473839351510686</v>
      </c>
      <c r="G10257" s="8"/>
      <c r="H10257" s="16">
        <v>236.54</v>
      </c>
      <c r="I10257" s="19">
        <f t="shared" si="338"/>
        <v>271.40219602063377</v>
      </c>
    </row>
    <row r="10258" spans="1:9" hidden="1">
      <c r="A10258" s="7" t="s">
        <v>17611</v>
      </c>
      <c r="B10258" s="5" t="s">
        <v>17759</v>
      </c>
      <c r="C10258" s="35" t="s">
        <v>17760</v>
      </c>
      <c r="D10258" s="35"/>
      <c r="E10258" s="3">
        <v>1</v>
      </c>
      <c r="F10258" s="9"/>
      <c r="G10258" s="8"/>
      <c r="H10258" s="16">
        <v>26.14</v>
      </c>
      <c r="I10258" s="19">
        <f t="shared" si="338"/>
        <v>0</v>
      </c>
    </row>
    <row r="10259" spans="1:9">
      <c r="A10259" s="7" t="s">
        <v>17611</v>
      </c>
      <c r="B10259" s="5" t="s">
        <v>17761</v>
      </c>
      <c r="C10259" s="35" t="s">
        <v>17762</v>
      </c>
      <c r="D10259" s="35"/>
      <c r="E10259" s="3">
        <v>1</v>
      </c>
      <c r="F10259" s="9">
        <v>1</v>
      </c>
      <c r="G10259" s="8"/>
      <c r="H10259" s="16">
        <v>157.96</v>
      </c>
      <c r="I10259" s="19">
        <f t="shared" si="338"/>
        <v>157.96</v>
      </c>
    </row>
    <row r="10260" spans="1:9">
      <c r="A10260" s="7" t="s">
        <v>17611</v>
      </c>
      <c r="B10260" s="5" t="s">
        <v>17763</v>
      </c>
      <c r="C10260" s="35" t="s">
        <v>17764</v>
      </c>
      <c r="D10260" s="35"/>
      <c r="E10260" s="3">
        <v>1</v>
      </c>
      <c r="F10260" s="9">
        <v>2</v>
      </c>
      <c r="G10260" s="8"/>
      <c r="H10260" s="16">
        <v>118.13</v>
      </c>
      <c r="I10260" s="19">
        <f t="shared" si="338"/>
        <v>236.26</v>
      </c>
    </row>
    <row r="10261" spans="1:9">
      <c r="A10261" s="7" t="s">
        <v>17611</v>
      </c>
      <c r="B10261" s="5" t="s">
        <v>17765</v>
      </c>
      <c r="C10261" s="35" t="s">
        <v>17766</v>
      </c>
      <c r="D10261" s="35"/>
      <c r="E10261" s="3">
        <v>1</v>
      </c>
      <c r="F10261" s="9">
        <v>4</v>
      </c>
      <c r="G10261" s="8"/>
      <c r="H10261" s="16">
        <v>154.83000000000001</v>
      </c>
      <c r="I10261" s="19">
        <f t="shared" si="338"/>
        <v>619.32000000000005</v>
      </c>
    </row>
    <row r="10262" spans="1:9">
      <c r="A10262" s="7" t="s">
        <v>17611</v>
      </c>
      <c r="B10262" s="5" t="s">
        <v>17767</v>
      </c>
      <c r="C10262" s="35" t="s">
        <v>17768</v>
      </c>
      <c r="D10262" s="35"/>
      <c r="E10262" s="3">
        <v>1</v>
      </c>
      <c r="F10262" s="9">
        <f>4+(1/3)</f>
        <v>4.333333333333333</v>
      </c>
      <c r="G10262" s="8"/>
      <c r="H10262" s="16">
        <v>154.52000000000001</v>
      </c>
      <c r="I10262" s="19">
        <f t="shared" si="338"/>
        <v>669.5866666666667</v>
      </c>
    </row>
    <row r="10263" spans="1:9">
      <c r="A10263" s="7" t="s">
        <v>17611</v>
      </c>
      <c r="B10263" s="5" t="s">
        <v>17769</v>
      </c>
      <c r="C10263" s="35" t="s">
        <v>17770</v>
      </c>
      <c r="D10263" s="35"/>
      <c r="E10263" s="3">
        <v>1</v>
      </c>
      <c r="F10263" s="9">
        <v>4</v>
      </c>
      <c r="G10263" s="8"/>
      <c r="H10263" s="16">
        <v>108.42</v>
      </c>
      <c r="I10263" s="19">
        <f t="shared" si="338"/>
        <v>433.68</v>
      </c>
    </row>
    <row r="10264" spans="1:9">
      <c r="A10264" s="7" t="s">
        <v>17611</v>
      </c>
      <c r="B10264" s="5" t="s">
        <v>17771</v>
      </c>
      <c r="C10264" s="35" t="s">
        <v>17772</v>
      </c>
      <c r="D10264" s="35"/>
      <c r="E10264" s="3">
        <v>1</v>
      </c>
      <c r="F10264" s="9">
        <v>2</v>
      </c>
      <c r="G10264" s="8"/>
      <c r="H10264" s="16">
        <v>157.97999999999999</v>
      </c>
      <c r="I10264" s="19">
        <f t="shared" si="338"/>
        <v>315.95999999999998</v>
      </c>
    </row>
    <row r="10265" spans="1:9">
      <c r="A10265" s="7" t="s">
        <v>17611</v>
      </c>
      <c r="B10265" s="5" t="s">
        <v>17773</v>
      </c>
      <c r="C10265" s="35" t="s">
        <v>17774</v>
      </c>
      <c r="D10265" s="35" t="s">
        <v>992</v>
      </c>
      <c r="E10265" s="3">
        <v>1</v>
      </c>
      <c r="F10265" s="9">
        <v>3</v>
      </c>
      <c r="G10265" s="8"/>
      <c r="H10265" s="16">
        <v>59.3</v>
      </c>
      <c r="I10265" s="19">
        <f t="shared" si="338"/>
        <v>177.89999999999998</v>
      </c>
    </row>
    <row r="10266" spans="1:9">
      <c r="A10266" s="7" t="s">
        <v>17611</v>
      </c>
      <c r="B10266" s="5" t="s">
        <v>17775</v>
      </c>
      <c r="C10266" s="35" t="s">
        <v>17776</v>
      </c>
      <c r="D10266" s="35"/>
      <c r="E10266" s="3">
        <v>1</v>
      </c>
      <c r="F10266" s="9">
        <v>41</v>
      </c>
      <c r="G10266" s="8"/>
      <c r="H10266" s="16">
        <v>13.96</v>
      </c>
      <c r="I10266" s="19">
        <f t="shared" si="338"/>
        <v>572.36</v>
      </c>
    </row>
    <row r="10267" spans="1:9" hidden="1">
      <c r="A10267" s="7" t="s">
        <v>17611</v>
      </c>
      <c r="B10267" s="5" t="s">
        <v>17777</v>
      </c>
      <c r="C10267" s="35" t="s">
        <v>17778</v>
      </c>
      <c r="D10267" s="35"/>
      <c r="E10267" s="3">
        <v>1</v>
      </c>
      <c r="F10267" s="9"/>
      <c r="G10267" s="8"/>
      <c r="H10267" s="16">
        <v>17.46</v>
      </c>
      <c r="I10267" s="19">
        <f t="shared" si="338"/>
        <v>0</v>
      </c>
    </row>
    <row r="10268" spans="1:9" hidden="1">
      <c r="A10268" s="7" t="s">
        <v>17611</v>
      </c>
      <c r="B10268" s="5" t="s">
        <v>17779</v>
      </c>
      <c r="C10268" s="35" t="s">
        <v>17778</v>
      </c>
      <c r="D10268" s="35"/>
      <c r="E10268" s="3">
        <v>1</v>
      </c>
      <c r="F10268" s="9"/>
      <c r="G10268" s="8"/>
      <c r="H10268" s="16">
        <v>16.04</v>
      </c>
      <c r="I10268" s="19">
        <f t="shared" si="338"/>
        <v>0</v>
      </c>
    </row>
    <row r="10269" spans="1:9" hidden="1">
      <c r="A10269" s="7" t="s">
        <v>17611</v>
      </c>
      <c r="B10269" s="5" t="s">
        <v>17780</v>
      </c>
      <c r="C10269" s="35" t="s">
        <v>17781</v>
      </c>
      <c r="D10269" s="35"/>
      <c r="E10269" s="3">
        <v>1</v>
      </c>
      <c r="F10269" s="9"/>
      <c r="G10269" s="8"/>
      <c r="H10269" s="16">
        <v>3.03</v>
      </c>
      <c r="I10269" s="19">
        <f t="shared" si="338"/>
        <v>0</v>
      </c>
    </row>
    <row r="10270" spans="1:9" hidden="1">
      <c r="A10270" s="7" t="s">
        <v>17611</v>
      </c>
      <c r="B10270" s="5" t="s">
        <v>17782</v>
      </c>
      <c r="C10270" s="35" t="s">
        <v>17783</v>
      </c>
      <c r="D10270" s="35"/>
      <c r="E10270" s="3">
        <v>1</v>
      </c>
      <c r="F10270" s="9"/>
      <c r="G10270" s="8"/>
      <c r="H10270" s="16">
        <v>1.9</v>
      </c>
      <c r="I10270" s="19">
        <f t="shared" si="338"/>
        <v>0</v>
      </c>
    </row>
    <row r="10271" spans="1:9" hidden="1">
      <c r="A10271" s="7" t="s">
        <v>17611</v>
      </c>
      <c r="B10271" s="5" t="s">
        <v>17784</v>
      </c>
      <c r="C10271" s="35" t="s">
        <v>17785</v>
      </c>
      <c r="D10271" s="35"/>
      <c r="E10271" s="3">
        <v>1</v>
      </c>
      <c r="F10271" s="9"/>
      <c r="G10271" s="8"/>
      <c r="H10271" s="16">
        <v>52.24</v>
      </c>
      <c r="I10271" s="19">
        <f t="shared" si="338"/>
        <v>0</v>
      </c>
    </row>
    <row r="10272" spans="1:9">
      <c r="A10272" s="7" t="s">
        <v>17611</v>
      </c>
      <c r="B10272" s="5" t="s">
        <v>17786</v>
      </c>
      <c r="C10272" s="35" t="s">
        <v>17787</v>
      </c>
      <c r="D10272" s="35"/>
      <c r="E10272" s="35">
        <v>1</v>
      </c>
      <c r="F10272" s="9">
        <f>6+(2/16)</f>
        <v>6.125</v>
      </c>
      <c r="G10272" s="8"/>
      <c r="H10272" s="16">
        <v>564.29999999999995</v>
      </c>
      <c r="I10272" s="19">
        <f t="shared" si="338"/>
        <v>3456.3374999999996</v>
      </c>
    </row>
    <row r="10273" spans="1:9">
      <c r="A10273" s="7" t="s">
        <v>17611</v>
      </c>
      <c r="B10273" s="5" t="s">
        <v>17788</v>
      </c>
      <c r="C10273" s="35" t="s">
        <v>17789</v>
      </c>
      <c r="D10273" s="35"/>
      <c r="E10273" s="35">
        <v>1</v>
      </c>
      <c r="F10273" s="9">
        <v>1</v>
      </c>
      <c r="G10273" s="8"/>
      <c r="H10273" s="16">
        <v>36.270000000000003</v>
      </c>
      <c r="I10273" s="19">
        <f t="shared" si="338"/>
        <v>36.270000000000003</v>
      </c>
    </row>
    <row r="10274" spans="1:9">
      <c r="A10274" s="7" t="s">
        <v>17611</v>
      </c>
      <c r="B10274" s="5" t="s">
        <v>17790</v>
      </c>
      <c r="C10274" s="35" t="s">
        <v>17791</v>
      </c>
      <c r="D10274" s="35"/>
      <c r="E10274" s="35">
        <v>1</v>
      </c>
      <c r="F10274" s="9">
        <v>3</v>
      </c>
      <c r="G10274" s="8"/>
      <c r="H10274" s="16">
        <v>315.37</v>
      </c>
      <c r="I10274" s="19">
        <f t="shared" si="338"/>
        <v>946.11</v>
      </c>
    </row>
    <row r="10275" spans="1:9">
      <c r="A10275" s="7" t="s">
        <v>17611</v>
      </c>
      <c r="B10275" s="5" t="s">
        <v>17792</v>
      </c>
      <c r="C10275" s="35" t="s">
        <v>17793</v>
      </c>
      <c r="D10275" s="35"/>
      <c r="E10275" s="35">
        <v>1</v>
      </c>
      <c r="F10275" s="9">
        <v>1</v>
      </c>
      <c r="G10275" s="8"/>
      <c r="H10275" s="16">
        <v>117.94</v>
      </c>
      <c r="I10275" s="19">
        <f t="shared" si="338"/>
        <v>117.94</v>
      </c>
    </row>
    <row r="10276" spans="1:9" hidden="1">
      <c r="A10276" s="7" t="s">
        <v>17611</v>
      </c>
      <c r="B10276" s="5" t="s">
        <v>17794</v>
      </c>
      <c r="C10276" s="35" t="s">
        <v>17795</v>
      </c>
      <c r="D10276" s="35"/>
      <c r="E10276" s="35">
        <v>1</v>
      </c>
      <c r="F10276" s="9"/>
      <c r="G10276" s="8"/>
      <c r="H10276" s="16">
        <v>95.08</v>
      </c>
      <c r="I10276" s="19">
        <f t="shared" si="338"/>
        <v>0</v>
      </c>
    </row>
    <row r="10277" spans="1:9" hidden="1">
      <c r="A10277" s="7" t="s">
        <v>17611</v>
      </c>
      <c r="B10277" s="5" t="s">
        <v>17796</v>
      </c>
      <c r="C10277" s="35" t="s">
        <v>17797</v>
      </c>
      <c r="D10277" s="35"/>
      <c r="E10277" s="35">
        <v>1</v>
      </c>
      <c r="F10277" s="9"/>
      <c r="G10277" s="8"/>
      <c r="H10277" s="16">
        <v>98.88</v>
      </c>
      <c r="I10277" s="19">
        <f t="shared" si="338"/>
        <v>0</v>
      </c>
    </row>
    <row r="10278" spans="1:9" hidden="1">
      <c r="A10278" s="7" t="s">
        <v>17611</v>
      </c>
      <c r="B10278" s="5" t="s">
        <v>17798</v>
      </c>
      <c r="C10278" s="35" t="s">
        <v>17799</v>
      </c>
      <c r="D10278" s="35"/>
      <c r="E10278" s="35">
        <v>1</v>
      </c>
      <c r="F10278" s="9"/>
      <c r="G10278" s="8"/>
      <c r="H10278" s="16">
        <v>57.39</v>
      </c>
      <c r="I10278" s="19">
        <f t="shared" si="338"/>
        <v>0</v>
      </c>
    </row>
    <row r="10279" spans="1:9">
      <c r="A10279" s="7" t="s">
        <v>17611</v>
      </c>
      <c r="B10279" s="5" t="s">
        <v>17800</v>
      </c>
      <c r="C10279" s="35" t="s">
        <v>17801</v>
      </c>
      <c r="D10279" s="35"/>
      <c r="E10279" s="35">
        <v>1</v>
      </c>
      <c r="F10279" s="9">
        <v>2</v>
      </c>
      <c r="G10279" s="8"/>
      <c r="H10279" s="16">
        <v>86.72</v>
      </c>
      <c r="I10279" s="19">
        <f t="shared" si="338"/>
        <v>173.44</v>
      </c>
    </row>
    <row r="10280" spans="1:9">
      <c r="A10280" s="7" t="s">
        <v>17611</v>
      </c>
      <c r="B10280" s="5" t="s">
        <v>17802</v>
      </c>
      <c r="C10280" s="35" t="s">
        <v>17803</v>
      </c>
      <c r="D10280" s="35"/>
      <c r="E10280" s="35">
        <v>1</v>
      </c>
      <c r="F10280" s="9">
        <f>2+(2/3)</f>
        <v>2.6666666666666665</v>
      </c>
      <c r="G10280" s="8"/>
      <c r="H10280" s="16">
        <v>117.94</v>
      </c>
      <c r="I10280" s="19">
        <f t="shared" ref="I10280:I10311" si="339">F10280*H10280</f>
        <v>314.50666666666666</v>
      </c>
    </row>
    <row r="10281" spans="1:9">
      <c r="A10281" s="7" t="s">
        <v>17611</v>
      </c>
      <c r="B10281" s="5" t="s">
        <v>17804</v>
      </c>
      <c r="C10281" s="35" t="s">
        <v>17805</v>
      </c>
      <c r="D10281" s="35"/>
      <c r="E10281" s="35">
        <v>1</v>
      </c>
      <c r="F10281" s="9">
        <f>3+(1/3)</f>
        <v>3.3333333333333335</v>
      </c>
      <c r="G10281" s="8"/>
      <c r="H10281" s="16">
        <v>139.01</v>
      </c>
      <c r="I10281" s="19">
        <f t="shared" si="339"/>
        <v>463.36666666666667</v>
      </c>
    </row>
    <row r="10282" spans="1:9" hidden="1">
      <c r="A10282" s="7" t="s">
        <v>17611</v>
      </c>
      <c r="B10282" s="5" t="s">
        <v>17806</v>
      </c>
      <c r="C10282" s="35" t="s">
        <v>17807</v>
      </c>
      <c r="D10282" s="35"/>
      <c r="E10282" s="35">
        <v>1</v>
      </c>
      <c r="F10282" s="9"/>
      <c r="G10282" s="8"/>
      <c r="H10282" s="16">
        <v>37.049999999999997</v>
      </c>
      <c r="I10282" s="19">
        <f t="shared" si="339"/>
        <v>0</v>
      </c>
    </row>
    <row r="10283" spans="1:9">
      <c r="A10283" s="7" t="s">
        <v>17611</v>
      </c>
      <c r="B10283" s="5" t="s">
        <v>17808</v>
      </c>
      <c r="C10283" s="35" t="s">
        <v>17809</v>
      </c>
      <c r="D10283" s="35"/>
      <c r="E10283" s="35">
        <v>1</v>
      </c>
      <c r="F10283" s="9">
        <v>5</v>
      </c>
      <c r="G10283" s="8"/>
      <c r="H10283" s="16">
        <v>248.48</v>
      </c>
      <c r="I10283" s="19">
        <f t="shared" si="339"/>
        <v>1242.3999999999999</v>
      </c>
    </row>
    <row r="10284" spans="1:9" hidden="1">
      <c r="A10284" s="7" t="s">
        <v>17611</v>
      </c>
      <c r="B10284" s="5" t="s">
        <v>17810</v>
      </c>
      <c r="C10284" s="35" t="s">
        <v>17811</v>
      </c>
      <c r="D10284" s="35"/>
      <c r="E10284" s="35">
        <v>1</v>
      </c>
      <c r="F10284" s="9"/>
      <c r="G10284" s="8"/>
      <c r="H10284" s="16">
        <v>50.8</v>
      </c>
      <c r="I10284" s="19">
        <f t="shared" si="339"/>
        <v>0</v>
      </c>
    </row>
    <row r="10285" spans="1:9" hidden="1">
      <c r="A10285" s="7" t="s">
        <v>17611</v>
      </c>
      <c r="B10285" s="5" t="s">
        <v>17812</v>
      </c>
      <c r="C10285" s="35" t="s">
        <v>17813</v>
      </c>
      <c r="D10285" s="35"/>
      <c r="E10285" s="35">
        <v>1</v>
      </c>
      <c r="F10285" s="9"/>
      <c r="G10285" s="8"/>
      <c r="H10285" s="16">
        <v>31.99</v>
      </c>
      <c r="I10285" s="19">
        <f t="shared" si="339"/>
        <v>0</v>
      </c>
    </row>
    <row r="10286" spans="1:9">
      <c r="A10286" s="7" t="s">
        <v>17611</v>
      </c>
      <c r="B10286" s="5" t="s">
        <v>17814</v>
      </c>
      <c r="C10286" s="35" t="s">
        <v>17815</v>
      </c>
      <c r="D10286" s="35"/>
      <c r="E10286" s="35">
        <v>1</v>
      </c>
      <c r="F10286" s="9">
        <v>5</v>
      </c>
      <c r="G10286" s="8"/>
      <c r="H10286" s="16">
        <v>47</v>
      </c>
      <c r="I10286" s="19">
        <f t="shared" si="339"/>
        <v>235</v>
      </c>
    </row>
    <row r="10287" spans="1:9">
      <c r="A10287" s="7" t="s">
        <v>17611</v>
      </c>
      <c r="B10287" s="5" t="s">
        <v>17816</v>
      </c>
      <c r="C10287" s="35" t="s">
        <v>17817</v>
      </c>
      <c r="D10287" s="35"/>
      <c r="E10287" s="35">
        <v>1</v>
      </c>
      <c r="F10287" s="9">
        <v>1</v>
      </c>
      <c r="G10287" s="8"/>
      <c r="H10287" s="16">
        <v>37.5</v>
      </c>
      <c r="I10287" s="19">
        <f t="shared" si="339"/>
        <v>37.5</v>
      </c>
    </row>
    <row r="10288" spans="1:9">
      <c r="A10288" s="7" t="s">
        <v>17611</v>
      </c>
      <c r="B10288" s="5" t="s">
        <v>17818</v>
      </c>
      <c r="C10288" s="35" t="s">
        <v>17819</v>
      </c>
      <c r="D10288" s="35"/>
      <c r="E10288" s="35">
        <v>1</v>
      </c>
      <c r="F10288" s="9">
        <v>1</v>
      </c>
      <c r="G10288" s="8"/>
      <c r="H10288" s="16">
        <v>258.94</v>
      </c>
      <c r="I10288" s="19">
        <f t="shared" si="339"/>
        <v>258.94</v>
      </c>
    </row>
    <row r="10289" spans="1:9">
      <c r="A10289" s="7" t="s">
        <v>17611</v>
      </c>
      <c r="B10289" s="5" t="s">
        <v>17820</v>
      </c>
      <c r="C10289" s="35" t="s">
        <v>17821</v>
      </c>
      <c r="D10289" s="35"/>
      <c r="E10289" s="35">
        <v>1</v>
      </c>
      <c r="F10289" s="9">
        <v>2</v>
      </c>
      <c r="G10289" s="8"/>
      <c r="H10289" s="16">
        <v>222.49</v>
      </c>
      <c r="I10289" s="19">
        <f t="shared" si="339"/>
        <v>444.98</v>
      </c>
    </row>
    <row r="10290" spans="1:9">
      <c r="A10290" s="7" t="s">
        <v>17611</v>
      </c>
      <c r="B10290" s="5" t="s">
        <v>17822</v>
      </c>
      <c r="C10290" s="35" t="s">
        <v>17823</v>
      </c>
      <c r="D10290" s="35"/>
      <c r="E10290" s="35">
        <v>1</v>
      </c>
      <c r="F10290" s="9">
        <v>5</v>
      </c>
      <c r="G10290" s="8"/>
      <c r="H10290" s="16">
        <v>110.71</v>
      </c>
      <c r="I10290" s="19">
        <f t="shared" si="339"/>
        <v>553.54999999999995</v>
      </c>
    </row>
    <row r="10291" spans="1:9">
      <c r="A10291" s="7" t="s">
        <v>17611</v>
      </c>
      <c r="B10291" s="5" t="s">
        <v>17824</v>
      </c>
      <c r="C10291" s="35" t="s">
        <v>17825</v>
      </c>
      <c r="D10291" s="35"/>
      <c r="E10291" s="35">
        <v>1</v>
      </c>
      <c r="F10291" s="9">
        <v>4</v>
      </c>
      <c r="G10291" s="8"/>
      <c r="H10291" s="16">
        <v>117.94</v>
      </c>
      <c r="I10291" s="19">
        <f t="shared" si="339"/>
        <v>471.76</v>
      </c>
    </row>
    <row r="10292" spans="1:9">
      <c r="A10292" s="7" t="s">
        <v>17611</v>
      </c>
      <c r="B10292" s="5" t="s">
        <v>17826</v>
      </c>
      <c r="C10292" s="35" t="s">
        <v>17827</v>
      </c>
      <c r="D10292" s="35"/>
      <c r="E10292" s="35">
        <v>1</v>
      </c>
      <c r="F10292" s="9">
        <v>5</v>
      </c>
      <c r="G10292" s="8"/>
      <c r="H10292" s="16">
        <v>117.94</v>
      </c>
      <c r="I10292" s="19">
        <f t="shared" si="339"/>
        <v>589.70000000000005</v>
      </c>
    </row>
    <row r="10293" spans="1:9" hidden="1">
      <c r="A10293" s="7" t="s">
        <v>17611</v>
      </c>
      <c r="B10293" s="5" t="s">
        <v>17828</v>
      </c>
      <c r="C10293" s="35" t="s">
        <v>17829</v>
      </c>
      <c r="D10293" s="35"/>
      <c r="E10293" s="35">
        <v>1</v>
      </c>
      <c r="F10293" s="9"/>
      <c r="G10293" s="8"/>
      <c r="H10293" s="16">
        <v>25.71</v>
      </c>
      <c r="I10293" s="19">
        <f t="shared" si="339"/>
        <v>0</v>
      </c>
    </row>
    <row r="10294" spans="1:9">
      <c r="A10294" s="7" t="s">
        <v>17611</v>
      </c>
      <c r="B10294" s="5" t="s">
        <v>17830</v>
      </c>
      <c r="C10294" s="35" t="s">
        <v>17831</v>
      </c>
      <c r="D10294" s="35"/>
      <c r="E10294" s="35">
        <v>1</v>
      </c>
      <c r="F10294" s="9">
        <v>1</v>
      </c>
      <c r="G10294" s="8"/>
      <c r="H10294" s="16">
        <v>84.31</v>
      </c>
      <c r="I10294" s="19">
        <f t="shared" si="339"/>
        <v>84.31</v>
      </c>
    </row>
    <row r="10295" spans="1:9" hidden="1">
      <c r="A10295" s="7" t="s">
        <v>17611</v>
      </c>
      <c r="B10295" s="5" t="s">
        <v>17832</v>
      </c>
      <c r="C10295" s="35" t="s">
        <v>17833</v>
      </c>
      <c r="D10295" s="35"/>
      <c r="E10295" s="35">
        <v>1</v>
      </c>
      <c r="F10295" s="9"/>
      <c r="G10295" s="8"/>
      <c r="H10295" s="16">
        <v>129.61000000000001</v>
      </c>
      <c r="I10295" s="19">
        <f t="shared" si="339"/>
        <v>0</v>
      </c>
    </row>
    <row r="10296" spans="1:9" hidden="1">
      <c r="A10296" s="7" t="s">
        <v>17611</v>
      </c>
      <c r="B10296" s="5" t="s">
        <v>17834</v>
      </c>
      <c r="C10296" s="35" t="s">
        <v>17835</v>
      </c>
      <c r="D10296" s="35"/>
      <c r="E10296" s="35">
        <v>1</v>
      </c>
      <c r="F10296" s="9"/>
      <c r="G10296" s="8"/>
      <c r="H10296" s="16">
        <v>19.97</v>
      </c>
      <c r="I10296" s="19">
        <f t="shared" si="339"/>
        <v>0</v>
      </c>
    </row>
    <row r="10297" spans="1:9" hidden="1">
      <c r="A10297" s="7" t="s">
        <v>17611</v>
      </c>
      <c r="B10297" s="5" t="s">
        <v>17836</v>
      </c>
      <c r="C10297" s="35" t="s">
        <v>17837</v>
      </c>
      <c r="D10297" s="35"/>
      <c r="E10297" s="35">
        <v>1</v>
      </c>
      <c r="F10297" s="9"/>
      <c r="G10297" s="8"/>
      <c r="H10297" s="16">
        <v>1.43</v>
      </c>
      <c r="I10297" s="19">
        <f t="shared" si="339"/>
        <v>0</v>
      </c>
    </row>
    <row r="10298" spans="1:9" hidden="1">
      <c r="A10298" s="7" t="s">
        <v>17611</v>
      </c>
      <c r="B10298" s="5" t="s">
        <v>17838</v>
      </c>
      <c r="C10298" s="35" t="s">
        <v>17839</v>
      </c>
      <c r="D10298" s="35"/>
      <c r="E10298" s="35">
        <v>1</v>
      </c>
      <c r="F10298" s="9"/>
      <c r="G10298" s="8"/>
      <c r="H10298" s="16">
        <v>0.11</v>
      </c>
      <c r="I10298" s="19">
        <f t="shared" si="339"/>
        <v>0</v>
      </c>
    </row>
    <row r="10299" spans="1:9">
      <c r="A10299" s="7" t="s">
        <v>17611</v>
      </c>
      <c r="B10299" s="5" t="s">
        <v>17840</v>
      </c>
      <c r="C10299" s="35" t="s">
        <v>17841</v>
      </c>
      <c r="D10299" s="35"/>
      <c r="E10299" s="35">
        <v>1</v>
      </c>
      <c r="F10299" s="9">
        <v>10</v>
      </c>
      <c r="G10299" s="8"/>
      <c r="H10299" s="16">
        <v>2.33</v>
      </c>
      <c r="I10299" s="19">
        <f t="shared" si="339"/>
        <v>23.3</v>
      </c>
    </row>
    <row r="10300" spans="1:9">
      <c r="A10300" s="7" t="s">
        <v>17611</v>
      </c>
      <c r="B10300" s="5" t="s">
        <v>17842</v>
      </c>
      <c r="C10300" s="35" t="s">
        <v>17843</v>
      </c>
      <c r="D10300" s="35" t="s">
        <v>17844</v>
      </c>
      <c r="E10300" s="35">
        <v>1</v>
      </c>
      <c r="F10300" s="9">
        <v>1</v>
      </c>
      <c r="G10300" s="8"/>
      <c r="H10300" s="16">
        <v>24.13</v>
      </c>
      <c r="I10300" s="19">
        <f t="shared" si="339"/>
        <v>24.13</v>
      </c>
    </row>
    <row r="10301" spans="1:9" hidden="1">
      <c r="A10301" s="7" t="s">
        <v>17611</v>
      </c>
      <c r="B10301" s="5" t="s">
        <v>17845</v>
      </c>
      <c r="C10301" s="35" t="s">
        <v>17846</v>
      </c>
      <c r="D10301" s="35"/>
      <c r="E10301" s="35">
        <v>1</v>
      </c>
      <c r="F10301" s="9"/>
      <c r="G10301" s="8"/>
      <c r="H10301" s="16">
        <v>93.39</v>
      </c>
      <c r="I10301" s="19">
        <f t="shared" si="339"/>
        <v>0</v>
      </c>
    </row>
    <row r="10302" spans="1:9" hidden="1">
      <c r="A10302" s="7" t="s">
        <v>17611</v>
      </c>
      <c r="B10302" s="5" t="s">
        <v>17847</v>
      </c>
      <c r="C10302" s="35" t="s">
        <v>17848</v>
      </c>
      <c r="D10302" s="35"/>
      <c r="E10302" s="35">
        <v>1</v>
      </c>
      <c r="F10302" s="9"/>
      <c r="G10302" s="8"/>
      <c r="H10302" s="16">
        <v>5.3</v>
      </c>
      <c r="I10302" s="19">
        <f t="shared" si="339"/>
        <v>0</v>
      </c>
    </row>
    <row r="10303" spans="1:9" hidden="1">
      <c r="A10303" s="7" t="s">
        <v>17611</v>
      </c>
      <c r="B10303" s="5" t="s">
        <v>17849</v>
      </c>
      <c r="C10303" s="35" t="s">
        <v>17850</v>
      </c>
      <c r="D10303" s="35"/>
      <c r="E10303" s="35">
        <v>1</v>
      </c>
      <c r="F10303" s="9"/>
      <c r="G10303" s="8"/>
      <c r="H10303" s="16">
        <v>25.71</v>
      </c>
      <c r="I10303" s="19">
        <f t="shared" si="339"/>
        <v>0</v>
      </c>
    </row>
    <row r="10304" spans="1:9" hidden="1">
      <c r="A10304" s="7" t="s">
        <v>17611</v>
      </c>
      <c r="B10304" s="5" t="s">
        <v>17851</v>
      </c>
      <c r="C10304" s="35" t="s">
        <v>17852</v>
      </c>
      <c r="D10304" s="35"/>
      <c r="E10304" s="35">
        <v>1</v>
      </c>
      <c r="F10304" s="9"/>
      <c r="G10304" s="8"/>
      <c r="H10304" s="16">
        <v>14.08</v>
      </c>
      <c r="I10304" s="19">
        <f t="shared" si="339"/>
        <v>0</v>
      </c>
    </row>
    <row r="10305" spans="1:9" hidden="1">
      <c r="A10305" s="7" t="s">
        <v>17611</v>
      </c>
      <c r="B10305" s="5" t="s">
        <v>17853</v>
      </c>
      <c r="C10305" s="35" t="s">
        <v>17854</v>
      </c>
      <c r="D10305" s="35"/>
      <c r="E10305" s="35">
        <v>1</v>
      </c>
      <c r="F10305" s="9"/>
      <c r="G10305" s="8"/>
      <c r="H10305" s="16">
        <v>64.39</v>
      </c>
      <c r="I10305" s="19">
        <f t="shared" si="339"/>
        <v>0</v>
      </c>
    </row>
    <row r="10306" spans="1:9">
      <c r="A10306" s="7" t="s">
        <v>17611</v>
      </c>
      <c r="B10306" s="5" t="s">
        <v>17855</v>
      </c>
      <c r="C10306" s="35" t="s">
        <v>17856</v>
      </c>
      <c r="D10306" s="35"/>
      <c r="E10306" s="35">
        <v>1</v>
      </c>
      <c r="F10306" s="9">
        <v>3</v>
      </c>
      <c r="G10306" s="8"/>
      <c r="H10306" s="16">
        <v>117.94</v>
      </c>
      <c r="I10306" s="19">
        <f t="shared" si="339"/>
        <v>353.82</v>
      </c>
    </row>
    <row r="10307" spans="1:9">
      <c r="A10307" s="7" t="s">
        <v>17611</v>
      </c>
      <c r="B10307" s="5" t="s">
        <v>17857</v>
      </c>
      <c r="C10307" s="35" t="s">
        <v>17858</v>
      </c>
      <c r="D10307" s="35"/>
      <c r="E10307" s="35">
        <v>1</v>
      </c>
      <c r="F10307" s="9">
        <v>1</v>
      </c>
      <c r="G10307" s="8"/>
      <c r="H10307" s="16">
        <v>598.89</v>
      </c>
      <c r="I10307" s="19">
        <f t="shared" si="339"/>
        <v>598.89</v>
      </c>
    </row>
    <row r="10308" spans="1:9" hidden="1">
      <c r="A10308" s="7" t="s">
        <v>17611</v>
      </c>
      <c r="B10308" s="5" t="s">
        <v>17859</v>
      </c>
      <c r="C10308" s="35" t="s">
        <v>17860</v>
      </c>
      <c r="D10308" s="35"/>
      <c r="E10308" s="35">
        <v>1</v>
      </c>
      <c r="F10308" s="9"/>
      <c r="G10308" s="8"/>
      <c r="H10308" s="16">
        <v>14.55</v>
      </c>
      <c r="I10308" s="19">
        <f t="shared" si="339"/>
        <v>0</v>
      </c>
    </row>
    <row r="10309" spans="1:9" hidden="1">
      <c r="A10309" s="7" t="s">
        <v>17611</v>
      </c>
      <c r="B10309" s="5" t="s">
        <v>17861</v>
      </c>
      <c r="C10309" s="35" t="s">
        <v>17862</v>
      </c>
      <c r="D10309" s="35"/>
      <c r="E10309" s="35">
        <v>1</v>
      </c>
      <c r="F10309" s="9"/>
      <c r="G10309" s="8"/>
      <c r="H10309" s="16">
        <v>5.08</v>
      </c>
      <c r="I10309" s="19">
        <f t="shared" si="339"/>
        <v>0</v>
      </c>
    </row>
    <row r="10310" spans="1:9" hidden="1">
      <c r="A10310" s="7" t="s">
        <v>17611</v>
      </c>
      <c r="B10310" s="5" t="s">
        <v>17863</v>
      </c>
      <c r="C10310" s="35" t="s">
        <v>17864</v>
      </c>
      <c r="D10310" s="35"/>
      <c r="E10310" s="35">
        <v>1</v>
      </c>
      <c r="F10310" s="9"/>
      <c r="G10310" s="8"/>
      <c r="H10310" s="16">
        <v>29.64</v>
      </c>
      <c r="I10310" s="19">
        <f t="shared" si="339"/>
        <v>0</v>
      </c>
    </row>
    <row r="10311" spans="1:9">
      <c r="A10311" s="7" t="s">
        <v>17611</v>
      </c>
      <c r="B10311" s="5" t="s">
        <v>17865</v>
      </c>
      <c r="C10311" s="35" t="s">
        <v>17866</v>
      </c>
      <c r="D10311" s="35" t="s">
        <v>812</v>
      </c>
      <c r="E10311" s="35">
        <v>1</v>
      </c>
      <c r="F10311" s="9">
        <v>3</v>
      </c>
      <c r="G10311" s="8"/>
      <c r="H10311" s="16">
        <v>41.2</v>
      </c>
      <c r="I10311" s="19">
        <f t="shared" si="339"/>
        <v>123.60000000000001</v>
      </c>
    </row>
    <row r="10312" spans="1:9">
      <c r="A10312" s="7" t="s">
        <v>17611</v>
      </c>
      <c r="B10312" s="5" t="s">
        <v>17867</v>
      </c>
      <c r="C10312" s="35" t="s">
        <v>17868</v>
      </c>
      <c r="D10312" s="35"/>
      <c r="E10312" s="35">
        <v>1</v>
      </c>
      <c r="F10312" s="9">
        <v>1</v>
      </c>
      <c r="G10312" s="8"/>
      <c r="H10312" s="16">
        <v>192.08</v>
      </c>
      <c r="I10312" s="19">
        <f t="shared" ref="I10312:I10325" si="340">F10312*H10312</f>
        <v>192.08</v>
      </c>
    </row>
    <row r="10313" spans="1:9" hidden="1">
      <c r="A10313" s="7" t="s">
        <v>17611</v>
      </c>
      <c r="B10313" s="5" t="s">
        <v>17869</v>
      </c>
      <c r="C10313" s="35" t="s">
        <v>17870</v>
      </c>
      <c r="D10313" s="35" t="s">
        <v>992</v>
      </c>
      <c r="E10313" s="35">
        <v>1</v>
      </c>
      <c r="F10313" s="9"/>
      <c r="G10313" s="8"/>
      <c r="H10313" s="16">
        <v>29.66</v>
      </c>
      <c r="I10313" s="19">
        <f t="shared" si="340"/>
        <v>0</v>
      </c>
    </row>
    <row r="10314" spans="1:9" hidden="1">
      <c r="A10314" s="7" t="s">
        <v>17611</v>
      </c>
      <c r="B10314" s="5" t="s">
        <v>17871</v>
      </c>
      <c r="C10314" s="35" t="s">
        <v>17872</v>
      </c>
      <c r="D10314" s="35"/>
      <c r="E10314" s="35">
        <v>1</v>
      </c>
      <c r="F10314" s="9"/>
      <c r="G10314" s="8"/>
      <c r="H10314" s="16">
        <v>29.93</v>
      </c>
      <c r="I10314" s="19">
        <f t="shared" si="340"/>
        <v>0</v>
      </c>
    </row>
    <row r="10315" spans="1:9" hidden="1">
      <c r="A10315" s="7" t="s">
        <v>17611</v>
      </c>
      <c r="B10315" s="5" t="s">
        <v>17873</v>
      </c>
      <c r="C10315" s="35" t="s">
        <v>17874</v>
      </c>
      <c r="D10315" s="35"/>
      <c r="E10315" s="35">
        <v>1</v>
      </c>
      <c r="F10315" s="9"/>
      <c r="G10315" s="8"/>
      <c r="H10315" s="16">
        <v>28.01</v>
      </c>
      <c r="I10315" s="19">
        <f t="shared" si="340"/>
        <v>0</v>
      </c>
    </row>
    <row r="10316" spans="1:9" hidden="1">
      <c r="A10316" s="7" t="s">
        <v>17611</v>
      </c>
      <c r="B10316" s="5" t="s">
        <v>17875</v>
      </c>
      <c r="C10316" s="35" t="s">
        <v>17876</v>
      </c>
      <c r="D10316" s="35"/>
      <c r="E10316" s="35">
        <v>1</v>
      </c>
      <c r="F10316" s="9"/>
      <c r="G10316" s="8"/>
      <c r="H10316" s="16">
        <v>51.65</v>
      </c>
      <c r="I10316" s="19">
        <f t="shared" si="340"/>
        <v>0</v>
      </c>
    </row>
    <row r="10317" spans="1:9" hidden="1">
      <c r="A10317" s="7" t="s">
        <v>17611</v>
      </c>
      <c r="B10317" s="5" t="s">
        <v>17877</v>
      </c>
      <c r="C10317" s="35" t="s">
        <v>17878</v>
      </c>
      <c r="D10317" s="35"/>
      <c r="E10317" s="35">
        <v>1</v>
      </c>
      <c r="F10317" s="9"/>
      <c r="G10317" s="8"/>
      <c r="H10317" s="16">
        <v>16</v>
      </c>
      <c r="I10317" s="19">
        <f t="shared" si="340"/>
        <v>0</v>
      </c>
    </row>
    <row r="10318" spans="1:9" hidden="1">
      <c r="A10318" s="7" t="s">
        <v>17611</v>
      </c>
      <c r="B10318" s="5" t="s">
        <v>17879</v>
      </c>
      <c r="C10318" s="35" t="s">
        <v>17880</v>
      </c>
      <c r="D10318" s="35"/>
      <c r="E10318" s="35">
        <v>1</v>
      </c>
      <c r="F10318" s="9"/>
      <c r="G10318" s="8"/>
      <c r="H10318" s="16">
        <v>6.3</v>
      </c>
      <c r="I10318" s="19">
        <f t="shared" si="340"/>
        <v>0</v>
      </c>
    </row>
    <row r="10319" spans="1:9" hidden="1">
      <c r="A10319" s="7" t="s">
        <v>17611</v>
      </c>
      <c r="B10319" s="5" t="s">
        <v>17881</v>
      </c>
      <c r="C10319" s="35" t="s">
        <v>17882</v>
      </c>
      <c r="D10319" s="35"/>
      <c r="E10319" s="35">
        <v>1</v>
      </c>
      <c r="F10319" s="9"/>
      <c r="G10319" s="8"/>
      <c r="H10319" s="16">
        <v>18.670000000000002</v>
      </c>
      <c r="I10319" s="19">
        <f t="shared" si="340"/>
        <v>0</v>
      </c>
    </row>
    <row r="10320" spans="1:9">
      <c r="A10320" s="7" t="s">
        <v>17611</v>
      </c>
      <c r="B10320" s="5"/>
      <c r="C10320" s="35" t="s">
        <v>17883</v>
      </c>
      <c r="D10320" s="35"/>
      <c r="E10320" s="35">
        <v>1</v>
      </c>
      <c r="F10320" s="9">
        <v>2</v>
      </c>
      <c r="G10320" s="8"/>
      <c r="H10320" s="16">
        <v>561</v>
      </c>
      <c r="I10320" s="19">
        <f t="shared" si="340"/>
        <v>1122</v>
      </c>
    </row>
    <row r="10321" spans="1:9">
      <c r="A10321" s="7" t="s">
        <v>17611</v>
      </c>
      <c r="B10321" s="5"/>
      <c r="C10321" s="35" t="s">
        <v>17884</v>
      </c>
      <c r="D10321" s="35"/>
      <c r="E10321" s="35">
        <v>1</v>
      </c>
      <c r="F10321" s="9">
        <v>1</v>
      </c>
      <c r="G10321" s="8"/>
      <c r="H10321" s="16">
        <v>898.8</v>
      </c>
      <c r="I10321" s="19">
        <f t="shared" si="340"/>
        <v>898.8</v>
      </c>
    </row>
    <row r="10322" spans="1:9">
      <c r="A10322" s="7" t="s">
        <v>17611</v>
      </c>
      <c r="B10322" s="5"/>
      <c r="C10322" s="35" t="s">
        <v>17885</v>
      </c>
      <c r="D10322" s="35"/>
      <c r="E10322" s="35">
        <v>1</v>
      </c>
      <c r="F10322" s="9">
        <v>3</v>
      </c>
      <c r="G10322" s="8"/>
      <c r="H10322" s="16">
        <v>145.5</v>
      </c>
      <c r="I10322" s="19">
        <f t="shared" si="340"/>
        <v>436.5</v>
      </c>
    </row>
    <row r="10323" spans="1:9">
      <c r="A10323" s="7" t="s">
        <v>17611</v>
      </c>
      <c r="B10323" s="5"/>
      <c r="C10323" s="35" t="s">
        <v>17886</v>
      </c>
      <c r="D10323" s="35"/>
      <c r="E10323" s="35">
        <v>1</v>
      </c>
      <c r="F10323" s="9">
        <v>5</v>
      </c>
      <c r="G10323" s="8"/>
      <c r="H10323" s="16">
        <v>195.85</v>
      </c>
      <c r="I10323" s="19">
        <f t="shared" si="340"/>
        <v>979.25</v>
      </c>
    </row>
    <row r="10324" spans="1:9">
      <c r="A10324" s="7" t="s">
        <v>17611</v>
      </c>
      <c r="B10324" s="5"/>
      <c r="C10324" s="35" t="s">
        <v>17887</v>
      </c>
      <c r="D10324" s="35"/>
      <c r="E10324" s="35">
        <v>1</v>
      </c>
      <c r="F10324" s="9">
        <v>2</v>
      </c>
      <c r="G10324" s="8"/>
      <c r="H10324" s="16">
        <v>128.47</v>
      </c>
      <c r="I10324" s="19">
        <f t="shared" si="340"/>
        <v>256.94</v>
      </c>
    </row>
    <row r="10325" spans="1:9">
      <c r="A10325" s="7" t="s">
        <v>17611</v>
      </c>
      <c r="B10325" s="5"/>
      <c r="C10325" s="177" t="s">
        <v>17888</v>
      </c>
      <c r="D10325" s="35" t="s">
        <v>992</v>
      </c>
      <c r="E10325" s="35">
        <v>1</v>
      </c>
      <c r="F10325" s="9">
        <v>1</v>
      </c>
      <c r="G10325" s="8"/>
      <c r="H10325" s="16">
        <v>265.33</v>
      </c>
      <c r="I10325" s="19">
        <f t="shared" si="340"/>
        <v>265.33</v>
      </c>
    </row>
    <row r="10326" spans="1:9">
      <c r="A10326" s="160" t="s">
        <v>17889</v>
      </c>
      <c r="B10326" s="5" t="s">
        <v>17890</v>
      </c>
      <c r="C10326" s="177" t="s">
        <v>17891</v>
      </c>
      <c r="D10326" s="35"/>
      <c r="E10326" s="35">
        <v>1</v>
      </c>
      <c r="F10326" s="9">
        <v>2</v>
      </c>
      <c r="G10326" s="8">
        <f>H10326+(H10326*5%)</f>
        <v>114.8595</v>
      </c>
      <c r="H10326" s="16">
        <v>109.39</v>
      </c>
      <c r="I10326" s="19">
        <f>F10326*G10326</f>
        <v>229.71899999999999</v>
      </c>
    </row>
    <row r="10327" spans="1:9">
      <c r="A10327" s="160" t="s">
        <v>17889</v>
      </c>
      <c r="B10327" s="5" t="s">
        <v>17892</v>
      </c>
      <c r="C10327" s="177" t="s">
        <v>17893</v>
      </c>
      <c r="D10327" s="35"/>
      <c r="E10327" s="35">
        <v>1</v>
      </c>
      <c r="F10327" s="9">
        <v>1</v>
      </c>
      <c r="G10327" s="8">
        <f>H10327+(H10327*5%)</f>
        <v>126.9345</v>
      </c>
      <c r="H10327" s="16">
        <v>120.89</v>
      </c>
      <c r="I10327" s="19">
        <f>F10327*G10327</f>
        <v>126.9345</v>
      </c>
    </row>
    <row r="10328" spans="1:9" hidden="1">
      <c r="A10328" s="57" t="s">
        <v>17894</v>
      </c>
      <c r="B10328" s="30">
        <v>526106000</v>
      </c>
      <c r="C10328" s="33" t="s">
        <v>17895</v>
      </c>
      <c r="D10328" s="33"/>
      <c r="E10328" s="15">
        <v>1</v>
      </c>
      <c r="F10328" s="17"/>
      <c r="G10328" s="16"/>
      <c r="H10328" s="16">
        <v>41.13</v>
      </c>
      <c r="I10328" s="19">
        <f t="shared" ref="I10328:I10330" si="341">F10328*H10329</f>
        <v>0</v>
      </c>
    </row>
    <row r="10329" spans="1:9" hidden="1">
      <c r="A10329" s="57" t="s">
        <v>17894</v>
      </c>
      <c r="B10329" s="30">
        <v>482527000</v>
      </c>
      <c r="C10329" s="33" t="s">
        <v>17896</v>
      </c>
      <c r="D10329" s="33"/>
      <c r="E10329" s="15">
        <v>1</v>
      </c>
      <c r="F10329" s="17"/>
      <c r="G10329" s="16"/>
      <c r="H10329" s="16">
        <v>14.97</v>
      </c>
      <c r="I10329" s="19">
        <f t="shared" si="341"/>
        <v>0</v>
      </c>
    </row>
    <row r="10330" spans="1:9" hidden="1">
      <c r="A10330" s="57" t="s">
        <v>17894</v>
      </c>
      <c r="B10330" s="30">
        <v>526106116</v>
      </c>
      <c r="C10330" s="33" t="s">
        <v>17897</v>
      </c>
      <c r="D10330" s="33"/>
      <c r="E10330" s="15">
        <v>1</v>
      </c>
      <c r="F10330" s="17"/>
      <c r="G10330" s="16"/>
      <c r="H10330" s="16">
        <v>40.229999999999997</v>
      </c>
      <c r="I10330" s="19">
        <f t="shared" si="341"/>
        <v>0</v>
      </c>
    </row>
    <row r="10331" spans="1:9">
      <c r="A10331" s="57" t="s">
        <v>17894</v>
      </c>
      <c r="B10331" s="30">
        <v>497105000</v>
      </c>
      <c r="C10331" s="33" t="s">
        <v>17898</v>
      </c>
      <c r="D10331" s="33"/>
      <c r="E10331" s="15">
        <v>1</v>
      </c>
      <c r="F10331" s="17">
        <v>6</v>
      </c>
      <c r="G10331" s="16"/>
      <c r="H10331" s="16">
        <v>60.89</v>
      </c>
      <c r="I10331" s="19">
        <f>F10331*H10331</f>
        <v>365.34000000000003</v>
      </c>
    </row>
    <row r="10332" spans="1:9" hidden="1">
      <c r="A10332" s="70" t="s">
        <v>17899</v>
      </c>
      <c r="B10332" s="30">
        <v>20000694</v>
      </c>
      <c r="C10332" s="33" t="s">
        <v>17900</v>
      </c>
      <c r="D10332" s="33" t="s">
        <v>576</v>
      </c>
      <c r="E10332" s="15">
        <v>1</v>
      </c>
      <c r="F10332" s="17"/>
      <c r="G10332" s="16"/>
      <c r="H10332" s="16">
        <v>26.35</v>
      </c>
      <c r="I10332" s="19">
        <f t="shared" ref="I10332:I10339" si="342">F10332*H10332</f>
        <v>0</v>
      </c>
    </row>
    <row r="10333" spans="1:9" hidden="1">
      <c r="A10333" s="70" t="s">
        <v>17899</v>
      </c>
      <c r="B10333" s="30">
        <v>12000214</v>
      </c>
      <c r="C10333" s="33" t="s">
        <v>17901</v>
      </c>
      <c r="D10333" s="33"/>
      <c r="E10333" s="15">
        <v>1</v>
      </c>
      <c r="F10333" s="17"/>
      <c r="G10333" s="16"/>
      <c r="H10333" s="16">
        <v>333</v>
      </c>
      <c r="I10333" s="19">
        <f t="shared" si="342"/>
        <v>0</v>
      </c>
    </row>
    <row r="10334" spans="1:9" hidden="1">
      <c r="A10334" s="70" t="s">
        <v>17899</v>
      </c>
      <c r="B10334" s="30">
        <v>20000685</v>
      </c>
      <c r="C10334" s="33" t="s">
        <v>17902</v>
      </c>
      <c r="D10334" s="33"/>
      <c r="E10334" s="15">
        <v>1</v>
      </c>
      <c r="F10334" s="17"/>
      <c r="G10334" s="16"/>
      <c r="H10334" s="16">
        <v>48.45</v>
      </c>
      <c r="I10334" s="19">
        <f t="shared" si="342"/>
        <v>0</v>
      </c>
    </row>
    <row r="10335" spans="1:9" hidden="1">
      <c r="A10335" s="70" t="s">
        <v>17899</v>
      </c>
      <c r="B10335" s="30">
        <v>12000072</v>
      </c>
      <c r="C10335" s="33" t="s">
        <v>17903</v>
      </c>
      <c r="D10335" s="33"/>
      <c r="E10335" s="15">
        <v>1</v>
      </c>
      <c r="F10335" s="17"/>
      <c r="G10335" s="16"/>
      <c r="H10335" s="16">
        <v>30.6</v>
      </c>
      <c r="I10335" s="19">
        <f t="shared" si="342"/>
        <v>0</v>
      </c>
    </row>
    <row r="10336" spans="1:9" hidden="1">
      <c r="A10336" s="70" t="s">
        <v>17899</v>
      </c>
      <c r="B10336" s="30">
        <v>21000215</v>
      </c>
      <c r="C10336" s="33" t="s">
        <v>17904</v>
      </c>
      <c r="D10336" s="33"/>
      <c r="E10336" s="15">
        <v>1</v>
      </c>
      <c r="F10336" s="17"/>
      <c r="G10336" s="16"/>
      <c r="H10336" s="16">
        <v>83.2</v>
      </c>
      <c r="I10336" s="19">
        <f t="shared" si="342"/>
        <v>0</v>
      </c>
    </row>
    <row r="10337" spans="1:10" hidden="1">
      <c r="A10337" s="70" t="s">
        <v>17899</v>
      </c>
      <c r="B10337" s="30">
        <v>20000045</v>
      </c>
      <c r="C10337" s="33" t="s">
        <v>17905</v>
      </c>
      <c r="D10337" s="33"/>
      <c r="E10337" s="15">
        <v>1</v>
      </c>
      <c r="F10337" s="17"/>
      <c r="G10337" s="16"/>
      <c r="H10337" s="16">
        <v>41.65</v>
      </c>
      <c r="I10337" s="19">
        <f t="shared" si="342"/>
        <v>0</v>
      </c>
    </row>
    <row r="10338" spans="1:10" hidden="1">
      <c r="A10338" s="70" t="s">
        <v>17899</v>
      </c>
      <c r="B10338" s="30">
        <v>20000566</v>
      </c>
      <c r="C10338" s="33" t="s">
        <v>17906</v>
      </c>
      <c r="D10338" s="33"/>
      <c r="E10338" s="15">
        <v>1</v>
      </c>
      <c r="F10338" s="17"/>
      <c r="G10338" s="16"/>
      <c r="H10338" s="16">
        <v>26.35</v>
      </c>
      <c r="I10338" s="19">
        <f t="shared" si="342"/>
        <v>0</v>
      </c>
    </row>
    <row r="10339" spans="1:10" hidden="1">
      <c r="A10339" s="70" t="s">
        <v>17899</v>
      </c>
      <c r="B10339" s="30">
        <v>20000254</v>
      </c>
      <c r="C10339" s="33" t="s">
        <v>17907</v>
      </c>
      <c r="D10339" s="33"/>
      <c r="E10339" s="15">
        <v>1</v>
      </c>
      <c r="F10339" s="17"/>
      <c r="G10339" s="16"/>
      <c r="H10339" s="16">
        <v>22.95</v>
      </c>
      <c r="I10339" s="19">
        <f t="shared" si="342"/>
        <v>0</v>
      </c>
    </row>
    <row r="10340" spans="1:10" hidden="1">
      <c r="A10340" s="58" t="s">
        <v>17908</v>
      </c>
      <c r="B10340" s="30" t="s">
        <v>17909</v>
      </c>
      <c r="C10340" s="33" t="s">
        <v>17910</v>
      </c>
      <c r="D10340" s="33"/>
      <c r="E10340" s="15">
        <v>1</v>
      </c>
      <c r="F10340" s="17"/>
      <c r="G10340" s="16"/>
      <c r="H10340" s="16">
        <v>45.57</v>
      </c>
      <c r="I10340" s="19">
        <f>F10340*H10341</f>
        <v>0</v>
      </c>
      <c r="J10340" s="64"/>
    </row>
    <row r="10341" spans="1:10" hidden="1">
      <c r="A10341" s="58" t="s">
        <v>17908</v>
      </c>
      <c r="B10341" s="30" t="s">
        <v>17911</v>
      </c>
      <c r="C10341" s="33" t="s">
        <v>17912</v>
      </c>
      <c r="D10341" s="33"/>
      <c r="E10341" s="15">
        <v>1</v>
      </c>
      <c r="F10341" s="17"/>
      <c r="G10341" s="16"/>
      <c r="H10341" s="16">
        <v>2.23</v>
      </c>
      <c r="I10341" s="19">
        <f>F10341*H10343</f>
        <v>0</v>
      </c>
    </row>
    <row r="10342" spans="1:10">
      <c r="A10342" s="58" t="s">
        <v>17908</v>
      </c>
      <c r="B10342" s="30" t="s">
        <v>17913</v>
      </c>
      <c r="C10342" s="33" t="s">
        <v>17914</v>
      </c>
      <c r="D10342" s="33"/>
      <c r="E10342" s="15">
        <v>1</v>
      </c>
      <c r="F10342" s="17">
        <v>19</v>
      </c>
      <c r="G10342" s="16"/>
      <c r="H10342" s="16">
        <v>27.77</v>
      </c>
      <c r="I10342" s="19">
        <f>F10342*H10344</f>
        <v>2309.4499999999998</v>
      </c>
    </row>
    <row r="10343" spans="1:10" hidden="1">
      <c r="A10343" s="72" t="s">
        <v>17915</v>
      </c>
      <c r="B10343" s="30">
        <v>436294</v>
      </c>
      <c r="C10343" s="33" t="s">
        <v>17916</v>
      </c>
      <c r="D10343" s="33"/>
      <c r="E10343" s="15">
        <v>1</v>
      </c>
      <c r="F10343" s="17"/>
      <c r="G10343" s="16"/>
      <c r="H10343" s="16">
        <v>56.8</v>
      </c>
      <c r="I10343" s="19">
        <f t="shared" ref="I10343:I10347" si="343">F10343*H10367</f>
        <v>0</v>
      </c>
    </row>
    <row r="10344" spans="1:10" hidden="1">
      <c r="A10344" s="72" t="s">
        <v>17915</v>
      </c>
      <c r="B10344" s="30">
        <v>3051927</v>
      </c>
      <c r="C10344" s="33" t="s">
        <v>17917</v>
      </c>
      <c r="D10344" s="33"/>
      <c r="E10344" s="15">
        <v>1</v>
      </c>
      <c r="F10344" s="17"/>
      <c r="G10344" s="16"/>
      <c r="H10344" s="16">
        <v>121.55</v>
      </c>
      <c r="I10344" s="19">
        <f t="shared" si="343"/>
        <v>0</v>
      </c>
    </row>
    <row r="10345" spans="1:10" hidden="1">
      <c r="A10345" s="72" t="s">
        <v>17915</v>
      </c>
      <c r="B10345" s="30">
        <v>3051926</v>
      </c>
      <c r="C10345" s="33" t="s">
        <v>17918</v>
      </c>
      <c r="D10345" s="33"/>
      <c r="E10345" s="15">
        <v>1</v>
      </c>
      <c r="F10345" s="17"/>
      <c r="G10345" s="16"/>
      <c r="H10345" s="16">
        <v>121.55</v>
      </c>
      <c r="I10345" s="19">
        <f t="shared" si="343"/>
        <v>0</v>
      </c>
    </row>
    <row r="10346" spans="1:10" hidden="1">
      <c r="A10346" s="72" t="s">
        <v>17915</v>
      </c>
      <c r="B10346" s="30">
        <v>1195001</v>
      </c>
      <c r="C10346" s="33" t="s">
        <v>17919</v>
      </c>
      <c r="D10346" s="33"/>
      <c r="E10346" s="15">
        <v>1</v>
      </c>
      <c r="F10346" s="17"/>
      <c r="G10346" s="16"/>
      <c r="H10346" s="16">
        <v>25.5</v>
      </c>
      <c r="I10346" s="19">
        <f t="shared" si="343"/>
        <v>0</v>
      </c>
    </row>
    <row r="10347" spans="1:10" hidden="1">
      <c r="A10347" s="72" t="s">
        <v>17915</v>
      </c>
      <c r="B10347" s="30">
        <v>3051888</v>
      </c>
      <c r="C10347" s="33" t="s">
        <v>17920</v>
      </c>
      <c r="D10347" s="33" t="s">
        <v>572</v>
      </c>
      <c r="E10347" s="15">
        <v>1</v>
      </c>
      <c r="F10347" s="17"/>
      <c r="G10347" s="16"/>
      <c r="H10347" s="16">
        <v>6.04</v>
      </c>
      <c r="I10347" s="19">
        <f t="shared" si="343"/>
        <v>0</v>
      </c>
    </row>
    <row r="10348" spans="1:10" hidden="1">
      <c r="A10348" s="72" t="s">
        <v>17915</v>
      </c>
      <c r="B10348" s="30" t="s">
        <v>17921</v>
      </c>
      <c r="C10348" s="33" t="s">
        <v>17922</v>
      </c>
      <c r="D10348" s="33"/>
      <c r="E10348" s="15">
        <v>1</v>
      </c>
      <c r="F10348" s="17"/>
      <c r="G10348" s="16"/>
      <c r="H10348" s="16">
        <v>93.5</v>
      </c>
      <c r="I10348" s="19">
        <f>F10348*H10421</f>
        <v>0</v>
      </c>
    </row>
    <row r="10349" spans="1:10" hidden="1">
      <c r="A10349" s="72" t="s">
        <v>17915</v>
      </c>
      <c r="B10349" s="30">
        <v>1195002</v>
      </c>
      <c r="C10349" s="33" t="s">
        <v>17923</v>
      </c>
      <c r="D10349" s="33"/>
      <c r="E10349" s="15">
        <v>1</v>
      </c>
      <c r="F10349" s="17"/>
      <c r="G10349" s="16"/>
      <c r="H10349" s="16">
        <v>28.9</v>
      </c>
      <c r="I10349" s="19">
        <f>F10349*H10422</f>
        <v>0</v>
      </c>
    </row>
    <row r="10350" spans="1:10" hidden="1">
      <c r="A10350" s="72" t="s">
        <v>17915</v>
      </c>
      <c r="B10350" s="30">
        <v>3047248</v>
      </c>
      <c r="C10350" s="33" t="s">
        <v>17924</v>
      </c>
      <c r="D10350" s="33"/>
      <c r="E10350" s="15">
        <v>1</v>
      </c>
      <c r="F10350" s="17"/>
      <c r="G10350" s="16"/>
      <c r="H10350" s="16">
        <v>11.14</v>
      </c>
      <c r="I10350" s="19">
        <f>F10350*H10421</f>
        <v>0</v>
      </c>
    </row>
    <row r="10351" spans="1:10" hidden="1">
      <c r="A10351" s="72" t="s">
        <v>17915</v>
      </c>
      <c r="B10351" s="30">
        <v>3047249</v>
      </c>
      <c r="C10351" s="33" t="s">
        <v>17925</v>
      </c>
      <c r="D10351" s="33"/>
      <c r="E10351" s="15">
        <v>1</v>
      </c>
      <c r="F10351" s="17"/>
      <c r="G10351" s="16"/>
      <c r="H10351" s="16">
        <v>11.14</v>
      </c>
      <c r="I10351" s="19">
        <f>F10351*H10422</f>
        <v>0</v>
      </c>
    </row>
    <row r="10352" spans="1:10" hidden="1">
      <c r="A10352" s="72" t="s">
        <v>17915</v>
      </c>
      <c r="B10352" s="30">
        <v>3054028</v>
      </c>
      <c r="C10352" s="33" t="s">
        <v>17926</v>
      </c>
      <c r="D10352" s="33"/>
      <c r="E10352" s="15">
        <v>1</v>
      </c>
      <c r="F10352" s="17"/>
      <c r="G10352" s="16"/>
      <c r="H10352" s="16">
        <v>4.93</v>
      </c>
      <c r="I10352" s="19">
        <f t="shared" ref="I10352:I10362" si="344">F10352*H10421</f>
        <v>0</v>
      </c>
    </row>
    <row r="10353" spans="1:9" hidden="1">
      <c r="A10353" s="72" t="s">
        <v>17915</v>
      </c>
      <c r="B10353" s="30">
        <v>30440311</v>
      </c>
      <c r="C10353" s="33" t="s">
        <v>17927</v>
      </c>
      <c r="D10353" s="33"/>
      <c r="E10353" s="15">
        <v>1</v>
      </c>
      <c r="F10353" s="17"/>
      <c r="G10353" s="16"/>
      <c r="H10353" s="16">
        <v>6.12</v>
      </c>
      <c r="I10353" s="19">
        <f t="shared" si="344"/>
        <v>0</v>
      </c>
    </row>
    <row r="10354" spans="1:9" hidden="1">
      <c r="A10354" s="72" t="s">
        <v>17915</v>
      </c>
      <c r="B10354" s="30">
        <v>3045114</v>
      </c>
      <c r="C10354" s="33" t="s">
        <v>17928</v>
      </c>
      <c r="D10354" s="33"/>
      <c r="E10354" s="15">
        <v>1</v>
      </c>
      <c r="F10354" s="17"/>
      <c r="G10354" s="16"/>
      <c r="H10354" s="16">
        <v>9.69</v>
      </c>
      <c r="I10354" s="19">
        <f t="shared" si="344"/>
        <v>0</v>
      </c>
    </row>
    <row r="10355" spans="1:9" hidden="1">
      <c r="A10355" s="72" t="s">
        <v>17915</v>
      </c>
      <c r="B10355" s="30">
        <v>3045115</v>
      </c>
      <c r="C10355" s="33" t="s">
        <v>17929</v>
      </c>
      <c r="D10355" s="33"/>
      <c r="E10355" s="15">
        <v>1</v>
      </c>
      <c r="F10355" s="17"/>
      <c r="G10355" s="16"/>
      <c r="H10355" s="16">
        <v>9.69</v>
      </c>
      <c r="I10355" s="19">
        <f t="shared" si="344"/>
        <v>0</v>
      </c>
    </row>
    <row r="10356" spans="1:9" hidden="1">
      <c r="A10356" s="72" t="s">
        <v>17915</v>
      </c>
      <c r="B10356" s="30">
        <v>3039956</v>
      </c>
      <c r="C10356" s="33" t="s">
        <v>17930</v>
      </c>
      <c r="D10356" s="33"/>
      <c r="E10356" s="15">
        <v>1</v>
      </c>
      <c r="F10356" s="17"/>
      <c r="G10356" s="16"/>
      <c r="H10356" s="16">
        <v>6.12</v>
      </c>
      <c r="I10356" s="19">
        <f t="shared" si="344"/>
        <v>0</v>
      </c>
    </row>
    <row r="10357" spans="1:9" hidden="1">
      <c r="A10357" s="72" t="s">
        <v>17915</v>
      </c>
      <c r="B10357" s="30">
        <v>3074403</v>
      </c>
      <c r="C10357" s="33" t="s">
        <v>17931</v>
      </c>
      <c r="D10357" s="33"/>
      <c r="E10357" s="15">
        <v>1</v>
      </c>
      <c r="F10357" s="17"/>
      <c r="G10357" s="16"/>
      <c r="H10357" s="16">
        <v>7.23</v>
      </c>
      <c r="I10357" s="19">
        <f t="shared" si="344"/>
        <v>0</v>
      </c>
    </row>
    <row r="10358" spans="1:9" hidden="1">
      <c r="A10358" s="72" t="s">
        <v>17915</v>
      </c>
      <c r="B10358" s="30">
        <v>437014</v>
      </c>
      <c r="C10358" s="33" t="s">
        <v>17932</v>
      </c>
      <c r="D10358" s="33"/>
      <c r="E10358" s="15">
        <v>1</v>
      </c>
      <c r="F10358" s="17"/>
      <c r="G10358" s="16"/>
      <c r="H10358" s="16">
        <v>62.05</v>
      </c>
      <c r="I10358" s="19">
        <f t="shared" si="344"/>
        <v>0</v>
      </c>
    </row>
    <row r="10359" spans="1:9" hidden="1">
      <c r="A10359" s="72" t="s">
        <v>17915</v>
      </c>
      <c r="B10359" s="30">
        <v>3051069</v>
      </c>
      <c r="C10359" s="33" t="s">
        <v>17933</v>
      </c>
      <c r="D10359" s="33"/>
      <c r="E10359" s="15">
        <v>1</v>
      </c>
      <c r="F10359" s="17"/>
      <c r="G10359" s="16"/>
      <c r="H10359" s="16">
        <v>118.15</v>
      </c>
      <c r="I10359" s="19">
        <f t="shared" si="344"/>
        <v>0</v>
      </c>
    </row>
    <row r="10360" spans="1:9" hidden="1">
      <c r="A10360" s="72" t="s">
        <v>17915</v>
      </c>
      <c r="B10360" s="30">
        <v>638192</v>
      </c>
      <c r="C10360" s="33" t="s">
        <v>17934</v>
      </c>
      <c r="D10360" s="33"/>
      <c r="E10360" s="15">
        <v>1</v>
      </c>
      <c r="F10360" s="17"/>
      <c r="G10360" s="16"/>
      <c r="H10360" s="16">
        <v>40.799999999999997</v>
      </c>
      <c r="I10360" s="19">
        <f t="shared" si="344"/>
        <v>0</v>
      </c>
    </row>
    <row r="10361" spans="1:9" hidden="1">
      <c r="A10361" s="72" t="s">
        <v>17915</v>
      </c>
      <c r="B10361" s="30">
        <v>638194</v>
      </c>
      <c r="C10361" s="33" t="s">
        <v>17935</v>
      </c>
      <c r="D10361" s="33"/>
      <c r="E10361" s="15">
        <v>1</v>
      </c>
      <c r="F10361" s="17"/>
      <c r="G10361" s="16"/>
      <c r="H10361" s="16">
        <v>53.55</v>
      </c>
      <c r="I10361" s="19">
        <f t="shared" si="344"/>
        <v>0</v>
      </c>
    </row>
    <row r="10362" spans="1:9" hidden="1">
      <c r="A10362" s="72" t="s">
        <v>17915</v>
      </c>
      <c r="B10362" s="30">
        <v>4511736</v>
      </c>
      <c r="C10362" s="33" t="s">
        <v>17936</v>
      </c>
      <c r="D10362" s="33"/>
      <c r="E10362" s="15">
        <v>1</v>
      </c>
      <c r="F10362" s="17"/>
      <c r="G10362" s="16"/>
      <c r="H10362" s="16">
        <v>52.8</v>
      </c>
      <c r="I10362" s="19">
        <f t="shared" si="344"/>
        <v>0</v>
      </c>
    </row>
    <row r="10363" spans="1:9" hidden="1">
      <c r="A10363" s="72" t="s">
        <v>17915</v>
      </c>
      <c r="B10363" s="30">
        <v>436727</v>
      </c>
      <c r="C10363" s="33" t="s">
        <v>17937</v>
      </c>
      <c r="D10363" s="33"/>
      <c r="E10363" s="15">
        <v>1</v>
      </c>
      <c r="F10363" s="17"/>
      <c r="G10363" s="16"/>
      <c r="H10363" s="16">
        <v>54.4</v>
      </c>
      <c r="I10363" s="19">
        <f>F10363*H10452</f>
        <v>0</v>
      </c>
    </row>
    <row r="10364" spans="1:9" hidden="1">
      <c r="A10364" s="72" t="s">
        <v>17915</v>
      </c>
      <c r="B10364" s="30">
        <v>3051062</v>
      </c>
      <c r="C10364" s="33" t="s">
        <v>17938</v>
      </c>
      <c r="D10364" s="33"/>
      <c r="E10364" s="15">
        <v>1</v>
      </c>
      <c r="F10364" s="17"/>
      <c r="G10364" s="16"/>
      <c r="H10364" s="16">
        <v>106.25</v>
      </c>
      <c r="I10364" s="19">
        <f>F10364*H10453</f>
        <v>0</v>
      </c>
    </row>
    <row r="10365" spans="1:9" hidden="1">
      <c r="A10365" s="72" t="s">
        <v>17915</v>
      </c>
      <c r="B10365" s="30">
        <v>436210</v>
      </c>
      <c r="C10365" s="33" t="s">
        <v>17939</v>
      </c>
      <c r="D10365" s="33"/>
      <c r="E10365" s="15">
        <v>1</v>
      </c>
      <c r="F10365" s="17"/>
      <c r="G10365" s="16"/>
      <c r="H10365" s="16">
        <v>109.65</v>
      </c>
      <c r="I10365" s="19">
        <f>F10365*H10454</f>
        <v>0</v>
      </c>
    </row>
    <row r="10366" spans="1:9" hidden="1">
      <c r="A10366" s="59" t="s">
        <v>17940</v>
      </c>
      <c r="B10366" s="30" t="s">
        <v>17941</v>
      </c>
      <c r="C10366" s="33" t="s">
        <v>17942</v>
      </c>
      <c r="D10366" s="33"/>
      <c r="E10366" s="15">
        <v>1</v>
      </c>
      <c r="F10366" s="17"/>
      <c r="G10366" s="16"/>
      <c r="H10366" s="16">
        <v>126.59</v>
      </c>
      <c r="I10366" s="19">
        <f>F10366*H10367</f>
        <v>0</v>
      </c>
    </row>
    <row r="10367" spans="1:9">
      <c r="A10367" s="59" t="s">
        <v>17940</v>
      </c>
      <c r="B10367" s="30" t="s">
        <v>17943</v>
      </c>
      <c r="C10367" s="33" t="s">
        <v>17944</v>
      </c>
      <c r="D10367" s="33"/>
      <c r="E10367" s="15">
        <v>1</v>
      </c>
      <c r="F10367" s="17">
        <v>1</v>
      </c>
      <c r="G10367" s="16"/>
      <c r="H10367" s="16">
        <v>126.59</v>
      </c>
      <c r="I10367" s="19">
        <f>F10367*H10368</f>
        <v>126.59</v>
      </c>
    </row>
    <row r="10368" spans="1:9" hidden="1">
      <c r="A10368" s="59" t="s">
        <v>17940</v>
      </c>
      <c r="B10368" s="30" t="s">
        <v>17945</v>
      </c>
      <c r="C10368" s="33" t="s">
        <v>17946</v>
      </c>
      <c r="D10368" s="33"/>
      <c r="E10368" s="15">
        <v>1</v>
      </c>
      <c r="F10368" s="17"/>
      <c r="G10368" s="16"/>
      <c r="H10368" s="16">
        <v>126.59</v>
      </c>
      <c r="I10368" s="19">
        <f>F10368*H10369</f>
        <v>0</v>
      </c>
    </row>
    <row r="10369" spans="1:10" hidden="1">
      <c r="A10369" s="59" t="s">
        <v>17940</v>
      </c>
      <c r="B10369" s="30" t="s">
        <v>17947</v>
      </c>
      <c r="C10369" s="33" t="s">
        <v>17948</v>
      </c>
      <c r="D10369" s="33"/>
      <c r="E10369" s="15">
        <v>1</v>
      </c>
      <c r="F10369" s="17"/>
      <c r="G10369" s="16"/>
      <c r="H10369" s="16">
        <v>126.59</v>
      </c>
      <c r="I10369" s="19">
        <f>F10369*H10370</f>
        <v>0</v>
      </c>
    </row>
    <row r="10370" spans="1:10">
      <c r="A10370" s="77" t="s">
        <v>17949</v>
      </c>
      <c r="B10370" s="5" t="s">
        <v>17950</v>
      </c>
      <c r="C10370" s="32" t="s">
        <v>17951</v>
      </c>
      <c r="D10370" s="32"/>
      <c r="E10370" s="2">
        <v>1</v>
      </c>
      <c r="F10370" s="9">
        <v>9</v>
      </c>
      <c r="G10370" s="8">
        <f>H10370+(H10370*5%)</f>
        <v>397.82400000000001</v>
      </c>
      <c r="H10370" s="16">
        <v>378.88</v>
      </c>
      <c r="I10370" s="19">
        <f>G10370*F10370</f>
        <v>3580.4160000000002</v>
      </c>
      <c r="J10370" s="64"/>
    </row>
    <row r="10371" spans="1:10">
      <c r="A10371" s="77" t="s">
        <v>17949</v>
      </c>
      <c r="B10371" s="28">
        <v>714406000001</v>
      </c>
      <c r="C10371" s="32" t="s">
        <v>17952</v>
      </c>
      <c r="D10371" s="32"/>
      <c r="E10371" s="2">
        <v>1</v>
      </c>
      <c r="F10371" s="9">
        <v>16</v>
      </c>
      <c r="G10371" s="8">
        <f>H10371+(H10371*5%)</f>
        <v>402.68549999999999</v>
      </c>
      <c r="H10371" s="16">
        <v>383.51</v>
      </c>
      <c r="I10371" s="19">
        <f t="shared" ref="I10371:I10410" si="345">G10371*F10371</f>
        <v>6442.9679999999998</v>
      </c>
      <c r="J10371" s="64"/>
    </row>
    <row r="10372" spans="1:10">
      <c r="A10372" s="77" t="s">
        <v>17949</v>
      </c>
      <c r="B10372" s="28" t="s">
        <v>17953</v>
      </c>
      <c r="C10372" s="32" t="s">
        <v>17954</v>
      </c>
      <c r="D10372" s="32"/>
      <c r="E10372" s="2">
        <v>1</v>
      </c>
      <c r="F10372" s="9">
        <v>5</v>
      </c>
      <c r="G10372" s="8">
        <f t="shared" ref="G10372:G10410" si="346">H10372+(H10372*5%)</f>
        <v>96.81</v>
      </c>
      <c r="H10372" s="16">
        <v>92.2</v>
      </c>
      <c r="I10372" s="19">
        <f t="shared" si="345"/>
        <v>484.05</v>
      </c>
      <c r="J10372" s="64"/>
    </row>
    <row r="10373" spans="1:10">
      <c r="A10373" s="77" t="s">
        <v>17949</v>
      </c>
      <c r="B10373" s="28" t="s">
        <v>17955</v>
      </c>
      <c r="C10373" s="32" t="s">
        <v>17956</v>
      </c>
      <c r="D10373" s="32"/>
      <c r="E10373" s="2">
        <v>1</v>
      </c>
      <c r="F10373" s="9">
        <v>3</v>
      </c>
      <c r="G10373" s="8">
        <f t="shared" si="346"/>
        <v>52.552499999999995</v>
      </c>
      <c r="H10373" s="16">
        <v>50.05</v>
      </c>
      <c r="I10373" s="19">
        <f>G10373*F10373</f>
        <v>157.65749999999997</v>
      </c>
      <c r="J10373" s="64"/>
    </row>
    <row r="10374" spans="1:10">
      <c r="A10374" s="77" t="s">
        <v>17949</v>
      </c>
      <c r="B10374" s="28" t="s">
        <v>17957</v>
      </c>
      <c r="C10374" s="32" t="s">
        <v>17958</v>
      </c>
      <c r="D10374" s="32"/>
      <c r="E10374" s="2">
        <v>1</v>
      </c>
      <c r="F10374" s="9">
        <v>1</v>
      </c>
      <c r="G10374" s="8">
        <f t="shared" si="346"/>
        <v>98.7</v>
      </c>
      <c r="H10374" s="16">
        <v>94</v>
      </c>
      <c r="I10374" s="19">
        <f t="shared" si="345"/>
        <v>98.7</v>
      </c>
      <c r="J10374" s="64"/>
    </row>
    <row r="10375" spans="1:10" hidden="1">
      <c r="A10375" s="77" t="s">
        <v>17949</v>
      </c>
      <c r="B10375" s="28" t="s">
        <v>17959</v>
      </c>
      <c r="C10375" s="32" t="s">
        <v>17960</v>
      </c>
      <c r="D10375" s="32"/>
      <c r="E10375" s="2">
        <v>1</v>
      </c>
      <c r="F10375" s="9"/>
      <c r="G10375" s="8">
        <f t="shared" si="346"/>
        <v>480.9</v>
      </c>
      <c r="H10375" s="16">
        <v>458</v>
      </c>
      <c r="I10375" s="19">
        <f t="shared" si="345"/>
        <v>0</v>
      </c>
      <c r="J10375" s="64"/>
    </row>
    <row r="10376" spans="1:10" hidden="1">
      <c r="A10376" s="77" t="s">
        <v>17949</v>
      </c>
      <c r="B10376" s="28" t="s">
        <v>17961</v>
      </c>
      <c r="C10376" s="32" t="s">
        <v>17962</v>
      </c>
      <c r="D10376" s="32"/>
      <c r="E10376" s="2">
        <v>1</v>
      </c>
      <c r="F10376" s="9"/>
      <c r="G10376" s="8">
        <f t="shared" si="346"/>
        <v>33.284999999999997</v>
      </c>
      <c r="H10376" s="16">
        <v>31.7</v>
      </c>
      <c r="I10376" s="19">
        <f t="shared" si="345"/>
        <v>0</v>
      </c>
      <c r="J10376" s="64"/>
    </row>
    <row r="10377" spans="1:10" hidden="1">
      <c r="A10377" s="77" t="s">
        <v>17949</v>
      </c>
      <c r="B10377" s="28" t="s">
        <v>17963</v>
      </c>
      <c r="C10377" s="32" t="s">
        <v>17964</v>
      </c>
      <c r="D10377" s="32"/>
      <c r="E10377" s="2">
        <v>1</v>
      </c>
      <c r="F10377" s="9"/>
      <c r="G10377" s="8">
        <f t="shared" si="346"/>
        <v>19.057499999999997</v>
      </c>
      <c r="H10377" s="16">
        <v>18.149999999999999</v>
      </c>
      <c r="I10377" s="19">
        <f t="shared" si="345"/>
        <v>0</v>
      </c>
      <c r="J10377" s="64"/>
    </row>
    <row r="10378" spans="1:10" hidden="1">
      <c r="A10378" s="77" t="s">
        <v>17949</v>
      </c>
      <c r="B10378" s="28" t="s">
        <v>17965</v>
      </c>
      <c r="C10378" s="32" t="s">
        <v>17966</v>
      </c>
      <c r="D10378" s="32"/>
      <c r="E10378" s="2">
        <v>1</v>
      </c>
      <c r="F10378" s="9"/>
      <c r="G10378" s="8">
        <f t="shared" si="346"/>
        <v>1120.434</v>
      </c>
      <c r="H10378" s="16">
        <v>1067.08</v>
      </c>
      <c r="I10378" s="19">
        <f t="shared" si="345"/>
        <v>0</v>
      </c>
      <c r="J10378" s="64"/>
    </row>
    <row r="10379" spans="1:10" hidden="1">
      <c r="A10379" s="77" t="s">
        <v>17949</v>
      </c>
      <c r="B10379" s="28" t="s">
        <v>17967</v>
      </c>
      <c r="C10379" s="32" t="s">
        <v>17968</v>
      </c>
      <c r="D10379" s="32"/>
      <c r="E10379" s="2">
        <v>1</v>
      </c>
      <c r="F10379" s="9"/>
      <c r="G10379" s="8">
        <f t="shared" si="346"/>
        <v>1120.434</v>
      </c>
      <c r="H10379" s="16">
        <v>1067.08</v>
      </c>
      <c r="I10379" s="19">
        <f t="shared" si="345"/>
        <v>0</v>
      </c>
      <c r="J10379" s="64"/>
    </row>
    <row r="10380" spans="1:10">
      <c r="A10380" s="77" t="s">
        <v>17949</v>
      </c>
      <c r="B10380" s="28" t="s">
        <v>17969</v>
      </c>
      <c r="C10380" s="32" t="s">
        <v>17970</v>
      </c>
      <c r="D10380" s="32"/>
      <c r="E10380" s="2">
        <v>1</v>
      </c>
      <c r="F10380" s="9">
        <v>2</v>
      </c>
      <c r="G10380" s="8">
        <f t="shared" si="346"/>
        <v>444.05550000000005</v>
      </c>
      <c r="H10380" s="16">
        <v>422.91</v>
      </c>
      <c r="I10380" s="19">
        <f t="shared" si="345"/>
        <v>888.1110000000001</v>
      </c>
      <c r="J10380" s="64"/>
    </row>
    <row r="10381" spans="1:10">
      <c r="A10381" s="77" t="s">
        <v>17949</v>
      </c>
      <c r="B10381" s="28" t="s">
        <v>17971</v>
      </c>
      <c r="C10381" s="32" t="s">
        <v>17972</v>
      </c>
      <c r="D10381" s="32"/>
      <c r="E10381" s="2">
        <v>1</v>
      </c>
      <c r="F10381" s="9">
        <v>3</v>
      </c>
      <c r="G10381" s="8">
        <f t="shared" si="346"/>
        <v>460.74</v>
      </c>
      <c r="H10381" s="16">
        <v>438.8</v>
      </c>
      <c r="I10381" s="19">
        <f t="shared" si="345"/>
        <v>1382.22</v>
      </c>
      <c r="J10381" s="64"/>
    </row>
    <row r="10382" spans="1:10" hidden="1">
      <c r="A10382" s="77" t="s">
        <v>17949</v>
      </c>
      <c r="B10382" s="28" t="s">
        <v>17973</v>
      </c>
      <c r="C10382" s="32" t="s">
        <v>17974</v>
      </c>
      <c r="D10382" s="32"/>
      <c r="E10382" s="2">
        <v>1</v>
      </c>
      <c r="F10382" s="9"/>
      <c r="G10382" s="8">
        <f t="shared" si="346"/>
        <v>17.598000000000003</v>
      </c>
      <c r="H10382" s="16">
        <v>16.760000000000002</v>
      </c>
      <c r="I10382" s="19">
        <f t="shared" si="345"/>
        <v>0</v>
      </c>
      <c r="J10382" s="64"/>
    </row>
    <row r="10383" spans="1:10" hidden="1">
      <c r="A10383" s="77" t="s">
        <v>17949</v>
      </c>
      <c r="B10383" s="28" t="s">
        <v>17975</v>
      </c>
      <c r="C10383" s="32" t="s">
        <v>17976</v>
      </c>
      <c r="D10383" s="32"/>
      <c r="E10383" s="2">
        <v>1</v>
      </c>
      <c r="F10383" s="9"/>
      <c r="G10383" s="8">
        <f t="shared" si="346"/>
        <v>824.78549999999996</v>
      </c>
      <c r="H10383" s="16">
        <v>785.51</v>
      </c>
      <c r="I10383" s="19">
        <f t="shared" si="345"/>
        <v>0</v>
      </c>
      <c r="J10383" s="64"/>
    </row>
    <row r="10384" spans="1:10" hidden="1">
      <c r="A10384" s="77" t="s">
        <v>17949</v>
      </c>
      <c r="B10384" s="28" t="s">
        <v>17977</v>
      </c>
      <c r="C10384" s="32" t="s">
        <v>17978</v>
      </c>
      <c r="D10384" s="32"/>
      <c r="E10384" s="2">
        <v>1</v>
      </c>
      <c r="F10384" s="9"/>
      <c r="G10384" s="8">
        <f t="shared" si="346"/>
        <v>493.5</v>
      </c>
      <c r="H10384" s="16">
        <v>470</v>
      </c>
      <c r="I10384" s="19">
        <f t="shared" si="345"/>
        <v>0</v>
      </c>
      <c r="J10384" s="64"/>
    </row>
    <row r="10385" spans="1:10" hidden="1">
      <c r="A10385" s="77" t="s">
        <v>17949</v>
      </c>
      <c r="B10385" s="28" t="s">
        <v>17979</v>
      </c>
      <c r="C10385" s="32" t="s">
        <v>17980</v>
      </c>
      <c r="D10385" s="32"/>
      <c r="E10385" s="2">
        <v>1</v>
      </c>
      <c r="F10385" s="9"/>
      <c r="G10385" s="8">
        <f t="shared" si="346"/>
        <v>1484.4059999999999</v>
      </c>
      <c r="H10385" s="16">
        <v>1413.72</v>
      </c>
      <c r="I10385" s="19">
        <f t="shared" si="345"/>
        <v>0</v>
      </c>
      <c r="J10385" s="64"/>
    </row>
    <row r="10386" spans="1:10" hidden="1">
      <c r="A10386" s="77" t="s">
        <v>17949</v>
      </c>
      <c r="B10386" s="28" t="s">
        <v>17981</v>
      </c>
      <c r="C10386" s="32" t="s">
        <v>17982</v>
      </c>
      <c r="D10386" s="32"/>
      <c r="E10386" s="2">
        <v>1</v>
      </c>
      <c r="F10386" s="9"/>
      <c r="G10386" s="8">
        <f t="shared" si="346"/>
        <v>154.35</v>
      </c>
      <c r="H10386" s="16">
        <v>147</v>
      </c>
      <c r="I10386" s="19">
        <f t="shared" si="345"/>
        <v>0</v>
      </c>
      <c r="J10386" s="64"/>
    </row>
    <row r="10387" spans="1:10" hidden="1">
      <c r="A10387" s="77" t="s">
        <v>17949</v>
      </c>
      <c r="B10387" s="28" t="s">
        <v>17983</v>
      </c>
      <c r="C10387" s="32" t="s">
        <v>17984</v>
      </c>
      <c r="D10387" s="32"/>
      <c r="E10387" s="2">
        <v>1</v>
      </c>
      <c r="F10387" s="9"/>
      <c r="G10387" s="8">
        <f t="shared" si="346"/>
        <v>707.06999999999994</v>
      </c>
      <c r="H10387" s="16">
        <v>673.4</v>
      </c>
      <c r="I10387" s="19">
        <f t="shared" si="345"/>
        <v>0</v>
      </c>
      <c r="J10387" s="64"/>
    </row>
    <row r="10388" spans="1:10">
      <c r="A10388" s="77" t="s">
        <v>17949</v>
      </c>
      <c r="B10388" s="28" t="s">
        <v>17985</v>
      </c>
      <c r="C10388" s="32" t="s">
        <v>17986</v>
      </c>
      <c r="D10388" s="32"/>
      <c r="E10388" s="2">
        <v>1</v>
      </c>
      <c r="F10388" s="9">
        <v>3</v>
      </c>
      <c r="G10388" s="8">
        <f t="shared" si="346"/>
        <v>31.5</v>
      </c>
      <c r="H10388" s="16">
        <v>30</v>
      </c>
      <c r="I10388" s="19">
        <f t="shared" si="345"/>
        <v>94.5</v>
      </c>
      <c r="J10388" s="64"/>
    </row>
    <row r="10389" spans="1:10">
      <c r="A10389" s="77" t="s">
        <v>17949</v>
      </c>
      <c r="B10389" s="28" t="s">
        <v>17987</v>
      </c>
      <c r="C10389" s="32" t="s">
        <v>17988</v>
      </c>
      <c r="D10389" s="32"/>
      <c r="E10389" s="2">
        <v>1</v>
      </c>
      <c r="F10389" s="9">
        <v>2</v>
      </c>
      <c r="G10389" s="8">
        <f t="shared" si="346"/>
        <v>388.5</v>
      </c>
      <c r="H10389" s="16">
        <v>370</v>
      </c>
      <c r="I10389" s="19">
        <f t="shared" si="345"/>
        <v>777</v>
      </c>
      <c r="J10389" s="64"/>
    </row>
    <row r="10390" spans="1:10" hidden="1">
      <c r="A10390" s="77" t="s">
        <v>17949</v>
      </c>
      <c r="B10390" s="28" t="s">
        <v>17989</v>
      </c>
      <c r="C10390" s="32" t="s">
        <v>17990</v>
      </c>
      <c r="D10390" s="32"/>
      <c r="E10390" s="2">
        <v>1</v>
      </c>
      <c r="F10390" s="9"/>
      <c r="G10390" s="8">
        <f t="shared" si="346"/>
        <v>56.038499999999999</v>
      </c>
      <c r="H10390" s="16">
        <v>53.37</v>
      </c>
      <c r="I10390" s="19">
        <f t="shared" si="345"/>
        <v>0</v>
      </c>
      <c r="J10390" s="64"/>
    </row>
    <row r="10391" spans="1:10">
      <c r="A10391" s="77" t="s">
        <v>17949</v>
      </c>
      <c r="B10391" s="28" t="s">
        <v>17991</v>
      </c>
      <c r="C10391" s="32" t="s">
        <v>17992</v>
      </c>
      <c r="D10391" s="32"/>
      <c r="E10391" s="2">
        <v>1</v>
      </c>
      <c r="F10391" s="9">
        <v>1</v>
      </c>
      <c r="G10391" s="8">
        <f t="shared" si="346"/>
        <v>48.908999999999999</v>
      </c>
      <c r="H10391" s="16">
        <v>46.58</v>
      </c>
      <c r="I10391" s="19">
        <f t="shared" si="345"/>
        <v>48.908999999999999</v>
      </c>
      <c r="J10391" s="64"/>
    </row>
    <row r="10392" spans="1:10">
      <c r="A10392" s="77" t="s">
        <v>17949</v>
      </c>
      <c r="B10392" s="28" t="s">
        <v>17993</v>
      </c>
      <c r="C10392" s="32" t="s">
        <v>17994</v>
      </c>
      <c r="D10392" s="32"/>
      <c r="E10392" s="2">
        <v>1</v>
      </c>
      <c r="F10392" s="9">
        <v>5</v>
      </c>
      <c r="G10392" s="8">
        <f t="shared" si="346"/>
        <v>25.798500000000001</v>
      </c>
      <c r="H10392" s="16">
        <v>24.57</v>
      </c>
      <c r="I10392" s="19">
        <f t="shared" si="345"/>
        <v>128.99250000000001</v>
      </c>
      <c r="J10392" s="64"/>
    </row>
    <row r="10393" spans="1:10" hidden="1">
      <c r="A10393" s="77" t="s">
        <v>17949</v>
      </c>
      <c r="B10393" s="28" t="s">
        <v>17955</v>
      </c>
      <c r="C10393" s="32" t="s">
        <v>17956</v>
      </c>
      <c r="D10393" s="32"/>
      <c r="E10393" s="2">
        <v>1</v>
      </c>
      <c r="F10393" s="9"/>
      <c r="G10393" s="8">
        <f t="shared" si="346"/>
        <v>34.125</v>
      </c>
      <c r="H10393" s="16">
        <v>32.5</v>
      </c>
      <c r="I10393" s="19">
        <f t="shared" si="345"/>
        <v>0</v>
      </c>
      <c r="J10393" s="64"/>
    </row>
    <row r="10394" spans="1:10">
      <c r="A10394" s="77" t="s">
        <v>17949</v>
      </c>
      <c r="B10394" s="28" t="s">
        <v>17995</v>
      </c>
      <c r="C10394" s="32" t="s">
        <v>17996</v>
      </c>
      <c r="D10394" s="32"/>
      <c r="E10394" s="2">
        <v>1</v>
      </c>
      <c r="F10394" s="9">
        <v>2</v>
      </c>
      <c r="G10394" s="8">
        <f t="shared" si="346"/>
        <v>36.75</v>
      </c>
      <c r="H10394" s="16">
        <v>35</v>
      </c>
      <c r="I10394" s="19">
        <f t="shared" si="345"/>
        <v>73.5</v>
      </c>
      <c r="J10394" s="64"/>
    </row>
    <row r="10395" spans="1:10">
      <c r="A10395" s="77" t="s">
        <v>17949</v>
      </c>
      <c r="B10395" s="28" t="s">
        <v>17997</v>
      </c>
      <c r="C10395" s="32" t="s">
        <v>17998</v>
      </c>
      <c r="D10395" s="32"/>
      <c r="E10395" s="2">
        <v>1</v>
      </c>
      <c r="F10395" s="9">
        <v>2</v>
      </c>
      <c r="G10395" s="8">
        <f t="shared" si="346"/>
        <v>36.75</v>
      </c>
      <c r="H10395" s="16">
        <v>35</v>
      </c>
      <c r="I10395" s="19">
        <f t="shared" si="345"/>
        <v>73.5</v>
      </c>
      <c r="J10395" s="64"/>
    </row>
    <row r="10396" spans="1:10" hidden="1">
      <c r="A10396" s="77" t="s">
        <v>17949</v>
      </c>
      <c r="B10396" s="28" t="s">
        <v>17953</v>
      </c>
      <c r="C10396" s="32" t="s">
        <v>17999</v>
      </c>
      <c r="D10396" s="32"/>
      <c r="E10396" s="2">
        <v>1</v>
      </c>
      <c r="F10396" s="9"/>
      <c r="G10396" s="8">
        <f t="shared" si="346"/>
        <v>81.353999999999999</v>
      </c>
      <c r="H10396" s="16">
        <v>77.48</v>
      </c>
      <c r="I10396" s="19">
        <f t="shared" si="345"/>
        <v>0</v>
      </c>
      <c r="J10396" s="64"/>
    </row>
    <row r="10397" spans="1:10">
      <c r="A10397" s="77" t="s">
        <v>17949</v>
      </c>
      <c r="B10397" s="28" t="s">
        <v>18000</v>
      </c>
      <c r="C10397" s="32" t="s">
        <v>18001</v>
      </c>
      <c r="D10397" s="32"/>
      <c r="E10397" s="2">
        <v>1</v>
      </c>
      <c r="F10397" s="9">
        <v>6</v>
      </c>
      <c r="G10397" s="8">
        <f t="shared" si="346"/>
        <v>477.1515</v>
      </c>
      <c r="H10397" s="16">
        <v>454.43</v>
      </c>
      <c r="I10397" s="19">
        <f>G10397*F10397</f>
        <v>2862.9090000000001</v>
      </c>
      <c r="J10397" s="64"/>
    </row>
    <row r="10398" spans="1:10" hidden="1">
      <c r="A10398" s="77" t="s">
        <v>17949</v>
      </c>
      <c r="B10398" s="28" t="s">
        <v>18002</v>
      </c>
      <c r="C10398" s="32" t="s">
        <v>18003</v>
      </c>
      <c r="D10398" s="32"/>
      <c r="E10398" s="2">
        <v>1</v>
      </c>
      <c r="F10398" s="9"/>
      <c r="G10398" s="8">
        <f t="shared" si="346"/>
        <v>456.54</v>
      </c>
      <c r="H10398" s="16">
        <v>434.8</v>
      </c>
      <c r="I10398" s="19">
        <f t="shared" si="345"/>
        <v>0</v>
      </c>
      <c r="J10398" s="64"/>
    </row>
    <row r="10399" spans="1:10">
      <c r="A10399" s="77" t="s">
        <v>17949</v>
      </c>
      <c r="B10399" s="28" t="s">
        <v>18004</v>
      </c>
      <c r="C10399" s="32" t="s">
        <v>18005</v>
      </c>
      <c r="D10399" s="32"/>
      <c r="E10399" s="2">
        <v>1</v>
      </c>
      <c r="F10399" s="9">
        <v>6</v>
      </c>
      <c r="G10399" s="8">
        <f t="shared" si="346"/>
        <v>183.75</v>
      </c>
      <c r="H10399" s="16">
        <v>175</v>
      </c>
      <c r="I10399" s="19">
        <f t="shared" si="345"/>
        <v>1102.5</v>
      </c>
      <c r="J10399" s="64"/>
    </row>
    <row r="10400" spans="1:10" hidden="1">
      <c r="A10400" s="77" t="s">
        <v>17949</v>
      </c>
      <c r="B10400" s="28" t="s">
        <v>18006</v>
      </c>
      <c r="C10400" s="32" t="s">
        <v>18007</v>
      </c>
      <c r="D10400" s="32"/>
      <c r="E10400" s="2">
        <v>1</v>
      </c>
      <c r="F10400" s="9"/>
      <c r="G10400" s="8">
        <f t="shared" si="346"/>
        <v>90.51</v>
      </c>
      <c r="H10400" s="16">
        <v>86.2</v>
      </c>
      <c r="I10400" s="19">
        <f t="shared" si="345"/>
        <v>0</v>
      </c>
      <c r="J10400" s="64"/>
    </row>
    <row r="10401" spans="1:10">
      <c r="A10401" s="77" t="s">
        <v>17949</v>
      </c>
      <c r="B10401" s="28" t="s">
        <v>18008</v>
      </c>
      <c r="C10401" s="32" t="s">
        <v>18009</v>
      </c>
      <c r="D10401" s="32"/>
      <c r="E10401" s="2">
        <v>1</v>
      </c>
      <c r="F10401" s="9">
        <v>16</v>
      </c>
      <c r="G10401" s="8">
        <f t="shared" si="346"/>
        <v>67.283999999999992</v>
      </c>
      <c r="H10401" s="16">
        <v>64.08</v>
      </c>
      <c r="I10401" s="19">
        <f t="shared" si="345"/>
        <v>1076.5439999999999</v>
      </c>
      <c r="J10401" s="64"/>
    </row>
    <row r="10402" spans="1:10">
      <c r="A10402" s="77" t="s">
        <v>17949</v>
      </c>
      <c r="B10402" s="28" t="s">
        <v>18010</v>
      </c>
      <c r="C10402" s="32" t="s">
        <v>18011</v>
      </c>
      <c r="D10402" s="32"/>
      <c r="E10402" s="2">
        <v>1</v>
      </c>
      <c r="F10402" s="9">
        <v>5</v>
      </c>
      <c r="G10402" s="8">
        <f t="shared" si="346"/>
        <v>1339.0229999999999</v>
      </c>
      <c r="H10402" s="16">
        <v>1275.26</v>
      </c>
      <c r="I10402" s="19">
        <f t="shared" si="345"/>
        <v>6695.1149999999998</v>
      </c>
      <c r="J10402" s="64"/>
    </row>
    <row r="10403" spans="1:10" hidden="1">
      <c r="A10403" s="77" t="s">
        <v>17949</v>
      </c>
      <c r="B10403" s="28" t="s">
        <v>18012</v>
      </c>
      <c r="C10403" s="32" t="s">
        <v>18013</v>
      </c>
      <c r="D10403" s="32"/>
      <c r="E10403" s="2">
        <v>1</v>
      </c>
      <c r="F10403" s="9"/>
      <c r="G10403" s="8">
        <f t="shared" si="346"/>
        <v>599.84399999999994</v>
      </c>
      <c r="H10403" s="16">
        <v>571.28</v>
      </c>
      <c r="I10403" s="19">
        <f t="shared" si="345"/>
        <v>0</v>
      </c>
      <c r="J10403" s="64"/>
    </row>
    <row r="10404" spans="1:10" hidden="1">
      <c r="A10404" s="77" t="s">
        <v>17949</v>
      </c>
      <c r="B10404" s="28" t="s">
        <v>18014</v>
      </c>
      <c r="C10404" s="32" t="s">
        <v>18015</v>
      </c>
      <c r="D10404" s="32"/>
      <c r="E10404" s="2">
        <v>1</v>
      </c>
      <c r="F10404" s="9"/>
      <c r="G10404" s="8">
        <f t="shared" si="346"/>
        <v>10.164</v>
      </c>
      <c r="H10404" s="16">
        <v>9.68</v>
      </c>
      <c r="I10404" s="19">
        <f t="shared" si="345"/>
        <v>0</v>
      </c>
      <c r="J10404" s="64"/>
    </row>
    <row r="10405" spans="1:10" hidden="1">
      <c r="A10405" s="77" t="s">
        <v>17949</v>
      </c>
      <c r="B10405" s="28" t="s">
        <v>18016</v>
      </c>
      <c r="C10405" s="32" t="s">
        <v>18017</v>
      </c>
      <c r="D10405" s="32"/>
      <c r="E10405" s="2">
        <v>1</v>
      </c>
      <c r="F10405" s="9"/>
      <c r="G10405" s="8">
        <f t="shared" si="346"/>
        <v>91.77000000000001</v>
      </c>
      <c r="H10405" s="16">
        <v>87.4</v>
      </c>
      <c r="I10405" s="19">
        <f t="shared" si="345"/>
        <v>0</v>
      </c>
      <c r="J10405" s="64"/>
    </row>
    <row r="10406" spans="1:10" hidden="1">
      <c r="A10406" s="77" t="s">
        <v>17949</v>
      </c>
      <c r="B10406" s="28" t="s">
        <v>18018</v>
      </c>
      <c r="C10406" s="32" t="s">
        <v>18019</v>
      </c>
      <c r="D10406" s="32"/>
      <c r="E10406" s="2">
        <v>1</v>
      </c>
      <c r="F10406" s="9"/>
      <c r="G10406" s="8">
        <f t="shared" si="346"/>
        <v>144.27000000000001</v>
      </c>
      <c r="H10406" s="16">
        <v>137.4</v>
      </c>
      <c r="I10406" s="19">
        <f t="shared" si="345"/>
        <v>0</v>
      </c>
      <c r="J10406" s="64"/>
    </row>
    <row r="10407" spans="1:10" hidden="1">
      <c r="A10407" s="77" t="s">
        <v>17949</v>
      </c>
      <c r="B10407" s="28" t="s">
        <v>18020</v>
      </c>
      <c r="C10407" s="32" t="s">
        <v>18021</v>
      </c>
      <c r="D10407" s="32"/>
      <c r="E10407" s="2">
        <v>1</v>
      </c>
      <c r="F10407" s="9"/>
      <c r="G10407" s="8">
        <f t="shared" si="346"/>
        <v>377.23349999999999</v>
      </c>
      <c r="H10407" s="16">
        <v>359.27</v>
      </c>
      <c r="I10407" s="19">
        <f t="shared" si="345"/>
        <v>0</v>
      </c>
      <c r="J10407" s="64"/>
    </row>
    <row r="10408" spans="1:10" hidden="1">
      <c r="A10408" s="77" t="s">
        <v>17949</v>
      </c>
      <c r="B10408" s="28" t="s">
        <v>18022</v>
      </c>
      <c r="C10408" s="32" t="s">
        <v>18023</v>
      </c>
      <c r="D10408" s="32"/>
      <c r="E10408" s="2">
        <v>1</v>
      </c>
      <c r="F10408" s="9"/>
      <c r="G10408" s="8">
        <f t="shared" si="346"/>
        <v>39.606000000000002</v>
      </c>
      <c r="H10408" s="16">
        <v>37.72</v>
      </c>
      <c r="I10408" s="19">
        <f t="shared" si="345"/>
        <v>0</v>
      </c>
      <c r="J10408" s="64"/>
    </row>
    <row r="10409" spans="1:10" hidden="1">
      <c r="A10409" s="77" t="s">
        <v>17949</v>
      </c>
      <c r="B10409" s="28" t="s">
        <v>18024</v>
      </c>
      <c r="C10409" s="32" t="s">
        <v>18025</v>
      </c>
      <c r="D10409" s="32"/>
      <c r="E10409" s="2">
        <v>1</v>
      </c>
      <c r="F10409" s="9"/>
      <c r="G10409" s="8">
        <f t="shared" si="346"/>
        <v>27.341999999999999</v>
      </c>
      <c r="H10409" s="16">
        <v>26.04</v>
      </c>
      <c r="I10409" s="19">
        <f t="shared" si="345"/>
        <v>0</v>
      </c>
      <c r="J10409" s="64"/>
    </row>
    <row r="10410" spans="1:10" hidden="1">
      <c r="A10410" s="77" t="s">
        <v>17949</v>
      </c>
      <c r="B10410" s="28" t="s">
        <v>18026</v>
      </c>
      <c r="C10410" s="32" t="s">
        <v>18027</v>
      </c>
      <c r="D10410" s="32"/>
      <c r="E10410" s="2">
        <v>1</v>
      </c>
      <c r="F10410" s="9"/>
      <c r="G10410" s="8">
        <f t="shared" si="346"/>
        <v>27.341999999999999</v>
      </c>
      <c r="H10410" s="16">
        <v>26.04</v>
      </c>
      <c r="I10410" s="19">
        <f t="shared" si="345"/>
        <v>0</v>
      </c>
      <c r="J10410" s="64"/>
    </row>
    <row r="10411" spans="1:10">
      <c r="A10411" s="77" t="s">
        <v>17949</v>
      </c>
      <c r="B10411" s="28" t="s">
        <v>18028</v>
      </c>
      <c r="C10411" s="32" t="s">
        <v>18029</v>
      </c>
      <c r="D10411" s="32"/>
      <c r="E10411" s="2">
        <v>1</v>
      </c>
      <c r="F10411" s="9">
        <v>1</v>
      </c>
      <c r="G10411" s="8">
        <f t="shared" ref="G10411:G10420" si="347">H10411+(H10411*5%)</f>
        <v>1205.0640000000001</v>
      </c>
      <c r="H10411" s="16">
        <v>1147.68</v>
      </c>
      <c r="I10411" s="19">
        <f t="shared" ref="I10411:I10419" si="348">G10411*F10411</f>
        <v>1205.0640000000001</v>
      </c>
      <c r="J10411" s="64"/>
    </row>
    <row r="10412" spans="1:10">
      <c r="A10412" s="77" t="s">
        <v>17949</v>
      </c>
      <c r="B10412" s="28" t="s">
        <v>18030</v>
      </c>
      <c r="C10412" s="32" t="s">
        <v>18031</v>
      </c>
      <c r="D10412" s="32"/>
      <c r="E10412" s="2">
        <v>1</v>
      </c>
      <c r="F10412" s="9">
        <v>1</v>
      </c>
      <c r="G10412" s="8">
        <f t="shared" si="347"/>
        <v>496.524</v>
      </c>
      <c r="H10412" s="170">
        <v>472.88</v>
      </c>
      <c r="I10412" s="19">
        <f t="shared" si="348"/>
        <v>496.524</v>
      </c>
      <c r="J10412" s="64"/>
    </row>
    <row r="10413" spans="1:10">
      <c r="A10413" s="77" t="s">
        <v>17949</v>
      </c>
      <c r="B10413" s="28" t="s">
        <v>18032</v>
      </c>
      <c r="C10413" s="32" t="s">
        <v>18033</v>
      </c>
      <c r="D10413" s="32"/>
      <c r="E10413" s="2">
        <v>1</v>
      </c>
      <c r="F10413" s="9">
        <v>1</v>
      </c>
      <c r="G10413" s="8">
        <f t="shared" si="347"/>
        <v>1211.28</v>
      </c>
      <c r="H10413" s="16">
        <v>1153.5999999999999</v>
      </c>
      <c r="I10413" s="19">
        <f t="shared" si="348"/>
        <v>1211.28</v>
      </c>
      <c r="J10413" s="64"/>
    </row>
    <row r="10414" spans="1:10">
      <c r="A10414" s="77" t="s">
        <v>17949</v>
      </c>
      <c r="B10414" s="28" t="s">
        <v>18034</v>
      </c>
      <c r="C10414" s="32" t="s">
        <v>18035</v>
      </c>
      <c r="D10414" s="32"/>
      <c r="E10414" s="2">
        <v>1</v>
      </c>
      <c r="F10414" s="9">
        <v>1</v>
      </c>
      <c r="G10414" s="8">
        <f t="shared" si="347"/>
        <v>2599.8000000000002</v>
      </c>
      <c r="H10414" s="16">
        <v>2476</v>
      </c>
      <c r="I10414" s="19">
        <f t="shared" si="348"/>
        <v>2599.8000000000002</v>
      </c>
      <c r="J10414" s="64"/>
    </row>
    <row r="10415" spans="1:10">
      <c r="A10415" s="77" t="s">
        <v>17949</v>
      </c>
      <c r="B10415" s="28" t="s">
        <v>18036</v>
      </c>
      <c r="C10415" s="32" t="s">
        <v>18037</v>
      </c>
      <c r="D10415" s="32"/>
      <c r="E10415" s="2">
        <v>1</v>
      </c>
      <c r="F10415" s="9">
        <v>3</v>
      </c>
      <c r="G10415" s="8">
        <f t="shared" si="347"/>
        <v>14.269500000000001</v>
      </c>
      <c r="H10415" s="16">
        <v>13.59</v>
      </c>
      <c r="I10415" s="19">
        <f t="shared" si="348"/>
        <v>42.808500000000002</v>
      </c>
      <c r="J10415" s="64"/>
    </row>
    <row r="10416" spans="1:10">
      <c r="A10416" s="77" t="s">
        <v>17949</v>
      </c>
      <c r="B10416" s="28" t="s">
        <v>18038</v>
      </c>
      <c r="C10416" s="32" t="s">
        <v>18039</v>
      </c>
      <c r="D10416" s="32"/>
      <c r="E10416" s="2">
        <v>1</v>
      </c>
      <c r="F10416" s="9">
        <v>8</v>
      </c>
      <c r="G10416" s="8">
        <f t="shared" si="347"/>
        <v>20.506500000000003</v>
      </c>
      <c r="H10416" s="16">
        <v>19.53</v>
      </c>
      <c r="I10416" s="19">
        <f>G10416*F10416</f>
        <v>164.05200000000002</v>
      </c>
      <c r="J10416" s="64"/>
    </row>
    <row r="10417" spans="1:10">
      <c r="A10417" s="77" t="s">
        <v>17949</v>
      </c>
      <c r="B10417" s="28" t="s">
        <v>18040</v>
      </c>
      <c r="C10417" s="32" t="s">
        <v>18041</v>
      </c>
      <c r="D10417" s="32"/>
      <c r="E10417" s="2">
        <v>1</v>
      </c>
      <c r="F10417" s="9">
        <v>1</v>
      </c>
      <c r="G10417" s="8">
        <f t="shared" si="347"/>
        <v>339.78000000000003</v>
      </c>
      <c r="H10417" s="16">
        <v>323.60000000000002</v>
      </c>
      <c r="I10417" s="19">
        <f t="shared" si="348"/>
        <v>339.78000000000003</v>
      </c>
      <c r="J10417" s="64"/>
    </row>
    <row r="10418" spans="1:10">
      <c r="A10418" s="77" t="s">
        <v>17949</v>
      </c>
      <c r="B10418" s="28" t="s">
        <v>18042</v>
      </c>
      <c r="C10418" s="32" t="s">
        <v>18043</v>
      </c>
      <c r="D10418" s="32"/>
      <c r="E10418" s="2">
        <v>1</v>
      </c>
      <c r="F10418" s="9">
        <v>1</v>
      </c>
      <c r="G10418" s="8">
        <f t="shared" si="347"/>
        <v>38.325000000000003</v>
      </c>
      <c r="H10418" s="16">
        <v>36.5</v>
      </c>
      <c r="I10418" s="19">
        <f t="shared" si="348"/>
        <v>38.325000000000003</v>
      </c>
      <c r="J10418" s="64"/>
    </row>
    <row r="10419" spans="1:10">
      <c r="A10419" s="77" t="s">
        <v>17949</v>
      </c>
      <c r="B10419" s="28" t="s">
        <v>18044</v>
      </c>
      <c r="C10419" s="32" t="s">
        <v>18045</v>
      </c>
      <c r="D10419" s="32"/>
      <c r="E10419" s="2">
        <v>1</v>
      </c>
      <c r="F10419" s="9">
        <v>1</v>
      </c>
      <c r="G10419" s="8">
        <f t="shared" si="347"/>
        <v>711.06000000000006</v>
      </c>
      <c r="H10419" s="16">
        <v>677.2</v>
      </c>
      <c r="I10419" s="19">
        <f t="shared" si="348"/>
        <v>711.06000000000006</v>
      </c>
      <c r="J10419" s="64"/>
    </row>
    <row r="10420" spans="1:10">
      <c r="A10420" s="77" t="s">
        <v>17949</v>
      </c>
      <c r="B10420" s="28" t="s">
        <v>18046</v>
      </c>
      <c r="C10420" s="32" t="s">
        <v>18047</v>
      </c>
      <c r="D10420" s="32"/>
      <c r="E10420" s="2">
        <v>1</v>
      </c>
      <c r="F10420" s="9">
        <v>3</v>
      </c>
      <c r="G10420" s="8">
        <f t="shared" si="347"/>
        <v>10.709999999999999</v>
      </c>
      <c r="H10420" s="16">
        <v>10.199999999999999</v>
      </c>
      <c r="I10420" s="19">
        <f>G10420*F10420</f>
        <v>32.129999999999995</v>
      </c>
      <c r="J10420" s="64"/>
    </row>
    <row r="10421" spans="1:10">
      <c r="A10421" s="47" t="s">
        <v>18048</v>
      </c>
      <c r="B10421" s="5" t="s">
        <v>18049</v>
      </c>
      <c r="C10421" s="32" t="s">
        <v>18050</v>
      </c>
      <c r="D10421" s="32" t="s">
        <v>572</v>
      </c>
      <c r="E10421" s="2">
        <v>1</v>
      </c>
      <c r="F10421" s="9">
        <v>87</v>
      </c>
      <c r="G10421" s="8"/>
      <c r="H10421" s="16">
        <v>0.43</v>
      </c>
      <c r="I10421" s="19">
        <f t="shared" ref="I10421:I10452" si="349">F10421*H10421</f>
        <v>37.409999999999997</v>
      </c>
      <c r="J10421" s="64"/>
    </row>
    <row r="10422" spans="1:10">
      <c r="A10422" s="47" t="s">
        <v>18048</v>
      </c>
      <c r="B10422" s="5" t="s">
        <v>18051</v>
      </c>
      <c r="C10422" s="32" t="s">
        <v>18052</v>
      </c>
      <c r="D10422" s="32"/>
      <c r="E10422" s="2">
        <v>1</v>
      </c>
      <c r="F10422" s="9">
        <v>2</v>
      </c>
      <c r="G10422" s="8"/>
      <c r="H10422" s="16">
        <v>10.34</v>
      </c>
      <c r="I10422" s="19">
        <f t="shared" si="349"/>
        <v>20.68</v>
      </c>
    </row>
    <row r="10423" spans="1:10">
      <c r="A10423" s="47" t="s">
        <v>18048</v>
      </c>
      <c r="B10423" s="5" t="s">
        <v>18053</v>
      </c>
      <c r="C10423" s="32" t="s">
        <v>18054</v>
      </c>
      <c r="D10423" s="32"/>
      <c r="E10423" s="2">
        <v>1</v>
      </c>
      <c r="F10423" s="9">
        <v>76</v>
      </c>
      <c r="G10423" s="8"/>
      <c r="H10423" s="16">
        <v>6.4</v>
      </c>
      <c r="I10423" s="19">
        <f t="shared" si="349"/>
        <v>486.40000000000003</v>
      </c>
    </row>
    <row r="10424" spans="1:10">
      <c r="A10424" s="47" t="s">
        <v>18048</v>
      </c>
      <c r="B10424" s="5" t="s">
        <v>18055</v>
      </c>
      <c r="C10424" s="32" t="s">
        <v>18056</v>
      </c>
      <c r="D10424" s="32"/>
      <c r="E10424" s="2">
        <v>1</v>
      </c>
      <c r="F10424" s="9">
        <v>200</v>
      </c>
      <c r="G10424" s="8"/>
      <c r="H10424" s="16">
        <v>0.1</v>
      </c>
      <c r="I10424" s="19">
        <f t="shared" si="349"/>
        <v>20</v>
      </c>
    </row>
    <row r="10425" spans="1:10">
      <c r="A10425" s="47" t="s">
        <v>18048</v>
      </c>
      <c r="B10425" s="5" t="s">
        <v>18057</v>
      </c>
      <c r="C10425" s="32" t="s">
        <v>18058</v>
      </c>
      <c r="D10425" s="32"/>
      <c r="E10425" s="2">
        <v>1</v>
      </c>
      <c r="F10425" s="9">
        <v>350</v>
      </c>
      <c r="G10425" s="8"/>
      <c r="H10425" s="16">
        <v>0.06</v>
      </c>
      <c r="I10425" s="19">
        <f t="shared" si="349"/>
        <v>21</v>
      </c>
    </row>
    <row r="10426" spans="1:10">
      <c r="A10426" s="47" t="s">
        <v>18048</v>
      </c>
      <c r="B10426" s="5" t="s">
        <v>18059</v>
      </c>
      <c r="C10426" s="32" t="s">
        <v>18060</v>
      </c>
      <c r="D10426" s="32"/>
      <c r="E10426" s="2">
        <v>1</v>
      </c>
      <c r="F10426" s="9">
        <v>84</v>
      </c>
      <c r="G10426" s="8"/>
      <c r="H10426" s="16">
        <v>9.09</v>
      </c>
      <c r="I10426" s="19">
        <f t="shared" si="349"/>
        <v>763.56</v>
      </c>
    </row>
    <row r="10427" spans="1:10" hidden="1">
      <c r="A10427" s="47" t="s">
        <v>18048</v>
      </c>
      <c r="B10427" s="5" t="s">
        <v>18061</v>
      </c>
      <c r="C10427" s="32" t="s">
        <v>18062</v>
      </c>
      <c r="D10427" s="32" t="s">
        <v>572</v>
      </c>
      <c r="E10427" s="2">
        <v>1</v>
      </c>
      <c r="F10427" s="9"/>
      <c r="G10427" s="8"/>
      <c r="H10427" s="16">
        <v>1.76</v>
      </c>
      <c r="I10427" s="19">
        <f t="shared" si="349"/>
        <v>0</v>
      </c>
    </row>
    <row r="10428" spans="1:10">
      <c r="A10428" s="47" t="s">
        <v>18048</v>
      </c>
      <c r="B10428" s="5" t="s">
        <v>18063</v>
      </c>
      <c r="C10428" s="32" t="s">
        <v>18064</v>
      </c>
      <c r="D10428" s="32" t="s">
        <v>572</v>
      </c>
      <c r="E10428" s="2">
        <v>1</v>
      </c>
      <c r="F10428" s="9">
        <v>700</v>
      </c>
      <c r="G10428" s="8"/>
      <c r="H10428" s="16">
        <v>0.66</v>
      </c>
      <c r="I10428" s="19">
        <f t="shared" si="349"/>
        <v>462</v>
      </c>
    </row>
    <row r="10429" spans="1:10">
      <c r="A10429" s="47" t="s">
        <v>18048</v>
      </c>
      <c r="B10429" s="5" t="s">
        <v>18065</v>
      </c>
      <c r="C10429" s="32" t="s">
        <v>18066</v>
      </c>
      <c r="D10429" s="32"/>
      <c r="E10429" s="2">
        <v>1</v>
      </c>
      <c r="F10429" s="9">
        <v>100</v>
      </c>
      <c r="G10429" s="8"/>
      <c r="H10429" s="16">
        <v>0.77</v>
      </c>
      <c r="I10429" s="19">
        <f t="shared" si="349"/>
        <v>77</v>
      </c>
    </row>
    <row r="10430" spans="1:10">
      <c r="A10430" s="47" t="s">
        <v>18048</v>
      </c>
      <c r="B10430" s="5" t="s">
        <v>18067</v>
      </c>
      <c r="C10430" s="32" t="s">
        <v>18068</v>
      </c>
      <c r="D10430" s="32"/>
      <c r="E10430" s="2">
        <v>1</v>
      </c>
      <c r="F10430" s="9">
        <v>103</v>
      </c>
      <c r="G10430" s="8"/>
      <c r="H10430" s="16">
        <v>1.99</v>
      </c>
      <c r="I10430" s="19">
        <f t="shared" si="349"/>
        <v>204.97</v>
      </c>
    </row>
    <row r="10431" spans="1:10">
      <c r="A10431" s="47" t="s">
        <v>18048</v>
      </c>
      <c r="B10431" s="5" t="s">
        <v>18069</v>
      </c>
      <c r="C10431" s="32" t="s">
        <v>18070</v>
      </c>
      <c r="D10431" s="32"/>
      <c r="E10431" s="2">
        <v>1</v>
      </c>
      <c r="F10431" s="9">
        <v>8</v>
      </c>
      <c r="G10431" s="8"/>
      <c r="H10431" s="16">
        <v>0.27</v>
      </c>
      <c r="I10431" s="19">
        <f t="shared" si="349"/>
        <v>2.16</v>
      </c>
    </row>
    <row r="10432" spans="1:10" hidden="1">
      <c r="A10432" s="47" t="s">
        <v>18048</v>
      </c>
      <c r="B10432" s="5" t="s">
        <v>18071</v>
      </c>
      <c r="C10432" s="32" t="s">
        <v>18072</v>
      </c>
      <c r="D10432" s="32"/>
      <c r="E10432" s="2">
        <v>1</v>
      </c>
      <c r="F10432" s="9"/>
      <c r="G10432" s="8"/>
      <c r="H10432" s="16">
        <v>0.05</v>
      </c>
      <c r="I10432" s="19">
        <f t="shared" si="349"/>
        <v>0</v>
      </c>
    </row>
    <row r="10433" spans="1:9" hidden="1">
      <c r="A10433" s="47" t="s">
        <v>18048</v>
      </c>
      <c r="B10433" s="5" t="s">
        <v>18073</v>
      </c>
      <c r="C10433" s="32" t="s">
        <v>18074</v>
      </c>
      <c r="D10433" s="32"/>
      <c r="E10433" s="2">
        <v>1</v>
      </c>
      <c r="F10433" s="9"/>
      <c r="G10433" s="8"/>
      <c r="H10433" s="16">
        <v>0.1</v>
      </c>
      <c r="I10433" s="19">
        <f t="shared" si="349"/>
        <v>0</v>
      </c>
    </row>
    <row r="10434" spans="1:9">
      <c r="A10434" s="47" t="s">
        <v>18048</v>
      </c>
      <c r="B10434" s="5" t="s">
        <v>18075</v>
      </c>
      <c r="C10434" s="32" t="s">
        <v>18076</v>
      </c>
      <c r="D10434" s="32"/>
      <c r="E10434" s="2">
        <v>1</v>
      </c>
      <c r="F10434" s="9">
        <v>10</v>
      </c>
      <c r="G10434" s="8"/>
      <c r="H10434" s="16">
        <v>1.58</v>
      </c>
      <c r="I10434" s="19">
        <f t="shared" si="349"/>
        <v>15.8</v>
      </c>
    </row>
    <row r="10435" spans="1:9" hidden="1">
      <c r="A10435" s="47" t="s">
        <v>18048</v>
      </c>
      <c r="B10435" s="5" t="s">
        <v>18077</v>
      </c>
      <c r="C10435" s="32" t="s">
        <v>18078</v>
      </c>
      <c r="D10435" s="32"/>
      <c r="E10435" s="2">
        <v>1</v>
      </c>
      <c r="F10435" s="9"/>
      <c r="G10435" s="8"/>
      <c r="H10435" s="16">
        <v>0.42</v>
      </c>
      <c r="I10435" s="19">
        <f t="shared" si="349"/>
        <v>0</v>
      </c>
    </row>
    <row r="10436" spans="1:9" hidden="1">
      <c r="A10436" s="47" t="s">
        <v>18048</v>
      </c>
      <c r="B10436" s="5" t="s">
        <v>18079</v>
      </c>
      <c r="C10436" s="32" t="s">
        <v>18080</v>
      </c>
      <c r="D10436" s="32"/>
      <c r="E10436" s="2">
        <v>1</v>
      </c>
      <c r="F10436" s="9"/>
      <c r="G10436" s="8"/>
      <c r="H10436" s="16">
        <v>0.25</v>
      </c>
      <c r="I10436" s="19">
        <f t="shared" si="349"/>
        <v>0</v>
      </c>
    </row>
    <row r="10437" spans="1:9">
      <c r="A10437" s="47" t="s">
        <v>18048</v>
      </c>
      <c r="B10437" s="5" t="s">
        <v>18081</v>
      </c>
      <c r="C10437" s="32" t="s">
        <v>18082</v>
      </c>
      <c r="D10437" s="32"/>
      <c r="E10437" s="2">
        <v>1</v>
      </c>
      <c r="F10437" s="9">
        <v>150</v>
      </c>
      <c r="G10437" s="8"/>
      <c r="H10437" s="16">
        <v>1.29</v>
      </c>
      <c r="I10437" s="19">
        <f t="shared" si="349"/>
        <v>193.5</v>
      </c>
    </row>
    <row r="10438" spans="1:9" hidden="1">
      <c r="A10438" s="47" t="s">
        <v>18048</v>
      </c>
      <c r="B10438" s="5" t="s">
        <v>18083</v>
      </c>
      <c r="C10438" s="32"/>
      <c r="D10438" s="32"/>
      <c r="E10438" s="2">
        <v>1</v>
      </c>
      <c r="F10438" s="9"/>
      <c r="G10438" s="8"/>
      <c r="H10438" s="16">
        <v>0.21</v>
      </c>
      <c r="I10438" s="19">
        <f t="shared" si="349"/>
        <v>0</v>
      </c>
    </row>
    <row r="10439" spans="1:9" hidden="1">
      <c r="A10439" s="47" t="s">
        <v>18048</v>
      </c>
      <c r="B10439" s="5" t="s">
        <v>18084</v>
      </c>
      <c r="C10439" s="32"/>
      <c r="D10439" s="32"/>
      <c r="E10439" s="2">
        <v>1</v>
      </c>
      <c r="F10439" s="9"/>
      <c r="G10439" s="8"/>
      <c r="H10439" s="16">
        <v>114.99</v>
      </c>
      <c r="I10439" s="19">
        <f t="shared" si="349"/>
        <v>0</v>
      </c>
    </row>
    <row r="10440" spans="1:9" hidden="1">
      <c r="A10440" s="47" t="s">
        <v>18048</v>
      </c>
      <c r="B10440" s="5" t="s">
        <v>18085</v>
      </c>
      <c r="C10440" s="32"/>
      <c r="D10440" s="32"/>
      <c r="E10440" s="2">
        <v>1</v>
      </c>
      <c r="F10440" s="9"/>
      <c r="G10440" s="8"/>
      <c r="H10440" s="16">
        <v>0.08</v>
      </c>
      <c r="I10440" s="19">
        <f t="shared" si="349"/>
        <v>0</v>
      </c>
    </row>
    <row r="10441" spans="1:9" hidden="1">
      <c r="A10441" s="47" t="s">
        <v>18048</v>
      </c>
      <c r="B10441" s="5" t="s">
        <v>18086</v>
      </c>
      <c r="C10441" s="32"/>
      <c r="D10441" s="32"/>
      <c r="E10441" s="2">
        <v>1</v>
      </c>
      <c r="F10441" s="9"/>
      <c r="G10441" s="8"/>
      <c r="H10441" s="16">
        <v>7.8</v>
      </c>
      <c r="I10441" s="19">
        <f t="shared" si="349"/>
        <v>0</v>
      </c>
    </row>
    <row r="10442" spans="1:9">
      <c r="A10442" s="47" t="s">
        <v>18048</v>
      </c>
      <c r="B10442" s="5" t="s">
        <v>18087</v>
      </c>
      <c r="C10442" s="32" t="s">
        <v>18088</v>
      </c>
      <c r="D10442" s="32"/>
      <c r="E10442" s="2">
        <v>1</v>
      </c>
      <c r="F10442" s="9">
        <v>3</v>
      </c>
      <c r="G10442" s="8"/>
      <c r="H10442" s="16">
        <v>10.99</v>
      </c>
      <c r="I10442" s="19">
        <f t="shared" si="349"/>
        <v>32.97</v>
      </c>
    </row>
    <row r="10443" spans="1:9">
      <c r="A10443" s="47" t="s">
        <v>18048</v>
      </c>
      <c r="B10443" s="5" t="s">
        <v>18089</v>
      </c>
      <c r="C10443" s="32" t="s">
        <v>18090</v>
      </c>
      <c r="D10443" s="32"/>
      <c r="E10443" s="2">
        <v>1</v>
      </c>
      <c r="F10443" s="9">
        <v>7</v>
      </c>
      <c r="G10443" s="8"/>
      <c r="H10443" s="16">
        <v>5.38</v>
      </c>
      <c r="I10443" s="19">
        <f t="shared" si="349"/>
        <v>37.659999999999997</v>
      </c>
    </row>
    <row r="10444" spans="1:9">
      <c r="A10444" s="47" t="s">
        <v>18048</v>
      </c>
      <c r="B10444" s="5" t="s">
        <v>18091</v>
      </c>
      <c r="C10444" s="32" t="s">
        <v>18092</v>
      </c>
      <c r="D10444" s="32"/>
      <c r="E10444" s="2">
        <v>1</v>
      </c>
      <c r="F10444" s="9">
        <v>1</v>
      </c>
      <c r="G10444" s="8"/>
      <c r="H10444" s="16">
        <v>7.62</v>
      </c>
      <c r="I10444" s="19">
        <f t="shared" si="349"/>
        <v>7.62</v>
      </c>
    </row>
    <row r="10445" spans="1:9">
      <c r="A10445" s="47" t="s">
        <v>18048</v>
      </c>
      <c r="B10445" s="5" t="s">
        <v>18093</v>
      </c>
      <c r="C10445" s="32" t="s">
        <v>18094</v>
      </c>
      <c r="D10445" s="32"/>
      <c r="E10445" s="2">
        <v>1</v>
      </c>
      <c r="F10445" s="9">
        <v>2</v>
      </c>
      <c r="G10445" s="8"/>
      <c r="H10445" s="16">
        <v>4.79</v>
      </c>
      <c r="I10445" s="19">
        <f t="shared" si="349"/>
        <v>9.58</v>
      </c>
    </row>
    <row r="10446" spans="1:9" hidden="1">
      <c r="A10446" s="112" t="s">
        <v>18095</v>
      </c>
      <c r="B10446" s="5">
        <v>511510</v>
      </c>
      <c r="C10446" s="32" t="s">
        <v>18096</v>
      </c>
      <c r="D10446" s="32" t="s">
        <v>992</v>
      </c>
      <c r="E10446" s="2">
        <v>1</v>
      </c>
      <c r="F10446" s="9"/>
      <c r="G10446" s="8"/>
      <c r="H10446" s="16">
        <v>5.07</v>
      </c>
      <c r="I10446" s="19">
        <f t="shared" si="349"/>
        <v>0</v>
      </c>
    </row>
    <row r="10447" spans="1:9" hidden="1">
      <c r="A10447" s="112" t="s">
        <v>18095</v>
      </c>
      <c r="B10447" s="5">
        <v>511520</v>
      </c>
      <c r="C10447" s="32" t="s">
        <v>18097</v>
      </c>
      <c r="D10447" s="32" t="s">
        <v>992</v>
      </c>
      <c r="E10447" s="2">
        <v>1</v>
      </c>
      <c r="F10447" s="9"/>
      <c r="G10447" s="8"/>
      <c r="H10447" s="16">
        <v>5.07</v>
      </c>
      <c r="I10447" s="19">
        <f t="shared" si="349"/>
        <v>0</v>
      </c>
    </row>
    <row r="10448" spans="1:9" hidden="1">
      <c r="A10448" s="112" t="s">
        <v>18095</v>
      </c>
      <c r="B10448" s="5">
        <v>200679</v>
      </c>
      <c r="C10448" s="32" t="s">
        <v>18098</v>
      </c>
      <c r="D10448" s="32" t="s">
        <v>992</v>
      </c>
      <c r="E10448" s="2">
        <v>1</v>
      </c>
      <c r="F10448" s="9"/>
      <c r="G10448" s="8"/>
      <c r="H10448" s="16">
        <v>19.29</v>
      </c>
      <c r="I10448" s="19">
        <f t="shared" si="349"/>
        <v>0</v>
      </c>
    </row>
    <row r="10449" spans="1:9" hidden="1">
      <c r="A10449" s="112" t="s">
        <v>18095</v>
      </c>
      <c r="B10449" s="5">
        <v>207332</v>
      </c>
      <c r="C10449" s="32" t="s">
        <v>18099</v>
      </c>
      <c r="D10449" s="32" t="s">
        <v>812</v>
      </c>
      <c r="E10449" s="2">
        <v>1</v>
      </c>
      <c r="F10449" s="9"/>
      <c r="G10449" s="8"/>
      <c r="H10449" s="16">
        <v>4.46</v>
      </c>
      <c r="I10449" s="19">
        <f t="shared" si="349"/>
        <v>0</v>
      </c>
    </row>
    <row r="10450" spans="1:9" hidden="1">
      <c r="A10450" s="112" t="s">
        <v>18095</v>
      </c>
      <c r="B10450" s="5">
        <v>200823</v>
      </c>
      <c r="C10450" s="32" t="s">
        <v>18100</v>
      </c>
      <c r="D10450" s="32" t="s">
        <v>992</v>
      </c>
      <c r="E10450" s="2">
        <v>1</v>
      </c>
      <c r="F10450" s="9"/>
      <c r="G10450" s="8"/>
      <c r="H10450" s="16">
        <v>11.15</v>
      </c>
      <c r="I10450" s="19">
        <f t="shared" si="349"/>
        <v>0</v>
      </c>
    </row>
    <row r="10451" spans="1:9">
      <c r="A10451" s="149" t="s">
        <v>18101</v>
      </c>
      <c r="B10451" s="5" t="s">
        <v>18102</v>
      </c>
      <c r="C10451" s="32" t="s">
        <v>18103</v>
      </c>
      <c r="D10451" s="32"/>
      <c r="E10451" s="2">
        <v>1</v>
      </c>
      <c r="F10451" s="9">
        <v>2135</v>
      </c>
      <c r="G10451" s="8"/>
      <c r="H10451" s="16">
        <v>0.61</v>
      </c>
      <c r="I10451" s="19">
        <f t="shared" si="349"/>
        <v>1302.3499999999999</v>
      </c>
    </row>
    <row r="10452" spans="1:9">
      <c r="A10452" s="53" t="s">
        <v>18104</v>
      </c>
      <c r="B10452" s="5">
        <v>5523009</v>
      </c>
      <c r="C10452" s="32" t="s">
        <v>18105</v>
      </c>
      <c r="D10452" s="32"/>
      <c r="E10452" s="2">
        <v>1</v>
      </c>
      <c r="F10452" s="9">
        <v>6</v>
      </c>
      <c r="G10452" s="8"/>
      <c r="H10452" s="16">
        <v>23.22</v>
      </c>
      <c r="I10452" s="19">
        <f t="shared" si="349"/>
        <v>139.32</v>
      </c>
    </row>
    <row r="10453" spans="1:9" hidden="1">
      <c r="A10453" s="53" t="s">
        <v>18104</v>
      </c>
      <c r="B10453" s="5">
        <v>5570000</v>
      </c>
      <c r="C10453" s="32" t="s">
        <v>18106</v>
      </c>
      <c r="D10453" s="32"/>
      <c r="E10453" s="2">
        <v>1</v>
      </c>
      <c r="F10453" s="9"/>
      <c r="G10453" s="8"/>
      <c r="H10453" s="16">
        <v>0.68</v>
      </c>
      <c r="I10453" s="19">
        <f t="shared" ref="I10453:I10482" si="350">F10453*H10453</f>
        <v>0</v>
      </c>
    </row>
    <row r="10454" spans="1:9">
      <c r="A10454" s="53" t="s">
        <v>18104</v>
      </c>
      <c r="B10454" s="5" t="s">
        <v>18107</v>
      </c>
      <c r="C10454" s="32" t="s">
        <v>18108</v>
      </c>
      <c r="D10454" s="32"/>
      <c r="E10454" s="2">
        <v>1</v>
      </c>
      <c r="F10454" s="9">
        <v>8</v>
      </c>
      <c r="G10454" s="8"/>
      <c r="H10454" s="16">
        <v>5.79</v>
      </c>
      <c r="I10454" s="19">
        <f t="shared" si="350"/>
        <v>46.32</v>
      </c>
    </row>
    <row r="10455" spans="1:9" hidden="1">
      <c r="A10455" s="53" t="s">
        <v>18104</v>
      </c>
      <c r="B10455" s="5">
        <v>146114</v>
      </c>
      <c r="C10455" s="32" t="s">
        <v>18109</v>
      </c>
      <c r="D10455" s="32"/>
      <c r="E10455" s="2">
        <v>1</v>
      </c>
      <c r="F10455" s="9"/>
      <c r="G10455" s="8"/>
      <c r="H10455" s="16">
        <v>0.89</v>
      </c>
      <c r="I10455" s="19">
        <f t="shared" si="350"/>
        <v>0</v>
      </c>
    </row>
    <row r="10456" spans="1:9" hidden="1">
      <c r="A10456" s="53" t="s">
        <v>18104</v>
      </c>
      <c r="B10456" s="5">
        <v>628434</v>
      </c>
      <c r="C10456" s="32" t="s">
        <v>18110</v>
      </c>
      <c r="D10456" s="32"/>
      <c r="E10456" s="2">
        <v>1</v>
      </c>
      <c r="F10456" s="9"/>
      <c r="G10456" s="8"/>
      <c r="H10456" s="16">
        <v>2.5</v>
      </c>
      <c r="I10456" s="19">
        <f t="shared" si="350"/>
        <v>0</v>
      </c>
    </row>
    <row r="10457" spans="1:9" hidden="1">
      <c r="A10457" s="53" t="s">
        <v>18104</v>
      </c>
      <c r="B10457" s="5">
        <v>2079901</v>
      </c>
      <c r="C10457" s="32" t="s">
        <v>18111</v>
      </c>
      <c r="D10457" s="32"/>
      <c r="E10457" s="2">
        <v>1</v>
      </c>
      <c r="F10457" s="9"/>
      <c r="G10457" s="8"/>
      <c r="H10457" s="16">
        <v>1.06</v>
      </c>
      <c r="I10457" s="19">
        <f t="shared" si="350"/>
        <v>0</v>
      </c>
    </row>
    <row r="10458" spans="1:9" hidden="1">
      <c r="A10458" s="53" t="s">
        <v>18104</v>
      </c>
      <c r="B10458" s="5">
        <v>4110736</v>
      </c>
      <c r="C10458" s="32" t="s">
        <v>18112</v>
      </c>
      <c r="D10458" s="32"/>
      <c r="E10458" s="2">
        <v>1</v>
      </c>
      <c r="F10458" s="9"/>
      <c r="G10458" s="8"/>
      <c r="H10458" s="16">
        <v>1.98</v>
      </c>
      <c r="I10458" s="19">
        <f t="shared" si="350"/>
        <v>0</v>
      </c>
    </row>
    <row r="10459" spans="1:9">
      <c r="A10459" s="53" t="s">
        <v>18104</v>
      </c>
      <c r="B10459" s="5">
        <v>926397</v>
      </c>
      <c r="C10459" s="32" t="s">
        <v>18113</v>
      </c>
      <c r="D10459" s="32"/>
      <c r="E10459" s="2">
        <v>1</v>
      </c>
      <c r="F10459" s="9">
        <v>7</v>
      </c>
      <c r="G10459" s="8"/>
      <c r="H10459" s="16">
        <v>2.5099999999999998</v>
      </c>
      <c r="I10459" s="19">
        <f t="shared" si="350"/>
        <v>17.57</v>
      </c>
    </row>
    <row r="10460" spans="1:9">
      <c r="A10460" s="53" t="s">
        <v>18104</v>
      </c>
      <c r="B10460" s="5" t="s">
        <v>18114</v>
      </c>
      <c r="C10460" s="32" t="s">
        <v>18115</v>
      </c>
      <c r="D10460" s="32"/>
      <c r="E10460" s="2">
        <v>1</v>
      </c>
      <c r="F10460" s="9">
        <v>2</v>
      </c>
      <c r="G10460" s="8"/>
      <c r="H10460" s="16">
        <v>1.31</v>
      </c>
      <c r="I10460" s="19">
        <f t="shared" si="350"/>
        <v>2.62</v>
      </c>
    </row>
    <row r="10461" spans="1:9" hidden="1">
      <c r="A10461" s="53" t="s">
        <v>18104</v>
      </c>
      <c r="B10461" s="5" t="s">
        <v>18116</v>
      </c>
      <c r="C10461" s="32" t="s">
        <v>18117</v>
      </c>
      <c r="D10461" s="32"/>
      <c r="E10461" s="2">
        <v>1</v>
      </c>
      <c r="F10461" s="9"/>
      <c r="G10461" s="8"/>
      <c r="H10461" s="16">
        <v>3.37</v>
      </c>
      <c r="I10461" s="19">
        <f t="shared" si="350"/>
        <v>0</v>
      </c>
    </row>
    <row r="10462" spans="1:9">
      <c r="A10462" s="53" t="s">
        <v>18104</v>
      </c>
      <c r="B10462" s="5">
        <v>517320</v>
      </c>
      <c r="C10462" s="32" t="s">
        <v>18118</v>
      </c>
      <c r="D10462" s="32" t="s">
        <v>992</v>
      </c>
      <c r="E10462" s="2">
        <v>1</v>
      </c>
      <c r="F10462" s="9">
        <f>20/12</f>
        <v>1.6666666666666667</v>
      </c>
      <c r="G10462" s="8"/>
      <c r="H10462" s="16">
        <v>31.95</v>
      </c>
      <c r="I10462" s="19">
        <f t="shared" si="350"/>
        <v>53.25</v>
      </c>
    </row>
    <row r="10463" spans="1:9" hidden="1">
      <c r="A10463" s="53" t="s">
        <v>18104</v>
      </c>
      <c r="B10463" s="5" t="s">
        <v>18119</v>
      </c>
      <c r="C10463" s="32" t="s">
        <v>18120</v>
      </c>
      <c r="D10463" s="32"/>
      <c r="E10463" s="2">
        <v>1</v>
      </c>
      <c r="F10463" s="9"/>
      <c r="G10463" s="8"/>
      <c r="H10463" s="16">
        <v>33.880000000000003</v>
      </c>
      <c r="I10463" s="19">
        <f t="shared" si="350"/>
        <v>0</v>
      </c>
    </row>
    <row r="10464" spans="1:9" hidden="1">
      <c r="A10464" s="53" t="s">
        <v>18104</v>
      </c>
      <c r="B10464" s="5">
        <v>259229</v>
      </c>
      <c r="C10464" s="32" t="s">
        <v>18121</v>
      </c>
      <c r="D10464" s="32"/>
      <c r="E10464" s="2">
        <v>1</v>
      </c>
      <c r="F10464" s="9"/>
      <c r="G10464" s="8"/>
      <c r="H10464" s="16">
        <v>15.64</v>
      </c>
      <c r="I10464" s="19">
        <f t="shared" si="350"/>
        <v>0</v>
      </c>
    </row>
    <row r="10465" spans="1:9" hidden="1">
      <c r="A10465" s="53" t="s">
        <v>18104</v>
      </c>
      <c r="B10465" s="5">
        <v>1289000</v>
      </c>
      <c r="C10465" s="32" t="s">
        <v>18122</v>
      </c>
      <c r="D10465" s="32"/>
      <c r="E10465" s="2">
        <v>1</v>
      </c>
      <c r="F10465" s="9"/>
      <c r="G10465" s="8"/>
      <c r="H10465" s="16">
        <v>5.32</v>
      </c>
      <c r="I10465" s="19">
        <f t="shared" si="350"/>
        <v>0</v>
      </c>
    </row>
    <row r="10466" spans="1:9" hidden="1">
      <c r="A10466" s="53" t="s">
        <v>18104</v>
      </c>
      <c r="B10466" s="5">
        <v>1282010</v>
      </c>
      <c r="C10466" s="32" t="s">
        <v>18123</v>
      </c>
      <c r="D10466" s="32"/>
      <c r="E10466" s="2">
        <v>1</v>
      </c>
      <c r="F10466" s="9"/>
      <c r="G10466" s="8"/>
      <c r="H10466" s="16">
        <v>0.97</v>
      </c>
      <c r="I10466" s="19">
        <f t="shared" si="350"/>
        <v>0</v>
      </c>
    </row>
    <row r="10467" spans="1:9" hidden="1">
      <c r="A10467" s="53" t="s">
        <v>18104</v>
      </c>
      <c r="B10467" s="5">
        <v>1286020</v>
      </c>
      <c r="C10467" s="32" t="s">
        <v>18124</v>
      </c>
      <c r="D10467" s="32"/>
      <c r="E10467" s="2">
        <v>1</v>
      </c>
      <c r="F10467" s="9"/>
      <c r="G10467" s="8"/>
      <c r="H10467" s="16">
        <v>1.35</v>
      </c>
      <c r="I10467" s="19">
        <f t="shared" si="350"/>
        <v>0</v>
      </c>
    </row>
    <row r="10468" spans="1:9" hidden="1">
      <c r="A10468" s="53" t="s">
        <v>18104</v>
      </c>
      <c r="B10468" s="5" t="s">
        <v>18125</v>
      </c>
      <c r="C10468" s="32" t="s">
        <v>18126</v>
      </c>
      <c r="D10468" s="32"/>
      <c r="E10468" s="2">
        <v>1</v>
      </c>
      <c r="F10468" s="9"/>
      <c r="G10468" s="8"/>
      <c r="H10468" s="16">
        <v>74.5</v>
      </c>
      <c r="I10468" s="19">
        <f t="shared" si="350"/>
        <v>0</v>
      </c>
    </row>
    <row r="10469" spans="1:9">
      <c r="A10469" s="53" t="s">
        <v>18104</v>
      </c>
      <c r="B10469" s="5">
        <v>5606600</v>
      </c>
      <c r="C10469" s="32" t="s">
        <v>18127</v>
      </c>
      <c r="D10469" s="32" t="s">
        <v>992</v>
      </c>
      <c r="E10469" s="2">
        <v>1</v>
      </c>
      <c r="F10469" s="9">
        <v>189</v>
      </c>
      <c r="G10469" s="8"/>
      <c r="H10469" s="16">
        <v>8</v>
      </c>
      <c r="I10469" s="19">
        <f t="shared" si="350"/>
        <v>1512</v>
      </c>
    </row>
    <row r="10470" spans="1:9" hidden="1">
      <c r="A10470" s="53" t="s">
        <v>18104</v>
      </c>
      <c r="B10470" s="5">
        <v>1280010</v>
      </c>
      <c r="C10470" s="32" t="s">
        <v>18128</v>
      </c>
      <c r="D10470" s="32"/>
      <c r="E10470" s="2">
        <v>1</v>
      </c>
      <c r="F10470" s="9"/>
      <c r="G10470" s="8"/>
      <c r="H10470" s="16">
        <v>0.7</v>
      </c>
      <c r="I10470" s="19">
        <f t="shared" si="350"/>
        <v>0</v>
      </c>
    </row>
    <row r="10471" spans="1:9" hidden="1">
      <c r="A10471" s="53" t="s">
        <v>18104</v>
      </c>
      <c r="B10471" s="5">
        <v>2013404</v>
      </c>
      <c r="C10471" s="32" t="s">
        <v>18129</v>
      </c>
      <c r="D10471" s="32" t="s">
        <v>1117</v>
      </c>
      <c r="E10471" s="2">
        <v>1</v>
      </c>
      <c r="F10471" s="9"/>
      <c r="G10471" s="8"/>
      <c r="H10471" s="16">
        <v>25.41</v>
      </c>
      <c r="I10471" s="19">
        <f t="shared" si="350"/>
        <v>0</v>
      </c>
    </row>
    <row r="10472" spans="1:9">
      <c r="A10472" s="53" t="s">
        <v>18104</v>
      </c>
      <c r="B10472" s="5" t="s">
        <v>18130</v>
      </c>
      <c r="C10472" s="32" t="s">
        <v>18131</v>
      </c>
      <c r="D10472" s="32"/>
      <c r="E10472" s="2">
        <v>1</v>
      </c>
      <c r="F10472" s="9">
        <v>3</v>
      </c>
      <c r="G10472" s="8"/>
      <c r="H10472" s="16">
        <v>11.7</v>
      </c>
      <c r="I10472" s="19">
        <f t="shared" si="350"/>
        <v>35.099999999999994</v>
      </c>
    </row>
    <row r="10473" spans="1:9">
      <c r="A10473" s="53" t="s">
        <v>18104</v>
      </c>
      <c r="B10473" s="5" t="s">
        <v>18132</v>
      </c>
      <c r="C10473" s="32" t="s">
        <v>18133</v>
      </c>
      <c r="D10473" s="32"/>
      <c r="E10473" s="2">
        <v>1</v>
      </c>
      <c r="F10473" s="9">
        <v>1</v>
      </c>
      <c r="G10473" s="8"/>
      <c r="H10473" s="16">
        <v>15.45</v>
      </c>
      <c r="I10473" s="19">
        <f t="shared" si="350"/>
        <v>15.45</v>
      </c>
    </row>
    <row r="10474" spans="1:9" hidden="1">
      <c r="A10474" s="53" t="s">
        <v>18104</v>
      </c>
      <c r="B10474" s="5" t="s">
        <v>18134</v>
      </c>
      <c r="C10474" s="32" t="s">
        <v>18135</v>
      </c>
      <c r="D10474" s="32" t="s">
        <v>1117</v>
      </c>
      <c r="E10474" s="2">
        <v>1</v>
      </c>
      <c r="F10474" s="9"/>
      <c r="G10474" s="8"/>
      <c r="H10474" s="16">
        <v>6.18</v>
      </c>
      <c r="I10474" s="19">
        <f t="shared" si="350"/>
        <v>0</v>
      </c>
    </row>
    <row r="10475" spans="1:9" hidden="1">
      <c r="A10475" s="53" t="s">
        <v>18104</v>
      </c>
      <c r="B10475" s="5" t="s">
        <v>18136</v>
      </c>
      <c r="C10475" s="32" t="s">
        <v>18137</v>
      </c>
      <c r="D10475" s="32" t="s">
        <v>1117</v>
      </c>
      <c r="E10475" s="2">
        <v>1</v>
      </c>
      <c r="F10475" s="9"/>
      <c r="G10475" s="8"/>
      <c r="H10475" s="16">
        <v>6.03</v>
      </c>
      <c r="I10475" s="19">
        <f t="shared" si="350"/>
        <v>0</v>
      </c>
    </row>
    <row r="10476" spans="1:9" hidden="1">
      <c r="A10476" s="53" t="s">
        <v>18104</v>
      </c>
      <c r="B10476" s="5">
        <v>901691</v>
      </c>
      <c r="C10476" s="32" t="s">
        <v>18138</v>
      </c>
      <c r="D10476" s="32" t="s">
        <v>992</v>
      </c>
      <c r="E10476" s="2">
        <v>1</v>
      </c>
      <c r="F10476" s="9"/>
      <c r="G10476" s="8"/>
      <c r="H10476" s="16">
        <v>7.6</v>
      </c>
      <c r="I10476" s="19">
        <f t="shared" si="350"/>
        <v>0</v>
      </c>
    </row>
    <row r="10477" spans="1:9" hidden="1">
      <c r="A10477" s="53" t="s">
        <v>18104</v>
      </c>
      <c r="B10477" s="5" t="s">
        <v>18139</v>
      </c>
      <c r="C10477" s="32" t="s">
        <v>18140</v>
      </c>
      <c r="D10477" s="32"/>
      <c r="E10477" s="2">
        <v>1</v>
      </c>
      <c r="F10477" s="9"/>
      <c r="G10477" s="8"/>
      <c r="H10477" s="16">
        <v>31.96</v>
      </c>
      <c r="I10477" s="19">
        <f t="shared" si="350"/>
        <v>0</v>
      </c>
    </row>
    <row r="10478" spans="1:9" hidden="1">
      <c r="A10478" s="53" t="s">
        <v>18104</v>
      </c>
      <c r="B10478" s="5" t="s">
        <v>18141</v>
      </c>
      <c r="C10478" s="32" t="s">
        <v>18142</v>
      </c>
      <c r="D10478" s="32" t="s">
        <v>18143</v>
      </c>
      <c r="E10478" s="2">
        <v>1</v>
      </c>
      <c r="F10478" s="9"/>
      <c r="G10478" s="8"/>
      <c r="H10478" s="16">
        <v>807.12</v>
      </c>
      <c r="I10478" s="19">
        <f t="shared" si="350"/>
        <v>0</v>
      </c>
    </row>
    <row r="10479" spans="1:9" hidden="1">
      <c r="A10479" s="53" t="s">
        <v>18104</v>
      </c>
      <c r="B10479" s="5">
        <v>896041</v>
      </c>
      <c r="C10479" s="32" t="s">
        <v>18144</v>
      </c>
      <c r="D10479" s="32"/>
      <c r="E10479" s="2">
        <v>1</v>
      </c>
      <c r="F10479" s="9"/>
      <c r="G10479" s="8"/>
      <c r="H10479" s="16">
        <v>31.19</v>
      </c>
      <c r="I10479" s="19">
        <f t="shared" si="350"/>
        <v>0</v>
      </c>
    </row>
    <row r="10480" spans="1:9" hidden="1">
      <c r="A10480" s="53" t="s">
        <v>18104</v>
      </c>
      <c r="B10480" s="5" t="s">
        <v>18145</v>
      </c>
      <c r="C10480" s="32" t="s">
        <v>18146</v>
      </c>
      <c r="D10480" s="32"/>
      <c r="E10480" s="2">
        <v>1</v>
      </c>
      <c r="F10480" s="9"/>
      <c r="G10480" s="8"/>
      <c r="H10480" s="16">
        <v>4.8899999999999997</v>
      </c>
      <c r="I10480" s="19">
        <f t="shared" si="350"/>
        <v>0</v>
      </c>
    </row>
    <row r="10481" spans="1:10" hidden="1">
      <c r="A10481" s="53" t="s">
        <v>18104</v>
      </c>
      <c r="B10481" s="5">
        <v>8108000</v>
      </c>
      <c r="C10481" s="32" t="s">
        <v>18147</v>
      </c>
      <c r="D10481" s="32" t="s">
        <v>1117</v>
      </c>
      <c r="E10481" s="2">
        <v>1</v>
      </c>
      <c r="F10481" s="9"/>
      <c r="G10481" s="8"/>
      <c r="H10481" s="16">
        <v>10.24</v>
      </c>
      <c r="I10481" s="19">
        <f t="shared" si="350"/>
        <v>0</v>
      </c>
    </row>
    <row r="10482" spans="1:10" hidden="1">
      <c r="A10482" s="53" t="s">
        <v>18104</v>
      </c>
      <c r="B10482" s="5">
        <v>4812600</v>
      </c>
      <c r="C10482" s="32" t="s">
        <v>18148</v>
      </c>
      <c r="D10482" s="32"/>
      <c r="E10482" s="2">
        <v>1</v>
      </c>
      <c r="F10482" s="9"/>
      <c r="G10482" s="8"/>
      <c r="H10482" s="16">
        <v>3.85</v>
      </c>
      <c r="I10482" s="19">
        <f t="shared" si="350"/>
        <v>0</v>
      </c>
    </row>
    <row r="10483" spans="1:10">
      <c r="A10483" s="60" t="s">
        <v>18149</v>
      </c>
      <c r="B10483" s="5">
        <v>103249</v>
      </c>
      <c r="C10483" s="32" t="s">
        <v>18150</v>
      </c>
      <c r="D10483" s="32"/>
      <c r="E10483" s="2">
        <v>1</v>
      </c>
      <c r="F10483" s="9">
        <v>12</v>
      </c>
      <c r="G10483" s="8">
        <f>H10483+(H10483*5%)</f>
        <v>107.1</v>
      </c>
      <c r="H10483" s="16">
        <v>102</v>
      </c>
      <c r="I10483" s="19">
        <f>G10483*F10483</f>
        <v>1285.1999999999998</v>
      </c>
      <c r="J10483" s="64"/>
    </row>
    <row r="10484" spans="1:10">
      <c r="A10484" s="60" t="s">
        <v>18149</v>
      </c>
      <c r="B10484" s="5">
        <v>103588</v>
      </c>
      <c r="C10484" s="32" t="s">
        <v>18151</v>
      </c>
      <c r="D10484" s="32"/>
      <c r="E10484" s="2">
        <v>1</v>
      </c>
      <c r="F10484" s="9">
        <v>30</v>
      </c>
      <c r="G10484" s="8">
        <f>H10484+(H10484*5%)</f>
        <v>40.950000000000003</v>
      </c>
      <c r="H10484" s="16">
        <v>39</v>
      </c>
      <c r="I10484" s="19">
        <f t="shared" ref="I10484:I10547" si="351">G10484*F10484</f>
        <v>1228.5</v>
      </c>
    </row>
    <row r="10485" spans="1:10">
      <c r="A10485" s="60" t="s">
        <v>18149</v>
      </c>
      <c r="B10485" s="5">
        <v>104168</v>
      </c>
      <c r="C10485" s="32" t="s">
        <v>18152</v>
      </c>
      <c r="D10485" s="32"/>
      <c r="E10485" s="2">
        <v>1</v>
      </c>
      <c r="F10485" s="9">
        <v>2</v>
      </c>
      <c r="G10485" s="8">
        <f t="shared" ref="G10485:G10574" si="352">H10485+(H10485*5%)</f>
        <v>124.95</v>
      </c>
      <c r="H10485" s="16">
        <v>119</v>
      </c>
      <c r="I10485" s="19">
        <f t="shared" si="351"/>
        <v>249.9</v>
      </c>
    </row>
    <row r="10486" spans="1:10">
      <c r="A10486" s="60" t="s">
        <v>18149</v>
      </c>
      <c r="B10486" s="5">
        <v>104167</v>
      </c>
      <c r="C10486" s="32" t="s">
        <v>18153</v>
      </c>
      <c r="D10486" s="32"/>
      <c r="E10486" s="2">
        <v>1</v>
      </c>
      <c r="F10486" s="9">
        <v>13</v>
      </c>
      <c r="G10486" s="8">
        <f t="shared" si="352"/>
        <v>66.674999999999997</v>
      </c>
      <c r="H10486" s="16">
        <v>63.5</v>
      </c>
      <c r="I10486" s="19">
        <f t="shared" si="351"/>
        <v>866.77499999999998</v>
      </c>
    </row>
    <row r="10487" spans="1:10">
      <c r="A10487" s="60" t="s">
        <v>18149</v>
      </c>
      <c r="B10487" s="5">
        <v>104253</v>
      </c>
      <c r="C10487" s="32" t="s">
        <v>18154</v>
      </c>
      <c r="D10487" s="32"/>
      <c r="E10487" s="2">
        <v>1</v>
      </c>
      <c r="F10487" s="9">
        <v>97</v>
      </c>
      <c r="G10487" s="8">
        <f t="shared" si="352"/>
        <v>31.5</v>
      </c>
      <c r="H10487" s="16">
        <v>30</v>
      </c>
      <c r="I10487" s="19">
        <f t="shared" si="351"/>
        <v>3055.5</v>
      </c>
    </row>
    <row r="10488" spans="1:10">
      <c r="A10488" s="60" t="s">
        <v>18149</v>
      </c>
      <c r="B10488" s="5">
        <v>104256</v>
      </c>
      <c r="C10488" s="32" t="s">
        <v>18155</v>
      </c>
      <c r="D10488" s="32"/>
      <c r="E10488" s="2">
        <v>1</v>
      </c>
      <c r="F10488" s="9">
        <v>15</v>
      </c>
      <c r="G10488" s="8">
        <f t="shared" si="352"/>
        <v>25.725000000000001</v>
      </c>
      <c r="H10488" s="16">
        <v>24.5</v>
      </c>
      <c r="I10488" s="19">
        <f t="shared" si="351"/>
        <v>385.875</v>
      </c>
    </row>
    <row r="10489" spans="1:10">
      <c r="A10489" s="60" t="s">
        <v>18149</v>
      </c>
      <c r="B10489" s="5">
        <v>104601</v>
      </c>
      <c r="C10489" s="32" t="s">
        <v>18156</v>
      </c>
      <c r="D10489" s="32"/>
      <c r="E10489" s="2">
        <v>1</v>
      </c>
      <c r="F10489" s="9">
        <v>10</v>
      </c>
      <c r="G10489" s="8">
        <f t="shared" si="352"/>
        <v>238.875</v>
      </c>
      <c r="H10489" s="16">
        <v>227.5</v>
      </c>
      <c r="I10489" s="19">
        <f t="shared" si="351"/>
        <v>2388.75</v>
      </c>
    </row>
    <row r="10490" spans="1:10">
      <c r="A10490" s="60" t="s">
        <v>18149</v>
      </c>
      <c r="B10490" s="5">
        <v>104155</v>
      </c>
      <c r="C10490" s="32" t="s">
        <v>18157</v>
      </c>
      <c r="D10490" s="32"/>
      <c r="E10490" s="2">
        <v>1</v>
      </c>
      <c r="F10490" s="9">
        <v>8</v>
      </c>
      <c r="G10490" s="8">
        <f t="shared" si="352"/>
        <v>309.22500000000002</v>
      </c>
      <c r="H10490" s="16">
        <v>294.5</v>
      </c>
      <c r="I10490" s="19">
        <f t="shared" si="351"/>
        <v>2473.8000000000002</v>
      </c>
    </row>
    <row r="10491" spans="1:10">
      <c r="A10491" s="60" t="s">
        <v>18149</v>
      </c>
      <c r="B10491" s="5">
        <v>104122</v>
      </c>
      <c r="C10491" s="32" t="s">
        <v>18158</v>
      </c>
      <c r="D10491" s="32"/>
      <c r="E10491" s="2">
        <v>1</v>
      </c>
      <c r="F10491" s="9">
        <v>8</v>
      </c>
      <c r="G10491" s="8">
        <f t="shared" si="352"/>
        <v>238.875</v>
      </c>
      <c r="H10491" s="16">
        <v>227.5</v>
      </c>
      <c r="I10491" s="19">
        <f t="shared" si="351"/>
        <v>1911</v>
      </c>
    </row>
    <row r="10492" spans="1:10">
      <c r="A10492" s="60" t="s">
        <v>18149</v>
      </c>
      <c r="B10492" s="5">
        <v>102032</v>
      </c>
      <c r="C10492" s="32" t="s">
        <v>18159</v>
      </c>
      <c r="D10492" s="32"/>
      <c r="E10492" s="2">
        <v>1</v>
      </c>
      <c r="F10492" s="9">
        <v>9</v>
      </c>
      <c r="G10492" s="8">
        <f t="shared" si="352"/>
        <v>35.700000000000003</v>
      </c>
      <c r="H10492" s="16">
        <v>34</v>
      </c>
      <c r="I10492" s="19">
        <f t="shared" si="351"/>
        <v>321.3</v>
      </c>
    </row>
    <row r="10493" spans="1:10">
      <c r="A10493" s="60" t="s">
        <v>18149</v>
      </c>
      <c r="B10493" s="5">
        <v>105456</v>
      </c>
      <c r="C10493" s="32" t="s">
        <v>18160</v>
      </c>
      <c r="D10493" s="32"/>
      <c r="E10493" s="2">
        <v>1</v>
      </c>
      <c r="F10493" s="9">
        <v>12</v>
      </c>
      <c r="G10493" s="8">
        <f t="shared" si="352"/>
        <v>57.225000000000001</v>
      </c>
      <c r="H10493" s="16">
        <v>54.5</v>
      </c>
      <c r="I10493" s="19">
        <f t="shared" si="351"/>
        <v>686.7</v>
      </c>
    </row>
    <row r="10494" spans="1:10">
      <c r="A10494" s="60" t="s">
        <v>18149</v>
      </c>
      <c r="B10494" s="5">
        <v>105405</v>
      </c>
      <c r="C10494" s="32" t="s">
        <v>18161</v>
      </c>
      <c r="D10494" s="32"/>
      <c r="E10494" s="2">
        <v>1</v>
      </c>
      <c r="F10494" s="9">
        <v>13</v>
      </c>
      <c r="G10494" s="8">
        <f t="shared" si="352"/>
        <v>50.924999999999997</v>
      </c>
      <c r="H10494" s="16">
        <v>48.5</v>
      </c>
      <c r="I10494" s="19">
        <f t="shared" si="351"/>
        <v>662.02499999999998</v>
      </c>
    </row>
    <row r="10495" spans="1:10">
      <c r="A10495" s="60" t="s">
        <v>18149</v>
      </c>
      <c r="B10495" s="5">
        <v>104152</v>
      </c>
      <c r="C10495" s="32" t="s">
        <v>18162</v>
      </c>
      <c r="D10495" s="32"/>
      <c r="E10495" s="2">
        <v>1</v>
      </c>
      <c r="F10495" s="9">
        <v>52</v>
      </c>
      <c r="G10495" s="8">
        <f t="shared" si="352"/>
        <v>13.125</v>
      </c>
      <c r="H10495" s="16">
        <v>12.5</v>
      </c>
      <c r="I10495" s="19">
        <f t="shared" si="351"/>
        <v>682.5</v>
      </c>
    </row>
    <row r="10496" spans="1:10">
      <c r="A10496" s="60" t="s">
        <v>18149</v>
      </c>
      <c r="B10496" s="5">
        <v>104130</v>
      </c>
      <c r="C10496" s="32" t="s">
        <v>18163</v>
      </c>
      <c r="D10496" s="32"/>
      <c r="E10496" s="2">
        <v>1</v>
      </c>
      <c r="F10496" s="9">
        <v>3</v>
      </c>
      <c r="G10496" s="8">
        <f t="shared" si="352"/>
        <v>92.4</v>
      </c>
      <c r="H10496" s="16">
        <v>88</v>
      </c>
      <c r="I10496" s="19">
        <f t="shared" si="351"/>
        <v>277.20000000000005</v>
      </c>
    </row>
    <row r="10497" spans="1:9">
      <c r="A10497" s="60" t="s">
        <v>18149</v>
      </c>
      <c r="B10497" s="5">
        <v>104124</v>
      </c>
      <c r="C10497" s="32" t="s">
        <v>18164</v>
      </c>
      <c r="D10497" s="32"/>
      <c r="E10497" s="2">
        <v>1</v>
      </c>
      <c r="F10497" s="9">
        <v>24</v>
      </c>
      <c r="G10497" s="8">
        <f t="shared" si="352"/>
        <v>29.4</v>
      </c>
      <c r="H10497" s="16">
        <v>28</v>
      </c>
      <c r="I10497" s="19">
        <f t="shared" si="351"/>
        <v>705.59999999999991</v>
      </c>
    </row>
    <row r="10498" spans="1:9" hidden="1">
      <c r="A10498" s="60" t="s">
        <v>18149</v>
      </c>
      <c r="B10498" s="5">
        <v>102055</v>
      </c>
      <c r="C10498" s="32" t="s">
        <v>18165</v>
      </c>
      <c r="D10498" s="32"/>
      <c r="E10498" s="2">
        <v>1</v>
      </c>
      <c r="F10498" s="9"/>
      <c r="G10498" s="8">
        <f t="shared" si="352"/>
        <v>11.025</v>
      </c>
      <c r="H10498" s="16">
        <v>10.5</v>
      </c>
      <c r="I10498" s="19">
        <f t="shared" si="351"/>
        <v>0</v>
      </c>
    </row>
    <row r="10499" spans="1:9">
      <c r="A10499" s="60" t="s">
        <v>18149</v>
      </c>
      <c r="B10499" s="5">
        <v>104473</v>
      </c>
      <c r="C10499" s="32" t="s">
        <v>18166</v>
      </c>
      <c r="D10499" s="32"/>
      <c r="E10499" s="2">
        <v>1</v>
      </c>
      <c r="F10499" s="9">
        <v>4</v>
      </c>
      <c r="G10499" s="8">
        <f t="shared" si="352"/>
        <v>14.7</v>
      </c>
      <c r="H10499" s="16">
        <v>14</v>
      </c>
      <c r="I10499" s="19">
        <f t="shared" si="351"/>
        <v>58.8</v>
      </c>
    </row>
    <row r="10500" spans="1:9">
      <c r="A10500" s="60" t="s">
        <v>18149</v>
      </c>
      <c r="B10500" s="5">
        <v>100668</v>
      </c>
      <c r="C10500" s="32" t="s">
        <v>18167</v>
      </c>
      <c r="D10500" s="32"/>
      <c r="E10500" s="2">
        <v>1</v>
      </c>
      <c r="F10500" s="9">
        <v>4</v>
      </c>
      <c r="G10500" s="8">
        <f t="shared" si="352"/>
        <v>34.125</v>
      </c>
      <c r="H10500" s="16">
        <v>32.5</v>
      </c>
      <c r="I10500" s="19">
        <f t="shared" si="351"/>
        <v>136.5</v>
      </c>
    </row>
    <row r="10501" spans="1:9">
      <c r="A10501" s="60" t="s">
        <v>18149</v>
      </c>
      <c r="B10501" s="5">
        <v>104186</v>
      </c>
      <c r="C10501" s="32" t="s">
        <v>18168</v>
      </c>
      <c r="D10501" s="32"/>
      <c r="E10501" s="2">
        <v>1</v>
      </c>
      <c r="F10501" s="9">
        <v>8</v>
      </c>
      <c r="G10501" s="8">
        <f t="shared" si="352"/>
        <v>193.72499999999999</v>
      </c>
      <c r="H10501" s="16">
        <v>184.5</v>
      </c>
      <c r="I10501" s="19">
        <f t="shared" si="351"/>
        <v>1549.8</v>
      </c>
    </row>
    <row r="10502" spans="1:9">
      <c r="A10502" s="60" t="s">
        <v>18149</v>
      </c>
      <c r="B10502" s="5">
        <v>104250</v>
      </c>
      <c r="C10502" s="32" t="s">
        <v>18169</v>
      </c>
      <c r="D10502" s="32"/>
      <c r="E10502" s="2">
        <v>1</v>
      </c>
      <c r="F10502" s="9">
        <f>14-1</f>
        <v>13</v>
      </c>
      <c r="G10502" s="8">
        <f t="shared" si="352"/>
        <v>352.8</v>
      </c>
      <c r="H10502" s="16">
        <v>336</v>
      </c>
      <c r="I10502" s="19">
        <f t="shared" si="351"/>
        <v>4586.4000000000005</v>
      </c>
    </row>
    <row r="10503" spans="1:9">
      <c r="A10503" s="60" t="s">
        <v>18149</v>
      </c>
      <c r="B10503" s="5">
        <v>104598</v>
      </c>
      <c r="C10503" s="32" t="s">
        <v>18170</v>
      </c>
      <c r="D10503" s="32"/>
      <c r="E10503" s="2">
        <v>1</v>
      </c>
      <c r="F10503" s="9">
        <v>16</v>
      </c>
      <c r="G10503" s="8">
        <f t="shared" si="352"/>
        <v>263.55</v>
      </c>
      <c r="H10503" s="16">
        <v>251</v>
      </c>
      <c r="I10503" s="19">
        <f t="shared" si="351"/>
        <v>4216.8</v>
      </c>
    </row>
    <row r="10504" spans="1:9">
      <c r="A10504" s="60" t="s">
        <v>18149</v>
      </c>
      <c r="B10504" s="5">
        <v>104766</v>
      </c>
      <c r="C10504" s="32" t="s">
        <v>18171</v>
      </c>
      <c r="D10504" s="32"/>
      <c r="E10504" s="2">
        <v>1</v>
      </c>
      <c r="F10504" s="9">
        <v>4</v>
      </c>
      <c r="G10504" s="8">
        <f t="shared" si="352"/>
        <v>156.97499999999999</v>
      </c>
      <c r="H10504" s="16">
        <v>149.5</v>
      </c>
      <c r="I10504" s="19">
        <f t="shared" si="351"/>
        <v>627.9</v>
      </c>
    </row>
    <row r="10505" spans="1:9">
      <c r="A10505" s="60" t="s">
        <v>18149</v>
      </c>
      <c r="B10505" s="5">
        <v>104224</v>
      </c>
      <c r="C10505" s="32" t="s">
        <v>18172</v>
      </c>
      <c r="D10505" s="32"/>
      <c r="E10505" s="2">
        <v>1</v>
      </c>
      <c r="F10505" s="9">
        <v>1</v>
      </c>
      <c r="G10505" s="8">
        <f t="shared" si="352"/>
        <v>327.60000000000002</v>
      </c>
      <c r="H10505" s="16">
        <v>312</v>
      </c>
      <c r="I10505" s="19">
        <f t="shared" si="351"/>
        <v>327.60000000000002</v>
      </c>
    </row>
    <row r="10506" spans="1:9">
      <c r="A10506" s="60" t="s">
        <v>18149</v>
      </c>
      <c r="B10506" s="5">
        <v>100658</v>
      </c>
      <c r="C10506" s="32" t="s">
        <v>18173</v>
      </c>
      <c r="D10506" s="32"/>
      <c r="E10506" s="2">
        <v>1</v>
      </c>
      <c r="F10506" s="9">
        <v>12</v>
      </c>
      <c r="G10506" s="8">
        <f t="shared" si="352"/>
        <v>11.55</v>
      </c>
      <c r="H10506" s="16">
        <v>11</v>
      </c>
      <c r="I10506" s="19">
        <f t="shared" si="351"/>
        <v>138.60000000000002</v>
      </c>
    </row>
    <row r="10507" spans="1:9">
      <c r="A10507" s="60" t="s">
        <v>18149</v>
      </c>
      <c r="B10507" s="5">
        <v>100659</v>
      </c>
      <c r="C10507" s="32" t="s">
        <v>18174</v>
      </c>
      <c r="D10507" s="32"/>
      <c r="E10507" s="2">
        <v>1</v>
      </c>
      <c r="F10507" s="9">
        <v>7</v>
      </c>
      <c r="G10507" s="8">
        <f t="shared" si="352"/>
        <v>24.675000000000001</v>
      </c>
      <c r="H10507" s="16">
        <v>23.5</v>
      </c>
      <c r="I10507" s="19">
        <f t="shared" si="351"/>
        <v>172.72499999999999</v>
      </c>
    </row>
    <row r="10508" spans="1:9">
      <c r="A10508" s="60" t="s">
        <v>18149</v>
      </c>
      <c r="B10508" s="5">
        <v>100669</v>
      </c>
      <c r="C10508" s="32" t="s">
        <v>18175</v>
      </c>
      <c r="D10508" s="32"/>
      <c r="E10508" s="2">
        <v>1</v>
      </c>
      <c r="F10508" s="9">
        <v>12</v>
      </c>
      <c r="G10508" s="8">
        <f t="shared" si="352"/>
        <v>35.700000000000003</v>
      </c>
      <c r="H10508" s="16">
        <v>34</v>
      </c>
      <c r="I10508" s="19">
        <f t="shared" si="351"/>
        <v>428.40000000000003</v>
      </c>
    </row>
    <row r="10509" spans="1:9">
      <c r="A10509" s="60" t="s">
        <v>18149</v>
      </c>
      <c r="B10509" s="5">
        <v>101694</v>
      </c>
      <c r="C10509" s="32" t="s">
        <v>18176</v>
      </c>
      <c r="D10509" s="32"/>
      <c r="E10509" s="2">
        <v>1</v>
      </c>
      <c r="F10509" s="9">
        <v>1</v>
      </c>
      <c r="G10509" s="8">
        <f t="shared" si="352"/>
        <v>14.175000000000001</v>
      </c>
      <c r="H10509" s="16">
        <v>13.5</v>
      </c>
      <c r="I10509" s="19">
        <f t="shared" si="351"/>
        <v>14.175000000000001</v>
      </c>
    </row>
    <row r="10510" spans="1:9">
      <c r="A10510" s="60" t="s">
        <v>18149</v>
      </c>
      <c r="B10510" s="5">
        <v>101748</v>
      </c>
      <c r="C10510" s="32" t="s">
        <v>18177</v>
      </c>
      <c r="D10510" s="32"/>
      <c r="E10510" s="2">
        <v>1</v>
      </c>
      <c r="F10510" s="9">
        <v>1</v>
      </c>
      <c r="G10510" s="8">
        <f t="shared" si="352"/>
        <v>79.8</v>
      </c>
      <c r="H10510" s="16">
        <v>76</v>
      </c>
      <c r="I10510" s="19">
        <f t="shared" si="351"/>
        <v>79.8</v>
      </c>
    </row>
    <row r="10511" spans="1:9">
      <c r="A10511" s="60" t="s">
        <v>18149</v>
      </c>
      <c r="B10511" s="5">
        <v>103059</v>
      </c>
      <c r="C10511" s="32" t="s">
        <v>18178</v>
      </c>
      <c r="D10511" s="32"/>
      <c r="E10511" s="2">
        <v>1</v>
      </c>
      <c r="F10511" s="9">
        <v>3</v>
      </c>
      <c r="G10511" s="8">
        <f t="shared" si="352"/>
        <v>52.5</v>
      </c>
      <c r="H10511" s="16">
        <v>50</v>
      </c>
      <c r="I10511" s="19">
        <f t="shared" si="351"/>
        <v>157.5</v>
      </c>
    </row>
    <row r="10512" spans="1:9" hidden="1">
      <c r="A10512" s="60" t="s">
        <v>18149</v>
      </c>
      <c r="B10512" s="5">
        <v>103296</v>
      </c>
      <c r="C10512" s="32" t="s">
        <v>18179</v>
      </c>
      <c r="D10512" s="32"/>
      <c r="E10512" s="2">
        <v>1</v>
      </c>
      <c r="F10512" s="9"/>
      <c r="G10512" s="8">
        <f t="shared" si="352"/>
        <v>96.075000000000003</v>
      </c>
      <c r="H10512" s="16">
        <v>91.5</v>
      </c>
      <c r="I10512" s="19">
        <f t="shared" si="351"/>
        <v>0</v>
      </c>
    </row>
    <row r="10513" spans="1:9" hidden="1">
      <c r="A10513" s="60" t="s">
        <v>18149</v>
      </c>
      <c r="B10513" s="5">
        <v>103629</v>
      </c>
      <c r="C10513" s="32" t="s">
        <v>18180</v>
      </c>
      <c r="D10513" s="32"/>
      <c r="E10513" s="2">
        <v>1</v>
      </c>
      <c r="F10513" s="9"/>
      <c r="G10513" s="8">
        <f t="shared" si="352"/>
        <v>74.55</v>
      </c>
      <c r="H10513" s="16">
        <v>71</v>
      </c>
      <c r="I10513" s="19">
        <f t="shared" si="351"/>
        <v>0</v>
      </c>
    </row>
    <row r="10514" spans="1:9">
      <c r="A10514" s="60" t="s">
        <v>18149</v>
      </c>
      <c r="B10514" s="5">
        <v>104101</v>
      </c>
      <c r="C10514" s="32" t="s">
        <v>18181</v>
      </c>
      <c r="D10514" s="32"/>
      <c r="E10514" s="2">
        <v>1</v>
      </c>
      <c r="F10514" s="9">
        <v>4</v>
      </c>
      <c r="G10514" s="8">
        <f t="shared" si="352"/>
        <v>20.475000000000001</v>
      </c>
      <c r="H10514" s="16">
        <v>19.5</v>
      </c>
      <c r="I10514" s="19">
        <f t="shared" si="351"/>
        <v>81.900000000000006</v>
      </c>
    </row>
    <row r="10515" spans="1:9">
      <c r="A10515" s="60" t="s">
        <v>18149</v>
      </c>
      <c r="B10515" s="5">
        <v>104137</v>
      </c>
      <c r="C10515" s="32" t="s">
        <v>18182</v>
      </c>
      <c r="D10515" s="32"/>
      <c r="E10515" s="2">
        <v>1</v>
      </c>
      <c r="F10515" s="9">
        <v>172</v>
      </c>
      <c r="G10515" s="8">
        <f t="shared" si="352"/>
        <v>31.5</v>
      </c>
      <c r="H10515" s="16">
        <v>30</v>
      </c>
      <c r="I10515" s="19">
        <f t="shared" si="351"/>
        <v>5418</v>
      </c>
    </row>
    <row r="10516" spans="1:9">
      <c r="A10516" s="60" t="s">
        <v>18149</v>
      </c>
      <c r="B10516" s="5">
        <v>104145</v>
      </c>
      <c r="C10516" s="32" t="s">
        <v>18183</v>
      </c>
      <c r="D10516" s="32"/>
      <c r="E10516" s="2">
        <v>1</v>
      </c>
      <c r="F10516" s="9">
        <v>12</v>
      </c>
      <c r="G10516" s="8">
        <f t="shared" si="352"/>
        <v>33.6</v>
      </c>
      <c r="H10516" s="16">
        <v>32</v>
      </c>
      <c r="I10516" s="19">
        <f t="shared" si="351"/>
        <v>403.20000000000005</v>
      </c>
    </row>
    <row r="10517" spans="1:9">
      <c r="A10517" s="60" t="s">
        <v>18149</v>
      </c>
      <c r="B10517" s="5">
        <v>104146</v>
      </c>
      <c r="C10517" s="32" t="s">
        <v>18184</v>
      </c>
      <c r="D10517" s="32"/>
      <c r="E10517" s="2">
        <v>1</v>
      </c>
      <c r="F10517" s="9">
        <v>8</v>
      </c>
      <c r="G10517" s="8">
        <f t="shared" si="352"/>
        <v>33.6</v>
      </c>
      <c r="H10517" s="16">
        <v>32</v>
      </c>
      <c r="I10517" s="19">
        <f t="shared" si="351"/>
        <v>268.8</v>
      </c>
    </row>
    <row r="10518" spans="1:9">
      <c r="A10518" s="60" t="s">
        <v>18149</v>
      </c>
      <c r="B10518" s="5">
        <v>104148</v>
      </c>
      <c r="C10518" s="32" t="s">
        <v>18185</v>
      </c>
      <c r="D10518" s="32"/>
      <c r="E10518" s="2">
        <v>1</v>
      </c>
      <c r="F10518" s="9">
        <v>17</v>
      </c>
      <c r="G10518" s="8">
        <f t="shared" si="352"/>
        <v>44.625</v>
      </c>
      <c r="H10518" s="16">
        <v>42.5</v>
      </c>
      <c r="I10518" s="19">
        <f t="shared" si="351"/>
        <v>758.625</v>
      </c>
    </row>
    <row r="10519" spans="1:9">
      <c r="A10519" s="60" t="s">
        <v>18149</v>
      </c>
      <c r="B10519" s="5">
        <v>104149</v>
      </c>
      <c r="C10519" s="32" t="s">
        <v>18186</v>
      </c>
      <c r="D10519" s="32"/>
      <c r="E10519" s="2">
        <v>1</v>
      </c>
      <c r="F10519" s="9">
        <v>3</v>
      </c>
      <c r="G10519" s="8">
        <f t="shared" si="352"/>
        <v>40.424999999999997</v>
      </c>
      <c r="H10519" s="16">
        <v>38.5</v>
      </c>
      <c r="I10519" s="19">
        <f t="shared" si="351"/>
        <v>121.27499999999999</v>
      </c>
    </row>
    <row r="10520" spans="1:9">
      <c r="A10520" s="60" t="s">
        <v>18149</v>
      </c>
      <c r="B10520" s="5">
        <v>104178</v>
      </c>
      <c r="C10520" s="32" t="s">
        <v>18187</v>
      </c>
      <c r="D10520" s="32"/>
      <c r="E10520" s="2">
        <v>1</v>
      </c>
      <c r="F10520" s="9">
        <v>3</v>
      </c>
      <c r="G10520" s="8">
        <f t="shared" si="352"/>
        <v>252.52500000000001</v>
      </c>
      <c r="H10520" s="16">
        <v>240.5</v>
      </c>
      <c r="I10520" s="19">
        <f t="shared" si="351"/>
        <v>757.57500000000005</v>
      </c>
    </row>
    <row r="10521" spans="1:9">
      <c r="A10521" s="60" t="s">
        <v>18149</v>
      </c>
      <c r="B10521" s="5">
        <v>104187</v>
      </c>
      <c r="C10521" s="32" t="s">
        <v>18188</v>
      </c>
      <c r="D10521" s="32"/>
      <c r="E10521" s="2">
        <v>1</v>
      </c>
      <c r="F10521" s="9">
        <v>11</v>
      </c>
      <c r="G10521" s="8">
        <f t="shared" si="352"/>
        <v>4.3365</v>
      </c>
      <c r="H10521" s="16">
        <v>4.13</v>
      </c>
      <c r="I10521" s="19">
        <f t="shared" si="351"/>
        <v>47.701500000000003</v>
      </c>
    </row>
    <row r="10522" spans="1:9">
      <c r="A10522" s="60" t="s">
        <v>18149</v>
      </c>
      <c r="B10522" s="5">
        <v>104218</v>
      </c>
      <c r="C10522" s="32" t="s">
        <v>18189</v>
      </c>
      <c r="D10522" s="32"/>
      <c r="E10522" s="2">
        <v>1</v>
      </c>
      <c r="F10522" s="9">
        <v>15</v>
      </c>
      <c r="G10522" s="8">
        <f t="shared" si="352"/>
        <v>6.0374999999999996</v>
      </c>
      <c r="H10522" s="16">
        <v>5.75</v>
      </c>
      <c r="I10522" s="19">
        <f t="shared" si="351"/>
        <v>90.5625</v>
      </c>
    </row>
    <row r="10523" spans="1:9">
      <c r="A10523" s="60" t="s">
        <v>18149</v>
      </c>
      <c r="B10523" s="5">
        <v>104251</v>
      </c>
      <c r="C10523" s="32" t="s">
        <v>18190</v>
      </c>
      <c r="D10523" s="32"/>
      <c r="E10523" s="2">
        <v>1</v>
      </c>
      <c r="F10523" s="9">
        <v>5</v>
      </c>
      <c r="G10523" s="8">
        <f t="shared" si="352"/>
        <v>380.1</v>
      </c>
      <c r="H10523" s="16">
        <v>362</v>
      </c>
      <c r="I10523" s="19">
        <f t="shared" si="351"/>
        <v>1900.5</v>
      </c>
    </row>
    <row r="10524" spans="1:9">
      <c r="A10524" s="60" t="s">
        <v>18149</v>
      </c>
      <c r="B10524" s="5">
        <v>104265</v>
      </c>
      <c r="C10524" s="32" t="s">
        <v>18191</v>
      </c>
      <c r="D10524" s="32"/>
      <c r="E10524" s="2">
        <v>1</v>
      </c>
      <c r="F10524" s="9">
        <v>204</v>
      </c>
      <c r="G10524" s="8">
        <f t="shared" si="352"/>
        <v>23.625</v>
      </c>
      <c r="H10524" s="16">
        <v>22.5</v>
      </c>
      <c r="I10524" s="19">
        <f t="shared" si="351"/>
        <v>4819.5</v>
      </c>
    </row>
    <row r="10525" spans="1:9">
      <c r="A10525" s="60" t="s">
        <v>18149</v>
      </c>
      <c r="B10525" s="5">
        <v>104274</v>
      </c>
      <c r="C10525" s="32" t="s">
        <v>18192</v>
      </c>
      <c r="D10525" s="32"/>
      <c r="E10525" s="2">
        <v>1</v>
      </c>
      <c r="F10525" s="9">
        <v>4</v>
      </c>
      <c r="G10525" s="8">
        <f t="shared" si="352"/>
        <v>216.3</v>
      </c>
      <c r="H10525" s="16">
        <v>206</v>
      </c>
      <c r="I10525" s="19">
        <f t="shared" si="351"/>
        <v>865.2</v>
      </c>
    </row>
    <row r="10526" spans="1:9">
      <c r="A10526" s="60" t="s">
        <v>18149</v>
      </c>
      <c r="B10526" s="5">
        <v>104381</v>
      </c>
      <c r="C10526" s="32" t="s">
        <v>18193</v>
      </c>
      <c r="D10526" s="32"/>
      <c r="E10526" s="2">
        <v>1</v>
      </c>
      <c r="F10526" s="9">
        <v>4</v>
      </c>
      <c r="G10526" s="8">
        <f t="shared" si="352"/>
        <v>60.375</v>
      </c>
      <c r="H10526" s="16">
        <v>57.5</v>
      </c>
      <c r="I10526" s="19">
        <f t="shared" si="351"/>
        <v>241.5</v>
      </c>
    </row>
    <row r="10527" spans="1:9">
      <c r="A10527" s="60" t="s">
        <v>18149</v>
      </c>
      <c r="B10527" s="5">
        <v>104402</v>
      </c>
      <c r="C10527" s="32" t="s">
        <v>18194</v>
      </c>
      <c r="D10527" s="32"/>
      <c r="E10527" s="2">
        <v>1</v>
      </c>
      <c r="F10527" s="9">
        <v>1</v>
      </c>
      <c r="G10527" s="8">
        <f t="shared" si="352"/>
        <v>161.17500000000001</v>
      </c>
      <c r="H10527" s="16">
        <v>153.5</v>
      </c>
      <c r="I10527" s="19">
        <f t="shared" si="351"/>
        <v>161.17500000000001</v>
      </c>
    </row>
    <row r="10528" spans="1:9">
      <c r="A10528" s="60" t="s">
        <v>18149</v>
      </c>
      <c r="B10528" s="5">
        <v>104523</v>
      </c>
      <c r="C10528" s="32" t="s">
        <v>18195</v>
      </c>
      <c r="D10528" s="32"/>
      <c r="E10528" s="2">
        <v>1</v>
      </c>
      <c r="F10528" s="9">
        <v>4</v>
      </c>
      <c r="G10528" s="8">
        <f t="shared" si="352"/>
        <v>22.05</v>
      </c>
      <c r="H10528" s="16">
        <v>21</v>
      </c>
      <c r="I10528" s="19">
        <f t="shared" si="351"/>
        <v>88.2</v>
      </c>
    </row>
    <row r="10529" spans="1:9">
      <c r="A10529" s="60" t="s">
        <v>18149</v>
      </c>
      <c r="B10529" s="5">
        <v>104530</v>
      </c>
      <c r="C10529" s="32" t="s">
        <v>18196</v>
      </c>
      <c r="D10529" s="32"/>
      <c r="E10529" s="2">
        <v>1</v>
      </c>
      <c r="F10529" s="9">
        <v>1</v>
      </c>
      <c r="G10529" s="8">
        <f t="shared" si="352"/>
        <v>98.7</v>
      </c>
      <c r="H10529" s="16">
        <v>94</v>
      </c>
      <c r="I10529" s="19">
        <f t="shared" si="351"/>
        <v>98.7</v>
      </c>
    </row>
    <row r="10530" spans="1:9">
      <c r="A10530" s="60" t="s">
        <v>18149</v>
      </c>
      <c r="B10530" s="5">
        <v>104539</v>
      </c>
      <c r="C10530" s="32" t="s">
        <v>18197</v>
      </c>
      <c r="D10530" s="32"/>
      <c r="E10530" s="2">
        <v>1</v>
      </c>
      <c r="F10530" s="9">
        <v>9</v>
      </c>
      <c r="G10530" s="8">
        <f t="shared" si="352"/>
        <v>2.7614999999999998</v>
      </c>
      <c r="H10530" s="16">
        <v>2.63</v>
      </c>
      <c r="I10530" s="19">
        <f t="shared" si="351"/>
        <v>24.853499999999997</v>
      </c>
    </row>
    <row r="10531" spans="1:9">
      <c r="A10531" s="60" t="s">
        <v>18149</v>
      </c>
      <c r="B10531" s="5">
        <v>104549</v>
      </c>
      <c r="C10531" s="32" t="s">
        <v>18198</v>
      </c>
      <c r="D10531" s="32"/>
      <c r="E10531" s="2">
        <v>1</v>
      </c>
      <c r="F10531" s="9">
        <v>5</v>
      </c>
      <c r="G10531" s="8">
        <f t="shared" si="352"/>
        <v>20.475000000000001</v>
      </c>
      <c r="H10531" s="16">
        <v>19.5</v>
      </c>
      <c r="I10531" s="19">
        <f t="shared" si="351"/>
        <v>102.375</v>
      </c>
    </row>
    <row r="10532" spans="1:9">
      <c r="A10532" s="60" t="s">
        <v>18149</v>
      </c>
      <c r="B10532" s="5">
        <v>104597</v>
      </c>
      <c r="C10532" s="32" t="s">
        <v>18199</v>
      </c>
      <c r="D10532" s="32"/>
      <c r="E10532" s="2">
        <v>1</v>
      </c>
      <c r="F10532" s="9">
        <v>8</v>
      </c>
      <c r="G10532" s="8">
        <f t="shared" si="352"/>
        <v>29.4</v>
      </c>
      <c r="H10532" s="16">
        <v>28</v>
      </c>
      <c r="I10532" s="19">
        <f t="shared" si="351"/>
        <v>235.2</v>
      </c>
    </row>
    <row r="10533" spans="1:9">
      <c r="A10533" s="60" t="s">
        <v>18149</v>
      </c>
      <c r="B10533" s="5">
        <v>104599</v>
      </c>
      <c r="C10533" s="32" t="s">
        <v>18200</v>
      </c>
      <c r="D10533" s="32"/>
      <c r="E10533" s="2">
        <v>1</v>
      </c>
      <c r="F10533" s="9">
        <v>9</v>
      </c>
      <c r="G10533" s="8">
        <f t="shared" si="352"/>
        <v>183.22499999999999</v>
      </c>
      <c r="H10533" s="16">
        <v>174.5</v>
      </c>
      <c r="I10533" s="19">
        <f t="shared" si="351"/>
        <v>1649.0249999999999</v>
      </c>
    </row>
    <row r="10534" spans="1:9">
      <c r="A10534" s="60" t="s">
        <v>18149</v>
      </c>
      <c r="B10534" s="5">
        <v>104600</v>
      </c>
      <c r="C10534" s="32" t="s">
        <v>18201</v>
      </c>
      <c r="D10534" s="32"/>
      <c r="E10534" s="2">
        <v>1</v>
      </c>
      <c r="F10534" s="9">
        <v>7</v>
      </c>
      <c r="G10534" s="8">
        <f t="shared" si="352"/>
        <v>207.375</v>
      </c>
      <c r="H10534" s="16">
        <v>197.5</v>
      </c>
      <c r="I10534" s="19">
        <f t="shared" si="351"/>
        <v>1451.625</v>
      </c>
    </row>
    <row r="10535" spans="1:9">
      <c r="A10535" s="60" t="s">
        <v>18149</v>
      </c>
      <c r="B10535" s="5">
        <v>104670</v>
      </c>
      <c r="C10535" s="32" t="s">
        <v>18202</v>
      </c>
      <c r="D10535" s="32"/>
      <c r="E10535" s="2">
        <v>1</v>
      </c>
      <c r="F10535" s="9">
        <v>52</v>
      </c>
      <c r="G10535" s="8">
        <f t="shared" si="352"/>
        <v>223.125</v>
      </c>
      <c r="H10535" s="16">
        <v>212.5</v>
      </c>
      <c r="I10535" s="19">
        <f t="shared" si="351"/>
        <v>11602.5</v>
      </c>
    </row>
    <row r="10536" spans="1:9">
      <c r="A10536" s="60" t="s">
        <v>18149</v>
      </c>
      <c r="B10536" s="5">
        <v>104706</v>
      </c>
      <c r="C10536" s="32" t="s">
        <v>18203</v>
      </c>
      <c r="D10536" s="32"/>
      <c r="E10536" s="2">
        <v>1</v>
      </c>
      <c r="F10536" s="9">
        <v>5</v>
      </c>
      <c r="G10536" s="8">
        <f t="shared" si="352"/>
        <v>148.57499999999999</v>
      </c>
      <c r="H10536" s="16">
        <v>141.5</v>
      </c>
      <c r="I10536" s="19">
        <f t="shared" si="351"/>
        <v>742.875</v>
      </c>
    </row>
    <row r="10537" spans="1:9">
      <c r="A10537" s="60" t="s">
        <v>18149</v>
      </c>
      <c r="B10537" s="5">
        <v>104739</v>
      </c>
      <c r="C10537" s="32" t="s">
        <v>18204</v>
      </c>
      <c r="D10537" s="32"/>
      <c r="E10537" s="2">
        <v>1</v>
      </c>
      <c r="F10537" s="9">
        <v>3</v>
      </c>
      <c r="G10537" s="8">
        <f t="shared" si="352"/>
        <v>15.75</v>
      </c>
      <c r="H10537" s="16">
        <v>15</v>
      </c>
      <c r="I10537" s="19">
        <f t="shared" si="351"/>
        <v>47.25</v>
      </c>
    </row>
    <row r="10538" spans="1:9">
      <c r="A10538" s="60" t="s">
        <v>18149</v>
      </c>
      <c r="B10538" s="5">
        <v>104764</v>
      </c>
      <c r="C10538" s="32" t="s">
        <v>18205</v>
      </c>
      <c r="D10538" s="32"/>
      <c r="E10538" s="2">
        <v>1</v>
      </c>
      <c r="F10538" s="9">
        <v>4</v>
      </c>
      <c r="G10538" s="8">
        <f t="shared" si="352"/>
        <v>84.525000000000006</v>
      </c>
      <c r="H10538" s="16">
        <v>80.5</v>
      </c>
      <c r="I10538" s="19">
        <f t="shared" si="351"/>
        <v>338.1</v>
      </c>
    </row>
    <row r="10539" spans="1:9" hidden="1">
      <c r="A10539" s="60" t="s">
        <v>18149</v>
      </c>
      <c r="B10539" s="5">
        <v>105233</v>
      </c>
      <c r="C10539" s="32" t="s">
        <v>18206</v>
      </c>
      <c r="D10539" s="32"/>
      <c r="E10539" s="2">
        <v>1</v>
      </c>
      <c r="F10539" s="9"/>
      <c r="G10539" s="8">
        <f t="shared" si="352"/>
        <v>121.27500000000001</v>
      </c>
      <c r="H10539" s="16">
        <v>115.5</v>
      </c>
      <c r="I10539" s="19">
        <f t="shared" si="351"/>
        <v>0</v>
      </c>
    </row>
    <row r="10540" spans="1:9" hidden="1">
      <c r="A10540" s="60" t="s">
        <v>18149</v>
      </c>
      <c r="B10540" s="5">
        <v>105235</v>
      </c>
      <c r="C10540" s="32" t="s">
        <v>18207</v>
      </c>
      <c r="D10540" s="32"/>
      <c r="E10540" s="2">
        <v>1</v>
      </c>
      <c r="F10540" s="9"/>
      <c r="G10540" s="8">
        <f t="shared" si="352"/>
        <v>121.27500000000001</v>
      </c>
      <c r="H10540" s="16">
        <v>115.5</v>
      </c>
      <c r="I10540" s="19">
        <f t="shared" si="351"/>
        <v>0</v>
      </c>
    </row>
    <row r="10541" spans="1:9">
      <c r="A10541" s="60" t="s">
        <v>18149</v>
      </c>
      <c r="B10541" s="5">
        <v>105243</v>
      </c>
      <c r="C10541" s="32" t="s">
        <v>18208</v>
      </c>
      <c r="D10541" s="32"/>
      <c r="E10541" s="2">
        <v>1</v>
      </c>
      <c r="F10541" s="9">
        <v>3</v>
      </c>
      <c r="G10541" s="8">
        <f t="shared" si="352"/>
        <v>45.674999999999997</v>
      </c>
      <c r="H10541" s="16">
        <v>43.5</v>
      </c>
      <c r="I10541" s="19">
        <f t="shared" si="351"/>
        <v>137.02499999999998</v>
      </c>
    </row>
    <row r="10542" spans="1:9" hidden="1">
      <c r="A10542" s="60" t="s">
        <v>18149</v>
      </c>
      <c r="B10542" s="5">
        <v>105329</v>
      </c>
      <c r="C10542" s="32" t="s">
        <v>18209</v>
      </c>
      <c r="D10542" s="32"/>
      <c r="E10542" s="2">
        <v>1</v>
      </c>
      <c r="F10542" s="9"/>
      <c r="G10542" s="8">
        <f t="shared" si="352"/>
        <v>437.32499999999999</v>
      </c>
      <c r="H10542" s="16">
        <v>416.5</v>
      </c>
      <c r="I10542" s="19">
        <f t="shared" si="351"/>
        <v>0</v>
      </c>
    </row>
    <row r="10543" spans="1:9">
      <c r="A10543" s="60" t="s">
        <v>18149</v>
      </c>
      <c r="B10543" s="5">
        <v>105438</v>
      </c>
      <c r="C10543" s="32" t="s">
        <v>18210</v>
      </c>
      <c r="D10543" s="32"/>
      <c r="E10543" s="2">
        <v>1</v>
      </c>
      <c r="F10543" s="9">
        <v>1</v>
      </c>
      <c r="G10543" s="8">
        <f t="shared" si="352"/>
        <v>17.850000000000001</v>
      </c>
      <c r="H10543" s="16">
        <v>17</v>
      </c>
      <c r="I10543" s="19">
        <f t="shared" si="351"/>
        <v>17.850000000000001</v>
      </c>
    </row>
    <row r="10544" spans="1:9">
      <c r="A10544" s="60" t="s">
        <v>18149</v>
      </c>
      <c r="B10544" s="5">
        <v>105516</v>
      </c>
      <c r="C10544" s="32" t="s">
        <v>18211</v>
      </c>
      <c r="D10544" s="32"/>
      <c r="E10544" s="2">
        <v>1</v>
      </c>
      <c r="F10544" s="9">
        <v>2</v>
      </c>
      <c r="G10544" s="8">
        <f t="shared" si="352"/>
        <v>193.72499999999999</v>
      </c>
      <c r="H10544" s="16">
        <v>184.5</v>
      </c>
      <c r="I10544" s="19">
        <f t="shared" si="351"/>
        <v>387.45</v>
      </c>
    </row>
    <row r="10545" spans="1:9">
      <c r="A10545" s="60" t="s">
        <v>18149</v>
      </c>
      <c r="B10545" s="5">
        <v>105518</v>
      </c>
      <c r="C10545" s="32" t="s">
        <v>18212</v>
      </c>
      <c r="D10545" s="32"/>
      <c r="E10545" s="2">
        <v>1</v>
      </c>
      <c r="F10545" s="9">
        <v>2</v>
      </c>
      <c r="G10545" s="8">
        <f t="shared" si="352"/>
        <v>218.4</v>
      </c>
      <c r="H10545" s="16">
        <v>208</v>
      </c>
      <c r="I10545" s="19">
        <f t="shared" si="351"/>
        <v>436.8</v>
      </c>
    </row>
    <row r="10546" spans="1:9">
      <c r="A10546" s="60" t="s">
        <v>18149</v>
      </c>
      <c r="B10546" s="5">
        <v>105519</v>
      </c>
      <c r="C10546" s="32" t="s">
        <v>18213</v>
      </c>
      <c r="D10546" s="32"/>
      <c r="E10546" s="2">
        <v>1</v>
      </c>
      <c r="F10546" s="9">
        <v>1</v>
      </c>
      <c r="G10546" s="8">
        <f t="shared" si="352"/>
        <v>243.07499999999999</v>
      </c>
      <c r="H10546" s="16">
        <v>231.5</v>
      </c>
      <c r="I10546" s="19">
        <f>G10546*F10546</f>
        <v>243.07499999999999</v>
      </c>
    </row>
    <row r="10547" spans="1:9">
      <c r="A10547" s="60" t="s">
        <v>18149</v>
      </c>
      <c r="B10547" s="5">
        <v>105529</v>
      </c>
      <c r="C10547" s="32" t="s">
        <v>18214</v>
      </c>
      <c r="D10547" s="32"/>
      <c r="E10547" s="2">
        <v>1</v>
      </c>
      <c r="F10547" s="9">
        <v>2</v>
      </c>
      <c r="G10547" s="8">
        <f t="shared" si="352"/>
        <v>57.75</v>
      </c>
      <c r="H10547" s="16">
        <v>55</v>
      </c>
      <c r="I10547" s="19">
        <f t="shared" si="351"/>
        <v>115.5</v>
      </c>
    </row>
    <row r="10548" spans="1:9">
      <c r="A10548" s="60" t="s">
        <v>18149</v>
      </c>
      <c r="B10548" s="5">
        <v>103105</v>
      </c>
      <c r="C10548" s="32" t="s">
        <v>18215</v>
      </c>
      <c r="D10548" s="32"/>
      <c r="E10548" s="2">
        <v>1</v>
      </c>
      <c r="F10548" s="9">
        <v>4</v>
      </c>
      <c r="G10548" s="8">
        <f t="shared" si="352"/>
        <v>55.65</v>
      </c>
      <c r="H10548" s="16">
        <v>53</v>
      </c>
      <c r="I10548" s="19">
        <f t="shared" ref="I10548:I10574" si="353">G10548*F10548</f>
        <v>222.6</v>
      </c>
    </row>
    <row r="10549" spans="1:9" hidden="1">
      <c r="A10549" s="60" t="s">
        <v>18149</v>
      </c>
      <c r="B10549" s="5" t="s">
        <v>18216</v>
      </c>
      <c r="C10549" s="32" t="s">
        <v>18217</v>
      </c>
      <c r="D10549" s="32"/>
      <c r="E10549" s="2">
        <v>1</v>
      </c>
      <c r="F10549" s="9"/>
      <c r="G10549" s="8">
        <f t="shared" si="352"/>
        <v>237.3</v>
      </c>
      <c r="H10549" s="16">
        <v>226</v>
      </c>
      <c r="I10549" s="19">
        <f t="shared" si="353"/>
        <v>0</v>
      </c>
    </row>
    <row r="10550" spans="1:9" hidden="1">
      <c r="A10550" s="60" t="s">
        <v>18149</v>
      </c>
      <c r="B10550" s="5">
        <v>104123</v>
      </c>
      <c r="C10550" s="32" t="s">
        <v>18218</v>
      </c>
      <c r="D10550" s="32"/>
      <c r="E10550" s="2">
        <v>1</v>
      </c>
      <c r="F10550" s="9"/>
      <c r="G10550" s="8">
        <f t="shared" si="352"/>
        <v>35.700000000000003</v>
      </c>
      <c r="H10550" s="16">
        <v>34</v>
      </c>
      <c r="I10550" s="19">
        <f t="shared" si="353"/>
        <v>0</v>
      </c>
    </row>
    <row r="10551" spans="1:9">
      <c r="A10551" s="60" t="s">
        <v>18149</v>
      </c>
      <c r="B10551" s="5">
        <v>104147</v>
      </c>
      <c r="C10551" s="32" t="s">
        <v>18219</v>
      </c>
      <c r="D10551" s="32"/>
      <c r="E10551" s="2">
        <v>1</v>
      </c>
      <c r="F10551" s="9">
        <v>3</v>
      </c>
      <c r="G10551" s="8">
        <f t="shared" si="352"/>
        <v>29.925000000000001</v>
      </c>
      <c r="H10551" s="16">
        <v>28.5</v>
      </c>
      <c r="I10551" s="19">
        <f t="shared" si="353"/>
        <v>89.775000000000006</v>
      </c>
    </row>
    <row r="10552" spans="1:9">
      <c r="A10552" s="60" t="s">
        <v>18149</v>
      </c>
      <c r="B10552" s="5">
        <v>104377</v>
      </c>
      <c r="C10552" s="32" t="s">
        <v>18220</v>
      </c>
      <c r="D10552" s="32"/>
      <c r="E10552" s="2">
        <v>1</v>
      </c>
      <c r="F10552" s="9">
        <v>25</v>
      </c>
      <c r="G10552" s="8">
        <f t="shared" si="352"/>
        <v>195.3</v>
      </c>
      <c r="H10552" s="16">
        <v>186</v>
      </c>
      <c r="I10552" s="19">
        <f t="shared" si="353"/>
        <v>4882.5</v>
      </c>
    </row>
    <row r="10553" spans="1:9">
      <c r="A10553" s="60" t="s">
        <v>18149</v>
      </c>
      <c r="B10553" s="5">
        <v>104883</v>
      </c>
      <c r="C10553" s="32" t="s">
        <v>18221</v>
      </c>
      <c r="D10553" s="32"/>
      <c r="E10553" s="2">
        <v>1</v>
      </c>
      <c r="F10553" s="9">
        <v>9</v>
      </c>
      <c r="G10553" s="8">
        <f t="shared" si="352"/>
        <v>9.9749999999999996</v>
      </c>
      <c r="H10553" s="16">
        <v>9.5</v>
      </c>
      <c r="I10553" s="19">
        <f t="shared" si="353"/>
        <v>89.774999999999991</v>
      </c>
    </row>
    <row r="10554" spans="1:9">
      <c r="A10554" s="60" t="s">
        <v>18149</v>
      </c>
      <c r="B10554" s="5">
        <v>104479</v>
      </c>
      <c r="C10554" s="32" t="s">
        <v>18222</v>
      </c>
      <c r="D10554" s="32"/>
      <c r="E10554" s="2">
        <v>1</v>
      </c>
      <c r="F10554" s="9">
        <v>3</v>
      </c>
      <c r="G10554" s="8">
        <f t="shared" si="352"/>
        <v>223.125</v>
      </c>
      <c r="H10554" s="16">
        <v>212.5</v>
      </c>
      <c r="I10554" s="19">
        <f t="shared" si="353"/>
        <v>669.375</v>
      </c>
    </row>
    <row r="10555" spans="1:9">
      <c r="A10555" s="60" t="s">
        <v>18149</v>
      </c>
      <c r="B10555" s="5">
        <v>103470</v>
      </c>
      <c r="C10555" s="32" t="s">
        <v>18223</v>
      </c>
      <c r="D10555" s="32"/>
      <c r="E10555" s="2">
        <v>1</v>
      </c>
      <c r="F10555" s="9">
        <v>8</v>
      </c>
      <c r="G10555" s="8">
        <f t="shared" si="352"/>
        <v>3.9375</v>
      </c>
      <c r="H10555" s="16">
        <v>3.75</v>
      </c>
      <c r="I10555" s="19">
        <f t="shared" si="353"/>
        <v>31.5</v>
      </c>
    </row>
    <row r="10556" spans="1:9" hidden="1">
      <c r="A10556" s="60" t="s">
        <v>18149</v>
      </c>
      <c r="B10556" s="5">
        <v>105238</v>
      </c>
      <c r="C10556" s="32" t="s">
        <v>18224</v>
      </c>
      <c r="D10556" s="32"/>
      <c r="E10556" s="2">
        <v>1</v>
      </c>
      <c r="F10556" s="9"/>
      <c r="G10556" s="8">
        <f t="shared" si="352"/>
        <v>501.375</v>
      </c>
      <c r="H10556" s="16">
        <v>477.5</v>
      </c>
      <c r="I10556" s="19">
        <f t="shared" si="353"/>
        <v>0</v>
      </c>
    </row>
    <row r="10557" spans="1:9">
      <c r="A10557" s="60" t="s">
        <v>18149</v>
      </c>
      <c r="B10557" s="5">
        <v>101746</v>
      </c>
      <c r="C10557" s="32" t="s">
        <v>18225</v>
      </c>
      <c r="D10557" s="32"/>
      <c r="E10557" s="2">
        <v>1</v>
      </c>
      <c r="F10557" s="9">
        <v>1</v>
      </c>
      <c r="G10557" s="8">
        <f t="shared" si="352"/>
        <v>70.349999999999994</v>
      </c>
      <c r="H10557" s="16">
        <v>67</v>
      </c>
      <c r="I10557" s="19">
        <f t="shared" si="353"/>
        <v>70.349999999999994</v>
      </c>
    </row>
    <row r="10558" spans="1:9" hidden="1">
      <c r="A10558" s="60" t="s">
        <v>18149</v>
      </c>
      <c r="B10558" s="5">
        <v>101846</v>
      </c>
      <c r="C10558" s="32"/>
      <c r="D10558" s="32"/>
      <c r="E10558" s="2">
        <v>1</v>
      </c>
      <c r="F10558" s="9"/>
      <c r="G10558" s="8">
        <f t="shared" si="352"/>
        <v>74.025000000000006</v>
      </c>
      <c r="H10558" s="16">
        <v>70.5</v>
      </c>
      <c r="I10558" s="19">
        <f t="shared" si="353"/>
        <v>0</v>
      </c>
    </row>
    <row r="10559" spans="1:9">
      <c r="A10559" s="60" t="s">
        <v>18149</v>
      </c>
      <c r="B10559" s="5">
        <v>102063</v>
      </c>
      <c r="C10559" s="32" t="s">
        <v>18226</v>
      </c>
      <c r="D10559" s="32"/>
      <c r="E10559" s="2">
        <v>1</v>
      </c>
      <c r="F10559" s="9">
        <v>2</v>
      </c>
      <c r="G10559" s="8">
        <f t="shared" si="352"/>
        <v>85.575000000000003</v>
      </c>
      <c r="H10559" s="16">
        <v>81.5</v>
      </c>
      <c r="I10559" s="19">
        <f t="shared" si="353"/>
        <v>171.15</v>
      </c>
    </row>
    <row r="10560" spans="1:9">
      <c r="A10560" s="60" t="s">
        <v>18149</v>
      </c>
      <c r="B10560" s="5">
        <v>103291</v>
      </c>
      <c r="C10560" s="32" t="s">
        <v>18227</v>
      </c>
      <c r="D10560" s="32"/>
      <c r="E10560" s="2">
        <v>1</v>
      </c>
      <c r="F10560" s="9">
        <v>16</v>
      </c>
      <c r="G10560" s="8">
        <f t="shared" si="352"/>
        <v>8.4</v>
      </c>
      <c r="H10560" s="16">
        <v>8</v>
      </c>
      <c r="I10560" s="19">
        <f t="shared" si="353"/>
        <v>134.4</v>
      </c>
    </row>
    <row r="10561" spans="1:9">
      <c r="A10561" s="60" t="s">
        <v>18149</v>
      </c>
      <c r="B10561" s="5">
        <v>103589</v>
      </c>
      <c r="C10561" s="32" t="s">
        <v>18228</v>
      </c>
      <c r="D10561" s="32"/>
      <c r="E10561" s="2">
        <v>1</v>
      </c>
      <c r="F10561" s="9">
        <v>8</v>
      </c>
      <c r="G10561" s="8">
        <f t="shared" si="352"/>
        <v>4.2</v>
      </c>
      <c r="H10561" s="16">
        <v>4</v>
      </c>
      <c r="I10561" s="19">
        <f t="shared" si="353"/>
        <v>33.6</v>
      </c>
    </row>
    <row r="10562" spans="1:9">
      <c r="A10562" s="60" t="s">
        <v>18149</v>
      </c>
      <c r="B10562" s="5">
        <v>104382</v>
      </c>
      <c r="C10562" s="32" t="s">
        <v>18229</v>
      </c>
      <c r="D10562" s="32"/>
      <c r="E10562" s="2">
        <v>1</v>
      </c>
      <c r="F10562" s="9">
        <v>1</v>
      </c>
      <c r="G10562" s="8">
        <f t="shared" si="352"/>
        <v>15.225</v>
      </c>
      <c r="H10562" s="16">
        <v>14.5</v>
      </c>
      <c r="I10562" s="19">
        <f t="shared" si="353"/>
        <v>15.225</v>
      </c>
    </row>
    <row r="10563" spans="1:9" hidden="1">
      <c r="A10563" s="60" t="s">
        <v>18149</v>
      </c>
      <c r="B10563" s="5">
        <v>104383</v>
      </c>
      <c r="C10563" s="32"/>
      <c r="D10563" s="32"/>
      <c r="E10563" s="2">
        <v>1</v>
      </c>
      <c r="F10563" s="9"/>
      <c r="G10563" s="8">
        <f t="shared" si="352"/>
        <v>469.35</v>
      </c>
      <c r="H10563" s="16">
        <v>447</v>
      </c>
      <c r="I10563" s="19">
        <f t="shared" si="353"/>
        <v>0</v>
      </c>
    </row>
    <row r="10564" spans="1:9" hidden="1">
      <c r="A10564" s="60" t="s">
        <v>18149</v>
      </c>
      <c r="B10564" s="5">
        <v>104468</v>
      </c>
      <c r="C10564" s="32"/>
      <c r="D10564" s="32"/>
      <c r="E10564" s="2">
        <v>1</v>
      </c>
      <c r="F10564" s="9"/>
      <c r="G10564" s="8">
        <f t="shared" si="352"/>
        <v>13.125</v>
      </c>
      <c r="H10564" s="16">
        <v>12.5</v>
      </c>
      <c r="I10564" s="19">
        <f t="shared" si="353"/>
        <v>0</v>
      </c>
    </row>
    <row r="10565" spans="1:9">
      <c r="A10565" s="60" t="s">
        <v>18149</v>
      </c>
      <c r="B10565" s="5">
        <v>104476</v>
      </c>
      <c r="C10565" s="32" t="s">
        <v>18230</v>
      </c>
      <c r="D10565" s="32"/>
      <c r="E10565" s="2">
        <v>1</v>
      </c>
      <c r="F10565" s="9">
        <v>9</v>
      </c>
      <c r="G10565" s="8">
        <f t="shared" si="352"/>
        <v>6.8250000000000002</v>
      </c>
      <c r="H10565" s="16">
        <v>6.5</v>
      </c>
      <c r="I10565" s="19">
        <f t="shared" si="353"/>
        <v>61.425000000000004</v>
      </c>
    </row>
    <row r="10566" spans="1:9" hidden="1">
      <c r="A10566" s="60" t="s">
        <v>18149</v>
      </c>
      <c r="B10566" s="5">
        <v>104590</v>
      </c>
      <c r="C10566" s="32"/>
      <c r="D10566" s="32"/>
      <c r="E10566" s="2">
        <v>1</v>
      </c>
      <c r="F10566" s="9"/>
      <c r="G10566" s="8">
        <f t="shared" si="352"/>
        <v>45.15</v>
      </c>
      <c r="H10566" s="16">
        <v>43</v>
      </c>
      <c r="I10566" s="19">
        <f t="shared" si="353"/>
        <v>0</v>
      </c>
    </row>
    <row r="10567" spans="1:9" hidden="1">
      <c r="A10567" s="60" t="s">
        <v>18149</v>
      </c>
      <c r="B10567" s="5">
        <v>140776</v>
      </c>
      <c r="C10567" s="32"/>
      <c r="D10567" s="32"/>
      <c r="E10567" s="2">
        <v>1</v>
      </c>
      <c r="F10567" s="9"/>
      <c r="G10567" s="8">
        <f t="shared" si="352"/>
        <v>41.160000000000004</v>
      </c>
      <c r="H10567" s="16">
        <v>39.200000000000003</v>
      </c>
      <c r="I10567" s="19">
        <f t="shared" si="353"/>
        <v>0</v>
      </c>
    </row>
    <row r="10568" spans="1:9" hidden="1">
      <c r="A10568" s="60" t="s">
        <v>18149</v>
      </c>
      <c r="B10568" s="5">
        <v>104780</v>
      </c>
      <c r="C10568" s="32"/>
      <c r="D10568" s="32"/>
      <c r="E10568" s="2">
        <v>1</v>
      </c>
      <c r="F10568" s="9"/>
      <c r="G10568" s="8">
        <f t="shared" si="352"/>
        <v>85.837500000000006</v>
      </c>
      <c r="H10568" s="16">
        <v>81.75</v>
      </c>
      <c r="I10568" s="19">
        <f t="shared" si="353"/>
        <v>0</v>
      </c>
    </row>
    <row r="10569" spans="1:9" hidden="1">
      <c r="A10569" s="60" t="s">
        <v>18149</v>
      </c>
      <c r="B10569" s="5">
        <v>104799</v>
      </c>
      <c r="C10569" s="32"/>
      <c r="D10569" s="32"/>
      <c r="E10569" s="2">
        <v>1</v>
      </c>
      <c r="F10569" s="9"/>
      <c r="G10569" s="8">
        <f t="shared" si="352"/>
        <v>11.55</v>
      </c>
      <c r="H10569" s="16">
        <v>11</v>
      </c>
      <c r="I10569" s="19">
        <f t="shared" si="353"/>
        <v>0</v>
      </c>
    </row>
    <row r="10570" spans="1:9" hidden="1">
      <c r="A10570" s="60" t="s">
        <v>18149</v>
      </c>
      <c r="B10570" s="5">
        <v>104879</v>
      </c>
      <c r="C10570" s="32"/>
      <c r="D10570" s="32"/>
      <c r="E10570" s="2">
        <v>1</v>
      </c>
      <c r="F10570" s="9"/>
      <c r="G10570" s="8">
        <f t="shared" si="352"/>
        <v>108.15</v>
      </c>
      <c r="H10570" s="16">
        <v>103</v>
      </c>
      <c r="I10570" s="19">
        <f t="shared" si="353"/>
        <v>0</v>
      </c>
    </row>
    <row r="10571" spans="1:9" hidden="1">
      <c r="A10571" s="60" t="s">
        <v>18149</v>
      </c>
      <c r="B10571" s="5">
        <v>104888</v>
      </c>
      <c r="C10571" s="32"/>
      <c r="D10571" s="32"/>
      <c r="E10571" s="2">
        <v>1</v>
      </c>
      <c r="F10571" s="9"/>
      <c r="G10571" s="8">
        <f t="shared" si="352"/>
        <v>97.125</v>
      </c>
      <c r="H10571" s="16">
        <v>92.5</v>
      </c>
      <c r="I10571" s="19">
        <f t="shared" si="353"/>
        <v>0</v>
      </c>
    </row>
    <row r="10572" spans="1:9" hidden="1">
      <c r="A10572" s="60" t="s">
        <v>18149</v>
      </c>
      <c r="B10572" s="5">
        <v>104963</v>
      </c>
      <c r="C10572" s="32"/>
      <c r="D10572" s="32"/>
      <c r="E10572" s="2">
        <v>1</v>
      </c>
      <c r="F10572" s="9"/>
      <c r="G10572" s="8">
        <f t="shared" si="352"/>
        <v>29.925000000000001</v>
      </c>
      <c r="H10572" s="16">
        <v>28.5</v>
      </c>
      <c r="I10572" s="19">
        <f t="shared" si="353"/>
        <v>0</v>
      </c>
    </row>
    <row r="10573" spans="1:9" hidden="1">
      <c r="A10573" s="60" t="s">
        <v>18149</v>
      </c>
      <c r="B10573" s="5">
        <v>105289</v>
      </c>
      <c r="C10573" s="32"/>
      <c r="D10573" s="32"/>
      <c r="E10573" s="2">
        <v>1</v>
      </c>
      <c r="F10573" s="9"/>
      <c r="G10573" s="8">
        <f t="shared" si="352"/>
        <v>225.22499999999999</v>
      </c>
      <c r="H10573" s="16">
        <v>214.5</v>
      </c>
      <c r="I10573" s="19">
        <f t="shared" si="353"/>
        <v>0</v>
      </c>
    </row>
    <row r="10574" spans="1:9" hidden="1">
      <c r="A10574" s="60" t="s">
        <v>18149</v>
      </c>
      <c r="B10574" s="5">
        <v>105290</v>
      </c>
      <c r="C10574" s="32"/>
      <c r="D10574" s="32"/>
      <c r="E10574" s="2">
        <v>1</v>
      </c>
      <c r="F10574" s="9"/>
      <c r="G10574" s="8">
        <f t="shared" si="352"/>
        <v>225.22499999999999</v>
      </c>
      <c r="H10574" s="16">
        <v>214.5</v>
      </c>
      <c r="I10574" s="19">
        <f t="shared" si="353"/>
        <v>0</v>
      </c>
    </row>
    <row r="10575" spans="1:9">
      <c r="A10575" s="60" t="s">
        <v>18149</v>
      </c>
      <c r="B10575" s="5">
        <v>104150</v>
      </c>
      <c r="C10575" s="32" t="s">
        <v>18231</v>
      </c>
      <c r="D10575" s="32"/>
      <c r="E10575" s="2">
        <v>1</v>
      </c>
      <c r="F10575" s="9">
        <v>12</v>
      </c>
      <c r="G10575" s="8">
        <f t="shared" ref="G10575:G10585" si="354">H10575+(H10575*5%)</f>
        <v>4.851</v>
      </c>
      <c r="H10575" s="16">
        <v>4.62</v>
      </c>
      <c r="I10575" s="19">
        <f t="shared" ref="I10575:I10585" si="355">G10575*F10575</f>
        <v>58.212000000000003</v>
      </c>
    </row>
    <row r="10576" spans="1:9">
      <c r="A10576" s="60" t="s">
        <v>18149</v>
      </c>
      <c r="B10576" s="5"/>
      <c r="C10576" s="32" t="s">
        <v>18232</v>
      </c>
      <c r="D10576" s="32"/>
      <c r="E10576" s="2">
        <v>1</v>
      </c>
      <c r="F10576" s="9">
        <v>8</v>
      </c>
      <c r="G10576" s="8">
        <f t="shared" si="354"/>
        <v>518.84699999999998</v>
      </c>
      <c r="H10576" s="16">
        <v>494.14</v>
      </c>
      <c r="I10576" s="19">
        <f t="shared" si="355"/>
        <v>4150.7759999999998</v>
      </c>
    </row>
    <row r="10577" spans="1:9">
      <c r="A10577" s="60" t="s">
        <v>18149</v>
      </c>
      <c r="B10577" s="5"/>
      <c r="C10577" s="32" t="s">
        <v>18233</v>
      </c>
      <c r="D10577" s="32"/>
      <c r="E10577" s="2">
        <v>1</v>
      </c>
      <c r="F10577" s="9">
        <v>4</v>
      </c>
      <c r="G10577" s="8">
        <f t="shared" si="354"/>
        <v>167.47499999999999</v>
      </c>
      <c r="H10577" s="16">
        <v>159.5</v>
      </c>
      <c r="I10577" s="19">
        <f t="shared" si="355"/>
        <v>669.9</v>
      </c>
    </row>
    <row r="10578" spans="1:9">
      <c r="A10578" s="60" t="s">
        <v>18149</v>
      </c>
      <c r="B10578" s="5">
        <v>104489</v>
      </c>
      <c r="C10578" s="32" t="s">
        <v>18234</v>
      </c>
      <c r="D10578" s="32"/>
      <c r="E10578" s="2">
        <v>1</v>
      </c>
      <c r="F10578" s="9">
        <v>5</v>
      </c>
      <c r="G10578" s="8">
        <f t="shared" si="354"/>
        <v>4.851</v>
      </c>
      <c r="H10578" s="16">
        <v>4.62</v>
      </c>
      <c r="I10578" s="19">
        <f t="shared" si="355"/>
        <v>24.254999999999999</v>
      </c>
    </row>
    <row r="10579" spans="1:9">
      <c r="A10579" s="60" t="s">
        <v>18149</v>
      </c>
      <c r="B10579" s="5">
        <v>104635</v>
      </c>
      <c r="C10579" s="32" t="s">
        <v>18235</v>
      </c>
      <c r="D10579" s="32"/>
      <c r="E10579" s="2">
        <v>1</v>
      </c>
      <c r="F10579" s="9">
        <v>1</v>
      </c>
      <c r="G10579" s="8">
        <f t="shared" si="354"/>
        <v>166.42500000000001</v>
      </c>
      <c r="H10579" s="16">
        <v>158.5</v>
      </c>
      <c r="I10579" s="19">
        <f t="shared" si="355"/>
        <v>166.42500000000001</v>
      </c>
    </row>
    <row r="10580" spans="1:9">
      <c r="A10580" s="60" t="s">
        <v>18149</v>
      </c>
      <c r="B10580" s="5">
        <v>104612</v>
      </c>
      <c r="C10580" s="32" t="s">
        <v>18236</v>
      </c>
      <c r="D10580" s="32"/>
      <c r="E10580" s="2">
        <v>1</v>
      </c>
      <c r="F10580" s="9">
        <v>1</v>
      </c>
      <c r="G10580" s="8">
        <f t="shared" si="354"/>
        <v>22.05</v>
      </c>
      <c r="H10580" s="16">
        <v>21</v>
      </c>
      <c r="I10580" s="19">
        <f t="shared" si="355"/>
        <v>22.05</v>
      </c>
    </row>
    <row r="10581" spans="1:9">
      <c r="A10581" s="60" t="s">
        <v>18149</v>
      </c>
      <c r="B10581" s="5">
        <v>104552</v>
      </c>
      <c r="C10581" s="32" t="s">
        <v>18237</v>
      </c>
      <c r="D10581" s="32"/>
      <c r="E10581" s="2">
        <v>1</v>
      </c>
      <c r="F10581" s="9">
        <v>2</v>
      </c>
      <c r="G10581" s="8">
        <f t="shared" si="354"/>
        <v>70.875</v>
      </c>
      <c r="H10581" s="16">
        <v>67.5</v>
      </c>
      <c r="I10581" s="19">
        <f t="shared" si="355"/>
        <v>141.75</v>
      </c>
    </row>
    <row r="10582" spans="1:9">
      <c r="A10582" s="60" t="s">
        <v>18149</v>
      </c>
      <c r="B10582" s="5">
        <v>104553</v>
      </c>
      <c r="C10582" s="32" t="s">
        <v>18238</v>
      </c>
      <c r="D10582" s="32"/>
      <c r="E10582" s="2">
        <v>1</v>
      </c>
      <c r="F10582" s="9">
        <v>3</v>
      </c>
      <c r="G10582" s="8">
        <f t="shared" si="354"/>
        <v>70.875</v>
      </c>
      <c r="H10582" s="16">
        <v>67.5</v>
      </c>
      <c r="I10582" s="19">
        <f t="shared" si="355"/>
        <v>212.625</v>
      </c>
    </row>
    <row r="10583" spans="1:9">
      <c r="A10583" s="60" t="s">
        <v>18149</v>
      </c>
      <c r="B10583" s="5">
        <v>105561</v>
      </c>
      <c r="C10583" s="32" t="s">
        <v>18239</v>
      </c>
      <c r="D10583" s="32"/>
      <c r="E10583" s="2">
        <v>1</v>
      </c>
      <c r="F10583" s="9">
        <v>30</v>
      </c>
      <c r="G10583" s="8">
        <f t="shared" si="354"/>
        <v>8.9250000000000007</v>
      </c>
      <c r="H10583" s="16">
        <v>8.5</v>
      </c>
      <c r="I10583" s="19">
        <f>G10583*F10583</f>
        <v>267.75</v>
      </c>
    </row>
    <row r="10584" spans="1:9">
      <c r="A10584" s="60" t="s">
        <v>18149</v>
      </c>
      <c r="B10584" s="5">
        <v>105506</v>
      </c>
      <c r="C10584" s="32" t="s">
        <v>18240</v>
      </c>
      <c r="D10584" s="32"/>
      <c r="E10584" s="2">
        <v>1</v>
      </c>
      <c r="F10584" s="9">
        <v>10</v>
      </c>
      <c r="G10584" s="8">
        <f t="shared" si="354"/>
        <v>147</v>
      </c>
      <c r="H10584" s="16">
        <v>140</v>
      </c>
      <c r="I10584" s="19">
        <f t="shared" si="355"/>
        <v>1470</v>
      </c>
    </row>
    <row r="10585" spans="1:9">
      <c r="A10585" s="60" t="s">
        <v>18149</v>
      </c>
      <c r="B10585" s="5">
        <v>105505</v>
      </c>
      <c r="C10585" s="32" t="s">
        <v>18241</v>
      </c>
      <c r="D10585" s="32"/>
      <c r="E10585" s="2">
        <v>1</v>
      </c>
      <c r="F10585" s="9">
        <v>20</v>
      </c>
      <c r="G10585" s="8">
        <f t="shared" si="354"/>
        <v>131.77500000000001</v>
      </c>
      <c r="H10585" s="16">
        <v>125.5</v>
      </c>
      <c r="I10585" s="19">
        <f t="shared" si="355"/>
        <v>2635.5</v>
      </c>
    </row>
    <row r="10586" spans="1:9">
      <c r="A10586" s="92" t="s">
        <v>18242</v>
      </c>
      <c r="B10586" s="5" t="s">
        <v>18243</v>
      </c>
      <c r="C10586" s="32" t="s">
        <v>18244</v>
      </c>
      <c r="D10586" s="32"/>
      <c r="E10586" s="2">
        <v>1</v>
      </c>
      <c r="F10586" s="9">
        <v>8</v>
      </c>
      <c r="G10586" s="8"/>
      <c r="H10586" s="16">
        <v>259.33</v>
      </c>
      <c r="I10586" s="19">
        <f t="shared" ref="I10586:I10617" si="356">H10586*F10586</f>
        <v>2074.64</v>
      </c>
    </row>
    <row r="10587" spans="1:9">
      <c r="A10587" s="92" t="s">
        <v>18242</v>
      </c>
      <c r="B10587" s="5" t="s">
        <v>18245</v>
      </c>
      <c r="C10587" s="32" t="s">
        <v>18246</v>
      </c>
      <c r="D10587" s="32"/>
      <c r="E10587" s="2">
        <v>1</v>
      </c>
      <c r="F10587" s="9">
        <v>10</v>
      </c>
      <c r="G10587" s="8"/>
      <c r="H10587" s="16">
        <v>5.37</v>
      </c>
      <c r="I10587" s="19">
        <f t="shared" si="356"/>
        <v>53.7</v>
      </c>
    </row>
    <row r="10588" spans="1:9">
      <c r="A10588" s="92" t="s">
        <v>18242</v>
      </c>
      <c r="B10588" s="5" t="s">
        <v>18247</v>
      </c>
      <c r="C10588" s="32" t="s">
        <v>18248</v>
      </c>
      <c r="D10588" s="32"/>
      <c r="E10588" s="2">
        <v>1</v>
      </c>
      <c r="F10588" s="9">
        <v>8</v>
      </c>
      <c r="G10588" s="8"/>
      <c r="H10588" s="16">
        <v>268.27999999999997</v>
      </c>
      <c r="I10588" s="19">
        <f t="shared" si="356"/>
        <v>2146.2399999999998</v>
      </c>
    </row>
    <row r="10589" spans="1:9">
      <c r="A10589" s="92" t="s">
        <v>18242</v>
      </c>
      <c r="B10589" s="5" t="s">
        <v>18249</v>
      </c>
      <c r="C10589" s="32" t="s">
        <v>18250</v>
      </c>
      <c r="D10589" s="32"/>
      <c r="E10589" s="2">
        <v>1</v>
      </c>
      <c r="F10589" s="9">
        <v>20</v>
      </c>
      <c r="G10589" s="8"/>
      <c r="H10589" s="16">
        <v>8.94</v>
      </c>
      <c r="I10589" s="19">
        <f t="shared" si="356"/>
        <v>178.79999999999998</v>
      </c>
    </row>
    <row r="10590" spans="1:9">
      <c r="A10590" s="92" t="s">
        <v>18242</v>
      </c>
      <c r="B10590" s="5" t="s">
        <v>18249</v>
      </c>
      <c r="C10590" s="32" t="s">
        <v>18251</v>
      </c>
      <c r="D10590" s="32"/>
      <c r="E10590" s="2">
        <v>1</v>
      </c>
      <c r="F10590" s="9">
        <v>10</v>
      </c>
      <c r="G10590" s="8"/>
      <c r="H10590" s="16">
        <v>31.3</v>
      </c>
      <c r="I10590" s="19">
        <f t="shared" si="356"/>
        <v>313</v>
      </c>
    </row>
    <row r="10591" spans="1:9">
      <c r="A10591" s="148" t="s">
        <v>18252</v>
      </c>
      <c r="B10591" s="5">
        <v>30597</v>
      </c>
      <c r="C10591" s="32" t="s">
        <v>18253</v>
      </c>
      <c r="D10591" s="32" t="s">
        <v>812</v>
      </c>
      <c r="E10591" s="2">
        <v>1</v>
      </c>
      <c r="F10591" s="9">
        <v>7</v>
      </c>
      <c r="G10591" s="8"/>
      <c r="H10591" s="16">
        <v>100.48</v>
      </c>
      <c r="I10591" s="19">
        <f t="shared" si="356"/>
        <v>703.36</v>
      </c>
    </row>
    <row r="10592" spans="1:9">
      <c r="A10592" s="148" t="s">
        <v>18252</v>
      </c>
      <c r="B10592" s="5">
        <v>188798</v>
      </c>
      <c r="C10592" s="32" t="s">
        <v>18254</v>
      </c>
      <c r="D10592" s="32"/>
      <c r="E10592" s="2">
        <v>1</v>
      </c>
      <c r="F10592" s="9">
        <v>1.333</v>
      </c>
      <c r="G10592" s="8"/>
      <c r="H10592" s="16">
        <v>31.14</v>
      </c>
      <c r="I10592" s="19">
        <f t="shared" si="356"/>
        <v>41.509619999999998</v>
      </c>
    </row>
    <row r="10593" spans="1:10" hidden="1">
      <c r="A10593" s="93" t="s">
        <v>18255</v>
      </c>
      <c r="B10593" s="5">
        <v>5100010</v>
      </c>
      <c r="C10593" s="32" t="s">
        <v>18256</v>
      </c>
      <c r="D10593" s="32"/>
      <c r="E10593" s="2">
        <v>1</v>
      </c>
      <c r="F10593" s="9"/>
      <c r="G10593" s="8"/>
      <c r="H10593" s="16">
        <v>149</v>
      </c>
      <c r="I10593" s="19">
        <f t="shared" si="356"/>
        <v>0</v>
      </c>
    </row>
    <row r="10594" spans="1:10" hidden="1">
      <c r="A10594" s="74" t="s">
        <v>18257</v>
      </c>
      <c r="B10594" s="5" t="s">
        <v>18258</v>
      </c>
      <c r="C10594" s="32" t="s">
        <v>18259</v>
      </c>
      <c r="D10594" s="32"/>
      <c r="E10594" s="2">
        <v>1</v>
      </c>
      <c r="F10594" s="9"/>
      <c r="G10594" s="8"/>
      <c r="H10594" s="16">
        <v>491.91</v>
      </c>
      <c r="I10594" s="19">
        <f t="shared" si="356"/>
        <v>0</v>
      </c>
    </row>
    <row r="10595" spans="1:10" hidden="1">
      <c r="A10595" s="74" t="s">
        <v>18257</v>
      </c>
      <c r="B10595" s="5" t="s">
        <v>18260</v>
      </c>
      <c r="C10595" s="32" t="s">
        <v>18261</v>
      </c>
      <c r="D10595" s="32"/>
      <c r="E10595" s="2">
        <v>1</v>
      </c>
      <c r="F10595" s="9"/>
      <c r="G10595" s="8"/>
      <c r="H10595" s="16">
        <v>513.57000000000005</v>
      </c>
      <c r="I10595" s="19">
        <f t="shared" si="356"/>
        <v>0</v>
      </c>
    </row>
    <row r="10596" spans="1:10" hidden="1">
      <c r="A10596" s="74" t="s">
        <v>18257</v>
      </c>
      <c r="B10596" s="5" t="s">
        <v>18262</v>
      </c>
      <c r="C10596" s="32" t="s">
        <v>18263</v>
      </c>
      <c r="D10596" s="32"/>
      <c r="E10596" s="2">
        <v>1</v>
      </c>
      <c r="F10596" s="9"/>
      <c r="G10596" s="8"/>
      <c r="H10596" s="16">
        <v>491.91</v>
      </c>
      <c r="I10596" s="19">
        <f t="shared" si="356"/>
        <v>0</v>
      </c>
    </row>
    <row r="10597" spans="1:10" hidden="1">
      <c r="A10597" s="74" t="s">
        <v>18257</v>
      </c>
      <c r="B10597" s="5" t="s">
        <v>18264</v>
      </c>
      <c r="C10597" s="32" t="s">
        <v>18265</v>
      </c>
      <c r="D10597" s="32"/>
      <c r="E10597" s="2">
        <v>1</v>
      </c>
      <c r="F10597" s="9"/>
      <c r="G10597" s="8"/>
      <c r="H10597" s="16">
        <v>491.91</v>
      </c>
      <c r="I10597" s="19">
        <f t="shared" si="356"/>
        <v>0</v>
      </c>
    </row>
    <row r="10598" spans="1:10" hidden="1">
      <c r="A10598" s="74" t="s">
        <v>18257</v>
      </c>
      <c r="B10598" s="5" t="s">
        <v>18266</v>
      </c>
      <c r="C10598" s="32" t="s">
        <v>18267</v>
      </c>
      <c r="D10598" s="32"/>
      <c r="E10598" s="2">
        <v>1</v>
      </c>
      <c r="F10598" s="9"/>
      <c r="G10598" s="8"/>
      <c r="H10598" s="16">
        <v>535.23</v>
      </c>
      <c r="I10598" s="19">
        <f t="shared" si="356"/>
        <v>0</v>
      </c>
    </row>
    <row r="10599" spans="1:10" hidden="1">
      <c r="A10599" s="74" t="s">
        <v>18257</v>
      </c>
      <c r="B10599" s="5" t="s">
        <v>18268</v>
      </c>
      <c r="C10599" s="32" t="s">
        <v>18269</v>
      </c>
      <c r="D10599" s="32"/>
      <c r="E10599" s="2">
        <v>1</v>
      </c>
      <c r="F10599" s="9"/>
      <c r="G10599" s="8"/>
      <c r="H10599" s="16">
        <v>491.91</v>
      </c>
      <c r="I10599" s="19">
        <f t="shared" si="356"/>
        <v>0</v>
      </c>
    </row>
    <row r="10600" spans="1:10" hidden="1">
      <c r="A10600" s="74" t="s">
        <v>18257</v>
      </c>
      <c r="B10600" s="5" t="s">
        <v>18270</v>
      </c>
      <c r="C10600" s="32" t="s">
        <v>18271</v>
      </c>
      <c r="D10600" s="32"/>
      <c r="E10600" s="2">
        <v>1</v>
      </c>
      <c r="F10600" s="9"/>
      <c r="G10600" s="8"/>
      <c r="H10600" s="16">
        <v>491.91</v>
      </c>
      <c r="I10600" s="19">
        <f t="shared" si="356"/>
        <v>0</v>
      </c>
    </row>
    <row r="10601" spans="1:10">
      <c r="A10601" s="74" t="s">
        <v>18257</v>
      </c>
      <c r="B10601" s="5"/>
      <c r="C10601" s="32" t="s">
        <v>18272</v>
      </c>
      <c r="D10601" s="32"/>
      <c r="E10601" s="2">
        <v>1</v>
      </c>
      <c r="F10601" s="9">
        <v>9</v>
      </c>
      <c r="G10601" s="8"/>
      <c r="H10601" s="16">
        <v>538</v>
      </c>
      <c r="I10601" s="19">
        <f t="shared" si="356"/>
        <v>4842</v>
      </c>
    </row>
    <row r="10602" spans="1:10">
      <c r="A10602" s="74" t="s">
        <v>18257</v>
      </c>
      <c r="B10602" s="5"/>
      <c r="C10602" s="32" t="s">
        <v>18273</v>
      </c>
      <c r="D10602" s="32"/>
      <c r="E10602" s="2">
        <v>1</v>
      </c>
      <c r="F10602" s="9">
        <v>1</v>
      </c>
      <c r="G10602" s="8"/>
      <c r="H10602" s="16">
        <v>479</v>
      </c>
      <c r="I10602" s="19">
        <f t="shared" si="356"/>
        <v>479</v>
      </c>
    </row>
    <row r="10603" spans="1:10" hidden="1">
      <c r="A10603" s="73" t="s">
        <v>18274</v>
      </c>
      <c r="B10603" s="5" t="s">
        <v>18275</v>
      </c>
      <c r="C10603" s="32" t="s">
        <v>18276</v>
      </c>
      <c r="D10603" s="32" t="s">
        <v>18277</v>
      </c>
      <c r="E10603" s="2">
        <v>1</v>
      </c>
      <c r="F10603" s="9"/>
      <c r="G10603" s="8"/>
      <c r="H10603" s="16">
        <v>47.4</v>
      </c>
      <c r="I10603" s="19">
        <f t="shared" si="356"/>
        <v>0</v>
      </c>
    </row>
    <row r="10604" spans="1:10" hidden="1">
      <c r="A10604" s="73" t="s">
        <v>18274</v>
      </c>
      <c r="B10604" s="5" t="s">
        <v>18278</v>
      </c>
      <c r="C10604" s="32" t="s">
        <v>18279</v>
      </c>
      <c r="D10604" s="32"/>
      <c r="E10604" s="2">
        <v>1</v>
      </c>
      <c r="F10604" s="9"/>
      <c r="G10604" s="8"/>
      <c r="H10604" s="16">
        <v>5.3</v>
      </c>
      <c r="I10604" s="19">
        <f t="shared" si="356"/>
        <v>0</v>
      </c>
    </row>
    <row r="10605" spans="1:10">
      <c r="A10605" s="41" t="s">
        <v>18280</v>
      </c>
      <c r="B10605" s="46" t="s">
        <v>18281</v>
      </c>
      <c r="C10605" s="32" t="s">
        <v>18282</v>
      </c>
      <c r="D10605" s="32"/>
      <c r="E10605" s="2">
        <v>1</v>
      </c>
      <c r="F10605" s="9">
        <v>19</v>
      </c>
      <c r="G10605" s="8"/>
      <c r="H10605" s="16">
        <v>2.41</v>
      </c>
      <c r="I10605" s="19">
        <f t="shared" si="356"/>
        <v>45.790000000000006</v>
      </c>
      <c r="J10605" s="63"/>
    </row>
    <row r="10606" spans="1:10">
      <c r="A10606" s="41" t="s">
        <v>18280</v>
      </c>
      <c r="B10606" s="46" t="s">
        <v>18283</v>
      </c>
      <c r="C10606" s="32" t="s">
        <v>18284</v>
      </c>
      <c r="D10606" s="32"/>
      <c r="E10606" s="2">
        <v>1</v>
      </c>
      <c r="F10606" s="9">
        <v>14</v>
      </c>
      <c r="G10606" s="8"/>
      <c r="H10606" s="16">
        <v>20.75</v>
      </c>
      <c r="I10606" s="19">
        <f t="shared" si="356"/>
        <v>290.5</v>
      </c>
    </row>
    <row r="10607" spans="1:10">
      <c r="A10607" s="41" t="s">
        <v>18280</v>
      </c>
      <c r="B10607" s="46" t="s">
        <v>18285</v>
      </c>
      <c r="C10607" s="32" t="s">
        <v>18286</v>
      </c>
      <c r="D10607" s="32"/>
      <c r="E10607" s="2">
        <v>1</v>
      </c>
      <c r="F10607" s="9">
        <v>16</v>
      </c>
      <c r="G10607" s="8"/>
      <c r="H10607" s="16">
        <v>26.04</v>
      </c>
      <c r="I10607" s="19">
        <f t="shared" si="356"/>
        <v>416.64</v>
      </c>
    </row>
    <row r="10608" spans="1:10">
      <c r="A10608" s="41" t="s">
        <v>18280</v>
      </c>
      <c r="B10608" s="46" t="s">
        <v>18287</v>
      </c>
      <c r="C10608" s="32" t="s">
        <v>18288</v>
      </c>
      <c r="D10608" s="32"/>
      <c r="E10608" s="2">
        <v>1</v>
      </c>
      <c r="F10608" s="9">
        <v>15</v>
      </c>
      <c r="G10608" s="8"/>
      <c r="H10608" s="16">
        <v>2.81</v>
      </c>
      <c r="I10608" s="19">
        <f t="shared" si="356"/>
        <v>42.15</v>
      </c>
    </row>
    <row r="10609" spans="1:9">
      <c r="A10609" s="41" t="s">
        <v>18280</v>
      </c>
      <c r="B10609" s="46" t="s">
        <v>18289</v>
      </c>
      <c r="C10609" s="32" t="s">
        <v>18290</v>
      </c>
      <c r="D10609" s="32"/>
      <c r="E10609" s="2">
        <v>1</v>
      </c>
      <c r="F10609" s="9">
        <v>12</v>
      </c>
      <c r="G10609" s="8"/>
      <c r="H10609" s="16">
        <v>3.5</v>
      </c>
      <c r="I10609" s="19">
        <f t="shared" si="356"/>
        <v>42</v>
      </c>
    </row>
    <row r="10610" spans="1:9">
      <c r="A10610" s="41" t="s">
        <v>18280</v>
      </c>
      <c r="B10610" s="105" t="s">
        <v>18291</v>
      </c>
      <c r="C10610" s="32" t="s">
        <v>18292</v>
      </c>
      <c r="D10610" s="32"/>
      <c r="E10610" s="2">
        <v>1</v>
      </c>
      <c r="F10610" s="9">
        <v>32</v>
      </c>
      <c r="G10610" s="8"/>
      <c r="H10610" s="16">
        <v>16.95</v>
      </c>
      <c r="I10610" s="19">
        <f t="shared" si="356"/>
        <v>542.4</v>
      </c>
    </row>
    <row r="10611" spans="1:9">
      <c r="A10611" s="41" t="s">
        <v>18280</v>
      </c>
      <c r="B10611" s="105" t="s">
        <v>18293</v>
      </c>
      <c r="C10611" s="32" t="s">
        <v>18294</v>
      </c>
      <c r="D10611" s="32"/>
      <c r="E10611" s="2">
        <v>1</v>
      </c>
      <c r="F10611" s="9">
        <v>6</v>
      </c>
      <c r="G10611" s="86"/>
      <c r="H10611" s="16">
        <v>68.45</v>
      </c>
      <c r="I10611" s="19">
        <f t="shared" si="356"/>
        <v>410.70000000000005</v>
      </c>
    </row>
    <row r="10612" spans="1:9" hidden="1">
      <c r="A10612" s="41" t="s">
        <v>18280</v>
      </c>
      <c r="B10612" s="105" t="s">
        <v>18295</v>
      </c>
      <c r="C10612" s="32" t="s">
        <v>18296</v>
      </c>
      <c r="D10612" s="32"/>
      <c r="E10612" s="2">
        <v>1</v>
      </c>
      <c r="F10612" s="9"/>
      <c r="G10612" s="86"/>
      <c r="H10612" s="16">
        <v>112.8</v>
      </c>
      <c r="I10612" s="19">
        <f t="shared" si="356"/>
        <v>0</v>
      </c>
    </row>
    <row r="10613" spans="1:9">
      <c r="A10613" s="41" t="s">
        <v>18280</v>
      </c>
      <c r="B10613" s="105" t="s">
        <v>18297</v>
      </c>
      <c r="C10613" s="32" t="s">
        <v>18298</v>
      </c>
      <c r="D10613" s="32"/>
      <c r="E10613" s="2">
        <v>1</v>
      </c>
      <c r="F10613" s="9">
        <v>2</v>
      </c>
      <c r="G10613" s="86"/>
      <c r="H10613" s="16">
        <v>45.5</v>
      </c>
      <c r="I10613" s="19">
        <f t="shared" si="356"/>
        <v>91</v>
      </c>
    </row>
    <row r="10614" spans="1:9" hidden="1">
      <c r="A10614" s="41" t="s">
        <v>18280</v>
      </c>
      <c r="B10614" s="105" t="s">
        <v>18299</v>
      </c>
      <c r="C10614" s="32" t="s">
        <v>18300</v>
      </c>
      <c r="D10614" s="32"/>
      <c r="E10614" s="2">
        <v>1</v>
      </c>
      <c r="F10614" s="9"/>
      <c r="G10614" s="86"/>
      <c r="H10614" s="16">
        <v>0.44</v>
      </c>
      <c r="I10614" s="19">
        <f t="shared" si="356"/>
        <v>0</v>
      </c>
    </row>
    <row r="10615" spans="1:9" hidden="1">
      <c r="A10615" s="41" t="s">
        <v>18280</v>
      </c>
      <c r="B10615" s="105" t="s">
        <v>18301</v>
      </c>
      <c r="C10615" s="32" t="s">
        <v>18300</v>
      </c>
      <c r="D10615" s="32"/>
      <c r="E10615" s="2">
        <v>1</v>
      </c>
      <c r="F10615" s="9"/>
      <c r="G10615" s="86"/>
      <c r="H10615" s="16">
        <v>1.78</v>
      </c>
      <c r="I10615" s="19">
        <f t="shared" si="356"/>
        <v>0</v>
      </c>
    </row>
    <row r="10616" spans="1:9" hidden="1">
      <c r="A10616" s="41" t="s">
        <v>18280</v>
      </c>
      <c r="B10616" s="105" t="s">
        <v>18302</v>
      </c>
      <c r="C10616" s="32" t="s">
        <v>18303</v>
      </c>
      <c r="D10616" s="32"/>
      <c r="E10616" s="2">
        <v>1</v>
      </c>
      <c r="F10616" s="9"/>
      <c r="G10616" s="86"/>
      <c r="H10616" s="16">
        <v>3.48</v>
      </c>
      <c r="I10616" s="19">
        <f t="shared" si="356"/>
        <v>0</v>
      </c>
    </row>
    <row r="10617" spans="1:9" hidden="1">
      <c r="A10617" s="41" t="s">
        <v>18280</v>
      </c>
      <c r="B10617" s="105" t="s">
        <v>18304</v>
      </c>
      <c r="C10617" s="32" t="s">
        <v>18305</v>
      </c>
      <c r="D10617" s="32"/>
      <c r="E10617" s="2">
        <v>1</v>
      </c>
      <c r="F10617" s="9"/>
      <c r="G10617" s="86"/>
      <c r="H10617" s="16">
        <v>10.41</v>
      </c>
      <c r="I10617" s="19">
        <f t="shared" si="356"/>
        <v>0</v>
      </c>
    </row>
    <row r="10618" spans="1:9" hidden="1">
      <c r="A10618" s="41" t="s">
        <v>18280</v>
      </c>
      <c r="B10618" s="105" t="s">
        <v>18306</v>
      </c>
      <c r="C10618" s="32" t="s">
        <v>18307</v>
      </c>
      <c r="D10618" s="32"/>
      <c r="E10618" s="2">
        <v>1</v>
      </c>
      <c r="F10618" s="9"/>
      <c r="G10618" s="86"/>
      <c r="H10618" s="16">
        <v>13.39</v>
      </c>
      <c r="I10618" s="19">
        <f t="shared" ref="I10618:I10649" si="357">H10618*F10618</f>
        <v>0</v>
      </c>
    </row>
    <row r="10619" spans="1:9" hidden="1">
      <c r="A10619" s="41" t="s">
        <v>18280</v>
      </c>
      <c r="B10619" s="105" t="s">
        <v>18308</v>
      </c>
      <c r="C10619" s="32" t="s">
        <v>18309</v>
      </c>
      <c r="D10619" s="32"/>
      <c r="E10619" s="2">
        <v>1</v>
      </c>
      <c r="F10619" s="9"/>
      <c r="G10619" s="86"/>
      <c r="H10619" s="16">
        <v>1.31</v>
      </c>
      <c r="I10619" s="19">
        <f t="shared" si="357"/>
        <v>0</v>
      </c>
    </row>
    <row r="10620" spans="1:9" hidden="1">
      <c r="A10620" s="41" t="s">
        <v>18280</v>
      </c>
      <c r="B10620" s="105" t="s">
        <v>18310</v>
      </c>
      <c r="C10620" s="32" t="s">
        <v>18311</v>
      </c>
      <c r="D10620" s="32"/>
      <c r="E10620" s="2">
        <v>1</v>
      </c>
      <c r="F10620" s="9"/>
      <c r="G10620" s="86"/>
      <c r="H10620" s="16">
        <v>2.84</v>
      </c>
      <c r="I10620" s="19">
        <f t="shared" si="357"/>
        <v>0</v>
      </c>
    </row>
    <row r="10621" spans="1:9" hidden="1">
      <c r="A10621" s="41" t="s">
        <v>18280</v>
      </c>
      <c r="B10621" s="105" t="s">
        <v>18312</v>
      </c>
      <c r="C10621" s="32" t="s">
        <v>18313</v>
      </c>
      <c r="D10621" s="32"/>
      <c r="E10621" s="2">
        <v>1</v>
      </c>
      <c r="F10621" s="9"/>
      <c r="G10621" s="86"/>
      <c r="H10621" s="16">
        <v>9.6300000000000008</v>
      </c>
      <c r="I10621" s="19">
        <f t="shared" si="357"/>
        <v>0</v>
      </c>
    </row>
    <row r="10622" spans="1:9" hidden="1">
      <c r="A10622" s="41" t="s">
        <v>18280</v>
      </c>
      <c r="B10622" s="105" t="s">
        <v>18314</v>
      </c>
      <c r="C10622" s="32" t="s">
        <v>18315</v>
      </c>
      <c r="D10622" s="32"/>
      <c r="E10622" s="2">
        <v>1</v>
      </c>
      <c r="F10622" s="9"/>
      <c r="G10622" s="86"/>
      <c r="H10622" s="16">
        <v>31.71</v>
      </c>
      <c r="I10622" s="19">
        <f t="shared" si="357"/>
        <v>0</v>
      </c>
    </row>
    <row r="10623" spans="1:9" hidden="1">
      <c r="A10623" s="41" t="s">
        <v>18280</v>
      </c>
      <c r="B10623" s="105" t="s">
        <v>18316</v>
      </c>
      <c r="C10623" s="32" t="s">
        <v>18317</v>
      </c>
      <c r="D10623" s="32"/>
      <c r="E10623" s="2">
        <v>1</v>
      </c>
      <c r="F10623" s="9"/>
      <c r="G10623" s="86"/>
      <c r="H10623" s="16">
        <v>57.96</v>
      </c>
      <c r="I10623" s="19">
        <f t="shared" si="357"/>
        <v>0</v>
      </c>
    </row>
    <row r="10624" spans="1:9" hidden="1">
      <c r="A10624" s="41" t="s">
        <v>18280</v>
      </c>
      <c r="B10624" s="105" t="s">
        <v>18318</v>
      </c>
      <c r="C10624" s="32" t="s">
        <v>18319</v>
      </c>
      <c r="D10624" s="32"/>
      <c r="E10624" s="2">
        <v>1</v>
      </c>
      <c r="F10624" s="9"/>
      <c r="G10624" s="86"/>
      <c r="H10624" s="16">
        <v>55</v>
      </c>
      <c r="I10624" s="19">
        <f t="shared" si="357"/>
        <v>0</v>
      </c>
    </row>
    <row r="10625" spans="1:9" hidden="1">
      <c r="A10625" s="41" t="s">
        <v>18280</v>
      </c>
      <c r="B10625" s="105" t="s">
        <v>18320</v>
      </c>
      <c r="C10625" s="32" t="s">
        <v>18319</v>
      </c>
      <c r="D10625" s="32"/>
      <c r="E10625" s="2">
        <v>1</v>
      </c>
      <c r="F10625" s="9"/>
      <c r="G10625" s="86"/>
      <c r="H10625" s="16">
        <v>68.900000000000006</v>
      </c>
      <c r="I10625" s="19">
        <f t="shared" si="357"/>
        <v>0</v>
      </c>
    </row>
    <row r="10626" spans="1:9" hidden="1">
      <c r="A10626" s="41" t="s">
        <v>18280</v>
      </c>
      <c r="B10626" s="105" t="s">
        <v>18321</v>
      </c>
      <c r="C10626" s="32" t="s">
        <v>18322</v>
      </c>
      <c r="D10626" s="32"/>
      <c r="E10626" s="2">
        <v>1</v>
      </c>
      <c r="F10626" s="9"/>
      <c r="G10626" s="86"/>
      <c r="H10626" s="16">
        <v>41.95</v>
      </c>
      <c r="I10626" s="19">
        <f t="shared" si="357"/>
        <v>0</v>
      </c>
    </row>
    <row r="10627" spans="1:9" hidden="1">
      <c r="A10627" s="41" t="s">
        <v>18280</v>
      </c>
      <c r="B10627" s="105" t="s">
        <v>18323</v>
      </c>
      <c r="C10627" s="32" t="s">
        <v>18324</v>
      </c>
      <c r="D10627" s="32"/>
      <c r="E10627" s="2">
        <v>1</v>
      </c>
      <c r="F10627" s="9"/>
      <c r="G10627" s="86"/>
      <c r="H10627" s="16">
        <v>1.83</v>
      </c>
      <c r="I10627" s="19">
        <f t="shared" si="357"/>
        <v>0</v>
      </c>
    </row>
    <row r="10628" spans="1:9" hidden="1">
      <c r="A10628" s="41" t="s">
        <v>18280</v>
      </c>
      <c r="B10628" s="105" t="s">
        <v>18325</v>
      </c>
      <c r="C10628" s="32" t="s">
        <v>18324</v>
      </c>
      <c r="D10628" s="32"/>
      <c r="E10628" s="2">
        <v>1</v>
      </c>
      <c r="F10628" s="9"/>
      <c r="G10628" s="86"/>
      <c r="H10628" s="16">
        <v>2.17</v>
      </c>
      <c r="I10628" s="19">
        <f t="shared" si="357"/>
        <v>0</v>
      </c>
    </row>
    <row r="10629" spans="1:9" hidden="1">
      <c r="A10629" s="41" t="s">
        <v>18280</v>
      </c>
      <c r="B10629" s="105" t="s">
        <v>18326</v>
      </c>
      <c r="C10629" s="32" t="s">
        <v>18327</v>
      </c>
      <c r="D10629" s="32"/>
      <c r="E10629" s="2">
        <v>1</v>
      </c>
      <c r="F10629" s="9"/>
      <c r="G10629" s="86"/>
      <c r="H10629" s="16">
        <v>2.2799999999999998</v>
      </c>
      <c r="I10629" s="19">
        <f t="shared" si="357"/>
        <v>0</v>
      </c>
    </row>
    <row r="10630" spans="1:9">
      <c r="A10630" s="41" t="s">
        <v>18280</v>
      </c>
      <c r="B10630" s="105" t="s">
        <v>18328</v>
      </c>
      <c r="C10630" s="32" t="s">
        <v>18329</v>
      </c>
      <c r="D10630" s="32"/>
      <c r="E10630" s="2">
        <v>1</v>
      </c>
      <c r="F10630" s="9">
        <v>1</v>
      </c>
      <c r="G10630" s="86"/>
      <c r="H10630" s="16">
        <v>7.81</v>
      </c>
      <c r="I10630" s="19">
        <f t="shared" si="357"/>
        <v>7.81</v>
      </c>
    </row>
    <row r="10631" spans="1:9">
      <c r="A10631" s="41" t="s">
        <v>18280</v>
      </c>
      <c r="B10631" s="105" t="s">
        <v>18330</v>
      </c>
      <c r="C10631" s="32" t="s">
        <v>18331</v>
      </c>
      <c r="D10631" s="32"/>
      <c r="E10631" s="2">
        <v>1</v>
      </c>
      <c r="F10631" s="9">
        <v>7</v>
      </c>
      <c r="G10631" s="86"/>
      <c r="H10631" s="16">
        <v>89.6</v>
      </c>
      <c r="I10631" s="19">
        <f t="shared" si="357"/>
        <v>627.19999999999993</v>
      </c>
    </row>
    <row r="10632" spans="1:9">
      <c r="A10632" s="41" t="s">
        <v>18280</v>
      </c>
      <c r="B10632" s="105" t="s">
        <v>18332</v>
      </c>
      <c r="C10632" s="32" t="s">
        <v>18333</v>
      </c>
      <c r="D10632" s="32"/>
      <c r="E10632" s="2">
        <v>1</v>
      </c>
      <c r="F10632" s="9">
        <v>33</v>
      </c>
      <c r="G10632" s="86"/>
      <c r="H10632" s="16">
        <v>76.19</v>
      </c>
      <c r="I10632" s="19">
        <f t="shared" si="357"/>
        <v>2514.27</v>
      </c>
    </row>
    <row r="10633" spans="1:9" hidden="1">
      <c r="A10633" s="41" t="s">
        <v>18280</v>
      </c>
      <c r="B10633" s="105" t="s">
        <v>18334</v>
      </c>
      <c r="C10633" s="32" t="s">
        <v>18335</v>
      </c>
      <c r="D10633" s="32"/>
      <c r="E10633" s="2">
        <v>1</v>
      </c>
      <c r="F10633" s="9"/>
      <c r="G10633" s="86"/>
      <c r="H10633" s="16">
        <v>57.46</v>
      </c>
      <c r="I10633" s="19">
        <f t="shared" si="357"/>
        <v>0</v>
      </c>
    </row>
    <row r="10634" spans="1:9">
      <c r="A10634" s="41" t="s">
        <v>18280</v>
      </c>
      <c r="B10634" s="105" t="s">
        <v>18336</v>
      </c>
      <c r="C10634" s="32" t="s">
        <v>18337</v>
      </c>
      <c r="D10634" s="32"/>
      <c r="E10634" s="2">
        <v>1</v>
      </c>
      <c r="F10634" s="9">
        <v>3</v>
      </c>
      <c r="G10634" s="86"/>
      <c r="H10634" s="16">
        <v>134.4</v>
      </c>
      <c r="I10634" s="19">
        <f t="shared" si="357"/>
        <v>403.20000000000005</v>
      </c>
    </row>
    <row r="10635" spans="1:9">
      <c r="A10635" s="41" t="s">
        <v>18280</v>
      </c>
      <c r="B10635" s="105" t="s">
        <v>18338</v>
      </c>
      <c r="C10635" s="32" t="s">
        <v>18339</v>
      </c>
      <c r="D10635" s="32"/>
      <c r="E10635" s="2">
        <v>1</v>
      </c>
      <c r="F10635" s="9">
        <v>7</v>
      </c>
      <c r="G10635" s="86"/>
      <c r="H10635" s="16">
        <v>34.229999999999997</v>
      </c>
      <c r="I10635" s="19">
        <f t="shared" si="357"/>
        <v>239.60999999999999</v>
      </c>
    </row>
    <row r="10636" spans="1:9" hidden="1">
      <c r="A10636" s="41" t="s">
        <v>18280</v>
      </c>
      <c r="B10636" s="105" t="s">
        <v>18340</v>
      </c>
      <c r="C10636" s="32" t="s">
        <v>18341</v>
      </c>
      <c r="D10636" s="32"/>
      <c r="E10636" s="2">
        <v>1</v>
      </c>
      <c r="F10636" s="9"/>
      <c r="G10636" s="86"/>
      <c r="H10636" s="16">
        <v>18</v>
      </c>
      <c r="I10636" s="19">
        <f t="shared" si="357"/>
        <v>0</v>
      </c>
    </row>
    <row r="10637" spans="1:9" hidden="1">
      <c r="A10637" s="41" t="s">
        <v>18280</v>
      </c>
      <c r="B10637" s="105" t="s">
        <v>18342</v>
      </c>
      <c r="C10637" s="32" t="s">
        <v>18343</v>
      </c>
      <c r="D10637" s="32"/>
      <c r="E10637" s="2">
        <v>1</v>
      </c>
      <c r="F10637" s="9"/>
      <c r="G10637" s="86"/>
      <c r="H10637" s="16">
        <v>12.65</v>
      </c>
      <c r="I10637" s="19">
        <f t="shared" si="357"/>
        <v>0</v>
      </c>
    </row>
    <row r="10638" spans="1:9">
      <c r="A10638" s="41" t="s">
        <v>18280</v>
      </c>
      <c r="B10638" s="105" t="s">
        <v>18344</v>
      </c>
      <c r="C10638" s="32" t="s">
        <v>18345</v>
      </c>
      <c r="D10638" s="32"/>
      <c r="E10638" s="2">
        <v>1</v>
      </c>
      <c r="F10638" s="9">
        <v>6</v>
      </c>
      <c r="G10638" s="86"/>
      <c r="H10638" s="16">
        <v>122.82</v>
      </c>
      <c r="I10638" s="19">
        <f t="shared" si="357"/>
        <v>736.92</v>
      </c>
    </row>
    <row r="10639" spans="1:9">
      <c r="A10639" s="41" t="s">
        <v>18280</v>
      </c>
      <c r="B10639" s="105" t="s">
        <v>18346</v>
      </c>
      <c r="C10639" s="32" t="s">
        <v>18347</v>
      </c>
      <c r="D10639" s="32"/>
      <c r="E10639" s="2">
        <v>1</v>
      </c>
      <c r="F10639" s="9">
        <v>17</v>
      </c>
      <c r="G10639" s="86"/>
      <c r="H10639" s="16">
        <v>171.67</v>
      </c>
      <c r="I10639" s="19">
        <f t="shared" si="357"/>
        <v>2918.39</v>
      </c>
    </row>
    <row r="10640" spans="1:9" hidden="1">
      <c r="A10640" s="41" t="s">
        <v>18280</v>
      </c>
      <c r="B10640" s="105" t="s">
        <v>18348</v>
      </c>
      <c r="C10640" s="32" t="s">
        <v>18349</v>
      </c>
      <c r="D10640" s="32"/>
      <c r="E10640" s="2">
        <v>1</v>
      </c>
      <c r="F10640" s="9"/>
      <c r="G10640" s="86"/>
      <c r="H10640" s="16">
        <v>287.87</v>
      </c>
      <c r="I10640" s="19">
        <f t="shared" si="357"/>
        <v>0</v>
      </c>
    </row>
    <row r="10641" spans="1:9">
      <c r="A10641" s="84" t="s">
        <v>18350</v>
      </c>
      <c r="B10641" s="105"/>
      <c r="C10641" s="32" t="s">
        <v>18351</v>
      </c>
      <c r="D10641" s="32"/>
      <c r="E10641" s="2">
        <v>1</v>
      </c>
      <c r="F10641" s="9">
        <v>2</v>
      </c>
      <c r="G10641" s="86"/>
      <c r="H10641" s="16">
        <v>610</v>
      </c>
      <c r="I10641" s="19">
        <f t="shared" si="357"/>
        <v>1220</v>
      </c>
    </row>
    <row r="10642" spans="1:9" hidden="1">
      <c r="A10642" s="106" t="s">
        <v>18352</v>
      </c>
      <c r="B10642" s="105" t="s">
        <v>18353</v>
      </c>
      <c r="C10642" s="32" t="s">
        <v>18354</v>
      </c>
      <c r="D10642" s="32" t="s">
        <v>10955</v>
      </c>
      <c r="E10642" s="2">
        <v>1</v>
      </c>
      <c r="F10642" s="9"/>
      <c r="G10642" s="86"/>
      <c r="H10642" s="16">
        <v>1.47</v>
      </c>
      <c r="I10642" s="19">
        <f t="shared" si="357"/>
        <v>0</v>
      </c>
    </row>
    <row r="10643" spans="1:9" hidden="1">
      <c r="A10643" s="106" t="s">
        <v>18352</v>
      </c>
      <c r="B10643" s="105" t="s">
        <v>18355</v>
      </c>
      <c r="C10643" s="32" t="s">
        <v>18356</v>
      </c>
      <c r="D10643" s="32" t="s">
        <v>10955</v>
      </c>
      <c r="E10643" s="2">
        <v>1</v>
      </c>
      <c r="F10643" s="9"/>
      <c r="G10643" s="86"/>
      <c r="H10643" s="16">
        <v>0.86</v>
      </c>
      <c r="I10643" s="19">
        <f t="shared" si="357"/>
        <v>0</v>
      </c>
    </row>
    <row r="10644" spans="1:9" hidden="1">
      <c r="A10644" s="106" t="s">
        <v>18352</v>
      </c>
      <c r="B10644" s="105" t="s">
        <v>18357</v>
      </c>
      <c r="C10644" s="32" t="s">
        <v>18358</v>
      </c>
      <c r="D10644" s="32" t="s">
        <v>10955</v>
      </c>
      <c r="E10644" s="2">
        <v>1</v>
      </c>
      <c r="F10644" s="9"/>
      <c r="G10644" s="86"/>
      <c r="H10644" s="16">
        <v>0.92</v>
      </c>
      <c r="I10644" s="19">
        <f t="shared" si="357"/>
        <v>0</v>
      </c>
    </row>
    <row r="10645" spans="1:9" hidden="1">
      <c r="A10645" s="106" t="s">
        <v>18352</v>
      </c>
      <c r="B10645" s="105" t="s">
        <v>18359</v>
      </c>
      <c r="C10645" s="32" t="s">
        <v>18360</v>
      </c>
      <c r="D10645" s="32" t="s">
        <v>10955</v>
      </c>
      <c r="E10645" s="2">
        <v>1</v>
      </c>
      <c r="F10645" s="9"/>
      <c r="G10645" s="86"/>
      <c r="H10645" s="16">
        <v>1.37</v>
      </c>
      <c r="I10645" s="19">
        <f t="shared" si="357"/>
        <v>0</v>
      </c>
    </row>
    <row r="10646" spans="1:9">
      <c r="A10646" s="61" t="s">
        <v>18361</v>
      </c>
      <c r="B10646" s="5"/>
      <c r="C10646" s="32" t="s">
        <v>18362</v>
      </c>
      <c r="D10646" s="32"/>
      <c r="E10646" s="2">
        <v>1</v>
      </c>
      <c r="F10646" s="9">
        <v>29</v>
      </c>
      <c r="G10646" s="86"/>
      <c r="H10646" s="16">
        <v>84.12</v>
      </c>
      <c r="I10646" s="19">
        <f t="shared" si="357"/>
        <v>2439.48</v>
      </c>
    </row>
    <row r="10647" spans="1:9" hidden="1">
      <c r="A10647" s="85" t="s">
        <v>18363</v>
      </c>
      <c r="B10647" s="5"/>
      <c r="C10647" s="32" t="s">
        <v>18364</v>
      </c>
      <c r="D10647" s="32" t="s">
        <v>1117</v>
      </c>
      <c r="E10647" s="2"/>
      <c r="F10647" s="9"/>
      <c r="G10647" s="86"/>
      <c r="H10647" s="86">
        <v>19.579999999999998</v>
      </c>
      <c r="I10647" s="19">
        <f t="shared" si="357"/>
        <v>0</v>
      </c>
    </row>
    <row r="10648" spans="1:9" hidden="1">
      <c r="A10648" s="85" t="s">
        <v>18363</v>
      </c>
      <c r="B10648" s="5"/>
      <c r="C10648" s="32" t="s">
        <v>18365</v>
      </c>
      <c r="D10648" s="32"/>
      <c r="E10648" s="2">
        <v>1</v>
      </c>
      <c r="F10648" s="9"/>
      <c r="G10648" s="86"/>
      <c r="H10648" s="86">
        <v>4.0519999999999996</v>
      </c>
      <c r="I10648" s="19">
        <f t="shared" si="357"/>
        <v>0</v>
      </c>
    </row>
    <row r="10649" spans="1:9" hidden="1">
      <c r="A10649" s="85" t="s">
        <v>18363</v>
      </c>
      <c r="B10649" s="5"/>
      <c r="C10649" s="32" t="s">
        <v>18366</v>
      </c>
      <c r="D10649" s="32" t="s">
        <v>576</v>
      </c>
      <c r="E10649" s="2"/>
      <c r="F10649" s="9"/>
      <c r="G10649" s="86"/>
      <c r="H10649" s="86">
        <v>1.226</v>
      </c>
      <c r="I10649" s="19">
        <f t="shared" si="357"/>
        <v>0</v>
      </c>
    </row>
    <row r="10650" spans="1:9" hidden="1">
      <c r="A10650" s="67" t="s">
        <v>18367</v>
      </c>
      <c r="B10650" s="5" t="s">
        <v>18368</v>
      </c>
      <c r="C10650" s="32" t="s">
        <v>18369</v>
      </c>
      <c r="D10650" s="32" t="s">
        <v>992</v>
      </c>
      <c r="E10650" s="2">
        <v>1</v>
      </c>
      <c r="F10650" s="9"/>
      <c r="G10650" s="86"/>
      <c r="H10650" s="86">
        <v>20.62</v>
      </c>
      <c r="I10650" s="19">
        <f t="shared" ref="I10650:I10656" si="358">H10650*F10650</f>
        <v>0</v>
      </c>
    </row>
    <row r="10651" spans="1:9" hidden="1">
      <c r="A10651" s="67" t="s">
        <v>18367</v>
      </c>
      <c r="B10651" s="2" t="s">
        <v>18370</v>
      </c>
      <c r="C10651" s="2" t="s">
        <v>18371</v>
      </c>
      <c r="D10651" s="32"/>
      <c r="E10651" s="2">
        <v>1</v>
      </c>
      <c r="F10651" s="9"/>
      <c r="G10651" s="86"/>
      <c r="H10651" s="86">
        <v>111.77</v>
      </c>
      <c r="I10651" s="19">
        <f t="shared" si="358"/>
        <v>0</v>
      </c>
    </row>
    <row r="10652" spans="1:9" hidden="1">
      <c r="A10652" s="67" t="s">
        <v>18367</v>
      </c>
      <c r="B10652" s="2" t="s">
        <v>18372</v>
      </c>
      <c r="C10652" s="2" t="s">
        <v>18373</v>
      </c>
      <c r="D10652" s="32"/>
      <c r="E10652" s="2">
        <v>1</v>
      </c>
      <c r="F10652" s="9"/>
      <c r="G10652" s="86"/>
      <c r="H10652" s="86">
        <v>211.88</v>
      </c>
      <c r="I10652" s="19">
        <f t="shared" si="358"/>
        <v>0</v>
      </c>
    </row>
    <row r="10653" spans="1:9" hidden="1">
      <c r="A10653" s="67" t="s">
        <v>18367</v>
      </c>
      <c r="B10653" s="2" t="s">
        <v>18374</v>
      </c>
      <c r="C10653" s="2" t="s">
        <v>18375</v>
      </c>
      <c r="D10653" s="32"/>
      <c r="E10653" s="2">
        <v>1</v>
      </c>
      <c r="F10653" s="9"/>
      <c r="G10653" s="86"/>
      <c r="H10653" s="86">
        <v>5.52</v>
      </c>
      <c r="I10653" s="19">
        <f t="shared" si="358"/>
        <v>0</v>
      </c>
    </row>
    <row r="10654" spans="1:9" hidden="1">
      <c r="A10654" s="67" t="s">
        <v>18367</v>
      </c>
      <c r="B10654" s="2" t="s">
        <v>18376</v>
      </c>
      <c r="C10654" s="2" t="s">
        <v>18377</v>
      </c>
      <c r="D10654" s="32"/>
      <c r="E10654" s="2">
        <v>1</v>
      </c>
      <c r="F10654" s="9"/>
      <c r="G10654" s="86"/>
      <c r="H10654" s="86">
        <v>9.2100000000000009</v>
      </c>
      <c r="I10654" s="19">
        <f t="shared" si="358"/>
        <v>0</v>
      </c>
    </row>
    <row r="10655" spans="1:9" hidden="1">
      <c r="A10655" s="67" t="s">
        <v>18367</v>
      </c>
      <c r="B10655" s="2" t="s">
        <v>18378</v>
      </c>
      <c r="C10655" s="2" t="s">
        <v>18379</v>
      </c>
      <c r="D10655" s="32"/>
      <c r="E10655" s="2">
        <v>1</v>
      </c>
      <c r="F10655" s="9"/>
      <c r="G10655" s="86"/>
      <c r="H10655" s="86">
        <v>112.85</v>
      </c>
      <c r="I10655" s="19">
        <f t="shared" si="358"/>
        <v>0</v>
      </c>
    </row>
    <row r="10656" spans="1:9" hidden="1">
      <c r="A10656" s="107" t="s">
        <v>18380</v>
      </c>
      <c r="B10656" s="2" t="s">
        <v>18381</v>
      </c>
      <c r="C10656" s="2" t="s">
        <v>18382</v>
      </c>
      <c r="D10656" s="32"/>
      <c r="E10656" s="2">
        <v>1</v>
      </c>
      <c r="F10656" s="9"/>
      <c r="G10656" s="86"/>
      <c r="H10656" s="86">
        <v>45.77</v>
      </c>
      <c r="I10656" s="19">
        <f t="shared" si="358"/>
        <v>0</v>
      </c>
    </row>
    <row r="10657" spans="1:10" hidden="1">
      <c r="A10657" s="107" t="s">
        <v>18380</v>
      </c>
      <c r="B10657" s="2" t="s">
        <v>18383</v>
      </c>
      <c r="C10657" s="2" t="s">
        <v>18384</v>
      </c>
      <c r="D10657" s="32"/>
      <c r="E10657" s="2">
        <v>1</v>
      </c>
      <c r="F10657" s="9"/>
      <c r="G10657" s="8">
        <f>H10657+(H10657*5%)</f>
        <v>43.217999999999996</v>
      </c>
      <c r="H10657" s="86">
        <v>41.16</v>
      </c>
      <c r="I10657" s="19">
        <f>F10657*G10657</f>
        <v>0</v>
      </c>
    </row>
    <row r="10658" spans="1:10">
      <c r="A10658" s="150" t="s">
        <v>18385</v>
      </c>
      <c r="B10658" s="5">
        <v>34009757</v>
      </c>
      <c r="C10658" s="2" t="s">
        <v>18386</v>
      </c>
      <c r="D10658" s="32"/>
      <c r="E10658" s="2">
        <v>1</v>
      </c>
      <c r="F10658" s="9">
        <v>34</v>
      </c>
      <c r="G10658" s="86"/>
      <c r="H10658" s="86">
        <v>15.98</v>
      </c>
      <c r="I10658" s="19">
        <f t="shared" ref="I10658:I10659" si="359">F10658*H10658</f>
        <v>543.32000000000005</v>
      </c>
    </row>
    <row r="10659" spans="1:10" hidden="1">
      <c r="A10659" s="151" t="s">
        <v>18387</v>
      </c>
      <c r="B10659" s="5"/>
      <c r="C10659" s="2" t="s">
        <v>18388</v>
      </c>
      <c r="D10659" s="32"/>
      <c r="E10659" s="2">
        <v>1</v>
      </c>
      <c r="F10659" s="9"/>
      <c r="G10659" s="86"/>
      <c r="H10659" s="86">
        <v>26.07</v>
      </c>
      <c r="I10659" s="19">
        <f t="shared" si="359"/>
        <v>0</v>
      </c>
    </row>
    <row r="10660" spans="1:10">
      <c r="A10660" s="151" t="s">
        <v>18387</v>
      </c>
      <c r="B10660" s="5"/>
      <c r="C10660" s="2" t="s">
        <v>18389</v>
      </c>
      <c r="D10660" s="32"/>
      <c r="E10660" s="2">
        <v>1</v>
      </c>
      <c r="F10660" s="9">
        <v>10</v>
      </c>
      <c r="G10660" s="86"/>
      <c r="H10660" s="86">
        <v>31.82</v>
      </c>
      <c r="I10660" s="19">
        <f t="shared" ref="I10660:I10670" si="360">F10660*H10660</f>
        <v>318.2</v>
      </c>
    </row>
    <row r="10661" spans="1:10" hidden="1">
      <c r="A10661" s="50" t="s">
        <v>18390</v>
      </c>
      <c r="B10661" s="5" t="s">
        <v>18391</v>
      </c>
      <c r="C10661" s="38" t="s">
        <v>18392</v>
      </c>
      <c r="D10661" s="38" t="s">
        <v>572</v>
      </c>
      <c r="E10661" s="2">
        <v>1</v>
      </c>
      <c r="F10661" s="9"/>
      <c r="G10661" s="86"/>
      <c r="H10661" s="18">
        <v>14.38</v>
      </c>
      <c r="I10661" s="19">
        <f t="shared" si="360"/>
        <v>0</v>
      </c>
    </row>
    <row r="10662" spans="1:10" hidden="1">
      <c r="A10662" s="50" t="s">
        <v>18390</v>
      </c>
      <c r="B10662" s="5">
        <v>9207062</v>
      </c>
      <c r="C10662" s="38" t="s">
        <v>18393</v>
      </c>
      <c r="D10662" s="38" t="s">
        <v>572</v>
      </c>
      <c r="E10662" s="2">
        <v>1</v>
      </c>
      <c r="F10662" s="9"/>
      <c r="G10662" s="86"/>
      <c r="H10662" s="18">
        <v>10.67</v>
      </c>
      <c r="I10662" s="19">
        <f t="shared" si="360"/>
        <v>0</v>
      </c>
    </row>
    <row r="10663" spans="1:10" hidden="1">
      <c r="A10663" s="50" t="s">
        <v>18390</v>
      </c>
      <c r="B10663" s="5" t="s">
        <v>18394</v>
      </c>
      <c r="C10663" s="38" t="s">
        <v>18395</v>
      </c>
      <c r="D10663" s="38"/>
      <c r="E10663" s="2">
        <v>1</v>
      </c>
      <c r="F10663" s="9"/>
      <c r="G10663" s="86"/>
      <c r="H10663" s="18">
        <v>13.45</v>
      </c>
      <c r="I10663" s="19">
        <f t="shared" si="360"/>
        <v>0</v>
      </c>
    </row>
    <row r="10664" spans="1:10" hidden="1">
      <c r="A10664" s="50" t="s">
        <v>18390</v>
      </c>
      <c r="B10664" s="5">
        <v>9207066</v>
      </c>
      <c r="C10664" s="38" t="s">
        <v>18396</v>
      </c>
      <c r="D10664" s="38"/>
      <c r="E10664" s="2">
        <v>1</v>
      </c>
      <c r="F10664" s="9"/>
      <c r="G10664" s="86"/>
      <c r="H10664" s="18">
        <v>18.5</v>
      </c>
      <c r="I10664" s="19">
        <f t="shared" si="360"/>
        <v>0</v>
      </c>
    </row>
    <row r="10665" spans="1:10" hidden="1">
      <c r="A10665" s="50" t="s">
        <v>18390</v>
      </c>
      <c r="B10665" s="5" t="s">
        <v>18397</v>
      </c>
      <c r="C10665" s="38" t="s">
        <v>18398</v>
      </c>
      <c r="D10665" s="38"/>
      <c r="E10665" s="2">
        <v>1</v>
      </c>
      <c r="F10665" s="9"/>
      <c r="G10665" s="86"/>
      <c r="H10665" s="18">
        <v>3.94</v>
      </c>
      <c r="I10665" s="19">
        <f t="shared" si="360"/>
        <v>0</v>
      </c>
    </row>
    <row r="10666" spans="1:10" hidden="1">
      <c r="A10666" s="50" t="s">
        <v>18390</v>
      </c>
      <c r="B10666" s="5">
        <v>3676437</v>
      </c>
      <c r="C10666" s="38" t="s">
        <v>18399</v>
      </c>
      <c r="D10666" s="38" t="s">
        <v>572</v>
      </c>
      <c r="E10666" s="2">
        <v>1</v>
      </c>
      <c r="F10666" s="9"/>
      <c r="G10666" s="86"/>
      <c r="H10666" s="18">
        <v>6.03</v>
      </c>
      <c r="I10666" s="19">
        <f t="shared" si="360"/>
        <v>0</v>
      </c>
    </row>
    <row r="10667" spans="1:10" hidden="1">
      <c r="A10667" s="50" t="s">
        <v>18390</v>
      </c>
      <c r="B10667" s="5" t="s">
        <v>18400</v>
      </c>
      <c r="C10667" s="38" t="s">
        <v>18401</v>
      </c>
      <c r="D10667" s="38"/>
      <c r="E10667" s="2">
        <v>1</v>
      </c>
      <c r="F10667" s="9"/>
      <c r="G10667" s="86"/>
      <c r="H10667" s="18">
        <v>191.25</v>
      </c>
      <c r="I10667" s="19">
        <f t="shared" si="360"/>
        <v>0</v>
      </c>
    </row>
    <row r="10668" spans="1:10" hidden="1">
      <c r="A10668" s="50" t="s">
        <v>18390</v>
      </c>
      <c r="B10668" s="5" t="s">
        <v>18402</v>
      </c>
      <c r="C10668" s="38" t="s">
        <v>18403</v>
      </c>
      <c r="D10668" s="38"/>
      <c r="E10668" s="2">
        <v>1</v>
      </c>
      <c r="F10668" s="9"/>
      <c r="G10668" s="86"/>
      <c r="H10668" s="18">
        <v>99</v>
      </c>
      <c r="I10668" s="19">
        <f t="shared" si="360"/>
        <v>0</v>
      </c>
    </row>
    <row r="10669" spans="1:10" hidden="1">
      <c r="A10669" s="50" t="s">
        <v>18390</v>
      </c>
      <c r="B10669" s="5" t="s">
        <v>18404</v>
      </c>
      <c r="C10669" s="38" t="s">
        <v>18405</v>
      </c>
      <c r="D10669" s="38"/>
      <c r="E10669" s="2">
        <v>1</v>
      </c>
      <c r="F10669" s="9"/>
      <c r="G10669" s="86"/>
      <c r="H10669" s="18">
        <v>438.75</v>
      </c>
      <c r="I10669" s="19">
        <f t="shared" si="360"/>
        <v>0</v>
      </c>
    </row>
    <row r="10670" spans="1:10" hidden="1">
      <c r="A10670" s="50" t="s">
        <v>18390</v>
      </c>
      <c r="B10670" s="5" t="s">
        <v>18406</v>
      </c>
      <c r="C10670" s="38" t="s">
        <v>18407</v>
      </c>
      <c r="D10670" s="38"/>
      <c r="E10670" s="2">
        <v>1</v>
      </c>
      <c r="F10670" s="9"/>
      <c r="G10670" s="86"/>
      <c r="H10670" s="18">
        <v>1995</v>
      </c>
      <c r="I10670" s="19">
        <f t="shared" si="360"/>
        <v>0</v>
      </c>
    </row>
    <row r="10671" spans="1:10">
      <c r="A10671" s="7" t="s">
        <v>18408</v>
      </c>
      <c r="B10671" s="103" t="s">
        <v>18409</v>
      </c>
      <c r="C10671" s="103" t="s">
        <v>18410</v>
      </c>
      <c r="D10671" s="35" t="s">
        <v>8311</v>
      </c>
      <c r="E10671" s="2">
        <v>1</v>
      </c>
      <c r="F10671" s="9">
        <v>2</v>
      </c>
      <c r="G10671" s="8">
        <f>H10671+(H10671*5%)</f>
        <v>5.7750000000000004</v>
      </c>
      <c r="H10671" s="190">
        <v>5.5</v>
      </c>
      <c r="I10671" s="19">
        <f>G10671*F10671</f>
        <v>11.55</v>
      </c>
      <c r="J10671" s="64"/>
    </row>
    <row r="10672" spans="1:10">
      <c r="A10672" s="7" t="s">
        <v>18408</v>
      </c>
      <c r="B10672" s="103" t="s">
        <v>18409</v>
      </c>
      <c r="C10672" s="103" t="s">
        <v>18410</v>
      </c>
      <c r="D10672" s="35" t="s">
        <v>18411</v>
      </c>
      <c r="E10672" s="2">
        <v>1</v>
      </c>
      <c r="F10672" s="9">
        <v>8</v>
      </c>
      <c r="G10672" s="8">
        <f t="shared" ref="G10672:G10743" si="361">H10672+(H10672*5%)</f>
        <v>23.1</v>
      </c>
      <c r="H10672" s="190">
        <v>22</v>
      </c>
      <c r="I10672" s="19">
        <f t="shared" ref="I10672:I11081" si="362">G10672*F10672</f>
        <v>184.8</v>
      </c>
    </row>
    <row r="10673" spans="1:9">
      <c r="A10673" s="7" t="s">
        <v>18408</v>
      </c>
      <c r="B10673" s="103" t="s">
        <v>18412</v>
      </c>
      <c r="C10673" s="103" t="s">
        <v>18413</v>
      </c>
      <c r="D10673" s="35" t="s">
        <v>8224</v>
      </c>
      <c r="E10673" s="2">
        <v>1</v>
      </c>
      <c r="F10673" s="9">
        <v>3</v>
      </c>
      <c r="G10673" s="8">
        <f t="shared" si="361"/>
        <v>8.2215000000000007</v>
      </c>
      <c r="H10673" s="190">
        <v>7.83</v>
      </c>
      <c r="I10673" s="19">
        <f t="shared" si="362"/>
        <v>24.664500000000004</v>
      </c>
    </row>
    <row r="10674" spans="1:9">
      <c r="A10674" s="7" t="s">
        <v>18408</v>
      </c>
      <c r="B10674" s="103" t="s">
        <v>18414</v>
      </c>
      <c r="C10674" s="103" t="s">
        <v>18415</v>
      </c>
      <c r="D10674" s="35" t="s">
        <v>8224</v>
      </c>
      <c r="E10674" s="2">
        <v>1</v>
      </c>
      <c r="F10674" s="9">
        <v>4</v>
      </c>
      <c r="G10674" s="8">
        <f t="shared" si="361"/>
        <v>15.9285</v>
      </c>
      <c r="H10674" s="190">
        <v>15.17</v>
      </c>
      <c r="I10674" s="19">
        <f t="shared" si="362"/>
        <v>63.713999999999999</v>
      </c>
    </row>
    <row r="10675" spans="1:9">
      <c r="A10675" s="7" t="s">
        <v>18408</v>
      </c>
      <c r="B10675" s="103" t="s">
        <v>18416</v>
      </c>
      <c r="C10675" s="103" t="s">
        <v>18417</v>
      </c>
      <c r="D10675" s="35" t="s">
        <v>8224</v>
      </c>
      <c r="E10675" s="2">
        <v>1</v>
      </c>
      <c r="F10675" s="9">
        <v>2</v>
      </c>
      <c r="G10675" s="8">
        <f>H10675+(H10675*5%)</f>
        <v>20.538</v>
      </c>
      <c r="H10675" s="190">
        <v>19.559999999999999</v>
      </c>
      <c r="I10675" s="19">
        <f>G10675*F10675</f>
        <v>41.076000000000001</v>
      </c>
    </row>
    <row r="10676" spans="1:9">
      <c r="A10676" s="7" t="s">
        <v>18408</v>
      </c>
      <c r="B10676" s="103" t="s">
        <v>18418</v>
      </c>
      <c r="C10676" s="103" t="s">
        <v>18419</v>
      </c>
      <c r="D10676" s="35" t="s">
        <v>8254</v>
      </c>
      <c r="E10676" s="2">
        <v>1</v>
      </c>
      <c r="F10676" s="9">
        <v>4</v>
      </c>
      <c r="G10676" s="8">
        <f t="shared" si="361"/>
        <v>15.077999999999999</v>
      </c>
      <c r="H10676" s="190">
        <v>14.36</v>
      </c>
      <c r="I10676" s="19">
        <f t="shared" si="362"/>
        <v>60.311999999999998</v>
      </c>
    </row>
    <row r="10677" spans="1:9" hidden="1">
      <c r="A10677" s="7" t="s">
        <v>18408</v>
      </c>
      <c r="B10677" s="103" t="s">
        <v>18420</v>
      </c>
      <c r="C10677" s="103" t="s">
        <v>18421</v>
      </c>
      <c r="D10677" s="35" t="s">
        <v>8224</v>
      </c>
      <c r="E10677" s="2">
        <v>1</v>
      </c>
      <c r="F10677" s="9"/>
      <c r="G10677" s="8">
        <f t="shared" si="361"/>
        <v>7.1924999999999999</v>
      </c>
      <c r="H10677" s="190">
        <v>6.85</v>
      </c>
      <c r="I10677" s="19">
        <f t="shared" si="362"/>
        <v>0</v>
      </c>
    </row>
    <row r="10678" spans="1:9" hidden="1">
      <c r="A10678" s="7" t="s">
        <v>18408</v>
      </c>
      <c r="B10678" s="103" t="s">
        <v>18422</v>
      </c>
      <c r="C10678" s="103" t="s">
        <v>18423</v>
      </c>
      <c r="D10678" s="35" t="s">
        <v>8224</v>
      </c>
      <c r="E10678" s="2">
        <v>1</v>
      </c>
      <c r="F10678" s="9"/>
      <c r="G10678" s="8">
        <f t="shared" si="361"/>
        <v>9.6705000000000005</v>
      </c>
      <c r="H10678" s="190">
        <v>9.2100000000000009</v>
      </c>
      <c r="I10678" s="19">
        <f t="shared" si="362"/>
        <v>0</v>
      </c>
    </row>
    <row r="10679" spans="1:9">
      <c r="A10679" s="7" t="s">
        <v>18408</v>
      </c>
      <c r="B10679" s="103" t="s">
        <v>18424</v>
      </c>
      <c r="C10679" s="103" t="s">
        <v>18425</v>
      </c>
      <c r="D10679" s="35" t="s">
        <v>8224</v>
      </c>
      <c r="E10679" s="2">
        <v>1</v>
      </c>
      <c r="F10679" s="9">
        <v>2</v>
      </c>
      <c r="G10679" s="8">
        <f>H10679+(H10679*5%)</f>
        <v>13.1775</v>
      </c>
      <c r="H10679" s="190">
        <v>12.55</v>
      </c>
      <c r="I10679" s="19">
        <f>G10679*F10679</f>
        <v>26.355</v>
      </c>
    </row>
    <row r="10680" spans="1:9" hidden="1">
      <c r="A10680" s="7" t="s">
        <v>18408</v>
      </c>
      <c r="B10680" s="103" t="s">
        <v>18426</v>
      </c>
      <c r="C10680" s="103" t="s">
        <v>18427</v>
      </c>
      <c r="D10680" s="35" t="s">
        <v>8224</v>
      </c>
      <c r="E10680" s="2">
        <v>1</v>
      </c>
      <c r="F10680" s="9"/>
      <c r="G10680" s="8">
        <f t="shared" si="361"/>
        <v>9.1769999999999996</v>
      </c>
      <c r="H10680" s="8">
        <v>8.74</v>
      </c>
      <c r="I10680" s="19">
        <f t="shared" si="362"/>
        <v>0</v>
      </c>
    </row>
    <row r="10681" spans="1:9">
      <c r="A10681" s="7" t="s">
        <v>18408</v>
      </c>
      <c r="B10681" s="103" t="s">
        <v>18428</v>
      </c>
      <c r="C10681" s="103" t="s">
        <v>18429</v>
      </c>
      <c r="D10681" s="35" t="s">
        <v>8224</v>
      </c>
      <c r="E10681" s="2">
        <v>1</v>
      </c>
      <c r="F10681" s="9">
        <v>6</v>
      </c>
      <c r="G10681" s="8">
        <f t="shared" si="361"/>
        <v>6.8250000000000002</v>
      </c>
      <c r="H10681" s="190">
        <v>6.5</v>
      </c>
      <c r="I10681" s="19">
        <f t="shared" si="362"/>
        <v>40.950000000000003</v>
      </c>
    </row>
    <row r="10682" spans="1:9" hidden="1">
      <c r="A10682" s="7" t="s">
        <v>18408</v>
      </c>
      <c r="B10682" s="103" t="s">
        <v>18430</v>
      </c>
      <c r="C10682" s="103" t="s">
        <v>18431</v>
      </c>
      <c r="D10682" s="35" t="s">
        <v>8311</v>
      </c>
      <c r="E10682" s="2">
        <v>1</v>
      </c>
      <c r="F10682" s="9"/>
      <c r="G10682" s="8">
        <f t="shared" si="361"/>
        <v>9.5970000000000013</v>
      </c>
      <c r="H10682" s="8">
        <v>9.14</v>
      </c>
      <c r="I10682" s="19">
        <f t="shared" si="362"/>
        <v>0</v>
      </c>
    </row>
    <row r="10683" spans="1:9" hidden="1">
      <c r="A10683" s="7" t="s">
        <v>18408</v>
      </c>
      <c r="B10683" s="103" t="s">
        <v>18432</v>
      </c>
      <c r="C10683" s="103" t="s">
        <v>18433</v>
      </c>
      <c r="D10683" s="35" t="s">
        <v>8254</v>
      </c>
      <c r="E10683" s="2">
        <v>1</v>
      </c>
      <c r="F10683" s="9"/>
      <c r="G10683" s="8">
        <f t="shared" si="361"/>
        <v>15.015000000000001</v>
      </c>
      <c r="H10683" s="8">
        <v>14.3</v>
      </c>
      <c r="I10683" s="19">
        <f t="shared" si="362"/>
        <v>0</v>
      </c>
    </row>
    <row r="10684" spans="1:9">
      <c r="A10684" s="7" t="s">
        <v>18408</v>
      </c>
      <c r="B10684" s="103" t="s">
        <v>18434</v>
      </c>
      <c r="C10684" s="103" t="s">
        <v>18435</v>
      </c>
      <c r="D10684" s="35" t="s">
        <v>8311</v>
      </c>
      <c r="E10684" s="2">
        <v>1</v>
      </c>
      <c r="F10684" s="9">
        <v>5</v>
      </c>
      <c r="G10684" s="8">
        <f>H10684+(H10684*5%)</f>
        <v>15.834</v>
      </c>
      <c r="H10684" s="190">
        <v>15.08</v>
      </c>
      <c r="I10684" s="19">
        <f>G10684*F10684</f>
        <v>79.17</v>
      </c>
    </row>
    <row r="10685" spans="1:9" hidden="1">
      <c r="A10685" s="7" t="s">
        <v>18408</v>
      </c>
      <c r="B10685" s="103" t="s">
        <v>18436</v>
      </c>
      <c r="C10685" s="103" t="s">
        <v>18437</v>
      </c>
      <c r="D10685" s="35" t="s">
        <v>8311</v>
      </c>
      <c r="E10685" s="2">
        <v>1</v>
      </c>
      <c r="F10685" s="9"/>
      <c r="G10685" s="8">
        <f t="shared" si="361"/>
        <v>79.358999999999995</v>
      </c>
      <c r="H10685" s="190">
        <v>75.58</v>
      </c>
      <c r="I10685" s="19">
        <f t="shared" si="362"/>
        <v>0</v>
      </c>
    </row>
    <row r="10686" spans="1:9">
      <c r="A10686" s="7" t="s">
        <v>18408</v>
      </c>
      <c r="B10686" s="103" t="s">
        <v>18438</v>
      </c>
      <c r="C10686" s="103" t="s">
        <v>18439</v>
      </c>
      <c r="D10686" s="35" t="s">
        <v>8224</v>
      </c>
      <c r="E10686" s="2">
        <v>1</v>
      </c>
      <c r="F10686" s="9">
        <v>4</v>
      </c>
      <c r="G10686" s="8">
        <f t="shared" si="361"/>
        <v>18.794999999999998</v>
      </c>
      <c r="H10686" s="190">
        <v>17.899999999999999</v>
      </c>
      <c r="I10686" s="19">
        <f t="shared" si="362"/>
        <v>75.179999999999993</v>
      </c>
    </row>
    <row r="10687" spans="1:9" hidden="1">
      <c r="A10687" s="7" t="s">
        <v>18408</v>
      </c>
      <c r="B10687" s="103" t="s">
        <v>18440</v>
      </c>
      <c r="C10687" s="103" t="s">
        <v>18441</v>
      </c>
      <c r="D10687" s="35" t="s">
        <v>8224</v>
      </c>
      <c r="E10687" s="2">
        <v>1</v>
      </c>
      <c r="F10687" s="9"/>
      <c r="G10687" s="8">
        <f t="shared" si="361"/>
        <v>12.925500000000001</v>
      </c>
      <c r="H10687" s="8">
        <v>12.31</v>
      </c>
      <c r="I10687" s="19">
        <f t="shared" si="362"/>
        <v>0</v>
      </c>
    </row>
    <row r="10688" spans="1:9">
      <c r="A10688" s="7" t="s">
        <v>18408</v>
      </c>
      <c r="B10688" s="103" t="s">
        <v>18442</v>
      </c>
      <c r="C10688" s="103" t="s">
        <v>18443</v>
      </c>
      <c r="D10688" s="35" t="s">
        <v>18444</v>
      </c>
      <c r="E10688" s="2">
        <v>1</v>
      </c>
      <c r="F10688" s="9">
        <v>6</v>
      </c>
      <c r="G10688" s="8">
        <f t="shared" si="361"/>
        <v>15.907500000000001</v>
      </c>
      <c r="H10688" s="190">
        <v>15.15</v>
      </c>
      <c r="I10688" s="19">
        <f t="shared" si="362"/>
        <v>95.445000000000007</v>
      </c>
    </row>
    <row r="10689" spans="1:9">
      <c r="A10689" s="7" t="s">
        <v>18408</v>
      </c>
      <c r="B10689" s="103" t="s">
        <v>18445</v>
      </c>
      <c r="C10689" s="103" t="s">
        <v>18446</v>
      </c>
      <c r="D10689" s="35" t="s">
        <v>8254</v>
      </c>
      <c r="E10689" s="2">
        <v>1</v>
      </c>
      <c r="F10689" s="9">
        <v>2</v>
      </c>
      <c r="G10689" s="8">
        <f t="shared" si="361"/>
        <v>35.741999999999997</v>
      </c>
      <c r="H10689" s="190">
        <v>34.04</v>
      </c>
      <c r="I10689" s="19">
        <f t="shared" si="362"/>
        <v>71.483999999999995</v>
      </c>
    </row>
    <row r="10690" spans="1:9" hidden="1">
      <c r="A10690" s="7" t="s">
        <v>18408</v>
      </c>
      <c r="B10690" s="103" t="s">
        <v>18447</v>
      </c>
      <c r="C10690" s="103" t="s">
        <v>18448</v>
      </c>
      <c r="D10690" s="35" t="s">
        <v>8311</v>
      </c>
      <c r="E10690" s="2">
        <v>1</v>
      </c>
      <c r="F10690" s="9"/>
      <c r="G10690" s="8">
        <f t="shared" si="361"/>
        <v>4.2315000000000005</v>
      </c>
      <c r="H10690" s="8">
        <v>4.03</v>
      </c>
      <c r="I10690" s="19">
        <f t="shared" si="362"/>
        <v>0</v>
      </c>
    </row>
    <row r="10691" spans="1:9">
      <c r="A10691" s="7" t="s">
        <v>18408</v>
      </c>
      <c r="B10691" s="103" t="s">
        <v>18449</v>
      </c>
      <c r="C10691" s="103" t="s">
        <v>18450</v>
      </c>
      <c r="D10691" s="35" t="s">
        <v>8311</v>
      </c>
      <c r="E10691" s="2">
        <v>1</v>
      </c>
      <c r="F10691" s="9">
        <v>7</v>
      </c>
      <c r="G10691" s="8">
        <f t="shared" si="361"/>
        <v>16.695</v>
      </c>
      <c r="H10691" s="190">
        <v>15.9</v>
      </c>
      <c r="I10691" s="19">
        <f t="shared" si="362"/>
        <v>116.86500000000001</v>
      </c>
    </row>
    <row r="10692" spans="1:9">
      <c r="A10692" s="7" t="s">
        <v>18408</v>
      </c>
      <c r="B10692" s="103" t="s">
        <v>18451</v>
      </c>
      <c r="C10692" s="103" t="s">
        <v>18452</v>
      </c>
      <c r="D10692" s="35" t="s">
        <v>8311</v>
      </c>
      <c r="E10692" s="2">
        <v>1</v>
      </c>
      <c r="F10692" s="9">
        <v>15</v>
      </c>
      <c r="G10692" s="8">
        <f>H10692+(H10692*5%)</f>
        <v>14.805</v>
      </c>
      <c r="H10692" s="190">
        <v>14.1</v>
      </c>
      <c r="I10692" s="19">
        <f>G10692*F10692</f>
        <v>222.07499999999999</v>
      </c>
    </row>
    <row r="10693" spans="1:9">
      <c r="A10693" s="7" t="s">
        <v>18408</v>
      </c>
      <c r="B10693" s="103" t="s">
        <v>18453</v>
      </c>
      <c r="C10693" s="103" t="s">
        <v>18454</v>
      </c>
      <c r="D10693" s="35" t="s">
        <v>8254</v>
      </c>
      <c r="E10693" s="2">
        <v>1</v>
      </c>
      <c r="F10693" s="9">
        <v>3</v>
      </c>
      <c r="G10693" s="8">
        <f>H10693+(H10693*5%)</f>
        <v>16.401</v>
      </c>
      <c r="H10693" s="190">
        <v>15.62</v>
      </c>
      <c r="I10693" s="19">
        <f>G10693*F10693</f>
        <v>49.203000000000003</v>
      </c>
    </row>
    <row r="10694" spans="1:9">
      <c r="A10694" s="7" t="s">
        <v>18408</v>
      </c>
      <c r="B10694" s="103" t="s">
        <v>18455</v>
      </c>
      <c r="C10694" s="103" t="s">
        <v>18456</v>
      </c>
      <c r="D10694" s="35" t="s">
        <v>18457</v>
      </c>
      <c r="E10694" s="2">
        <v>1</v>
      </c>
      <c r="F10694" s="9">
        <v>2</v>
      </c>
      <c r="G10694" s="8">
        <f t="shared" si="361"/>
        <v>10.237500000000001</v>
      </c>
      <c r="H10694" s="190">
        <v>9.75</v>
      </c>
      <c r="I10694" s="19">
        <f t="shared" si="362"/>
        <v>20.475000000000001</v>
      </c>
    </row>
    <row r="10695" spans="1:9" hidden="1">
      <c r="A10695" s="7" t="s">
        <v>18408</v>
      </c>
      <c r="B10695" s="103" t="s">
        <v>18458</v>
      </c>
      <c r="C10695" s="103" t="s">
        <v>18459</v>
      </c>
      <c r="D10695" s="35" t="s">
        <v>8224</v>
      </c>
      <c r="E10695" s="2">
        <v>1</v>
      </c>
      <c r="F10695" s="9"/>
      <c r="G10695" s="8">
        <f t="shared" si="361"/>
        <v>5.5020000000000007</v>
      </c>
      <c r="H10695" s="8">
        <v>5.24</v>
      </c>
      <c r="I10695" s="19">
        <f t="shared" si="362"/>
        <v>0</v>
      </c>
    </row>
    <row r="10696" spans="1:9" hidden="1">
      <c r="A10696" s="7" t="s">
        <v>18408</v>
      </c>
      <c r="B10696" s="103" t="s">
        <v>18460</v>
      </c>
      <c r="C10696" s="103" t="s">
        <v>18461</v>
      </c>
      <c r="D10696" s="35" t="s">
        <v>8224</v>
      </c>
      <c r="E10696" s="2">
        <v>1</v>
      </c>
      <c r="F10696" s="9"/>
      <c r="G10696" s="8">
        <f t="shared" si="361"/>
        <v>6.9719999999999995</v>
      </c>
      <c r="H10696" s="8">
        <v>6.64</v>
      </c>
      <c r="I10696" s="19">
        <f t="shared" si="362"/>
        <v>0</v>
      </c>
    </row>
    <row r="10697" spans="1:9">
      <c r="A10697" s="7" t="s">
        <v>18408</v>
      </c>
      <c r="B10697" s="103" t="s">
        <v>18462</v>
      </c>
      <c r="C10697" s="103" t="s">
        <v>18463</v>
      </c>
      <c r="D10697" s="35" t="s">
        <v>18457</v>
      </c>
      <c r="E10697" s="2">
        <v>1</v>
      </c>
      <c r="F10697" s="9">
        <v>3</v>
      </c>
      <c r="G10697" s="8">
        <f>H10697+(H10697*5%)</f>
        <v>191.52</v>
      </c>
      <c r="H10697" s="190">
        <v>182.4</v>
      </c>
      <c r="I10697" s="19">
        <f>G10697*F10697</f>
        <v>574.56000000000006</v>
      </c>
    </row>
    <row r="10698" spans="1:9" hidden="1">
      <c r="A10698" s="7" t="s">
        <v>18408</v>
      </c>
      <c r="B10698" s="103" t="s">
        <v>18464</v>
      </c>
      <c r="C10698" s="103" t="s">
        <v>18465</v>
      </c>
      <c r="D10698" s="35" t="s">
        <v>18411</v>
      </c>
      <c r="E10698" s="2">
        <v>1</v>
      </c>
      <c r="F10698" s="9"/>
      <c r="G10698" s="8">
        <f t="shared" si="361"/>
        <v>3.5385</v>
      </c>
      <c r="H10698" s="8">
        <v>3.37</v>
      </c>
      <c r="I10698" s="19">
        <f t="shared" si="362"/>
        <v>0</v>
      </c>
    </row>
    <row r="10699" spans="1:9" hidden="1">
      <c r="A10699" s="7" t="s">
        <v>18408</v>
      </c>
      <c r="B10699" s="103" t="s">
        <v>18466</v>
      </c>
      <c r="C10699" s="103" t="s">
        <v>18467</v>
      </c>
      <c r="D10699" s="35" t="s">
        <v>18411</v>
      </c>
      <c r="E10699" s="2">
        <v>1</v>
      </c>
      <c r="F10699" s="9"/>
      <c r="G10699" s="8">
        <f t="shared" si="361"/>
        <v>4.0214999999999996</v>
      </c>
      <c r="H10699" s="8">
        <v>3.83</v>
      </c>
      <c r="I10699" s="19">
        <f t="shared" si="362"/>
        <v>0</v>
      </c>
    </row>
    <row r="10700" spans="1:9" hidden="1">
      <c r="A10700" s="7" t="s">
        <v>18408</v>
      </c>
      <c r="B10700" s="103" t="s">
        <v>18468</v>
      </c>
      <c r="C10700" s="103" t="s">
        <v>18469</v>
      </c>
      <c r="D10700" s="35" t="s">
        <v>18411</v>
      </c>
      <c r="E10700" s="2">
        <v>1</v>
      </c>
      <c r="F10700" s="9"/>
      <c r="G10700" s="8">
        <f t="shared" si="361"/>
        <v>4.5465</v>
      </c>
      <c r="H10700" s="8">
        <v>4.33</v>
      </c>
      <c r="I10700" s="19">
        <f t="shared" si="362"/>
        <v>0</v>
      </c>
    </row>
    <row r="10701" spans="1:9" hidden="1">
      <c r="A10701" s="7" t="s">
        <v>18408</v>
      </c>
      <c r="B10701" s="103" t="s">
        <v>18470</v>
      </c>
      <c r="C10701" s="103" t="s">
        <v>18469</v>
      </c>
      <c r="D10701" s="35" t="s">
        <v>18411</v>
      </c>
      <c r="E10701" s="2">
        <v>1</v>
      </c>
      <c r="F10701" s="9"/>
      <c r="G10701" s="8">
        <f t="shared" si="361"/>
        <v>4.5465</v>
      </c>
      <c r="H10701" s="8">
        <v>4.33</v>
      </c>
      <c r="I10701" s="19">
        <f t="shared" si="362"/>
        <v>0</v>
      </c>
    </row>
    <row r="10702" spans="1:9" hidden="1">
      <c r="A10702" s="7" t="s">
        <v>18408</v>
      </c>
      <c r="B10702" s="103" t="s">
        <v>18471</v>
      </c>
      <c r="C10702" s="103" t="s">
        <v>18472</v>
      </c>
      <c r="D10702" s="35" t="s">
        <v>18411</v>
      </c>
      <c r="E10702" s="2">
        <v>1</v>
      </c>
      <c r="F10702" s="9"/>
      <c r="G10702" s="8">
        <f t="shared" si="361"/>
        <v>4.5569999999999995</v>
      </c>
      <c r="H10702" s="8">
        <v>4.34</v>
      </c>
      <c r="I10702" s="19">
        <f t="shared" si="362"/>
        <v>0</v>
      </c>
    </row>
    <row r="10703" spans="1:9" hidden="1">
      <c r="A10703" s="7" t="s">
        <v>18408</v>
      </c>
      <c r="B10703" s="103" t="s">
        <v>18473</v>
      </c>
      <c r="C10703" s="103" t="s">
        <v>18474</v>
      </c>
      <c r="D10703" s="35" t="s">
        <v>18411</v>
      </c>
      <c r="E10703" s="2">
        <v>1</v>
      </c>
      <c r="F10703" s="9"/>
      <c r="G10703" s="8">
        <f t="shared" si="361"/>
        <v>3.1185</v>
      </c>
      <c r="H10703" s="8">
        <v>2.97</v>
      </c>
      <c r="I10703" s="19">
        <f t="shared" si="362"/>
        <v>0</v>
      </c>
    </row>
    <row r="10704" spans="1:9" hidden="1">
      <c r="A10704" s="7" t="s">
        <v>18408</v>
      </c>
      <c r="B10704" s="103" t="s">
        <v>18475</v>
      </c>
      <c r="C10704" s="103" t="s">
        <v>18476</v>
      </c>
      <c r="D10704" s="35" t="s">
        <v>18457</v>
      </c>
      <c r="E10704" s="2">
        <v>1</v>
      </c>
      <c r="F10704" s="9"/>
      <c r="G10704" s="8">
        <f t="shared" si="361"/>
        <v>4.4625000000000004</v>
      </c>
      <c r="H10704" s="8">
        <v>4.25</v>
      </c>
      <c r="I10704" s="19">
        <f t="shared" si="362"/>
        <v>0</v>
      </c>
    </row>
    <row r="10705" spans="1:9" hidden="1">
      <c r="A10705" s="7" t="s">
        <v>18408</v>
      </c>
      <c r="B10705" s="103" t="s">
        <v>18477</v>
      </c>
      <c r="C10705" s="103" t="s">
        <v>18476</v>
      </c>
      <c r="D10705" s="35" t="s">
        <v>18478</v>
      </c>
      <c r="E10705" s="2">
        <v>1</v>
      </c>
      <c r="F10705" s="9"/>
      <c r="G10705" s="8">
        <f t="shared" si="361"/>
        <v>4.4625000000000004</v>
      </c>
      <c r="H10705" s="8">
        <v>4.25</v>
      </c>
      <c r="I10705" s="19">
        <f t="shared" si="362"/>
        <v>0</v>
      </c>
    </row>
    <row r="10706" spans="1:9" hidden="1">
      <c r="A10706" s="7" t="s">
        <v>18408</v>
      </c>
      <c r="B10706" s="103" t="s">
        <v>18479</v>
      </c>
      <c r="C10706" s="103" t="s">
        <v>18480</v>
      </c>
      <c r="D10706" s="35" t="s">
        <v>18457</v>
      </c>
      <c r="E10706" s="2">
        <v>1</v>
      </c>
      <c r="F10706" s="9"/>
      <c r="G10706" s="8">
        <f t="shared" si="361"/>
        <v>4.4204999999999997</v>
      </c>
      <c r="H10706" s="8">
        <v>4.21</v>
      </c>
      <c r="I10706" s="19">
        <f t="shared" si="362"/>
        <v>0</v>
      </c>
    </row>
    <row r="10707" spans="1:9">
      <c r="A10707" s="7" t="s">
        <v>18408</v>
      </c>
      <c r="B10707" s="103" t="s">
        <v>18481</v>
      </c>
      <c r="C10707" s="103" t="s">
        <v>18482</v>
      </c>
      <c r="D10707" s="35" t="s">
        <v>18457</v>
      </c>
      <c r="E10707" s="2">
        <v>1</v>
      </c>
      <c r="F10707" s="9">
        <v>13</v>
      </c>
      <c r="G10707" s="8">
        <f t="shared" si="361"/>
        <v>20.212499999999999</v>
      </c>
      <c r="H10707" s="190">
        <v>19.25</v>
      </c>
      <c r="I10707" s="19">
        <f t="shared" si="362"/>
        <v>262.76249999999999</v>
      </c>
    </row>
    <row r="10708" spans="1:9" hidden="1">
      <c r="A10708" s="7" t="s">
        <v>18408</v>
      </c>
      <c r="B10708" s="103" t="s">
        <v>18483</v>
      </c>
      <c r="C10708" s="103" t="s">
        <v>18482</v>
      </c>
      <c r="D10708" s="35" t="s">
        <v>18457</v>
      </c>
      <c r="E10708" s="2">
        <v>1</v>
      </c>
      <c r="F10708" s="9"/>
      <c r="G10708" s="8">
        <f t="shared" si="361"/>
        <v>36.75</v>
      </c>
      <c r="H10708" s="8">
        <v>35</v>
      </c>
      <c r="I10708" s="19">
        <f t="shared" si="362"/>
        <v>0</v>
      </c>
    </row>
    <row r="10709" spans="1:9" hidden="1">
      <c r="A10709" s="7" t="s">
        <v>18408</v>
      </c>
      <c r="B10709" s="103" t="s">
        <v>18484</v>
      </c>
      <c r="C10709" s="103" t="s">
        <v>18485</v>
      </c>
      <c r="D10709" s="35" t="s">
        <v>8311</v>
      </c>
      <c r="E10709" s="2">
        <v>1</v>
      </c>
      <c r="F10709" s="9"/>
      <c r="G10709" s="8">
        <f t="shared" si="361"/>
        <v>6.4155000000000006</v>
      </c>
      <c r="H10709" s="8">
        <v>6.11</v>
      </c>
      <c r="I10709" s="19">
        <f t="shared" si="362"/>
        <v>0</v>
      </c>
    </row>
    <row r="10710" spans="1:9">
      <c r="A10710" s="7" t="s">
        <v>18408</v>
      </c>
      <c r="B10710" s="103" t="s">
        <v>18486</v>
      </c>
      <c r="C10710" s="103" t="s">
        <v>18487</v>
      </c>
      <c r="D10710" s="35" t="s">
        <v>8254</v>
      </c>
      <c r="E10710" s="2">
        <v>1</v>
      </c>
      <c r="F10710" s="9">
        <v>1</v>
      </c>
      <c r="G10710" s="8">
        <f>H10710+(H10710*5%)</f>
        <v>37.841999999999999</v>
      </c>
      <c r="H10710" s="190">
        <v>36.04</v>
      </c>
      <c r="I10710" s="19">
        <f>G10710*F10710</f>
        <v>37.841999999999999</v>
      </c>
    </row>
    <row r="10711" spans="1:9">
      <c r="A10711" s="7" t="s">
        <v>18408</v>
      </c>
      <c r="B10711" s="103" t="s">
        <v>18488</v>
      </c>
      <c r="C10711" s="103" t="s">
        <v>18489</v>
      </c>
      <c r="D10711" s="35" t="s">
        <v>18490</v>
      </c>
      <c r="E10711" s="2">
        <v>1</v>
      </c>
      <c r="F10711" s="9">
        <v>2</v>
      </c>
      <c r="G10711" s="8">
        <f>H10711+(H10711*5%)</f>
        <v>230.88449999999997</v>
      </c>
      <c r="H10711" s="190">
        <v>219.89</v>
      </c>
      <c r="I10711" s="19">
        <f>G10711*F10711</f>
        <v>461.76899999999995</v>
      </c>
    </row>
    <row r="10712" spans="1:9" hidden="1">
      <c r="A10712" s="7" t="s">
        <v>18408</v>
      </c>
      <c r="B10712" s="103" t="s">
        <v>18491</v>
      </c>
      <c r="C10712" s="103" t="s">
        <v>18492</v>
      </c>
      <c r="D10712" s="35" t="s">
        <v>8254</v>
      </c>
      <c r="E10712" s="2">
        <v>1</v>
      </c>
      <c r="F10712" s="9"/>
      <c r="G10712" s="8">
        <f t="shared" si="361"/>
        <v>29.904</v>
      </c>
      <c r="H10712" s="8">
        <v>28.48</v>
      </c>
      <c r="I10712" s="19">
        <f t="shared" si="362"/>
        <v>0</v>
      </c>
    </row>
    <row r="10713" spans="1:9">
      <c r="A10713" s="7" t="s">
        <v>18408</v>
      </c>
      <c r="B10713" s="103" t="s">
        <v>18493</v>
      </c>
      <c r="C10713" s="103" t="s">
        <v>18494</v>
      </c>
      <c r="D10713" s="35" t="s">
        <v>8254</v>
      </c>
      <c r="E10713" s="2">
        <v>1</v>
      </c>
      <c r="F10713" s="9">
        <v>2</v>
      </c>
      <c r="G10713" s="8">
        <f t="shared" si="361"/>
        <v>102.69</v>
      </c>
      <c r="H10713" s="190">
        <v>97.8</v>
      </c>
      <c r="I10713" s="19">
        <f t="shared" si="362"/>
        <v>205.38</v>
      </c>
    </row>
    <row r="10714" spans="1:9" hidden="1">
      <c r="A10714" s="7" t="s">
        <v>18408</v>
      </c>
      <c r="B10714" s="103" t="s">
        <v>18495</v>
      </c>
      <c r="C10714" s="103" t="s">
        <v>18496</v>
      </c>
      <c r="D10714" s="35" t="s">
        <v>8224</v>
      </c>
      <c r="E10714" s="2">
        <v>1</v>
      </c>
      <c r="F10714" s="9"/>
      <c r="G10714" s="8">
        <f t="shared" si="361"/>
        <v>65.257499999999993</v>
      </c>
      <c r="H10714" s="8">
        <v>62.15</v>
      </c>
      <c r="I10714" s="19">
        <f t="shared" si="362"/>
        <v>0</v>
      </c>
    </row>
    <row r="10715" spans="1:9" hidden="1">
      <c r="A10715" s="7" t="s">
        <v>18408</v>
      </c>
      <c r="B10715" s="103" t="s">
        <v>18497</v>
      </c>
      <c r="C10715" s="103" t="s">
        <v>18498</v>
      </c>
      <c r="D10715" s="35" t="s">
        <v>8224</v>
      </c>
      <c r="E10715" s="2">
        <v>1</v>
      </c>
      <c r="F10715" s="9"/>
      <c r="G10715" s="8">
        <f t="shared" si="361"/>
        <v>85.96350000000001</v>
      </c>
      <c r="H10715" s="8">
        <v>81.87</v>
      </c>
      <c r="I10715" s="19">
        <f t="shared" si="362"/>
        <v>0</v>
      </c>
    </row>
    <row r="10716" spans="1:9" hidden="1">
      <c r="A10716" s="7" t="s">
        <v>18408</v>
      </c>
      <c r="B10716" s="103" t="s">
        <v>18499</v>
      </c>
      <c r="C10716" s="103" t="s">
        <v>18500</v>
      </c>
      <c r="D10716" s="35" t="s">
        <v>8254</v>
      </c>
      <c r="E10716" s="2">
        <v>1</v>
      </c>
      <c r="F10716" s="9"/>
      <c r="G10716" s="8">
        <f t="shared" si="361"/>
        <v>35.563499999999998</v>
      </c>
      <c r="H10716" s="8">
        <v>33.869999999999997</v>
      </c>
      <c r="I10716" s="19">
        <f t="shared" si="362"/>
        <v>0</v>
      </c>
    </row>
    <row r="10717" spans="1:9">
      <c r="A10717" s="7" t="s">
        <v>18408</v>
      </c>
      <c r="B10717" s="103" t="s">
        <v>18501</v>
      </c>
      <c r="C10717" s="103" t="s">
        <v>18502</v>
      </c>
      <c r="D10717" s="35" t="s">
        <v>8254</v>
      </c>
      <c r="E10717" s="2">
        <v>1</v>
      </c>
      <c r="F10717" s="9">
        <v>4</v>
      </c>
      <c r="G10717" s="8">
        <f t="shared" si="361"/>
        <v>40.32</v>
      </c>
      <c r="H10717" s="190">
        <v>38.4</v>
      </c>
      <c r="I10717" s="19">
        <f t="shared" si="362"/>
        <v>161.28</v>
      </c>
    </row>
    <row r="10718" spans="1:9">
      <c r="A10718" s="7" t="s">
        <v>18408</v>
      </c>
      <c r="B10718" s="103" t="s">
        <v>18503</v>
      </c>
      <c r="C10718" s="103" t="s">
        <v>18504</v>
      </c>
      <c r="D10718" s="35" t="s">
        <v>8254</v>
      </c>
      <c r="E10718" s="2">
        <v>1</v>
      </c>
      <c r="F10718" s="9">
        <v>12</v>
      </c>
      <c r="G10718" s="8">
        <f t="shared" si="361"/>
        <v>51.933</v>
      </c>
      <c r="H10718" s="190">
        <v>49.46</v>
      </c>
      <c r="I10718" s="19">
        <f t="shared" si="362"/>
        <v>623.19600000000003</v>
      </c>
    </row>
    <row r="10719" spans="1:9">
      <c r="A10719" s="7" t="s">
        <v>18408</v>
      </c>
      <c r="B10719" s="103" t="s">
        <v>18505</v>
      </c>
      <c r="C10719" s="103" t="s">
        <v>18506</v>
      </c>
      <c r="D10719" s="35" t="s">
        <v>8224</v>
      </c>
      <c r="E10719" s="2">
        <v>1</v>
      </c>
      <c r="F10719" s="9">
        <v>5</v>
      </c>
      <c r="G10719" s="8">
        <f t="shared" si="361"/>
        <v>32.340000000000003</v>
      </c>
      <c r="H10719" s="190">
        <v>30.8</v>
      </c>
      <c r="I10719" s="19">
        <f t="shared" si="362"/>
        <v>161.70000000000002</v>
      </c>
    </row>
    <row r="10720" spans="1:9">
      <c r="A10720" s="7" t="s">
        <v>18408</v>
      </c>
      <c r="B10720" s="103" t="s">
        <v>18507</v>
      </c>
      <c r="C10720" s="103" t="s">
        <v>18508</v>
      </c>
      <c r="D10720" s="35" t="s">
        <v>8254</v>
      </c>
      <c r="E10720" s="2">
        <v>1</v>
      </c>
      <c r="F10720" s="9">
        <v>2</v>
      </c>
      <c r="G10720" s="8">
        <f t="shared" si="361"/>
        <v>25.347000000000001</v>
      </c>
      <c r="H10720" s="190">
        <v>24.14</v>
      </c>
      <c r="I10720" s="19">
        <f t="shared" si="362"/>
        <v>50.694000000000003</v>
      </c>
    </row>
    <row r="10721" spans="1:9" hidden="1">
      <c r="A10721" s="7" t="s">
        <v>18408</v>
      </c>
      <c r="B10721" s="103" t="s">
        <v>18509</v>
      </c>
      <c r="C10721" s="103" t="s">
        <v>18510</v>
      </c>
      <c r="D10721" s="35" t="s">
        <v>8254</v>
      </c>
      <c r="E10721" s="2">
        <v>1</v>
      </c>
      <c r="F10721" s="9"/>
      <c r="G10721" s="8">
        <f t="shared" si="361"/>
        <v>9.5759999999999987</v>
      </c>
      <c r="H10721" s="8">
        <v>9.1199999999999992</v>
      </c>
      <c r="I10721" s="19">
        <f t="shared" si="362"/>
        <v>0</v>
      </c>
    </row>
    <row r="10722" spans="1:9">
      <c r="A10722" s="7" t="s">
        <v>18408</v>
      </c>
      <c r="B10722" s="103" t="s">
        <v>18511</v>
      </c>
      <c r="C10722" s="103" t="s">
        <v>18512</v>
      </c>
      <c r="D10722" s="35" t="s">
        <v>8254</v>
      </c>
      <c r="E10722" s="2">
        <v>1</v>
      </c>
      <c r="F10722" s="9">
        <v>2</v>
      </c>
      <c r="G10722" s="8">
        <f t="shared" si="361"/>
        <v>26.901</v>
      </c>
      <c r="H10722" s="190">
        <v>25.62</v>
      </c>
      <c r="I10722" s="19">
        <f t="shared" si="362"/>
        <v>53.802</v>
      </c>
    </row>
    <row r="10723" spans="1:9">
      <c r="A10723" s="7" t="s">
        <v>18408</v>
      </c>
      <c r="B10723" s="103" t="s">
        <v>18513</v>
      </c>
      <c r="C10723" s="103" t="s">
        <v>18514</v>
      </c>
      <c r="D10723" s="35" t="s">
        <v>8224</v>
      </c>
      <c r="E10723" s="2">
        <v>1</v>
      </c>
      <c r="F10723" s="9">
        <v>6</v>
      </c>
      <c r="G10723" s="8">
        <f t="shared" si="361"/>
        <v>4.4940000000000007</v>
      </c>
      <c r="H10723" s="190">
        <v>4.28</v>
      </c>
      <c r="I10723" s="19">
        <f t="shared" si="362"/>
        <v>26.964000000000006</v>
      </c>
    </row>
    <row r="10724" spans="1:9">
      <c r="A10724" s="7" t="s">
        <v>18408</v>
      </c>
      <c r="B10724" s="103" t="s">
        <v>18515</v>
      </c>
      <c r="C10724" s="103" t="s">
        <v>18516</v>
      </c>
      <c r="D10724" s="35" t="s">
        <v>8311</v>
      </c>
      <c r="E10724" s="2">
        <v>1</v>
      </c>
      <c r="F10724" s="9">
        <v>6</v>
      </c>
      <c r="G10724" s="8">
        <f t="shared" si="361"/>
        <v>3.0975000000000001</v>
      </c>
      <c r="H10724" s="190">
        <v>2.95</v>
      </c>
      <c r="I10724" s="19">
        <f t="shared" si="362"/>
        <v>18.585000000000001</v>
      </c>
    </row>
    <row r="10725" spans="1:9">
      <c r="A10725" s="7" t="s">
        <v>18408</v>
      </c>
      <c r="B10725" s="103" t="s">
        <v>18517</v>
      </c>
      <c r="C10725" s="103" t="s">
        <v>18518</v>
      </c>
      <c r="D10725" s="35" t="s">
        <v>8224</v>
      </c>
      <c r="E10725" s="2">
        <v>1</v>
      </c>
      <c r="F10725" s="9">
        <v>9</v>
      </c>
      <c r="G10725" s="8">
        <f t="shared" si="361"/>
        <v>5.46</v>
      </c>
      <c r="H10725" s="190">
        <v>5.2</v>
      </c>
      <c r="I10725" s="19">
        <f t="shared" si="362"/>
        <v>49.14</v>
      </c>
    </row>
    <row r="10726" spans="1:9">
      <c r="A10726" s="7" t="s">
        <v>18408</v>
      </c>
      <c r="B10726" s="103" t="s">
        <v>18519</v>
      </c>
      <c r="C10726" s="103" t="s">
        <v>18520</v>
      </c>
      <c r="D10726" s="35" t="s">
        <v>8224</v>
      </c>
      <c r="E10726" s="2">
        <v>1</v>
      </c>
      <c r="F10726" s="9">
        <v>47</v>
      </c>
      <c r="G10726" s="8">
        <f t="shared" si="361"/>
        <v>2.31</v>
      </c>
      <c r="H10726" s="190">
        <v>2.2000000000000002</v>
      </c>
      <c r="I10726" s="19">
        <f t="shared" si="362"/>
        <v>108.57000000000001</v>
      </c>
    </row>
    <row r="10727" spans="1:9">
      <c r="A10727" s="7" t="s">
        <v>18408</v>
      </c>
      <c r="B10727" s="103" t="s">
        <v>18521</v>
      </c>
      <c r="C10727" s="103" t="s">
        <v>18522</v>
      </c>
      <c r="D10727" s="35" t="s">
        <v>8224</v>
      </c>
      <c r="E10727" s="2">
        <v>1</v>
      </c>
      <c r="F10727" s="9">
        <v>6</v>
      </c>
      <c r="G10727" s="8">
        <f t="shared" si="361"/>
        <v>2.1734999999999998</v>
      </c>
      <c r="H10727" s="190">
        <v>2.0699999999999998</v>
      </c>
      <c r="I10727" s="19">
        <f t="shared" si="362"/>
        <v>13.040999999999999</v>
      </c>
    </row>
    <row r="10728" spans="1:9">
      <c r="A10728" s="7" t="s">
        <v>18408</v>
      </c>
      <c r="B10728" s="103" t="s">
        <v>18523</v>
      </c>
      <c r="C10728" s="103" t="s">
        <v>18524</v>
      </c>
      <c r="D10728" s="35" t="s">
        <v>18411</v>
      </c>
      <c r="E10728" s="2">
        <v>1</v>
      </c>
      <c r="F10728" s="9">
        <v>2</v>
      </c>
      <c r="G10728" s="8">
        <f t="shared" si="361"/>
        <v>7.7700000000000005</v>
      </c>
      <c r="H10728" s="190">
        <v>7.4</v>
      </c>
      <c r="I10728" s="19">
        <f t="shared" si="362"/>
        <v>15.540000000000001</v>
      </c>
    </row>
    <row r="10729" spans="1:9">
      <c r="A10729" s="7" t="s">
        <v>18408</v>
      </c>
      <c r="B10729" s="103" t="s">
        <v>18525</v>
      </c>
      <c r="C10729" s="103" t="s">
        <v>18526</v>
      </c>
      <c r="D10729" s="35" t="s">
        <v>8224</v>
      </c>
      <c r="E10729" s="2">
        <v>1</v>
      </c>
      <c r="F10729" s="9">
        <v>6</v>
      </c>
      <c r="G10729" s="8">
        <f t="shared" si="361"/>
        <v>1.5645</v>
      </c>
      <c r="H10729" s="190">
        <v>1.49</v>
      </c>
      <c r="I10729" s="19">
        <f t="shared" si="362"/>
        <v>9.3870000000000005</v>
      </c>
    </row>
    <row r="10730" spans="1:9" hidden="1">
      <c r="A10730" s="7" t="s">
        <v>18408</v>
      </c>
      <c r="B10730" s="103" t="s">
        <v>18527</v>
      </c>
      <c r="C10730" s="103" t="s">
        <v>18528</v>
      </c>
      <c r="D10730" s="35" t="s">
        <v>8224</v>
      </c>
      <c r="E10730" s="2">
        <v>1</v>
      </c>
      <c r="F10730" s="9"/>
      <c r="G10730" s="8">
        <f t="shared" si="361"/>
        <v>3.4335</v>
      </c>
      <c r="H10730" s="8">
        <v>3.27</v>
      </c>
      <c r="I10730" s="19">
        <f t="shared" si="362"/>
        <v>0</v>
      </c>
    </row>
    <row r="10731" spans="1:9" hidden="1">
      <c r="A10731" s="7" t="s">
        <v>18408</v>
      </c>
      <c r="B10731" s="103" t="s">
        <v>18527</v>
      </c>
      <c r="C10731" s="103" t="s">
        <v>18528</v>
      </c>
      <c r="D10731" s="35" t="s">
        <v>18457</v>
      </c>
      <c r="E10731" s="2">
        <v>1</v>
      </c>
      <c r="F10731" s="9"/>
      <c r="G10731" s="8">
        <f t="shared" si="361"/>
        <v>3.4335</v>
      </c>
      <c r="H10731" s="8">
        <v>3.27</v>
      </c>
      <c r="I10731" s="19">
        <f t="shared" si="362"/>
        <v>0</v>
      </c>
    </row>
    <row r="10732" spans="1:9">
      <c r="A10732" s="7" t="s">
        <v>18408</v>
      </c>
      <c r="B10732" s="103" t="s">
        <v>18529</v>
      </c>
      <c r="C10732" s="103" t="s">
        <v>18530</v>
      </c>
      <c r="D10732" s="35" t="s">
        <v>8224</v>
      </c>
      <c r="E10732" s="2">
        <v>1</v>
      </c>
      <c r="F10732" s="9">
        <v>2</v>
      </c>
      <c r="G10732" s="8">
        <f t="shared" si="361"/>
        <v>3.0029999999999997</v>
      </c>
      <c r="H10732" s="190">
        <v>2.86</v>
      </c>
      <c r="I10732" s="19">
        <f t="shared" si="362"/>
        <v>6.0059999999999993</v>
      </c>
    </row>
    <row r="10733" spans="1:9" hidden="1">
      <c r="A10733" s="7" t="s">
        <v>18408</v>
      </c>
      <c r="B10733" s="103" t="s">
        <v>18529</v>
      </c>
      <c r="C10733" s="103" t="s">
        <v>18530</v>
      </c>
      <c r="D10733" s="35" t="s">
        <v>18531</v>
      </c>
      <c r="E10733" s="2">
        <v>1</v>
      </c>
      <c r="F10733" s="9"/>
      <c r="G10733" s="8">
        <f t="shared" si="361"/>
        <v>2.73</v>
      </c>
      <c r="H10733" s="8">
        <v>2.6</v>
      </c>
      <c r="I10733" s="19">
        <f t="shared" si="362"/>
        <v>0</v>
      </c>
    </row>
    <row r="10734" spans="1:9">
      <c r="A10734" s="7" t="s">
        <v>18408</v>
      </c>
      <c r="B10734" s="103" t="s">
        <v>18532</v>
      </c>
      <c r="C10734" s="103" t="s">
        <v>18533</v>
      </c>
      <c r="D10734" s="35" t="s">
        <v>18531</v>
      </c>
      <c r="E10734" s="2">
        <v>1</v>
      </c>
      <c r="F10734" s="9">
        <v>5</v>
      </c>
      <c r="G10734" s="8">
        <f t="shared" si="361"/>
        <v>10.836</v>
      </c>
      <c r="H10734" s="190">
        <v>10.32</v>
      </c>
      <c r="I10734" s="19">
        <f t="shared" si="362"/>
        <v>54.18</v>
      </c>
    </row>
    <row r="10735" spans="1:9" hidden="1">
      <c r="A10735" s="7" t="s">
        <v>18408</v>
      </c>
      <c r="B10735" s="103" t="s">
        <v>18534</v>
      </c>
      <c r="C10735" s="103" t="s">
        <v>18535</v>
      </c>
      <c r="D10735" s="35" t="s">
        <v>18536</v>
      </c>
      <c r="E10735" s="2">
        <v>1</v>
      </c>
      <c r="F10735" s="9"/>
      <c r="G10735" s="8">
        <f t="shared" si="361"/>
        <v>53.508000000000003</v>
      </c>
      <c r="H10735" s="8">
        <v>50.96</v>
      </c>
      <c r="I10735" s="19">
        <f t="shared" si="362"/>
        <v>0</v>
      </c>
    </row>
    <row r="10736" spans="1:9" hidden="1">
      <c r="A10736" s="7" t="s">
        <v>18408</v>
      </c>
      <c r="B10736" s="103" t="s">
        <v>18537</v>
      </c>
      <c r="C10736" s="103" t="s">
        <v>18538</v>
      </c>
      <c r="D10736" s="35" t="s">
        <v>8224</v>
      </c>
      <c r="E10736" s="2">
        <v>1</v>
      </c>
      <c r="F10736" s="9"/>
      <c r="G10736" s="8">
        <f t="shared" si="361"/>
        <v>2.5935000000000001</v>
      </c>
      <c r="H10736" s="8">
        <v>2.4700000000000002</v>
      </c>
      <c r="I10736" s="19">
        <f t="shared" si="362"/>
        <v>0</v>
      </c>
    </row>
    <row r="10737" spans="1:9" hidden="1">
      <c r="A10737" s="7" t="s">
        <v>18408</v>
      </c>
      <c r="B10737" s="103" t="s">
        <v>18539</v>
      </c>
      <c r="C10737" s="103" t="s">
        <v>18540</v>
      </c>
      <c r="D10737" s="35" t="s">
        <v>8224</v>
      </c>
      <c r="E10737" s="2">
        <v>1</v>
      </c>
      <c r="F10737" s="9"/>
      <c r="G10737" s="8">
        <f t="shared" si="361"/>
        <v>3.024</v>
      </c>
      <c r="H10737" s="8">
        <v>2.88</v>
      </c>
      <c r="I10737" s="19">
        <f t="shared" si="362"/>
        <v>0</v>
      </c>
    </row>
    <row r="10738" spans="1:9" hidden="1">
      <c r="A10738" s="7" t="s">
        <v>18408</v>
      </c>
      <c r="B10738" s="103" t="s">
        <v>18541</v>
      </c>
      <c r="C10738" s="103" t="s">
        <v>18542</v>
      </c>
      <c r="D10738" s="35"/>
      <c r="E10738" s="2">
        <v>1</v>
      </c>
      <c r="F10738" s="9"/>
      <c r="G10738" s="8">
        <f t="shared" si="361"/>
        <v>25.105499999999999</v>
      </c>
      <c r="H10738" s="8">
        <v>23.91</v>
      </c>
      <c r="I10738" s="19">
        <f t="shared" si="362"/>
        <v>0</v>
      </c>
    </row>
    <row r="10739" spans="1:9" hidden="1">
      <c r="A10739" s="7" t="s">
        <v>18408</v>
      </c>
      <c r="B10739" s="103" t="s">
        <v>18543</v>
      </c>
      <c r="C10739" s="103" t="s">
        <v>18544</v>
      </c>
      <c r="D10739" s="35" t="s">
        <v>8224</v>
      </c>
      <c r="E10739" s="2">
        <v>1</v>
      </c>
      <c r="F10739" s="9"/>
      <c r="G10739" s="8">
        <f t="shared" si="361"/>
        <v>54.5685</v>
      </c>
      <c r="H10739" s="8">
        <v>51.97</v>
      </c>
      <c r="I10739" s="19">
        <f t="shared" si="362"/>
        <v>0</v>
      </c>
    </row>
    <row r="10740" spans="1:9" hidden="1">
      <c r="A10740" s="7" t="s">
        <v>18408</v>
      </c>
      <c r="B10740" s="103" t="s">
        <v>18545</v>
      </c>
      <c r="C10740" s="103" t="s">
        <v>18546</v>
      </c>
      <c r="D10740" s="35" t="s">
        <v>18444</v>
      </c>
      <c r="E10740" s="2">
        <v>1</v>
      </c>
      <c r="F10740" s="9"/>
      <c r="G10740" s="8">
        <f t="shared" si="361"/>
        <v>90.845999999999989</v>
      </c>
      <c r="H10740" s="8">
        <v>86.52</v>
      </c>
      <c r="I10740" s="19">
        <f t="shared" si="362"/>
        <v>0</v>
      </c>
    </row>
    <row r="10741" spans="1:9" hidden="1">
      <c r="A10741" s="7" t="s">
        <v>18408</v>
      </c>
      <c r="B10741" s="103" t="s">
        <v>18547</v>
      </c>
      <c r="C10741" s="103" t="s">
        <v>18548</v>
      </c>
      <c r="D10741" s="35" t="s">
        <v>18549</v>
      </c>
      <c r="E10741" s="2">
        <v>1</v>
      </c>
      <c r="F10741" s="9"/>
      <c r="G10741" s="8">
        <f t="shared" si="361"/>
        <v>6.8145000000000007</v>
      </c>
      <c r="H10741" s="8">
        <v>6.49</v>
      </c>
      <c r="I10741" s="19">
        <f t="shared" si="362"/>
        <v>0</v>
      </c>
    </row>
    <row r="10742" spans="1:9">
      <c r="A10742" s="7" t="s">
        <v>18408</v>
      </c>
      <c r="B10742" s="103" t="s">
        <v>18550</v>
      </c>
      <c r="C10742" s="103" t="s">
        <v>18551</v>
      </c>
      <c r="D10742" s="35" t="s">
        <v>18549</v>
      </c>
      <c r="E10742" s="2">
        <v>1</v>
      </c>
      <c r="F10742" s="9">
        <v>6</v>
      </c>
      <c r="G10742" s="8">
        <f t="shared" si="361"/>
        <v>29.294999999999998</v>
      </c>
      <c r="H10742" s="190">
        <v>27.9</v>
      </c>
      <c r="I10742" s="19">
        <f t="shared" si="362"/>
        <v>175.76999999999998</v>
      </c>
    </row>
    <row r="10743" spans="1:9">
      <c r="A10743" s="7" t="s">
        <v>18408</v>
      </c>
      <c r="B10743" s="103" t="s">
        <v>18552</v>
      </c>
      <c r="C10743" s="103" t="s">
        <v>18553</v>
      </c>
      <c r="D10743" s="35" t="s">
        <v>18549</v>
      </c>
      <c r="E10743" s="2">
        <v>1</v>
      </c>
      <c r="F10743" s="9">
        <v>7</v>
      </c>
      <c r="G10743" s="8">
        <f t="shared" si="361"/>
        <v>31.395</v>
      </c>
      <c r="H10743" s="190">
        <v>29.9</v>
      </c>
      <c r="I10743" s="19">
        <f t="shared" si="362"/>
        <v>219.76499999999999</v>
      </c>
    </row>
    <row r="10744" spans="1:9">
      <c r="A10744" s="7" t="s">
        <v>18408</v>
      </c>
      <c r="B10744" s="103" t="s">
        <v>18554</v>
      </c>
      <c r="C10744" s="103" t="s">
        <v>18555</v>
      </c>
      <c r="D10744" s="35"/>
      <c r="E10744" s="2">
        <v>1</v>
      </c>
      <c r="F10744" s="9">
        <v>4</v>
      </c>
      <c r="G10744" s="8">
        <f t="shared" ref="G10744:G10809" si="363">H10744+(H10744*5%)</f>
        <v>10.247999999999999</v>
      </c>
      <c r="H10744" s="190">
        <v>9.76</v>
      </c>
      <c r="I10744" s="19">
        <f t="shared" si="362"/>
        <v>40.991999999999997</v>
      </c>
    </row>
    <row r="10745" spans="1:9">
      <c r="A10745" s="7" t="s">
        <v>18408</v>
      </c>
      <c r="B10745" s="103" t="s">
        <v>18556</v>
      </c>
      <c r="C10745" s="103" t="s">
        <v>18557</v>
      </c>
      <c r="D10745" s="35"/>
      <c r="E10745" s="2">
        <v>1</v>
      </c>
      <c r="F10745" s="9">
        <v>4</v>
      </c>
      <c r="G10745" s="8">
        <f t="shared" si="363"/>
        <v>7.0139999999999993</v>
      </c>
      <c r="H10745" s="190">
        <v>6.68</v>
      </c>
      <c r="I10745" s="19">
        <f t="shared" si="362"/>
        <v>28.055999999999997</v>
      </c>
    </row>
    <row r="10746" spans="1:9" hidden="1">
      <c r="A10746" s="7" t="s">
        <v>18408</v>
      </c>
      <c r="B10746" s="103" t="s">
        <v>18558</v>
      </c>
      <c r="C10746" s="103" t="s">
        <v>18559</v>
      </c>
      <c r="D10746" s="35"/>
      <c r="E10746" s="2">
        <v>1</v>
      </c>
      <c r="F10746" s="9"/>
      <c r="G10746" s="8">
        <f t="shared" si="363"/>
        <v>18.144000000000002</v>
      </c>
      <c r="H10746" s="8">
        <v>17.28</v>
      </c>
      <c r="I10746" s="19">
        <f t="shared" si="362"/>
        <v>0</v>
      </c>
    </row>
    <row r="10747" spans="1:9" hidden="1">
      <c r="A10747" s="7" t="s">
        <v>18408</v>
      </c>
      <c r="B10747" s="103" t="s">
        <v>18560</v>
      </c>
      <c r="C10747" s="103" t="s">
        <v>18561</v>
      </c>
      <c r="D10747" s="35"/>
      <c r="E10747" s="2">
        <v>1</v>
      </c>
      <c r="F10747" s="9"/>
      <c r="G10747" s="8">
        <f t="shared" si="363"/>
        <v>19.803000000000001</v>
      </c>
      <c r="H10747" s="8">
        <v>18.86</v>
      </c>
      <c r="I10747" s="19">
        <f t="shared" si="362"/>
        <v>0</v>
      </c>
    </row>
    <row r="10748" spans="1:9" hidden="1">
      <c r="A10748" s="7" t="s">
        <v>18408</v>
      </c>
      <c r="B10748" s="103" t="s">
        <v>18562</v>
      </c>
      <c r="C10748" s="103" t="s">
        <v>18563</v>
      </c>
      <c r="D10748" s="35"/>
      <c r="E10748" s="2">
        <v>1</v>
      </c>
      <c r="F10748" s="9"/>
      <c r="G10748" s="8">
        <f t="shared" si="363"/>
        <v>5.3654999999999999</v>
      </c>
      <c r="H10748" s="8">
        <v>5.1100000000000003</v>
      </c>
      <c r="I10748" s="19">
        <f t="shared" si="362"/>
        <v>0</v>
      </c>
    </row>
    <row r="10749" spans="1:9" hidden="1">
      <c r="A10749" s="7" t="s">
        <v>18408</v>
      </c>
      <c r="B10749" s="103" t="s">
        <v>18564</v>
      </c>
      <c r="C10749" s="103" t="s">
        <v>18565</v>
      </c>
      <c r="D10749" s="35" t="s">
        <v>18549</v>
      </c>
      <c r="E10749" s="2">
        <v>1</v>
      </c>
      <c r="F10749" s="9"/>
      <c r="G10749" s="8">
        <f t="shared" si="363"/>
        <v>0.71400000000000008</v>
      </c>
      <c r="H10749" s="8">
        <v>0.68</v>
      </c>
      <c r="I10749" s="19">
        <f t="shared" si="362"/>
        <v>0</v>
      </c>
    </row>
    <row r="10750" spans="1:9" hidden="1">
      <c r="A10750" s="7" t="s">
        <v>18408</v>
      </c>
      <c r="B10750" s="103" t="s">
        <v>18566</v>
      </c>
      <c r="C10750" s="103" t="s">
        <v>18567</v>
      </c>
      <c r="D10750" s="35"/>
      <c r="E10750" s="2">
        <v>1</v>
      </c>
      <c r="F10750" s="9"/>
      <c r="G10750" s="8">
        <f t="shared" si="363"/>
        <v>7.2134999999999998</v>
      </c>
      <c r="H10750" s="8">
        <v>6.87</v>
      </c>
      <c r="I10750" s="19">
        <f t="shared" si="362"/>
        <v>0</v>
      </c>
    </row>
    <row r="10751" spans="1:9" hidden="1">
      <c r="A10751" s="7" t="s">
        <v>18408</v>
      </c>
      <c r="B10751" s="103" t="s">
        <v>18568</v>
      </c>
      <c r="C10751" s="103" t="s">
        <v>18569</v>
      </c>
      <c r="D10751" s="35" t="s">
        <v>18549</v>
      </c>
      <c r="E10751" s="2">
        <v>1</v>
      </c>
      <c r="F10751" s="9"/>
      <c r="G10751" s="8">
        <f t="shared" si="363"/>
        <v>0.73499999999999999</v>
      </c>
      <c r="H10751" s="8">
        <v>0.7</v>
      </c>
      <c r="I10751" s="19">
        <f t="shared" si="362"/>
        <v>0</v>
      </c>
    </row>
    <row r="10752" spans="1:9" hidden="1">
      <c r="A10752" s="7" t="s">
        <v>18408</v>
      </c>
      <c r="B10752" s="103" t="s">
        <v>18570</v>
      </c>
      <c r="C10752" s="103" t="s">
        <v>18571</v>
      </c>
      <c r="D10752" s="35"/>
      <c r="E10752" s="2">
        <v>1</v>
      </c>
      <c r="F10752" s="9"/>
      <c r="G10752" s="8">
        <f t="shared" si="363"/>
        <v>11.224499999999999</v>
      </c>
      <c r="H10752" s="8">
        <v>10.69</v>
      </c>
      <c r="I10752" s="19">
        <f t="shared" si="362"/>
        <v>0</v>
      </c>
    </row>
    <row r="10753" spans="1:9" hidden="1">
      <c r="A10753" s="7" t="s">
        <v>18408</v>
      </c>
      <c r="B10753" s="103" t="s">
        <v>18572</v>
      </c>
      <c r="C10753" s="103" t="s">
        <v>18573</v>
      </c>
      <c r="D10753" s="35"/>
      <c r="E10753" s="2">
        <v>1</v>
      </c>
      <c r="F10753" s="9"/>
      <c r="G10753" s="8">
        <f t="shared" si="363"/>
        <v>3.6960000000000002</v>
      </c>
      <c r="H10753" s="8">
        <v>3.52</v>
      </c>
      <c r="I10753" s="19">
        <f t="shared" si="362"/>
        <v>0</v>
      </c>
    </row>
    <row r="10754" spans="1:9" hidden="1">
      <c r="A10754" s="7" t="s">
        <v>18408</v>
      </c>
      <c r="B10754" s="103" t="s">
        <v>18574</v>
      </c>
      <c r="C10754" s="103" t="s">
        <v>18575</v>
      </c>
      <c r="D10754" s="35"/>
      <c r="E10754" s="2">
        <v>1</v>
      </c>
      <c r="F10754" s="9"/>
      <c r="G10754" s="8">
        <f t="shared" si="363"/>
        <v>3.7484999999999999</v>
      </c>
      <c r="H10754" s="8">
        <v>3.57</v>
      </c>
      <c r="I10754" s="19">
        <f t="shared" si="362"/>
        <v>0</v>
      </c>
    </row>
    <row r="10755" spans="1:9" hidden="1">
      <c r="A10755" s="7" t="s">
        <v>18408</v>
      </c>
      <c r="B10755" s="103" t="s">
        <v>18576</v>
      </c>
      <c r="C10755" s="103" t="s">
        <v>18577</v>
      </c>
      <c r="D10755" s="35"/>
      <c r="E10755" s="2">
        <v>1</v>
      </c>
      <c r="F10755" s="9"/>
      <c r="G10755" s="8">
        <f t="shared" si="363"/>
        <v>2.4989999999999997</v>
      </c>
      <c r="H10755" s="8">
        <v>2.38</v>
      </c>
      <c r="I10755" s="19">
        <f t="shared" si="362"/>
        <v>0</v>
      </c>
    </row>
    <row r="10756" spans="1:9">
      <c r="A10756" s="7" t="s">
        <v>18408</v>
      </c>
      <c r="B10756" s="103" t="s">
        <v>18578</v>
      </c>
      <c r="C10756" s="103" t="s">
        <v>18579</v>
      </c>
      <c r="D10756" s="35" t="s">
        <v>18580</v>
      </c>
      <c r="E10756" s="2">
        <v>1</v>
      </c>
      <c r="F10756" s="9">
        <v>4</v>
      </c>
      <c r="G10756" s="8">
        <f t="shared" si="363"/>
        <v>2.8245</v>
      </c>
      <c r="H10756" s="190">
        <f>13.45/5</f>
        <v>2.69</v>
      </c>
      <c r="I10756" s="19">
        <f t="shared" si="362"/>
        <v>11.298</v>
      </c>
    </row>
    <row r="10757" spans="1:9" hidden="1">
      <c r="A10757" s="7" t="s">
        <v>18408</v>
      </c>
      <c r="B10757" s="103" t="s">
        <v>18581</v>
      </c>
      <c r="C10757" s="103" t="s">
        <v>18582</v>
      </c>
      <c r="D10757" s="35" t="s">
        <v>18583</v>
      </c>
      <c r="E10757" s="2">
        <v>1</v>
      </c>
      <c r="F10757" s="9"/>
      <c r="G10757" s="8">
        <f t="shared" si="363"/>
        <v>0.96600000000000008</v>
      </c>
      <c r="H10757" s="8">
        <v>0.92</v>
      </c>
      <c r="I10757" s="19">
        <f t="shared" si="362"/>
        <v>0</v>
      </c>
    </row>
    <row r="10758" spans="1:9" hidden="1">
      <c r="A10758" s="7" t="s">
        <v>18408</v>
      </c>
      <c r="B10758" s="103" t="s">
        <v>18584</v>
      </c>
      <c r="C10758" s="103" t="s">
        <v>18585</v>
      </c>
      <c r="D10758" s="35" t="s">
        <v>18583</v>
      </c>
      <c r="E10758" s="2">
        <v>1</v>
      </c>
      <c r="F10758" s="9"/>
      <c r="G10758" s="8">
        <f t="shared" si="363"/>
        <v>8.7779999999999987</v>
      </c>
      <c r="H10758" s="8">
        <v>8.36</v>
      </c>
      <c r="I10758" s="19">
        <f t="shared" si="362"/>
        <v>0</v>
      </c>
    </row>
    <row r="10759" spans="1:9" hidden="1">
      <c r="A10759" s="7" t="s">
        <v>18408</v>
      </c>
      <c r="B10759" s="103" t="s">
        <v>18586</v>
      </c>
      <c r="C10759" s="103" t="s">
        <v>18587</v>
      </c>
      <c r="D10759" s="35" t="s">
        <v>18583</v>
      </c>
      <c r="E10759" s="2">
        <v>1</v>
      </c>
      <c r="F10759" s="9"/>
      <c r="G10759" s="8">
        <f t="shared" si="363"/>
        <v>10.625999999999999</v>
      </c>
      <c r="H10759" s="8">
        <v>10.119999999999999</v>
      </c>
      <c r="I10759" s="19">
        <f t="shared" si="362"/>
        <v>0</v>
      </c>
    </row>
    <row r="10760" spans="1:9" hidden="1">
      <c r="A10760" s="7" t="s">
        <v>18408</v>
      </c>
      <c r="B10760" s="103" t="s">
        <v>18588</v>
      </c>
      <c r="C10760" s="103" t="s">
        <v>18589</v>
      </c>
      <c r="D10760" s="35" t="s">
        <v>18549</v>
      </c>
      <c r="E10760" s="2">
        <v>1</v>
      </c>
      <c r="F10760" s="9"/>
      <c r="G10760" s="8">
        <f t="shared" si="363"/>
        <v>0.56700000000000006</v>
      </c>
      <c r="H10760" s="8">
        <v>0.54</v>
      </c>
      <c r="I10760" s="19">
        <f t="shared" si="362"/>
        <v>0</v>
      </c>
    </row>
    <row r="10761" spans="1:9">
      <c r="A10761" s="7" t="s">
        <v>18408</v>
      </c>
      <c r="B10761" s="103" t="s">
        <v>18590</v>
      </c>
      <c r="C10761" s="103" t="s">
        <v>18591</v>
      </c>
      <c r="D10761" s="35" t="s">
        <v>18580</v>
      </c>
      <c r="E10761" s="2">
        <v>1</v>
      </c>
      <c r="F10761" s="9">
        <v>3</v>
      </c>
      <c r="G10761" s="8">
        <f t="shared" si="363"/>
        <v>0.67200000000000004</v>
      </c>
      <c r="H10761" s="190">
        <f>6.4/10</f>
        <v>0.64</v>
      </c>
      <c r="I10761" s="19">
        <f t="shared" si="362"/>
        <v>2.016</v>
      </c>
    </row>
    <row r="10762" spans="1:9" hidden="1">
      <c r="A10762" s="7" t="s">
        <v>18408</v>
      </c>
      <c r="B10762" s="103" t="s">
        <v>18592</v>
      </c>
      <c r="C10762" s="103" t="s">
        <v>18593</v>
      </c>
      <c r="D10762" s="35" t="s">
        <v>18549</v>
      </c>
      <c r="E10762" s="2">
        <v>1</v>
      </c>
      <c r="F10762" s="9"/>
      <c r="G10762" s="8">
        <f t="shared" si="363"/>
        <v>0.65100000000000002</v>
      </c>
      <c r="H10762" s="8">
        <v>0.62</v>
      </c>
      <c r="I10762" s="19">
        <f t="shared" si="362"/>
        <v>0</v>
      </c>
    </row>
    <row r="10763" spans="1:9" hidden="1">
      <c r="A10763" s="7" t="s">
        <v>18408</v>
      </c>
      <c r="B10763" s="103" t="s">
        <v>18594</v>
      </c>
      <c r="C10763" s="103" t="s">
        <v>18595</v>
      </c>
      <c r="D10763" s="35" t="s">
        <v>18583</v>
      </c>
      <c r="E10763" s="2">
        <v>1</v>
      </c>
      <c r="F10763" s="9"/>
      <c r="G10763" s="8">
        <f t="shared" si="363"/>
        <v>4.9455</v>
      </c>
      <c r="H10763" s="8">
        <v>4.71</v>
      </c>
      <c r="I10763" s="19">
        <f t="shared" si="362"/>
        <v>0</v>
      </c>
    </row>
    <row r="10764" spans="1:9" hidden="1">
      <c r="A10764" s="7" t="s">
        <v>18408</v>
      </c>
      <c r="B10764" s="103" t="s">
        <v>18596</v>
      </c>
      <c r="C10764" s="103" t="s">
        <v>18597</v>
      </c>
      <c r="D10764" s="35" t="s">
        <v>18583</v>
      </c>
      <c r="E10764" s="2">
        <v>1</v>
      </c>
      <c r="F10764" s="9"/>
      <c r="G10764" s="8">
        <f t="shared" si="363"/>
        <v>5.4495000000000005</v>
      </c>
      <c r="H10764" s="8">
        <v>5.19</v>
      </c>
      <c r="I10764" s="19">
        <f t="shared" si="362"/>
        <v>0</v>
      </c>
    </row>
    <row r="10765" spans="1:9" hidden="1">
      <c r="A10765" s="7" t="s">
        <v>18408</v>
      </c>
      <c r="B10765" s="103" t="s">
        <v>18598</v>
      </c>
      <c r="C10765" s="103" t="s">
        <v>18599</v>
      </c>
      <c r="D10765" s="35" t="s">
        <v>18549</v>
      </c>
      <c r="E10765" s="2">
        <v>1</v>
      </c>
      <c r="F10765" s="9"/>
      <c r="G10765" s="8">
        <f t="shared" si="363"/>
        <v>0.57750000000000001</v>
      </c>
      <c r="H10765" s="8">
        <v>0.55000000000000004</v>
      </c>
      <c r="I10765" s="19">
        <f t="shared" si="362"/>
        <v>0</v>
      </c>
    </row>
    <row r="10766" spans="1:9">
      <c r="A10766" s="7" t="s">
        <v>18408</v>
      </c>
      <c r="B10766" s="103" t="s">
        <v>18600</v>
      </c>
      <c r="C10766" s="103" t="s">
        <v>18601</v>
      </c>
      <c r="D10766" s="35" t="s">
        <v>18580</v>
      </c>
      <c r="E10766" s="2">
        <v>1</v>
      </c>
      <c r="F10766" s="9">
        <v>2</v>
      </c>
      <c r="G10766" s="8">
        <f t="shared" si="363"/>
        <v>0.71399999999999997</v>
      </c>
      <c r="H10766" s="190">
        <f>6.8/10</f>
        <v>0.67999999999999994</v>
      </c>
      <c r="I10766" s="19">
        <f t="shared" si="362"/>
        <v>1.4279999999999999</v>
      </c>
    </row>
    <row r="10767" spans="1:9">
      <c r="A10767" s="7" t="s">
        <v>18408</v>
      </c>
      <c r="B10767" s="103" t="s">
        <v>18602</v>
      </c>
      <c r="C10767" s="103" t="s">
        <v>18603</v>
      </c>
      <c r="D10767" s="35" t="s">
        <v>18580</v>
      </c>
      <c r="E10767" s="2">
        <v>1</v>
      </c>
      <c r="F10767" s="9">
        <v>23</v>
      </c>
      <c r="G10767" s="8">
        <f t="shared" si="363"/>
        <v>0.72450000000000003</v>
      </c>
      <c r="H10767" s="190">
        <f>6.9/10</f>
        <v>0.69000000000000006</v>
      </c>
      <c r="I10767" s="19">
        <f t="shared" si="362"/>
        <v>16.663499999999999</v>
      </c>
    </row>
    <row r="10768" spans="1:9">
      <c r="A10768" s="7" t="s">
        <v>18408</v>
      </c>
      <c r="B10768" s="103" t="s">
        <v>18604</v>
      </c>
      <c r="C10768" s="103" t="s">
        <v>18605</v>
      </c>
      <c r="D10768" s="35" t="s">
        <v>18580</v>
      </c>
      <c r="E10768" s="2">
        <v>1</v>
      </c>
      <c r="F10768" s="9">
        <v>25</v>
      </c>
      <c r="G10768" s="8">
        <f t="shared" si="363"/>
        <v>1.9949999999999999</v>
      </c>
      <c r="H10768" s="190">
        <f>9.5/5</f>
        <v>1.9</v>
      </c>
      <c r="I10768" s="19">
        <f t="shared" si="362"/>
        <v>49.875</v>
      </c>
    </row>
    <row r="10769" spans="1:9" hidden="1">
      <c r="A10769" s="7" t="s">
        <v>18408</v>
      </c>
      <c r="B10769" s="103" t="s">
        <v>18606</v>
      </c>
      <c r="C10769" s="103" t="s">
        <v>18607</v>
      </c>
      <c r="D10769" s="35" t="s">
        <v>18583</v>
      </c>
      <c r="E10769" s="2">
        <v>1</v>
      </c>
      <c r="F10769" s="9"/>
      <c r="G10769" s="8">
        <f t="shared" si="363"/>
        <v>1.4909999999999999</v>
      </c>
      <c r="H10769" s="8">
        <v>1.42</v>
      </c>
      <c r="I10769" s="19">
        <f t="shared" si="362"/>
        <v>0</v>
      </c>
    </row>
    <row r="10770" spans="1:9" hidden="1">
      <c r="A10770" s="7" t="s">
        <v>18408</v>
      </c>
      <c r="B10770" s="103" t="s">
        <v>18608</v>
      </c>
      <c r="C10770" s="103" t="s">
        <v>18609</v>
      </c>
      <c r="D10770" s="35"/>
      <c r="E10770" s="2">
        <v>1</v>
      </c>
      <c r="F10770" s="9"/>
      <c r="G10770" s="8">
        <f t="shared" si="363"/>
        <v>21.052500000000002</v>
      </c>
      <c r="H10770" s="8">
        <v>20.05</v>
      </c>
      <c r="I10770" s="19">
        <f t="shared" si="362"/>
        <v>0</v>
      </c>
    </row>
    <row r="10771" spans="1:9" hidden="1">
      <c r="A10771" s="7" t="s">
        <v>18408</v>
      </c>
      <c r="B10771" s="103" t="s">
        <v>18610</v>
      </c>
      <c r="C10771" s="103" t="s">
        <v>18611</v>
      </c>
      <c r="D10771" s="35"/>
      <c r="E10771" s="2">
        <v>1</v>
      </c>
      <c r="F10771" s="9"/>
      <c r="G10771" s="8">
        <f t="shared" si="363"/>
        <v>11.8545</v>
      </c>
      <c r="H10771" s="8">
        <v>11.29</v>
      </c>
      <c r="I10771" s="19">
        <f t="shared" si="362"/>
        <v>0</v>
      </c>
    </row>
    <row r="10772" spans="1:9" hidden="1">
      <c r="A10772" s="7" t="s">
        <v>18408</v>
      </c>
      <c r="B10772" s="103" t="s">
        <v>18612</v>
      </c>
      <c r="C10772" s="103" t="s">
        <v>18613</v>
      </c>
      <c r="D10772" s="35"/>
      <c r="E10772" s="2">
        <v>1</v>
      </c>
      <c r="F10772" s="9"/>
      <c r="G10772" s="8">
        <f t="shared" si="363"/>
        <v>14.784000000000001</v>
      </c>
      <c r="H10772" s="8">
        <v>14.08</v>
      </c>
      <c r="I10772" s="19">
        <f t="shared" si="362"/>
        <v>0</v>
      </c>
    </row>
    <row r="10773" spans="1:9" hidden="1">
      <c r="A10773" s="7" t="s">
        <v>18408</v>
      </c>
      <c r="B10773" s="103" t="s">
        <v>18614</v>
      </c>
      <c r="C10773" s="103" t="s">
        <v>18615</v>
      </c>
      <c r="D10773" s="35" t="s">
        <v>18583</v>
      </c>
      <c r="E10773" s="2">
        <v>1</v>
      </c>
      <c r="F10773" s="9"/>
      <c r="G10773" s="8">
        <f t="shared" si="363"/>
        <v>2.0895000000000001</v>
      </c>
      <c r="H10773" s="8">
        <v>1.99</v>
      </c>
      <c r="I10773" s="19">
        <f t="shared" si="362"/>
        <v>0</v>
      </c>
    </row>
    <row r="10774" spans="1:9" hidden="1">
      <c r="A10774" s="7" t="s">
        <v>18408</v>
      </c>
      <c r="B10774" s="103" t="s">
        <v>18616</v>
      </c>
      <c r="C10774" s="103" t="s">
        <v>18617</v>
      </c>
      <c r="D10774" s="35" t="s">
        <v>18583</v>
      </c>
      <c r="E10774" s="2">
        <v>1</v>
      </c>
      <c r="F10774" s="9"/>
      <c r="G10774" s="8">
        <f t="shared" si="363"/>
        <v>11.4345</v>
      </c>
      <c r="H10774" s="8">
        <v>10.89</v>
      </c>
      <c r="I10774" s="19">
        <f t="shared" si="362"/>
        <v>0</v>
      </c>
    </row>
    <row r="10775" spans="1:9" hidden="1">
      <c r="A10775" s="7" t="s">
        <v>18408</v>
      </c>
      <c r="B10775" s="103" t="s">
        <v>18618</v>
      </c>
      <c r="C10775" s="103" t="s">
        <v>18619</v>
      </c>
      <c r="D10775" s="35" t="s">
        <v>18549</v>
      </c>
      <c r="E10775" s="2">
        <v>1</v>
      </c>
      <c r="F10775" s="9"/>
      <c r="G10775" s="8">
        <f t="shared" si="363"/>
        <v>0.43049999999999999</v>
      </c>
      <c r="H10775" s="8">
        <v>0.41</v>
      </c>
      <c r="I10775" s="19">
        <f t="shared" si="362"/>
        <v>0</v>
      </c>
    </row>
    <row r="10776" spans="1:9" hidden="1">
      <c r="A10776" s="7" t="s">
        <v>18408</v>
      </c>
      <c r="B10776" s="103" t="s">
        <v>18620</v>
      </c>
      <c r="C10776" s="103" t="s">
        <v>18621</v>
      </c>
      <c r="D10776" s="35" t="s">
        <v>18549</v>
      </c>
      <c r="E10776" s="2">
        <v>1</v>
      </c>
      <c r="F10776" s="9"/>
      <c r="G10776" s="8">
        <f t="shared" si="363"/>
        <v>1.9425000000000001</v>
      </c>
      <c r="H10776" s="8">
        <v>1.85</v>
      </c>
      <c r="I10776" s="19">
        <f t="shared" si="362"/>
        <v>0</v>
      </c>
    </row>
    <row r="10777" spans="1:9" hidden="1">
      <c r="A10777" s="7" t="s">
        <v>18408</v>
      </c>
      <c r="B10777" s="103" t="s">
        <v>18622</v>
      </c>
      <c r="C10777" s="103" t="s">
        <v>18623</v>
      </c>
      <c r="D10777" s="35" t="s">
        <v>18549</v>
      </c>
      <c r="E10777" s="2">
        <v>1</v>
      </c>
      <c r="F10777" s="9"/>
      <c r="G10777" s="8">
        <f t="shared" si="363"/>
        <v>0.87149999999999994</v>
      </c>
      <c r="H10777" s="8">
        <v>0.83</v>
      </c>
      <c r="I10777" s="19">
        <f t="shared" si="362"/>
        <v>0</v>
      </c>
    </row>
    <row r="10778" spans="1:9" hidden="1">
      <c r="A10778" s="7" t="s">
        <v>18408</v>
      </c>
      <c r="B10778" s="103" t="s">
        <v>18624</v>
      </c>
      <c r="C10778" s="103" t="s">
        <v>18625</v>
      </c>
      <c r="D10778" s="35" t="s">
        <v>18549</v>
      </c>
      <c r="E10778" s="2">
        <v>1</v>
      </c>
      <c r="F10778" s="9"/>
      <c r="G10778" s="8">
        <f t="shared" si="363"/>
        <v>1.5014999999999998</v>
      </c>
      <c r="H10778" s="8">
        <v>1.43</v>
      </c>
      <c r="I10778" s="19">
        <f t="shared" si="362"/>
        <v>0</v>
      </c>
    </row>
    <row r="10779" spans="1:9" hidden="1">
      <c r="A10779" s="7" t="s">
        <v>18408</v>
      </c>
      <c r="B10779" s="103" t="s">
        <v>18626</v>
      </c>
      <c r="C10779" s="103" t="s">
        <v>18627</v>
      </c>
      <c r="D10779" s="35"/>
      <c r="E10779" s="2">
        <v>1</v>
      </c>
      <c r="F10779" s="9"/>
      <c r="G10779" s="8">
        <f t="shared" si="363"/>
        <v>2.0579999999999998</v>
      </c>
      <c r="H10779" s="8">
        <v>1.96</v>
      </c>
      <c r="I10779" s="19">
        <f t="shared" si="362"/>
        <v>0</v>
      </c>
    </row>
    <row r="10780" spans="1:9" hidden="1">
      <c r="A10780" s="7" t="s">
        <v>18408</v>
      </c>
      <c r="B10780" s="103" t="s">
        <v>18628</v>
      </c>
      <c r="C10780" s="103" t="s">
        <v>18629</v>
      </c>
      <c r="D10780" s="35"/>
      <c r="E10780" s="2">
        <v>1</v>
      </c>
      <c r="F10780" s="9"/>
      <c r="G10780" s="8">
        <f t="shared" si="363"/>
        <v>8.5785</v>
      </c>
      <c r="H10780" s="8">
        <v>8.17</v>
      </c>
      <c r="I10780" s="19">
        <f t="shared" si="362"/>
        <v>0</v>
      </c>
    </row>
    <row r="10781" spans="1:9" hidden="1">
      <c r="A10781" s="7" t="s">
        <v>18408</v>
      </c>
      <c r="B10781" s="103" t="s">
        <v>18630</v>
      </c>
      <c r="C10781" s="103" t="s">
        <v>18631</v>
      </c>
      <c r="D10781" s="35"/>
      <c r="E10781" s="2">
        <v>1</v>
      </c>
      <c r="F10781" s="9"/>
      <c r="G10781" s="8">
        <f t="shared" si="363"/>
        <v>13.566000000000001</v>
      </c>
      <c r="H10781" s="8">
        <v>12.92</v>
      </c>
      <c r="I10781" s="19">
        <f t="shared" si="362"/>
        <v>0</v>
      </c>
    </row>
    <row r="10782" spans="1:9" hidden="1">
      <c r="A10782" s="7" t="s">
        <v>18408</v>
      </c>
      <c r="B10782" s="103" t="s">
        <v>18632</v>
      </c>
      <c r="C10782" s="103" t="s">
        <v>18633</v>
      </c>
      <c r="D10782" s="35"/>
      <c r="E10782" s="2">
        <v>1</v>
      </c>
      <c r="F10782" s="9"/>
      <c r="G10782" s="8">
        <f t="shared" si="363"/>
        <v>12.138</v>
      </c>
      <c r="H10782" s="8">
        <v>11.56</v>
      </c>
      <c r="I10782" s="19">
        <f t="shared" si="362"/>
        <v>0</v>
      </c>
    </row>
    <row r="10783" spans="1:9">
      <c r="A10783" s="7" t="s">
        <v>18408</v>
      </c>
      <c r="B10783" s="103" t="s">
        <v>18634</v>
      </c>
      <c r="C10783" s="103" t="s">
        <v>18635</v>
      </c>
      <c r="D10783" s="35" t="s">
        <v>2488</v>
      </c>
      <c r="E10783" s="2">
        <v>1</v>
      </c>
      <c r="F10783" s="9">
        <v>1</v>
      </c>
      <c r="G10783" s="8">
        <f t="shared" si="363"/>
        <v>6.7830000000000004</v>
      </c>
      <c r="H10783" s="190">
        <v>6.46</v>
      </c>
      <c r="I10783" s="19">
        <f t="shared" si="362"/>
        <v>6.7830000000000004</v>
      </c>
    </row>
    <row r="10784" spans="1:9" hidden="1">
      <c r="A10784" s="7" t="s">
        <v>18408</v>
      </c>
      <c r="B10784" s="103" t="s">
        <v>18636</v>
      </c>
      <c r="C10784" s="103" t="s">
        <v>18637</v>
      </c>
      <c r="D10784" s="35"/>
      <c r="E10784" s="2">
        <v>1</v>
      </c>
      <c r="F10784" s="9"/>
      <c r="G10784" s="8">
        <f t="shared" si="363"/>
        <v>18.081</v>
      </c>
      <c r="H10784" s="8">
        <v>17.22</v>
      </c>
      <c r="I10784" s="19">
        <f t="shared" si="362"/>
        <v>0</v>
      </c>
    </row>
    <row r="10785" spans="1:9">
      <c r="A10785" s="7" t="s">
        <v>18408</v>
      </c>
      <c r="B10785" s="103" t="s">
        <v>18638</v>
      </c>
      <c r="C10785" s="103" t="s">
        <v>18639</v>
      </c>
      <c r="D10785" s="35" t="s">
        <v>2488</v>
      </c>
      <c r="E10785" s="2">
        <v>1</v>
      </c>
      <c r="F10785" s="9">
        <v>3</v>
      </c>
      <c r="G10785" s="8">
        <f t="shared" si="363"/>
        <v>18.459</v>
      </c>
      <c r="H10785" s="190">
        <v>17.579999999999998</v>
      </c>
      <c r="I10785" s="19">
        <f t="shared" si="362"/>
        <v>55.376999999999995</v>
      </c>
    </row>
    <row r="10786" spans="1:9" hidden="1">
      <c r="A10786" s="7" t="s">
        <v>18408</v>
      </c>
      <c r="B10786" s="103" t="s">
        <v>18640</v>
      </c>
      <c r="C10786" s="103" t="s">
        <v>18641</v>
      </c>
      <c r="D10786" s="35" t="s">
        <v>2488</v>
      </c>
      <c r="E10786" s="2">
        <v>1</v>
      </c>
      <c r="F10786" s="9"/>
      <c r="G10786" s="8">
        <f t="shared" si="363"/>
        <v>4.4834999999999994</v>
      </c>
      <c r="H10786" s="8">
        <v>4.2699999999999996</v>
      </c>
      <c r="I10786" s="19">
        <f t="shared" si="362"/>
        <v>0</v>
      </c>
    </row>
    <row r="10787" spans="1:9" hidden="1">
      <c r="A10787" s="7" t="s">
        <v>18408</v>
      </c>
      <c r="B10787" s="103" t="s">
        <v>18642</v>
      </c>
      <c r="C10787" s="103" t="s">
        <v>18643</v>
      </c>
      <c r="D10787" s="35" t="s">
        <v>2488</v>
      </c>
      <c r="E10787" s="2">
        <v>1</v>
      </c>
      <c r="F10787" s="9"/>
      <c r="G10787" s="8">
        <f t="shared" si="363"/>
        <v>8.2319999999999993</v>
      </c>
      <c r="H10787" s="8">
        <v>7.84</v>
      </c>
      <c r="I10787" s="19">
        <f t="shared" si="362"/>
        <v>0</v>
      </c>
    </row>
    <row r="10788" spans="1:9" hidden="1">
      <c r="A10788" s="7" t="s">
        <v>18408</v>
      </c>
      <c r="B10788" s="103" t="s">
        <v>18644</v>
      </c>
      <c r="C10788" s="103" t="s">
        <v>18645</v>
      </c>
      <c r="D10788" s="35" t="s">
        <v>2488</v>
      </c>
      <c r="E10788" s="2">
        <v>1</v>
      </c>
      <c r="F10788" s="9"/>
      <c r="G10788" s="8">
        <f t="shared" si="363"/>
        <v>4.6934999999999993</v>
      </c>
      <c r="H10788" s="8">
        <v>4.47</v>
      </c>
      <c r="I10788" s="19">
        <f t="shared" si="362"/>
        <v>0</v>
      </c>
    </row>
    <row r="10789" spans="1:9" hidden="1">
      <c r="A10789" s="7" t="s">
        <v>18408</v>
      </c>
      <c r="B10789" s="103" t="s">
        <v>18646</v>
      </c>
      <c r="C10789" s="103" t="s">
        <v>18647</v>
      </c>
      <c r="D10789" s="35" t="s">
        <v>2488</v>
      </c>
      <c r="E10789" s="2">
        <v>1</v>
      </c>
      <c r="F10789" s="9"/>
      <c r="G10789" s="8">
        <f t="shared" si="363"/>
        <v>7.1924999999999999</v>
      </c>
      <c r="H10789" s="8">
        <v>6.85</v>
      </c>
      <c r="I10789" s="19">
        <f t="shared" si="362"/>
        <v>0</v>
      </c>
    </row>
    <row r="10790" spans="1:9" hidden="1">
      <c r="A10790" s="7" t="s">
        <v>18408</v>
      </c>
      <c r="B10790" s="103" t="s">
        <v>18648</v>
      </c>
      <c r="C10790" s="103" t="s">
        <v>18649</v>
      </c>
      <c r="D10790" s="35" t="s">
        <v>2488</v>
      </c>
      <c r="E10790" s="2">
        <v>1</v>
      </c>
      <c r="F10790" s="9"/>
      <c r="G10790" s="8">
        <f t="shared" si="363"/>
        <v>15.550500000000001</v>
      </c>
      <c r="H10790" s="8">
        <v>14.81</v>
      </c>
      <c r="I10790" s="19">
        <f t="shared" si="362"/>
        <v>0</v>
      </c>
    </row>
    <row r="10791" spans="1:9" hidden="1">
      <c r="A10791" s="7" t="s">
        <v>18408</v>
      </c>
      <c r="B10791" s="103" t="s">
        <v>18650</v>
      </c>
      <c r="C10791" s="103" t="s">
        <v>18651</v>
      </c>
      <c r="D10791" s="35"/>
      <c r="E10791" s="2">
        <v>1</v>
      </c>
      <c r="F10791" s="9"/>
      <c r="G10791" s="8">
        <f t="shared" si="363"/>
        <v>23.226000000000003</v>
      </c>
      <c r="H10791" s="8">
        <v>22.12</v>
      </c>
      <c r="I10791" s="19">
        <f t="shared" si="362"/>
        <v>0</v>
      </c>
    </row>
    <row r="10792" spans="1:9">
      <c r="A10792" s="7" t="s">
        <v>18408</v>
      </c>
      <c r="B10792" s="103" t="s">
        <v>18652</v>
      </c>
      <c r="C10792" s="103" t="s">
        <v>18653</v>
      </c>
      <c r="D10792" s="35" t="s">
        <v>18580</v>
      </c>
      <c r="E10792" s="2">
        <v>1</v>
      </c>
      <c r="F10792" s="9">
        <v>5</v>
      </c>
      <c r="G10792" s="8">
        <f t="shared" si="363"/>
        <v>3.7589999999999999</v>
      </c>
      <c r="H10792" s="190">
        <v>3.58</v>
      </c>
      <c r="I10792" s="19">
        <f t="shared" si="362"/>
        <v>18.794999999999998</v>
      </c>
    </row>
    <row r="10793" spans="1:9" hidden="1">
      <c r="A10793" s="7" t="s">
        <v>18408</v>
      </c>
      <c r="B10793" s="103" t="s">
        <v>18654</v>
      </c>
      <c r="C10793" s="103" t="s">
        <v>18655</v>
      </c>
      <c r="D10793" s="35" t="s">
        <v>18536</v>
      </c>
      <c r="E10793" s="2">
        <v>1</v>
      </c>
      <c r="F10793" s="9"/>
      <c r="G10793" s="8">
        <f t="shared" si="363"/>
        <v>0.77700000000000002</v>
      </c>
      <c r="H10793" s="8">
        <v>0.74</v>
      </c>
      <c r="I10793" s="19">
        <f t="shared" si="362"/>
        <v>0</v>
      </c>
    </row>
    <row r="10794" spans="1:9">
      <c r="A10794" s="7" t="s">
        <v>18408</v>
      </c>
      <c r="B10794" s="103" t="s">
        <v>18656</v>
      </c>
      <c r="C10794" s="103" t="s">
        <v>18657</v>
      </c>
      <c r="D10794" s="35" t="s">
        <v>8224</v>
      </c>
      <c r="E10794" s="2">
        <v>1</v>
      </c>
      <c r="F10794" s="9">
        <v>1</v>
      </c>
      <c r="G10794" s="8">
        <f>H10794+(H10794*5%)</f>
        <v>45.286500000000004</v>
      </c>
      <c r="H10794" s="190">
        <v>43.13</v>
      </c>
      <c r="I10794" s="19">
        <f>G10794*F10794</f>
        <v>45.286500000000004</v>
      </c>
    </row>
    <row r="10795" spans="1:9" hidden="1">
      <c r="A10795" s="7" t="s">
        <v>18408</v>
      </c>
      <c r="B10795" s="103" t="s">
        <v>18658</v>
      </c>
      <c r="C10795" s="103" t="s">
        <v>18659</v>
      </c>
      <c r="D10795" s="35"/>
      <c r="E10795" s="2">
        <v>1</v>
      </c>
      <c r="F10795" s="9"/>
      <c r="G10795" s="8">
        <f t="shared" si="363"/>
        <v>20.653500000000001</v>
      </c>
      <c r="H10795" s="8">
        <v>19.670000000000002</v>
      </c>
      <c r="I10795" s="19">
        <f t="shared" si="362"/>
        <v>0</v>
      </c>
    </row>
    <row r="10796" spans="1:9" hidden="1">
      <c r="A10796" s="7" t="s">
        <v>18408</v>
      </c>
      <c r="B10796" s="103" t="s">
        <v>18660</v>
      </c>
      <c r="C10796" s="103" t="s">
        <v>18661</v>
      </c>
      <c r="D10796" s="35"/>
      <c r="E10796" s="2">
        <v>1</v>
      </c>
      <c r="F10796" s="9"/>
      <c r="G10796" s="8">
        <f t="shared" si="363"/>
        <v>28.455000000000002</v>
      </c>
      <c r="H10796" s="8">
        <v>27.1</v>
      </c>
      <c r="I10796" s="19">
        <f t="shared" si="362"/>
        <v>0</v>
      </c>
    </row>
    <row r="10797" spans="1:9" hidden="1">
      <c r="A10797" s="7" t="s">
        <v>18408</v>
      </c>
      <c r="B10797" s="103" t="s">
        <v>18662</v>
      </c>
      <c r="C10797" s="103" t="s">
        <v>18663</v>
      </c>
      <c r="D10797" s="35"/>
      <c r="E10797" s="2">
        <v>1</v>
      </c>
      <c r="F10797" s="9"/>
      <c r="G10797" s="8">
        <f t="shared" si="363"/>
        <v>70.433999999999997</v>
      </c>
      <c r="H10797" s="8">
        <v>67.08</v>
      </c>
      <c r="I10797" s="19">
        <f t="shared" si="362"/>
        <v>0</v>
      </c>
    </row>
    <row r="10798" spans="1:9" hidden="1">
      <c r="A10798" s="7" t="s">
        <v>18408</v>
      </c>
      <c r="B10798" s="103" t="s">
        <v>18664</v>
      </c>
      <c r="C10798" s="103" t="s">
        <v>18665</v>
      </c>
      <c r="D10798" s="35"/>
      <c r="E10798" s="2">
        <v>1</v>
      </c>
      <c r="F10798" s="9"/>
      <c r="G10798" s="8">
        <f t="shared" si="363"/>
        <v>53.108999999999995</v>
      </c>
      <c r="H10798" s="8">
        <v>50.58</v>
      </c>
      <c r="I10798" s="19">
        <f t="shared" si="362"/>
        <v>0</v>
      </c>
    </row>
    <row r="10799" spans="1:9">
      <c r="A10799" s="7" t="s">
        <v>18408</v>
      </c>
      <c r="B10799" s="103" t="s">
        <v>18666</v>
      </c>
      <c r="C10799" s="103" t="s">
        <v>18667</v>
      </c>
      <c r="D10799" s="35"/>
      <c r="E10799" s="2">
        <v>1</v>
      </c>
      <c r="F10799" s="9">
        <v>2</v>
      </c>
      <c r="G10799" s="8">
        <f>H10799+(H10799*5%)</f>
        <v>14.038499999999999</v>
      </c>
      <c r="H10799" s="190">
        <v>13.37</v>
      </c>
      <c r="I10799" s="19">
        <f>G10799*F10799</f>
        <v>28.076999999999998</v>
      </c>
    </row>
    <row r="10800" spans="1:9" hidden="1">
      <c r="A10800" s="7" t="s">
        <v>18408</v>
      </c>
      <c r="B10800" s="103" t="s">
        <v>18668</v>
      </c>
      <c r="C10800" s="103" t="s">
        <v>18669</v>
      </c>
      <c r="D10800" s="35"/>
      <c r="E10800" s="2">
        <v>1</v>
      </c>
      <c r="F10800" s="9"/>
      <c r="G10800" s="8">
        <f t="shared" si="363"/>
        <v>3.1395000000000004</v>
      </c>
      <c r="H10800" s="8">
        <v>2.99</v>
      </c>
      <c r="I10800" s="19">
        <f t="shared" si="362"/>
        <v>0</v>
      </c>
    </row>
    <row r="10801" spans="1:9" hidden="1">
      <c r="A10801" s="7" t="s">
        <v>18408</v>
      </c>
      <c r="B10801" s="103" t="s">
        <v>18670</v>
      </c>
      <c r="C10801" s="103" t="s">
        <v>18671</v>
      </c>
      <c r="D10801" s="35"/>
      <c r="E10801" s="2">
        <v>1</v>
      </c>
      <c r="F10801" s="9"/>
      <c r="G10801" s="8">
        <f t="shared" si="363"/>
        <v>5.88</v>
      </c>
      <c r="H10801" s="8">
        <v>5.6</v>
      </c>
      <c r="I10801" s="19">
        <f t="shared" si="362"/>
        <v>0</v>
      </c>
    </row>
    <row r="10802" spans="1:9" hidden="1">
      <c r="A10802" s="7" t="s">
        <v>18408</v>
      </c>
      <c r="B10802" s="103" t="s">
        <v>18672</v>
      </c>
      <c r="C10802" s="103" t="s">
        <v>18673</v>
      </c>
      <c r="D10802" s="35"/>
      <c r="E10802" s="2">
        <v>1</v>
      </c>
      <c r="F10802" s="9"/>
      <c r="G10802" s="8">
        <f t="shared" si="363"/>
        <v>3.2549999999999999</v>
      </c>
      <c r="H10802" s="8">
        <v>3.1</v>
      </c>
      <c r="I10802" s="19">
        <f t="shared" si="362"/>
        <v>0</v>
      </c>
    </row>
    <row r="10803" spans="1:9" hidden="1">
      <c r="A10803" s="7" t="s">
        <v>18408</v>
      </c>
      <c r="B10803" s="103" t="s">
        <v>18674</v>
      </c>
      <c r="C10803" s="103" t="s">
        <v>18675</v>
      </c>
      <c r="D10803" s="35"/>
      <c r="E10803" s="2">
        <v>1</v>
      </c>
      <c r="F10803" s="9"/>
      <c r="G10803" s="8">
        <f t="shared" si="363"/>
        <v>6.657</v>
      </c>
      <c r="H10803" s="8">
        <v>6.34</v>
      </c>
      <c r="I10803" s="19">
        <f t="shared" si="362"/>
        <v>0</v>
      </c>
    </row>
    <row r="10804" spans="1:9" hidden="1">
      <c r="A10804" s="7" t="s">
        <v>18408</v>
      </c>
      <c r="B10804" s="103" t="s">
        <v>18676</v>
      </c>
      <c r="C10804" s="103" t="s">
        <v>18677</v>
      </c>
      <c r="D10804" s="35"/>
      <c r="E10804" s="2">
        <v>1</v>
      </c>
      <c r="F10804" s="9"/>
      <c r="G10804" s="8">
        <f t="shared" si="363"/>
        <v>8.7044999999999995</v>
      </c>
      <c r="H10804" s="8">
        <v>8.2899999999999991</v>
      </c>
      <c r="I10804" s="19">
        <f t="shared" si="362"/>
        <v>0</v>
      </c>
    </row>
    <row r="10805" spans="1:9" hidden="1">
      <c r="A10805" s="7" t="s">
        <v>18408</v>
      </c>
      <c r="B10805" s="103" t="s">
        <v>18678</v>
      </c>
      <c r="C10805" s="103" t="s">
        <v>18679</v>
      </c>
      <c r="D10805" s="35"/>
      <c r="E10805" s="2">
        <v>1</v>
      </c>
      <c r="F10805" s="9"/>
      <c r="G10805" s="8">
        <f t="shared" si="363"/>
        <v>26.575499999999998</v>
      </c>
      <c r="H10805" s="8">
        <v>25.31</v>
      </c>
      <c r="I10805" s="19">
        <f t="shared" si="362"/>
        <v>0</v>
      </c>
    </row>
    <row r="10806" spans="1:9" hidden="1">
      <c r="A10806" s="7" t="s">
        <v>18408</v>
      </c>
      <c r="B10806" s="103" t="s">
        <v>18680</v>
      </c>
      <c r="C10806" s="103" t="s">
        <v>18681</v>
      </c>
      <c r="D10806" s="35"/>
      <c r="E10806" s="2">
        <v>1</v>
      </c>
      <c r="F10806" s="9"/>
      <c r="G10806" s="8">
        <f t="shared" si="363"/>
        <v>30.177</v>
      </c>
      <c r="H10806" s="8">
        <v>28.74</v>
      </c>
      <c r="I10806" s="19">
        <f t="shared" si="362"/>
        <v>0</v>
      </c>
    </row>
    <row r="10807" spans="1:9" hidden="1">
      <c r="A10807" s="7" t="s">
        <v>18408</v>
      </c>
      <c r="B10807" s="103" t="s">
        <v>18682</v>
      </c>
      <c r="C10807" s="103" t="s">
        <v>18683</v>
      </c>
      <c r="D10807" s="35"/>
      <c r="E10807" s="2">
        <v>1</v>
      </c>
      <c r="F10807" s="9"/>
      <c r="G10807" s="8">
        <f t="shared" si="363"/>
        <v>63.839999999999996</v>
      </c>
      <c r="H10807" s="8">
        <v>60.8</v>
      </c>
      <c r="I10807" s="19">
        <f t="shared" si="362"/>
        <v>0</v>
      </c>
    </row>
    <row r="10808" spans="1:9" hidden="1">
      <c r="A10808" s="7" t="s">
        <v>18408</v>
      </c>
      <c r="B10808" s="103" t="s">
        <v>18684</v>
      </c>
      <c r="C10808" s="103" t="s">
        <v>18685</v>
      </c>
      <c r="D10808" s="35"/>
      <c r="E10808" s="2">
        <v>1</v>
      </c>
      <c r="F10808" s="9"/>
      <c r="G10808" s="8">
        <f t="shared" si="363"/>
        <v>262.37400000000002</v>
      </c>
      <c r="H10808" s="8">
        <v>249.88</v>
      </c>
      <c r="I10808" s="19">
        <f t="shared" si="362"/>
        <v>0</v>
      </c>
    </row>
    <row r="10809" spans="1:9">
      <c r="A10809" s="7" t="s">
        <v>18408</v>
      </c>
      <c r="B10809" s="103" t="s">
        <v>18686</v>
      </c>
      <c r="C10809" s="103" t="s">
        <v>18687</v>
      </c>
      <c r="D10809" s="35"/>
      <c r="E10809" s="2">
        <v>1</v>
      </c>
      <c r="F10809" s="9">
        <v>4</v>
      </c>
      <c r="G10809" s="8">
        <f t="shared" si="363"/>
        <v>45.402000000000001</v>
      </c>
      <c r="H10809" s="190">
        <v>43.24</v>
      </c>
      <c r="I10809" s="19">
        <f t="shared" si="362"/>
        <v>181.608</v>
      </c>
    </row>
    <row r="10810" spans="1:9" hidden="1">
      <c r="A10810" s="7" t="s">
        <v>18408</v>
      </c>
      <c r="B10810" s="103" t="s">
        <v>18688</v>
      </c>
      <c r="C10810" s="103" t="s">
        <v>18689</v>
      </c>
      <c r="D10810" s="35"/>
      <c r="E10810" s="2">
        <v>1</v>
      </c>
      <c r="F10810" s="9"/>
      <c r="G10810" s="8">
        <f t="shared" ref="G10810:G10875" si="364">H10810+(H10810*5%)</f>
        <v>27.415499999999998</v>
      </c>
      <c r="H10810" s="8">
        <v>26.11</v>
      </c>
      <c r="I10810" s="19">
        <f t="shared" si="362"/>
        <v>0</v>
      </c>
    </row>
    <row r="10811" spans="1:9" hidden="1">
      <c r="A10811" s="7" t="s">
        <v>18408</v>
      </c>
      <c r="B10811" s="103" t="s">
        <v>18690</v>
      </c>
      <c r="C10811" s="103" t="s">
        <v>18691</v>
      </c>
      <c r="D10811" s="35"/>
      <c r="E10811" s="2">
        <v>1</v>
      </c>
      <c r="F10811" s="9"/>
      <c r="G10811" s="8">
        <f t="shared" si="364"/>
        <v>7.875</v>
      </c>
      <c r="H10811" s="8">
        <v>7.5</v>
      </c>
      <c r="I10811" s="19">
        <f t="shared" si="362"/>
        <v>0</v>
      </c>
    </row>
    <row r="10812" spans="1:9" hidden="1">
      <c r="A10812" s="7" t="s">
        <v>18408</v>
      </c>
      <c r="B10812" s="103" t="s">
        <v>18692</v>
      </c>
      <c r="C10812" s="103" t="s">
        <v>18693</v>
      </c>
      <c r="D10812" s="35"/>
      <c r="E10812" s="2">
        <v>1</v>
      </c>
      <c r="F10812" s="9"/>
      <c r="G10812" s="8">
        <f t="shared" si="364"/>
        <v>12.862500000000001</v>
      </c>
      <c r="H10812" s="8">
        <v>12.25</v>
      </c>
      <c r="I10812" s="19">
        <f t="shared" si="362"/>
        <v>0</v>
      </c>
    </row>
    <row r="10813" spans="1:9" hidden="1">
      <c r="A10813" s="7" t="s">
        <v>18408</v>
      </c>
      <c r="B10813" s="103" t="s">
        <v>18694</v>
      </c>
      <c r="C10813" s="103" t="s">
        <v>18695</v>
      </c>
      <c r="D10813" s="35"/>
      <c r="E10813" s="2">
        <v>1</v>
      </c>
      <c r="F10813" s="9"/>
      <c r="G10813" s="8">
        <f t="shared" si="364"/>
        <v>12.285</v>
      </c>
      <c r="H10813" s="8">
        <v>11.7</v>
      </c>
      <c r="I10813" s="19">
        <f t="shared" si="362"/>
        <v>0</v>
      </c>
    </row>
    <row r="10814" spans="1:9" hidden="1">
      <c r="A10814" s="7" t="s">
        <v>18408</v>
      </c>
      <c r="B10814" s="103" t="s">
        <v>18696</v>
      </c>
      <c r="C10814" s="103" t="s">
        <v>18697</v>
      </c>
      <c r="D10814" s="35"/>
      <c r="E10814" s="2">
        <v>1</v>
      </c>
      <c r="F10814" s="9"/>
      <c r="G10814" s="8">
        <f t="shared" si="364"/>
        <v>64.742999999999995</v>
      </c>
      <c r="H10814" s="8">
        <v>61.66</v>
      </c>
      <c r="I10814" s="19">
        <f t="shared" si="362"/>
        <v>0</v>
      </c>
    </row>
    <row r="10815" spans="1:9" hidden="1">
      <c r="A10815" s="7" t="s">
        <v>18408</v>
      </c>
      <c r="B10815" s="103" t="s">
        <v>18698</v>
      </c>
      <c r="C10815" s="103" t="s">
        <v>18699</v>
      </c>
      <c r="D10815" s="35"/>
      <c r="E10815" s="2">
        <v>1</v>
      </c>
      <c r="F10815" s="9"/>
      <c r="G10815" s="8">
        <f t="shared" si="364"/>
        <v>70.003500000000003</v>
      </c>
      <c r="H10815" s="8">
        <v>66.67</v>
      </c>
      <c r="I10815" s="19">
        <f t="shared" si="362"/>
        <v>0</v>
      </c>
    </row>
    <row r="10816" spans="1:9" hidden="1">
      <c r="A10816" s="7" t="s">
        <v>18408</v>
      </c>
      <c r="B10816" s="103" t="s">
        <v>18700</v>
      </c>
      <c r="C10816" s="103" t="s">
        <v>18701</v>
      </c>
      <c r="D10816" s="35"/>
      <c r="E10816" s="2">
        <v>1</v>
      </c>
      <c r="F10816" s="9"/>
      <c r="G10816" s="8">
        <f t="shared" si="364"/>
        <v>37.369500000000002</v>
      </c>
      <c r="H10816" s="8">
        <v>35.590000000000003</v>
      </c>
      <c r="I10816" s="19">
        <f t="shared" si="362"/>
        <v>0</v>
      </c>
    </row>
    <row r="10817" spans="1:9" hidden="1">
      <c r="A10817" s="7" t="s">
        <v>18408</v>
      </c>
      <c r="B10817" s="103" t="s">
        <v>18702</v>
      </c>
      <c r="C10817" s="103" t="s">
        <v>18703</v>
      </c>
      <c r="D10817" s="35"/>
      <c r="E10817" s="2">
        <v>1</v>
      </c>
      <c r="F10817" s="9"/>
      <c r="G10817" s="8">
        <f t="shared" si="364"/>
        <v>34.356000000000002</v>
      </c>
      <c r="H10817" s="8">
        <v>32.72</v>
      </c>
      <c r="I10817" s="19">
        <f t="shared" si="362"/>
        <v>0</v>
      </c>
    </row>
    <row r="10818" spans="1:9" hidden="1">
      <c r="A10818" s="7" t="s">
        <v>18408</v>
      </c>
      <c r="B10818" s="103" t="s">
        <v>18704</v>
      </c>
      <c r="C10818" s="103" t="s">
        <v>18705</v>
      </c>
      <c r="D10818" s="35"/>
      <c r="E10818" s="2">
        <v>1</v>
      </c>
      <c r="F10818" s="9"/>
      <c r="G10818" s="8">
        <f t="shared" si="364"/>
        <v>41.926499999999997</v>
      </c>
      <c r="H10818" s="8">
        <v>39.93</v>
      </c>
      <c r="I10818" s="19">
        <f t="shared" si="362"/>
        <v>0</v>
      </c>
    </row>
    <row r="10819" spans="1:9" hidden="1">
      <c r="A10819" s="7" t="s">
        <v>18408</v>
      </c>
      <c r="B10819" s="103" t="s">
        <v>18706</v>
      </c>
      <c r="C10819" s="103" t="s">
        <v>18707</v>
      </c>
      <c r="D10819" s="35"/>
      <c r="E10819" s="2">
        <v>1</v>
      </c>
      <c r="F10819" s="9"/>
      <c r="G10819" s="8">
        <f t="shared" si="364"/>
        <v>32.108999999999995</v>
      </c>
      <c r="H10819" s="8">
        <v>30.58</v>
      </c>
      <c r="I10819" s="19">
        <f t="shared" si="362"/>
        <v>0</v>
      </c>
    </row>
    <row r="10820" spans="1:9" hidden="1">
      <c r="A10820" s="7" t="s">
        <v>18408</v>
      </c>
      <c r="B10820" s="103" t="s">
        <v>18708</v>
      </c>
      <c r="C10820" s="103" t="s">
        <v>18709</v>
      </c>
      <c r="D10820" s="35"/>
      <c r="E10820" s="2">
        <v>1</v>
      </c>
      <c r="F10820" s="9"/>
      <c r="G10820" s="8">
        <f t="shared" si="364"/>
        <v>38.860499999999995</v>
      </c>
      <c r="H10820" s="8">
        <v>37.01</v>
      </c>
      <c r="I10820" s="19">
        <f t="shared" si="362"/>
        <v>0</v>
      </c>
    </row>
    <row r="10821" spans="1:9" hidden="1">
      <c r="A10821" s="7" t="s">
        <v>18408</v>
      </c>
      <c r="B10821" s="103" t="s">
        <v>18710</v>
      </c>
      <c r="C10821" s="103" t="s">
        <v>18711</v>
      </c>
      <c r="D10821" s="35"/>
      <c r="E10821" s="2">
        <v>1</v>
      </c>
      <c r="F10821" s="9"/>
      <c r="G10821" s="8">
        <f t="shared" si="364"/>
        <v>40.351500000000001</v>
      </c>
      <c r="H10821" s="8">
        <v>38.43</v>
      </c>
      <c r="I10821" s="19">
        <f t="shared" si="362"/>
        <v>0</v>
      </c>
    </row>
    <row r="10822" spans="1:9" hidden="1">
      <c r="A10822" s="7" t="s">
        <v>18408</v>
      </c>
      <c r="B10822" s="103" t="s">
        <v>18712</v>
      </c>
      <c r="C10822" s="103" t="s">
        <v>18713</v>
      </c>
      <c r="D10822" s="35"/>
      <c r="E10822" s="2">
        <v>1</v>
      </c>
      <c r="F10822" s="9"/>
      <c r="G10822" s="8">
        <f t="shared" si="364"/>
        <v>30.45</v>
      </c>
      <c r="H10822" s="8">
        <v>29</v>
      </c>
      <c r="I10822" s="19">
        <f t="shared" si="362"/>
        <v>0</v>
      </c>
    </row>
    <row r="10823" spans="1:9" hidden="1">
      <c r="A10823" s="7" t="s">
        <v>18408</v>
      </c>
      <c r="B10823" s="103" t="s">
        <v>18714</v>
      </c>
      <c r="C10823" s="103" t="s">
        <v>18715</v>
      </c>
      <c r="D10823" s="35"/>
      <c r="E10823" s="2">
        <v>1</v>
      </c>
      <c r="F10823" s="9"/>
      <c r="G10823" s="8">
        <f t="shared" si="364"/>
        <v>12.2325</v>
      </c>
      <c r="H10823" s="8">
        <v>11.65</v>
      </c>
      <c r="I10823" s="19">
        <f t="shared" si="362"/>
        <v>0</v>
      </c>
    </row>
    <row r="10824" spans="1:9" hidden="1">
      <c r="A10824" s="7" t="s">
        <v>18408</v>
      </c>
      <c r="B10824" s="103" t="s">
        <v>18716</v>
      </c>
      <c r="C10824" s="103" t="s">
        <v>18717</v>
      </c>
      <c r="D10824" s="35"/>
      <c r="E10824" s="2">
        <v>1</v>
      </c>
      <c r="F10824" s="9"/>
      <c r="G10824" s="8">
        <f t="shared" si="364"/>
        <v>22.196999999999999</v>
      </c>
      <c r="H10824" s="8">
        <v>21.14</v>
      </c>
      <c r="I10824" s="19">
        <f t="shared" si="362"/>
        <v>0</v>
      </c>
    </row>
    <row r="10825" spans="1:9" hidden="1">
      <c r="A10825" s="7" t="s">
        <v>18408</v>
      </c>
      <c r="B10825" s="103" t="s">
        <v>18718</v>
      </c>
      <c r="C10825" s="103" t="s">
        <v>18719</v>
      </c>
      <c r="D10825" s="35"/>
      <c r="E10825" s="2">
        <v>1</v>
      </c>
      <c r="F10825" s="9"/>
      <c r="G10825" s="8">
        <f t="shared" si="364"/>
        <v>0</v>
      </c>
      <c r="H10825" s="8">
        <v>0</v>
      </c>
      <c r="I10825" s="19">
        <f t="shared" si="362"/>
        <v>0</v>
      </c>
    </row>
    <row r="10826" spans="1:9">
      <c r="A10826" s="7" t="s">
        <v>18408</v>
      </c>
      <c r="B10826" s="103" t="s">
        <v>18720</v>
      </c>
      <c r="C10826" s="103" t="s">
        <v>18721</v>
      </c>
      <c r="D10826" s="35"/>
      <c r="E10826" s="2">
        <v>1</v>
      </c>
      <c r="F10826" s="9">
        <v>8</v>
      </c>
      <c r="G10826" s="8">
        <f t="shared" si="364"/>
        <v>3.843</v>
      </c>
      <c r="H10826" s="190">
        <v>3.66</v>
      </c>
      <c r="I10826" s="19">
        <f t="shared" si="362"/>
        <v>30.744</v>
      </c>
    </row>
    <row r="10827" spans="1:9" hidden="1">
      <c r="A10827" s="7" t="s">
        <v>18408</v>
      </c>
      <c r="B10827" s="103" t="s">
        <v>18722</v>
      </c>
      <c r="C10827" s="103" t="s">
        <v>18723</v>
      </c>
      <c r="D10827" s="35" t="s">
        <v>18549</v>
      </c>
      <c r="E10827" s="2">
        <v>1</v>
      </c>
      <c r="F10827" s="9"/>
      <c r="G10827" s="8">
        <f t="shared" si="364"/>
        <v>68.827500000000001</v>
      </c>
      <c r="H10827" s="8">
        <v>65.55</v>
      </c>
      <c r="I10827" s="19">
        <f t="shared" si="362"/>
        <v>0</v>
      </c>
    </row>
    <row r="10828" spans="1:9">
      <c r="A10828" s="7" t="s">
        <v>18408</v>
      </c>
      <c r="B10828" s="103" t="s">
        <v>18724</v>
      </c>
      <c r="C10828" s="103" t="s">
        <v>18725</v>
      </c>
      <c r="D10828" s="35" t="s">
        <v>18549</v>
      </c>
      <c r="E10828" s="2">
        <v>1</v>
      </c>
      <c r="F10828" s="9">
        <v>9</v>
      </c>
      <c r="G10828" s="8">
        <f>H10828+(H10828*5%)</f>
        <v>5.3864999999999998</v>
      </c>
      <c r="H10828" s="190">
        <v>5.13</v>
      </c>
      <c r="I10828" s="19">
        <f>G10828*F10828</f>
        <v>48.478499999999997</v>
      </c>
    </row>
    <row r="10829" spans="1:9">
      <c r="A10829" s="7" t="s">
        <v>18408</v>
      </c>
      <c r="B10829" s="103" t="s">
        <v>18726</v>
      </c>
      <c r="C10829" s="103" t="s">
        <v>18727</v>
      </c>
      <c r="D10829" s="35"/>
      <c r="E10829" s="2">
        <v>1</v>
      </c>
      <c r="F10829" s="9">
        <v>5</v>
      </c>
      <c r="G10829" s="8">
        <f t="shared" si="364"/>
        <v>3.5595000000000003</v>
      </c>
      <c r="H10829" s="190">
        <v>3.39</v>
      </c>
      <c r="I10829" s="19">
        <f t="shared" si="362"/>
        <v>17.797500000000003</v>
      </c>
    </row>
    <row r="10830" spans="1:9" hidden="1">
      <c r="A10830" s="7" t="s">
        <v>18408</v>
      </c>
      <c r="B10830" s="103" t="s">
        <v>18726</v>
      </c>
      <c r="C10830" s="103" t="s">
        <v>18727</v>
      </c>
      <c r="D10830" s="35" t="s">
        <v>18549</v>
      </c>
      <c r="E10830" s="2">
        <v>1</v>
      </c>
      <c r="F10830" s="9"/>
      <c r="G10830" s="8">
        <f t="shared" si="364"/>
        <v>3.2444999999999999</v>
      </c>
      <c r="H10830" s="8">
        <v>3.09</v>
      </c>
      <c r="I10830" s="19">
        <f t="shared" si="362"/>
        <v>0</v>
      </c>
    </row>
    <row r="10831" spans="1:9" hidden="1">
      <c r="A10831" s="7" t="s">
        <v>18408</v>
      </c>
      <c r="B10831" s="103" t="s">
        <v>18728</v>
      </c>
      <c r="C10831" s="103" t="s">
        <v>18729</v>
      </c>
      <c r="D10831" s="35"/>
      <c r="E10831" s="2">
        <v>1</v>
      </c>
      <c r="F10831" s="9"/>
      <c r="G10831" s="8">
        <f t="shared" si="364"/>
        <v>11.497499999999999</v>
      </c>
      <c r="H10831" s="8">
        <v>10.95</v>
      </c>
      <c r="I10831" s="19">
        <f t="shared" si="362"/>
        <v>0</v>
      </c>
    </row>
    <row r="10832" spans="1:9" hidden="1">
      <c r="A10832" s="7" t="s">
        <v>18408</v>
      </c>
      <c r="B10832" s="103" t="s">
        <v>18730</v>
      </c>
      <c r="C10832" s="103" t="s">
        <v>18731</v>
      </c>
      <c r="D10832" s="35"/>
      <c r="E10832" s="2">
        <v>1</v>
      </c>
      <c r="F10832" s="9"/>
      <c r="G10832" s="8">
        <f t="shared" si="364"/>
        <v>0</v>
      </c>
      <c r="H10832" s="8">
        <v>0</v>
      </c>
      <c r="I10832" s="19">
        <f t="shared" si="362"/>
        <v>0</v>
      </c>
    </row>
    <row r="10833" spans="1:9" hidden="1">
      <c r="A10833" s="7" t="s">
        <v>18408</v>
      </c>
      <c r="B10833" s="103" t="s">
        <v>18732</v>
      </c>
      <c r="C10833" s="103" t="s">
        <v>18733</v>
      </c>
      <c r="D10833" s="35"/>
      <c r="E10833" s="2">
        <v>1</v>
      </c>
      <c r="F10833" s="9"/>
      <c r="G10833" s="8">
        <f t="shared" si="364"/>
        <v>34.744500000000002</v>
      </c>
      <c r="H10833" s="8">
        <v>33.090000000000003</v>
      </c>
      <c r="I10833" s="19">
        <f t="shared" si="362"/>
        <v>0</v>
      </c>
    </row>
    <row r="10834" spans="1:9" hidden="1">
      <c r="A10834" s="7" t="s">
        <v>18408</v>
      </c>
      <c r="B10834" s="103" t="s">
        <v>18734</v>
      </c>
      <c r="C10834" s="103" t="s">
        <v>18735</v>
      </c>
      <c r="D10834" s="35"/>
      <c r="E10834" s="2">
        <v>1</v>
      </c>
      <c r="F10834" s="9"/>
      <c r="G10834" s="8">
        <f t="shared" si="364"/>
        <v>4.1475</v>
      </c>
      <c r="H10834" s="8">
        <v>3.95</v>
      </c>
      <c r="I10834" s="19">
        <f t="shared" si="362"/>
        <v>0</v>
      </c>
    </row>
    <row r="10835" spans="1:9" hidden="1">
      <c r="A10835" s="7" t="s">
        <v>18408</v>
      </c>
      <c r="B10835" s="103" t="s">
        <v>18736</v>
      </c>
      <c r="C10835" s="103" t="s">
        <v>18737</v>
      </c>
      <c r="D10835" s="35"/>
      <c r="E10835" s="2">
        <v>1</v>
      </c>
      <c r="F10835" s="9"/>
      <c r="G10835" s="8">
        <f t="shared" si="364"/>
        <v>10.006499999999999</v>
      </c>
      <c r="H10835" s="8">
        <v>9.5299999999999994</v>
      </c>
      <c r="I10835" s="19">
        <f t="shared" si="362"/>
        <v>0</v>
      </c>
    </row>
    <row r="10836" spans="1:9" hidden="1">
      <c r="A10836" s="7" t="s">
        <v>18408</v>
      </c>
      <c r="B10836" s="103" t="s">
        <v>18738</v>
      </c>
      <c r="C10836" s="103" t="s">
        <v>18739</v>
      </c>
      <c r="D10836" s="35"/>
      <c r="E10836" s="2">
        <v>1</v>
      </c>
      <c r="F10836" s="9"/>
      <c r="G10836" s="8">
        <f t="shared" si="364"/>
        <v>197.46299999999999</v>
      </c>
      <c r="H10836" s="8">
        <v>188.06</v>
      </c>
      <c r="I10836" s="19">
        <f t="shared" si="362"/>
        <v>0</v>
      </c>
    </row>
    <row r="10837" spans="1:9" hidden="1">
      <c r="A10837" s="7" t="s">
        <v>18408</v>
      </c>
      <c r="B10837" s="103" t="s">
        <v>18740</v>
      </c>
      <c r="C10837" s="103" t="s">
        <v>18741</v>
      </c>
      <c r="D10837" s="35"/>
      <c r="E10837" s="2">
        <v>1</v>
      </c>
      <c r="F10837" s="9"/>
      <c r="G10837" s="8">
        <f t="shared" si="364"/>
        <v>48.1845</v>
      </c>
      <c r="H10837" s="8">
        <v>45.89</v>
      </c>
      <c r="I10837" s="19">
        <f t="shared" si="362"/>
        <v>0</v>
      </c>
    </row>
    <row r="10838" spans="1:9" hidden="1">
      <c r="A10838" s="7" t="s">
        <v>18408</v>
      </c>
      <c r="B10838" s="103" t="s">
        <v>18742</v>
      </c>
      <c r="C10838" s="103" t="s">
        <v>18743</v>
      </c>
      <c r="D10838" s="35"/>
      <c r="E10838" s="2">
        <v>1</v>
      </c>
      <c r="F10838" s="9"/>
      <c r="G10838" s="8">
        <f t="shared" si="364"/>
        <v>0</v>
      </c>
      <c r="H10838" s="8">
        <v>0</v>
      </c>
      <c r="I10838" s="19">
        <f t="shared" si="362"/>
        <v>0</v>
      </c>
    </row>
    <row r="10839" spans="1:9" hidden="1">
      <c r="A10839" s="7" t="s">
        <v>18408</v>
      </c>
      <c r="B10839" s="103" t="s">
        <v>18744</v>
      </c>
      <c r="C10839" s="103" t="s">
        <v>18745</v>
      </c>
      <c r="D10839" s="35"/>
      <c r="E10839" s="2">
        <v>1</v>
      </c>
      <c r="F10839" s="9"/>
      <c r="G10839" s="8">
        <f t="shared" si="364"/>
        <v>51.576000000000001</v>
      </c>
      <c r="H10839" s="8">
        <v>49.12</v>
      </c>
      <c r="I10839" s="19">
        <f t="shared" si="362"/>
        <v>0</v>
      </c>
    </row>
    <row r="10840" spans="1:9" hidden="1">
      <c r="A10840" s="7" t="s">
        <v>18408</v>
      </c>
      <c r="B10840" s="103" t="s">
        <v>18746</v>
      </c>
      <c r="C10840" s="103" t="s">
        <v>18747</v>
      </c>
      <c r="D10840" s="35"/>
      <c r="E10840" s="2">
        <v>1</v>
      </c>
      <c r="F10840" s="9"/>
      <c r="G10840" s="8">
        <f t="shared" si="364"/>
        <v>33.075000000000003</v>
      </c>
      <c r="H10840" s="8">
        <v>31.5</v>
      </c>
      <c r="I10840" s="19">
        <f t="shared" si="362"/>
        <v>0</v>
      </c>
    </row>
    <row r="10841" spans="1:9" hidden="1">
      <c r="A10841" s="7" t="s">
        <v>18408</v>
      </c>
      <c r="B10841" s="103" t="s">
        <v>18748</v>
      </c>
      <c r="C10841" s="103" t="s">
        <v>18749</v>
      </c>
      <c r="D10841" s="35" t="s">
        <v>18549</v>
      </c>
      <c r="E10841" s="2">
        <v>1</v>
      </c>
      <c r="F10841" s="9"/>
      <c r="G10841" s="8">
        <f t="shared" si="364"/>
        <v>0.72449999999999992</v>
      </c>
      <c r="H10841" s="8">
        <v>0.69</v>
      </c>
      <c r="I10841" s="19">
        <f t="shared" si="362"/>
        <v>0</v>
      </c>
    </row>
    <row r="10842" spans="1:9" hidden="1">
      <c r="A10842" s="7" t="s">
        <v>18408</v>
      </c>
      <c r="B10842" s="103" t="s">
        <v>18750</v>
      </c>
      <c r="C10842" s="103" t="s">
        <v>18751</v>
      </c>
      <c r="D10842" s="35"/>
      <c r="E10842" s="2">
        <v>1</v>
      </c>
      <c r="F10842" s="9"/>
      <c r="G10842" s="8">
        <f t="shared" si="364"/>
        <v>0</v>
      </c>
      <c r="H10842" s="8">
        <v>0</v>
      </c>
      <c r="I10842" s="19">
        <f t="shared" si="362"/>
        <v>0</v>
      </c>
    </row>
    <row r="10843" spans="1:9" hidden="1">
      <c r="A10843" s="7" t="s">
        <v>18408</v>
      </c>
      <c r="B10843" s="103" t="s">
        <v>18752</v>
      </c>
      <c r="C10843" s="103" t="s">
        <v>18753</v>
      </c>
      <c r="D10843" s="35"/>
      <c r="E10843" s="2">
        <v>1</v>
      </c>
      <c r="F10843" s="9"/>
      <c r="G10843" s="8">
        <f t="shared" si="364"/>
        <v>0</v>
      </c>
      <c r="H10843" s="8">
        <v>0</v>
      </c>
      <c r="I10843" s="19">
        <f t="shared" si="362"/>
        <v>0</v>
      </c>
    </row>
    <row r="10844" spans="1:9">
      <c r="A10844" s="7" t="s">
        <v>18408</v>
      </c>
      <c r="B10844" s="103" t="s">
        <v>18754</v>
      </c>
      <c r="C10844" s="103" t="s">
        <v>18755</v>
      </c>
      <c r="D10844" s="35" t="s">
        <v>8224</v>
      </c>
      <c r="E10844" s="2">
        <v>1</v>
      </c>
      <c r="F10844" s="9">
        <f>1/100</f>
        <v>0.01</v>
      </c>
      <c r="G10844" s="8">
        <f>H10844+(H10844*5%)</f>
        <v>102.333</v>
      </c>
      <c r="H10844" s="190">
        <v>97.46</v>
      </c>
      <c r="I10844" s="19">
        <f>G10844*F10844</f>
        <v>1.0233300000000001</v>
      </c>
    </row>
    <row r="10845" spans="1:9">
      <c r="A10845" s="7" t="s">
        <v>18408</v>
      </c>
      <c r="B10845" s="103" t="s">
        <v>18756</v>
      </c>
      <c r="C10845" s="103" t="s">
        <v>18757</v>
      </c>
      <c r="D10845" s="35" t="s">
        <v>18536</v>
      </c>
      <c r="E10845" s="2">
        <v>1</v>
      </c>
      <c r="F10845" s="9">
        <v>2</v>
      </c>
      <c r="G10845" s="8">
        <f t="shared" si="364"/>
        <v>26.858999999999998</v>
      </c>
      <c r="H10845" s="190">
        <v>25.58</v>
      </c>
      <c r="I10845" s="19">
        <f t="shared" si="362"/>
        <v>53.717999999999996</v>
      </c>
    </row>
    <row r="10846" spans="1:9" hidden="1">
      <c r="A10846" s="7" t="s">
        <v>18408</v>
      </c>
      <c r="B10846" s="103" t="s">
        <v>18758</v>
      </c>
      <c r="C10846" s="103" t="s">
        <v>18759</v>
      </c>
      <c r="D10846" s="35" t="s">
        <v>8530</v>
      </c>
      <c r="E10846" s="2">
        <v>1</v>
      </c>
      <c r="F10846" s="9"/>
      <c r="G10846" s="8">
        <f t="shared" si="364"/>
        <v>6.0059999999999993</v>
      </c>
      <c r="H10846" s="8">
        <v>5.72</v>
      </c>
      <c r="I10846" s="19">
        <f t="shared" si="362"/>
        <v>0</v>
      </c>
    </row>
    <row r="10847" spans="1:9">
      <c r="A10847" s="7" t="s">
        <v>18408</v>
      </c>
      <c r="B10847" s="103" t="s">
        <v>18760</v>
      </c>
      <c r="C10847" s="103" t="s">
        <v>18761</v>
      </c>
      <c r="D10847" s="35"/>
      <c r="E10847" s="2">
        <v>1</v>
      </c>
      <c r="F10847" s="9">
        <v>9</v>
      </c>
      <c r="G10847" s="8">
        <f t="shared" si="364"/>
        <v>6.2895000000000003</v>
      </c>
      <c r="H10847" s="190">
        <v>5.99</v>
      </c>
      <c r="I10847" s="19">
        <f t="shared" si="362"/>
        <v>56.605500000000006</v>
      </c>
    </row>
    <row r="10848" spans="1:9">
      <c r="A10848" s="7" t="s">
        <v>18408</v>
      </c>
      <c r="B10848" s="103" t="s">
        <v>18762</v>
      </c>
      <c r="C10848" s="103" t="s">
        <v>18763</v>
      </c>
      <c r="D10848" s="35"/>
      <c r="E10848" s="2">
        <v>1</v>
      </c>
      <c r="F10848" s="9">
        <v>5</v>
      </c>
      <c r="G10848" s="8">
        <f t="shared" si="364"/>
        <v>7.8854999999999995</v>
      </c>
      <c r="H10848" s="190">
        <v>7.51</v>
      </c>
      <c r="I10848" s="19">
        <f t="shared" si="362"/>
        <v>39.427499999999995</v>
      </c>
    </row>
    <row r="10849" spans="1:9" hidden="1">
      <c r="A10849" s="7" t="s">
        <v>18408</v>
      </c>
      <c r="B10849" s="103" t="s">
        <v>18764</v>
      </c>
      <c r="C10849" s="103" t="s">
        <v>18765</v>
      </c>
      <c r="D10849" s="35" t="s">
        <v>18766</v>
      </c>
      <c r="E10849" s="2">
        <v>1</v>
      </c>
      <c r="F10849" s="9"/>
      <c r="G10849" s="8">
        <f t="shared" si="364"/>
        <v>17.1675</v>
      </c>
      <c r="H10849" s="8">
        <v>16.350000000000001</v>
      </c>
      <c r="I10849" s="19">
        <f t="shared" si="362"/>
        <v>0</v>
      </c>
    </row>
    <row r="10850" spans="1:9" hidden="1">
      <c r="A10850" s="7" t="s">
        <v>18408</v>
      </c>
      <c r="B10850" s="103" t="s">
        <v>18767</v>
      </c>
      <c r="C10850" s="103" t="s">
        <v>18768</v>
      </c>
      <c r="D10850" s="35" t="s">
        <v>18457</v>
      </c>
      <c r="E10850" s="2">
        <v>1</v>
      </c>
      <c r="F10850" s="9"/>
      <c r="G10850" s="8">
        <f t="shared" si="364"/>
        <v>16.726500000000001</v>
      </c>
      <c r="H10850" s="8">
        <v>15.93</v>
      </c>
      <c r="I10850" s="19">
        <f t="shared" si="362"/>
        <v>0</v>
      </c>
    </row>
    <row r="10851" spans="1:9" hidden="1">
      <c r="A10851" s="7" t="s">
        <v>18408</v>
      </c>
      <c r="B10851" s="103" t="s">
        <v>18769</v>
      </c>
      <c r="C10851" s="103" t="s">
        <v>18770</v>
      </c>
      <c r="D10851" s="35" t="s">
        <v>18457</v>
      </c>
      <c r="E10851" s="2">
        <v>1</v>
      </c>
      <c r="F10851" s="9"/>
      <c r="G10851" s="8">
        <f t="shared" si="364"/>
        <v>19.288500000000003</v>
      </c>
      <c r="H10851" s="8">
        <v>18.37</v>
      </c>
      <c r="I10851" s="19">
        <f t="shared" si="362"/>
        <v>0</v>
      </c>
    </row>
    <row r="10852" spans="1:9" hidden="1">
      <c r="A10852" s="7" t="s">
        <v>18408</v>
      </c>
      <c r="B10852" s="103" t="s">
        <v>18771</v>
      </c>
      <c r="C10852" s="103" t="s">
        <v>18772</v>
      </c>
      <c r="D10852" s="35" t="s">
        <v>18457</v>
      </c>
      <c r="E10852" s="2">
        <v>1</v>
      </c>
      <c r="F10852" s="9"/>
      <c r="G10852" s="8">
        <f t="shared" si="364"/>
        <v>24.496499999999997</v>
      </c>
      <c r="H10852" s="8">
        <v>23.33</v>
      </c>
      <c r="I10852" s="19">
        <f t="shared" si="362"/>
        <v>0</v>
      </c>
    </row>
    <row r="10853" spans="1:9" hidden="1">
      <c r="A10853" s="7" t="s">
        <v>18408</v>
      </c>
      <c r="B10853" s="103" t="s">
        <v>18773</v>
      </c>
      <c r="C10853" s="103" t="s">
        <v>18774</v>
      </c>
      <c r="D10853" s="35" t="s">
        <v>8311</v>
      </c>
      <c r="E10853" s="2">
        <v>1</v>
      </c>
      <c r="F10853" s="9"/>
      <c r="G10853" s="8">
        <f t="shared" si="364"/>
        <v>38.597999999999999</v>
      </c>
      <c r="H10853" s="8">
        <v>36.76</v>
      </c>
      <c r="I10853" s="19">
        <f t="shared" si="362"/>
        <v>0</v>
      </c>
    </row>
    <row r="10854" spans="1:9" hidden="1">
      <c r="A10854" s="7" t="s">
        <v>18408</v>
      </c>
      <c r="B10854" s="103" t="s">
        <v>18775</v>
      </c>
      <c r="C10854" s="103" t="s">
        <v>18776</v>
      </c>
      <c r="D10854" s="35"/>
      <c r="E10854" s="2">
        <v>1</v>
      </c>
      <c r="F10854" s="9"/>
      <c r="G10854" s="8">
        <f t="shared" si="364"/>
        <v>74.13</v>
      </c>
      <c r="H10854" s="8">
        <v>70.599999999999994</v>
      </c>
      <c r="I10854" s="19">
        <f t="shared" si="362"/>
        <v>0</v>
      </c>
    </row>
    <row r="10855" spans="1:9" hidden="1">
      <c r="A10855" s="7" t="s">
        <v>18408</v>
      </c>
      <c r="B10855" s="103" t="s">
        <v>18777</v>
      </c>
      <c r="C10855" s="103" t="s">
        <v>18778</v>
      </c>
      <c r="D10855" s="35" t="s">
        <v>18779</v>
      </c>
      <c r="E10855" s="2">
        <v>1</v>
      </c>
      <c r="F10855" s="9"/>
      <c r="G10855" s="8">
        <f t="shared" si="364"/>
        <v>5.25</v>
      </c>
      <c r="H10855" s="8">
        <v>5</v>
      </c>
      <c r="I10855" s="19">
        <f t="shared" si="362"/>
        <v>0</v>
      </c>
    </row>
    <row r="10856" spans="1:9">
      <c r="A10856" s="7" t="s">
        <v>18408</v>
      </c>
      <c r="B10856" s="103" t="s">
        <v>18780</v>
      </c>
      <c r="C10856" s="103" t="s">
        <v>18781</v>
      </c>
      <c r="D10856" s="35"/>
      <c r="E10856" s="2">
        <v>1</v>
      </c>
      <c r="F10856" s="9">
        <v>8</v>
      </c>
      <c r="G10856" s="8">
        <f t="shared" si="364"/>
        <v>2.3414999999999999</v>
      </c>
      <c r="H10856" s="190">
        <v>2.23</v>
      </c>
      <c r="I10856" s="19">
        <f t="shared" si="362"/>
        <v>18.731999999999999</v>
      </c>
    </row>
    <row r="10857" spans="1:9" hidden="1">
      <c r="A10857" s="7" t="s">
        <v>18408</v>
      </c>
      <c r="B10857" s="103" t="s">
        <v>18782</v>
      </c>
      <c r="C10857" s="103" t="s">
        <v>18781</v>
      </c>
      <c r="D10857" s="35"/>
      <c r="E10857" s="2">
        <v>1</v>
      </c>
      <c r="F10857" s="9"/>
      <c r="G10857" s="8">
        <f t="shared" si="364"/>
        <v>2.3414999999999999</v>
      </c>
      <c r="H10857" s="8">
        <v>2.23</v>
      </c>
      <c r="I10857" s="19">
        <f t="shared" si="362"/>
        <v>0</v>
      </c>
    </row>
    <row r="10858" spans="1:9">
      <c r="A10858" s="7" t="s">
        <v>18408</v>
      </c>
      <c r="B10858" s="103" t="s">
        <v>18783</v>
      </c>
      <c r="C10858" s="103" t="s">
        <v>18784</v>
      </c>
      <c r="D10858" s="35"/>
      <c r="E10858" s="2">
        <v>1</v>
      </c>
      <c r="F10858" s="9">
        <v>1</v>
      </c>
      <c r="G10858" s="8">
        <f t="shared" si="364"/>
        <v>15.613499999999998</v>
      </c>
      <c r="H10858" s="190">
        <v>14.87</v>
      </c>
      <c r="I10858" s="19">
        <f t="shared" si="362"/>
        <v>15.613499999999998</v>
      </c>
    </row>
    <row r="10859" spans="1:9" hidden="1">
      <c r="A10859" s="7" t="s">
        <v>18408</v>
      </c>
      <c r="B10859" s="103" t="s">
        <v>18785</v>
      </c>
      <c r="C10859" s="103" t="s">
        <v>18786</v>
      </c>
      <c r="D10859" s="35" t="s">
        <v>18787</v>
      </c>
      <c r="E10859" s="2">
        <v>1</v>
      </c>
      <c r="F10859" s="9"/>
      <c r="G10859" s="8">
        <f t="shared" si="364"/>
        <v>0</v>
      </c>
      <c r="H10859" s="8">
        <v>0</v>
      </c>
      <c r="I10859" s="19">
        <f t="shared" si="362"/>
        <v>0</v>
      </c>
    </row>
    <row r="10860" spans="1:9" hidden="1">
      <c r="A10860" s="7" t="s">
        <v>18408</v>
      </c>
      <c r="B10860" s="103" t="s">
        <v>18788</v>
      </c>
      <c r="C10860" s="103" t="s">
        <v>18789</v>
      </c>
      <c r="D10860" s="35"/>
      <c r="E10860" s="2">
        <v>1</v>
      </c>
      <c r="F10860" s="9"/>
      <c r="G10860" s="8">
        <f t="shared" si="364"/>
        <v>26.417999999999999</v>
      </c>
      <c r="H10860" s="8">
        <v>25.16</v>
      </c>
      <c r="I10860" s="19">
        <f t="shared" si="362"/>
        <v>0</v>
      </c>
    </row>
    <row r="10861" spans="1:9">
      <c r="A10861" s="7" t="s">
        <v>18408</v>
      </c>
      <c r="B10861" s="103" t="s">
        <v>18790</v>
      </c>
      <c r="C10861" s="103" t="s">
        <v>18791</v>
      </c>
      <c r="D10861" s="35" t="s">
        <v>18792</v>
      </c>
      <c r="E10861" s="2">
        <v>1</v>
      </c>
      <c r="F10861" s="9">
        <v>2</v>
      </c>
      <c r="G10861" s="8">
        <f t="shared" si="364"/>
        <v>3.8027500000000001</v>
      </c>
      <c r="H10861" s="190">
        <f>21.73/6</f>
        <v>3.6216666666666666</v>
      </c>
      <c r="I10861" s="19">
        <f t="shared" si="362"/>
        <v>7.6055000000000001</v>
      </c>
    </row>
    <row r="10862" spans="1:9" hidden="1">
      <c r="A10862" s="7" t="s">
        <v>18408</v>
      </c>
      <c r="B10862" s="103" t="s">
        <v>18793</v>
      </c>
      <c r="C10862" s="103" t="s">
        <v>18794</v>
      </c>
      <c r="D10862" s="35" t="s">
        <v>18787</v>
      </c>
      <c r="E10862" s="2">
        <v>1</v>
      </c>
      <c r="F10862" s="9"/>
      <c r="G10862" s="8">
        <f t="shared" si="364"/>
        <v>0</v>
      </c>
      <c r="H10862" s="8">
        <v>0</v>
      </c>
      <c r="I10862" s="19">
        <f t="shared" si="362"/>
        <v>0</v>
      </c>
    </row>
    <row r="10863" spans="1:9">
      <c r="A10863" s="7" t="s">
        <v>18408</v>
      </c>
      <c r="B10863" s="103" t="s">
        <v>18795</v>
      </c>
      <c r="C10863" s="103" t="s">
        <v>18796</v>
      </c>
      <c r="D10863" s="35" t="s">
        <v>18792</v>
      </c>
      <c r="E10863" s="2">
        <v>1</v>
      </c>
      <c r="F10863" s="9">
        <v>7</v>
      </c>
      <c r="G10863" s="8">
        <f t="shared" si="364"/>
        <v>24.276</v>
      </c>
      <c r="H10863" s="190">
        <v>23.12</v>
      </c>
      <c r="I10863" s="19">
        <f t="shared" si="362"/>
        <v>169.93199999999999</v>
      </c>
    </row>
    <row r="10864" spans="1:9">
      <c r="A10864" s="7" t="s">
        <v>18408</v>
      </c>
      <c r="B10864" s="103" t="s">
        <v>18797</v>
      </c>
      <c r="C10864" s="103" t="s">
        <v>18798</v>
      </c>
      <c r="D10864" s="35"/>
      <c r="E10864" s="2">
        <v>1</v>
      </c>
      <c r="F10864" s="9">
        <v>2</v>
      </c>
      <c r="G10864" s="8">
        <f t="shared" si="364"/>
        <v>36.288000000000004</v>
      </c>
      <c r="H10864" s="190">
        <v>34.56</v>
      </c>
      <c r="I10864" s="19">
        <f t="shared" si="362"/>
        <v>72.576000000000008</v>
      </c>
    </row>
    <row r="10865" spans="1:9">
      <c r="A10865" s="7" t="s">
        <v>18408</v>
      </c>
      <c r="B10865" s="103" t="s">
        <v>18799</v>
      </c>
      <c r="C10865" s="103" t="s">
        <v>18800</v>
      </c>
      <c r="D10865" s="35"/>
      <c r="E10865" s="2">
        <v>1</v>
      </c>
      <c r="F10865" s="9">
        <v>1</v>
      </c>
      <c r="G10865" s="8">
        <f t="shared" si="364"/>
        <v>35.2485</v>
      </c>
      <c r="H10865" s="190">
        <v>33.57</v>
      </c>
      <c r="I10865" s="19">
        <f t="shared" si="362"/>
        <v>35.2485</v>
      </c>
    </row>
    <row r="10866" spans="1:9" hidden="1">
      <c r="A10866" s="7" t="s">
        <v>18408</v>
      </c>
      <c r="B10866" s="103" t="s">
        <v>18801</v>
      </c>
      <c r="C10866" s="103" t="s">
        <v>18802</v>
      </c>
      <c r="D10866" s="35"/>
      <c r="E10866" s="2">
        <v>1</v>
      </c>
      <c r="F10866" s="9"/>
      <c r="G10866" s="8">
        <f t="shared" si="364"/>
        <v>57.907499999999999</v>
      </c>
      <c r="H10866" s="8">
        <v>55.15</v>
      </c>
      <c r="I10866" s="19">
        <f t="shared" si="362"/>
        <v>0</v>
      </c>
    </row>
    <row r="10867" spans="1:9" hidden="1">
      <c r="A10867" s="7" t="s">
        <v>18408</v>
      </c>
      <c r="B10867" s="103" t="s">
        <v>18803</v>
      </c>
      <c r="C10867" s="103" t="s">
        <v>18804</v>
      </c>
      <c r="D10867" s="35"/>
      <c r="E10867" s="2">
        <v>1</v>
      </c>
      <c r="F10867" s="9"/>
      <c r="G10867" s="8">
        <f t="shared" si="364"/>
        <v>12.589500000000001</v>
      </c>
      <c r="H10867" s="8">
        <v>11.99</v>
      </c>
      <c r="I10867" s="19">
        <f t="shared" si="362"/>
        <v>0</v>
      </c>
    </row>
    <row r="10868" spans="1:9" hidden="1">
      <c r="A10868" s="7" t="s">
        <v>18408</v>
      </c>
      <c r="B10868" s="103" t="s">
        <v>18805</v>
      </c>
      <c r="C10868" s="103" t="s">
        <v>18806</v>
      </c>
      <c r="D10868" s="35"/>
      <c r="E10868" s="2">
        <v>1</v>
      </c>
      <c r="F10868" s="9"/>
      <c r="G10868" s="8">
        <f t="shared" si="364"/>
        <v>9.3974999999999991</v>
      </c>
      <c r="H10868" s="8">
        <v>8.9499999999999993</v>
      </c>
      <c r="I10868" s="19">
        <f t="shared" si="362"/>
        <v>0</v>
      </c>
    </row>
    <row r="10869" spans="1:9">
      <c r="A10869" s="7" t="s">
        <v>18408</v>
      </c>
      <c r="B10869" s="103" t="s">
        <v>18807</v>
      </c>
      <c r="C10869" s="103" t="s">
        <v>18808</v>
      </c>
      <c r="D10869" s="35"/>
      <c r="E10869" s="2">
        <v>1</v>
      </c>
      <c r="F10869" s="9">
        <v>7</v>
      </c>
      <c r="G10869" s="8">
        <f t="shared" si="364"/>
        <v>5.2919999999999998</v>
      </c>
      <c r="H10869" s="190">
        <v>5.04</v>
      </c>
      <c r="I10869" s="19">
        <f t="shared" si="362"/>
        <v>37.043999999999997</v>
      </c>
    </row>
    <row r="10870" spans="1:9" hidden="1">
      <c r="A10870" s="7" t="s">
        <v>18408</v>
      </c>
      <c r="B10870" s="103" t="s">
        <v>18807</v>
      </c>
      <c r="C10870" s="103" t="s">
        <v>18808</v>
      </c>
      <c r="D10870" s="35" t="s">
        <v>18787</v>
      </c>
      <c r="E10870" s="2">
        <v>1</v>
      </c>
      <c r="F10870" s="9"/>
      <c r="G10870" s="8">
        <f t="shared" si="364"/>
        <v>5.2395000000000005</v>
      </c>
      <c r="H10870" s="8">
        <v>4.99</v>
      </c>
      <c r="I10870" s="19">
        <f t="shared" si="362"/>
        <v>0</v>
      </c>
    </row>
    <row r="10871" spans="1:9">
      <c r="A10871" s="7" t="s">
        <v>18408</v>
      </c>
      <c r="B10871" s="103" t="s">
        <v>18809</v>
      </c>
      <c r="C10871" s="103" t="s">
        <v>18810</v>
      </c>
      <c r="D10871" s="35" t="s">
        <v>18787</v>
      </c>
      <c r="E10871" s="2">
        <v>1</v>
      </c>
      <c r="F10871" s="9">
        <v>19</v>
      </c>
      <c r="G10871" s="8">
        <f t="shared" si="364"/>
        <v>10.353</v>
      </c>
      <c r="H10871" s="190">
        <v>9.86</v>
      </c>
      <c r="I10871" s="19">
        <f t="shared" si="362"/>
        <v>196.70699999999999</v>
      </c>
    </row>
    <row r="10872" spans="1:9" hidden="1">
      <c r="A10872" s="7" t="s">
        <v>18408</v>
      </c>
      <c r="B10872" s="103" t="s">
        <v>18811</v>
      </c>
      <c r="C10872" s="103" t="s">
        <v>18812</v>
      </c>
      <c r="D10872" s="35"/>
      <c r="E10872" s="2">
        <v>1</v>
      </c>
      <c r="F10872" s="9"/>
      <c r="G10872" s="8">
        <f t="shared" si="364"/>
        <v>9.3974999999999991</v>
      </c>
      <c r="H10872" s="8">
        <v>8.9499999999999993</v>
      </c>
      <c r="I10872" s="19">
        <f t="shared" si="362"/>
        <v>0</v>
      </c>
    </row>
    <row r="10873" spans="1:9" hidden="1">
      <c r="A10873" s="7" t="s">
        <v>18408</v>
      </c>
      <c r="B10873" s="103" t="s">
        <v>18813</v>
      </c>
      <c r="C10873" s="103" t="s">
        <v>18814</v>
      </c>
      <c r="D10873" s="35"/>
      <c r="E10873" s="2">
        <v>1</v>
      </c>
      <c r="F10873" s="9"/>
      <c r="G10873" s="8">
        <f t="shared" si="364"/>
        <v>3.7275</v>
      </c>
      <c r="H10873" s="8">
        <v>3.55</v>
      </c>
      <c r="I10873" s="19">
        <f t="shared" si="362"/>
        <v>0</v>
      </c>
    </row>
    <row r="10874" spans="1:9" hidden="1">
      <c r="A10874" s="7" t="s">
        <v>18408</v>
      </c>
      <c r="B10874" s="103" t="s">
        <v>18815</v>
      </c>
      <c r="C10874" s="103" t="s">
        <v>18816</v>
      </c>
      <c r="D10874" s="35"/>
      <c r="E10874" s="2">
        <v>1</v>
      </c>
      <c r="F10874" s="9"/>
      <c r="G10874" s="8">
        <f t="shared" si="364"/>
        <v>3.4125000000000001</v>
      </c>
      <c r="H10874" s="8">
        <v>3.25</v>
      </c>
      <c r="I10874" s="19">
        <f t="shared" si="362"/>
        <v>0</v>
      </c>
    </row>
    <row r="10875" spans="1:9">
      <c r="A10875" s="7" t="s">
        <v>18408</v>
      </c>
      <c r="B10875" s="103" t="s">
        <v>18815</v>
      </c>
      <c r="C10875" s="103" t="s">
        <v>18816</v>
      </c>
      <c r="D10875" s="35" t="s">
        <v>18779</v>
      </c>
      <c r="E10875" s="2">
        <v>1</v>
      </c>
      <c r="F10875" s="9">
        <v>6</v>
      </c>
      <c r="G10875" s="8">
        <f t="shared" si="364"/>
        <v>89.964000000000013</v>
      </c>
      <c r="H10875" s="190">
        <v>85.68</v>
      </c>
      <c r="I10875" s="19">
        <f t="shared" si="362"/>
        <v>539.78400000000011</v>
      </c>
    </row>
    <row r="10876" spans="1:9">
      <c r="A10876" s="7" t="s">
        <v>18408</v>
      </c>
      <c r="B10876" s="103" t="s">
        <v>18817</v>
      </c>
      <c r="C10876" s="103" t="s">
        <v>18818</v>
      </c>
      <c r="D10876" s="35" t="s">
        <v>18779</v>
      </c>
      <c r="E10876" s="2">
        <v>1</v>
      </c>
      <c r="F10876" s="9">
        <v>5</v>
      </c>
      <c r="G10876" s="8">
        <f t="shared" ref="G10876:G10940" si="365">H10876+(H10876*5%)</f>
        <v>89.964000000000013</v>
      </c>
      <c r="H10876" s="190">
        <v>85.68</v>
      </c>
      <c r="I10876" s="19">
        <f t="shared" si="362"/>
        <v>449.82000000000005</v>
      </c>
    </row>
    <row r="10877" spans="1:9" hidden="1">
      <c r="A10877" s="7" t="s">
        <v>18408</v>
      </c>
      <c r="B10877" s="103" t="s">
        <v>18819</v>
      </c>
      <c r="C10877" s="103" t="s">
        <v>18820</v>
      </c>
      <c r="D10877" s="35"/>
      <c r="E10877" s="2">
        <v>1</v>
      </c>
      <c r="F10877" s="9"/>
      <c r="G10877" s="8">
        <f t="shared" si="365"/>
        <v>3.4125000000000001</v>
      </c>
      <c r="H10877" s="8">
        <v>3.25</v>
      </c>
      <c r="I10877" s="19">
        <f t="shared" si="362"/>
        <v>0</v>
      </c>
    </row>
    <row r="10878" spans="1:9">
      <c r="A10878" s="7" t="s">
        <v>18408</v>
      </c>
      <c r="B10878" s="103" t="s">
        <v>18819</v>
      </c>
      <c r="C10878" s="103" t="s">
        <v>18820</v>
      </c>
      <c r="D10878" s="35" t="s">
        <v>18779</v>
      </c>
      <c r="E10878" s="2">
        <v>1</v>
      </c>
      <c r="F10878" s="9">
        <v>7</v>
      </c>
      <c r="G10878" s="8">
        <f t="shared" si="365"/>
        <v>89.964000000000013</v>
      </c>
      <c r="H10878" s="190">
        <v>85.68</v>
      </c>
      <c r="I10878" s="19">
        <f t="shared" si="362"/>
        <v>629.74800000000005</v>
      </c>
    </row>
    <row r="10879" spans="1:9">
      <c r="A10879" s="7" t="s">
        <v>18408</v>
      </c>
      <c r="B10879" s="103" t="s">
        <v>18821</v>
      </c>
      <c r="C10879" s="103" t="s">
        <v>18822</v>
      </c>
      <c r="D10879" s="35" t="s">
        <v>18580</v>
      </c>
      <c r="E10879" s="2">
        <v>1</v>
      </c>
      <c r="F10879" s="9">
        <v>10</v>
      </c>
      <c r="G10879" s="8">
        <f t="shared" si="365"/>
        <v>3.4859999999999998</v>
      </c>
      <c r="H10879" s="190">
        <v>3.32</v>
      </c>
      <c r="I10879" s="19">
        <f t="shared" si="362"/>
        <v>34.86</v>
      </c>
    </row>
    <row r="10880" spans="1:9">
      <c r="A10880" s="7" t="s">
        <v>18408</v>
      </c>
      <c r="B10880" s="103" t="s">
        <v>18823</v>
      </c>
      <c r="C10880" s="103" t="s">
        <v>18824</v>
      </c>
      <c r="D10880" s="35"/>
      <c r="E10880" s="2">
        <v>1</v>
      </c>
      <c r="F10880" s="9">
        <v>11</v>
      </c>
      <c r="G10880" s="8">
        <f t="shared" si="365"/>
        <v>2.8560000000000003</v>
      </c>
      <c r="H10880" s="190">
        <v>2.72</v>
      </c>
      <c r="I10880" s="19">
        <f t="shared" si="362"/>
        <v>31.416000000000004</v>
      </c>
    </row>
    <row r="10881" spans="1:9" hidden="1">
      <c r="A10881" s="7" t="s">
        <v>18408</v>
      </c>
      <c r="B10881" s="103" t="s">
        <v>18823</v>
      </c>
      <c r="C10881" s="103" t="s">
        <v>18824</v>
      </c>
      <c r="D10881" s="35" t="s">
        <v>18787</v>
      </c>
      <c r="E10881" s="2">
        <v>1</v>
      </c>
      <c r="F10881" s="9"/>
      <c r="G10881" s="8">
        <f t="shared" si="365"/>
        <v>2.6040000000000001</v>
      </c>
      <c r="H10881" s="8">
        <v>2.48</v>
      </c>
      <c r="I10881" s="19">
        <f t="shared" si="362"/>
        <v>0</v>
      </c>
    </row>
    <row r="10882" spans="1:9">
      <c r="A10882" s="7" t="s">
        <v>18408</v>
      </c>
      <c r="B10882" s="103" t="s">
        <v>18825</v>
      </c>
      <c r="C10882" s="103" t="s">
        <v>18826</v>
      </c>
      <c r="D10882" s="35"/>
      <c r="E10882" s="2">
        <v>1</v>
      </c>
      <c r="F10882" s="9">
        <v>5</v>
      </c>
      <c r="G10882" s="8">
        <f t="shared" si="365"/>
        <v>14.027999999999999</v>
      </c>
      <c r="H10882" s="190">
        <v>13.36</v>
      </c>
      <c r="I10882" s="19">
        <f t="shared" si="362"/>
        <v>70.139999999999986</v>
      </c>
    </row>
    <row r="10883" spans="1:9">
      <c r="A10883" s="7" t="s">
        <v>18408</v>
      </c>
      <c r="B10883" s="103" t="s">
        <v>18827</v>
      </c>
      <c r="C10883" s="103" t="s">
        <v>18828</v>
      </c>
      <c r="D10883" s="35" t="s">
        <v>18536</v>
      </c>
      <c r="E10883" s="2">
        <v>1</v>
      </c>
      <c r="F10883" s="9">
        <v>2</v>
      </c>
      <c r="G10883" s="8">
        <f t="shared" si="365"/>
        <v>18.375</v>
      </c>
      <c r="H10883" s="190">
        <v>17.5</v>
      </c>
      <c r="I10883" s="19">
        <f t="shared" si="362"/>
        <v>36.75</v>
      </c>
    </row>
    <row r="10884" spans="1:9" hidden="1">
      <c r="A10884" s="7" t="s">
        <v>18408</v>
      </c>
      <c r="B10884" s="103" t="s">
        <v>18829</v>
      </c>
      <c r="C10884" s="103" t="s">
        <v>18830</v>
      </c>
      <c r="D10884" s="35"/>
      <c r="E10884" s="2">
        <v>1</v>
      </c>
      <c r="F10884" s="9"/>
      <c r="G10884" s="8">
        <f t="shared" si="365"/>
        <v>11.55</v>
      </c>
      <c r="H10884" s="8">
        <v>11</v>
      </c>
      <c r="I10884" s="19">
        <f t="shared" si="362"/>
        <v>0</v>
      </c>
    </row>
    <row r="10885" spans="1:9" hidden="1">
      <c r="A10885" s="7" t="s">
        <v>18408</v>
      </c>
      <c r="B10885" s="103" t="s">
        <v>18829</v>
      </c>
      <c r="C10885" s="103" t="s">
        <v>18830</v>
      </c>
      <c r="D10885" s="35" t="s">
        <v>18787</v>
      </c>
      <c r="E10885" s="2">
        <v>1</v>
      </c>
      <c r="F10885" s="9"/>
      <c r="G10885" s="8">
        <f t="shared" si="365"/>
        <v>11.55</v>
      </c>
      <c r="H10885" s="8">
        <v>11</v>
      </c>
      <c r="I10885" s="19">
        <f t="shared" si="362"/>
        <v>0</v>
      </c>
    </row>
    <row r="10886" spans="1:9" hidden="1">
      <c r="A10886" s="7" t="s">
        <v>18408</v>
      </c>
      <c r="B10886" s="103" t="s">
        <v>18831</v>
      </c>
      <c r="C10886" s="103" t="s">
        <v>18832</v>
      </c>
      <c r="D10886" s="35" t="s">
        <v>18833</v>
      </c>
      <c r="E10886" s="2">
        <v>1</v>
      </c>
      <c r="F10886" s="9"/>
      <c r="G10886" s="8">
        <f t="shared" si="365"/>
        <v>8.5154999999999994</v>
      </c>
      <c r="H10886" s="8">
        <v>8.11</v>
      </c>
      <c r="I10886" s="19">
        <f t="shared" ref="I10886:I10905" si="366">G10886*F10886</f>
        <v>0</v>
      </c>
    </row>
    <row r="10887" spans="1:9" hidden="1">
      <c r="A10887" s="7" t="s">
        <v>18408</v>
      </c>
      <c r="B10887" s="103" t="s">
        <v>18834</v>
      </c>
      <c r="C10887" s="103" t="s">
        <v>18835</v>
      </c>
      <c r="D10887" s="35"/>
      <c r="E10887" s="2">
        <v>1</v>
      </c>
      <c r="F10887" s="9"/>
      <c r="G10887" s="8">
        <f t="shared" si="365"/>
        <v>4.4940000000000007</v>
      </c>
      <c r="H10887" s="8">
        <v>4.28</v>
      </c>
      <c r="I10887" s="19">
        <f t="shared" si="366"/>
        <v>0</v>
      </c>
    </row>
    <row r="10888" spans="1:9">
      <c r="A10888" s="7" t="s">
        <v>18408</v>
      </c>
      <c r="B10888" s="103" t="s">
        <v>18836</v>
      </c>
      <c r="C10888" s="103" t="s">
        <v>18837</v>
      </c>
      <c r="D10888" s="35"/>
      <c r="E10888" s="2">
        <v>1</v>
      </c>
      <c r="F10888" s="9">
        <v>8</v>
      </c>
      <c r="G10888" s="8">
        <f t="shared" si="365"/>
        <v>6.51</v>
      </c>
      <c r="H10888" s="190">
        <v>6.2</v>
      </c>
      <c r="I10888" s="19">
        <f t="shared" si="366"/>
        <v>52.08</v>
      </c>
    </row>
    <row r="10889" spans="1:9">
      <c r="A10889" s="7" t="s">
        <v>18408</v>
      </c>
      <c r="B10889" s="103" t="s">
        <v>18838</v>
      </c>
      <c r="C10889" s="103" t="s">
        <v>18839</v>
      </c>
      <c r="D10889" s="35" t="s">
        <v>18787</v>
      </c>
      <c r="E10889" s="2">
        <v>1</v>
      </c>
      <c r="F10889" s="9">
        <v>11</v>
      </c>
      <c r="G10889" s="8">
        <f t="shared" si="365"/>
        <v>82.907999999999987</v>
      </c>
      <c r="H10889" s="190">
        <v>78.959999999999994</v>
      </c>
      <c r="I10889" s="19">
        <f t="shared" si="366"/>
        <v>911.98799999999983</v>
      </c>
    </row>
    <row r="10890" spans="1:9" hidden="1">
      <c r="A10890" s="7" t="s">
        <v>18408</v>
      </c>
      <c r="B10890" s="103" t="s">
        <v>18840</v>
      </c>
      <c r="C10890" s="103" t="s">
        <v>18841</v>
      </c>
      <c r="D10890" s="35"/>
      <c r="E10890" s="2">
        <v>1</v>
      </c>
      <c r="F10890" s="9"/>
      <c r="G10890" s="8">
        <f t="shared" si="365"/>
        <v>8.2530000000000001</v>
      </c>
      <c r="H10890" s="8">
        <v>7.86</v>
      </c>
      <c r="I10890" s="19">
        <f t="shared" si="366"/>
        <v>0</v>
      </c>
    </row>
    <row r="10891" spans="1:9">
      <c r="A10891" s="7" t="s">
        <v>18408</v>
      </c>
      <c r="B10891" s="103" t="s">
        <v>18842</v>
      </c>
      <c r="C10891" s="103" t="s">
        <v>18843</v>
      </c>
      <c r="D10891" s="35" t="s">
        <v>18580</v>
      </c>
      <c r="E10891" s="2">
        <v>1</v>
      </c>
      <c r="F10891" s="9">
        <v>9</v>
      </c>
      <c r="G10891" s="8">
        <f t="shared" si="365"/>
        <v>12.022499999999999</v>
      </c>
      <c r="H10891" s="190">
        <v>11.45</v>
      </c>
      <c r="I10891" s="19">
        <f t="shared" si="366"/>
        <v>108.20249999999999</v>
      </c>
    </row>
    <row r="10892" spans="1:9">
      <c r="A10892" s="7" t="s">
        <v>18408</v>
      </c>
      <c r="B10892" s="103" t="s">
        <v>18844</v>
      </c>
      <c r="C10892" s="103" t="s">
        <v>18845</v>
      </c>
      <c r="D10892" s="35"/>
      <c r="E10892" s="2">
        <v>1</v>
      </c>
      <c r="F10892" s="9">
        <v>15</v>
      </c>
      <c r="G10892" s="8">
        <f t="shared" si="365"/>
        <v>6.3</v>
      </c>
      <c r="H10892" s="190">
        <v>6</v>
      </c>
      <c r="I10892" s="19">
        <f t="shared" si="366"/>
        <v>94.5</v>
      </c>
    </row>
    <row r="10893" spans="1:9" hidden="1">
      <c r="A10893" s="7" t="s">
        <v>18408</v>
      </c>
      <c r="B10893" s="103" t="s">
        <v>18846</v>
      </c>
      <c r="C10893" s="103" t="s">
        <v>18847</v>
      </c>
      <c r="D10893" s="35"/>
      <c r="E10893" s="2">
        <v>1</v>
      </c>
      <c r="F10893" s="9"/>
      <c r="G10893" s="8">
        <f t="shared" si="365"/>
        <v>6.0795000000000003</v>
      </c>
      <c r="H10893" s="8">
        <v>5.79</v>
      </c>
      <c r="I10893" s="19">
        <f t="shared" si="366"/>
        <v>0</v>
      </c>
    </row>
    <row r="10894" spans="1:9">
      <c r="A10894" s="7" t="s">
        <v>18408</v>
      </c>
      <c r="B10894" s="103" t="s">
        <v>18846</v>
      </c>
      <c r="C10894" s="103" t="s">
        <v>18847</v>
      </c>
      <c r="D10894" s="35" t="s">
        <v>18779</v>
      </c>
      <c r="E10894" s="2">
        <v>1</v>
      </c>
      <c r="F10894" s="9">
        <v>4</v>
      </c>
      <c r="G10894" s="8">
        <f t="shared" si="365"/>
        <v>145.90800000000002</v>
      </c>
      <c r="H10894" s="190">
        <v>138.96</v>
      </c>
      <c r="I10894" s="19">
        <f t="shared" si="366"/>
        <v>583.63200000000006</v>
      </c>
    </row>
    <row r="10895" spans="1:9">
      <c r="A10895" s="7" t="s">
        <v>18408</v>
      </c>
      <c r="B10895" s="103" t="s">
        <v>18848</v>
      </c>
      <c r="C10895" s="103" t="s">
        <v>18849</v>
      </c>
      <c r="D10895" s="35" t="s">
        <v>18779</v>
      </c>
      <c r="E10895" s="2">
        <v>1</v>
      </c>
      <c r="F10895" s="9">
        <v>11</v>
      </c>
      <c r="G10895" s="8">
        <f t="shared" si="365"/>
        <v>125.748</v>
      </c>
      <c r="H10895" s="190">
        <v>119.76</v>
      </c>
      <c r="I10895" s="19">
        <f t="shared" si="366"/>
        <v>1383.2280000000001</v>
      </c>
    </row>
    <row r="10896" spans="1:9">
      <c r="A10896" s="7" t="s">
        <v>18408</v>
      </c>
      <c r="B10896" s="103" t="s">
        <v>18848</v>
      </c>
      <c r="C10896" s="103" t="s">
        <v>18849</v>
      </c>
      <c r="D10896" s="35" t="s">
        <v>18779</v>
      </c>
      <c r="E10896" s="2">
        <v>1</v>
      </c>
      <c r="F10896" s="9">
        <v>8</v>
      </c>
      <c r="G10896" s="8">
        <f t="shared" si="365"/>
        <v>300.38399999999996</v>
      </c>
      <c r="H10896" s="190">
        <v>286.08</v>
      </c>
      <c r="I10896" s="19">
        <f t="shared" si="366"/>
        <v>2403.0719999999997</v>
      </c>
    </row>
    <row r="10897" spans="1:9" hidden="1">
      <c r="A10897" s="7" t="s">
        <v>18408</v>
      </c>
      <c r="B10897" s="103" t="s">
        <v>18850</v>
      </c>
      <c r="C10897" s="103" t="s">
        <v>18851</v>
      </c>
      <c r="D10897" s="35"/>
      <c r="E10897" s="2">
        <v>1</v>
      </c>
      <c r="F10897" s="9"/>
      <c r="G10897" s="8">
        <f t="shared" si="365"/>
        <v>0</v>
      </c>
      <c r="H10897" s="8">
        <v>0</v>
      </c>
      <c r="I10897" s="19">
        <f t="shared" si="366"/>
        <v>0</v>
      </c>
    </row>
    <row r="10898" spans="1:9" hidden="1">
      <c r="A10898" s="7" t="s">
        <v>18408</v>
      </c>
      <c r="B10898" s="103" t="s">
        <v>18852</v>
      </c>
      <c r="C10898" s="103" t="s">
        <v>18853</v>
      </c>
      <c r="D10898" s="35"/>
      <c r="E10898" s="2">
        <v>1</v>
      </c>
      <c r="F10898" s="9"/>
      <c r="G10898" s="8">
        <f t="shared" si="365"/>
        <v>34.660499999999999</v>
      </c>
      <c r="H10898" s="8">
        <v>33.01</v>
      </c>
      <c r="I10898" s="19">
        <f t="shared" si="366"/>
        <v>0</v>
      </c>
    </row>
    <row r="10899" spans="1:9" hidden="1">
      <c r="A10899" s="7" t="s">
        <v>18408</v>
      </c>
      <c r="B10899" s="103" t="s">
        <v>18854</v>
      </c>
      <c r="C10899" s="103" t="s">
        <v>18855</v>
      </c>
      <c r="D10899" s="35"/>
      <c r="E10899" s="2">
        <v>1</v>
      </c>
      <c r="F10899" s="9"/>
      <c r="G10899" s="8">
        <f t="shared" si="365"/>
        <v>2.9295</v>
      </c>
      <c r="H10899" s="8">
        <v>2.79</v>
      </c>
      <c r="I10899" s="19">
        <f t="shared" si="366"/>
        <v>0</v>
      </c>
    </row>
    <row r="10900" spans="1:9">
      <c r="A10900" s="7" t="s">
        <v>18408</v>
      </c>
      <c r="B10900" s="103" t="s">
        <v>18856</v>
      </c>
      <c r="C10900" s="103" t="s">
        <v>18857</v>
      </c>
      <c r="D10900" s="35"/>
      <c r="E10900" s="2">
        <v>1</v>
      </c>
      <c r="F10900" s="9">
        <v>2</v>
      </c>
      <c r="G10900" s="8">
        <f>H10900+(H10900*5%)</f>
        <v>17.566500000000001</v>
      </c>
      <c r="H10900" s="190">
        <v>16.73</v>
      </c>
      <c r="I10900" s="19">
        <f>G10900*F10900</f>
        <v>35.133000000000003</v>
      </c>
    </row>
    <row r="10901" spans="1:9">
      <c r="A10901" s="7" t="s">
        <v>18408</v>
      </c>
      <c r="B10901" s="103" t="s">
        <v>18858</v>
      </c>
      <c r="C10901" s="103" t="s">
        <v>18859</v>
      </c>
      <c r="D10901" s="35"/>
      <c r="E10901" s="2">
        <v>1</v>
      </c>
      <c r="F10901" s="9">
        <v>5</v>
      </c>
      <c r="G10901" s="8">
        <f t="shared" si="365"/>
        <v>10.363499999999998</v>
      </c>
      <c r="H10901" s="190">
        <v>9.8699999999999992</v>
      </c>
      <c r="I10901" s="19">
        <f t="shared" si="366"/>
        <v>51.817499999999995</v>
      </c>
    </row>
    <row r="10902" spans="1:9" hidden="1">
      <c r="A10902" s="7" t="s">
        <v>18408</v>
      </c>
      <c r="B10902" s="103" t="s">
        <v>18860</v>
      </c>
      <c r="C10902" s="103" t="s">
        <v>18861</v>
      </c>
      <c r="D10902" s="35"/>
      <c r="E10902" s="2">
        <v>1</v>
      </c>
      <c r="F10902" s="9"/>
      <c r="G10902" s="8">
        <f t="shared" si="365"/>
        <v>0</v>
      </c>
      <c r="H10902" s="8">
        <v>0</v>
      </c>
      <c r="I10902" s="19">
        <f t="shared" si="366"/>
        <v>0</v>
      </c>
    </row>
    <row r="10903" spans="1:9" hidden="1">
      <c r="A10903" s="7" t="s">
        <v>18408</v>
      </c>
      <c r="B10903" s="103" t="s">
        <v>18862</v>
      </c>
      <c r="C10903" s="103" t="s">
        <v>18863</v>
      </c>
      <c r="D10903" s="35"/>
      <c r="E10903" s="2">
        <v>1</v>
      </c>
      <c r="F10903" s="9"/>
      <c r="G10903" s="8">
        <f t="shared" si="365"/>
        <v>0</v>
      </c>
      <c r="H10903" s="8">
        <v>0</v>
      </c>
      <c r="I10903" s="19">
        <f t="shared" si="366"/>
        <v>0</v>
      </c>
    </row>
    <row r="10904" spans="1:9">
      <c r="A10904" s="7" t="s">
        <v>18408</v>
      </c>
      <c r="B10904" s="103" t="s">
        <v>18864</v>
      </c>
      <c r="C10904" s="103" t="s">
        <v>18865</v>
      </c>
      <c r="D10904" s="35" t="s">
        <v>18766</v>
      </c>
      <c r="E10904" s="2">
        <v>1</v>
      </c>
      <c r="F10904" s="9">
        <v>1</v>
      </c>
      <c r="G10904" s="8">
        <f t="shared" si="365"/>
        <v>84.42</v>
      </c>
      <c r="H10904" s="190">
        <v>80.400000000000006</v>
      </c>
      <c r="I10904" s="19">
        <f t="shared" si="366"/>
        <v>84.42</v>
      </c>
    </row>
    <row r="10905" spans="1:9" hidden="1">
      <c r="A10905" s="7" t="s">
        <v>18408</v>
      </c>
      <c r="B10905" s="103" t="s">
        <v>18866</v>
      </c>
      <c r="C10905" s="103" t="s">
        <v>18867</v>
      </c>
      <c r="D10905" s="35"/>
      <c r="E10905" s="2">
        <v>1</v>
      </c>
      <c r="F10905" s="9"/>
      <c r="G10905" s="8">
        <f t="shared" si="365"/>
        <v>12.852</v>
      </c>
      <c r="H10905" s="8">
        <v>12.24</v>
      </c>
      <c r="I10905" s="19">
        <f t="shared" si="366"/>
        <v>0</v>
      </c>
    </row>
    <row r="10906" spans="1:9">
      <c r="A10906" s="7" t="s">
        <v>18408</v>
      </c>
      <c r="B10906" s="103" t="s">
        <v>18868</v>
      </c>
      <c r="C10906" s="103" t="s">
        <v>18869</v>
      </c>
      <c r="D10906" s="35" t="s">
        <v>8254</v>
      </c>
      <c r="E10906" s="2">
        <v>1</v>
      </c>
      <c r="F10906" s="9">
        <v>1</v>
      </c>
      <c r="G10906" s="8">
        <f t="shared" si="365"/>
        <v>66.78</v>
      </c>
      <c r="H10906" s="190">
        <v>63.6</v>
      </c>
      <c r="I10906" s="19">
        <f t="shared" si="362"/>
        <v>66.78</v>
      </c>
    </row>
    <row r="10907" spans="1:9" hidden="1">
      <c r="A10907" s="7" t="s">
        <v>18408</v>
      </c>
      <c r="B10907" s="103" t="s">
        <v>18870</v>
      </c>
      <c r="C10907" s="103" t="s">
        <v>18871</v>
      </c>
      <c r="D10907" s="35" t="s">
        <v>18444</v>
      </c>
      <c r="E10907" s="2">
        <v>1</v>
      </c>
      <c r="F10907" s="9"/>
      <c r="G10907" s="8">
        <f t="shared" si="365"/>
        <v>34.828500000000005</v>
      </c>
      <c r="H10907" s="8">
        <v>33.17</v>
      </c>
      <c r="I10907" s="19">
        <f t="shared" si="362"/>
        <v>0</v>
      </c>
    </row>
    <row r="10908" spans="1:9">
      <c r="A10908" s="7" t="s">
        <v>18408</v>
      </c>
      <c r="B10908" s="103" t="s">
        <v>18872</v>
      </c>
      <c r="C10908" s="103" t="s">
        <v>18873</v>
      </c>
      <c r="D10908" s="35" t="s">
        <v>18792</v>
      </c>
      <c r="E10908" s="2">
        <v>1</v>
      </c>
      <c r="F10908" s="9">
        <v>3</v>
      </c>
      <c r="G10908" s="8">
        <f t="shared" si="365"/>
        <v>21.294</v>
      </c>
      <c r="H10908" s="190">
        <v>20.28</v>
      </c>
      <c r="I10908" s="19">
        <f t="shared" si="362"/>
        <v>63.882000000000005</v>
      </c>
    </row>
    <row r="10909" spans="1:9" hidden="1">
      <c r="A10909" s="7" t="s">
        <v>18408</v>
      </c>
      <c r="B10909" s="103" t="s">
        <v>18874</v>
      </c>
      <c r="C10909" s="103" t="s">
        <v>18875</v>
      </c>
      <c r="D10909" s="35" t="s">
        <v>18792</v>
      </c>
      <c r="E10909" s="2">
        <v>1</v>
      </c>
      <c r="F10909" s="9"/>
      <c r="G10909" s="8">
        <f t="shared" si="365"/>
        <v>9.9224999999999994</v>
      </c>
      <c r="H10909" s="8">
        <v>9.4499999999999993</v>
      </c>
      <c r="I10909" s="19">
        <f t="shared" si="362"/>
        <v>0</v>
      </c>
    </row>
    <row r="10910" spans="1:9">
      <c r="A10910" s="7" t="s">
        <v>18408</v>
      </c>
      <c r="B10910" s="103" t="s">
        <v>18876</v>
      </c>
      <c r="C10910" s="103" t="s">
        <v>18877</v>
      </c>
      <c r="D10910" s="35" t="s">
        <v>18792</v>
      </c>
      <c r="E10910" s="2">
        <v>1</v>
      </c>
      <c r="F10910" s="9">
        <v>3</v>
      </c>
      <c r="G10910" s="8">
        <f t="shared" si="365"/>
        <v>80.576999999999998</v>
      </c>
      <c r="H10910" s="190">
        <v>76.739999999999995</v>
      </c>
      <c r="I10910" s="19">
        <f t="shared" si="362"/>
        <v>241.73099999999999</v>
      </c>
    </row>
    <row r="10911" spans="1:9" hidden="1">
      <c r="A10911" s="7" t="s">
        <v>18408</v>
      </c>
      <c r="B10911" s="103" t="s">
        <v>18878</v>
      </c>
      <c r="C10911" s="103" t="s">
        <v>18879</v>
      </c>
      <c r="D10911" s="35"/>
      <c r="E10911" s="2">
        <v>1</v>
      </c>
      <c r="F10911" s="9"/>
      <c r="G10911" s="8">
        <f t="shared" si="365"/>
        <v>0</v>
      </c>
      <c r="H10911" s="8">
        <v>0</v>
      </c>
      <c r="I10911" s="19">
        <f t="shared" si="362"/>
        <v>0</v>
      </c>
    </row>
    <row r="10912" spans="1:9" hidden="1">
      <c r="A10912" s="7" t="s">
        <v>18408</v>
      </c>
      <c r="B10912" s="103" t="s">
        <v>18880</v>
      </c>
      <c r="C10912" s="103" t="s">
        <v>18881</v>
      </c>
      <c r="D10912" s="35" t="s">
        <v>18787</v>
      </c>
      <c r="E10912" s="2">
        <v>1</v>
      </c>
      <c r="F10912" s="9"/>
      <c r="G10912" s="8">
        <f t="shared" si="365"/>
        <v>3.6749999999999998</v>
      </c>
      <c r="H10912" s="8">
        <v>3.5</v>
      </c>
      <c r="I10912" s="19">
        <f t="shared" si="362"/>
        <v>0</v>
      </c>
    </row>
    <row r="10913" spans="1:9" hidden="1">
      <c r="A10913" s="7" t="s">
        <v>18408</v>
      </c>
      <c r="B10913" s="103" t="s">
        <v>18882</v>
      </c>
      <c r="C10913" s="103" t="s">
        <v>18883</v>
      </c>
      <c r="D10913" s="35" t="s">
        <v>18787</v>
      </c>
      <c r="E10913" s="2">
        <v>1</v>
      </c>
      <c r="F10913" s="9"/>
      <c r="G10913" s="8">
        <f t="shared" si="365"/>
        <v>4.1895000000000007</v>
      </c>
      <c r="H10913" s="8">
        <v>3.99</v>
      </c>
      <c r="I10913" s="19">
        <f t="shared" si="362"/>
        <v>0</v>
      </c>
    </row>
    <row r="10914" spans="1:9" hidden="1">
      <c r="A10914" s="7" t="s">
        <v>18408</v>
      </c>
      <c r="B10914" s="103" t="s">
        <v>18884</v>
      </c>
      <c r="C10914" s="103" t="s">
        <v>18885</v>
      </c>
      <c r="D10914" s="35"/>
      <c r="E10914" s="2">
        <v>1</v>
      </c>
      <c r="F10914" s="9"/>
      <c r="G10914" s="8">
        <f t="shared" si="365"/>
        <v>0</v>
      </c>
      <c r="H10914" s="8">
        <v>0</v>
      </c>
      <c r="I10914" s="19">
        <f t="shared" si="362"/>
        <v>0</v>
      </c>
    </row>
    <row r="10915" spans="1:9" hidden="1">
      <c r="A10915" s="7" t="s">
        <v>18408</v>
      </c>
      <c r="B10915" s="103" t="s">
        <v>18886</v>
      </c>
      <c r="C10915" s="103" t="s">
        <v>18887</v>
      </c>
      <c r="D10915" s="35"/>
      <c r="E10915" s="2">
        <v>1</v>
      </c>
      <c r="F10915" s="9"/>
      <c r="G10915" s="8">
        <f t="shared" si="365"/>
        <v>0</v>
      </c>
      <c r="H10915" s="8">
        <v>0</v>
      </c>
      <c r="I10915" s="19">
        <f t="shared" si="362"/>
        <v>0</v>
      </c>
    </row>
    <row r="10916" spans="1:9">
      <c r="A10916" s="7" t="s">
        <v>18408</v>
      </c>
      <c r="B10916" s="103" t="s">
        <v>18888</v>
      </c>
      <c r="C10916" s="103" t="s">
        <v>18889</v>
      </c>
      <c r="D10916" s="35" t="s">
        <v>18411</v>
      </c>
      <c r="E10916" s="2">
        <v>1</v>
      </c>
      <c r="F10916" s="9">
        <v>2</v>
      </c>
      <c r="G10916" s="8">
        <f t="shared" si="365"/>
        <v>104.37</v>
      </c>
      <c r="H10916" s="190">
        <v>99.4</v>
      </c>
      <c r="I10916" s="19">
        <f t="shared" si="362"/>
        <v>208.74</v>
      </c>
    </row>
    <row r="10917" spans="1:9">
      <c r="A10917" s="7" t="s">
        <v>18408</v>
      </c>
      <c r="B10917" s="103" t="s">
        <v>18890</v>
      </c>
      <c r="C10917" s="103" t="s">
        <v>18891</v>
      </c>
      <c r="D10917" s="35" t="s">
        <v>2488</v>
      </c>
      <c r="E10917" s="2">
        <v>1</v>
      </c>
      <c r="F10917" s="9">
        <v>2</v>
      </c>
      <c r="G10917" s="8">
        <f t="shared" si="365"/>
        <v>207.9</v>
      </c>
      <c r="H10917" s="190">
        <v>198</v>
      </c>
      <c r="I10917" s="19">
        <f t="shared" si="362"/>
        <v>415.8</v>
      </c>
    </row>
    <row r="10918" spans="1:9">
      <c r="A10918" s="7" t="s">
        <v>18408</v>
      </c>
      <c r="B10918" s="103" t="s">
        <v>18892</v>
      </c>
      <c r="C10918" s="103" t="s">
        <v>18893</v>
      </c>
      <c r="D10918" s="35" t="s">
        <v>18894</v>
      </c>
      <c r="E10918" s="2">
        <v>1</v>
      </c>
      <c r="F10918" s="9">
        <v>4</v>
      </c>
      <c r="G10918" s="8">
        <f t="shared" si="365"/>
        <v>128.352</v>
      </c>
      <c r="H10918" s="190">
        <v>122.24</v>
      </c>
      <c r="I10918" s="19">
        <f t="shared" si="362"/>
        <v>513.40800000000002</v>
      </c>
    </row>
    <row r="10919" spans="1:9" hidden="1">
      <c r="A10919" s="7" t="s">
        <v>18408</v>
      </c>
      <c r="B10919" s="103" t="s">
        <v>18895</v>
      </c>
      <c r="C10919" s="103" t="s">
        <v>18896</v>
      </c>
      <c r="D10919" s="35"/>
      <c r="E10919" s="2">
        <v>1</v>
      </c>
      <c r="F10919" s="9"/>
      <c r="G10919" s="8">
        <f t="shared" si="365"/>
        <v>77.92049999999999</v>
      </c>
      <c r="H10919" s="8">
        <v>74.209999999999994</v>
      </c>
      <c r="I10919" s="19">
        <f t="shared" si="362"/>
        <v>0</v>
      </c>
    </row>
    <row r="10920" spans="1:9" hidden="1">
      <c r="A10920" s="7" t="s">
        <v>18408</v>
      </c>
      <c r="B10920" s="103" t="s">
        <v>18897</v>
      </c>
      <c r="C10920" s="103" t="s">
        <v>18898</v>
      </c>
      <c r="D10920" s="35" t="s">
        <v>8254</v>
      </c>
      <c r="E10920" s="2">
        <v>1</v>
      </c>
      <c r="F10920" s="9"/>
      <c r="G10920" s="8">
        <f t="shared" si="365"/>
        <v>14.2065</v>
      </c>
      <c r="H10920" s="8">
        <v>13.53</v>
      </c>
      <c r="I10920" s="19">
        <f t="shared" ref="I10920:I10958" si="367">G10920*F10920</f>
        <v>0</v>
      </c>
    </row>
    <row r="10921" spans="1:9">
      <c r="A10921" s="7" t="s">
        <v>18408</v>
      </c>
      <c r="B10921" s="103" t="s">
        <v>18899</v>
      </c>
      <c r="C10921" s="103" t="s">
        <v>18900</v>
      </c>
      <c r="D10921" s="35" t="s">
        <v>18536</v>
      </c>
      <c r="E10921" s="2">
        <v>1</v>
      </c>
      <c r="F10921" s="9">
        <v>8</v>
      </c>
      <c r="G10921" s="8">
        <f t="shared" si="365"/>
        <v>128.625</v>
      </c>
      <c r="H10921" s="190">
        <v>122.5</v>
      </c>
      <c r="I10921" s="19">
        <f t="shared" si="367"/>
        <v>1029</v>
      </c>
    </row>
    <row r="10922" spans="1:9">
      <c r="A10922" s="7" t="s">
        <v>18408</v>
      </c>
      <c r="B10922" s="103" t="s">
        <v>18901</v>
      </c>
      <c r="C10922" s="103" t="s">
        <v>18902</v>
      </c>
      <c r="D10922" s="35" t="s">
        <v>8224</v>
      </c>
      <c r="E10922" s="2">
        <v>1</v>
      </c>
      <c r="F10922" s="9">
        <v>6</v>
      </c>
      <c r="G10922" s="8">
        <f t="shared" si="365"/>
        <v>38.8185</v>
      </c>
      <c r="H10922" s="190">
        <v>36.97</v>
      </c>
      <c r="I10922" s="19">
        <f t="shared" si="367"/>
        <v>232.911</v>
      </c>
    </row>
    <row r="10923" spans="1:9" hidden="1">
      <c r="A10923" s="7" t="s">
        <v>18408</v>
      </c>
      <c r="B10923" s="103" t="s">
        <v>18903</v>
      </c>
      <c r="C10923" s="103" t="s">
        <v>18904</v>
      </c>
      <c r="D10923" s="35" t="s">
        <v>8224</v>
      </c>
      <c r="E10923" s="2">
        <v>1</v>
      </c>
      <c r="F10923" s="9"/>
      <c r="G10923" s="8">
        <f t="shared" si="365"/>
        <v>1.8374999999999999</v>
      </c>
      <c r="H10923" s="8">
        <v>1.75</v>
      </c>
      <c r="I10923" s="19">
        <f t="shared" si="367"/>
        <v>0</v>
      </c>
    </row>
    <row r="10924" spans="1:9" hidden="1">
      <c r="A10924" s="7" t="s">
        <v>18408</v>
      </c>
      <c r="B10924" s="103" t="s">
        <v>18903</v>
      </c>
      <c r="C10924" s="103" t="s">
        <v>18904</v>
      </c>
      <c r="D10924" s="35" t="s">
        <v>18905</v>
      </c>
      <c r="E10924" s="2">
        <v>1</v>
      </c>
      <c r="F10924" s="9"/>
      <c r="G10924" s="8">
        <f t="shared" si="365"/>
        <v>1.8374999999999999</v>
      </c>
      <c r="H10924" s="8">
        <v>1.75</v>
      </c>
      <c r="I10924" s="19">
        <f t="shared" si="367"/>
        <v>0</v>
      </c>
    </row>
    <row r="10925" spans="1:9" hidden="1">
      <c r="A10925" s="7" t="s">
        <v>18408</v>
      </c>
      <c r="B10925" s="103" t="s">
        <v>18906</v>
      </c>
      <c r="C10925" s="103" t="s">
        <v>18907</v>
      </c>
      <c r="D10925" s="35" t="s">
        <v>18908</v>
      </c>
      <c r="E10925" s="2">
        <v>1</v>
      </c>
      <c r="F10925" s="9"/>
      <c r="G10925" s="8">
        <f t="shared" si="365"/>
        <v>3.6749999999999998</v>
      </c>
      <c r="H10925" s="8">
        <v>3.5</v>
      </c>
      <c r="I10925" s="19">
        <f t="shared" si="367"/>
        <v>0</v>
      </c>
    </row>
    <row r="10926" spans="1:9">
      <c r="A10926" s="7" t="s">
        <v>18408</v>
      </c>
      <c r="B10926" s="103" t="s">
        <v>18909</v>
      </c>
      <c r="C10926" s="103" t="s">
        <v>18907</v>
      </c>
      <c r="D10926" s="35" t="s">
        <v>18531</v>
      </c>
      <c r="E10926" s="2">
        <v>1</v>
      </c>
      <c r="F10926" s="9">
        <v>29</v>
      </c>
      <c r="G10926" s="8">
        <f t="shared" si="365"/>
        <v>12.127500000000001</v>
      </c>
      <c r="H10926" s="190">
        <v>11.55</v>
      </c>
      <c r="I10926" s="19">
        <f t="shared" si="367"/>
        <v>351.69750000000005</v>
      </c>
    </row>
    <row r="10927" spans="1:9" hidden="1">
      <c r="A10927" s="7" t="s">
        <v>18408</v>
      </c>
      <c r="B10927" s="103" t="s">
        <v>18910</v>
      </c>
      <c r="C10927" s="103" t="s">
        <v>18911</v>
      </c>
      <c r="D10927" s="35" t="s">
        <v>8224</v>
      </c>
      <c r="E10927" s="2">
        <v>1</v>
      </c>
      <c r="F10927" s="9"/>
      <c r="G10927" s="8">
        <f t="shared" si="365"/>
        <v>7.8014999999999999</v>
      </c>
      <c r="H10927" s="8">
        <v>7.43</v>
      </c>
      <c r="I10927" s="19">
        <f t="shared" si="367"/>
        <v>0</v>
      </c>
    </row>
    <row r="10928" spans="1:9">
      <c r="A10928" s="7" t="s">
        <v>18408</v>
      </c>
      <c r="B10928" s="103" t="s">
        <v>18912</v>
      </c>
      <c r="C10928" s="103" t="s">
        <v>18913</v>
      </c>
      <c r="D10928" s="35" t="s">
        <v>8254</v>
      </c>
      <c r="E10928" s="2">
        <v>1</v>
      </c>
      <c r="F10928" s="9">
        <v>3</v>
      </c>
      <c r="G10928" s="8">
        <f t="shared" si="365"/>
        <v>18.039000000000001</v>
      </c>
      <c r="H10928" s="190">
        <v>17.18</v>
      </c>
      <c r="I10928" s="19">
        <f t="shared" si="367"/>
        <v>54.117000000000004</v>
      </c>
    </row>
    <row r="10929" spans="1:9" hidden="1">
      <c r="A10929" s="7" t="s">
        <v>18408</v>
      </c>
      <c r="B10929" s="103" t="s">
        <v>18914</v>
      </c>
      <c r="C10929" s="103" t="s">
        <v>18915</v>
      </c>
      <c r="D10929" s="35" t="s">
        <v>8254</v>
      </c>
      <c r="E10929" s="2">
        <v>1</v>
      </c>
      <c r="F10929" s="9"/>
      <c r="G10929" s="8">
        <f t="shared" si="365"/>
        <v>8.2004999999999999</v>
      </c>
      <c r="H10929" s="8">
        <v>7.81</v>
      </c>
      <c r="I10929" s="19">
        <f t="shared" si="367"/>
        <v>0</v>
      </c>
    </row>
    <row r="10930" spans="1:9">
      <c r="A10930" s="7" t="s">
        <v>18408</v>
      </c>
      <c r="B10930" s="103" t="s">
        <v>18916</v>
      </c>
      <c r="C10930" s="103" t="s">
        <v>18917</v>
      </c>
      <c r="D10930" s="35" t="s">
        <v>18457</v>
      </c>
      <c r="E10930" s="2">
        <v>1</v>
      </c>
      <c r="F10930" s="9">
        <v>24</v>
      </c>
      <c r="G10930" s="8">
        <f t="shared" si="365"/>
        <v>21.052500000000002</v>
      </c>
      <c r="H10930" s="190">
        <v>20.05</v>
      </c>
      <c r="I10930" s="19">
        <f t="shared" si="367"/>
        <v>505.26000000000005</v>
      </c>
    </row>
    <row r="10931" spans="1:9">
      <c r="A10931" s="7" t="s">
        <v>18408</v>
      </c>
      <c r="B10931" s="103" t="s">
        <v>18918</v>
      </c>
      <c r="C10931" s="103" t="s">
        <v>18919</v>
      </c>
      <c r="D10931" s="35" t="s">
        <v>18457</v>
      </c>
      <c r="E10931" s="2">
        <v>1</v>
      </c>
      <c r="F10931" s="9">
        <v>28</v>
      </c>
      <c r="G10931" s="8">
        <f t="shared" si="365"/>
        <v>46.094999999999999</v>
      </c>
      <c r="H10931" s="190">
        <v>43.9</v>
      </c>
      <c r="I10931" s="19">
        <f t="shared" si="367"/>
        <v>1290.6599999999999</v>
      </c>
    </row>
    <row r="10932" spans="1:9">
      <c r="A10932" s="7" t="s">
        <v>18408</v>
      </c>
      <c r="B10932" s="103" t="s">
        <v>18920</v>
      </c>
      <c r="C10932" s="103" t="s">
        <v>18921</v>
      </c>
      <c r="D10932" s="35" t="s">
        <v>18457</v>
      </c>
      <c r="E10932" s="2">
        <v>1</v>
      </c>
      <c r="F10932" s="9">
        <v>8</v>
      </c>
      <c r="G10932" s="8">
        <f t="shared" si="365"/>
        <v>10.0275</v>
      </c>
      <c r="H10932" s="190">
        <v>9.5500000000000007</v>
      </c>
      <c r="I10932" s="19">
        <f t="shared" si="367"/>
        <v>80.22</v>
      </c>
    </row>
    <row r="10933" spans="1:9">
      <c r="A10933" s="7" t="s">
        <v>18408</v>
      </c>
      <c r="B10933" s="103" t="s">
        <v>18922</v>
      </c>
      <c r="C10933" s="103" t="s">
        <v>18923</v>
      </c>
      <c r="D10933" s="35" t="s">
        <v>18457</v>
      </c>
      <c r="E10933" s="2">
        <v>1</v>
      </c>
      <c r="F10933" s="9">
        <v>18</v>
      </c>
      <c r="G10933" s="8">
        <f t="shared" si="365"/>
        <v>21.630000000000003</v>
      </c>
      <c r="H10933" s="190">
        <v>20.6</v>
      </c>
      <c r="I10933" s="19">
        <f t="shared" si="367"/>
        <v>389.34000000000003</v>
      </c>
    </row>
    <row r="10934" spans="1:9">
      <c r="A10934" s="7" t="s">
        <v>18408</v>
      </c>
      <c r="B10934" s="103" t="s">
        <v>18924</v>
      </c>
      <c r="C10934" s="103" t="s">
        <v>18925</v>
      </c>
      <c r="D10934" s="35" t="s">
        <v>8311</v>
      </c>
      <c r="E10934" s="2">
        <v>1</v>
      </c>
      <c r="F10934" s="9">
        <v>8</v>
      </c>
      <c r="G10934" s="8">
        <f t="shared" si="365"/>
        <v>26.071499999999997</v>
      </c>
      <c r="H10934" s="190">
        <v>24.83</v>
      </c>
      <c r="I10934" s="19">
        <f t="shared" si="367"/>
        <v>208.57199999999997</v>
      </c>
    </row>
    <row r="10935" spans="1:9">
      <c r="A10935" s="7" t="s">
        <v>18408</v>
      </c>
      <c r="B10935" s="103" t="s">
        <v>18926</v>
      </c>
      <c r="C10935" s="103" t="s">
        <v>18927</v>
      </c>
      <c r="D10935" s="35" t="s">
        <v>8311</v>
      </c>
      <c r="E10935" s="2">
        <v>1</v>
      </c>
      <c r="F10935" s="9">
        <v>4</v>
      </c>
      <c r="G10935" s="8">
        <f t="shared" si="365"/>
        <v>29.483999999999998</v>
      </c>
      <c r="H10935" s="190">
        <v>28.08</v>
      </c>
      <c r="I10935" s="19">
        <f t="shared" si="367"/>
        <v>117.93599999999999</v>
      </c>
    </row>
    <row r="10936" spans="1:9" hidden="1">
      <c r="A10936" s="7" t="s">
        <v>18408</v>
      </c>
      <c r="B10936" s="103" t="s">
        <v>18928</v>
      </c>
      <c r="C10936" s="103" t="s">
        <v>18929</v>
      </c>
      <c r="D10936" s="35"/>
      <c r="E10936" s="2">
        <v>1</v>
      </c>
      <c r="F10936" s="9"/>
      <c r="G10936" s="8">
        <f t="shared" si="365"/>
        <v>0</v>
      </c>
      <c r="H10936" s="8">
        <v>0</v>
      </c>
      <c r="I10936" s="19">
        <f t="shared" si="367"/>
        <v>0</v>
      </c>
    </row>
    <row r="10937" spans="1:9" hidden="1">
      <c r="A10937" s="7" t="s">
        <v>18408</v>
      </c>
      <c r="B10937" s="103" t="s">
        <v>18930</v>
      </c>
      <c r="C10937" s="103" t="s">
        <v>18931</v>
      </c>
      <c r="D10937" s="35"/>
      <c r="E10937" s="2">
        <v>1</v>
      </c>
      <c r="F10937" s="9"/>
      <c r="G10937" s="8">
        <f t="shared" si="365"/>
        <v>0</v>
      </c>
      <c r="H10937" s="8">
        <v>0</v>
      </c>
      <c r="I10937" s="19">
        <f t="shared" si="367"/>
        <v>0</v>
      </c>
    </row>
    <row r="10938" spans="1:9" hidden="1">
      <c r="A10938" s="7" t="s">
        <v>18408</v>
      </c>
      <c r="B10938" s="103" t="s">
        <v>18932</v>
      </c>
      <c r="C10938" s="103" t="s">
        <v>18933</v>
      </c>
      <c r="D10938" s="35" t="s">
        <v>18792</v>
      </c>
      <c r="E10938" s="2">
        <v>1</v>
      </c>
      <c r="F10938" s="9"/>
      <c r="G10938" s="8">
        <f t="shared" si="365"/>
        <v>10.584</v>
      </c>
      <c r="H10938" s="190">
        <v>10.08</v>
      </c>
      <c r="I10938" s="19">
        <f t="shared" si="367"/>
        <v>0</v>
      </c>
    </row>
    <row r="10939" spans="1:9">
      <c r="A10939" s="7" t="s">
        <v>18408</v>
      </c>
      <c r="B10939" s="103" t="s">
        <v>18934</v>
      </c>
      <c r="C10939" s="103" t="s">
        <v>18935</v>
      </c>
      <c r="D10939" s="35" t="s">
        <v>18833</v>
      </c>
      <c r="E10939" s="2">
        <v>1</v>
      </c>
      <c r="F10939" s="9">
        <v>5</v>
      </c>
      <c r="G10939" s="8">
        <f t="shared" si="365"/>
        <v>69.3</v>
      </c>
      <c r="H10939" s="190">
        <v>66</v>
      </c>
      <c r="I10939" s="19">
        <f t="shared" si="367"/>
        <v>346.5</v>
      </c>
    </row>
    <row r="10940" spans="1:9" hidden="1">
      <c r="A10940" s="7" t="s">
        <v>18408</v>
      </c>
      <c r="B10940" s="103" t="s">
        <v>18936</v>
      </c>
      <c r="C10940" s="103" t="s">
        <v>18935</v>
      </c>
      <c r="D10940" s="35" t="s">
        <v>18833</v>
      </c>
      <c r="E10940" s="2">
        <v>1</v>
      </c>
      <c r="F10940" s="9"/>
      <c r="G10940" s="8">
        <f t="shared" si="365"/>
        <v>1.575</v>
      </c>
      <c r="H10940" s="8">
        <v>1.5</v>
      </c>
      <c r="I10940" s="19">
        <f t="shared" si="367"/>
        <v>0</v>
      </c>
    </row>
    <row r="10941" spans="1:9">
      <c r="A10941" s="7" t="s">
        <v>18408</v>
      </c>
      <c r="B10941" s="103" t="s">
        <v>18937</v>
      </c>
      <c r="C10941" s="103" t="s">
        <v>18938</v>
      </c>
      <c r="D10941" s="35" t="s">
        <v>18939</v>
      </c>
      <c r="E10941" s="2">
        <v>1</v>
      </c>
      <c r="F10941" s="9">
        <v>2</v>
      </c>
      <c r="G10941" s="8">
        <f t="shared" ref="G10941:G11014" si="368">H10941+(H10941*5%)</f>
        <v>182.7</v>
      </c>
      <c r="H10941" s="190">
        <v>174</v>
      </c>
      <c r="I10941" s="19">
        <f t="shared" si="367"/>
        <v>365.4</v>
      </c>
    </row>
    <row r="10942" spans="1:9">
      <c r="A10942" s="7" t="s">
        <v>18408</v>
      </c>
      <c r="B10942" s="103" t="s">
        <v>18940</v>
      </c>
      <c r="C10942" s="103" t="s">
        <v>18941</v>
      </c>
      <c r="D10942" s="35" t="s">
        <v>18444</v>
      </c>
      <c r="E10942" s="2">
        <v>1</v>
      </c>
      <c r="F10942" s="9">
        <v>4</v>
      </c>
      <c r="G10942" s="8">
        <f t="shared" si="368"/>
        <v>5.5964999999999998</v>
      </c>
      <c r="H10942" s="190">
        <v>5.33</v>
      </c>
      <c r="I10942" s="19">
        <f t="shared" si="367"/>
        <v>22.385999999999999</v>
      </c>
    </row>
    <row r="10943" spans="1:9" hidden="1">
      <c r="A10943" s="7" t="s">
        <v>18408</v>
      </c>
      <c r="B10943" s="103" t="s">
        <v>18942</v>
      </c>
      <c r="C10943" s="103" t="s">
        <v>18943</v>
      </c>
      <c r="D10943" s="35"/>
      <c r="E10943" s="2">
        <v>1</v>
      </c>
      <c r="F10943" s="9"/>
      <c r="G10943" s="8">
        <f t="shared" si="368"/>
        <v>89.775000000000006</v>
      </c>
      <c r="H10943" s="8">
        <v>85.5</v>
      </c>
      <c r="I10943" s="19">
        <f t="shared" si="367"/>
        <v>0</v>
      </c>
    </row>
    <row r="10944" spans="1:9" hidden="1">
      <c r="A10944" s="7" t="s">
        <v>18408</v>
      </c>
      <c r="B10944" s="103" t="s">
        <v>18944</v>
      </c>
      <c r="C10944" s="103" t="s">
        <v>18945</v>
      </c>
      <c r="D10944" s="35"/>
      <c r="E10944" s="2">
        <v>1</v>
      </c>
      <c r="F10944" s="9"/>
      <c r="G10944" s="8">
        <f t="shared" si="368"/>
        <v>45.213000000000001</v>
      </c>
      <c r="H10944" s="8">
        <v>43.06</v>
      </c>
      <c r="I10944" s="19">
        <f t="shared" si="367"/>
        <v>0</v>
      </c>
    </row>
    <row r="10945" spans="1:9" hidden="1">
      <c r="A10945" s="7" t="s">
        <v>18408</v>
      </c>
      <c r="B10945" s="103" t="s">
        <v>18946</v>
      </c>
      <c r="C10945" s="103" t="s">
        <v>18947</v>
      </c>
      <c r="D10945" s="35" t="s">
        <v>18549</v>
      </c>
      <c r="E10945" s="2">
        <v>1</v>
      </c>
      <c r="F10945" s="9"/>
      <c r="G10945" s="8">
        <f t="shared" si="368"/>
        <v>0.98699999999999999</v>
      </c>
      <c r="H10945" s="8">
        <v>0.94</v>
      </c>
      <c r="I10945" s="19">
        <f t="shared" si="367"/>
        <v>0</v>
      </c>
    </row>
    <row r="10946" spans="1:9" hidden="1">
      <c r="A10946" s="7" t="s">
        <v>18408</v>
      </c>
      <c r="B10946" s="103" t="s">
        <v>18948</v>
      </c>
      <c r="C10946" s="103" t="s">
        <v>18949</v>
      </c>
      <c r="D10946" s="35"/>
      <c r="E10946" s="2">
        <v>1</v>
      </c>
      <c r="F10946" s="9"/>
      <c r="G10946" s="8">
        <f t="shared" si="368"/>
        <v>26.323499999999999</v>
      </c>
      <c r="H10946" s="8">
        <v>25.07</v>
      </c>
      <c r="I10946" s="19">
        <f t="shared" si="367"/>
        <v>0</v>
      </c>
    </row>
    <row r="10947" spans="1:9" hidden="1">
      <c r="A10947" s="7" t="s">
        <v>18408</v>
      </c>
      <c r="B10947" s="103" t="s">
        <v>18950</v>
      </c>
      <c r="C10947" s="103" t="s">
        <v>18951</v>
      </c>
      <c r="D10947" s="35"/>
      <c r="E10947" s="2">
        <v>1</v>
      </c>
      <c r="F10947" s="9"/>
      <c r="G10947" s="8">
        <f t="shared" si="368"/>
        <v>124.95</v>
      </c>
      <c r="H10947" s="8">
        <v>119</v>
      </c>
      <c r="I10947" s="19">
        <f t="shared" si="367"/>
        <v>0</v>
      </c>
    </row>
    <row r="10948" spans="1:9" hidden="1">
      <c r="A10948" s="7" t="s">
        <v>18408</v>
      </c>
      <c r="B10948" s="103" t="s">
        <v>18952</v>
      </c>
      <c r="C10948" s="103" t="s">
        <v>18953</v>
      </c>
      <c r="D10948" s="35"/>
      <c r="E10948" s="2">
        <v>1</v>
      </c>
      <c r="F10948" s="9"/>
      <c r="G10948" s="8">
        <f t="shared" si="368"/>
        <v>0</v>
      </c>
      <c r="H10948" s="8">
        <v>0</v>
      </c>
      <c r="I10948" s="19">
        <f>G10948*F10948</f>
        <v>0</v>
      </c>
    </row>
    <row r="10949" spans="1:9">
      <c r="A10949" s="7" t="s">
        <v>18408</v>
      </c>
      <c r="B10949" s="103" t="s">
        <v>18954</v>
      </c>
      <c r="C10949" s="103" t="s">
        <v>18955</v>
      </c>
      <c r="D10949" s="35" t="s">
        <v>18956</v>
      </c>
      <c r="E10949" s="2">
        <v>1</v>
      </c>
      <c r="F10949" s="9">
        <v>2</v>
      </c>
      <c r="G10949" s="8">
        <f>H10949+(H10949*5%)</f>
        <v>24.023999999999997</v>
      </c>
      <c r="H10949" s="190">
        <v>22.88</v>
      </c>
      <c r="I10949" s="19">
        <f>G10949*F10949</f>
        <v>48.047999999999995</v>
      </c>
    </row>
    <row r="10950" spans="1:9">
      <c r="A10950" s="7" t="s">
        <v>18408</v>
      </c>
      <c r="B10950" s="103" t="s">
        <v>18957</v>
      </c>
      <c r="C10950" s="103" t="s">
        <v>18958</v>
      </c>
      <c r="D10950" s="35" t="s">
        <v>18792</v>
      </c>
      <c r="E10950" s="2">
        <v>1</v>
      </c>
      <c r="F10950" s="9">
        <v>2</v>
      </c>
      <c r="G10950" s="8">
        <f>H10950+(H10950*5%)</f>
        <v>26.774999999999999</v>
      </c>
      <c r="H10950" s="190">
        <v>25.5</v>
      </c>
      <c r="I10950" s="19">
        <f>G10950*F10950</f>
        <v>53.55</v>
      </c>
    </row>
    <row r="10951" spans="1:9" hidden="1">
      <c r="A10951" s="7" t="s">
        <v>18408</v>
      </c>
      <c r="B10951" s="103" t="s">
        <v>18959</v>
      </c>
      <c r="C10951" s="103" t="s">
        <v>18960</v>
      </c>
      <c r="D10951" s="35"/>
      <c r="E10951" s="2">
        <v>1</v>
      </c>
      <c r="F10951" s="9"/>
      <c r="G10951" s="8">
        <f t="shared" si="368"/>
        <v>17.576999999999998</v>
      </c>
      <c r="H10951" s="8">
        <v>16.739999999999998</v>
      </c>
      <c r="I10951" s="19">
        <f t="shared" si="367"/>
        <v>0</v>
      </c>
    </row>
    <row r="10952" spans="1:9" hidden="1">
      <c r="A10952" s="7" t="s">
        <v>18408</v>
      </c>
      <c r="B10952" s="103" t="s">
        <v>18961</v>
      </c>
      <c r="C10952" s="103" t="s">
        <v>18960</v>
      </c>
      <c r="D10952" s="35"/>
      <c r="E10952" s="2">
        <v>1</v>
      </c>
      <c r="F10952" s="9"/>
      <c r="G10952" s="8">
        <f t="shared" si="368"/>
        <v>17.576999999999998</v>
      </c>
      <c r="H10952" s="8">
        <v>16.739999999999998</v>
      </c>
      <c r="I10952" s="19">
        <f t="shared" si="367"/>
        <v>0</v>
      </c>
    </row>
    <row r="10953" spans="1:9" hidden="1">
      <c r="A10953" s="7" t="s">
        <v>18408</v>
      </c>
      <c r="B10953" s="103" t="s">
        <v>18962</v>
      </c>
      <c r="C10953" s="103" t="s">
        <v>18963</v>
      </c>
      <c r="D10953" s="35"/>
      <c r="E10953" s="2">
        <v>1</v>
      </c>
      <c r="F10953" s="9"/>
      <c r="G10953" s="8">
        <f t="shared" si="368"/>
        <v>0</v>
      </c>
      <c r="H10953" s="8">
        <v>0</v>
      </c>
      <c r="I10953" s="19">
        <f t="shared" si="367"/>
        <v>0</v>
      </c>
    </row>
    <row r="10954" spans="1:9" hidden="1">
      <c r="A10954" s="7" t="s">
        <v>18408</v>
      </c>
      <c r="B10954" s="103" t="s">
        <v>18964</v>
      </c>
      <c r="C10954" s="103" t="s">
        <v>18965</v>
      </c>
      <c r="D10954" s="35"/>
      <c r="E10954" s="2">
        <v>1</v>
      </c>
      <c r="F10954" s="9"/>
      <c r="G10954" s="8">
        <f t="shared" si="368"/>
        <v>0</v>
      </c>
      <c r="H10954" s="8">
        <v>0</v>
      </c>
      <c r="I10954" s="19">
        <f t="shared" si="367"/>
        <v>0</v>
      </c>
    </row>
    <row r="10955" spans="1:9" hidden="1">
      <c r="A10955" s="7" t="s">
        <v>18408</v>
      </c>
      <c r="B10955" s="103" t="s">
        <v>18966</v>
      </c>
      <c r="C10955" s="103" t="s">
        <v>18967</v>
      </c>
      <c r="D10955" s="35" t="s">
        <v>18457</v>
      </c>
      <c r="E10955" s="2">
        <v>1</v>
      </c>
      <c r="F10955" s="9"/>
      <c r="G10955" s="8">
        <f t="shared" si="368"/>
        <v>3.9375</v>
      </c>
      <c r="H10955" s="8">
        <v>3.75</v>
      </c>
      <c r="I10955" s="19">
        <f t="shared" si="367"/>
        <v>0</v>
      </c>
    </row>
    <row r="10956" spans="1:9">
      <c r="A10956" s="7" t="s">
        <v>18408</v>
      </c>
      <c r="B10956" s="103" t="s">
        <v>18968</v>
      </c>
      <c r="C10956" s="103" t="s">
        <v>18969</v>
      </c>
      <c r="D10956" s="35" t="s">
        <v>8224</v>
      </c>
      <c r="E10956" s="2">
        <v>1</v>
      </c>
      <c r="F10956" s="9">
        <v>6</v>
      </c>
      <c r="G10956" s="8">
        <f>H10956+(H10956*5%)</f>
        <v>51.45</v>
      </c>
      <c r="H10956" s="190">
        <v>49</v>
      </c>
      <c r="I10956" s="19">
        <f>G10956*F10956</f>
        <v>308.70000000000005</v>
      </c>
    </row>
    <row r="10957" spans="1:9">
      <c r="A10957" s="7" t="s">
        <v>18408</v>
      </c>
      <c r="B10957" s="103" t="s">
        <v>18970</v>
      </c>
      <c r="C10957" s="103" t="s">
        <v>18971</v>
      </c>
      <c r="D10957" s="35" t="s">
        <v>18972</v>
      </c>
      <c r="E10957" s="2">
        <v>1</v>
      </c>
      <c r="F10957" s="191">
        <v>4</v>
      </c>
      <c r="G10957" s="8">
        <f t="shared" si="368"/>
        <v>24.695999999999998</v>
      </c>
      <c r="H10957" s="8">
        <v>23.52</v>
      </c>
      <c r="I10957" s="19">
        <f t="shared" si="367"/>
        <v>98.783999999999992</v>
      </c>
    </row>
    <row r="10958" spans="1:9">
      <c r="A10958" s="7" t="s">
        <v>18408</v>
      </c>
      <c r="B10958" s="103" t="s">
        <v>18973</v>
      </c>
      <c r="C10958" s="103" t="s">
        <v>18974</v>
      </c>
      <c r="D10958" s="35"/>
      <c r="E10958" s="2">
        <v>1</v>
      </c>
      <c r="F10958" s="9">
        <v>7</v>
      </c>
      <c r="G10958" s="8">
        <f t="shared" si="368"/>
        <v>9.4290000000000003</v>
      </c>
      <c r="H10958" s="190">
        <v>8.98</v>
      </c>
      <c r="I10958" s="19">
        <f t="shared" si="367"/>
        <v>66.003</v>
      </c>
    </row>
    <row r="10959" spans="1:9" hidden="1">
      <c r="A10959" s="7" t="s">
        <v>18408</v>
      </c>
      <c r="B10959" s="103" t="s">
        <v>18975</v>
      </c>
      <c r="C10959" s="103" t="s">
        <v>18976</v>
      </c>
      <c r="D10959" s="35"/>
      <c r="E10959" s="2">
        <v>1</v>
      </c>
      <c r="F10959" s="9"/>
      <c r="G10959" s="8">
        <f t="shared" si="368"/>
        <v>20.128500000000003</v>
      </c>
      <c r="H10959" s="8">
        <v>19.170000000000002</v>
      </c>
      <c r="I10959" s="19">
        <f t="shared" si="362"/>
        <v>0</v>
      </c>
    </row>
    <row r="10960" spans="1:9">
      <c r="A10960" s="7" t="s">
        <v>18408</v>
      </c>
      <c r="B10960" s="103" t="s">
        <v>18977</v>
      </c>
      <c r="C10960" s="103" t="s">
        <v>18978</v>
      </c>
      <c r="D10960" s="35" t="s">
        <v>8254</v>
      </c>
      <c r="E10960" s="2">
        <v>1</v>
      </c>
      <c r="F10960" s="9">
        <v>8</v>
      </c>
      <c r="G10960" s="8">
        <f t="shared" si="368"/>
        <v>10.311</v>
      </c>
      <c r="H10960" s="190">
        <v>9.82</v>
      </c>
      <c r="I10960" s="19">
        <f t="shared" si="362"/>
        <v>82.488</v>
      </c>
    </row>
    <row r="10961" spans="1:9" hidden="1">
      <c r="A10961" s="7" t="s">
        <v>18408</v>
      </c>
      <c r="B10961" s="103" t="s">
        <v>18979</v>
      </c>
      <c r="C10961" s="103" t="s">
        <v>18980</v>
      </c>
      <c r="D10961" s="35" t="s">
        <v>8254</v>
      </c>
      <c r="E10961" s="2">
        <v>1</v>
      </c>
      <c r="F10961" s="9"/>
      <c r="G10961" s="8">
        <f t="shared" si="368"/>
        <v>12.894</v>
      </c>
      <c r="H10961" s="190">
        <v>12.28</v>
      </c>
      <c r="I10961" s="19">
        <f t="shared" si="362"/>
        <v>0</v>
      </c>
    </row>
    <row r="10962" spans="1:9" hidden="1">
      <c r="A10962" s="7" t="s">
        <v>18408</v>
      </c>
      <c r="B10962" s="103" t="s">
        <v>18979</v>
      </c>
      <c r="C10962" s="103" t="s">
        <v>18980</v>
      </c>
      <c r="D10962" s="35" t="s">
        <v>18894</v>
      </c>
      <c r="E10962" s="2">
        <v>1</v>
      </c>
      <c r="F10962" s="9"/>
      <c r="G10962" s="8">
        <f t="shared" si="368"/>
        <v>5.8694999999999995</v>
      </c>
      <c r="H10962" s="8">
        <v>5.59</v>
      </c>
      <c r="I10962" s="19">
        <f t="shared" si="362"/>
        <v>0</v>
      </c>
    </row>
    <row r="10963" spans="1:9">
      <c r="A10963" s="7" t="s">
        <v>18408</v>
      </c>
      <c r="B10963" s="103" t="s">
        <v>18981</v>
      </c>
      <c r="C10963" s="103" t="s">
        <v>18982</v>
      </c>
      <c r="D10963" s="35" t="s">
        <v>8224</v>
      </c>
      <c r="E10963" s="2">
        <v>1</v>
      </c>
      <c r="F10963" s="9">
        <v>6</v>
      </c>
      <c r="G10963" s="8">
        <f t="shared" si="368"/>
        <v>8.599499999999999</v>
      </c>
      <c r="H10963" s="190">
        <v>8.19</v>
      </c>
      <c r="I10963" s="19">
        <f t="shared" si="362"/>
        <v>51.596999999999994</v>
      </c>
    </row>
    <row r="10964" spans="1:9" hidden="1">
      <c r="A10964" s="7" t="s">
        <v>18408</v>
      </c>
      <c r="B10964" s="103" t="s">
        <v>18981</v>
      </c>
      <c r="C10964" s="103" t="s">
        <v>18982</v>
      </c>
      <c r="D10964" s="35" t="s">
        <v>18983</v>
      </c>
      <c r="E10964" s="2">
        <v>1</v>
      </c>
      <c r="F10964" s="9"/>
      <c r="G10964" s="8">
        <f t="shared" si="368"/>
        <v>7.8224999999999998</v>
      </c>
      <c r="H10964" s="8">
        <v>7.45</v>
      </c>
      <c r="I10964" s="19">
        <f t="shared" si="362"/>
        <v>0</v>
      </c>
    </row>
    <row r="10965" spans="1:9" hidden="1">
      <c r="A10965" s="7" t="s">
        <v>18408</v>
      </c>
      <c r="B10965" s="103" t="s">
        <v>18984</v>
      </c>
      <c r="C10965" s="103" t="s">
        <v>18985</v>
      </c>
      <c r="D10965" s="35" t="s">
        <v>8254</v>
      </c>
      <c r="E10965" s="2">
        <v>1</v>
      </c>
      <c r="F10965" s="9"/>
      <c r="G10965" s="8">
        <f t="shared" si="368"/>
        <v>16.274999999999999</v>
      </c>
      <c r="H10965" s="8">
        <v>15.5</v>
      </c>
      <c r="I10965" s="19">
        <f t="shared" si="362"/>
        <v>0</v>
      </c>
    </row>
    <row r="10966" spans="1:9">
      <c r="A10966" s="7" t="s">
        <v>18408</v>
      </c>
      <c r="B10966" s="103" t="s">
        <v>18986</v>
      </c>
      <c r="C10966" s="103" t="s">
        <v>18987</v>
      </c>
      <c r="D10966" s="35" t="s">
        <v>18833</v>
      </c>
      <c r="E10966" s="2">
        <v>1</v>
      </c>
      <c r="F10966" s="9">
        <v>5</v>
      </c>
      <c r="G10966" s="8">
        <f t="shared" si="368"/>
        <v>211.995</v>
      </c>
      <c r="H10966" s="190">
        <v>201.9</v>
      </c>
      <c r="I10966" s="19">
        <f t="shared" si="362"/>
        <v>1059.9749999999999</v>
      </c>
    </row>
    <row r="10967" spans="1:9" hidden="1">
      <c r="A10967" s="7" t="s">
        <v>18408</v>
      </c>
      <c r="B10967" s="103" t="s">
        <v>18988</v>
      </c>
      <c r="C10967" s="103" t="s">
        <v>18989</v>
      </c>
      <c r="D10967" s="35" t="s">
        <v>18444</v>
      </c>
      <c r="E10967" s="2">
        <v>1</v>
      </c>
      <c r="F10967" s="9"/>
      <c r="G10967" s="8">
        <f t="shared" si="368"/>
        <v>74.298000000000002</v>
      </c>
      <c r="H10967" s="8">
        <v>70.760000000000005</v>
      </c>
      <c r="I10967" s="19">
        <f t="shared" si="362"/>
        <v>0</v>
      </c>
    </row>
    <row r="10968" spans="1:9">
      <c r="A10968" s="7" t="s">
        <v>18408</v>
      </c>
      <c r="B10968" s="103" t="s">
        <v>18990</v>
      </c>
      <c r="C10968" s="103" t="s">
        <v>18991</v>
      </c>
      <c r="D10968" s="35" t="s">
        <v>18444</v>
      </c>
      <c r="E10968" s="2">
        <v>1</v>
      </c>
      <c r="F10968" s="9">
        <v>4</v>
      </c>
      <c r="G10968" s="8">
        <f>H10968+(H10968*5%)</f>
        <v>91.454999999999998</v>
      </c>
      <c r="H10968" s="190">
        <v>87.1</v>
      </c>
      <c r="I10968" s="19">
        <f>G10968*F10968</f>
        <v>365.82</v>
      </c>
    </row>
    <row r="10969" spans="1:9">
      <c r="A10969" s="7" t="s">
        <v>18408</v>
      </c>
      <c r="B10969" s="103" t="s">
        <v>18992</v>
      </c>
      <c r="C10969" s="103" t="s">
        <v>18993</v>
      </c>
      <c r="D10969" s="35" t="s">
        <v>18444</v>
      </c>
      <c r="E10969" s="2">
        <v>1</v>
      </c>
      <c r="F10969" s="9">
        <v>2</v>
      </c>
      <c r="G10969" s="8">
        <f>H10969+(H10969*5%)</f>
        <v>38.891999999999996</v>
      </c>
      <c r="H10969" s="190">
        <v>37.04</v>
      </c>
      <c r="I10969" s="19">
        <f>G10969*F10969</f>
        <v>77.783999999999992</v>
      </c>
    </row>
    <row r="10970" spans="1:9">
      <c r="A10970" s="7" t="s">
        <v>18408</v>
      </c>
      <c r="B10970" s="103" t="s">
        <v>18994</v>
      </c>
      <c r="C10970" s="103" t="s">
        <v>18995</v>
      </c>
      <c r="D10970" s="35" t="s">
        <v>18444</v>
      </c>
      <c r="E10970" s="2">
        <v>1</v>
      </c>
      <c r="F10970" s="9">
        <v>3</v>
      </c>
      <c r="G10970" s="8">
        <f t="shared" si="368"/>
        <v>103.929</v>
      </c>
      <c r="H10970" s="190">
        <v>98.98</v>
      </c>
      <c r="I10970" s="19">
        <f t="shared" si="362"/>
        <v>311.78700000000003</v>
      </c>
    </row>
    <row r="10971" spans="1:9" hidden="1">
      <c r="A10971" s="7" t="s">
        <v>18408</v>
      </c>
      <c r="B10971" s="103" t="s">
        <v>18996</v>
      </c>
      <c r="C10971" s="103" t="s">
        <v>18997</v>
      </c>
      <c r="D10971" s="35"/>
      <c r="E10971" s="2">
        <v>1</v>
      </c>
      <c r="F10971" s="9"/>
      <c r="G10971" s="8">
        <f t="shared" si="368"/>
        <v>121.7055</v>
      </c>
      <c r="H10971" s="8">
        <v>115.91</v>
      </c>
      <c r="I10971" s="19">
        <f t="shared" si="362"/>
        <v>0</v>
      </c>
    </row>
    <row r="10972" spans="1:9" hidden="1">
      <c r="A10972" s="7" t="s">
        <v>18408</v>
      </c>
      <c r="B10972" s="103" t="s">
        <v>18998</v>
      </c>
      <c r="C10972" s="103" t="s">
        <v>18999</v>
      </c>
      <c r="D10972" s="35"/>
      <c r="E10972" s="2">
        <v>1</v>
      </c>
      <c r="F10972" s="9"/>
      <c r="G10972" s="8">
        <f t="shared" si="368"/>
        <v>133.9905</v>
      </c>
      <c r="H10972" s="8">
        <v>127.61</v>
      </c>
      <c r="I10972" s="19">
        <f t="shared" si="362"/>
        <v>0</v>
      </c>
    </row>
    <row r="10973" spans="1:9" hidden="1">
      <c r="A10973" s="7" t="s">
        <v>18408</v>
      </c>
      <c r="B10973" s="103" t="s">
        <v>19000</v>
      </c>
      <c r="C10973" s="103" t="s">
        <v>19001</v>
      </c>
      <c r="D10973" s="35"/>
      <c r="E10973" s="2">
        <v>1</v>
      </c>
      <c r="F10973" s="9"/>
      <c r="G10973" s="8">
        <f t="shared" si="368"/>
        <v>121.7055</v>
      </c>
      <c r="H10973" s="8">
        <v>115.91</v>
      </c>
      <c r="I10973" s="19">
        <f t="shared" si="362"/>
        <v>0</v>
      </c>
    </row>
    <row r="10974" spans="1:9" hidden="1">
      <c r="A10974" s="7" t="s">
        <v>18408</v>
      </c>
      <c r="B10974" s="103" t="s">
        <v>19002</v>
      </c>
      <c r="C10974" s="103" t="s">
        <v>19003</v>
      </c>
      <c r="D10974" s="35"/>
      <c r="E10974" s="2">
        <v>1</v>
      </c>
      <c r="F10974" s="9"/>
      <c r="G10974" s="8">
        <f t="shared" si="368"/>
        <v>92.19</v>
      </c>
      <c r="H10974" s="8">
        <v>87.8</v>
      </c>
      <c r="I10974" s="19">
        <f t="shared" ref="I10974:I11074" si="369">G10974*F10974</f>
        <v>0</v>
      </c>
    </row>
    <row r="10975" spans="1:9" hidden="1">
      <c r="A10975" s="7" t="s">
        <v>18408</v>
      </c>
      <c r="B10975" s="103" t="s">
        <v>19004</v>
      </c>
      <c r="C10975" s="103" t="s">
        <v>19005</v>
      </c>
      <c r="D10975" s="35"/>
      <c r="E10975" s="2">
        <v>1</v>
      </c>
      <c r="F10975" s="9"/>
      <c r="G10975" s="8">
        <f t="shared" si="368"/>
        <v>13.5975</v>
      </c>
      <c r="H10975" s="8">
        <v>12.95</v>
      </c>
      <c r="I10975" s="19">
        <f t="shared" si="369"/>
        <v>0</v>
      </c>
    </row>
    <row r="10976" spans="1:9" hidden="1">
      <c r="A10976" s="7" t="s">
        <v>18408</v>
      </c>
      <c r="B10976" s="103" t="s">
        <v>19006</v>
      </c>
      <c r="C10976" s="103" t="s">
        <v>19007</v>
      </c>
      <c r="D10976" s="35"/>
      <c r="E10976" s="2">
        <v>1</v>
      </c>
      <c r="F10976" s="9"/>
      <c r="G10976" s="8">
        <f t="shared" si="368"/>
        <v>11.497499999999999</v>
      </c>
      <c r="H10976" s="8">
        <v>10.95</v>
      </c>
      <c r="I10976" s="19">
        <f t="shared" si="369"/>
        <v>0</v>
      </c>
    </row>
    <row r="10977" spans="1:9" hidden="1">
      <c r="A10977" s="7" t="s">
        <v>18408</v>
      </c>
      <c r="B10977" s="103" t="s">
        <v>19008</v>
      </c>
      <c r="C10977" s="103" t="s">
        <v>19009</v>
      </c>
      <c r="D10977" s="35"/>
      <c r="E10977" s="2">
        <v>1</v>
      </c>
      <c r="F10977" s="9"/>
      <c r="G10977" s="8">
        <f t="shared" si="368"/>
        <v>0</v>
      </c>
      <c r="H10977" s="8">
        <v>0</v>
      </c>
      <c r="I10977" s="19">
        <f t="shared" si="369"/>
        <v>0</v>
      </c>
    </row>
    <row r="10978" spans="1:9" hidden="1">
      <c r="A10978" s="7" t="s">
        <v>18408</v>
      </c>
      <c r="B10978" s="103" t="s">
        <v>19010</v>
      </c>
      <c r="C10978" s="103" t="s">
        <v>19011</v>
      </c>
      <c r="D10978" s="35"/>
      <c r="E10978" s="2">
        <v>1</v>
      </c>
      <c r="F10978" s="9"/>
      <c r="G10978" s="8">
        <f t="shared" si="368"/>
        <v>0</v>
      </c>
      <c r="H10978" s="8">
        <v>0</v>
      </c>
      <c r="I10978" s="19">
        <f t="shared" si="369"/>
        <v>0</v>
      </c>
    </row>
    <row r="10979" spans="1:9" hidden="1">
      <c r="A10979" s="7" t="s">
        <v>18408</v>
      </c>
      <c r="B10979" s="103" t="s">
        <v>19012</v>
      </c>
      <c r="C10979" s="103" t="s">
        <v>19013</v>
      </c>
      <c r="D10979" s="35"/>
      <c r="E10979" s="2">
        <v>1</v>
      </c>
      <c r="F10979" s="9"/>
      <c r="G10979" s="8">
        <f t="shared" si="368"/>
        <v>0</v>
      </c>
      <c r="H10979" s="8">
        <v>0</v>
      </c>
      <c r="I10979" s="19">
        <f t="shared" si="369"/>
        <v>0</v>
      </c>
    </row>
    <row r="10980" spans="1:9" hidden="1">
      <c r="A10980" s="7" t="s">
        <v>18408</v>
      </c>
      <c r="B10980" s="103" t="s">
        <v>19014</v>
      </c>
      <c r="C10980" s="103" t="s">
        <v>19015</v>
      </c>
      <c r="D10980" s="35" t="s">
        <v>17844</v>
      </c>
      <c r="E10980" s="2">
        <v>1</v>
      </c>
      <c r="F10980" s="9"/>
      <c r="G10980" s="8">
        <f t="shared" si="368"/>
        <v>6.2895000000000003</v>
      </c>
      <c r="H10980" s="161">
        <v>5.99</v>
      </c>
      <c r="I10980" s="19">
        <f t="shared" si="369"/>
        <v>0</v>
      </c>
    </row>
    <row r="10981" spans="1:9" hidden="1">
      <c r="A10981" s="7" t="s">
        <v>18408</v>
      </c>
      <c r="B10981" s="103" t="s">
        <v>19016</v>
      </c>
      <c r="C10981" s="103" t="s">
        <v>19017</v>
      </c>
      <c r="D10981" s="35" t="s">
        <v>8224</v>
      </c>
      <c r="E10981" s="2">
        <v>1</v>
      </c>
      <c r="F10981" s="9"/>
      <c r="G10981" s="8">
        <f t="shared" si="368"/>
        <v>34.733999999999995</v>
      </c>
      <c r="H10981" s="161">
        <v>33.08</v>
      </c>
      <c r="I10981" s="19">
        <f t="shared" si="369"/>
        <v>0</v>
      </c>
    </row>
    <row r="10982" spans="1:9" hidden="1">
      <c r="A10982" s="7" t="s">
        <v>18408</v>
      </c>
      <c r="B10982" s="103" t="s">
        <v>18468</v>
      </c>
      <c r="C10982" s="103" t="s">
        <v>19018</v>
      </c>
      <c r="D10982" s="35" t="s">
        <v>8224</v>
      </c>
      <c r="E10982" s="2">
        <v>1</v>
      </c>
      <c r="F10982" s="9"/>
      <c r="G10982" s="8">
        <f t="shared" si="368"/>
        <v>4.5465</v>
      </c>
      <c r="H10982" s="161">
        <v>4.33</v>
      </c>
      <c r="I10982" s="19">
        <f t="shared" si="369"/>
        <v>0</v>
      </c>
    </row>
    <row r="10983" spans="1:9" hidden="1">
      <c r="A10983" s="7" t="s">
        <v>18408</v>
      </c>
      <c r="B10983" s="103" t="s">
        <v>19019</v>
      </c>
      <c r="C10983" s="103" t="s">
        <v>19020</v>
      </c>
      <c r="D10983" s="35" t="s">
        <v>17844</v>
      </c>
      <c r="E10983" s="2">
        <v>1</v>
      </c>
      <c r="F10983" s="9"/>
      <c r="G10983" s="8">
        <f t="shared" si="368"/>
        <v>6.0795000000000003</v>
      </c>
      <c r="H10983" s="161">
        <v>5.79</v>
      </c>
      <c r="I10983" s="19">
        <f t="shared" si="369"/>
        <v>0</v>
      </c>
    </row>
    <row r="10984" spans="1:9" hidden="1">
      <c r="A10984" s="7" t="s">
        <v>18408</v>
      </c>
      <c r="B10984" s="103" t="s">
        <v>19021</v>
      </c>
      <c r="C10984" s="103" t="s">
        <v>19022</v>
      </c>
      <c r="D10984" s="35"/>
      <c r="E10984" s="2">
        <v>1</v>
      </c>
      <c r="F10984" s="9"/>
      <c r="G10984" s="8">
        <f t="shared" si="368"/>
        <v>5.0819999999999999</v>
      </c>
      <c r="H10984" s="161">
        <v>4.84</v>
      </c>
      <c r="I10984" s="19">
        <f t="shared" si="369"/>
        <v>0</v>
      </c>
    </row>
    <row r="10985" spans="1:9" hidden="1">
      <c r="A10985" s="7" t="s">
        <v>18408</v>
      </c>
      <c r="B10985" s="103" t="s">
        <v>18475</v>
      </c>
      <c r="C10985" s="103" t="s">
        <v>19023</v>
      </c>
      <c r="D10985" s="35" t="s">
        <v>992</v>
      </c>
      <c r="E10985" s="2">
        <v>1</v>
      </c>
      <c r="F10985" s="9"/>
      <c r="G10985" s="8">
        <f t="shared" si="368"/>
        <v>4.5254999999999992</v>
      </c>
      <c r="H10985" s="161">
        <v>4.3099999999999996</v>
      </c>
      <c r="I10985" s="19">
        <f t="shared" si="369"/>
        <v>0</v>
      </c>
    </row>
    <row r="10986" spans="1:9" hidden="1">
      <c r="A10986" s="7" t="s">
        <v>18408</v>
      </c>
      <c r="B10986" s="103" t="s">
        <v>18484</v>
      </c>
      <c r="C10986" s="103" t="s">
        <v>19024</v>
      </c>
      <c r="D10986" s="35" t="s">
        <v>992</v>
      </c>
      <c r="E10986" s="2">
        <v>1</v>
      </c>
      <c r="F10986" s="9"/>
      <c r="G10986" s="8">
        <f t="shared" si="368"/>
        <v>6.4155000000000006</v>
      </c>
      <c r="H10986" s="161">
        <v>6.11</v>
      </c>
      <c r="I10986" s="19">
        <f t="shared" si="369"/>
        <v>0</v>
      </c>
    </row>
    <row r="10987" spans="1:9" hidden="1">
      <c r="A10987" s="7" t="s">
        <v>18408</v>
      </c>
      <c r="B10987" s="103" t="s">
        <v>18473</v>
      </c>
      <c r="C10987" s="103" t="s">
        <v>19025</v>
      </c>
      <c r="D10987" s="35" t="s">
        <v>992</v>
      </c>
      <c r="E10987" s="2">
        <v>1</v>
      </c>
      <c r="F10987" s="9"/>
      <c r="G10987" s="8">
        <f t="shared" si="368"/>
        <v>3.4649999999999999</v>
      </c>
      <c r="H10987" s="161">
        <v>3.3</v>
      </c>
      <c r="I10987" s="19">
        <f t="shared" si="369"/>
        <v>0</v>
      </c>
    </row>
    <row r="10988" spans="1:9" hidden="1">
      <c r="A10988" s="7" t="s">
        <v>18408</v>
      </c>
      <c r="B10988" s="103" t="s">
        <v>19026</v>
      </c>
      <c r="C10988" s="103" t="s">
        <v>19027</v>
      </c>
      <c r="D10988" s="35" t="s">
        <v>992</v>
      </c>
      <c r="E10988" s="2">
        <v>1</v>
      </c>
      <c r="F10988" s="9"/>
      <c r="G10988" s="8">
        <f t="shared" si="368"/>
        <v>1.869</v>
      </c>
      <c r="H10988" s="161">
        <v>1.78</v>
      </c>
      <c r="I10988" s="19">
        <f t="shared" si="369"/>
        <v>0</v>
      </c>
    </row>
    <row r="10989" spans="1:9">
      <c r="A10989" s="7" t="s">
        <v>18408</v>
      </c>
      <c r="B10989" s="103" t="s">
        <v>19028</v>
      </c>
      <c r="C10989" s="103" t="s">
        <v>19029</v>
      </c>
      <c r="D10989" s="35" t="s">
        <v>18457</v>
      </c>
      <c r="E10989" s="2">
        <v>1</v>
      </c>
      <c r="F10989" s="9">
        <v>2</v>
      </c>
      <c r="G10989" s="8">
        <f t="shared" si="368"/>
        <v>16.484999999999999</v>
      </c>
      <c r="H10989" s="192">
        <v>15.7</v>
      </c>
      <c r="I10989" s="19">
        <f t="shared" si="369"/>
        <v>32.97</v>
      </c>
    </row>
    <row r="10990" spans="1:9">
      <c r="A10990" s="7" t="s">
        <v>18408</v>
      </c>
      <c r="B10990" s="103" t="s">
        <v>19030</v>
      </c>
      <c r="C10990" s="103" t="s">
        <v>19031</v>
      </c>
      <c r="D10990" s="35" t="s">
        <v>8254</v>
      </c>
      <c r="E10990" s="2">
        <v>1</v>
      </c>
      <c r="F10990" s="9">
        <v>2</v>
      </c>
      <c r="G10990" s="8">
        <f>H10990+(H10990*5%)</f>
        <v>19.026</v>
      </c>
      <c r="H10990" s="192">
        <v>18.12</v>
      </c>
      <c r="I10990" s="19">
        <f>G10990*F10990</f>
        <v>38.052</v>
      </c>
    </row>
    <row r="10991" spans="1:9" hidden="1">
      <c r="A10991" s="7" t="s">
        <v>18408</v>
      </c>
      <c r="B10991" s="103" t="s">
        <v>19032</v>
      </c>
      <c r="C10991" s="103" t="s">
        <v>19033</v>
      </c>
      <c r="D10991" s="35"/>
      <c r="E10991" s="2">
        <v>1</v>
      </c>
      <c r="F10991" s="9"/>
      <c r="G10991" s="8">
        <f t="shared" si="368"/>
        <v>19.897500000000001</v>
      </c>
      <c r="H10991" s="161">
        <v>18.95</v>
      </c>
      <c r="I10991" s="19">
        <f t="shared" si="369"/>
        <v>0</v>
      </c>
    </row>
    <row r="10992" spans="1:9" hidden="1">
      <c r="A10992" s="7" t="s">
        <v>18408</v>
      </c>
      <c r="B10992" s="103" t="s">
        <v>19034</v>
      </c>
      <c r="C10992" s="103" t="s">
        <v>19035</v>
      </c>
      <c r="D10992" s="35"/>
      <c r="E10992" s="2">
        <v>1</v>
      </c>
      <c r="F10992" s="9"/>
      <c r="G10992" s="8">
        <f t="shared" si="368"/>
        <v>28.024500000000003</v>
      </c>
      <c r="H10992" s="161">
        <v>26.69</v>
      </c>
      <c r="I10992" s="19">
        <f t="shared" si="369"/>
        <v>0</v>
      </c>
    </row>
    <row r="10993" spans="1:9">
      <c r="A10993" s="7" t="s">
        <v>18408</v>
      </c>
      <c r="B10993" s="103">
        <v>233163120</v>
      </c>
      <c r="C10993" s="103" t="s">
        <v>19036</v>
      </c>
      <c r="D10993" s="35" t="s">
        <v>8254</v>
      </c>
      <c r="E10993" s="2">
        <v>1</v>
      </c>
      <c r="F10993" s="9">
        <v>4</v>
      </c>
      <c r="G10993" s="8">
        <f t="shared" si="368"/>
        <v>73.814999999999998</v>
      </c>
      <c r="H10993" s="192">
        <v>70.3</v>
      </c>
      <c r="I10993" s="19">
        <f t="shared" si="369"/>
        <v>295.26</v>
      </c>
    </row>
    <row r="10994" spans="1:9" hidden="1">
      <c r="A10994" s="7" t="s">
        <v>18408</v>
      </c>
      <c r="B10994" s="103" t="s">
        <v>19037</v>
      </c>
      <c r="C10994" s="103" t="s">
        <v>19038</v>
      </c>
      <c r="D10994" s="35"/>
      <c r="E10994" s="2">
        <v>1</v>
      </c>
      <c r="F10994" s="9"/>
      <c r="G10994" s="8">
        <f t="shared" si="368"/>
        <v>6.1635</v>
      </c>
      <c r="H10994" s="161">
        <v>5.87</v>
      </c>
      <c r="I10994" s="19">
        <f t="shared" si="369"/>
        <v>0</v>
      </c>
    </row>
    <row r="10995" spans="1:9" hidden="1">
      <c r="A10995" s="7" t="s">
        <v>18408</v>
      </c>
      <c r="B10995" s="103" t="s">
        <v>19039</v>
      </c>
      <c r="C10995" s="103" t="s">
        <v>19040</v>
      </c>
      <c r="D10995" s="35"/>
      <c r="E10995" s="2">
        <v>1</v>
      </c>
      <c r="F10995" s="9"/>
      <c r="G10995" s="8">
        <f t="shared" si="368"/>
        <v>0.73499999999999999</v>
      </c>
      <c r="H10995" s="161">
        <v>0.7</v>
      </c>
      <c r="I10995" s="19">
        <f t="shared" si="369"/>
        <v>0</v>
      </c>
    </row>
    <row r="10996" spans="1:9" hidden="1">
      <c r="A10996" s="7" t="s">
        <v>18408</v>
      </c>
      <c r="B10996" s="103" t="s">
        <v>19041</v>
      </c>
      <c r="C10996" s="103" t="s">
        <v>19042</v>
      </c>
      <c r="D10996" s="35" t="s">
        <v>17844</v>
      </c>
      <c r="E10996" s="2">
        <v>1</v>
      </c>
      <c r="F10996" s="9"/>
      <c r="G10996" s="8">
        <f t="shared" si="368"/>
        <v>2.4675000000000002</v>
      </c>
      <c r="H10996" s="161">
        <v>2.35</v>
      </c>
      <c r="I10996" s="19">
        <f t="shared" si="369"/>
        <v>0</v>
      </c>
    </row>
    <row r="10997" spans="1:9">
      <c r="A10997" s="7" t="s">
        <v>18408</v>
      </c>
      <c r="B10997" s="103" t="s">
        <v>19043</v>
      </c>
      <c r="C10997" s="103" t="s">
        <v>19044</v>
      </c>
      <c r="D10997" s="35"/>
      <c r="E10997" s="2">
        <v>1</v>
      </c>
      <c r="F10997" s="9">
        <v>12</v>
      </c>
      <c r="G10997" s="8">
        <f t="shared" si="368"/>
        <v>8.6415000000000006</v>
      </c>
      <c r="H10997" s="192">
        <v>8.23</v>
      </c>
      <c r="I10997" s="19">
        <f t="shared" si="369"/>
        <v>103.69800000000001</v>
      </c>
    </row>
    <row r="10998" spans="1:9" hidden="1">
      <c r="A10998" s="7" t="s">
        <v>18408</v>
      </c>
      <c r="B10998" s="103" t="s">
        <v>18409</v>
      </c>
      <c r="C10998" s="103" t="s">
        <v>19045</v>
      </c>
      <c r="D10998" s="35" t="s">
        <v>992</v>
      </c>
      <c r="E10998" s="2">
        <v>1</v>
      </c>
      <c r="F10998" s="9"/>
      <c r="G10998" s="8">
        <f t="shared" si="368"/>
        <v>2.31</v>
      </c>
      <c r="H10998" s="161">
        <v>2.2000000000000002</v>
      </c>
      <c r="I10998" s="19">
        <f>G10998*F10998</f>
        <v>0</v>
      </c>
    </row>
    <row r="10999" spans="1:9">
      <c r="A10999" s="7" t="s">
        <v>18408</v>
      </c>
      <c r="B10999" s="103" t="s">
        <v>19046</v>
      </c>
      <c r="C10999" s="103" t="s">
        <v>19047</v>
      </c>
      <c r="D10999" s="35" t="s">
        <v>8224</v>
      </c>
      <c r="E10999" s="2">
        <v>1</v>
      </c>
      <c r="F10999" s="9">
        <v>3</v>
      </c>
      <c r="G10999" s="8">
        <f>H10999+(H10999*5%)</f>
        <v>4.032</v>
      </c>
      <c r="H10999" s="192">
        <v>3.84</v>
      </c>
      <c r="I10999" s="19">
        <f>G10999*F10999</f>
        <v>12.096</v>
      </c>
    </row>
    <row r="11000" spans="1:9">
      <c r="A11000" s="7" t="s">
        <v>18408</v>
      </c>
      <c r="B11000" s="103" t="s">
        <v>19048</v>
      </c>
      <c r="C11000" s="103" t="s">
        <v>19047</v>
      </c>
      <c r="D11000" s="35" t="s">
        <v>18411</v>
      </c>
      <c r="E11000" s="2">
        <v>1</v>
      </c>
      <c r="F11000" s="9">
        <v>13</v>
      </c>
      <c r="G11000" s="8">
        <f t="shared" si="368"/>
        <v>40.32</v>
      </c>
      <c r="H11000" s="192">
        <v>38.4</v>
      </c>
      <c r="I11000" s="19">
        <f t="shared" si="369"/>
        <v>524.16</v>
      </c>
    </row>
    <row r="11001" spans="1:9" hidden="1">
      <c r="A11001" s="7" t="s">
        <v>18408</v>
      </c>
      <c r="B11001" s="103" t="s">
        <v>19049</v>
      </c>
      <c r="C11001" s="103" t="s">
        <v>19050</v>
      </c>
      <c r="D11001" s="35" t="s">
        <v>17844</v>
      </c>
      <c r="E11001" s="2">
        <v>1</v>
      </c>
      <c r="F11001" s="9"/>
      <c r="G11001" s="8">
        <f t="shared" si="368"/>
        <v>30.03</v>
      </c>
      <c r="H11001" s="192">
        <v>28.6</v>
      </c>
      <c r="I11001" s="19">
        <f t="shared" si="369"/>
        <v>0</v>
      </c>
    </row>
    <row r="11002" spans="1:9" hidden="1">
      <c r="A11002" s="7" t="s">
        <v>18408</v>
      </c>
      <c r="B11002" s="103">
        <v>899102110</v>
      </c>
      <c r="C11002" s="103"/>
      <c r="D11002" s="35"/>
      <c r="E11002" s="2">
        <v>1</v>
      </c>
      <c r="F11002" s="9"/>
      <c r="G11002" s="8">
        <f t="shared" si="368"/>
        <v>17.566500000000001</v>
      </c>
      <c r="H11002" s="161">
        <v>16.73</v>
      </c>
      <c r="I11002" s="19">
        <f t="shared" si="369"/>
        <v>0</v>
      </c>
    </row>
    <row r="11003" spans="1:9" hidden="1">
      <c r="A11003" s="7" t="s">
        <v>18408</v>
      </c>
      <c r="B11003" s="103">
        <v>899411020</v>
      </c>
      <c r="C11003" s="103"/>
      <c r="D11003" s="35"/>
      <c r="E11003" s="2">
        <v>1</v>
      </c>
      <c r="F11003" s="9"/>
      <c r="G11003" s="8">
        <f t="shared" si="368"/>
        <v>4.4415000000000004</v>
      </c>
      <c r="H11003" s="161">
        <v>4.2300000000000004</v>
      </c>
      <c r="I11003" s="19">
        <f t="shared" si="369"/>
        <v>0</v>
      </c>
    </row>
    <row r="11004" spans="1:9" hidden="1">
      <c r="A11004" s="7" t="s">
        <v>18408</v>
      </c>
      <c r="B11004" s="103">
        <v>2146325</v>
      </c>
      <c r="C11004" s="103"/>
      <c r="D11004" s="35"/>
      <c r="E11004" s="2">
        <v>1</v>
      </c>
      <c r="F11004" s="9"/>
      <c r="G11004" s="8">
        <f t="shared" si="368"/>
        <v>36.75</v>
      </c>
      <c r="H11004" s="161">
        <v>35</v>
      </c>
      <c r="I11004" s="19">
        <f t="shared" si="369"/>
        <v>0</v>
      </c>
    </row>
    <row r="11005" spans="1:9" hidden="1">
      <c r="A11005" s="7" t="s">
        <v>18408</v>
      </c>
      <c r="B11005" s="103">
        <v>6145120</v>
      </c>
      <c r="C11005" s="103"/>
      <c r="D11005" s="35"/>
      <c r="E11005" s="2">
        <v>1</v>
      </c>
      <c r="F11005" s="9"/>
      <c r="G11005" s="8">
        <f t="shared" si="368"/>
        <v>0.57750000000000001</v>
      </c>
      <c r="H11005" s="161">
        <v>0.55000000000000004</v>
      </c>
      <c r="I11005" s="19">
        <f t="shared" si="369"/>
        <v>0</v>
      </c>
    </row>
    <row r="11006" spans="1:9" hidden="1">
      <c r="A11006" s="7" t="s">
        <v>18408</v>
      </c>
      <c r="B11006" s="103" t="s">
        <v>19051</v>
      </c>
      <c r="C11006" s="103"/>
      <c r="D11006" s="35"/>
      <c r="E11006" s="2">
        <v>1</v>
      </c>
      <c r="F11006" s="9"/>
      <c r="G11006" s="8">
        <f t="shared" si="368"/>
        <v>7.476</v>
      </c>
      <c r="H11006" s="161">
        <v>7.12</v>
      </c>
      <c r="I11006" s="19">
        <f t="shared" si="369"/>
        <v>0</v>
      </c>
    </row>
    <row r="11007" spans="1:9" hidden="1">
      <c r="A11007" s="7" t="s">
        <v>18408</v>
      </c>
      <c r="B11007" s="103" t="s">
        <v>19052</v>
      </c>
      <c r="C11007" s="103"/>
      <c r="D11007" s="35"/>
      <c r="E11007" s="2">
        <v>1</v>
      </c>
      <c r="F11007" s="9"/>
      <c r="G11007" s="8">
        <f t="shared" si="368"/>
        <v>7.875</v>
      </c>
      <c r="H11007" s="161">
        <v>7.5</v>
      </c>
      <c r="I11007" s="19">
        <f t="shared" si="369"/>
        <v>0</v>
      </c>
    </row>
    <row r="11008" spans="1:9" hidden="1">
      <c r="A11008" s="7" t="s">
        <v>18408</v>
      </c>
      <c r="B11008" s="103" t="s">
        <v>19053</v>
      </c>
      <c r="C11008" s="103"/>
      <c r="D11008" s="35"/>
      <c r="E11008" s="2">
        <v>1</v>
      </c>
      <c r="F11008" s="9"/>
      <c r="G11008" s="8">
        <f t="shared" si="368"/>
        <v>4.5465</v>
      </c>
      <c r="H11008" s="161">
        <v>4.33</v>
      </c>
      <c r="I11008" s="19">
        <f t="shared" si="369"/>
        <v>0</v>
      </c>
    </row>
    <row r="11009" spans="1:9" hidden="1">
      <c r="A11009" s="7" t="s">
        <v>18408</v>
      </c>
      <c r="B11009" s="103">
        <v>5912810601</v>
      </c>
      <c r="C11009" s="103"/>
      <c r="D11009" s="35"/>
      <c r="E11009" s="2">
        <v>1</v>
      </c>
      <c r="F11009" s="9"/>
      <c r="G11009" s="8">
        <f t="shared" si="368"/>
        <v>68.14500000000001</v>
      </c>
      <c r="H11009" s="161">
        <v>64.900000000000006</v>
      </c>
      <c r="I11009" s="19">
        <f t="shared" si="369"/>
        <v>0</v>
      </c>
    </row>
    <row r="11010" spans="1:9" hidden="1">
      <c r="A11010" s="7" t="s">
        <v>18408</v>
      </c>
      <c r="B11010" s="103" t="s">
        <v>19054</v>
      </c>
      <c r="C11010" s="103"/>
      <c r="D11010" s="35"/>
      <c r="E11010" s="2">
        <v>1</v>
      </c>
      <c r="F11010" s="9"/>
      <c r="G11010" s="8">
        <f t="shared" si="368"/>
        <v>0.66149999999999998</v>
      </c>
      <c r="H11010" s="161">
        <v>0.63</v>
      </c>
      <c r="I11010" s="19">
        <f t="shared" si="369"/>
        <v>0</v>
      </c>
    </row>
    <row r="11011" spans="1:9" hidden="1">
      <c r="A11011" s="7" t="s">
        <v>18408</v>
      </c>
      <c r="B11011" s="103">
        <v>556100003</v>
      </c>
      <c r="C11011" s="103"/>
      <c r="D11011" s="35"/>
      <c r="E11011" s="2">
        <v>1</v>
      </c>
      <c r="F11011" s="9"/>
      <c r="G11011" s="8">
        <f t="shared" si="368"/>
        <v>63</v>
      </c>
      <c r="H11011" s="161">
        <v>60</v>
      </c>
      <c r="I11011" s="19">
        <f t="shared" si="369"/>
        <v>0</v>
      </c>
    </row>
    <row r="11012" spans="1:9" hidden="1">
      <c r="A11012" s="7" t="s">
        <v>18408</v>
      </c>
      <c r="B11012" s="103">
        <v>648071026</v>
      </c>
      <c r="C11012" s="103"/>
      <c r="D11012" s="35"/>
      <c r="E11012" s="2">
        <v>1</v>
      </c>
      <c r="F11012" s="9"/>
      <c r="G11012" s="8">
        <f t="shared" si="368"/>
        <v>7.4129999999999994</v>
      </c>
      <c r="H11012" s="161">
        <v>7.06</v>
      </c>
      <c r="I11012" s="19">
        <f t="shared" si="369"/>
        <v>0</v>
      </c>
    </row>
    <row r="11013" spans="1:9" hidden="1">
      <c r="A11013" s="7" t="s">
        <v>18408</v>
      </c>
      <c r="B11013" s="103">
        <v>556100005</v>
      </c>
      <c r="C11013" s="103"/>
      <c r="D11013" s="35"/>
      <c r="E11013" s="2">
        <v>1</v>
      </c>
      <c r="F11013" s="9"/>
      <c r="G11013" s="8">
        <f t="shared" si="368"/>
        <v>92.4</v>
      </c>
      <c r="H11013" s="161">
        <v>88</v>
      </c>
      <c r="I11013" s="19">
        <f t="shared" si="369"/>
        <v>0</v>
      </c>
    </row>
    <row r="11014" spans="1:9" hidden="1">
      <c r="A11014" s="7" t="s">
        <v>18408</v>
      </c>
      <c r="B11014" s="103">
        <v>23493082</v>
      </c>
      <c r="C11014" s="103"/>
      <c r="D11014" s="35"/>
      <c r="E11014" s="2">
        <v>1</v>
      </c>
      <c r="F11014" s="9"/>
      <c r="G11014" s="8">
        <f t="shared" si="368"/>
        <v>8.0114999999999998</v>
      </c>
      <c r="H11014" s="161">
        <v>7.63</v>
      </c>
      <c r="I11014" s="19">
        <f t="shared" si="369"/>
        <v>0</v>
      </c>
    </row>
    <row r="11015" spans="1:9" hidden="1">
      <c r="A11015" s="7" t="s">
        <v>18408</v>
      </c>
      <c r="B11015" s="201" t="s">
        <v>19055</v>
      </c>
      <c r="C11015" s="201"/>
      <c r="D11015" s="201"/>
      <c r="E11015" s="201"/>
      <c r="F11015" s="201"/>
      <c r="G11015" s="201"/>
      <c r="H11015" s="201"/>
      <c r="I11015" s="19">
        <f t="shared" si="369"/>
        <v>0</v>
      </c>
    </row>
    <row r="11016" spans="1:9" hidden="1">
      <c r="A11016" s="7" t="s">
        <v>18408</v>
      </c>
      <c r="B11016" s="103" t="s">
        <v>19056</v>
      </c>
      <c r="C11016" s="103" t="s">
        <v>19057</v>
      </c>
      <c r="D11016" s="35" t="s">
        <v>18457</v>
      </c>
      <c r="E11016" s="2">
        <v>1</v>
      </c>
      <c r="F11016" s="9"/>
      <c r="G11016" s="8">
        <f>H11016+(H11016*5%)</f>
        <v>2.1524999999999999</v>
      </c>
      <c r="H11016" s="8">
        <v>2.0499999999999998</v>
      </c>
      <c r="I11016" s="19">
        <f t="shared" si="369"/>
        <v>0</v>
      </c>
    </row>
    <row r="11017" spans="1:9" hidden="1">
      <c r="A11017" s="7" t="s">
        <v>18408</v>
      </c>
      <c r="B11017" s="103" t="s">
        <v>18447</v>
      </c>
      <c r="C11017" s="103" t="s">
        <v>18448</v>
      </c>
      <c r="D11017" s="35" t="s">
        <v>8311</v>
      </c>
      <c r="E11017" s="2">
        <v>1</v>
      </c>
      <c r="F11017" s="9"/>
      <c r="G11017" s="8">
        <f t="shared" ref="G11017:G11083" si="370">H11017+(H11017*5%)</f>
        <v>4.2315000000000005</v>
      </c>
      <c r="H11017" s="8">
        <v>4.03</v>
      </c>
      <c r="I11017" s="19">
        <f t="shared" si="369"/>
        <v>0</v>
      </c>
    </row>
    <row r="11018" spans="1:9" hidden="1">
      <c r="A11018" s="7" t="s">
        <v>18408</v>
      </c>
      <c r="B11018" s="103" t="s">
        <v>19058</v>
      </c>
      <c r="C11018" s="103" t="s">
        <v>19059</v>
      </c>
      <c r="D11018" s="35" t="s">
        <v>8311</v>
      </c>
      <c r="E11018" s="2">
        <v>1</v>
      </c>
      <c r="F11018" s="9"/>
      <c r="G11018" s="8">
        <f t="shared" si="370"/>
        <v>4.5884999999999998</v>
      </c>
      <c r="H11018" s="8">
        <v>4.37</v>
      </c>
      <c r="I11018" s="19">
        <f t="shared" si="369"/>
        <v>0</v>
      </c>
    </row>
    <row r="11019" spans="1:9" hidden="1">
      <c r="A11019" s="7" t="s">
        <v>18408</v>
      </c>
      <c r="B11019" s="103" t="s">
        <v>18449</v>
      </c>
      <c r="C11019" s="103" t="s">
        <v>18450</v>
      </c>
      <c r="D11019" s="35" t="s">
        <v>8311</v>
      </c>
      <c r="E11019" s="2">
        <v>1</v>
      </c>
      <c r="F11019" s="9"/>
      <c r="G11019" s="8">
        <f t="shared" si="370"/>
        <v>6.069</v>
      </c>
      <c r="H11019" s="8">
        <v>5.78</v>
      </c>
      <c r="I11019" s="19">
        <f t="shared" si="369"/>
        <v>0</v>
      </c>
    </row>
    <row r="11020" spans="1:9" hidden="1">
      <c r="A11020" s="7" t="s">
        <v>18408</v>
      </c>
      <c r="B11020" s="103" t="s">
        <v>18455</v>
      </c>
      <c r="C11020" s="103" t="s">
        <v>18456</v>
      </c>
      <c r="D11020" s="35" t="s">
        <v>18457</v>
      </c>
      <c r="E11020" s="2">
        <v>1</v>
      </c>
      <c r="F11020" s="9"/>
      <c r="G11020" s="8">
        <f t="shared" si="370"/>
        <v>1.869</v>
      </c>
      <c r="H11020" s="8">
        <v>1.78</v>
      </c>
      <c r="I11020" s="19">
        <f t="shared" si="369"/>
        <v>0</v>
      </c>
    </row>
    <row r="11021" spans="1:9" hidden="1">
      <c r="A11021" s="7" t="s">
        <v>18408</v>
      </c>
      <c r="B11021" s="103" t="s">
        <v>19060</v>
      </c>
      <c r="C11021" s="103" t="s">
        <v>19061</v>
      </c>
      <c r="D11021" s="35" t="s">
        <v>8254</v>
      </c>
      <c r="E11021" s="2">
        <v>1</v>
      </c>
      <c r="F11021" s="9"/>
      <c r="G11021" s="8">
        <f t="shared" si="370"/>
        <v>3.843</v>
      </c>
      <c r="H11021" s="8">
        <v>3.66</v>
      </c>
      <c r="I11021" s="19">
        <f t="shared" si="369"/>
        <v>0</v>
      </c>
    </row>
    <row r="11022" spans="1:9" hidden="1">
      <c r="A11022" s="7" t="s">
        <v>18408</v>
      </c>
      <c r="B11022" s="103" t="s">
        <v>19062</v>
      </c>
      <c r="C11022" s="103" t="s">
        <v>19063</v>
      </c>
      <c r="D11022" s="35" t="s">
        <v>8224</v>
      </c>
      <c r="E11022" s="2">
        <v>1</v>
      </c>
      <c r="F11022" s="9"/>
      <c r="G11022" s="8">
        <f t="shared" si="370"/>
        <v>4.3574999999999999</v>
      </c>
      <c r="H11022" s="8">
        <v>4.1500000000000004</v>
      </c>
      <c r="I11022" s="19">
        <f t="shared" si="369"/>
        <v>0</v>
      </c>
    </row>
    <row r="11023" spans="1:9" hidden="1">
      <c r="A11023" s="7" t="s">
        <v>18408</v>
      </c>
      <c r="B11023" s="103" t="s">
        <v>19064</v>
      </c>
      <c r="C11023" s="103" t="s">
        <v>19065</v>
      </c>
      <c r="D11023" s="35" t="s">
        <v>18444</v>
      </c>
      <c r="E11023" s="2">
        <v>1</v>
      </c>
      <c r="F11023" s="9"/>
      <c r="G11023" s="8">
        <f t="shared" si="370"/>
        <v>8.6624999999999996</v>
      </c>
      <c r="H11023" s="8">
        <v>8.25</v>
      </c>
      <c r="I11023" s="19">
        <f t="shared" si="369"/>
        <v>0</v>
      </c>
    </row>
    <row r="11024" spans="1:9" hidden="1">
      <c r="A11024" s="7" t="s">
        <v>18408</v>
      </c>
      <c r="B11024" s="103" t="s">
        <v>18458</v>
      </c>
      <c r="C11024" s="103" t="s">
        <v>18459</v>
      </c>
      <c r="D11024" s="35" t="s">
        <v>8224</v>
      </c>
      <c r="E11024" s="2">
        <v>1</v>
      </c>
      <c r="F11024" s="9"/>
      <c r="G11024" s="8">
        <f t="shared" si="370"/>
        <v>5.5020000000000007</v>
      </c>
      <c r="H11024" s="8">
        <v>5.24</v>
      </c>
      <c r="I11024" s="19">
        <f t="shared" si="369"/>
        <v>0</v>
      </c>
    </row>
    <row r="11025" spans="1:9" hidden="1">
      <c r="A11025" s="7" t="s">
        <v>18408</v>
      </c>
      <c r="B11025" s="103" t="s">
        <v>18460</v>
      </c>
      <c r="C11025" s="103" t="s">
        <v>18461</v>
      </c>
      <c r="D11025" s="35" t="s">
        <v>8224</v>
      </c>
      <c r="E11025" s="2">
        <v>1</v>
      </c>
      <c r="F11025" s="9"/>
      <c r="G11025" s="8">
        <f t="shared" si="370"/>
        <v>6.9719999999999995</v>
      </c>
      <c r="H11025" s="8">
        <v>6.64</v>
      </c>
      <c r="I11025" s="19">
        <f t="shared" si="369"/>
        <v>0</v>
      </c>
    </row>
    <row r="11026" spans="1:9" hidden="1">
      <c r="A11026" s="7" t="s">
        <v>18408</v>
      </c>
      <c r="B11026" s="103" t="s">
        <v>19066</v>
      </c>
      <c r="C11026" s="103" t="s">
        <v>19067</v>
      </c>
      <c r="D11026" s="35" t="s">
        <v>8224</v>
      </c>
      <c r="E11026" s="2">
        <v>1</v>
      </c>
      <c r="F11026" s="9"/>
      <c r="G11026" s="8">
        <f t="shared" si="370"/>
        <v>5.3025000000000002</v>
      </c>
      <c r="H11026" s="8">
        <v>5.05</v>
      </c>
      <c r="I11026" s="19">
        <f t="shared" si="369"/>
        <v>0</v>
      </c>
    </row>
    <row r="11027" spans="1:9">
      <c r="A11027" s="7" t="s">
        <v>18408</v>
      </c>
      <c r="B11027" s="103" t="s">
        <v>18481</v>
      </c>
      <c r="C11027" s="103" t="s">
        <v>18482</v>
      </c>
      <c r="D11027" s="35" t="s">
        <v>18457</v>
      </c>
      <c r="E11027" s="2">
        <v>1</v>
      </c>
      <c r="F11027" s="9">
        <v>4</v>
      </c>
      <c r="G11027" s="8">
        <f t="shared" si="370"/>
        <v>36.75</v>
      </c>
      <c r="H11027" s="8">
        <v>35</v>
      </c>
      <c r="I11027" s="19">
        <f t="shared" si="369"/>
        <v>147</v>
      </c>
    </row>
    <row r="11028" spans="1:9">
      <c r="A11028" s="7" t="s">
        <v>18408</v>
      </c>
      <c r="B11028" s="103" t="s">
        <v>18484</v>
      </c>
      <c r="C11028" s="103" t="s">
        <v>18485</v>
      </c>
      <c r="D11028" s="35" t="s">
        <v>8311</v>
      </c>
      <c r="E11028" s="2">
        <v>1</v>
      </c>
      <c r="F11028" s="9">
        <v>4</v>
      </c>
      <c r="G11028" s="8">
        <f t="shared" si="370"/>
        <v>6.4155000000000006</v>
      </c>
      <c r="H11028" s="8">
        <v>6.11</v>
      </c>
      <c r="I11028" s="19">
        <f t="shared" si="369"/>
        <v>25.662000000000003</v>
      </c>
    </row>
    <row r="11029" spans="1:9" hidden="1">
      <c r="A11029" s="7" t="s">
        <v>18408</v>
      </c>
      <c r="B11029" s="103" t="s">
        <v>18501</v>
      </c>
      <c r="C11029" s="103" t="s">
        <v>18502</v>
      </c>
      <c r="D11029" s="35" t="s">
        <v>8254</v>
      </c>
      <c r="E11029" s="2">
        <v>1</v>
      </c>
      <c r="F11029" s="9"/>
      <c r="G11029" s="8">
        <f t="shared" si="370"/>
        <v>20.16</v>
      </c>
      <c r="H11029" s="8">
        <v>19.2</v>
      </c>
      <c r="I11029" s="19">
        <f t="shared" si="369"/>
        <v>0</v>
      </c>
    </row>
    <row r="11030" spans="1:9">
      <c r="A11030" s="7" t="s">
        <v>18408</v>
      </c>
      <c r="B11030" s="103" t="s">
        <v>18509</v>
      </c>
      <c r="C11030" s="103" t="s">
        <v>18510</v>
      </c>
      <c r="D11030" s="35" t="s">
        <v>8254</v>
      </c>
      <c r="E11030" s="2">
        <v>1</v>
      </c>
      <c r="F11030" s="9">
        <v>7</v>
      </c>
      <c r="G11030" s="8">
        <f t="shared" si="370"/>
        <v>9.5759999999999987</v>
      </c>
      <c r="H11030" s="8">
        <v>9.1199999999999992</v>
      </c>
      <c r="I11030" s="19">
        <f t="shared" si="369"/>
        <v>67.031999999999996</v>
      </c>
    </row>
    <row r="11031" spans="1:9">
      <c r="A11031" s="7" t="s">
        <v>18408</v>
      </c>
      <c r="B11031" s="103" t="s">
        <v>18529</v>
      </c>
      <c r="C11031" s="103" t="s">
        <v>18530</v>
      </c>
      <c r="D11031" s="35" t="s">
        <v>18531</v>
      </c>
      <c r="E11031" s="2">
        <v>1</v>
      </c>
      <c r="F11031" s="9">
        <v>2</v>
      </c>
      <c r="G11031" s="8">
        <f t="shared" si="370"/>
        <v>2.73</v>
      </c>
      <c r="H11031" s="8">
        <v>2.6</v>
      </c>
      <c r="I11031" s="19">
        <f t="shared" si="369"/>
        <v>5.46</v>
      </c>
    </row>
    <row r="11032" spans="1:9" hidden="1">
      <c r="A11032" s="7" t="s">
        <v>18408</v>
      </c>
      <c r="B11032" s="103" t="s">
        <v>18539</v>
      </c>
      <c r="C11032" s="103" t="s">
        <v>18540</v>
      </c>
      <c r="D11032" s="35" t="s">
        <v>8224</v>
      </c>
      <c r="E11032" s="2">
        <v>1</v>
      </c>
      <c r="F11032" s="9"/>
      <c r="G11032" s="8">
        <f t="shared" si="370"/>
        <v>3.024</v>
      </c>
      <c r="H11032" s="8">
        <v>2.88</v>
      </c>
      <c r="I11032" s="19">
        <f t="shared" si="369"/>
        <v>0</v>
      </c>
    </row>
    <row r="11033" spans="1:9">
      <c r="A11033" s="7" t="s">
        <v>18408</v>
      </c>
      <c r="B11033" s="103" t="s">
        <v>18545</v>
      </c>
      <c r="C11033" s="103" t="s">
        <v>18546</v>
      </c>
      <c r="D11033" s="35" t="s">
        <v>18444</v>
      </c>
      <c r="E11033" s="2">
        <v>1</v>
      </c>
      <c r="F11033" s="9">
        <v>1</v>
      </c>
      <c r="G11033" s="8">
        <f t="shared" si="370"/>
        <v>90.845999999999989</v>
      </c>
      <c r="H11033" s="8">
        <v>86.52</v>
      </c>
      <c r="I11033" s="19">
        <f t="shared" si="369"/>
        <v>90.845999999999989</v>
      </c>
    </row>
    <row r="11034" spans="1:9">
      <c r="A11034" s="7" t="s">
        <v>18408</v>
      </c>
      <c r="B11034" s="103" t="s">
        <v>18554</v>
      </c>
      <c r="C11034" s="103" t="s">
        <v>18555</v>
      </c>
      <c r="D11034" s="35"/>
      <c r="E11034" s="2">
        <v>1</v>
      </c>
      <c r="F11034" s="9">
        <v>3</v>
      </c>
      <c r="G11034" s="8">
        <f t="shared" si="370"/>
        <v>10.247999999999999</v>
      </c>
      <c r="H11034" s="8">
        <v>9.76</v>
      </c>
      <c r="I11034" s="19">
        <f t="shared" si="369"/>
        <v>30.744</v>
      </c>
    </row>
    <row r="11035" spans="1:9">
      <c r="A11035" s="7" t="s">
        <v>18408</v>
      </c>
      <c r="B11035" s="103" t="s">
        <v>19068</v>
      </c>
      <c r="C11035" s="103" t="s">
        <v>18565</v>
      </c>
      <c r="D11035" s="35" t="s">
        <v>18549</v>
      </c>
      <c r="E11035" s="2">
        <v>1</v>
      </c>
      <c r="F11035" s="9">
        <v>4</v>
      </c>
      <c r="G11035" s="8">
        <f t="shared" si="370"/>
        <v>0.71400000000000008</v>
      </c>
      <c r="H11035" s="8">
        <v>0.68</v>
      </c>
      <c r="I11035" s="19">
        <f t="shared" si="369"/>
        <v>2.8560000000000003</v>
      </c>
    </row>
    <row r="11036" spans="1:9" hidden="1">
      <c r="A11036" s="7" t="s">
        <v>18408</v>
      </c>
      <c r="B11036" s="103" t="s">
        <v>19069</v>
      </c>
      <c r="C11036" s="103" t="s">
        <v>19070</v>
      </c>
      <c r="D11036" s="35"/>
      <c r="E11036" s="2">
        <v>1</v>
      </c>
      <c r="F11036" s="9"/>
      <c r="G11036" s="8">
        <f t="shared" si="370"/>
        <v>14.784000000000001</v>
      </c>
      <c r="H11036" s="8">
        <v>14.08</v>
      </c>
      <c r="I11036" s="19">
        <f t="shared" si="369"/>
        <v>0</v>
      </c>
    </row>
    <row r="11037" spans="1:9">
      <c r="A11037" s="7" t="s">
        <v>18408</v>
      </c>
      <c r="B11037" s="103" t="s">
        <v>19071</v>
      </c>
      <c r="C11037" s="103" t="s">
        <v>18571</v>
      </c>
      <c r="D11037" s="35"/>
      <c r="E11037" s="2">
        <v>1</v>
      </c>
      <c r="F11037" s="9">
        <v>7</v>
      </c>
      <c r="G11037" s="8">
        <f>H11037+(H11037*5%)</f>
        <v>12.3375</v>
      </c>
      <c r="H11037" s="8">
        <v>11.75</v>
      </c>
      <c r="I11037" s="19">
        <f>G11037*F11037</f>
        <v>86.362499999999997</v>
      </c>
    </row>
    <row r="11038" spans="1:9">
      <c r="A11038" s="7" t="s">
        <v>18408</v>
      </c>
      <c r="B11038" s="103" t="s">
        <v>18572</v>
      </c>
      <c r="C11038" s="103" t="s">
        <v>18573</v>
      </c>
      <c r="D11038" s="35"/>
      <c r="E11038" s="2">
        <v>1</v>
      </c>
      <c r="F11038" s="9">
        <v>1</v>
      </c>
      <c r="G11038" s="8">
        <f t="shared" si="370"/>
        <v>3.6960000000000002</v>
      </c>
      <c r="H11038" s="8">
        <v>3.52</v>
      </c>
      <c r="I11038" s="19">
        <f t="shared" si="369"/>
        <v>3.6960000000000002</v>
      </c>
    </row>
    <row r="11039" spans="1:9" hidden="1">
      <c r="A11039" s="7" t="s">
        <v>18408</v>
      </c>
      <c r="B11039" s="103" t="s">
        <v>19072</v>
      </c>
      <c r="C11039" s="103" t="s">
        <v>19073</v>
      </c>
      <c r="D11039" s="35"/>
      <c r="E11039" s="2">
        <v>1</v>
      </c>
      <c r="F11039" s="9"/>
      <c r="G11039" s="8">
        <f t="shared" si="370"/>
        <v>17.545500000000001</v>
      </c>
      <c r="H11039" s="8">
        <v>16.71</v>
      </c>
      <c r="I11039" s="19">
        <f t="shared" si="369"/>
        <v>0</v>
      </c>
    </row>
    <row r="11040" spans="1:9" hidden="1">
      <c r="A11040" s="7" t="s">
        <v>18408</v>
      </c>
      <c r="B11040" s="103" t="s">
        <v>18594</v>
      </c>
      <c r="C11040" s="103" t="s">
        <v>18595</v>
      </c>
      <c r="D11040" s="35" t="s">
        <v>18583</v>
      </c>
      <c r="E11040" s="2">
        <v>1</v>
      </c>
      <c r="F11040" s="9"/>
      <c r="G11040" s="8">
        <f t="shared" si="370"/>
        <v>4.9455</v>
      </c>
      <c r="H11040" s="8">
        <v>4.71</v>
      </c>
      <c r="I11040" s="19">
        <f t="shared" si="369"/>
        <v>0</v>
      </c>
    </row>
    <row r="11041" spans="1:9" hidden="1">
      <c r="A11041" s="7" t="s">
        <v>18408</v>
      </c>
      <c r="B11041" s="103" t="s">
        <v>18596</v>
      </c>
      <c r="C11041" s="103" t="s">
        <v>18597</v>
      </c>
      <c r="D11041" s="35" t="s">
        <v>18583</v>
      </c>
      <c r="E11041" s="2">
        <v>1</v>
      </c>
      <c r="F11041" s="9"/>
      <c r="G11041" s="8">
        <f t="shared" si="370"/>
        <v>6.0059999999999993</v>
      </c>
      <c r="H11041" s="8">
        <v>5.72</v>
      </c>
      <c r="I11041" s="19">
        <f t="shared" si="369"/>
        <v>0</v>
      </c>
    </row>
    <row r="11042" spans="1:9" hidden="1">
      <c r="A11042" s="7" t="s">
        <v>18408</v>
      </c>
      <c r="B11042" s="103" t="s">
        <v>18608</v>
      </c>
      <c r="C11042" s="103" t="s">
        <v>18609</v>
      </c>
      <c r="D11042" s="35"/>
      <c r="E11042" s="2">
        <v>1</v>
      </c>
      <c r="F11042" s="9"/>
      <c r="G11042" s="8">
        <f t="shared" si="370"/>
        <v>23.1525</v>
      </c>
      <c r="H11042" s="8">
        <v>22.05</v>
      </c>
      <c r="I11042" s="19">
        <f t="shared" si="369"/>
        <v>0</v>
      </c>
    </row>
    <row r="11043" spans="1:9">
      <c r="A11043" s="7" t="s">
        <v>18408</v>
      </c>
      <c r="B11043" s="103" t="s">
        <v>19074</v>
      </c>
      <c r="C11043" s="103" t="s">
        <v>19075</v>
      </c>
      <c r="D11043" s="35"/>
      <c r="E11043" s="2">
        <v>1</v>
      </c>
      <c r="F11043" s="9">
        <v>3</v>
      </c>
      <c r="G11043" s="8">
        <f>H11043+(H11043*5%)</f>
        <v>28.633499999999998</v>
      </c>
      <c r="H11043" s="8">
        <v>27.27</v>
      </c>
      <c r="I11043" s="19">
        <f>G11043*F11043</f>
        <v>85.900499999999994</v>
      </c>
    </row>
    <row r="11044" spans="1:9">
      <c r="A11044" s="7" t="s">
        <v>18408</v>
      </c>
      <c r="B11044" s="103" t="s">
        <v>19076</v>
      </c>
      <c r="C11044" s="103" t="s">
        <v>18615</v>
      </c>
      <c r="D11044" s="35" t="s">
        <v>18583</v>
      </c>
      <c r="E11044" s="2">
        <v>1</v>
      </c>
      <c r="F11044" s="9">
        <v>2</v>
      </c>
      <c r="G11044" s="8">
        <f t="shared" si="370"/>
        <v>2.121</v>
      </c>
      <c r="H11044" s="8">
        <v>2.02</v>
      </c>
      <c r="I11044" s="19">
        <f t="shared" si="369"/>
        <v>4.242</v>
      </c>
    </row>
    <row r="11045" spans="1:9" hidden="1">
      <c r="A11045" s="7" t="s">
        <v>18408</v>
      </c>
      <c r="B11045" s="103" t="s">
        <v>19077</v>
      </c>
      <c r="C11045" s="103" t="s">
        <v>19078</v>
      </c>
      <c r="D11045" s="35" t="s">
        <v>18549</v>
      </c>
      <c r="E11045" s="2">
        <v>1</v>
      </c>
      <c r="F11045" s="9"/>
      <c r="G11045" s="8">
        <f t="shared" si="370"/>
        <v>1.617</v>
      </c>
      <c r="H11045" s="8">
        <v>1.54</v>
      </c>
      <c r="I11045" s="19">
        <f t="shared" si="369"/>
        <v>0</v>
      </c>
    </row>
    <row r="11046" spans="1:9">
      <c r="A11046" s="7" t="s">
        <v>18408</v>
      </c>
      <c r="B11046" s="103" t="s">
        <v>18622</v>
      </c>
      <c r="C11046" s="103" t="s">
        <v>18623</v>
      </c>
      <c r="D11046" s="35" t="s">
        <v>18549</v>
      </c>
      <c r="E11046" s="2">
        <v>1</v>
      </c>
      <c r="F11046" s="9">
        <v>1</v>
      </c>
      <c r="G11046" s="8">
        <f t="shared" si="370"/>
        <v>0.87149999999999994</v>
      </c>
      <c r="H11046" s="8">
        <v>0.83</v>
      </c>
      <c r="I11046" s="19">
        <f t="shared" si="369"/>
        <v>0.87149999999999994</v>
      </c>
    </row>
    <row r="11047" spans="1:9">
      <c r="A11047" s="7" t="s">
        <v>18408</v>
      </c>
      <c r="B11047" s="103" t="s">
        <v>18624</v>
      </c>
      <c r="C11047" s="103" t="s">
        <v>18625</v>
      </c>
      <c r="D11047" s="35" t="s">
        <v>18549</v>
      </c>
      <c r="E11047" s="2">
        <v>1</v>
      </c>
      <c r="F11047" s="9">
        <v>1</v>
      </c>
      <c r="G11047" s="8">
        <f t="shared" si="370"/>
        <v>1.5014999999999998</v>
      </c>
      <c r="H11047" s="8">
        <v>1.43</v>
      </c>
      <c r="I11047" s="19">
        <f t="shared" si="369"/>
        <v>1.5014999999999998</v>
      </c>
    </row>
    <row r="11048" spans="1:9">
      <c r="A11048" s="7" t="s">
        <v>18408</v>
      </c>
      <c r="B11048" s="103" t="s">
        <v>18634</v>
      </c>
      <c r="C11048" s="103" t="s">
        <v>18635</v>
      </c>
      <c r="D11048" s="35" t="s">
        <v>2488</v>
      </c>
      <c r="E11048" s="2">
        <v>1</v>
      </c>
      <c r="F11048" s="9">
        <v>3</v>
      </c>
      <c r="G11048" s="8">
        <f t="shared" si="370"/>
        <v>3.0869999999999997</v>
      </c>
      <c r="H11048" s="8">
        <v>2.94</v>
      </c>
      <c r="I11048" s="19">
        <f t="shared" si="369"/>
        <v>9.2609999999999992</v>
      </c>
    </row>
    <row r="11049" spans="1:9" hidden="1">
      <c r="A11049" s="7" t="s">
        <v>18408</v>
      </c>
      <c r="B11049" s="103" t="s">
        <v>18636</v>
      </c>
      <c r="C11049" s="103" t="s">
        <v>18637</v>
      </c>
      <c r="D11049" s="35"/>
      <c r="E11049" s="2">
        <v>1</v>
      </c>
      <c r="F11049" s="9"/>
      <c r="G11049" s="8">
        <f t="shared" si="370"/>
        <v>25.053000000000001</v>
      </c>
      <c r="H11049" s="8">
        <v>23.86</v>
      </c>
      <c r="I11049" s="19">
        <f t="shared" si="369"/>
        <v>0</v>
      </c>
    </row>
    <row r="11050" spans="1:9" hidden="1">
      <c r="A11050" s="7" t="s">
        <v>18408</v>
      </c>
      <c r="B11050" s="103" t="s">
        <v>18642</v>
      </c>
      <c r="C11050" s="103" t="s">
        <v>18643</v>
      </c>
      <c r="D11050" s="35" t="s">
        <v>2488</v>
      </c>
      <c r="E11050" s="2">
        <v>1</v>
      </c>
      <c r="F11050" s="9"/>
      <c r="G11050" s="8">
        <f t="shared" si="370"/>
        <v>8.2319999999999993</v>
      </c>
      <c r="H11050" s="8">
        <v>7.84</v>
      </c>
      <c r="I11050" s="19">
        <f t="shared" si="369"/>
        <v>0</v>
      </c>
    </row>
    <row r="11051" spans="1:9" hidden="1">
      <c r="A11051" s="7" t="s">
        <v>18408</v>
      </c>
      <c r="B11051" s="103" t="s">
        <v>18646</v>
      </c>
      <c r="C11051" s="103" t="s">
        <v>18647</v>
      </c>
      <c r="D11051" s="35" t="s">
        <v>2488</v>
      </c>
      <c r="E11051" s="2">
        <v>1</v>
      </c>
      <c r="F11051" s="9"/>
      <c r="G11051" s="8">
        <f t="shared" si="370"/>
        <v>7.4340000000000002</v>
      </c>
      <c r="H11051" s="8">
        <v>7.08</v>
      </c>
      <c r="I11051" s="19">
        <f t="shared" si="369"/>
        <v>0</v>
      </c>
    </row>
    <row r="11052" spans="1:9">
      <c r="A11052" s="7" t="s">
        <v>18408</v>
      </c>
      <c r="B11052" s="103" t="s">
        <v>18654</v>
      </c>
      <c r="C11052" s="103" t="s">
        <v>18655</v>
      </c>
      <c r="D11052" s="35" t="s">
        <v>18536</v>
      </c>
      <c r="E11052" s="2">
        <v>1</v>
      </c>
      <c r="F11052" s="9">
        <v>3</v>
      </c>
      <c r="G11052" s="8">
        <f t="shared" si="370"/>
        <v>0.77700000000000002</v>
      </c>
      <c r="H11052" s="8">
        <v>0.74</v>
      </c>
      <c r="I11052" s="19">
        <f t="shared" si="369"/>
        <v>2.331</v>
      </c>
    </row>
    <row r="11053" spans="1:9">
      <c r="A11053" s="7" t="s">
        <v>18408</v>
      </c>
      <c r="B11053" s="103" t="s">
        <v>18658</v>
      </c>
      <c r="C11053" s="103" t="s">
        <v>18659</v>
      </c>
      <c r="D11053" s="35"/>
      <c r="E11053" s="2">
        <v>1</v>
      </c>
      <c r="F11053" s="9">
        <v>3</v>
      </c>
      <c r="G11053" s="8">
        <f t="shared" si="370"/>
        <v>20.653500000000001</v>
      </c>
      <c r="H11053" s="8">
        <v>19.670000000000002</v>
      </c>
      <c r="I11053" s="19">
        <f t="shared" si="369"/>
        <v>61.960500000000003</v>
      </c>
    </row>
    <row r="11054" spans="1:9" hidden="1">
      <c r="A11054" s="7" t="s">
        <v>18408</v>
      </c>
      <c r="B11054" s="103" t="s">
        <v>18662</v>
      </c>
      <c r="C11054" s="103" t="s">
        <v>18663</v>
      </c>
      <c r="D11054" s="35"/>
      <c r="E11054" s="2">
        <v>1</v>
      </c>
      <c r="F11054" s="9"/>
      <c r="G11054" s="8">
        <f t="shared" si="370"/>
        <v>70.433999999999997</v>
      </c>
      <c r="H11054" s="8">
        <v>67.08</v>
      </c>
      <c r="I11054" s="19">
        <f t="shared" si="369"/>
        <v>0</v>
      </c>
    </row>
    <row r="11055" spans="1:9">
      <c r="A11055" s="7" t="s">
        <v>18408</v>
      </c>
      <c r="B11055" s="103" t="s">
        <v>18690</v>
      </c>
      <c r="C11055" s="103" t="s">
        <v>18691</v>
      </c>
      <c r="D11055" s="35"/>
      <c r="E11055" s="2">
        <v>1</v>
      </c>
      <c r="F11055" s="9">
        <v>1</v>
      </c>
      <c r="G11055" s="8">
        <f t="shared" si="370"/>
        <v>7.875</v>
      </c>
      <c r="H11055" s="8">
        <v>7.5</v>
      </c>
      <c r="I11055" s="19">
        <f t="shared" si="369"/>
        <v>7.875</v>
      </c>
    </row>
    <row r="11056" spans="1:9" hidden="1">
      <c r="A11056" s="7" t="s">
        <v>18408</v>
      </c>
      <c r="B11056" s="103" t="s">
        <v>19079</v>
      </c>
      <c r="C11056" s="103" t="s">
        <v>19080</v>
      </c>
      <c r="D11056" s="35"/>
      <c r="E11056" s="2">
        <v>1</v>
      </c>
      <c r="F11056" s="9"/>
      <c r="G11056" s="8">
        <f t="shared" si="370"/>
        <v>51.439500000000002</v>
      </c>
      <c r="H11056" s="8">
        <v>48.99</v>
      </c>
      <c r="I11056" s="19">
        <f t="shared" si="369"/>
        <v>0</v>
      </c>
    </row>
    <row r="11057" spans="1:9" hidden="1">
      <c r="A11057" s="7" t="s">
        <v>18408</v>
      </c>
      <c r="B11057" s="103" t="s">
        <v>19081</v>
      </c>
      <c r="C11057" s="103" t="s">
        <v>19082</v>
      </c>
      <c r="D11057" s="35" t="s">
        <v>18792</v>
      </c>
      <c r="E11057" s="2">
        <v>1</v>
      </c>
      <c r="F11057" s="9"/>
      <c r="G11057" s="8">
        <f t="shared" si="370"/>
        <v>110.19750000000001</v>
      </c>
      <c r="H11057" s="8">
        <v>104.95</v>
      </c>
      <c r="I11057" s="19">
        <f t="shared" si="369"/>
        <v>0</v>
      </c>
    </row>
    <row r="11058" spans="1:9" hidden="1">
      <c r="A11058" s="7" t="s">
        <v>18408</v>
      </c>
      <c r="B11058" s="103" t="s">
        <v>18720</v>
      </c>
      <c r="C11058" s="103" t="s">
        <v>18721</v>
      </c>
      <c r="D11058" s="35" t="s">
        <v>18583</v>
      </c>
      <c r="E11058" s="2">
        <v>1</v>
      </c>
      <c r="F11058" s="9"/>
      <c r="G11058" s="8">
        <f t="shared" si="370"/>
        <v>3.843</v>
      </c>
      <c r="H11058" s="8">
        <v>3.66</v>
      </c>
      <c r="I11058" s="19">
        <f t="shared" si="369"/>
        <v>0</v>
      </c>
    </row>
    <row r="11059" spans="1:9">
      <c r="A11059" s="7" t="s">
        <v>18408</v>
      </c>
      <c r="B11059" s="103" t="s">
        <v>18722</v>
      </c>
      <c r="C11059" s="103" t="s">
        <v>18723</v>
      </c>
      <c r="D11059" s="35" t="s">
        <v>18549</v>
      </c>
      <c r="E11059" s="2">
        <v>1</v>
      </c>
      <c r="F11059" s="9">
        <v>3</v>
      </c>
      <c r="G11059" s="8">
        <f t="shared" si="370"/>
        <v>68.827500000000001</v>
      </c>
      <c r="H11059" s="8">
        <v>65.55</v>
      </c>
      <c r="I11059" s="19">
        <f t="shared" si="369"/>
        <v>206.48250000000002</v>
      </c>
    </row>
    <row r="11060" spans="1:9">
      <c r="A11060" s="7" t="s">
        <v>18408</v>
      </c>
      <c r="B11060" s="103" t="s">
        <v>18726</v>
      </c>
      <c r="C11060" s="103" t="s">
        <v>18727</v>
      </c>
      <c r="D11060" s="35"/>
      <c r="E11060" s="2">
        <v>1</v>
      </c>
      <c r="F11060" s="9">
        <v>2</v>
      </c>
      <c r="G11060" s="8">
        <f t="shared" si="370"/>
        <v>3.2444999999999999</v>
      </c>
      <c r="H11060" s="8">
        <v>3.09</v>
      </c>
      <c r="I11060" s="19">
        <f t="shared" si="369"/>
        <v>6.4889999999999999</v>
      </c>
    </row>
    <row r="11061" spans="1:9" hidden="1">
      <c r="A11061" s="7" t="s">
        <v>18408</v>
      </c>
      <c r="B11061" s="103" t="s">
        <v>18795</v>
      </c>
      <c r="C11061" s="103" t="s">
        <v>18796</v>
      </c>
      <c r="D11061" s="35"/>
      <c r="E11061" s="2">
        <v>1</v>
      </c>
      <c r="F11061" s="9"/>
      <c r="G11061" s="8">
        <f t="shared" si="370"/>
        <v>24.276</v>
      </c>
      <c r="H11061" s="8">
        <v>23.12</v>
      </c>
      <c r="I11061" s="19">
        <f t="shared" si="369"/>
        <v>0</v>
      </c>
    </row>
    <row r="11062" spans="1:9" hidden="1">
      <c r="A11062" s="7" t="s">
        <v>18408</v>
      </c>
      <c r="B11062" s="103" t="s">
        <v>19083</v>
      </c>
      <c r="C11062" s="103" t="s">
        <v>19084</v>
      </c>
      <c r="D11062" s="35" t="s">
        <v>18787</v>
      </c>
      <c r="E11062" s="2">
        <v>1</v>
      </c>
      <c r="F11062" s="9"/>
      <c r="G11062" s="8">
        <f t="shared" si="370"/>
        <v>8.5154999999999994</v>
      </c>
      <c r="H11062" s="8">
        <v>8.11</v>
      </c>
      <c r="I11062" s="19">
        <f t="shared" si="369"/>
        <v>0</v>
      </c>
    </row>
    <row r="11063" spans="1:9">
      <c r="A11063" s="7" t="s">
        <v>18408</v>
      </c>
      <c r="B11063" s="103" t="s">
        <v>18811</v>
      </c>
      <c r="C11063" s="103" t="s">
        <v>18812</v>
      </c>
      <c r="D11063" s="35"/>
      <c r="E11063" s="2">
        <v>1</v>
      </c>
      <c r="F11063" s="9">
        <v>6</v>
      </c>
      <c r="G11063" s="8">
        <f t="shared" si="370"/>
        <v>9.3974999999999991</v>
      </c>
      <c r="H11063" s="8">
        <v>8.9499999999999993</v>
      </c>
      <c r="I11063" s="19">
        <f t="shared" si="369"/>
        <v>56.384999999999991</v>
      </c>
    </row>
    <row r="11064" spans="1:9">
      <c r="A11064" s="7" t="s">
        <v>18408</v>
      </c>
      <c r="B11064" s="103" t="s">
        <v>18815</v>
      </c>
      <c r="C11064" s="103" t="s">
        <v>18816</v>
      </c>
      <c r="D11064" s="35"/>
      <c r="E11064" s="2">
        <v>1</v>
      </c>
      <c r="F11064" s="9">
        <v>8</v>
      </c>
      <c r="G11064" s="8">
        <f t="shared" si="370"/>
        <v>3.4125000000000001</v>
      </c>
      <c r="H11064" s="8">
        <v>3.25</v>
      </c>
      <c r="I11064" s="19">
        <f t="shared" si="369"/>
        <v>27.3</v>
      </c>
    </row>
    <row r="11065" spans="1:9" hidden="1">
      <c r="A11065" s="7" t="s">
        <v>18408</v>
      </c>
      <c r="B11065" s="103" t="s">
        <v>18815</v>
      </c>
      <c r="C11065" s="103" t="s">
        <v>18816</v>
      </c>
      <c r="D11065" s="35" t="s">
        <v>18779</v>
      </c>
      <c r="E11065" s="2">
        <v>1</v>
      </c>
      <c r="F11065" s="9"/>
      <c r="G11065" s="8">
        <f t="shared" si="370"/>
        <v>3.4125000000000001</v>
      </c>
      <c r="H11065" s="8">
        <v>3.25</v>
      </c>
      <c r="I11065" s="19">
        <f t="shared" si="369"/>
        <v>0</v>
      </c>
    </row>
    <row r="11066" spans="1:9" hidden="1">
      <c r="A11066" s="7" t="s">
        <v>18408</v>
      </c>
      <c r="B11066" s="103" t="s">
        <v>18838</v>
      </c>
      <c r="C11066" s="103" t="s">
        <v>18839</v>
      </c>
      <c r="D11066" s="35" t="s">
        <v>18787</v>
      </c>
      <c r="E11066" s="2">
        <v>1</v>
      </c>
      <c r="F11066" s="9"/>
      <c r="G11066" s="8">
        <f t="shared" si="370"/>
        <v>6.2895000000000003</v>
      </c>
      <c r="H11066" s="8">
        <v>5.99</v>
      </c>
      <c r="I11066" s="19">
        <f t="shared" si="369"/>
        <v>0</v>
      </c>
    </row>
    <row r="11067" spans="1:9">
      <c r="A11067" s="7" t="s">
        <v>18408</v>
      </c>
      <c r="B11067" s="103" t="s">
        <v>18848</v>
      </c>
      <c r="C11067" s="103" t="s">
        <v>18849</v>
      </c>
      <c r="D11067" s="35"/>
      <c r="E11067" s="2">
        <v>1</v>
      </c>
      <c r="F11067" s="9">
        <v>11</v>
      </c>
      <c r="G11067" s="8">
        <f t="shared" si="370"/>
        <v>5.2395000000000005</v>
      </c>
      <c r="H11067" s="8">
        <v>4.99</v>
      </c>
      <c r="I11067" s="19">
        <f t="shared" si="369"/>
        <v>57.634500000000003</v>
      </c>
    </row>
    <row r="11068" spans="1:9" hidden="1">
      <c r="A11068" s="7" t="s">
        <v>18408</v>
      </c>
      <c r="B11068" s="103" t="s">
        <v>18848</v>
      </c>
      <c r="C11068" s="103" t="s">
        <v>18849</v>
      </c>
      <c r="D11068" s="35" t="s">
        <v>18779</v>
      </c>
      <c r="E11068" s="2">
        <v>1</v>
      </c>
      <c r="F11068" s="9"/>
      <c r="G11068" s="8">
        <f t="shared" si="370"/>
        <v>5.2395000000000005</v>
      </c>
      <c r="H11068" s="8">
        <v>4.99</v>
      </c>
      <c r="I11068" s="19">
        <f t="shared" si="369"/>
        <v>0</v>
      </c>
    </row>
    <row r="11069" spans="1:9" hidden="1">
      <c r="A11069" s="7" t="s">
        <v>18408</v>
      </c>
      <c r="B11069" s="103" t="s">
        <v>19085</v>
      </c>
      <c r="C11069" s="103" t="s">
        <v>19086</v>
      </c>
      <c r="D11069" s="35"/>
      <c r="E11069" s="2">
        <v>1</v>
      </c>
      <c r="F11069" s="9"/>
      <c r="G11069" s="8">
        <f t="shared" si="370"/>
        <v>7.1295000000000002</v>
      </c>
      <c r="H11069" s="8">
        <v>6.79</v>
      </c>
      <c r="I11069" s="19">
        <f t="shared" si="369"/>
        <v>0</v>
      </c>
    </row>
    <row r="11070" spans="1:9" hidden="1">
      <c r="A11070" s="7" t="s">
        <v>18408</v>
      </c>
      <c r="B11070" s="103" t="s">
        <v>19087</v>
      </c>
      <c r="C11070" s="103" t="s">
        <v>19088</v>
      </c>
      <c r="D11070" s="35"/>
      <c r="E11070" s="2">
        <v>1</v>
      </c>
      <c r="F11070" s="9"/>
      <c r="G11070" s="8">
        <f t="shared" si="370"/>
        <v>12.243</v>
      </c>
      <c r="H11070" s="8">
        <v>11.66</v>
      </c>
      <c r="I11070" s="19">
        <f t="shared" si="369"/>
        <v>0</v>
      </c>
    </row>
    <row r="11071" spans="1:9">
      <c r="A11071" s="7" t="s">
        <v>18408</v>
      </c>
      <c r="B11071" s="103" t="s">
        <v>18858</v>
      </c>
      <c r="C11071" s="103" t="s">
        <v>18859</v>
      </c>
      <c r="D11071" s="35"/>
      <c r="E11071" s="2">
        <v>1</v>
      </c>
      <c r="F11071" s="9">
        <v>2</v>
      </c>
      <c r="G11071" s="8">
        <f t="shared" si="370"/>
        <v>9.4290000000000003</v>
      </c>
      <c r="H11071" s="8">
        <v>8.98</v>
      </c>
      <c r="I11071" s="19">
        <f t="shared" si="369"/>
        <v>18.858000000000001</v>
      </c>
    </row>
    <row r="11072" spans="1:9">
      <c r="A11072" s="7" t="s">
        <v>18408</v>
      </c>
      <c r="B11072" s="103" t="s">
        <v>18882</v>
      </c>
      <c r="C11072" s="103" t="s">
        <v>18883</v>
      </c>
      <c r="D11072" s="35" t="s">
        <v>18787</v>
      </c>
      <c r="E11072" s="2">
        <v>1</v>
      </c>
      <c r="F11072" s="9">
        <v>2</v>
      </c>
      <c r="G11072" s="8">
        <f t="shared" si="370"/>
        <v>4.4415000000000004</v>
      </c>
      <c r="H11072" s="8">
        <v>4.2300000000000004</v>
      </c>
      <c r="I11072" s="19">
        <f t="shared" si="369"/>
        <v>8.8830000000000009</v>
      </c>
    </row>
    <row r="11073" spans="1:9">
      <c r="A11073" s="7" t="s">
        <v>18408</v>
      </c>
      <c r="B11073" s="103" t="s">
        <v>18903</v>
      </c>
      <c r="C11073" s="103" t="s">
        <v>18904</v>
      </c>
      <c r="D11073" s="35" t="s">
        <v>8224</v>
      </c>
      <c r="E11073" s="2">
        <v>1</v>
      </c>
      <c r="F11073" s="9">
        <v>2</v>
      </c>
      <c r="G11073" s="8">
        <f t="shared" si="370"/>
        <v>1.8374999999999999</v>
      </c>
      <c r="H11073" s="8">
        <v>1.75</v>
      </c>
      <c r="I11073" s="19">
        <f t="shared" si="369"/>
        <v>3.6749999999999998</v>
      </c>
    </row>
    <row r="11074" spans="1:9" hidden="1">
      <c r="A11074" s="7" t="s">
        <v>18408</v>
      </c>
      <c r="B11074" s="103" t="s">
        <v>19089</v>
      </c>
      <c r="C11074" s="103" t="s">
        <v>19090</v>
      </c>
      <c r="D11074" s="35" t="s">
        <v>18583</v>
      </c>
      <c r="E11074" s="2">
        <v>1</v>
      </c>
      <c r="F11074" s="9"/>
      <c r="G11074" s="8">
        <f t="shared" si="370"/>
        <v>4.8825000000000003</v>
      </c>
      <c r="H11074" s="8">
        <v>4.6500000000000004</v>
      </c>
      <c r="I11074" s="19">
        <f t="shared" si="369"/>
        <v>0</v>
      </c>
    </row>
    <row r="11075" spans="1:9" hidden="1">
      <c r="A11075" s="7" t="s">
        <v>18408</v>
      </c>
      <c r="B11075" s="103" t="s">
        <v>18946</v>
      </c>
      <c r="C11075" s="103" t="s">
        <v>18947</v>
      </c>
      <c r="D11075" s="35" t="s">
        <v>18549</v>
      </c>
      <c r="E11075" s="2">
        <v>1</v>
      </c>
      <c r="F11075" s="9"/>
      <c r="G11075" s="8">
        <f t="shared" si="370"/>
        <v>0.98699999999999999</v>
      </c>
      <c r="H11075" s="8">
        <v>0.94</v>
      </c>
      <c r="I11075" s="19">
        <f t="shared" si="362"/>
        <v>0</v>
      </c>
    </row>
    <row r="11076" spans="1:9">
      <c r="A11076" s="7" t="s">
        <v>18408</v>
      </c>
      <c r="B11076" s="103" t="s">
        <v>18966</v>
      </c>
      <c r="C11076" s="103" t="s">
        <v>18967</v>
      </c>
      <c r="D11076" s="35" t="s">
        <v>18457</v>
      </c>
      <c r="E11076" s="2">
        <v>1</v>
      </c>
      <c r="F11076" s="9">
        <v>5</v>
      </c>
      <c r="G11076" s="8">
        <f t="shared" si="370"/>
        <v>3.9375</v>
      </c>
      <c r="H11076" s="8">
        <v>3.75</v>
      </c>
      <c r="I11076" s="19">
        <f t="shared" si="362"/>
        <v>19.6875</v>
      </c>
    </row>
    <row r="11077" spans="1:9">
      <c r="A11077" s="7" t="s">
        <v>18408</v>
      </c>
      <c r="B11077" s="103" t="s">
        <v>18979</v>
      </c>
      <c r="C11077" s="103" t="s">
        <v>18980</v>
      </c>
      <c r="D11077" s="35" t="s">
        <v>8254</v>
      </c>
      <c r="E11077" s="2">
        <v>1</v>
      </c>
      <c r="F11077" s="9">
        <v>19</v>
      </c>
      <c r="G11077" s="8">
        <f t="shared" si="370"/>
        <v>5.8694999999999995</v>
      </c>
      <c r="H11077" s="8">
        <v>5.59</v>
      </c>
      <c r="I11077" s="19">
        <f t="shared" si="362"/>
        <v>111.52049999999998</v>
      </c>
    </row>
    <row r="11078" spans="1:9" hidden="1">
      <c r="A11078" s="7" t="s">
        <v>18408</v>
      </c>
      <c r="B11078" s="103" t="s">
        <v>18979</v>
      </c>
      <c r="C11078" s="103" t="s">
        <v>18980</v>
      </c>
      <c r="D11078" s="35" t="s">
        <v>18894</v>
      </c>
      <c r="E11078" s="2">
        <v>1</v>
      </c>
      <c r="F11078" s="9"/>
      <c r="G11078" s="8">
        <f t="shared" si="370"/>
        <v>5.8694999999999995</v>
      </c>
      <c r="H11078" s="8">
        <v>5.59</v>
      </c>
      <c r="I11078" s="19">
        <f t="shared" si="362"/>
        <v>0</v>
      </c>
    </row>
    <row r="11079" spans="1:9" hidden="1">
      <c r="A11079" s="7" t="s">
        <v>18408</v>
      </c>
      <c r="B11079" s="103" t="s">
        <v>18988</v>
      </c>
      <c r="C11079" s="103" t="s">
        <v>18989</v>
      </c>
      <c r="D11079" s="35" t="s">
        <v>18444</v>
      </c>
      <c r="E11079" s="2">
        <v>1</v>
      </c>
      <c r="F11079" s="9"/>
      <c r="G11079" s="8">
        <f t="shared" si="370"/>
        <v>148.596</v>
      </c>
      <c r="H11079" s="8">
        <v>141.52000000000001</v>
      </c>
      <c r="I11079" s="19">
        <f t="shared" si="362"/>
        <v>0</v>
      </c>
    </row>
    <row r="11080" spans="1:9">
      <c r="A11080" s="7" t="s">
        <v>18408</v>
      </c>
      <c r="B11080" s="103" t="s">
        <v>19091</v>
      </c>
      <c r="C11080" s="103" t="s">
        <v>19092</v>
      </c>
      <c r="D11080" s="35" t="s">
        <v>18444</v>
      </c>
      <c r="E11080" s="2">
        <v>1</v>
      </c>
      <c r="F11080" s="9">
        <v>12</v>
      </c>
      <c r="G11080" s="8">
        <f t="shared" si="370"/>
        <v>137.92800000000003</v>
      </c>
      <c r="H11080" s="8">
        <v>131.36000000000001</v>
      </c>
      <c r="I11080" s="19">
        <f t="shared" si="362"/>
        <v>1655.1360000000004</v>
      </c>
    </row>
    <row r="11081" spans="1:9">
      <c r="A11081" s="7" t="s">
        <v>18408</v>
      </c>
      <c r="B11081" s="103" t="s">
        <v>19093</v>
      </c>
      <c r="C11081" s="103" t="s">
        <v>19094</v>
      </c>
      <c r="D11081" s="35"/>
      <c r="E11081" s="2">
        <v>1</v>
      </c>
      <c r="F11081" s="9">
        <v>3</v>
      </c>
      <c r="G11081" s="8">
        <f t="shared" si="370"/>
        <v>3.4125000000000001</v>
      </c>
      <c r="H11081" s="8">
        <v>3.25</v>
      </c>
      <c r="I11081" s="19">
        <f t="shared" si="362"/>
        <v>10.237500000000001</v>
      </c>
    </row>
    <row r="11082" spans="1:9">
      <c r="A11082" s="7" t="s">
        <v>18408</v>
      </c>
      <c r="B11082" s="103" t="s">
        <v>18537</v>
      </c>
      <c r="C11082" s="103" t="s">
        <v>18538</v>
      </c>
      <c r="D11082" s="35" t="s">
        <v>8224</v>
      </c>
      <c r="E11082" s="2">
        <v>1</v>
      </c>
      <c r="F11082" s="9">
        <v>2</v>
      </c>
      <c r="G11082" s="8">
        <f t="shared" si="370"/>
        <v>2.5935000000000001</v>
      </c>
      <c r="H11082" s="8">
        <v>2.4700000000000002</v>
      </c>
      <c r="I11082" s="19">
        <f t="shared" ref="I11082:I11113" si="371">G11082*F11082</f>
        <v>5.1870000000000003</v>
      </c>
    </row>
    <row r="11083" spans="1:9" hidden="1">
      <c r="A11083" s="7" t="s">
        <v>18408</v>
      </c>
      <c r="B11083" s="103" t="s">
        <v>19095</v>
      </c>
      <c r="C11083" s="103" t="s">
        <v>19096</v>
      </c>
      <c r="D11083" s="35"/>
      <c r="E11083" s="2">
        <v>1</v>
      </c>
      <c r="F11083" s="9"/>
      <c r="G11083" s="8">
        <f t="shared" si="370"/>
        <v>25.704000000000001</v>
      </c>
      <c r="H11083" s="8">
        <v>24.48</v>
      </c>
      <c r="I11083" s="19">
        <f t="shared" si="371"/>
        <v>0</v>
      </c>
    </row>
    <row r="11084" spans="1:9">
      <c r="A11084" s="7" t="s">
        <v>18408</v>
      </c>
      <c r="B11084" s="103" t="s">
        <v>18692</v>
      </c>
      <c r="C11084" s="103" t="s">
        <v>18693</v>
      </c>
      <c r="D11084" s="35"/>
      <c r="E11084" s="2">
        <v>1</v>
      </c>
      <c r="F11084" s="9">
        <v>5</v>
      </c>
      <c r="G11084" s="8">
        <f t="shared" ref="G11084:G11110" si="372">H11084+(H11084*5%)</f>
        <v>12.862500000000001</v>
      </c>
      <c r="H11084" s="8">
        <v>12.25</v>
      </c>
      <c r="I11084" s="19">
        <f t="shared" si="371"/>
        <v>64.3125</v>
      </c>
    </row>
    <row r="11085" spans="1:9">
      <c r="A11085" s="7" t="s">
        <v>18408</v>
      </c>
      <c r="B11085" s="103" t="s">
        <v>18519</v>
      </c>
      <c r="C11085" s="171" t="s">
        <v>19097</v>
      </c>
      <c r="D11085" s="35" t="s">
        <v>8224</v>
      </c>
      <c r="E11085" s="2">
        <v>1</v>
      </c>
      <c r="F11085" s="9">
        <v>6</v>
      </c>
      <c r="G11085" s="8">
        <f t="shared" si="372"/>
        <v>2.31</v>
      </c>
      <c r="H11085" s="8">
        <v>2.2000000000000002</v>
      </c>
      <c r="I11085" s="19">
        <f t="shared" si="371"/>
        <v>13.86</v>
      </c>
    </row>
    <row r="11086" spans="1:9">
      <c r="A11086" s="7" t="s">
        <v>18408</v>
      </c>
      <c r="B11086" s="103" t="s">
        <v>18846</v>
      </c>
      <c r="C11086" s="103" t="s">
        <v>18847</v>
      </c>
      <c r="D11086" s="35"/>
      <c r="E11086" s="2">
        <v>1</v>
      </c>
      <c r="F11086" s="9">
        <v>3</v>
      </c>
      <c r="G11086" s="8">
        <f t="shared" si="372"/>
        <v>6.0795000000000003</v>
      </c>
      <c r="H11086" s="8">
        <v>5.79</v>
      </c>
      <c r="I11086" s="19">
        <f t="shared" si="371"/>
        <v>18.238500000000002</v>
      </c>
    </row>
    <row r="11087" spans="1:9">
      <c r="A11087" s="7" t="s">
        <v>18408</v>
      </c>
      <c r="B11087" s="103" t="s">
        <v>18819</v>
      </c>
      <c r="C11087" s="103" t="s">
        <v>18820</v>
      </c>
      <c r="D11087" s="35"/>
      <c r="E11087" s="2">
        <v>1</v>
      </c>
      <c r="F11087" s="9">
        <v>7</v>
      </c>
      <c r="G11087" s="8">
        <f t="shared" si="372"/>
        <v>3.4125000000000001</v>
      </c>
      <c r="H11087" s="8">
        <v>3.25</v>
      </c>
      <c r="I11087" s="19">
        <f t="shared" si="371"/>
        <v>23.887499999999999</v>
      </c>
    </row>
    <row r="11088" spans="1:9">
      <c r="A11088" s="7" t="s">
        <v>18408</v>
      </c>
      <c r="B11088" s="103" t="s">
        <v>18922</v>
      </c>
      <c r="C11088" s="103" t="s">
        <v>18923</v>
      </c>
      <c r="D11088" s="35" t="s">
        <v>18457</v>
      </c>
      <c r="E11088" s="2">
        <v>1</v>
      </c>
      <c r="F11088" s="9">
        <v>4</v>
      </c>
      <c r="G11088" s="8">
        <f t="shared" si="372"/>
        <v>4.3260000000000005</v>
      </c>
      <c r="H11088" s="8">
        <v>4.12</v>
      </c>
      <c r="I11088" s="19">
        <f t="shared" si="371"/>
        <v>17.304000000000002</v>
      </c>
    </row>
    <row r="11089" spans="1:9">
      <c r="A11089" s="7" t="s">
        <v>18408</v>
      </c>
      <c r="B11089" s="103" t="s">
        <v>18924</v>
      </c>
      <c r="C11089" s="103" t="s">
        <v>18925</v>
      </c>
      <c r="D11089" s="35" t="s">
        <v>8311</v>
      </c>
      <c r="E11089" s="2">
        <v>1</v>
      </c>
      <c r="F11089" s="9">
        <v>2</v>
      </c>
      <c r="G11089" s="8">
        <f t="shared" si="372"/>
        <v>9.4814999999999987</v>
      </c>
      <c r="H11089" s="8">
        <v>9.0299999999999994</v>
      </c>
      <c r="I11089" s="19">
        <f t="shared" si="371"/>
        <v>18.962999999999997</v>
      </c>
    </row>
    <row r="11090" spans="1:9">
      <c r="A11090" s="7" t="s">
        <v>18408</v>
      </c>
      <c r="B11090" s="103" t="s">
        <v>18916</v>
      </c>
      <c r="C11090" s="103" t="s">
        <v>18917</v>
      </c>
      <c r="D11090" s="35" t="s">
        <v>18457</v>
      </c>
      <c r="E11090" s="2">
        <v>1</v>
      </c>
      <c r="F11090" s="9">
        <v>4</v>
      </c>
      <c r="G11090" s="8">
        <f t="shared" si="372"/>
        <v>3.8325</v>
      </c>
      <c r="H11090" s="8">
        <v>3.65</v>
      </c>
      <c r="I11090" s="19">
        <f t="shared" si="371"/>
        <v>15.33</v>
      </c>
    </row>
    <row r="11091" spans="1:9">
      <c r="A11091" s="7" t="s">
        <v>18408</v>
      </c>
      <c r="B11091" s="103" t="s">
        <v>18918</v>
      </c>
      <c r="C11091" s="103" t="s">
        <v>18919</v>
      </c>
      <c r="D11091" s="35" t="s">
        <v>18457</v>
      </c>
      <c r="E11091" s="2">
        <v>1</v>
      </c>
      <c r="F11091" s="9">
        <v>1</v>
      </c>
      <c r="G11091" s="8">
        <f t="shared" si="372"/>
        <v>8.3895</v>
      </c>
      <c r="H11091" s="8">
        <v>7.99</v>
      </c>
      <c r="I11091" s="19">
        <f t="shared" si="371"/>
        <v>8.3895</v>
      </c>
    </row>
    <row r="11092" spans="1:9">
      <c r="A11092" s="7" t="s">
        <v>18408</v>
      </c>
      <c r="B11092" s="103" t="s">
        <v>18409</v>
      </c>
      <c r="C11092" s="103" t="s">
        <v>18410</v>
      </c>
      <c r="D11092" s="35" t="s">
        <v>18411</v>
      </c>
      <c r="E11092" s="2">
        <v>1</v>
      </c>
      <c r="F11092" s="9">
        <v>3</v>
      </c>
      <c r="G11092" s="8">
        <f t="shared" si="372"/>
        <v>2.31</v>
      </c>
      <c r="H11092" s="8">
        <v>2.2000000000000002</v>
      </c>
      <c r="I11092" s="19">
        <f t="shared" si="371"/>
        <v>6.93</v>
      </c>
    </row>
    <row r="11093" spans="1:9">
      <c r="A11093" s="7" t="s">
        <v>18408</v>
      </c>
      <c r="B11093" s="103" t="s">
        <v>18475</v>
      </c>
      <c r="C11093" s="103" t="s">
        <v>18476</v>
      </c>
      <c r="D11093" s="35" t="s">
        <v>18457</v>
      </c>
      <c r="E11093" s="2">
        <v>1</v>
      </c>
      <c r="F11093" s="9">
        <v>6</v>
      </c>
      <c r="G11093" s="8">
        <f t="shared" si="372"/>
        <v>4.4625000000000004</v>
      </c>
      <c r="H11093" s="8">
        <v>4.25</v>
      </c>
      <c r="I11093" s="19">
        <f t="shared" si="371"/>
        <v>26.775000000000002</v>
      </c>
    </row>
    <row r="11094" spans="1:9">
      <c r="A11094" s="7" t="s">
        <v>18408</v>
      </c>
      <c r="B11094" s="103" t="s">
        <v>18473</v>
      </c>
      <c r="C11094" s="103" t="s">
        <v>18474</v>
      </c>
      <c r="D11094" s="35" t="s">
        <v>18411</v>
      </c>
      <c r="E11094" s="2">
        <v>1</v>
      </c>
      <c r="F11094" s="9">
        <v>6</v>
      </c>
      <c r="G11094" s="8">
        <f t="shared" si="372"/>
        <v>3.1185</v>
      </c>
      <c r="H11094" s="8">
        <v>2.97</v>
      </c>
      <c r="I11094" s="19">
        <f t="shared" si="371"/>
        <v>18.710999999999999</v>
      </c>
    </row>
    <row r="11095" spans="1:9">
      <c r="A11095" s="7" t="s">
        <v>18408</v>
      </c>
      <c r="B11095" s="103" t="s">
        <v>19098</v>
      </c>
      <c r="C11095" s="171" t="s">
        <v>19099</v>
      </c>
      <c r="D11095" s="35" t="s">
        <v>18549</v>
      </c>
      <c r="E11095" s="2">
        <v>1</v>
      </c>
      <c r="F11095" s="9">
        <v>2</v>
      </c>
      <c r="G11095" s="8">
        <f t="shared" si="372"/>
        <v>7.35</v>
      </c>
      <c r="H11095" s="8">
        <v>7</v>
      </c>
      <c r="I11095" s="19">
        <f t="shared" si="371"/>
        <v>14.7</v>
      </c>
    </row>
    <row r="11096" spans="1:9">
      <c r="A11096" s="7" t="s">
        <v>18408</v>
      </c>
      <c r="B11096" s="103" t="s">
        <v>18564</v>
      </c>
      <c r="C11096" s="103" t="s">
        <v>18565</v>
      </c>
      <c r="D11096" s="35" t="s">
        <v>18549</v>
      </c>
      <c r="E11096" s="2">
        <v>1</v>
      </c>
      <c r="F11096" s="9">
        <v>5</v>
      </c>
      <c r="G11096" s="8">
        <f t="shared" si="372"/>
        <v>0.71400000000000008</v>
      </c>
      <c r="H11096" s="8">
        <v>0.68</v>
      </c>
      <c r="I11096" s="19">
        <f t="shared" si="371"/>
        <v>3.5700000000000003</v>
      </c>
    </row>
    <row r="11097" spans="1:9">
      <c r="A11097" s="7" t="s">
        <v>18408</v>
      </c>
      <c r="B11097" s="103" t="s">
        <v>18588</v>
      </c>
      <c r="C11097" s="103" t="s">
        <v>18589</v>
      </c>
      <c r="D11097" s="35" t="s">
        <v>18549</v>
      </c>
      <c r="E11097" s="2">
        <v>1</v>
      </c>
      <c r="F11097" s="9">
        <v>2</v>
      </c>
      <c r="G11097" s="8">
        <f t="shared" si="372"/>
        <v>0.56700000000000006</v>
      </c>
      <c r="H11097" s="8">
        <v>0.54</v>
      </c>
      <c r="I11097" s="19">
        <f t="shared" si="371"/>
        <v>1.1340000000000001</v>
      </c>
    </row>
    <row r="11098" spans="1:9">
      <c r="A11098" s="7" t="s">
        <v>18408</v>
      </c>
      <c r="B11098" s="103" t="s">
        <v>19100</v>
      </c>
      <c r="C11098" s="103" t="s">
        <v>19101</v>
      </c>
      <c r="D11098" s="35" t="s">
        <v>18549</v>
      </c>
      <c r="E11098" s="2">
        <v>1</v>
      </c>
      <c r="F11098" s="9">
        <v>5</v>
      </c>
      <c r="G11098" s="8">
        <f t="shared" si="372"/>
        <v>5.7750000000000004</v>
      </c>
      <c r="H11098" s="8">
        <v>5.5</v>
      </c>
      <c r="I11098" s="19">
        <f t="shared" si="371"/>
        <v>28.875</v>
      </c>
    </row>
    <row r="11099" spans="1:9">
      <c r="A11099" s="7" t="s">
        <v>18408</v>
      </c>
      <c r="B11099" s="103" t="s">
        <v>18590</v>
      </c>
      <c r="C11099" s="103" t="s">
        <v>18591</v>
      </c>
      <c r="D11099" s="35" t="s">
        <v>18549</v>
      </c>
      <c r="E11099" s="2">
        <v>1</v>
      </c>
      <c r="F11099" s="9">
        <v>5</v>
      </c>
      <c r="G11099" s="8">
        <f t="shared" si="372"/>
        <v>0.61949999999999994</v>
      </c>
      <c r="H11099" s="8">
        <v>0.59</v>
      </c>
      <c r="I11099" s="19">
        <f t="shared" si="371"/>
        <v>3.0974999999999997</v>
      </c>
    </row>
    <row r="11100" spans="1:9">
      <c r="A11100" s="7" t="s">
        <v>18408</v>
      </c>
      <c r="B11100" s="103" t="s">
        <v>18592</v>
      </c>
      <c r="C11100" s="103" t="s">
        <v>18593</v>
      </c>
      <c r="D11100" s="35" t="s">
        <v>18549</v>
      </c>
      <c r="E11100" s="2">
        <v>1</v>
      </c>
      <c r="F11100" s="9">
        <v>8</v>
      </c>
      <c r="G11100" s="8">
        <f t="shared" si="372"/>
        <v>0.65100000000000002</v>
      </c>
      <c r="H11100" s="8">
        <v>0.62</v>
      </c>
      <c r="I11100" s="19">
        <f t="shared" si="371"/>
        <v>5.2080000000000002</v>
      </c>
    </row>
    <row r="11101" spans="1:9">
      <c r="A11101" s="7" t="s">
        <v>18408</v>
      </c>
      <c r="B11101" s="103" t="s">
        <v>18620</v>
      </c>
      <c r="C11101" s="103" t="s">
        <v>18621</v>
      </c>
      <c r="D11101" s="35" t="s">
        <v>18549</v>
      </c>
      <c r="E11101" s="2">
        <v>1</v>
      </c>
      <c r="F11101" s="9">
        <v>5</v>
      </c>
      <c r="G11101" s="8">
        <f t="shared" si="372"/>
        <v>1.9425000000000001</v>
      </c>
      <c r="H11101" s="8">
        <v>1.85</v>
      </c>
      <c r="I11101" s="19">
        <f t="shared" si="371"/>
        <v>9.7125000000000004</v>
      </c>
    </row>
    <row r="11102" spans="1:9">
      <c r="A11102" s="7" t="s">
        <v>18408</v>
      </c>
      <c r="B11102" s="103" t="s">
        <v>19102</v>
      </c>
      <c r="C11102" s="171" t="s">
        <v>19103</v>
      </c>
      <c r="D11102" s="35" t="s">
        <v>18549</v>
      </c>
      <c r="E11102" s="2">
        <v>1</v>
      </c>
      <c r="F11102" s="9">
        <v>1</v>
      </c>
      <c r="G11102" s="8">
        <f t="shared" si="372"/>
        <v>20.580000000000002</v>
      </c>
      <c r="H11102" s="8">
        <v>19.600000000000001</v>
      </c>
      <c r="I11102" s="19">
        <f t="shared" si="371"/>
        <v>20.580000000000002</v>
      </c>
    </row>
    <row r="11103" spans="1:9">
      <c r="A11103" s="7" t="s">
        <v>18408</v>
      </c>
      <c r="B11103" s="103" t="s">
        <v>18574</v>
      </c>
      <c r="C11103" s="103" t="s">
        <v>18575</v>
      </c>
      <c r="D11103" s="35"/>
      <c r="E11103" s="2">
        <v>1</v>
      </c>
      <c r="F11103" s="9">
        <v>1</v>
      </c>
      <c r="G11103" s="8">
        <f t="shared" si="372"/>
        <v>3.7484999999999999</v>
      </c>
      <c r="H11103" s="8">
        <v>3.57</v>
      </c>
      <c r="I11103" s="19">
        <f t="shared" si="371"/>
        <v>3.7484999999999999</v>
      </c>
    </row>
    <row r="11104" spans="1:9">
      <c r="A11104" s="7" t="s">
        <v>18408</v>
      </c>
      <c r="B11104" s="103" t="s">
        <v>19104</v>
      </c>
      <c r="C11104" s="171" t="s">
        <v>19105</v>
      </c>
      <c r="D11104" s="35" t="s">
        <v>2488</v>
      </c>
      <c r="E11104" s="2">
        <v>1</v>
      </c>
      <c r="F11104" s="9">
        <v>1</v>
      </c>
      <c r="G11104" s="8">
        <f t="shared" si="372"/>
        <v>8.9669999999999987</v>
      </c>
      <c r="H11104" s="8">
        <v>8.5399999999999991</v>
      </c>
      <c r="I11104" s="19">
        <f t="shared" si="371"/>
        <v>8.9669999999999987</v>
      </c>
    </row>
    <row r="11105" spans="1:9">
      <c r="A11105" s="7" t="s">
        <v>18408</v>
      </c>
      <c r="B11105" s="103" t="s">
        <v>19106</v>
      </c>
      <c r="C11105" s="171" t="s">
        <v>19105</v>
      </c>
      <c r="D11105" s="35" t="s">
        <v>2488</v>
      </c>
      <c r="E11105" s="2">
        <v>1</v>
      </c>
      <c r="F11105" s="9">
        <v>2</v>
      </c>
      <c r="G11105" s="8">
        <f t="shared" si="372"/>
        <v>9.3869999999999987</v>
      </c>
      <c r="H11105" s="8">
        <v>8.94</v>
      </c>
      <c r="I11105" s="19">
        <f t="shared" si="371"/>
        <v>18.773999999999997</v>
      </c>
    </row>
    <row r="11106" spans="1:9">
      <c r="A11106" s="7" t="s">
        <v>18408</v>
      </c>
      <c r="B11106" s="103" t="s">
        <v>18618</v>
      </c>
      <c r="C11106" s="103" t="s">
        <v>18619</v>
      </c>
      <c r="D11106" s="35" t="s">
        <v>18549</v>
      </c>
      <c r="E11106" s="2">
        <v>1</v>
      </c>
      <c r="F11106" s="9">
        <v>1</v>
      </c>
      <c r="G11106" s="8">
        <f t="shared" si="372"/>
        <v>0.43049999999999999</v>
      </c>
      <c r="H11106" s="8">
        <v>0.41</v>
      </c>
      <c r="I11106" s="19">
        <f t="shared" si="371"/>
        <v>0.43049999999999999</v>
      </c>
    </row>
    <row r="11107" spans="1:9">
      <c r="A11107" s="7" t="s">
        <v>18408</v>
      </c>
      <c r="B11107" s="103" t="s">
        <v>18566</v>
      </c>
      <c r="C11107" s="103" t="s">
        <v>18567</v>
      </c>
      <c r="D11107" s="35"/>
      <c r="E11107" s="2">
        <v>1</v>
      </c>
      <c r="F11107" s="9">
        <v>2</v>
      </c>
      <c r="G11107" s="8">
        <f t="shared" si="372"/>
        <v>7.2134999999999998</v>
      </c>
      <c r="H11107" s="8">
        <v>6.87</v>
      </c>
      <c r="I11107" s="19">
        <f t="shared" si="371"/>
        <v>14.427</v>
      </c>
    </row>
    <row r="11108" spans="1:9">
      <c r="A11108" s="7" t="s">
        <v>18408</v>
      </c>
      <c r="B11108" s="103" t="s">
        <v>18660</v>
      </c>
      <c r="C11108" s="103" t="s">
        <v>18661</v>
      </c>
      <c r="D11108" s="35"/>
      <c r="E11108" s="2">
        <v>1</v>
      </c>
      <c r="F11108" s="9">
        <v>2</v>
      </c>
      <c r="G11108" s="8">
        <f t="shared" si="372"/>
        <v>28.455000000000002</v>
      </c>
      <c r="H11108" s="8">
        <v>27.1</v>
      </c>
      <c r="I11108" s="19">
        <f t="shared" si="371"/>
        <v>56.910000000000004</v>
      </c>
    </row>
    <row r="11109" spans="1:9">
      <c r="A11109" s="7" t="s">
        <v>18408</v>
      </c>
      <c r="B11109" s="103" t="s">
        <v>18556</v>
      </c>
      <c r="C11109" s="103" t="s">
        <v>18557</v>
      </c>
      <c r="D11109" s="35"/>
      <c r="E11109" s="2">
        <v>1</v>
      </c>
      <c r="F11109" s="9">
        <v>1</v>
      </c>
      <c r="G11109" s="8">
        <f t="shared" si="372"/>
        <v>7.0139999999999993</v>
      </c>
      <c r="H11109" s="8">
        <v>6.68</v>
      </c>
      <c r="I11109" s="19">
        <f t="shared" si="371"/>
        <v>7.0139999999999993</v>
      </c>
    </row>
    <row r="11110" spans="1:9">
      <c r="A11110" s="7" t="s">
        <v>18408</v>
      </c>
      <c r="B11110" s="103" t="s">
        <v>18471</v>
      </c>
      <c r="C11110" s="103" t="s">
        <v>18472</v>
      </c>
      <c r="D11110" s="35" t="s">
        <v>18411</v>
      </c>
      <c r="E11110" s="2">
        <v>1</v>
      </c>
      <c r="F11110" s="9">
        <v>3</v>
      </c>
      <c r="G11110" s="8">
        <f t="shared" si="372"/>
        <v>4.5569999999999995</v>
      </c>
      <c r="H11110" s="8">
        <v>4.34</v>
      </c>
      <c r="I11110" s="19">
        <f t="shared" si="371"/>
        <v>13.670999999999999</v>
      </c>
    </row>
    <row r="11111" spans="1:9">
      <c r="A11111" s="7" t="s">
        <v>18408</v>
      </c>
      <c r="B11111" s="103" t="s">
        <v>18527</v>
      </c>
      <c r="C11111" s="103" t="s">
        <v>18528</v>
      </c>
      <c r="D11111" s="35" t="s">
        <v>18457</v>
      </c>
      <c r="E11111" s="2">
        <v>1</v>
      </c>
      <c r="F11111" s="9">
        <v>5</v>
      </c>
      <c r="G11111" s="8">
        <f t="shared" ref="G11111:G11144" si="373">H11111+(H11111*5%)</f>
        <v>3.4335</v>
      </c>
      <c r="H11111" s="8">
        <v>3.27</v>
      </c>
      <c r="I11111" s="19">
        <f t="shared" si="371"/>
        <v>17.1675</v>
      </c>
    </row>
    <row r="11112" spans="1:9">
      <c r="A11112" s="7" t="s">
        <v>18408</v>
      </c>
      <c r="B11112" s="103" t="s">
        <v>18440</v>
      </c>
      <c r="C11112" s="103" t="s">
        <v>18441</v>
      </c>
      <c r="D11112" s="35" t="s">
        <v>8224</v>
      </c>
      <c r="E11112" s="2">
        <v>1</v>
      </c>
      <c r="F11112" s="9">
        <v>2</v>
      </c>
      <c r="G11112" s="8">
        <f t="shared" si="373"/>
        <v>12.925500000000001</v>
      </c>
      <c r="H11112" s="8">
        <v>12.31</v>
      </c>
      <c r="I11112" s="19">
        <f t="shared" si="371"/>
        <v>25.851000000000003</v>
      </c>
    </row>
    <row r="11113" spans="1:9">
      <c r="A11113" s="7" t="s">
        <v>18408</v>
      </c>
      <c r="B11113" s="103" t="s">
        <v>18428</v>
      </c>
      <c r="C11113" s="103" t="s">
        <v>18429</v>
      </c>
      <c r="D11113" s="35" t="s">
        <v>8224</v>
      </c>
      <c r="E11113" s="2">
        <v>1</v>
      </c>
      <c r="F11113" s="9">
        <v>8</v>
      </c>
      <c r="G11113" s="8">
        <f t="shared" si="373"/>
        <v>6.2054999999999998</v>
      </c>
      <c r="H11113" s="8">
        <v>5.91</v>
      </c>
      <c r="I11113" s="19">
        <f t="shared" si="371"/>
        <v>49.643999999999998</v>
      </c>
    </row>
    <row r="11114" spans="1:9">
      <c r="A11114" s="7" t="s">
        <v>18408</v>
      </c>
      <c r="B11114" s="103" t="s">
        <v>18880</v>
      </c>
      <c r="C11114" s="103" t="s">
        <v>18881</v>
      </c>
      <c r="D11114" s="35" t="s">
        <v>18787</v>
      </c>
      <c r="E11114" s="2">
        <v>1</v>
      </c>
      <c r="F11114" s="9">
        <v>10</v>
      </c>
      <c r="G11114" s="8">
        <f t="shared" si="373"/>
        <v>3.6749999999999998</v>
      </c>
      <c r="H11114" s="8">
        <v>3.5</v>
      </c>
      <c r="I11114" s="19">
        <f t="shared" ref="I11114:I11146" si="374">G11114*F11114</f>
        <v>36.75</v>
      </c>
    </row>
    <row r="11115" spans="1:9">
      <c r="A11115" s="7" t="s">
        <v>18408</v>
      </c>
      <c r="B11115" s="103" t="s">
        <v>18874</v>
      </c>
      <c r="C11115" s="103" t="s">
        <v>18875</v>
      </c>
      <c r="D11115" s="35" t="s">
        <v>18792</v>
      </c>
      <c r="E11115" s="2">
        <v>1</v>
      </c>
      <c r="F11115" s="9">
        <v>5</v>
      </c>
      <c r="G11115" s="8">
        <f t="shared" si="373"/>
        <v>9.9224999999999994</v>
      </c>
      <c r="H11115" s="8">
        <v>9.4499999999999993</v>
      </c>
      <c r="I11115" s="19">
        <f t="shared" si="374"/>
        <v>49.612499999999997</v>
      </c>
    </row>
    <row r="11116" spans="1:9">
      <c r="A11116" s="7" t="s">
        <v>18408</v>
      </c>
      <c r="B11116" s="103" t="s">
        <v>18694</v>
      </c>
      <c r="C11116" s="103" t="s">
        <v>18695</v>
      </c>
      <c r="D11116" s="35"/>
      <c r="E11116" s="2">
        <v>1</v>
      </c>
      <c r="F11116" s="9">
        <v>2</v>
      </c>
      <c r="G11116" s="8">
        <f t="shared" si="373"/>
        <v>12.285</v>
      </c>
      <c r="H11116" s="8">
        <v>11.7</v>
      </c>
      <c r="I11116" s="19">
        <f t="shared" si="374"/>
        <v>24.57</v>
      </c>
    </row>
    <row r="11117" spans="1:9">
      <c r="A11117" s="7" t="s">
        <v>18408</v>
      </c>
      <c r="B11117" s="103" t="s">
        <v>19107</v>
      </c>
      <c r="C11117" s="103" t="s">
        <v>19108</v>
      </c>
      <c r="D11117" s="35"/>
      <c r="E11117" s="2">
        <v>1</v>
      </c>
      <c r="F11117" s="9">
        <v>1</v>
      </c>
      <c r="G11117" s="8">
        <f t="shared" si="373"/>
        <v>47.25</v>
      </c>
      <c r="H11117" s="8">
        <v>45</v>
      </c>
      <c r="I11117" s="19">
        <f t="shared" si="374"/>
        <v>47.25</v>
      </c>
    </row>
    <row r="11118" spans="1:9">
      <c r="A11118" s="7" t="s">
        <v>18408</v>
      </c>
      <c r="B11118" s="103" t="s">
        <v>19109</v>
      </c>
      <c r="C11118" s="171" t="s">
        <v>19110</v>
      </c>
      <c r="D11118" s="35"/>
      <c r="E11118" s="2">
        <v>1</v>
      </c>
      <c r="F11118" s="9">
        <v>1</v>
      </c>
      <c r="G11118" s="8">
        <f t="shared" si="373"/>
        <v>6.1110000000000007</v>
      </c>
      <c r="H11118" s="8">
        <v>5.82</v>
      </c>
      <c r="I11118" s="19">
        <f>G11118*F11118</f>
        <v>6.1110000000000007</v>
      </c>
    </row>
    <row r="11119" spans="1:9">
      <c r="A11119" s="7" t="s">
        <v>18408</v>
      </c>
      <c r="B11119" s="103" t="s">
        <v>18626</v>
      </c>
      <c r="C11119" s="103" t="s">
        <v>18627</v>
      </c>
      <c r="D11119" s="35"/>
      <c r="E11119" s="2">
        <v>1</v>
      </c>
      <c r="F11119" s="9">
        <v>2</v>
      </c>
      <c r="G11119" s="8">
        <f t="shared" si="373"/>
        <v>2.0579999999999998</v>
      </c>
      <c r="H11119" s="8">
        <v>1.96</v>
      </c>
      <c r="I11119" s="19">
        <f t="shared" si="374"/>
        <v>4.1159999999999997</v>
      </c>
    </row>
    <row r="11120" spans="1:9">
      <c r="A11120" s="7" t="s">
        <v>18408</v>
      </c>
      <c r="B11120" s="103" t="s">
        <v>18630</v>
      </c>
      <c r="C11120" s="103" t="s">
        <v>18631</v>
      </c>
      <c r="D11120" s="35"/>
      <c r="E11120" s="2">
        <v>1</v>
      </c>
      <c r="F11120" s="9">
        <v>1</v>
      </c>
      <c r="G11120" s="8">
        <f t="shared" si="373"/>
        <v>13.566000000000001</v>
      </c>
      <c r="H11120" s="8">
        <v>12.92</v>
      </c>
      <c r="I11120" s="19">
        <f t="shared" si="374"/>
        <v>13.566000000000001</v>
      </c>
    </row>
    <row r="11121" spans="1:9">
      <c r="A11121" s="7" t="s">
        <v>18408</v>
      </c>
      <c r="B11121" s="103" t="s">
        <v>18521</v>
      </c>
      <c r="C11121" s="103" t="s">
        <v>18522</v>
      </c>
      <c r="D11121" s="35" t="s">
        <v>8224</v>
      </c>
      <c r="E11121" s="2">
        <v>1</v>
      </c>
      <c r="F11121" s="9">
        <v>3</v>
      </c>
      <c r="G11121" s="8">
        <f t="shared" si="373"/>
        <v>1.9844999999999999</v>
      </c>
      <c r="H11121" s="8">
        <v>1.89</v>
      </c>
      <c r="I11121" s="19">
        <f t="shared" si="374"/>
        <v>5.9535</v>
      </c>
    </row>
    <row r="11122" spans="1:9">
      <c r="A11122" s="7" t="s">
        <v>18408</v>
      </c>
      <c r="B11122" s="103" t="s">
        <v>18932</v>
      </c>
      <c r="C11122" s="103" t="s">
        <v>18933</v>
      </c>
      <c r="D11122" s="35" t="s">
        <v>18792</v>
      </c>
      <c r="E11122" s="2">
        <v>1</v>
      </c>
      <c r="F11122" s="9">
        <v>1</v>
      </c>
      <c r="G11122" s="8">
        <f t="shared" si="373"/>
        <v>1.764</v>
      </c>
      <c r="H11122" s="8">
        <v>1.68</v>
      </c>
      <c r="I11122" s="19">
        <f t="shared" si="374"/>
        <v>1.764</v>
      </c>
    </row>
    <row r="11123" spans="1:9">
      <c r="A11123" s="7" t="s">
        <v>18408</v>
      </c>
      <c r="B11123" s="103" t="s">
        <v>19111</v>
      </c>
      <c r="C11123" s="103" t="s">
        <v>19105</v>
      </c>
      <c r="D11123" s="35" t="s">
        <v>2488</v>
      </c>
      <c r="E11123" s="2">
        <v>1</v>
      </c>
      <c r="F11123" s="9">
        <v>2</v>
      </c>
      <c r="G11123" s="8">
        <f t="shared" si="373"/>
        <v>57.644999999999996</v>
      </c>
      <c r="H11123" s="8">
        <v>54.9</v>
      </c>
      <c r="I11123" s="19">
        <f t="shared" si="374"/>
        <v>115.28999999999999</v>
      </c>
    </row>
    <row r="11124" spans="1:9">
      <c r="A11124" s="7" t="s">
        <v>18408</v>
      </c>
      <c r="B11124" s="103" t="s">
        <v>19112</v>
      </c>
      <c r="C11124" s="103" t="s">
        <v>19113</v>
      </c>
      <c r="D11124" s="35"/>
      <c r="E11124" s="2">
        <v>1</v>
      </c>
      <c r="F11124" s="9">
        <v>2</v>
      </c>
      <c r="G11124" s="8">
        <f t="shared" si="373"/>
        <v>10.92</v>
      </c>
      <c r="H11124" s="8">
        <v>10.4</v>
      </c>
      <c r="I11124" s="19">
        <f t="shared" si="374"/>
        <v>21.84</v>
      </c>
    </row>
    <row r="11125" spans="1:9">
      <c r="A11125" s="7" t="s">
        <v>18408</v>
      </c>
      <c r="B11125" s="103" t="s">
        <v>18632</v>
      </c>
      <c r="C11125" s="103" t="s">
        <v>18633</v>
      </c>
      <c r="D11125" s="35"/>
      <c r="E11125" s="2">
        <v>1</v>
      </c>
      <c r="F11125" s="9">
        <v>1</v>
      </c>
      <c r="G11125" s="8">
        <f t="shared" si="373"/>
        <v>12.138</v>
      </c>
      <c r="H11125" s="8">
        <v>11.56</v>
      </c>
      <c r="I11125" s="19">
        <f t="shared" si="374"/>
        <v>12.138</v>
      </c>
    </row>
    <row r="11126" spans="1:9" hidden="1">
      <c r="A11126" s="7" t="s">
        <v>18408</v>
      </c>
      <c r="B11126" s="103" t="s">
        <v>19114</v>
      </c>
      <c r="C11126" s="103" t="s">
        <v>19115</v>
      </c>
      <c r="D11126" s="35" t="s">
        <v>18536</v>
      </c>
      <c r="E11126" s="2">
        <v>1</v>
      </c>
      <c r="F11126" s="9"/>
      <c r="G11126" s="8">
        <f t="shared" si="373"/>
        <v>25.987500000000001</v>
      </c>
      <c r="H11126" s="8">
        <v>24.75</v>
      </c>
      <c r="I11126" s="19">
        <f t="shared" si="374"/>
        <v>0</v>
      </c>
    </row>
    <row r="11127" spans="1:9">
      <c r="A11127" s="7" t="s">
        <v>18408</v>
      </c>
      <c r="B11127" s="103" t="s">
        <v>18517</v>
      </c>
      <c r="C11127" s="103" t="s">
        <v>18518</v>
      </c>
      <c r="D11127" s="35" t="s">
        <v>8224</v>
      </c>
      <c r="E11127" s="2">
        <v>1</v>
      </c>
      <c r="F11127" s="9">
        <v>2</v>
      </c>
      <c r="G11127" s="8">
        <f t="shared" si="373"/>
        <v>4.9665000000000008</v>
      </c>
      <c r="H11127" s="8">
        <v>4.7300000000000004</v>
      </c>
      <c r="I11127" s="19">
        <f t="shared" si="374"/>
        <v>9.9330000000000016</v>
      </c>
    </row>
    <row r="11128" spans="1:9">
      <c r="A11128" s="7" t="s">
        <v>18408</v>
      </c>
      <c r="B11128" s="103" t="s">
        <v>19116</v>
      </c>
      <c r="C11128" s="171" t="s">
        <v>19117</v>
      </c>
      <c r="D11128" s="35" t="s">
        <v>18549</v>
      </c>
      <c r="E11128" s="2">
        <v>1</v>
      </c>
      <c r="F11128" s="9">
        <v>1</v>
      </c>
      <c r="G11128" s="8">
        <f t="shared" si="373"/>
        <v>6.8879999999999999</v>
      </c>
      <c r="H11128" s="8">
        <v>6.56</v>
      </c>
      <c r="I11128" s="19">
        <f t="shared" si="374"/>
        <v>6.8879999999999999</v>
      </c>
    </row>
    <row r="11129" spans="1:9">
      <c r="A11129" s="7" t="s">
        <v>18408</v>
      </c>
      <c r="B11129" s="103" t="s">
        <v>19118</v>
      </c>
      <c r="C11129" s="171" t="s">
        <v>19117</v>
      </c>
      <c r="D11129" s="35" t="s">
        <v>18549</v>
      </c>
      <c r="E11129" s="2">
        <v>1</v>
      </c>
      <c r="F11129" s="9">
        <v>1</v>
      </c>
      <c r="G11129" s="8">
        <f t="shared" si="373"/>
        <v>5.6909999999999998</v>
      </c>
      <c r="H11129" s="8">
        <v>5.42</v>
      </c>
      <c r="I11129" s="19">
        <f>G11129*F11129</f>
        <v>5.6909999999999998</v>
      </c>
    </row>
    <row r="11130" spans="1:9">
      <c r="A11130" s="7" t="s">
        <v>18408</v>
      </c>
      <c r="B11130" s="103" t="s">
        <v>18468</v>
      </c>
      <c r="C11130" s="103" t="s">
        <v>18469</v>
      </c>
      <c r="D11130" s="35" t="s">
        <v>18411</v>
      </c>
      <c r="E11130" s="2">
        <v>1</v>
      </c>
      <c r="F11130" s="9">
        <v>4</v>
      </c>
      <c r="G11130" s="8">
        <f t="shared" si="373"/>
        <v>4.5465</v>
      </c>
      <c r="H11130" s="8">
        <v>4.33</v>
      </c>
      <c r="I11130" s="19">
        <f t="shared" si="374"/>
        <v>18.186</v>
      </c>
    </row>
    <row r="11131" spans="1:9">
      <c r="A11131" s="7" t="s">
        <v>18408</v>
      </c>
      <c r="B11131" s="103" t="s">
        <v>18628</v>
      </c>
      <c r="C11131" s="103" t="s">
        <v>18629</v>
      </c>
      <c r="D11131" s="35"/>
      <c r="E11131" s="2">
        <v>1</v>
      </c>
      <c r="F11131" s="9">
        <v>1</v>
      </c>
      <c r="G11131" s="8">
        <f t="shared" si="373"/>
        <v>8.5785</v>
      </c>
      <c r="H11131" s="8">
        <v>8.17</v>
      </c>
      <c r="I11131" s="19">
        <f t="shared" si="374"/>
        <v>8.5785</v>
      </c>
    </row>
    <row r="11132" spans="1:9">
      <c r="A11132" s="7" t="s">
        <v>18408</v>
      </c>
      <c r="B11132" s="103" t="s">
        <v>19119</v>
      </c>
      <c r="C11132" s="171" t="s">
        <v>19120</v>
      </c>
      <c r="D11132" s="35" t="s">
        <v>8254</v>
      </c>
      <c r="E11132" s="2">
        <v>1</v>
      </c>
      <c r="F11132" s="9">
        <v>2</v>
      </c>
      <c r="G11132" s="8">
        <f t="shared" si="373"/>
        <v>9.3869999999999987</v>
      </c>
      <c r="H11132" s="8">
        <v>8.94</v>
      </c>
      <c r="I11132" s="19">
        <f t="shared" si="374"/>
        <v>18.773999999999997</v>
      </c>
    </row>
    <row r="11133" spans="1:9">
      <c r="A11133" s="7" t="s">
        <v>18408</v>
      </c>
      <c r="B11133" s="103" t="s">
        <v>19121</v>
      </c>
      <c r="C11133" s="171" t="s">
        <v>19122</v>
      </c>
      <c r="D11133" s="35" t="s">
        <v>18444</v>
      </c>
      <c r="E11133" s="2">
        <v>1</v>
      </c>
      <c r="F11133" s="9">
        <v>1</v>
      </c>
      <c r="G11133" s="8">
        <f t="shared" si="373"/>
        <v>31.5</v>
      </c>
      <c r="H11133" s="8">
        <v>30</v>
      </c>
      <c r="I11133" s="19">
        <f t="shared" si="374"/>
        <v>31.5</v>
      </c>
    </row>
    <row r="11134" spans="1:9">
      <c r="A11134" s="7" t="s">
        <v>18408</v>
      </c>
      <c r="B11134" s="103" t="s">
        <v>18414</v>
      </c>
      <c r="C11134" s="103" t="s">
        <v>18415</v>
      </c>
      <c r="D11134" s="35" t="s">
        <v>8224</v>
      </c>
      <c r="E11134" s="2">
        <v>1</v>
      </c>
      <c r="F11134" s="9">
        <v>4</v>
      </c>
      <c r="G11134" s="8">
        <f t="shared" si="373"/>
        <v>15.9285</v>
      </c>
      <c r="H11134" s="8">
        <v>15.17</v>
      </c>
      <c r="I11134" s="19">
        <f t="shared" si="374"/>
        <v>63.713999999999999</v>
      </c>
    </row>
    <row r="11135" spans="1:9">
      <c r="A11135" s="7" t="s">
        <v>18408</v>
      </c>
      <c r="B11135" s="103" t="s">
        <v>19123</v>
      </c>
      <c r="C11135" s="103" t="s">
        <v>19124</v>
      </c>
      <c r="D11135" s="35" t="s">
        <v>18457</v>
      </c>
      <c r="E11135" s="2">
        <v>1</v>
      </c>
      <c r="F11135" s="9">
        <v>2</v>
      </c>
      <c r="G11135" s="8">
        <f t="shared" si="373"/>
        <v>9.3450000000000006</v>
      </c>
      <c r="H11135" s="8">
        <v>8.9</v>
      </c>
      <c r="I11135" s="19">
        <f t="shared" si="374"/>
        <v>18.690000000000001</v>
      </c>
    </row>
    <row r="11136" spans="1:9">
      <c r="A11136" s="7" t="s">
        <v>18408</v>
      </c>
      <c r="B11136" s="103" t="s">
        <v>18543</v>
      </c>
      <c r="C11136" s="103" t="s">
        <v>18544</v>
      </c>
      <c r="D11136" s="35" t="s">
        <v>8224</v>
      </c>
      <c r="E11136" s="2">
        <v>1</v>
      </c>
      <c r="F11136" s="9">
        <v>1</v>
      </c>
      <c r="G11136" s="8">
        <f t="shared" si="373"/>
        <v>54.5685</v>
      </c>
      <c r="H11136" s="8">
        <v>51.97</v>
      </c>
      <c r="I11136" s="19">
        <f t="shared" si="374"/>
        <v>54.5685</v>
      </c>
    </row>
    <row r="11137" spans="1:9">
      <c r="A11137" s="7" t="s">
        <v>18408</v>
      </c>
      <c r="B11137" s="103" t="s">
        <v>19125</v>
      </c>
      <c r="C11137" s="171" t="s">
        <v>19122</v>
      </c>
      <c r="D11137" s="35" t="s">
        <v>18444</v>
      </c>
      <c r="E11137" s="2">
        <v>1</v>
      </c>
      <c r="F11137" s="9">
        <v>1</v>
      </c>
      <c r="G11137" s="8">
        <f t="shared" si="373"/>
        <v>46.2</v>
      </c>
      <c r="H11137" s="8">
        <v>44</v>
      </c>
      <c r="I11137" s="19">
        <f t="shared" si="374"/>
        <v>46.2</v>
      </c>
    </row>
    <row r="11138" spans="1:9">
      <c r="A11138" s="7" t="s">
        <v>18408</v>
      </c>
      <c r="B11138" s="103" t="s">
        <v>18466</v>
      </c>
      <c r="C11138" s="103" t="s">
        <v>18467</v>
      </c>
      <c r="D11138" s="35" t="s">
        <v>18411</v>
      </c>
      <c r="E11138" s="2">
        <v>1</v>
      </c>
      <c r="F11138" s="9">
        <v>1</v>
      </c>
      <c r="G11138" s="8">
        <f t="shared" si="373"/>
        <v>4.0214999999999996</v>
      </c>
      <c r="H11138" s="8">
        <v>3.83</v>
      </c>
      <c r="I11138" s="19">
        <f t="shared" si="374"/>
        <v>4.0214999999999996</v>
      </c>
    </row>
    <row r="11139" spans="1:9">
      <c r="A11139" s="7" t="s">
        <v>18408</v>
      </c>
      <c r="B11139" s="103" t="s">
        <v>18912</v>
      </c>
      <c r="C11139" s="103" t="s">
        <v>18913</v>
      </c>
      <c r="D11139" s="35" t="s">
        <v>8254</v>
      </c>
      <c r="E11139" s="2">
        <v>1</v>
      </c>
      <c r="F11139" s="9">
        <v>2</v>
      </c>
      <c r="G11139" s="8">
        <f t="shared" si="373"/>
        <v>8.2004999999999999</v>
      </c>
      <c r="H11139" s="8">
        <v>7.81</v>
      </c>
      <c r="I11139" s="19">
        <f t="shared" si="374"/>
        <v>16.401</v>
      </c>
    </row>
    <row r="11140" spans="1:9" hidden="1">
      <c r="A11140" s="7" t="s">
        <v>18408</v>
      </c>
      <c r="B11140" s="103" t="s">
        <v>19126</v>
      </c>
      <c r="C11140" s="103" t="s">
        <v>19120</v>
      </c>
      <c r="D11140" s="35" t="s">
        <v>8254</v>
      </c>
      <c r="E11140" s="2">
        <v>1</v>
      </c>
      <c r="F11140" s="9"/>
      <c r="G11140" s="8">
        <f t="shared" si="373"/>
        <v>11.738999999999999</v>
      </c>
      <c r="H11140" s="8">
        <v>11.18</v>
      </c>
      <c r="I11140" s="19">
        <f t="shared" si="374"/>
        <v>0</v>
      </c>
    </row>
    <row r="11141" spans="1:9" hidden="1">
      <c r="A11141" s="7" t="s">
        <v>18408</v>
      </c>
      <c r="B11141" s="103" t="s">
        <v>18507</v>
      </c>
      <c r="C11141" s="103" t="s">
        <v>18508</v>
      </c>
      <c r="D11141" s="35" t="s">
        <v>8254</v>
      </c>
      <c r="E11141" s="2">
        <v>1</v>
      </c>
      <c r="F11141" s="9"/>
      <c r="G11141" s="8">
        <f t="shared" si="373"/>
        <v>12.673500000000001</v>
      </c>
      <c r="H11141" s="8">
        <v>12.07</v>
      </c>
      <c r="I11141" s="19">
        <f t="shared" si="374"/>
        <v>0</v>
      </c>
    </row>
    <row r="11142" spans="1:9">
      <c r="A11142" s="7" t="s">
        <v>18408</v>
      </c>
      <c r="B11142" s="103" t="s">
        <v>19127</v>
      </c>
      <c r="C11142" s="103" t="s">
        <v>19128</v>
      </c>
      <c r="D11142" s="35" t="s">
        <v>18411</v>
      </c>
      <c r="E11142" s="2">
        <v>1</v>
      </c>
      <c r="F11142" s="9">
        <v>3</v>
      </c>
      <c r="G11142" s="8">
        <f t="shared" si="373"/>
        <v>133.66499999999999</v>
      </c>
      <c r="H11142" s="8">
        <v>127.3</v>
      </c>
      <c r="I11142" s="19">
        <f t="shared" si="374"/>
        <v>400.995</v>
      </c>
    </row>
    <row r="11143" spans="1:9">
      <c r="A11143" s="7" t="s">
        <v>18408</v>
      </c>
      <c r="B11143" s="103" t="s">
        <v>18497</v>
      </c>
      <c r="C11143" s="103" t="s">
        <v>18498</v>
      </c>
      <c r="D11143" s="35" t="s">
        <v>8224</v>
      </c>
      <c r="E11143" s="2">
        <v>1</v>
      </c>
      <c r="F11143" s="9">
        <v>4</v>
      </c>
      <c r="G11143" s="8">
        <f t="shared" si="373"/>
        <v>85.96350000000001</v>
      </c>
      <c r="H11143" s="8">
        <v>81.87</v>
      </c>
      <c r="I11143" s="19">
        <f>G11143*F11143</f>
        <v>343.85400000000004</v>
      </c>
    </row>
    <row r="11144" spans="1:9">
      <c r="A11144" s="7" t="s">
        <v>18408</v>
      </c>
      <c r="B11144" s="103" t="s">
        <v>18495</v>
      </c>
      <c r="C11144" s="103" t="s">
        <v>18496</v>
      </c>
      <c r="D11144" s="35" t="s">
        <v>8224</v>
      </c>
      <c r="E11144" s="2">
        <v>1</v>
      </c>
      <c r="F11144" s="9">
        <v>4</v>
      </c>
      <c r="G11144" s="8">
        <f t="shared" si="373"/>
        <v>65.257499999999993</v>
      </c>
      <c r="H11144" s="8">
        <v>62.15</v>
      </c>
      <c r="I11144" s="19">
        <f t="shared" si="374"/>
        <v>261.02999999999997</v>
      </c>
    </row>
    <row r="11145" spans="1:9">
      <c r="A11145" s="7" t="s">
        <v>18408</v>
      </c>
      <c r="B11145" s="103" t="s">
        <v>19129</v>
      </c>
      <c r="C11145" s="103" t="s">
        <v>19130</v>
      </c>
      <c r="D11145" s="35" t="s">
        <v>18444</v>
      </c>
      <c r="E11145" s="2">
        <v>1</v>
      </c>
      <c r="F11145" s="9">
        <v>2</v>
      </c>
      <c r="G11145" s="8">
        <f>H11145+(H11145*5%)</f>
        <v>12.852</v>
      </c>
      <c r="H11145" s="8">
        <v>12.24</v>
      </c>
      <c r="I11145" s="19">
        <f t="shared" si="374"/>
        <v>25.704000000000001</v>
      </c>
    </row>
    <row r="11146" spans="1:9">
      <c r="A11146" s="7" t="s">
        <v>18408</v>
      </c>
      <c r="B11146" s="103" t="s">
        <v>19131</v>
      </c>
      <c r="C11146" s="103" t="s">
        <v>19132</v>
      </c>
      <c r="D11146" s="35" t="s">
        <v>18457</v>
      </c>
      <c r="E11146" s="2">
        <v>1</v>
      </c>
      <c r="F11146" s="9">
        <v>2</v>
      </c>
      <c r="G11146" s="8">
        <f>H11146+(H11146*5%)</f>
        <v>51.397500000000001</v>
      </c>
      <c r="H11146" s="8">
        <v>48.95</v>
      </c>
      <c r="I11146" s="19">
        <f t="shared" si="374"/>
        <v>102.795</v>
      </c>
    </row>
    <row r="11147" spans="1:9">
      <c r="A11147" s="7" t="s">
        <v>18408</v>
      </c>
      <c r="B11147" s="103" t="s">
        <v>19133</v>
      </c>
      <c r="C11147" s="103" t="s">
        <v>19134</v>
      </c>
      <c r="D11147" s="35" t="s">
        <v>18457</v>
      </c>
      <c r="E11147" s="2">
        <v>1</v>
      </c>
      <c r="F11147" s="9">
        <v>1</v>
      </c>
      <c r="G11147" s="8">
        <f>H11147+(H11147*5%)</f>
        <v>77.489999999999995</v>
      </c>
      <c r="H11147" s="8">
        <v>73.8</v>
      </c>
      <c r="I11147" s="19">
        <f>G11147*F11147</f>
        <v>77.489999999999995</v>
      </c>
    </row>
    <row r="11148" spans="1:9">
      <c r="A11148" s="7" t="s">
        <v>18408</v>
      </c>
      <c r="B11148" s="103" t="s">
        <v>19135</v>
      </c>
      <c r="C11148" s="103" t="s">
        <v>19136</v>
      </c>
      <c r="D11148" s="35" t="s">
        <v>18536</v>
      </c>
      <c r="E11148" s="2">
        <v>1</v>
      </c>
      <c r="F11148" s="9">
        <v>3</v>
      </c>
      <c r="G11148" s="8">
        <f t="shared" ref="G11148:G11157" si="375">H11148+(H11148*5%)</f>
        <v>13.1355</v>
      </c>
      <c r="H11148" s="8">
        <v>12.51</v>
      </c>
      <c r="I11148" s="19">
        <f>G11148*F11148</f>
        <v>39.406500000000001</v>
      </c>
    </row>
    <row r="11149" spans="1:9">
      <c r="A11149" s="58" t="s">
        <v>19137</v>
      </c>
      <c r="B11149" s="2" t="s">
        <v>19138</v>
      </c>
      <c r="C11149" s="2" t="s">
        <v>19139</v>
      </c>
      <c r="D11149" s="35"/>
      <c r="E11149" s="2">
        <v>1</v>
      </c>
      <c r="F11149" s="9">
        <v>73</v>
      </c>
      <c r="G11149" s="8">
        <f t="shared" si="375"/>
        <v>8.9459999999999997</v>
      </c>
      <c r="H11149" s="8">
        <v>8.52</v>
      </c>
      <c r="I11149" s="19">
        <f>G11149*F11149</f>
        <v>653.05799999999999</v>
      </c>
    </row>
    <row r="11150" spans="1:9">
      <c r="A11150" s="58" t="s">
        <v>19137</v>
      </c>
      <c r="B11150" s="2" t="s">
        <v>19140</v>
      </c>
      <c r="C11150" s="2" t="s">
        <v>19141</v>
      </c>
      <c r="D11150" s="35"/>
      <c r="E11150" s="2">
        <v>1</v>
      </c>
      <c r="F11150" s="9">
        <v>78</v>
      </c>
      <c r="G11150" s="8">
        <f t="shared" si="375"/>
        <v>10.762499999999999</v>
      </c>
      <c r="H11150" s="8">
        <v>10.25</v>
      </c>
      <c r="I11150" s="19">
        <f t="shared" ref="I11150:I11157" si="376">G11150*F11150</f>
        <v>839.47499999999991</v>
      </c>
    </row>
    <row r="11151" spans="1:9">
      <c r="A11151" s="58" t="s">
        <v>19137</v>
      </c>
      <c r="B11151" s="2" t="s">
        <v>19142</v>
      </c>
      <c r="C11151" s="2" t="s">
        <v>19143</v>
      </c>
      <c r="D11151" s="35"/>
      <c r="E11151" s="2">
        <v>1</v>
      </c>
      <c r="F11151" s="9">
        <v>43</v>
      </c>
      <c r="G11151" s="8">
        <f t="shared" si="375"/>
        <v>18.616500000000002</v>
      </c>
      <c r="H11151" s="8">
        <v>17.73</v>
      </c>
      <c r="I11151" s="19">
        <f t="shared" si="376"/>
        <v>800.50950000000012</v>
      </c>
    </row>
    <row r="11152" spans="1:9">
      <c r="A11152" s="58" t="s">
        <v>19137</v>
      </c>
      <c r="B11152" s="2" t="s">
        <v>19144</v>
      </c>
      <c r="C11152" s="2" t="s">
        <v>19145</v>
      </c>
      <c r="D11152" s="35"/>
      <c r="E11152" s="2">
        <v>1</v>
      </c>
      <c r="F11152" s="9">
        <v>40</v>
      </c>
      <c r="G11152" s="8">
        <f t="shared" si="375"/>
        <v>24.664499999999997</v>
      </c>
      <c r="H11152" s="8">
        <v>23.49</v>
      </c>
      <c r="I11152" s="19">
        <f t="shared" si="376"/>
        <v>986.57999999999993</v>
      </c>
    </row>
    <row r="11153" spans="1:9">
      <c r="A11153" s="58" t="s">
        <v>19137</v>
      </c>
      <c r="B11153" s="2" t="s">
        <v>19146</v>
      </c>
      <c r="C11153" s="2" t="s">
        <v>19147</v>
      </c>
      <c r="D11153" s="35"/>
      <c r="E11153" s="2">
        <v>1</v>
      </c>
      <c r="F11153" s="9">
        <v>8</v>
      </c>
      <c r="G11153" s="8">
        <f t="shared" si="375"/>
        <v>35.269500000000001</v>
      </c>
      <c r="H11153" s="8">
        <v>33.590000000000003</v>
      </c>
      <c r="I11153" s="19">
        <f t="shared" si="376"/>
        <v>282.15600000000001</v>
      </c>
    </row>
    <row r="11154" spans="1:9">
      <c r="A11154" s="58" t="s">
        <v>19137</v>
      </c>
      <c r="B11154" s="2" t="s">
        <v>19148</v>
      </c>
      <c r="C11154" s="2" t="s">
        <v>19149</v>
      </c>
      <c r="D11154" s="35"/>
      <c r="E11154" s="2">
        <v>1</v>
      </c>
      <c r="F11154" s="9">
        <v>0</v>
      </c>
      <c r="G11154" s="8">
        <f t="shared" si="375"/>
        <v>44.457000000000001</v>
      </c>
      <c r="H11154" s="8">
        <v>42.34</v>
      </c>
      <c r="I11154" s="19">
        <f t="shared" si="376"/>
        <v>0</v>
      </c>
    </row>
    <row r="11155" spans="1:9">
      <c r="A11155" s="58" t="s">
        <v>19137</v>
      </c>
      <c r="B11155" s="2" t="s">
        <v>19150</v>
      </c>
      <c r="C11155" s="2" t="s">
        <v>19151</v>
      </c>
      <c r="D11155" s="35"/>
      <c r="E11155" s="2">
        <v>1</v>
      </c>
      <c r="F11155" s="9">
        <v>5</v>
      </c>
      <c r="G11155" s="8">
        <f t="shared" si="375"/>
        <v>60.847500000000004</v>
      </c>
      <c r="H11155" s="8">
        <v>57.95</v>
      </c>
      <c r="I11155" s="19">
        <f t="shared" si="376"/>
        <v>304.23750000000001</v>
      </c>
    </row>
    <row r="11156" spans="1:9">
      <c r="A11156" s="58" t="s">
        <v>19137</v>
      </c>
      <c r="B11156" s="2" t="s">
        <v>19152</v>
      </c>
      <c r="C11156" s="2" t="s">
        <v>19153</v>
      </c>
      <c r="D11156" s="35"/>
      <c r="E11156" s="2">
        <v>1</v>
      </c>
      <c r="F11156" s="9">
        <v>19</v>
      </c>
      <c r="G11156" s="8">
        <f t="shared" si="375"/>
        <v>85.385999999999996</v>
      </c>
      <c r="H11156" s="8">
        <v>81.319999999999993</v>
      </c>
      <c r="I11156" s="19">
        <f t="shared" si="376"/>
        <v>1622.3339999999998</v>
      </c>
    </row>
    <row r="11157" spans="1:9">
      <c r="A11157" s="58" t="s">
        <v>19137</v>
      </c>
      <c r="B11157" s="2" t="s">
        <v>19154</v>
      </c>
      <c r="C11157" s="2" t="s">
        <v>19155</v>
      </c>
      <c r="D11157" s="35"/>
      <c r="E11157" s="2">
        <v>1</v>
      </c>
      <c r="F11157" s="9">
        <v>10</v>
      </c>
      <c r="G11157" s="8">
        <f t="shared" si="375"/>
        <v>54.683999999999997</v>
      </c>
      <c r="H11157" s="8">
        <v>52.08</v>
      </c>
      <c r="I11157" s="19">
        <f t="shared" si="376"/>
        <v>546.83999999999992</v>
      </c>
    </row>
    <row r="11158" spans="1:9">
      <c r="A11158" s="66" t="s">
        <v>19156</v>
      </c>
      <c r="B11158" s="35" t="s">
        <v>19157</v>
      </c>
      <c r="C11158" s="35" t="s">
        <v>19158</v>
      </c>
      <c r="D11158" s="35"/>
      <c r="E11158" s="2">
        <v>1</v>
      </c>
      <c r="F11158" s="9">
        <v>32</v>
      </c>
      <c r="G11158" s="8">
        <f>H11158+(H11158*5%)</f>
        <v>61.214999999999996</v>
      </c>
      <c r="H11158" s="8">
        <v>58.3</v>
      </c>
      <c r="I11158" s="19">
        <f>G11158*F11158</f>
        <v>1958.8799999999999</v>
      </c>
    </row>
    <row r="11159" spans="1:9" hidden="1">
      <c r="A11159" s="66" t="s">
        <v>19156</v>
      </c>
      <c r="B11159" s="35" t="s">
        <v>19159</v>
      </c>
      <c r="C11159" s="35" t="s">
        <v>19160</v>
      </c>
      <c r="D11159" s="35"/>
      <c r="E11159" s="2">
        <v>1</v>
      </c>
      <c r="F11159" s="9"/>
      <c r="G11159" s="8">
        <f t="shared" ref="G11159:G11172" si="377">H11159+(H11159*5%)</f>
        <v>82.089000000000013</v>
      </c>
      <c r="H11159" s="8">
        <v>78.180000000000007</v>
      </c>
      <c r="I11159" s="19">
        <f t="shared" ref="I11159:I11172" si="378">G11159*F11159</f>
        <v>0</v>
      </c>
    </row>
    <row r="11160" spans="1:9">
      <c r="A11160" s="66" t="s">
        <v>19156</v>
      </c>
      <c r="B11160" s="35" t="s">
        <v>19161</v>
      </c>
      <c r="C11160" s="35" t="s">
        <v>19162</v>
      </c>
      <c r="D11160" s="35"/>
      <c r="E11160" s="2">
        <v>1</v>
      </c>
      <c r="F11160" s="9">
        <v>4</v>
      </c>
      <c r="G11160" s="8">
        <f t="shared" si="377"/>
        <v>91.286999999999992</v>
      </c>
      <c r="H11160" s="8">
        <v>86.94</v>
      </c>
      <c r="I11160" s="19">
        <f t="shared" si="378"/>
        <v>365.14799999999997</v>
      </c>
    </row>
    <row r="11161" spans="1:9" hidden="1">
      <c r="A11161" s="66" t="s">
        <v>19156</v>
      </c>
      <c r="B11161" s="35" t="s">
        <v>19163</v>
      </c>
      <c r="C11161" s="35" t="s">
        <v>19164</v>
      </c>
      <c r="D11161" s="35"/>
      <c r="E11161" s="2">
        <v>1</v>
      </c>
      <c r="F11161" s="9"/>
      <c r="G11161" s="8">
        <f t="shared" si="377"/>
        <v>78.519000000000005</v>
      </c>
      <c r="H11161" s="8">
        <v>74.78</v>
      </c>
      <c r="I11161" s="19">
        <f t="shared" si="378"/>
        <v>0</v>
      </c>
    </row>
    <row r="11162" spans="1:9" hidden="1">
      <c r="A11162" s="66" t="s">
        <v>19156</v>
      </c>
      <c r="B11162" s="35" t="s">
        <v>19165</v>
      </c>
      <c r="C11162" s="35" t="s">
        <v>19166</v>
      </c>
      <c r="D11162" s="35"/>
      <c r="E11162" s="2">
        <v>1</v>
      </c>
      <c r="F11162" s="9"/>
      <c r="G11162" s="8">
        <f t="shared" si="377"/>
        <v>163.35900000000001</v>
      </c>
      <c r="H11162" s="8">
        <v>155.58000000000001</v>
      </c>
      <c r="I11162" s="19">
        <f t="shared" si="378"/>
        <v>0</v>
      </c>
    </row>
    <row r="11163" spans="1:9">
      <c r="A11163" s="66" t="s">
        <v>19156</v>
      </c>
      <c r="B11163" s="35" t="s">
        <v>19165</v>
      </c>
      <c r="C11163" s="35" t="s">
        <v>19167</v>
      </c>
      <c r="D11163" s="35"/>
      <c r="E11163" s="2">
        <v>1</v>
      </c>
      <c r="F11163" s="9">
        <v>1</v>
      </c>
      <c r="G11163" s="8">
        <f t="shared" si="377"/>
        <v>167.73750000000001</v>
      </c>
      <c r="H11163" s="8">
        <v>159.75</v>
      </c>
      <c r="I11163" s="19">
        <f t="shared" si="378"/>
        <v>167.73750000000001</v>
      </c>
    </row>
    <row r="11164" spans="1:9" hidden="1">
      <c r="A11164" s="66" t="s">
        <v>19156</v>
      </c>
      <c r="B11164" s="35" t="s">
        <v>19168</v>
      </c>
      <c r="C11164" s="35" t="s">
        <v>19169</v>
      </c>
      <c r="D11164" s="35"/>
      <c r="E11164" s="2">
        <v>1</v>
      </c>
      <c r="F11164" s="9"/>
      <c r="G11164" s="8">
        <f t="shared" si="377"/>
        <v>266.7</v>
      </c>
      <c r="H11164" s="8">
        <v>254</v>
      </c>
      <c r="I11164" s="19">
        <f t="shared" si="378"/>
        <v>0</v>
      </c>
    </row>
    <row r="11165" spans="1:9" hidden="1">
      <c r="A11165" s="66" t="s">
        <v>19156</v>
      </c>
      <c r="B11165" s="35" t="s">
        <v>19170</v>
      </c>
      <c r="C11165" s="35" t="s">
        <v>19171</v>
      </c>
      <c r="D11165" s="35"/>
      <c r="E11165" s="2">
        <v>1</v>
      </c>
      <c r="F11165" s="9"/>
      <c r="G11165" s="8">
        <f t="shared" si="377"/>
        <v>141.75</v>
      </c>
      <c r="H11165" s="8">
        <v>135</v>
      </c>
      <c r="I11165" s="19">
        <f t="shared" si="378"/>
        <v>0</v>
      </c>
    </row>
    <row r="11166" spans="1:9">
      <c r="A11166" s="66" t="s">
        <v>19156</v>
      </c>
      <c r="B11166" s="35" t="s">
        <v>19170</v>
      </c>
      <c r="C11166" s="35" t="s">
        <v>19172</v>
      </c>
      <c r="D11166" s="35"/>
      <c r="E11166" s="2">
        <v>1</v>
      </c>
      <c r="F11166" s="9">
        <v>2</v>
      </c>
      <c r="G11166" s="8">
        <f t="shared" si="377"/>
        <v>203.7</v>
      </c>
      <c r="H11166" s="8">
        <v>194</v>
      </c>
      <c r="I11166" s="19">
        <f>G11166*F11166</f>
        <v>407.4</v>
      </c>
    </row>
    <row r="11167" spans="1:9">
      <c r="A11167" s="66" t="s">
        <v>19156</v>
      </c>
      <c r="B11167" s="35" t="s">
        <v>19173</v>
      </c>
      <c r="C11167" s="35" t="s">
        <v>19174</v>
      </c>
      <c r="D11167" s="35"/>
      <c r="E11167" s="2">
        <v>1</v>
      </c>
      <c r="F11167" s="9">
        <v>11</v>
      </c>
      <c r="G11167" s="8">
        <f>H11167+(H11167*5%)</f>
        <v>203.7</v>
      </c>
      <c r="H11167" s="8">
        <v>194</v>
      </c>
      <c r="I11167" s="19">
        <f>G11167*F11167</f>
        <v>2240.6999999999998</v>
      </c>
    </row>
    <row r="11168" spans="1:9">
      <c r="A11168" s="66" t="s">
        <v>19156</v>
      </c>
      <c r="B11168" s="35" t="s">
        <v>19175</v>
      </c>
      <c r="C11168" s="35" t="s">
        <v>19176</v>
      </c>
      <c r="D11168" s="35"/>
      <c r="E11168" s="2">
        <v>1</v>
      </c>
      <c r="F11168" s="9">
        <v>11</v>
      </c>
      <c r="G11168" s="8">
        <f t="shared" si="377"/>
        <v>10.709999999999999</v>
      </c>
      <c r="H11168" s="8">
        <v>10.199999999999999</v>
      </c>
      <c r="I11168" s="19">
        <f t="shared" si="378"/>
        <v>117.80999999999999</v>
      </c>
    </row>
    <row r="11169" spans="1:9" hidden="1">
      <c r="A11169" s="66" t="s">
        <v>19156</v>
      </c>
      <c r="B11169" s="35" t="s">
        <v>19177</v>
      </c>
      <c r="C11169" s="35" t="s">
        <v>19178</v>
      </c>
      <c r="D11169" s="35"/>
      <c r="E11169" s="2">
        <v>1</v>
      </c>
      <c r="F11169" s="9"/>
      <c r="G11169" s="8">
        <f t="shared" si="377"/>
        <v>10.709999999999999</v>
      </c>
      <c r="H11169" s="8">
        <v>10.199999999999999</v>
      </c>
      <c r="I11169" s="19">
        <f t="shared" si="378"/>
        <v>0</v>
      </c>
    </row>
    <row r="11170" spans="1:9" hidden="1">
      <c r="A11170" s="66" t="s">
        <v>19156</v>
      </c>
      <c r="B11170" s="35" t="s">
        <v>19179</v>
      </c>
      <c r="C11170" s="35" t="s">
        <v>19180</v>
      </c>
      <c r="D11170" s="35"/>
      <c r="E11170" s="2">
        <v>1</v>
      </c>
      <c r="F11170" s="9"/>
      <c r="G11170" s="8">
        <f t="shared" si="377"/>
        <v>63.052499999999995</v>
      </c>
      <c r="H11170" s="8">
        <v>60.05</v>
      </c>
      <c r="I11170" s="19">
        <f t="shared" si="378"/>
        <v>0</v>
      </c>
    </row>
    <row r="11171" spans="1:9" hidden="1">
      <c r="A11171" s="66" t="s">
        <v>19156</v>
      </c>
      <c r="B11171" s="35" t="s">
        <v>19181</v>
      </c>
      <c r="C11171" s="35" t="s">
        <v>19182</v>
      </c>
      <c r="D11171" s="35"/>
      <c r="E11171" s="2">
        <v>1</v>
      </c>
      <c r="F11171" s="9"/>
      <c r="G11171" s="8">
        <f t="shared" si="377"/>
        <v>106.47</v>
      </c>
      <c r="H11171" s="8">
        <v>101.4</v>
      </c>
      <c r="I11171" s="19">
        <f t="shared" si="378"/>
        <v>0</v>
      </c>
    </row>
    <row r="11172" spans="1:9" hidden="1">
      <c r="A11172" s="66" t="s">
        <v>19156</v>
      </c>
      <c r="B11172" s="35" t="s">
        <v>19183</v>
      </c>
      <c r="C11172" s="35" t="s">
        <v>19184</v>
      </c>
      <c r="D11172" s="35"/>
      <c r="E11172" s="2">
        <v>1</v>
      </c>
      <c r="F11172" s="9"/>
      <c r="G11172" s="8">
        <f t="shared" si="377"/>
        <v>11.6655</v>
      </c>
      <c r="H11172" s="8">
        <v>11.11</v>
      </c>
      <c r="I11172" s="19">
        <f t="shared" si="378"/>
        <v>0</v>
      </c>
    </row>
    <row r="11173" spans="1:9">
      <c r="A11173" s="197" t="s">
        <v>19185</v>
      </c>
      <c r="B11173" s="196"/>
      <c r="C11173" s="196" t="s">
        <v>19185</v>
      </c>
      <c r="D11173" s="196"/>
      <c r="E11173" s="199">
        <v>1</v>
      </c>
      <c r="F11173" s="175">
        <v>1</v>
      </c>
      <c r="H11173" s="131">
        <v>22552.39</v>
      </c>
      <c r="I11173" s="198">
        <f>H11173</f>
        <v>22552.39</v>
      </c>
    </row>
    <row r="11174" spans="1:9" ht="15.95" thickBot="1">
      <c r="A11174" s="137"/>
      <c r="B11174" s="138"/>
      <c r="C11174" s="139" t="s">
        <v>19186</v>
      </c>
      <c r="D11174" s="139"/>
      <c r="E11174" s="140"/>
      <c r="F11174" s="140">
        <v>1</v>
      </c>
      <c r="G11174" s="141"/>
      <c r="H11174" s="140"/>
      <c r="I11174" s="140"/>
    </row>
    <row r="11175" spans="1:9" ht="15.6">
      <c r="F11175">
        <v>1</v>
      </c>
      <c r="H11175" s="80"/>
      <c r="I11175" s="81">
        <f>SUM(I2:I11174)</f>
        <v>1520160.2231825665</v>
      </c>
    </row>
    <row r="11176" spans="1:9">
      <c r="B11176" s="5"/>
    </row>
    <row r="11177" spans="1:9">
      <c r="B11177" s="5"/>
    </row>
    <row r="11191" spans="3:3">
      <c r="C11191" s="189"/>
    </row>
  </sheetData>
  <autoFilter ref="A1:I11175" xr:uid="{00000000-0001-0000-0100-000000000000}">
    <filterColumn colId="5">
      <customFilters>
        <customFilter operator="notEqual" val=" "/>
      </customFilters>
    </filterColumn>
  </autoFilter>
  <mergeCells count="4">
    <mergeCell ref="B142:H142"/>
    <mergeCell ref="B87:H87"/>
    <mergeCell ref="B54:H54"/>
    <mergeCell ref="B11015:H11015"/>
  </mergeCells>
  <phoneticPr fontId="15" type="noConversion"/>
  <pageMargins left="0.25" right="0.25" top="0.75" bottom="0.75" header="0.3" footer="0.3"/>
  <pageSetup paperSize="8" scale="43" fitToHeight="0" orientation="landscape" r:id="rId1"/>
  <ignoredErrors>
    <ignoredError sqref="F117 F10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8B4B-325D-45CD-B71C-015C2B1E671D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A69B-6F4C-4153-B182-52EE0ED6E3C3}">
  <dimension ref="A1:F14"/>
  <sheetViews>
    <sheetView workbookViewId="0">
      <selection activeCell="D6" sqref="D6"/>
    </sheetView>
  </sheetViews>
  <sheetFormatPr defaultRowHeight="14.45"/>
  <cols>
    <col min="1" max="1" width="11" bestFit="1" customWidth="1"/>
    <col min="2" max="2" width="29.5703125" customWidth="1"/>
  </cols>
  <sheetData>
    <row r="1" spans="1:6">
      <c r="A1" s="202" t="s">
        <v>19187</v>
      </c>
      <c r="B1" s="202"/>
      <c r="C1" s="202"/>
      <c r="D1" s="202"/>
      <c r="E1" s="202"/>
      <c r="F1" s="202"/>
    </row>
    <row r="2" spans="1:6">
      <c r="A2" s="202"/>
      <c r="B2" s="202"/>
      <c r="C2" s="202"/>
      <c r="D2" s="202"/>
      <c r="E2" s="202"/>
      <c r="F2" s="202"/>
    </row>
    <row r="4" spans="1:6">
      <c r="A4" t="s">
        <v>19188</v>
      </c>
      <c r="B4" t="s">
        <v>19189</v>
      </c>
      <c r="D4">
        <v>7740.25</v>
      </c>
    </row>
    <row r="5" spans="1:6">
      <c r="A5" t="s">
        <v>19190</v>
      </c>
      <c r="B5" t="s">
        <v>19191</v>
      </c>
      <c r="D5">
        <v>4862.9399999999996</v>
      </c>
    </row>
    <row r="6" spans="1:6">
      <c r="A6" t="s">
        <v>19190</v>
      </c>
      <c r="B6" t="s">
        <v>19189</v>
      </c>
      <c r="D6">
        <v>172.67</v>
      </c>
    </row>
    <row r="7" spans="1:6">
      <c r="A7" t="s">
        <v>19192</v>
      </c>
      <c r="B7" t="s">
        <v>19189</v>
      </c>
    </row>
    <row r="8" spans="1:6">
      <c r="A8" t="s">
        <v>19193</v>
      </c>
      <c r="B8" t="s">
        <v>19194</v>
      </c>
    </row>
    <row r="9" spans="1:6">
      <c r="A9" t="s">
        <v>19195</v>
      </c>
      <c r="B9" t="s">
        <v>19196</v>
      </c>
    </row>
    <row r="10" spans="1:6">
      <c r="A10" t="s">
        <v>19195</v>
      </c>
      <c r="B10" t="s">
        <v>19197</v>
      </c>
    </row>
    <row r="11" spans="1:6">
      <c r="A11" t="s">
        <v>19198</v>
      </c>
      <c r="B11" t="s">
        <v>19199</v>
      </c>
    </row>
    <row r="14" spans="1:6">
      <c r="D14">
        <f>SUM(D4:D11)</f>
        <v>12775.859999999999</v>
      </c>
    </row>
  </sheetData>
  <mergeCells count="1">
    <mergeCell ref="A1:F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FEAD-6EEE-458D-9C18-362B532C4CA0}">
  <dimension ref="A1:E42"/>
  <sheetViews>
    <sheetView workbookViewId="0">
      <selection activeCell="A8" sqref="A8"/>
    </sheetView>
  </sheetViews>
  <sheetFormatPr defaultRowHeight="14.45"/>
  <cols>
    <col min="1" max="1" width="11.42578125" bestFit="1" customWidth="1"/>
    <col min="4" max="4" width="10.42578125" bestFit="1" customWidth="1"/>
  </cols>
  <sheetData>
    <row r="1" spans="1:5">
      <c r="A1" s="203" t="s">
        <v>19200</v>
      </c>
      <c r="B1" s="202"/>
      <c r="C1" s="202"/>
      <c r="D1" s="202"/>
      <c r="E1" s="202"/>
    </row>
    <row r="2" spans="1:5">
      <c r="A2" s="202"/>
      <c r="B2" s="202"/>
      <c r="C2" s="202"/>
      <c r="D2" s="202"/>
      <c r="E2" s="202"/>
    </row>
    <row r="3" spans="1:5">
      <c r="A3" s="22"/>
      <c r="B3" s="22"/>
      <c r="C3" s="22"/>
      <c r="D3" s="22"/>
      <c r="E3" s="22"/>
    </row>
    <row r="4" spans="1:5">
      <c r="A4" s="22"/>
      <c r="B4" s="22"/>
      <c r="C4" s="22"/>
      <c r="D4" s="22"/>
      <c r="E4" s="22"/>
    </row>
    <row r="5" spans="1:5">
      <c r="A5" s="21" t="s">
        <v>19201</v>
      </c>
      <c r="B5" s="2"/>
      <c r="C5" s="21" t="s">
        <v>19202</v>
      </c>
      <c r="D5" s="21" t="s">
        <v>19203</v>
      </c>
      <c r="E5" s="21" t="s">
        <v>19204</v>
      </c>
    </row>
    <row r="6" spans="1:5">
      <c r="A6" s="2"/>
      <c r="B6" s="2"/>
      <c r="C6" s="2"/>
      <c r="D6" s="2"/>
      <c r="E6" s="2"/>
    </row>
    <row r="7" spans="1:5">
      <c r="A7" s="7" t="s">
        <v>19205</v>
      </c>
      <c r="B7" s="2"/>
      <c r="C7" s="2"/>
      <c r="D7" s="13">
        <v>1953</v>
      </c>
      <c r="E7" s="2"/>
    </row>
    <row r="8" spans="1:5">
      <c r="A8" s="7"/>
      <c r="B8" s="2"/>
      <c r="C8" s="2"/>
      <c r="D8" s="13"/>
      <c r="E8" s="2"/>
    </row>
    <row r="9" spans="1:5">
      <c r="A9" s="7"/>
      <c r="B9" s="2"/>
      <c r="C9" s="2"/>
      <c r="D9" s="13"/>
      <c r="E9" s="2"/>
    </row>
    <row r="10" spans="1:5">
      <c r="A10" s="7"/>
      <c r="B10" s="2"/>
      <c r="C10" s="2"/>
      <c r="D10" s="13"/>
      <c r="E10" s="2"/>
    </row>
    <row r="11" spans="1:5">
      <c r="A11" s="7"/>
      <c r="B11" s="2"/>
      <c r="C11" s="2"/>
      <c r="D11" s="13"/>
      <c r="E11" s="2"/>
    </row>
    <row r="12" spans="1:5">
      <c r="A12" s="7"/>
      <c r="B12" s="2"/>
      <c r="C12" s="2"/>
      <c r="D12" s="13"/>
      <c r="E12" s="2"/>
    </row>
    <row r="13" spans="1:5">
      <c r="A13" s="7"/>
      <c r="B13" s="2"/>
      <c r="C13" s="2"/>
      <c r="D13" s="13"/>
      <c r="E13" s="2"/>
    </row>
    <row r="14" spans="1:5">
      <c r="A14" s="7"/>
      <c r="B14" s="2"/>
      <c r="C14" s="2"/>
      <c r="D14" s="13"/>
      <c r="E14" s="2"/>
    </row>
    <row r="15" spans="1:5">
      <c r="A15" s="7"/>
      <c r="B15" s="2"/>
      <c r="C15" s="2"/>
      <c r="D15" s="13"/>
      <c r="E15" s="2"/>
    </row>
    <row r="16" spans="1:5">
      <c r="A16" s="7"/>
      <c r="B16" s="2"/>
      <c r="C16" s="2"/>
      <c r="D16" s="13"/>
      <c r="E16" s="2"/>
    </row>
    <row r="17" spans="1:5">
      <c r="A17" s="7"/>
      <c r="B17" s="2"/>
      <c r="C17" s="2"/>
      <c r="D17" s="13"/>
      <c r="E17" s="2"/>
    </row>
    <row r="18" spans="1:5">
      <c r="A18" s="7"/>
      <c r="B18" s="2"/>
      <c r="C18" s="2"/>
      <c r="D18" s="13"/>
      <c r="E18" s="2"/>
    </row>
    <row r="19" spans="1:5">
      <c r="A19" s="7"/>
      <c r="B19" s="2"/>
      <c r="C19" s="2"/>
      <c r="D19" s="13"/>
      <c r="E19" s="2"/>
    </row>
    <row r="20" spans="1:5">
      <c r="A20" s="7"/>
      <c r="B20" s="2"/>
      <c r="C20" s="2"/>
      <c r="D20" s="13"/>
      <c r="E20" s="2"/>
    </row>
    <row r="21" spans="1:5">
      <c r="A21" s="7"/>
      <c r="B21" s="2"/>
      <c r="C21" s="20"/>
      <c r="D21" s="2"/>
      <c r="E21" s="2"/>
    </row>
    <row r="22" spans="1:5">
      <c r="A22" s="7"/>
      <c r="B22" s="2"/>
      <c r="C22" s="20"/>
      <c r="D22" s="2"/>
      <c r="E22" s="2"/>
    </row>
    <row r="23" spans="1:5">
      <c r="A23" s="7"/>
      <c r="B23" s="2"/>
      <c r="C23" s="20"/>
      <c r="D23" s="2"/>
      <c r="E23" s="2"/>
    </row>
    <row r="24" spans="1:5">
      <c r="A24" s="7"/>
      <c r="B24" s="2"/>
      <c r="C24" s="20"/>
      <c r="D24" s="2"/>
      <c r="E24" s="2"/>
    </row>
    <row r="25" spans="1:5">
      <c r="A25" s="7"/>
      <c r="B25" s="2"/>
      <c r="C25" s="20"/>
      <c r="D25" s="2"/>
      <c r="E25" s="2"/>
    </row>
    <row r="26" spans="1:5">
      <c r="A26" s="7"/>
      <c r="B26" s="2"/>
      <c r="C26" s="20"/>
      <c r="D26" s="2"/>
      <c r="E26" s="2"/>
    </row>
    <row r="27" spans="1:5">
      <c r="A27" s="7"/>
      <c r="B27" s="2"/>
      <c r="C27" s="2"/>
      <c r="D27" s="2"/>
      <c r="E27" s="14"/>
    </row>
    <row r="28" spans="1:5">
      <c r="A28" s="7"/>
      <c r="B28" s="2"/>
      <c r="C28" s="2"/>
      <c r="D28" s="2"/>
      <c r="E28" s="14"/>
    </row>
    <row r="29" spans="1:5">
      <c r="A29" s="7"/>
      <c r="B29" s="2"/>
      <c r="C29" s="2"/>
      <c r="D29" s="2"/>
      <c r="E29" s="14"/>
    </row>
    <row r="30" spans="1:5">
      <c r="A30" s="7"/>
      <c r="B30" s="2"/>
      <c r="C30" s="2"/>
      <c r="D30" s="2"/>
      <c r="E30" s="14"/>
    </row>
    <row r="31" spans="1:5">
      <c r="A31" s="7"/>
      <c r="B31" s="2"/>
      <c r="C31" s="2"/>
      <c r="D31" s="2"/>
      <c r="E31" s="14"/>
    </row>
    <row r="32" spans="1:5">
      <c r="A32" s="7"/>
      <c r="B32" s="2"/>
      <c r="C32" s="2"/>
      <c r="D32" s="2"/>
      <c r="E32" s="14"/>
    </row>
    <row r="33" spans="1:5">
      <c r="A33" s="7"/>
      <c r="B33" s="2"/>
      <c r="C33" s="2"/>
      <c r="D33" s="2"/>
      <c r="E33" s="14"/>
    </row>
    <row r="34" spans="1:5">
      <c r="A34" s="7"/>
      <c r="B34" s="2"/>
      <c r="C34" s="2"/>
      <c r="D34" s="2"/>
      <c r="E34" s="14"/>
    </row>
    <row r="35" spans="1:5">
      <c r="A35" s="7"/>
      <c r="B35" s="2"/>
      <c r="C35" s="2"/>
      <c r="D35" s="2"/>
      <c r="E35" s="14"/>
    </row>
    <row r="36" spans="1:5">
      <c r="A36" s="7"/>
      <c r="B36" s="2"/>
      <c r="C36" s="2"/>
      <c r="D36" s="2"/>
      <c r="E36" s="14"/>
    </row>
    <row r="37" spans="1:5">
      <c r="A37" s="7"/>
      <c r="B37" s="2"/>
      <c r="C37" s="2"/>
      <c r="D37" s="2"/>
      <c r="E37" s="14"/>
    </row>
    <row r="38" spans="1:5">
      <c r="A38" s="2"/>
      <c r="B38" s="2"/>
      <c r="C38" s="2"/>
      <c r="D38" s="2"/>
      <c r="E38" s="2"/>
    </row>
    <row r="39" spans="1:5">
      <c r="A39" s="2"/>
      <c r="B39" s="2"/>
      <c r="C39" s="7">
        <f>SUM(C21:C38)</f>
        <v>0</v>
      </c>
      <c r="D39" s="7">
        <f>SUM(D7:D20)</f>
        <v>1953</v>
      </c>
      <c r="E39" s="7">
        <f>SUM(E27:E37)</f>
        <v>0</v>
      </c>
    </row>
    <row r="42" spans="1:5">
      <c r="A42" t="s">
        <v>19206</v>
      </c>
      <c r="C42" s="24">
        <f>SUM(C39+D39+E39)</f>
        <v>1953</v>
      </c>
    </row>
  </sheetData>
  <mergeCells count="1">
    <mergeCell ref="A1:E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1CC2-3165-44C4-AA21-7E0CC216B45B}">
  <dimension ref="A1:D71"/>
  <sheetViews>
    <sheetView workbookViewId="0">
      <selection activeCell="A27" sqref="A27"/>
    </sheetView>
  </sheetViews>
  <sheetFormatPr defaultRowHeight="14.45"/>
  <cols>
    <col min="1" max="1" width="10.42578125" bestFit="1" customWidth="1"/>
    <col min="4" max="4" width="10" customWidth="1"/>
  </cols>
  <sheetData>
    <row r="1" spans="1:4">
      <c r="A1" s="204" t="s">
        <v>19207</v>
      </c>
      <c r="B1" s="204"/>
      <c r="C1" s="204"/>
      <c r="D1" s="204"/>
    </row>
    <row r="2" spans="1:4">
      <c r="A2" s="204"/>
      <c r="B2" s="204"/>
      <c r="C2" s="204"/>
      <c r="D2" s="204"/>
    </row>
    <row r="3" spans="1:4">
      <c r="A3" s="23"/>
      <c r="B3" s="23"/>
      <c r="C3" s="23"/>
      <c r="D3" s="23"/>
    </row>
    <row r="4" spans="1:4">
      <c r="A4" s="25" t="s">
        <v>19201</v>
      </c>
      <c r="B4" s="25"/>
      <c r="C4" s="25"/>
      <c r="D4" s="25" t="s">
        <v>19208</v>
      </c>
    </row>
    <row r="5" spans="1:4">
      <c r="A5" s="2" t="s">
        <v>19209</v>
      </c>
      <c r="B5" s="2"/>
      <c r="C5" s="2"/>
      <c r="D5" s="2">
        <v>2575.64</v>
      </c>
    </row>
    <row r="6" spans="1:4">
      <c r="A6" s="2" t="s">
        <v>19210</v>
      </c>
      <c r="B6" s="2"/>
      <c r="C6" s="2"/>
      <c r="D6" s="2">
        <v>6376.5</v>
      </c>
    </row>
    <row r="7" spans="1:4">
      <c r="A7" s="2" t="s">
        <v>19211</v>
      </c>
      <c r="B7" s="2"/>
      <c r="C7" s="2"/>
      <c r="D7" s="2">
        <v>4463.6899999999996</v>
      </c>
    </row>
    <row r="8" spans="1:4">
      <c r="A8" s="2" t="s">
        <v>19212</v>
      </c>
      <c r="B8" s="2"/>
      <c r="C8" s="2"/>
      <c r="D8" s="2">
        <v>2286.96</v>
      </c>
    </row>
    <row r="9" spans="1:4">
      <c r="A9" s="2" t="s">
        <v>19213</v>
      </c>
      <c r="B9" s="2"/>
      <c r="C9" s="2"/>
      <c r="D9" s="2">
        <v>19178.5</v>
      </c>
    </row>
    <row r="10" spans="1:4">
      <c r="A10" s="2" t="s">
        <v>19214</v>
      </c>
      <c r="B10" s="2"/>
      <c r="C10" s="2"/>
      <c r="D10" s="2">
        <v>4479.18</v>
      </c>
    </row>
    <row r="11" spans="1:4">
      <c r="A11" s="2" t="s">
        <v>19215</v>
      </c>
      <c r="B11" s="2"/>
      <c r="C11" s="2"/>
      <c r="D11" s="2">
        <v>2475.6</v>
      </c>
    </row>
    <row r="12" spans="1:4">
      <c r="A12" s="2" t="s">
        <v>19216</v>
      </c>
      <c r="B12" s="2"/>
      <c r="C12" s="2"/>
      <c r="D12" s="2">
        <v>2913.5</v>
      </c>
    </row>
    <row r="13" spans="1:4">
      <c r="A13" s="2" t="s">
        <v>19217</v>
      </c>
      <c r="B13" s="2"/>
      <c r="C13" s="2"/>
      <c r="D13" s="2">
        <v>2341.33</v>
      </c>
    </row>
    <row r="14" spans="1:4">
      <c r="A14" s="2" t="s">
        <v>19218</v>
      </c>
      <c r="B14" s="2"/>
      <c r="C14" s="2"/>
      <c r="D14" s="2">
        <v>4605</v>
      </c>
    </row>
    <row r="15" spans="1:4">
      <c r="A15" s="2" t="s">
        <v>19219</v>
      </c>
      <c r="B15" s="2"/>
      <c r="C15" s="2"/>
      <c r="D15" s="2">
        <v>2093.8000000000002</v>
      </c>
    </row>
    <row r="16" spans="1:4">
      <c r="A16" s="2" t="s">
        <v>19220</v>
      </c>
      <c r="B16" s="2"/>
      <c r="C16" s="2"/>
      <c r="D16" s="2">
        <v>1118.9000000000001</v>
      </c>
    </row>
    <row r="17" spans="1:4">
      <c r="A17" s="2" t="s">
        <v>19221</v>
      </c>
      <c r="B17" s="2"/>
      <c r="C17" s="2"/>
      <c r="D17" s="2">
        <v>4900</v>
      </c>
    </row>
    <row r="18" spans="1:4">
      <c r="A18" s="2" t="s">
        <v>19222</v>
      </c>
      <c r="B18" s="2"/>
      <c r="C18" s="2"/>
      <c r="D18" s="2">
        <v>2845.72</v>
      </c>
    </row>
    <row r="19" spans="1:4">
      <c r="A19" s="2" t="s">
        <v>19223</v>
      </c>
      <c r="B19" s="2"/>
      <c r="C19" s="2"/>
      <c r="D19" s="2">
        <v>2764.5</v>
      </c>
    </row>
    <row r="20" spans="1:4">
      <c r="A20" s="2" t="s">
        <v>19224</v>
      </c>
      <c r="B20" s="2"/>
      <c r="C20" s="2"/>
      <c r="D20" s="2">
        <v>5250</v>
      </c>
    </row>
    <row r="21" spans="1:4">
      <c r="A21" s="2" t="s">
        <v>19225</v>
      </c>
      <c r="B21" s="2"/>
      <c r="C21" s="2"/>
      <c r="D21" s="2">
        <v>3123.34</v>
      </c>
    </row>
    <row r="22" spans="1:4">
      <c r="A22" s="2" t="s">
        <v>19226</v>
      </c>
      <c r="B22" s="2"/>
      <c r="C22" s="2"/>
      <c r="D22" s="2">
        <v>2815.94</v>
      </c>
    </row>
    <row r="23" spans="1:4">
      <c r="A23" s="2" t="s">
        <v>19227</v>
      </c>
      <c r="B23" s="2"/>
      <c r="C23" s="2"/>
      <c r="D23" s="2">
        <v>2044</v>
      </c>
    </row>
    <row r="24" spans="1:4">
      <c r="A24" s="2" t="s">
        <v>19228</v>
      </c>
      <c r="B24" s="2"/>
      <c r="C24" s="2"/>
      <c r="D24" s="2">
        <v>1655</v>
      </c>
    </row>
    <row r="25" spans="1:4">
      <c r="A25" s="2" t="s">
        <v>19229</v>
      </c>
      <c r="B25" s="2"/>
      <c r="C25" s="2"/>
      <c r="D25" s="2">
        <v>2967.5</v>
      </c>
    </row>
    <row r="26" spans="1:4">
      <c r="A26" s="2" t="s">
        <v>19230</v>
      </c>
      <c r="B26" s="2"/>
      <c r="C26" s="2"/>
      <c r="D26" s="2">
        <v>26481.26</v>
      </c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71" spans="1:4">
      <c r="A71" t="s">
        <v>19206</v>
      </c>
      <c r="D71" s="24">
        <f>SUM(D6:D68)</f>
        <v>107180.22</v>
      </c>
    </row>
  </sheetData>
  <mergeCells count="1">
    <mergeCell ref="A1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Rudy</dc:creator>
  <cp:keywords/>
  <dc:description/>
  <cp:lastModifiedBy/>
  <cp:revision/>
  <dcterms:created xsi:type="dcterms:W3CDTF">2011-09-27T08:45:09Z</dcterms:created>
  <dcterms:modified xsi:type="dcterms:W3CDTF">2026-05-12T12:59:15Z</dcterms:modified>
  <cp:category/>
  <cp:contentStatus/>
</cp:coreProperties>
</file>